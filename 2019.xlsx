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ESTADISTICAS\SAR 2019 - 2026\"/>
    </mc:Choice>
  </mc:AlternateContent>
  <xr:revisionPtr revIDLastSave="0" documentId="13_ncr:1_{F530EBFB-3104-43A6-BA36-FF84403A68A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detalle CIE10" sheetId="26" r:id="rId1"/>
    <sheet name="FORMATO" sheetId="22" r:id="rId2"/>
    <sheet name="CONSOLIDADO" sheetId="25" r:id="rId3"/>
    <sheet name="ENERO" sheetId="21" r:id="rId4"/>
    <sheet name="FEBRERO" sheetId="23" r:id="rId5"/>
    <sheet name="MARZO" sheetId="24" r:id="rId6"/>
    <sheet name="ABRIL" sheetId="27" r:id="rId7"/>
    <sheet name="MAYO" sheetId="28" r:id="rId8"/>
    <sheet name="JUNIO" sheetId="29" r:id="rId9"/>
    <sheet name="JULIO" sheetId="30" r:id="rId10"/>
    <sheet name="AGOSTO" sheetId="31" r:id="rId11"/>
    <sheet name="SEPTIEMBRE" sheetId="32" r:id="rId12"/>
    <sheet name="OCTUBRE" sheetId="33" r:id="rId13"/>
    <sheet name="NOVIEMBRE" sheetId="34" r:id="rId14"/>
    <sheet name="DICIEMBRE" sheetId="3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41" i="33" l="1"/>
  <c r="AG239" i="33"/>
  <c r="AG238" i="33"/>
  <c r="K242" i="25"/>
  <c r="M241" i="25"/>
  <c r="L241" i="25"/>
  <c r="K241" i="25"/>
  <c r="J241" i="25"/>
  <c r="I241" i="25"/>
  <c r="H241" i="25"/>
  <c r="G241" i="25"/>
  <c r="F241" i="25"/>
  <c r="E241" i="25"/>
  <c r="D241" i="25"/>
  <c r="C241" i="25"/>
  <c r="B241" i="25"/>
  <c r="K240" i="25"/>
  <c r="I240" i="25"/>
  <c r="H240" i="25"/>
  <c r="G240" i="25"/>
  <c r="E240" i="25"/>
  <c r="K239" i="25"/>
  <c r="I239" i="25"/>
  <c r="H239" i="25"/>
  <c r="G239" i="25"/>
  <c r="E239" i="25"/>
  <c r="M236" i="25"/>
  <c r="L236" i="25"/>
  <c r="K236" i="25"/>
  <c r="J236" i="25"/>
  <c r="I236" i="25"/>
  <c r="H236" i="25"/>
  <c r="G236" i="25"/>
  <c r="B236" i="25"/>
  <c r="M235" i="25"/>
  <c r="L235" i="25"/>
  <c r="K235" i="25"/>
  <c r="J235" i="25"/>
  <c r="I235" i="25"/>
  <c r="H235" i="25"/>
  <c r="G235" i="25"/>
  <c r="B235" i="25"/>
  <c r="M234" i="25"/>
  <c r="L234" i="25"/>
  <c r="K234" i="25"/>
  <c r="J234" i="25"/>
  <c r="I234" i="25"/>
  <c r="H234" i="25"/>
  <c r="G234" i="25"/>
  <c r="B234" i="25"/>
  <c r="AG239" i="32" l="1"/>
  <c r="J240" i="25" s="1"/>
  <c r="AG238" i="32"/>
  <c r="J239" i="25" s="1"/>
  <c r="AG245" i="30" l="1"/>
  <c r="H246" i="25" s="1"/>
  <c r="AG244" i="30"/>
  <c r="H245" i="25" s="1"/>
  <c r="AG243" i="30"/>
  <c r="H244" i="25" s="1"/>
  <c r="AG242" i="30"/>
  <c r="H243" i="25" s="1"/>
  <c r="AG241" i="30"/>
  <c r="H242" i="25" s="1"/>
  <c r="AG245" i="31"/>
  <c r="I246" i="25" s="1"/>
  <c r="AG244" i="31"/>
  <c r="I245" i="25" s="1"/>
  <c r="AG243" i="31"/>
  <c r="I244" i="25" s="1"/>
  <c r="AG242" i="31"/>
  <c r="I243" i="25" s="1"/>
  <c r="AG241" i="31"/>
  <c r="I242" i="25" s="1"/>
  <c r="B227" i="30"/>
  <c r="C227" i="30"/>
  <c r="D227" i="30"/>
  <c r="E227" i="30"/>
  <c r="F227" i="30"/>
  <c r="G227" i="30"/>
  <c r="H227" i="30"/>
  <c r="I227" i="30"/>
  <c r="J227" i="30"/>
  <c r="K227" i="30"/>
  <c r="L227" i="30"/>
  <c r="M227" i="30"/>
  <c r="N227" i="30"/>
  <c r="O227" i="30"/>
  <c r="P227" i="30"/>
  <c r="Q227" i="30"/>
  <c r="R227" i="30"/>
  <c r="S227" i="30"/>
  <c r="T227" i="30"/>
  <c r="U227" i="30"/>
  <c r="V227" i="30"/>
  <c r="W227" i="30"/>
  <c r="X227" i="30"/>
  <c r="Y227" i="30"/>
  <c r="Z227" i="30"/>
  <c r="AA227" i="30"/>
  <c r="AB227" i="30"/>
  <c r="AC227" i="30"/>
  <c r="AD227" i="30"/>
  <c r="AE227" i="30"/>
  <c r="AF227" i="30"/>
  <c r="AG245" i="29"/>
  <c r="G246" i="25" s="1"/>
  <c r="AG244" i="29"/>
  <c r="G245" i="25" s="1"/>
  <c r="AG243" i="29"/>
  <c r="G244" i="25" s="1"/>
  <c r="AG242" i="29"/>
  <c r="G243" i="25" s="1"/>
  <c r="AG241" i="29"/>
  <c r="G242" i="25" s="1"/>
  <c r="AG230" i="28"/>
  <c r="F231" i="25" s="1"/>
  <c r="AG229" i="28"/>
  <c r="F230" i="25" s="1"/>
  <c r="AG228" i="28"/>
  <c r="F229" i="25" s="1"/>
  <c r="AG227" i="28"/>
  <c r="F228" i="25" s="1"/>
  <c r="AG245" i="28"/>
  <c r="F246" i="25" s="1"/>
  <c r="AG244" i="28"/>
  <c r="F245" i="25" s="1"/>
  <c r="AG243" i="28"/>
  <c r="F244" i="25" s="1"/>
  <c r="AG242" i="28"/>
  <c r="F243" i="25" s="1"/>
  <c r="AG241" i="28"/>
  <c r="F242" i="25" s="1"/>
  <c r="AG239" i="28"/>
  <c r="F240" i="25" s="1"/>
  <c r="AG238" i="28"/>
  <c r="F239" i="25" s="1"/>
  <c r="AG237" i="28"/>
  <c r="F238" i="25" s="1"/>
  <c r="AG236" i="28"/>
  <c r="F237" i="25" s="1"/>
  <c r="AG235" i="28"/>
  <c r="F236" i="25" s="1"/>
  <c r="AG234" i="28"/>
  <c r="F235" i="25" s="1"/>
  <c r="AG233" i="28"/>
  <c r="F234" i="25" s="1"/>
  <c r="AG232" i="28"/>
  <c r="F233" i="25" s="1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E231" i="28"/>
  <c r="D231" i="28"/>
  <c r="C231" i="28"/>
  <c r="B231" i="28"/>
  <c r="AG226" i="28"/>
  <c r="F227" i="25" s="1"/>
  <c r="AG225" i="28"/>
  <c r="F226" i="25" s="1"/>
  <c r="AG224" i="28"/>
  <c r="F225" i="25" s="1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G223" i="28" s="1"/>
  <c r="F224" i="25" s="1"/>
  <c r="E223" i="28"/>
  <c r="D223" i="28"/>
  <c r="C223" i="28"/>
  <c r="B223" i="28"/>
  <c r="AG222" i="28"/>
  <c r="F223" i="25" s="1"/>
  <c r="AG221" i="28"/>
  <c r="F222" i="25" s="1"/>
  <c r="AG220" i="28"/>
  <c r="F221" i="25" s="1"/>
  <c r="AG219" i="28"/>
  <c r="F220" i="25" s="1"/>
  <c r="AG218" i="28"/>
  <c r="F219" i="25" s="1"/>
  <c r="AG217" i="28"/>
  <c r="F218" i="25" s="1"/>
  <c r="AG216" i="28"/>
  <c r="F217" i="25" s="1"/>
  <c r="AG215" i="28"/>
  <c r="F216" i="25" s="1"/>
  <c r="AG214" i="28"/>
  <c r="F215" i="25" s="1"/>
  <c r="AG213" i="28"/>
  <c r="F214" i="25" s="1"/>
  <c r="AG212" i="28"/>
  <c r="F213" i="25" s="1"/>
  <c r="AG211" i="28"/>
  <c r="F212" i="25" s="1"/>
  <c r="AG245" i="27"/>
  <c r="E246" i="25" s="1"/>
  <c r="AG244" i="27"/>
  <c r="E245" i="25" s="1"/>
  <c r="AG243" i="27"/>
  <c r="E244" i="25" s="1"/>
  <c r="AG242" i="27"/>
  <c r="E243" i="25" s="1"/>
  <c r="AG241" i="27"/>
  <c r="E242" i="25" s="1"/>
  <c r="AG237" i="27"/>
  <c r="E238" i="25" s="1"/>
  <c r="AG236" i="27"/>
  <c r="E237" i="25" s="1"/>
  <c r="AG235" i="27"/>
  <c r="E236" i="25" s="1"/>
  <c r="AG234" i="27"/>
  <c r="E235" i="25" s="1"/>
  <c r="AG233" i="27"/>
  <c r="E234" i="25" s="1"/>
  <c r="AG232" i="27"/>
  <c r="E233" i="25" s="1"/>
  <c r="AF231" i="27"/>
  <c r="AE231" i="27"/>
  <c r="AD231" i="27"/>
  <c r="AC231" i="27"/>
  <c r="AB231" i="27"/>
  <c r="AA231" i="27"/>
  <c r="Z231" i="27"/>
  <c r="Y231" i="27"/>
  <c r="X231" i="27"/>
  <c r="W231" i="27"/>
  <c r="V231" i="27"/>
  <c r="U231" i="27"/>
  <c r="T231" i="27"/>
  <c r="S231" i="27"/>
  <c r="R231" i="27"/>
  <c r="Q231" i="27"/>
  <c r="P231" i="27"/>
  <c r="O231" i="27"/>
  <c r="N231" i="27"/>
  <c r="M231" i="27"/>
  <c r="L231" i="27"/>
  <c r="K231" i="27"/>
  <c r="J231" i="27"/>
  <c r="I231" i="27"/>
  <c r="H231" i="27"/>
  <c r="G231" i="27"/>
  <c r="F231" i="27"/>
  <c r="E231" i="27"/>
  <c r="D231" i="27"/>
  <c r="C231" i="27"/>
  <c r="B231" i="27"/>
  <c r="AG230" i="27"/>
  <c r="E231" i="25" s="1"/>
  <c r="AG229" i="27"/>
  <c r="E230" i="25" s="1"/>
  <c r="AG228" i="27"/>
  <c r="E229" i="25" s="1"/>
  <c r="AF227" i="27"/>
  <c r="AE227" i="27"/>
  <c r="AD227" i="27"/>
  <c r="AC227" i="27"/>
  <c r="AB227" i="27"/>
  <c r="AA227" i="27"/>
  <c r="Z227" i="27"/>
  <c r="Y227" i="27"/>
  <c r="X227" i="27"/>
  <c r="W227" i="27"/>
  <c r="V227" i="27"/>
  <c r="U227" i="27"/>
  <c r="T227" i="27"/>
  <c r="S227" i="27"/>
  <c r="R227" i="27"/>
  <c r="Q227" i="27"/>
  <c r="P227" i="27"/>
  <c r="O227" i="27"/>
  <c r="N227" i="27"/>
  <c r="M227" i="27"/>
  <c r="L227" i="27"/>
  <c r="K227" i="27"/>
  <c r="J227" i="27"/>
  <c r="I227" i="27"/>
  <c r="H227" i="27"/>
  <c r="G227" i="27"/>
  <c r="F227" i="27"/>
  <c r="E227" i="27"/>
  <c r="D227" i="27"/>
  <c r="C227" i="27"/>
  <c r="B227" i="27"/>
  <c r="AG227" i="27" s="1"/>
  <c r="E228" i="25" s="1"/>
  <c r="AG226" i="27"/>
  <c r="E227" i="25" s="1"/>
  <c r="AG225" i="27"/>
  <c r="E226" i="25" s="1"/>
  <c r="AG224" i="27"/>
  <c r="E225" i="25" s="1"/>
  <c r="AF223" i="27"/>
  <c r="AE223" i="27"/>
  <c r="AD223" i="27"/>
  <c r="AC223" i="27"/>
  <c r="AB223" i="27"/>
  <c r="AA223" i="27"/>
  <c r="Z223" i="27"/>
  <c r="Y223" i="27"/>
  <c r="X223" i="27"/>
  <c r="W223" i="27"/>
  <c r="V223" i="27"/>
  <c r="U223" i="27"/>
  <c r="T223" i="27"/>
  <c r="S223" i="27"/>
  <c r="R223" i="27"/>
  <c r="Q223" i="27"/>
  <c r="P223" i="27"/>
  <c r="O223" i="27"/>
  <c r="N223" i="27"/>
  <c r="M223" i="27"/>
  <c r="L223" i="27"/>
  <c r="K223" i="27"/>
  <c r="J223" i="27"/>
  <c r="I223" i="27"/>
  <c r="H223" i="27"/>
  <c r="G223" i="27"/>
  <c r="F223" i="27"/>
  <c r="E223" i="27"/>
  <c r="D223" i="27"/>
  <c r="C223" i="27"/>
  <c r="B223" i="27"/>
  <c r="AG222" i="27"/>
  <c r="E223" i="25" s="1"/>
  <c r="AG221" i="27"/>
  <c r="E222" i="25" s="1"/>
  <c r="AG220" i="27"/>
  <c r="E221" i="25" s="1"/>
  <c r="AG219" i="27"/>
  <c r="E220" i="25" s="1"/>
  <c r="AG218" i="27"/>
  <c r="E219" i="25" s="1"/>
  <c r="AG217" i="27"/>
  <c r="E218" i="25" s="1"/>
  <c r="AG216" i="27"/>
  <c r="E217" i="25" s="1"/>
  <c r="AG215" i="27"/>
  <c r="E216" i="25" s="1"/>
  <c r="AG214" i="27"/>
  <c r="E215" i="25" s="1"/>
  <c r="AG213" i="27"/>
  <c r="E214" i="25" s="1"/>
  <c r="AG212" i="27"/>
  <c r="E213" i="25" s="1"/>
  <c r="AG211" i="27"/>
  <c r="E212" i="25" s="1"/>
  <c r="AG245" i="24"/>
  <c r="D246" i="25" s="1"/>
  <c r="AG244" i="24"/>
  <c r="D245" i="25" s="1"/>
  <c r="AG243" i="24"/>
  <c r="D244" i="25" s="1"/>
  <c r="AG242" i="24"/>
  <c r="D243" i="25" s="1"/>
  <c r="AG241" i="24"/>
  <c r="D242" i="25" s="1"/>
  <c r="AG239" i="24"/>
  <c r="D240" i="25" s="1"/>
  <c r="AG238" i="24"/>
  <c r="D239" i="25" s="1"/>
  <c r="AG237" i="24"/>
  <c r="D238" i="25" s="1"/>
  <c r="AG236" i="24"/>
  <c r="D237" i="25" s="1"/>
  <c r="AG235" i="24"/>
  <c r="D236" i="25" s="1"/>
  <c r="AG234" i="24"/>
  <c r="D235" i="25" s="1"/>
  <c r="AG233" i="24"/>
  <c r="D234" i="25" s="1"/>
  <c r="AG232" i="24"/>
  <c r="D233" i="25" s="1"/>
  <c r="AF231" i="24"/>
  <c r="AE231" i="24"/>
  <c r="AD231" i="24"/>
  <c r="AC231" i="24"/>
  <c r="AB231" i="24"/>
  <c r="AA231" i="24"/>
  <c r="Z231" i="24"/>
  <c r="Y231" i="24"/>
  <c r="X231" i="24"/>
  <c r="W231" i="24"/>
  <c r="V231" i="24"/>
  <c r="U231" i="24"/>
  <c r="T231" i="24"/>
  <c r="S231" i="24"/>
  <c r="R231" i="24"/>
  <c r="Q231" i="24"/>
  <c r="P231" i="24"/>
  <c r="O231" i="24"/>
  <c r="N231" i="24"/>
  <c r="M231" i="24"/>
  <c r="L231" i="24"/>
  <c r="K231" i="24"/>
  <c r="J231" i="24"/>
  <c r="I231" i="24"/>
  <c r="H231" i="24"/>
  <c r="G231" i="24"/>
  <c r="F231" i="24"/>
  <c r="E231" i="24"/>
  <c r="D231" i="24"/>
  <c r="C231" i="24"/>
  <c r="B231" i="24"/>
  <c r="AG230" i="24"/>
  <c r="D231" i="25" s="1"/>
  <c r="AG229" i="24"/>
  <c r="D230" i="25" s="1"/>
  <c r="AG228" i="24"/>
  <c r="D229" i="25" s="1"/>
  <c r="AG227" i="24"/>
  <c r="D228" i="25" s="1"/>
  <c r="AG226" i="24"/>
  <c r="D227" i="25" s="1"/>
  <c r="AG225" i="24"/>
  <c r="D226" i="25" s="1"/>
  <c r="AG224" i="24"/>
  <c r="D225" i="25" s="1"/>
  <c r="AF223" i="24"/>
  <c r="AE223" i="24"/>
  <c r="AD223" i="24"/>
  <c r="AC223" i="24"/>
  <c r="AB223" i="24"/>
  <c r="AA223" i="24"/>
  <c r="Z223" i="24"/>
  <c r="Y223" i="24"/>
  <c r="X223" i="24"/>
  <c r="W223" i="24"/>
  <c r="V223" i="24"/>
  <c r="U223" i="24"/>
  <c r="T223" i="24"/>
  <c r="S223" i="24"/>
  <c r="R223" i="24"/>
  <c r="Q223" i="24"/>
  <c r="P223" i="24"/>
  <c r="O223" i="24"/>
  <c r="N223" i="24"/>
  <c r="M223" i="24"/>
  <c r="L223" i="24"/>
  <c r="K223" i="24"/>
  <c r="J223" i="24"/>
  <c r="I223" i="24"/>
  <c r="H223" i="24"/>
  <c r="G223" i="24"/>
  <c r="F223" i="24"/>
  <c r="E223" i="24"/>
  <c r="D223" i="24"/>
  <c r="C223" i="24"/>
  <c r="B223" i="24"/>
  <c r="AG223" i="24" s="1"/>
  <c r="D224" i="25" s="1"/>
  <c r="AG222" i="24"/>
  <c r="D223" i="25" s="1"/>
  <c r="AG221" i="24"/>
  <c r="D222" i="25" s="1"/>
  <c r="AG220" i="24"/>
  <c r="D221" i="25" s="1"/>
  <c r="AG219" i="24"/>
  <c r="D220" i="25" s="1"/>
  <c r="AG218" i="24"/>
  <c r="D219" i="25" s="1"/>
  <c r="AG217" i="24"/>
  <c r="D218" i="25" s="1"/>
  <c r="AG216" i="24"/>
  <c r="D217" i="25" s="1"/>
  <c r="AG215" i="24"/>
  <c r="D216" i="25" s="1"/>
  <c r="AG214" i="24"/>
  <c r="D215" i="25" s="1"/>
  <c r="AG213" i="24"/>
  <c r="D214" i="25" s="1"/>
  <c r="AG212" i="24"/>
  <c r="D213" i="25" s="1"/>
  <c r="AG211" i="24"/>
  <c r="D212" i="25" s="1"/>
  <c r="AG245" i="23"/>
  <c r="C246" i="25" s="1"/>
  <c r="AG244" i="23"/>
  <c r="C245" i="25" s="1"/>
  <c r="AG243" i="23"/>
  <c r="C244" i="25" s="1"/>
  <c r="AG242" i="23"/>
  <c r="C243" i="25" s="1"/>
  <c r="AG241" i="23"/>
  <c r="C242" i="25" s="1"/>
  <c r="AG239" i="23"/>
  <c r="C240" i="25" s="1"/>
  <c r="AG238" i="23"/>
  <c r="C239" i="25" s="1"/>
  <c r="AG237" i="23"/>
  <c r="C238" i="25" s="1"/>
  <c r="AG236" i="23"/>
  <c r="C237" i="25" s="1"/>
  <c r="AG235" i="23"/>
  <c r="C236" i="25" s="1"/>
  <c r="AG234" i="23"/>
  <c r="C235" i="25" s="1"/>
  <c r="AG233" i="23"/>
  <c r="C234" i="25" s="1"/>
  <c r="AG232" i="23"/>
  <c r="C233" i="25" s="1"/>
  <c r="AF231" i="23"/>
  <c r="AE231" i="23"/>
  <c r="AD231" i="23"/>
  <c r="AC231" i="23"/>
  <c r="AB231" i="23"/>
  <c r="AA231" i="23"/>
  <c r="Z231" i="23"/>
  <c r="Y231" i="23"/>
  <c r="X231" i="23"/>
  <c r="W231" i="23"/>
  <c r="V231" i="23"/>
  <c r="U231" i="23"/>
  <c r="T231" i="23"/>
  <c r="S231" i="23"/>
  <c r="R231" i="23"/>
  <c r="Q231" i="23"/>
  <c r="P231" i="23"/>
  <c r="O231" i="23"/>
  <c r="N231" i="23"/>
  <c r="M231" i="23"/>
  <c r="L231" i="23"/>
  <c r="K231" i="23"/>
  <c r="J231" i="23"/>
  <c r="I231" i="23"/>
  <c r="H231" i="23"/>
  <c r="G231" i="23"/>
  <c r="F231" i="23"/>
  <c r="E231" i="23"/>
  <c r="D231" i="23"/>
  <c r="C231" i="23"/>
  <c r="B231" i="23"/>
  <c r="AG230" i="23"/>
  <c r="C231" i="25" s="1"/>
  <c r="AG229" i="23"/>
  <c r="C230" i="25" s="1"/>
  <c r="AG228" i="23"/>
  <c r="C229" i="25" s="1"/>
  <c r="AF227" i="23"/>
  <c r="AE227" i="23"/>
  <c r="AD227" i="23"/>
  <c r="AC227" i="23"/>
  <c r="AB227" i="23"/>
  <c r="AA227" i="23"/>
  <c r="Z227" i="23"/>
  <c r="Y227" i="23"/>
  <c r="X227" i="23"/>
  <c r="W227" i="23"/>
  <c r="V227" i="23"/>
  <c r="U227" i="23"/>
  <c r="T227" i="23"/>
  <c r="S227" i="23"/>
  <c r="R227" i="23"/>
  <c r="Q227" i="23"/>
  <c r="P227" i="23"/>
  <c r="O227" i="23"/>
  <c r="N227" i="23"/>
  <c r="M227" i="23"/>
  <c r="L227" i="23"/>
  <c r="K227" i="23"/>
  <c r="J227" i="23"/>
  <c r="I227" i="23"/>
  <c r="H227" i="23"/>
  <c r="G227" i="23"/>
  <c r="F227" i="23"/>
  <c r="E227" i="23"/>
  <c r="D227" i="23"/>
  <c r="C227" i="23"/>
  <c r="B227" i="23"/>
  <c r="AG227" i="23" s="1"/>
  <c r="C228" i="25" s="1"/>
  <c r="AG226" i="23"/>
  <c r="C227" i="25" s="1"/>
  <c r="AG225" i="23"/>
  <c r="C226" i="25" s="1"/>
  <c r="AG224" i="23"/>
  <c r="C225" i="25" s="1"/>
  <c r="AF223" i="23"/>
  <c r="AE223" i="23"/>
  <c r="AD223" i="23"/>
  <c r="AC223" i="23"/>
  <c r="AB223" i="23"/>
  <c r="AA223" i="23"/>
  <c r="Z223" i="23"/>
  <c r="Y223" i="23"/>
  <c r="X223" i="23"/>
  <c r="W223" i="23"/>
  <c r="V223" i="23"/>
  <c r="U223" i="23"/>
  <c r="T223" i="23"/>
  <c r="S223" i="23"/>
  <c r="R223" i="23"/>
  <c r="Q223" i="23"/>
  <c r="P223" i="23"/>
  <c r="O223" i="23"/>
  <c r="N223" i="23"/>
  <c r="M223" i="23"/>
  <c r="L223" i="23"/>
  <c r="K223" i="23"/>
  <c r="J223" i="23"/>
  <c r="I223" i="23"/>
  <c r="H223" i="23"/>
  <c r="G223" i="23"/>
  <c r="F223" i="23"/>
  <c r="E223" i="23"/>
  <c r="D223" i="23"/>
  <c r="C223" i="23"/>
  <c r="B223" i="23"/>
  <c r="AG222" i="23"/>
  <c r="C223" i="25" s="1"/>
  <c r="AG221" i="23"/>
  <c r="C222" i="25" s="1"/>
  <c r="AG220" i="23"/>
  <c r="C221" i="25" s="1"/>
  <c r="AG219" i="23"/>
  <c r="C220" i="25" s="1"/>
  <c r="AG218" i="23"/>
  <c r="C219" i="25" s="1"/>
  <c r="AG217" i="23"/>
  <c r="C218" i="25" s="1"/>
  <c r="AG216" i="23"/>
  <c r="C217" i="25" s="1"/>
  <c r="AG215" i="23"/>
  <c r="C216" i="25" s="1"/>
  <c r="AG214" i="23"/>
  <c r="C215" i="25" s="1"/>
  <c r="AG213" i="23"/>
  <c r="C214" i="25" s="1"/>
  <c r="AG212" i="23"/>
  <c r="C213" i="25" s="1"/>
  <c r="AG211" i="23"/>
  <c r="C212" i="25" s="1"/>
  <c r="AG245" i="21"/>
  <c r="B246" i="25" s="1"/>
  <c r="AG244" i="21"/>
  <c r="B245" i="25" s="1"/>
  <c r="AG243" i="21"/>
  <c r="B244" i="25" s="1"/>
  <c r="AG242" i="21"/>
  <c r="B243" i="25" s="1"/>
  <c r="AG241" i="21"/>
  <c r="B242" i="25" s="1"/>
  <c r="AG239" i="21"/>
  <c r="B240" i="25" s="1"/>
  <c r="AG238" i="21"/>
  <c r="B239" i="25" s="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F223" i="32"/>
  <c r="AE223" i="32"/>
  <c r="AD223" i="32"/>
  <c r="AC223" i="32"/>
  <c r="AB223" i="32"/>
  <c r="AA223" i="32"/>
  <c r="Z223" i="32"/>
  <c r="Y223" i="32"/>
  <c r="X223" i="32"/>
  <c r="W223" i="32"/>
  <c r="V223" i="32"/>
  <c r="U223" i="32"/>
  <c r="T223" i="32"/>
  <c r="S223" i="32"/>
  <c r="R223" i="32"/>
  <c r="Q223" i="32"/>
  <c r="P223" i="32"/>
  <c r="O223" i="32"/>
  <c r="N223" i="32"/>
  <c r="M223" i="32"/>
  <c r="L223" i="32"/>
  <c r="K223" i="32"/>
  <c r="J223" i="32"/>
  <c r="I223" i="32"/>
  <c r="H223" i="32"/>
  <c r="G223" i="32"/>
  <c r="F223" i="32"/>
  <c r="E223" i="32"/>
  <c r="D223" i="32"/>
  <c r="C223" i="32"/>
  <c r="B223" i="32"/>
  <c r="AF224" i="35"/>
  <c r="AE224" i="35"/>
  <c r="AD224" i="35"/>
  <c r="AC224" i="35"/>
  <c r="AB224" i="35"/>
  <c r="AA224" i="35"/>
  <c r="Z224" i="35"/>
  <c r="Y224" i="35"/>
  <c r="X224" i="35"/>
  <c r="W224" i="35"/>
  <c r="V224" i="35"/>
  <c r="U224" i="35"/>
  <c r="T224" i="35"/>
  <c r="S224" i="35"/>
  <c r="R224" i="35"/>
  <c r="Q224" i="35"/>
  <c r="P224" i="35"/>
  <c r="O224" i="35"/>
  <c r="N224" i="35"/>
  <c r="M224" i="35"/>
  <c r="L224" i="35"/>
  <c r="K224" i="35"/>
  <c r="J224" i="35"/>
  <c r="I224" i="35"/>
  <c r="H224" i="35"/>
  <c r="G224" i="35"/>
  <c r="F224" i="35"/>
  <c r="E224" i="35"/>
  <c r="D224" i="35"/>
  <c r="C224" i="35"/>
  <c r="B224" i="35"/>
  <c r="AG246" i="35"/>
  <c r="M246" i="25" s="1"/>
  <c r="AG245" i="35"/>
  <c r="M245" i="25" s="1"/>
  <c r="AG244" i="35"/>
  <c r="M244" i="25" s="1"/>
  <c r="AG243" i="35"/>
  <c r="M243" i="25" s="1"/>
  <c r="AG242" i="35"/>
  <c r="M242" i="25" s="1"/>
  <c r="AG240" i="35"/>
  <c r="M240" i="25" s="1"/>
  <c r="AG239" i="35"/>
  <c r="M239" i="25" s="1"/>
  <c r="AG245" i="34"/>
  <c r="L246" i="25" s="1"/>
  <c r="AG244" i="34"/>
  <c r="L245" i="25" s="1"/>
  <c r="AG243" i="34"/>
  <c r="L244" i="25" s="1"/>
  <c r="AG242" i="34"/>
  <c r="L243" i="25" s="1"/>
  <c r="AG241" i="34"/>
  <c r="L242" i="25" s="1"/>
  <c r="AG239" i="34"/>
  <c r="L240" i="25" s="1"/>
  <c r="AG238" i="34"/>
  <c r="L239" i="25" s="1"/>
  <c r="AG245" i="33"/>
  <c r="K246" i="25" s="1"/>
  <c r="AG244" i="33"/>
  <c r="K245" i="25" s="1"/>
  <c r="AG243" i="33"/>
  <c r="K244" i="25" s="1"/>
  <c r="AG242" i="33"/>
  <c r="K243" i="25" s="1"/>
  <c r="AG245" i="32"/>
  <c r="J246" i="25" s="1"/>
  <c r="AG244" i="32"/>
  <c r="J245" i="25" s="1"/>
  <c r="AG243" i="32"/>
  <c r="J244" i="25" s="1"/>
  <c r="AG242" i="32"/>
  <c r="J243" i="25" s="1"/>
  <c r="AG241" i="32"/>
  <c r="J242" i="25" s="1"/>
  <c r="AG223" i="23" l="1"/>
  <c r="C224" i="25" s="1"/>
  <c r="AG231" i="23"/>
  <c r="C232" i="25" s="1"/>
  <c r="AG231" i="24"/>
  <c r="D232" i="25" s="1"/>
  <c r="AG223" i="27"/>
  <c r="E224" i="25" s="1"/>
  <c r="AG231" i="27"/>
  <c r="E232" i="25" s="1"/>
  <c r="AG231" i="28"/>
  <c r="F232" i="25" s="1"/>
  <c r="AF154" i="21" l="1"/>
  <c r="AF143" i="21"/>
  <c r="AF142" i="21"/>
  <c r="AF137" i="21"/>
  <c r="AF129" i="21"/>
  <c r="AF143" i="35" l="1"/>
  <c r="AF142" i="35"/>
  <c r="AF134" i="35"/>
  <c r="AF129" i="35"/>
  <c r="AE143" i="35" l="1"/>
  <c r="AE142" i="35"/>
  <c r="AE139" i="35"/>
  <c r="AE129" i="35"/>
  <c r="AD143" i="35" l="1"/>
  <c r="AD142" i="35"/>
  <c r="AD139" i="35"/>
  <c r="AD137" i="35"/>
  <c r="AD129" i="35"/>
  <c r="AC143" i="35"/>
  <c r="AC142" i="35"/>
  <c r="AC139" i="35"/>
  <c r="AC137" i="35"/>
  <c r="AC129" i="35"/>
  <c r="AB143" i="35"/>
  <c r="AB142" i="35"/>
  <c r="AB139" i="35"/>
  <c r="AB134" i="35"/>
  <c r="AB137" i="35"/>
  <c r="AB129" i="35"/>
  <c r="AA143" i="35"/>
  <c r="AA142" i="35"/>
  <c r="AA137" i="35"/>
  <c r="AA129" i="35"/>
  <c r="Z143" i="35" l="1"/>
  <c r="Z142" i="35"/>
  <c r="Z138" i="35"/>
  <c r="Z139" i="35"/>
  <c r="Z134" i="35"/>
  <c r="Z137" i="35"/>
  <c r="Z129" i="35"/>
  <c r="Y143" i="35"/>
  <c r="Y142" i="35"/>
  <c r="Y129" i="35"/>
  <c r="X143" i="35"/>
  <c r="X142" i="35"/>
  <c r="X134" i="35"/>
  <c r="X129" i="35"/>
  <c r="W143" i="35"/>
  <c r="W142" i="35"/>
  <c r="W129" i="35"/>
  <c r="V143" i="35"/>
  <c r="V142" i="35"/>
  <c r="V139" i="35"/>
  <c r="V129" i="35"/>
  <c r="U143" i="35"/>
  <c r="U142" i="35"/>
  <c r="U139" i="35"/>
  <c r="U137" i="35"/>
  <c r="U129" i="35"/>
  <c r="T143" i="35" l="1"/>
  <c r="T142" i="35"/>
  <c r="T139" i="35"/>
  <c r="T129" i="35"/>
  <c r="S142" i="35" l="1"/>
  <c r="S137" i="35"/>
  <c r="S129" i="35"/>
  <c r="R143" i="35" l="1"/>
  <c r="R142" i="35"/>
  <c r="R129" i="35"/>
  <c r="Q143" i="35" l="1"/>
  <c r="Q142" i="35"/>
  <c r="Q129" i="35"/>
  <c r="AG187" i="35" l="1"/>
  <c r="P143" i="35"/>
  <c r="P142" i="35"/>
  <c r="P129" i="35"/>
  <c r="O134" i="35"/>
  <c r="O143" i="35"/>
  <c r="O142" i="35"/>
  <c r="M187" i="25" l="1"/>
  <c r="N187" i="25" s="1"/>
  <c r="N143" i="35"/>
  <c r="N142" i="35"/>
  <c r="N134" i="35"/>
  <c r="N129" i="35"/>
  <c r="M143" i="35" l="1"/>
  <c r="M142" i="35"/>
  <c r="M138" i="35"/>
  <c r="M139" i="35"/>
  <c r="M133" i="35"/>
  <c r="M134" i="35"/>
  <c r="M129" i="35"/>
  <c r="L143" i="35"/>
  <c r="L142" i="35"/>
  <c r="L129" i="35"/>
  <c r="K143" i="35" l="1"/>
  <c r="K142" i="35"/>
  <c r="K134" i="35"/>
  <c r="K129" i="35"/>
  <c r="J143" i="35" l="1"/>
  <c r="J142" i="35"/>
  <c r="J134" i="35"/>
  <c r="J139" i="35"/>
  <c r="J129" i="35"/>
  <c r="J86" i="35"/>
  <c r="I143" i="35"/>
  <c r="I142" i="35"/>
  <c r="I134" i="35"/>
  <c r="I137" i="35"/>
  <c r="I129" i="35"/>
  <c r="H143" i="35"/>
  <c r="H142" i="35"/>
  <c r="H137" i="35"/>
  <c r="H129" i="35"/>
  <c r="G143" i="35"/>
  <c r="G142" i="35"/>
  <c r="G139" i="35"/>
  <c r="G137" i="35"/>
  <c r="G129" i="35"/>
  <c r="F134" i="35"/>
  <c r="F143" i="35"/>
  <c r="F142" i="35"/>
  <c r="F137" i="35"/>
  <c r="F129" i="35"/>
  <c r="E143" i="35"/>
  <c r="E142" i="35"/>
  <c r="E139" i="35"/>
  <c r="E134" i="35"/>
  <c r="E137" i="35"/>
  <c r="D143" i="35"/>
  <c r="D142" i="35"/>
  <c r="D137" i="35"/>
  <c r="D129" i="35"/>
  <c r="C143" i="35" l="1"/>
  <c r="C142" i="35"/>
  <c r="C137" i="35"/>
  <c r="C129" i="35" l="1"/>
  <c r="B143" i="35"/>
  <c r="B134" i="35"/>
  <c r="B142" i="35"/>
  <c r="B139" i="35"/>
  <c r="B129" i="35"/>
  <c r="AG129" i="35" s="1"/>
  <c r="M129" i="25" s="1"/>
  <c r="AG238" i="35"/>
  <c r="M238" i="25" s="1"/>
  <c r="AG237" i="35"/>
  <c r="M237" i="25" s="1"/>
  <c r="AG233" i="35"/>
  <c r="M233" i="25" s="1"/>
  <c r="AF232" i="35"/>
  <c r="AE232" i="35"/>
  <c r="AD232" i="35"/>
  <c r="AC232" i="35"/>
  <c r="AB232" i="35"/>
  <c r="AA232" i="35"/>
  <c r="Z232" i="35"/>
  <c r="Y232" i="35"/>
  <c r="X232" i="35"/>
  <c r="W232" i="35"/>
  <c r="V232" i="35"/>
  <c r="U232" i="35"/>
  <c r="T232" i="35"/>
  <c r="S232" i="35"/>
  <c r="R232" i="35"/>
  <c r="Q232" i="35"/>
  <c r="P232" i="35"/>
  <c r="O232" i="35"/>
  <c r="N232" i="35"/>
  <c r="M232" i="35"/>
  <c r="L232" i="35"/>
  <c r="K232" i="35"/>
  <c r="J232" i="35"/>
  <c r="I232" i="35"/>
  <c r="H232" i="35"/>
  <c r="G232" i="35"/>
  <c r="F232" i="35"/>
  <c r="E232" i="35"/>
  <c r="D232" i="35"/>
  <c r="C232" i="35"/>
  <c r="B232" i="35"/>
  <c r="AG231" i="35"/>
  <c r="M231" i="25" s="1"/>
  <c r="AG230" i="35"/>
  <c r="M230" i="25" s="1"/>
  <c r="AG229" i="35"/>
  <c r="M229" i="25" s="1"/>
  <c r="AF228" i="35"/>
  <c r="AE228" i="35"/>
  <c r="AD228" i="35"/>
  <c r="AC228" i="35"/>
  <c r="AB228" i="35"/>
  <c r="AA228" i="35"/>
  <c r="Z228" i="35"/>
  <c r="Y228" i="35"/>
  <c r="X228" i="35"/>
  <c r="W228" i="35"/>
  <c r="V228" i="35"/>
  <c r="U228" i="35"/>
  <c r="T228" i="35"/>
  <c r="S228" i="35"/>
  <c r="R228" i="35"/>
  <c r="Q228" i="35"/>
  <c r="P228" i="35"/>
  <c r="O228" i="35"/>
  <c r="N228" i="35"/>
  <c r="M228" i="35"/>
  <c r="L228" i="35"/>
  <c r="K228" i="35"/>
  <c r="J228" i="35"/>
  <c r="I228" i="35"/>
  <c r="H228" i="35"/>
  <c r="G228" i="35"/>
  <c r="F228" i="35"/>
  <c r="E228" i="35"/>
  <c r="D228" i="35"/>
  <c r="C228" i="35"/>
  <c r="B228" i="35"/>
  <c r="AG227" i="35"/>
  <c r="M227" i="25" s="1"/>
  <c r="AG226" i="35"/>
  <c r="M226" i="25" s="1"/>
  <c r="AG225" i="35"/>
  <c r="M225" i="25" s="1"/>
  <c r="AG224" i="35"/>
  <c r="M224" i="25" s="1"/>
  <c r="AG223" i="35"/>
  <c r="M223" i="25" s="1"/>
  <c r="AG222" i="35"/>
  <c r="M222" i="25" s="1"/>
  <c r="AG221" i="35"/>
  <c r="M221" i="25" s="1"/>
  <c r="AG220" i="35"/>
  <c r="M220" i="25" s="1"/>
  <c r="AG219" i="35"/>
  <c r="M219" i="25" s="1"/>
  <c r="AG218" i="35"/>
  <c r="M218" i="25" s="1"/>
  <c r="AG217" i="35"/>
  <c r="M217" i="25" s="1"/>
  <c r="AG216" i="35"/>
  <c r="M216" i="25" s="1"/>
  <c r="AG215" i="35"/>
  <c r="M215" i="25" s="1"/>
  <c r="AG214" i="35"/>
  <c r="M214" i="25" s="1"/>
  <c r="AG213" i="35"/>
  <c r="M213" i="25" s="1"/>
  <c r="AG212" i="35"/>
  <c r="M212" i="25" s="1"/>
  <c r="AG210" i="35"/>
  <c r="M210" i="25" s="1"/>
  <c r="AG209" i="35"/>
  <c r="M209" i="25" s="1"/>
  <c r="AG208" i="35"/>
  <c r="M208" i="25" s="1"/>
  <c r="AG207" i="35"/>
  <c r="M207" i="25" s="1"/>
  <c r="AG206" i="35"/>
  <c r="M206" i="25" s="1"/>
  <c r="AF205" i="35"/>
  <c r="AE205" i="35"/>
  <c r="AD205" i="35"/>
  <c r="AC205" i="35"/>
  <c r="AB205" i="35"/>
  <c r="AA205" i="35"/>
  <c r="Z205" i="35"/>
  <c r="Y205" i="35"/>
  <c r="X205" i="35"/>
  <c r="W205" i="35"/>
  <c r="V205" i="35"/>
  <c r="U205" i="35"/>
  <c r="T205" i="35"/>
  <c r="S205" i="35"/>
  <c r="R205" i="35"/>
  <c r="Q205" i="35"/>
  <c r="P205" i="35"/>
  <c r="O205" i="35"/>
  <c r="N205" i="35"/>
  <c r="M205" i="35"/>
  <c r="L205" i="35"/>
  <c r="K205" i="35"/>
  <c r="J205" i="35"/>
  <c r="I205" i="35"/>
  <c r="H205" i="35"/>
  <c r="G205" i="35"/>
  <c r="F205" i="35"/>
  <c r="E205" i="35"/>
  <c r="D205" i="35"/>
  <c r="C205" i="35"/>
  <c r="B205" i="35"/>
  <c r="AG204" i="35"/>
  <c r="M204" i="25" s="1"/>
  <c r="AG203" i="35"/>
  <c r="M203" i="25" s="1"/>
  <c r="AG202" i="35"/>
  <c r="M202" i="25" s="1"/>
  <c r="AG201" i="35"/>
  <c r="M201" i="25" s="1"/>
  <c r="AG200" i="35"/>
  <c r="M200" i="25" s="1"/>
  <c r="AG199" i="35"/>
  <c r="M199" i="25" s="1"/>
  <c r="AG198" i="35"/>
  <c r="M198" i="25" s="1"/>
  <c r="AG197" i="35"/>
  <c r="M197" i="25" s="1"/>
  <c r="AG196" i="35"/>
  <c r="M196" i="25" s="1"/>
  <c r="AG195" i="35"/>
  <c r="M195" i="25" s="1"/>
  <c r="AG194" i="35"/>
  <c r="M194" i="25" s="1"/>
  <c r="AG193" i="35"/>
  <c r="M193" i="25" s="1"/>
  <c r="AG192" i="35"/>
  <c r="M192" i="25" s="1"/>
  <c r="AG191" i="35"/>
  <c r="M191" i="25" s="1"/>
  <c r="AG190" i="35"/>
  <c r="M190" i="25" s="1"/>
  <c r="AG189" i="35"/>
  <c r="M189" i="25" s="1"/>
  <c r="AG188" i="35"/>
  <c r="M188" i="25" s="1"/>
  <c r="AG186" i="35"/>
  <c r="M186" i="25" s="1"/>
  <c r="AG185" i="35"/>
  <c r="M185" i="25" s="1"/>
  <c r="AG184" i="35"/>
  <c r="M184" i="25" s="1"/>
  <c r="AG183" i="35"/>
  <c r="M183" i="25" s="1"/>
  <c r="AG182" i="35"/>
  <c r="M182" i="25" s="1"/>
  <c r="AG181" i="35"/>
  <c r="M181" i="25" s="1"/>
  <c r="AG180" i="35"/>
  <c r="M180" i="25" s="1"/>
  <c r="AF179" i="35"/>
  <c r="AE179" i="35"/>
  <c r="AD179" i="35"/>
  <c r="AC179" i="35"/>
  <c r="AB179" i="35"/>
  <c r="AA179" i="35"/>
  <c r="Z179" i="35"/>
  <c r="Y179" i="35"/>
  <c r="X179" i="35"/>
  <c r="W179" i="35"/>
  <c r="V179" i="35"/>
  <c r="U179" i="35"/>
  <c r="T179" i="35"/>
  <c r="S179" i="35"/>
  <c r="R179" i="35"/>
  <c r="Q179" i="35"/>
  <c r="P179" i="35"/>
  <c r="O179" i="35"/>
  <c r="N179" i="35"/>
  <c r="M179" i="35"/>
  <c r="L179" i="35"/>
  <c r="K179" i="35"/>
  <c r="J179" i="35"/>
  <c r="I179" i="35"/>
  <c r="H179" i="35"/>
  <c r="G179" i="35"/>
  <c r="F179" i="35"/>
  <c r="E179" i="35"/>
  <c r="D179" i="35"/>
  <c r="C179" i="35"/>
  <c r="B179" i="35"/>
  <c r="AG178" i="35"/>
  <c r="AG177" i="35"/>
  <c r="AG176" i="35"/>
  <c r="M176" i="25" s="1"/>
  <c r="AG175" i="35"/>
  <c r="M175" i="25" s="1"/>
  <c r="AF174" i="35"/>
  <c r="AE174" i="35"/>
  <c r="AD174" i="35"/>
  <c r="AC174" i="35"/>
  <c r="AB174" i="35"/>
  <c r="AA174" i="35"/>
  <c r="Z174" i="35"/>
  <c r="Y174" i="35"/>
  <c r="X174" i="35"/>
  <c r="W174" i="35"/>
  <c r="V174" i="35"/>
  <c r="U174" i="35"/>
  <c r="T174" i="35"/>
  <c r="S174" i="35"/>
  <c r="R174" i="35"/>
  <c r="Q174" i="35"/>
  <c r="P174" i="35"/>
  <c r="O174" i="35"/>
  <c r="N174" i="35"/>
  <c r="M174" i="35"/>
  <c r="L174" i="35"/>
  <c r="K174" i="35"/>
  <c r="J174" i="35"/>
  <c r="I174" i="35"/>
  <c r="H174" i="35"/>
  <c r="G174" i="35"/>
  <c r="F174" i="35"/>
  <c r="E174" i="35"/>
  <c r="D174" i="35"/>
  <c r="C174" i="35"/>
  <c r="B174" i="35"/>
  <c r="AG173" i="35"/>
  <c r="M173" i="25" s="1"/>
  <c r="AG172" i="35"/>
  <c r="M172" i="25" s="1"/>
  <c r="AG171" i="35"/>
  <c r="M171" i="25" s="1"/>
  <c r="AG170" i="35"/>
  <c r="M170" i="25" s="1"/>
  <c r="AG169" i="35"/>
  <c r="M169" i="25" s="1"/>
  <c r="AG168" i="35"/>
  <c r="M168" i="25" s="1"/>
  <c r="AF167" i="35"/>
  <c r="AE167" i="35"/>
  <c r="AD167" i="35"/>
  <c r="AC167" i="35"/>
  <c r="AB167" i="35"/>
  <c r="AA167" i="35"/>
  <c r="Z167" i="35"/>
  <c r="Y167" i="35"/>
  <c r="X167" i="35"/>
  <c r="W167" i="35"/>
  <c r="V167" i="35"/>
  <c r="U167" i="35"/>
  <c r="T167" i="35"/>
  <c r="S167" i="35"/>
  <c r="R167" i="35"/>
  <c r="Q167" i="35"/>
  <c r="P167" i="35"/>
  <c r="O167" i="35"/>
  <c r="N167" i="35"/>
  <c r="M167" i="35"/>
  <c r="L167" i="35"/>
  <c r="K167" i="35"/>
  <c r="J167" i="35"/>
  <c r="I167" i="35"/>
  <c r="H167" i="35"/>
  <c r="G167" i="35"/>
  <c r="F167" i="35"/>
  <c r="E167" i="35"/>
  <c r="D167" i="35"/>
  <c r="C167" i="35"/>
  <c r="B167" i="35"/>
  <c r="AG166" i="35"/>
  <c r="M166" i="25" s="1"/>
  <c r="AG165" i="35"/>
  <c r="M165" i="25" s="1"/>
  <c r="AG164" i="35"/>
  <c r="M164" i="25" s="1"/>
  <c r="AG163" i="35"/>
  <c r="M163" i="25" s="1"/>
  <c r="AG162" i="35"/>
  <c r="M162" i="25" s="1"/>
  <c r="AG161" i="35"/>
  <c r="M161" i="25" s="1"/>
  <c r="AG160" i="35"/>
  <c r="M160" i="25" s="1"/>
  <c r="AG159" i="35"/>
  <c r="M159" i="25" s="1"/>
  <c r="AF158" i="35"/>
  <c r="AE158" i="35"/>
  <c r="AD158" i="35"/>
  <c r="AC158" i="35"/>
  <c r="AB158" i="35"/>
  <c r="AA158" i="35"/>
  <c r="Z158" i="35"/>
  <c r="Y158" i="35"/>
  <c r="X158" i="35"/>
  <c r="W158" i="35"/>
  <c r="V158" i="35"/>
  <c r="U158" i="35"/>
  <c r="T158" i="35"/>
  <c r="S158" i="35"/>
  <c r="R158" i="35"/>
  <c r="Q158" i="35"/>
  <c r="P158" i="35"/>
  <c r="O158" i="35"/>
  <c r="N158" i="35"/>
  <c r="M158" i="35"/>
  <c r="L158" i="35"/>
  <c r="K158" i="35"/>
  <c r="J158" i="35"/>
  <c r="I158" i="35"/>
  <c r="H158" i="35"/>
  <c r="G158" i="35"/>
  <c r="F158" i="35"/>
  <c r="E158" i="35"/>
  <c r="D158" i="35"/>
  <c r="C158" i="35"/>
  <c r="B158" i="35"/>
  <c r="AG157" i="35"/>
  <c r="M157" i="25" s="1"/>
  <c r="AG156" i="35"/>
  <c r="M156" i="25" s="1"/>
  <c r="AG155" i="35"/>
  <c r="M155" i="25" s="1"/>
  <c r="AG154" i="35"/>
  <c r="M154" i="25" s="1"/>
  <c r="AG153" i="35"/>
  <c r="M153" i="25" s="1"/>
  <c r="AG152" i="35"/>
  <c r="M152" i="25" s="1"/>
  <c r="AG151" i="35"/>
  <c r="M151" i="25" s="1"/>
  <c r="AG150" i="35"/>
  <c r="M150" i="25" s="1"/>
  <c r="AG149" i="35"/>
  <c r="M149" i="25" s="1"/>
  <c r="AF148" i="35"/>
  <c r="AE148" i="35"/>
  <c r="AD148" i="35"/>
  <c r="AD146" i="35" s="1"/>
  <c r="AC148" i="35"/>
  <c r="AC146" i="35" s="1"/>
  <c r="AB148" i="35"/>
  <c r="AA148" i="35"/>
  <c r="Z148" i="35"/>
  <c r="Z146" i="35" s="1"/>
  <c r="Z144" i="35" s="1"/>
  <c r="Y148" i="35"/>
  <c r="Y146" i="35" s="1"/>
  <c r="Y144" i="35" s="1"/>
  <c r="X148" i="35"/>
  <c r="W148" i="35"/>
  <c r="V148" i="35"/>
  <c r="V146" i="35" s="1"/>
  <c r="V144" i="35" s="1"/>
  <c r="U148" i="35"/>
  <c r="U146" i="35" s="1"/>
  <c r="U144" i="35" s="1"/>
  <c r="T148" i="35"/>
  <c r="S148" i="35"/>
  <c r="R148" i="35"/>
  <c r="R146" i="35" s="1"/>
  <c r="R144" i="35" s="1"/>
  <c r="Q148" i="35"/>
  <c r="Q146" i="35" s="1"/>
  <c r="Q144" i="35" s="1"/>
  <c r="P148" i="35"/>
  <c r="O148" i="35"/>
  <c r="N148" i="35"/>
  <c r="N146" i="35" s="1"/>
  <c r="M148" i="35"/>
  <c r="M146" i="35" s="1"/>
  <c r="L148" i="35"/>
  <c r="K148" i="35"/>
  <c r="J148" i="35"/>
  <c r="J146" i="35" s="1"/>
  <c r="J144" i="35" s="1"/>
  <c r="I148" i="35"/>
  <c r="I146" i="35" s="1"/>
  <c r="I144" i="35" s="1"/>
  <c r="H148" i="35"/>
  <c r="G148" i="35"/>
  <c r="F148" i="35"/>
  <c r="F146" i="35" s="1"/>
  <c r="F144" i="35" s="1"/>
  <c r="E148" i="35"/>
  <c r="E146" i="35" s="1"/>
  <c r="E144" i="35" s="1"/>
  <c r="D148" i="35"/>
  <c r="C148" i="35"/>
  <c r="B148" i="35"/>
  <c r="B146" i="35" s="1"/>
  <c r="B144" i="35" s="1"/>
  <c r="AE147" i="35"/>
  <c r="AD147" i="35"/>
  <c r="AC147" i="35"/>
  <c r="AB147" i="35"/>
  <c r="AA147" i="35"/>
  <c r="Z147" i="35"/>
  <c r="Y147" i="35"/>
  <c r="X147" i="35"/>
  <c r="W147" i="35"/>
  <c r="V147" i="35"/>
  <c r="U147" i="35"/>
  <c r="T147" i="35"/>
  <c r="S147" i="35"/>
  <c r="R147" i="35"/>
  <c r="Q147" i="35"/>
  <c r="P147" i="35"/>
  <c r="O147" i="35"/>
  <c r="N147" i="35"/>
  <c r="M147" i="35"/>
  <c r="L147" i="35"/>
  <c r="K147" i="35"/>
  <c r="J147" i="35"/>
  <c r="I147" i="35"/>
  <c r="H147" i="35"/>
  <c r="G147" i="35"/>
  <c r="F147" i="35"/>
  <c r="E147" i="35"/>
  <c r="D147" i="35"/>
  <c r="C147" i="35"/>
  <c r="B147" i="35"/>
  <c r="AF146" i="35"/>
  <c r="AE146" i="35"/>
  <c r="AE144" i="35" s="1"/>
  <c r="AB146" i="35"/>
  <c r="AA146" i="35"/>
  <c r="AA144" i="35" s="1"/>
  <c r="X146" i="35"/>
  <c r="W146" i="35"/>
  <c r="W144" i="35" s="1"/>
  <c r="T146" i="35"/>
  <c r="S146" i="35"/>
  <c r="P146" i="35"/>
  <c r="O146" i="35"/>
  <c r="O144" i="35" s="1"/>
  <c r="L146" i="35"/>
  <c r="K146" i="35"/>
  <c r="K144" i="35" s="1"/>
  <c r="H146" i="35"/>
  <c r="G146" i="35"/>
  <c r="G144" i="35" s="1"/>
  <c r="D146" i="35"/>
  <c r="C146" i="35"/>
  <c r="C144" i="35" s="1"/>
  <c r="AF145" i="35"/>
  <c r="AE145" i="35"/>
  <c r="AD145" i="35"/>
  <c r="AC145" i="35"/>
  <c r="AB145" i="35"/>
  <c r="AA145" i="35"/>
  <c r="Z145" i="35"/>
  <c r="Y145" i="35"/>
  <c r="X145" i="35"/>
  <c r="W145" i="35"/>
  <c r="V145" i="35"/>
  <c r="U145" i="35"/>
  <c r="T145" i="35"/>
  <c r="S145" i="35"/>
  <c r="R145" i="35"/>
  <c r="Q145" i="35"/>
  <c r="P145" i="35"/>
  <c r="O145" i="35"/>
  <c r="N145" i="35"/>
  <c r="M145" i="35"/>
  <c r="L145" i="35"/>
  <c r="K145" i="35"/>
  <c r="J145" i="35"/>
  <c r="I145" i="35"/>
  <c r="H145" i="35"/>
  <c r="G145" i="35"/>
  <c r="F145" i="35"/>
  <c r="E145" i="35"/>
  <c r="D145" i="35"/>
  <c r="C145" i="35"/>
  <c r="B145" i="35"/>
  <c r="AC144" i="35"/>
  <c r="AG143" i="35"/>
  <c r="M143" i="25" s="1"/>
  <c r="AG142" i="35"/>
  <c r="M142" i="25" s="1"/>
  <c r="AG141" i="35"/>
  <c r="M141" i="25" s="1"/>
  <c r="AG140" i="35"/>
  <c r="M140" i="25" s="1"/>
  <c r="AG139" i="35"/>
  <c r="M139" i="25" s="1"/>
  <c r="AG138" i="35"/>
  <c r="M138" i="25" s="1"/>
  <c r="AG137" i="35"/>
  <c r="M137" i="25" s="1"/>
  <c r="AG136" i="35"/>
  <c r="M136" i="25" s="1"/>
  <c r="AG135" i="35"/>
  <c r="M135" i="25" s="1"/>
  <c r="AG134" i="35"/>
  <c r="M134" i="25" s="1"/>
  <c r="AG133" i="35"/>
  <c r="M133" i="25" s="1"/>
  <c r="AG132" i="35"/>
  <c r="M132" i="25" s="1"/>
  <c r="AG131" i="35"/>
  <c r="M131" i="25" s="1"/>
  <c r="AF130" i="35"/>
  <c r="AE130" i="35"/>
  <c r="AD130" i="35"/>
  <c r="AC130" i="35"/>
  <c r="AB130" i="35"/>
  <c r="AA130" i="35"/>
  <c r="Z130" i="35"/>
  <c r="Y130" i="35"/>
  <c r="X130" i="35"/>
  <c r="W130" i="35"/>
  <c r="V130" i="35"/>
  <c r="U130" i="35"/>
  <c r="T130" i="35"/>
  <c r="S130" i="35"/>
  <c r="R130" i="35"/>
  <c r="Q130" i="35"/>
  <c r="P130" i="35"/>
  <c r="O130" i="35"/>
  <c r="N130" i="35"/>
  <c r="M130" i="35"/>
  <c r="L130" i="35"/>
  <c r="K130" i="35"/>
  <c r="J130" i="35"/>
  <c r="I130" i="35"/>
  <c r="H130" i="35"/>
  <c r="G130" i="35"/>
  <c r="F130" i="35"/>
  <c r="E130" i="35"/>
  <c r="D130" i="35"/>
  <c r="C130" i="35"/>
  <c r="B130" i="35"/>
  <c r="AG128" i="35"/>
  <c r="M128" i="25" s="1"/>
  <c r="AG127" i="35"/>
  <c r="M127" i="25" s="1"/>
  <c r="AG126" i="35"/>
  <c r="M126" i="25" s="1"/>
  <c r="AG125" i="35"/>
  <c r="M125" i="25" s="1"/>
  <c r="AG124" i="35"/>
  <c r="M124" i="25" s="1"/>
  <c r="AG123" i="35"/>
  <c r="M123" i="25" s="1"/>
  <c r="AG122" i="35"/>
  <c r="M122" i="25" s="1"/>
  <c r="AG121" i="35"/>
  <c r="M121" i="25" s="1"/>
  <c r="AG120" i="35"/>
  <c r="M120" i="25" s="1"/>
  <c r="AG119" i="35"/>
  <c r="M119" i="25" s="1"/>
  <c r="AG118" i="35"/>
  <c r="M118" i="25" s="1"/>
  <c r="AG117" i="35"/>
  <c r="M117" i="25" s="1"/>
  <c r="AF116" i="35"/>
  <c r="AE116" i="35"/>
  <c r="AD116" i="35"/>
  <c r="AC116" i="35"/>
  <c r="AB116" i="35"/>
  <c r="AA116" i="35"/>
  <c r="Z116" i="35"/>
  <c r="Y116" i="35"/>
  <c r="X116" i="35"/>
  <c r="W116" i="35"/>
  <c r="V116" i="35"/>
  <c r="U116" i="35"/>
  <c r="T116" i="35"/>
  <c r="S116" i="35"/>
  <c r="R116" i="35"/>
  <c r="Q116" i="35"/>
  <c r="P116" i="35"/>
  <c r="O116" i="35"/>
  <c r="N116" i="35"/>
  <c r="M116" i="35"/>
  <c r="L116" i="35"/>
  <c r="K116" i="35"/>
  <c r="J116" i="35"/>
  <c r="I116" i="35"/>
  <c r="H116" i="35"/>
  <c r="G116" i="35"/>
  <c r="F116" i="35"/>
  <c r="E116" i="35"/>
  <c r="D116" i="35"/>
  <c r="C116" i="35"/>
  <c r="B116" i="35"/>
  <c r="AG115" i="35"/>
  <c r="AG114" i="35"/>
  <c r="M114" i="25" s="1"/>
  <c r="AG113" i="35"/>
  <c r="M113" i="25" s="1"/>
  <c r="AG112" i="35"/>
  <c r="M112" i="25" s="1"/>
  <c r="AG111" i="35"/>
  <c r="M111" i="25" s="1"/>
  <c r="AG110" i="35"/>
  <c r="M110" i="25" s="1"/>
  <c r="AG109" i="35"/>
  <c r="M109" i="25" s="1"/>
  <c r="AG108" i="35"/>
  <c r="M108" i="25" s="1"/>
  <c r="AG107" i="35"/>
  <c r="M107" i="25" s="1"/>
  <c r="AG106" i="35"/>
  <c r="M106" i="25" s="1"/>
  <c r="AG105" i="35"/>
  <c r="M105" i="25" s="1"/>
  <c r="AG104" i="35"/>
  <c r="M104" i="25" s="1"/>
  <c r="AG103" i="35"/>
  <c r="M103" i="25" s="1"/>
  <c r="AG102" i="35"/>
  <c r="M102" i="25" s="1"/>
  <c r="AG101" i="35"/>
  <c r="M101" i="25" s="1"/>
  <c r="AF100" i="35"/>
  <c r="AE100" i="35"/>
  <c r="AD100" i="35"/>
  <c r="AC100" i="35"/>
  <c r="AB100" i="35"/>
  <c r="AA100" i="35"/>
  <c r="Z100" i="35"/>
  <c r="Y100" i="35"/>
  <c r="X100" i="35"/>
  <c r="W100" i="35"/>
  <c r="V100" i="35"/>
  <c r="U100" i="35"/>
  <c r="T100" i="35"/>
  <c r="S100" i="35"/>
  <c r="R100" i="35"/>
  <c r="Q100" i="35"/>
  <c r="P100" i="35"/>
  <c r="O100" i="35"/>
  <c r="N100" i="35"/>
  <c r="M100" i="35"/>
  <c r="L100" i="35"/>
  <c r="K100" i="35"/>
  <c r="J100" i="35"/>
  <c r="I100" i="35"/>
  <c r="H100" i="35"/>
  <c r="G100" i="35"/>
  <c r="F100" i="35"/>
  <c r="E100" i="35"/>
  <c r="D100" i="35"/>
  <c r="C100" i="35"/>
  <c r="B100" i="35"/>
  <c r="AG99" i="35"/>
  <c r="M99" i="25" s="1"/>
  <c r="AG98" i="35"/>
  <c r="M98" i="25" s="1"/>
  <c r="AG97" i="35"/>
  <c r="M97" i="25" s="1"/>
  <c r="AG96" i="35"/>
  <c r="M96" i="25" s="1"/>
  <c r="AG95" i="35"/>
  <c r="M95" i="25" s="1"/>
  <c r="AF94" i="35"/>
  <c r="AE94" i="35"/>
  <c r="AE93" i="35" s="1"/>
  <c r="AD94" i="35"/>
  <c r="AC94" i="35"/>
  <c r="AC93" i="35" s="1"/>
  <c r="AB94" i="35"/>
  <c r="AA94" i="35"/>
  <c r="AA93" i="35" s="1"/>
  <c r="Z94" i="35"/>
  <c r="Y94" i="35"/>
  <c r="Y93" i="35" s="1"/>
  <c r="X94" i="35"/>
  <c r="W94" i="35"/>
  <c r="W93" i="35" s="1"/>
  <c r="V94" i="35"/>
  <c r="U94" i="35"/>
  <c r="U93" i="35" s="1"/>
  <c r="T94" i="35"/>
  <c r="T93" i="35" s="1"/>
  <c r="S94" i="35"/>
  <c r="S93" i="35" s="1"/>
  <c r="R94" i="35"/>
  <c r="Q94" i="35"/>
  <c r="Q93" i="35" s="1"/>
  <c r="P94" i="35"/>
  <c r="P93" i="35" s="1"/>
  <c r="O94" i="35"/>
  <c r="O93" i="35" s="1"/>
  <c r="N94" i="35"/>
  <c r="M94" i="35"/>
  <c r="L94" i="35"/>
  <c r="L93" i="35" s="1"/>
  <c r="K94" i="35"/>
  <c r="K93" i="35" s="1"/>
  <c r="J94" i="35"/>
  <c r="I94" i="35"/>
  <c r="I93" i="35" s="1"/>
  <c r="H94" i="35"/>
  <c r="G94" i="35"/>
  <c r="G93" i="35" s="1"/>
  <c r="F94" i="35"/>
  <c r="E94" i="35"/>
  <c r="E93" i="35" s="1"/>
  <c r="D94" i="35"/>
  <c r="D93" i="35" s="1"/>
  <c r="C94" i="35"/>
  <c r="B94" i="35"/>
  <c r="AF93" i="35"/>
  <c r="AB93" i="35"/>
  <c r="M93" i="35"/>
  <c r="AG92" i="35"/>
  <c r="M92" i="25" s="1"/>
  <c r="AG91" i="35"/>
  <c r="M91" i="25" s="1"/>
  <c r="AG90" i="35"/>
  <c r="M90" i="25" s="1"/>
  <c r="AG89" i="35"/>
  <c r="M89" i="25" s="1"/>
  <c r="AG88" i="35"/>
  <c r="M88" i="25" s="1"/>
  <c r="AF87" i="35"/>
  <c r="AE87" i="35"/>
  <c r="AD87" i="35"/>
  <c r="AC87" i="35"/>
  <c r="AB87" i="35"/>
  <c r="AA87" i="35"/>
  <c r="Z87" i="35"/>
  <c r="Y87" i="35"/>
  <c r="X87" i="35"/>
  <c r="W87" i="35"/>
  <c r="V87" i="35"/>
  <c r="U87" i="35"/>
  <c r="T87" i="35"/>
  <c r="S87" i="35"/>
  <c r="R87" i="35"/>
  <c r="Q87" i="35"/>
  <c r="P87" i="35"/>
  <c r="O87" i="35"/>
  <c r="N87" i="35"/>
  <c r="M87" i="35"/>
  <c r="L87" i="35"/>
  <c r="K87" i="35"/>
  <c r="J87" i="35"/>
  <c r="I87" i="35"/>
  <c r="H87" i="35"/>
  <c r="G87" i="35"/>
  <c r="F87" i="35"/>
  <c r="E87" i="35"/>
  <c r="D87" i="35"/>
  <c r="C87" i="35"/>
  <c r="B87" i="35"/>
  <c r="AG86" i="35"/>
  <c r="M86" i="25" s="1"/>
  <c r="AG85" i="35"/>
  <c r="M85" i="25" s="1"/>
  <c r="AF84" i="35"/>
  <c r="AE84" i="35"/>
  <c r="AD84" i="35"/>
  <c r="AC84" i="35"/>
  <c r="AB84" i="35"/>
  <c r="AA84" i="35"/>
  <c r="Z84" i="35"/>
  <c r="Y84" i="35"/>
  <c r="X84" i="35"/>
  <c r="W84" i="35"/>
  <c r="V84" i="35"/>
  <c r="U84" i="35"/>
  <c r="T84" i="35"/>
  <c r="S84" i="35"/>
  <c r="R84" i="35"/>
  <c r="Q84" i="35"/>
  <c r="P84" i="35"/>
  <c r="O84" i="35"/>
  <c r="N84" i="35"/>
  <c r="M84" i="35"/>
  <c r="L84" i="35"/>
  <c r="K84" i="35"/>
  <c r="J84" i="35"/>
  <c r="I84" i="35"/>
  <c r="H84" i="35"/>
  <c r="G84" i="35"/>
  <c r="F84" i="35"/>
  <c r="E84" i="35"/>
  <c r="D84" i="35"/>
  <c r="C84" i="35"/>
  <c r="B84" i="35"/>
  <c r="AD83" i="35"/>
  <c r="AD81" i="35" s="1"/>
  <c r="Z83" i="35"/>
  <c r="V83" i="35"/>
  <c r="V81" i="35" s="1"/>
  <c r="N83" i="35"/>
  <c r="N81" i="35" s="1"/>
  <c r="I83" i="35"/>
  <c r="E83" i="35"/>
  <c r="AF82" i="35"/>
  <c r="AF83" i="35" s="1"/>
  <c r="AF81" i="35" s="1"/>
  <c r="AE82" i="35"/>
  <c r="AE83" i="35" s="1"/>
  <c r="AE81" i="35" s="1"/>
  <c r="AB82" i="35"/>
  <c r="AB83" i="35" s="1"/>
  <c r="AB81" i="35" s="1"/>
  <c r="AA82" i="35"/>
  <c r="AA83" i="35" s="1"/>
  <c r="Y82" i="35"/>
  <c r="Y83" i="35" s="1"/>
  <c r="X82" i="35"/>
  <c r="X83" i="35" s="1"/>
  <c r="X81" i="35" s="1"/>
  <c r="W83" i="35"/>
  <c r="U82" i="35"/>
  <c r="U83" i="35" s="1"/>
  <c r="T82" i="35"/>
  <c r="T83" i="35" s="1"/>
  <c r="S82" i="35"/>
  <c r="R82" i="35"/>
  <c r="R83" i="35" s="1"/>
  <c r="R81" i="35" s="1"/>
  <c r="Q82" i="35"/>
  <c r="P83" i="35"/>
  <c r="P81" i="35" s="1"/>
  <c r="O83" i="35"/>
  <c r="O81" i="35" s="1"/>
  <c r="N82" i="35"/>
  <c r="M82" i="35"/>
  <c r="L82" i="35"/>
  <c r="L83" i="35" s="1"/>
  <c r="L81" i="35" s="1"/>
  <c r="K82" i="35"/>
  <c r="K83" i="35" s="1"/>
  <c r="J82" i="35"/>
  <c r="J83" i="35" s="1"/>
  <c r="J81" i="35" s="1"/>
  <c r="H83" i="35"/>
  <c r="H81" i="35" s="1"/>
  <c r="G82" i="35"/>
  <c r="G83" i="35" s="1"/>
  <c r="F82" i="35"/>
  <c r="F83" i="35" s="1"/>
  <c r="F81" i="35" s="1"/>
  <c r="E82" i="35"/>
  <c r="D82" i="35"/>
  <c r="D83" i="35" s="1"/>
  <c r="D81" i="35" s="1"/>
  <c r="C82" i="35"/>
  <c r="B83" i="35"/>
  <c r="Z81" i="35"/>
  <c r="T81" i="35"/>
  <c r="AF80" i="35"/>
  <c r="AF79" i="35" s="1"/>
  <c r="AF78" i="35" s="1"/>
  <c r="AC80" i="35"/>
  <c r="AC79" i="35" s="1"/>
  <c r="AC78" i="35" s="1"/>
  <c r="AB80" i="35"/>
  <c r="AA80" i="35"/>
  <c r="Y80" i="35"/>
  <c r="Y79" i="35" s="1"/>
  <c r="Y78" i="35" s="1"/>
  <c r="V80" i="35"/>
  <c r="V79" i="35" s="1"/>
  <c r="V78" i="35" s="1"/>
  <c r="U80" i="35"/>
  <c r="T80" i="35"/>
  <c r="T79" i="35" s="1"/>
  <c r="T78" i="35" s="1"/>
  <c r="S80" i="35"/>
  <c r="R80" i="35"/>
  <c r="R79" i="35" s="1"/>
  <c r="R78" i="35" s="1"/>
  <c r="O80" i="35"/>
  <c r="N80" i="35"/>
  <c r="M80" i="35"/>
  <c r="M79" i="35" s="1"/>
  <c r="M78" i="35" s="1"/>
  <c r="H80" i="35"/>
  <c r="H79" i="35" s="1"/>
  <c r="H78" i="35" s="1"/>
  <c r="G80" i="35"/>
  <c r="G79" i="35" s="1"/>
  <c r="G78" i="35" s="1"/>
  <c r="F80" i="35"/>
  <c r="F79" i="35" s="1"/>
  <c r="F78" i="35" s="1"/>
  <c r="AE79" i="35"/>
  <c r="AE78" i="35" s="1"/>
  <c r="AD79" i="35"/>
  <c r="AB79" i="35"/>
  <c r="AB78" i="35" s="1"/>
  <c r="AA79" i="35"/>
  <c r="Z79" i="35"/>
  <c r="X79" i="35"/>
  <c r="X78" i="35" s="1"/>
  <c r="W79" i="35"/>
  <c r="W78" i="35" s="1"/>
  <c r="U79" i="35"/>
  <c r="U78" i="35" s="1"/>
  <c r="S79" i="35"/>
  <c r="S78" i="35" s="1"/>
  <c r="Q79" i="35"/>
  <c r="P79" i="35"/>
  <c r="P78" i="35" s="1"/>
  <c r="O79" i="35"/>
  <c r="O78" i="35" s="1"/>
  <c r="N79" i="35"/>
  <c r="N78" i="35" s="1"/>
  <c r="L79" i="35"/>
  <c r="K79" i="35"/>
  <c r="K78" i="35" s="1"/>
  <c r="J79" i="35"/>
  <c r="I79" i="35"/>
  <c r="E79" i="35"/>
  <c r="E78" i="35" s="1"/>
  <c r="D79" i="35"/>
  <c r="D78" i="35" s="1"/>
  <c r="C79" i="35"/>
  <c r="C78" i="35" s="1"/>
  <c r="B79" i="35"/>
  <c r="B78" i="35" s="1"/>
  <c r="AD78" i="35"/>
  <c r="AA78" i="35"/>
  <c r="Z78" i="35"/>
  <c r="Q78" i="35"/>
  <c r="L78" i="35"/>
  <c r="J78" i="35"/>
  <c r="I78" i="35"/>
  <c r="AG77" i="35"/>
  <c r="M77" i="25" s="1"/>
  <c r="AG76" i="35"/>
  <c r="M76" i="25" s="1"/>
  <c r="AG75" i="35"/>
  <c r="M75" i="25" s="1"/>
  <c r="AG74" i="35"/>
  <c r="M74" i="25" s="1"/>
  <c r="AG73" i="35"/>
  <c r="M73" i="25" s="1"/>
  <c r="AG72" i="35"/>
  <c r="M72" i="25" s="1"/>
  <c r="AG71" i="35"/>
  <c r="M71" i="25" s="1"/>
  <c r="AG70" i="35"/>
  <c r="M70" i="25" s="1"/>
  <c r="AG69" i="35"/>
  <c r="M69" i="25" s="1"/>
  <c r="AG68" i="35"/>
  <c r="M68" i="25" s="1"/>
  <c r="AG67" i="35"/>
  <c r="M67" i="25" s="1"/>
  <c r="AG66" i="35"/>
  <c r="M66" i="25" s="1"/>
  <c r="AG65" i="35"/>
  <c r="M65" i="25" s="1"/>
  <c r="AG64" i="35"/>
  <c r="M64" i="25" s="1"/>
  <c r="AG63" i="35"/>
  <c r="M63" i="25" s="1"/>
  <c r="AG62" i="35"/>
  <c r="M62" i="25" s="1"/>
  <c r="AG61" i="35"/>
  <c r="M61" i="25" s="1"/>
  <c r="AG60" i="35"/>
  <c r="M60" i="25" s="1"/>
  <c r="AG59" i="35"/>
  <c r="M59" i="25" s="1"/>
  <c r="AG58" i="35"/>
  <c r="M58" i="25" s="1"/>
  <c r="AG57" i="35"/>
  <c r="M57" i="25" s="1"/>
  <c r="AG56" i="35"/>
  <c r="M56" i="25" s="1"/>
  <c r="AG55" i="35"/>
  <c r="M55" i="25" s="1"/>
  <c r="AG54" i="35"/>
  <c r="M54" i="25" s="1"/>
  <c r="AF53" i="35"/>
  <c r="AE53" i="35"/>
  <c r="AD53" i="35"/>
  <c r="AC53" i="35"/>
  <c r="AB53" i="35"/>
  <c r="AA53" i="35"/>
  <c r="Z53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AG52" i="35"/>
  <c r="M52" i="25" s="1"/>
  <c r="AG51" i="35"/>
  <c r="M51" i="25" s="1"/>
  <c r="AG50" i="35"/>
  <c r="M50" i="25" s="1"/>
  <c r="AG49" i="35"/>
  <c r="M49" i="25" s="1"/>
  <c r="AG48" i="35"/>
  <c r="M48" i="25" s="1"/>
  <c r="AG47" i="35"/>
  <c r="M47" i="25" s="1"/>
  <c r="AG46" i="35"/>
  <c r="M46" i="25" s="1"/>
  <c r="AG45" i="35"/>
  <c r="M45" i="25" s="1"/>
  <c r="AG44" i="35"/>
  <c r="M44" i="25" s="1"/>
  <c r="AG43" i="35"/>
  <c r="M43" i="25" s="1"/>
  <c r="AG42" i="35"/>
  <c r="M42" i="25" s="1"/>
  <c r="AG41" i="35"/>
  <c r="M41" i="25" s="1"/>
  <c r="AG40" i="35"/>
  <c r="M40" i="25" s="1"/>
  <c r="AG39" i="35"/>
  <c r="M39" i="25" s="1"/>
  <c r="AG38" i="35"/>
  <c r="M38" i="25" s="1"/>
  <c r="AG37" i="35"/>
  <c r="M37" i="25" s="1"/>
  <c r="AG36" i="35"/>
  <c r="M36" i="25" s="1"/>
  <c r="AG35" i="35"/>
  <c r="M35" i="25" s="1"/>
  <c r="AG34" i="35"/>
  <c r="M34" i="25" s="1"/>
  <c r="AG33" i="35"/>
  <c r="M33" i="25" s="1"/>
  <c r="AG32" i="35"/>
  <c r="M32" i="25" s="1"/>
  <c r="AG31" i="35"/>
  <c r="M31" i="25" s="1"/>
  <c r="AG30" i="35"/>
  <c r="M30" i="25" s="1"/>
  <c r="AG29" i="35"/>
  <c r="M29" i="25" s="1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G27" i="35"/>
  <c r="M27" i="25" s="1"/>
  <c r="AG26" i="35"/>
  <c r="M26" i="25" s="1"/>
  <c r="AG25" i="35"/>
  <c r="M25" i="25" s="1"/>
  <c r="AG24" i="35"/>
  <c r="M24" i="25" s="1"/>
  <c r="AG23" i="35"/>
  <c r="M23" i="25" s="1"/>
  <c r="AG22" i="35"/>
  <c r="M22" i="25" s="1"/>
  <c r="AG21" i="35"/>
  <c r="M21" i="25" s="1"/>
  <c r="AG20" i="35"/>
  <c r="M20" i="25" s="1"/>
  <c r="AG19" i="35"/>
  <c r="M19" i="25" s="1"/>
  <c r="AG18" i="35"/>
  <c r="M18" i="25" s="1"/>
  <c r="AG17" i="35"/>
  <c r="M17" i="25" s="1"/>
  <c r="AG16" i="35"/>
  <c r="M16" i="25" s="1"/>
  <c r="AG15" i="35"/>
  <c r="M15" i="25" s="1"/>
  <c r="AG14" i="35"/>
  <c r="M14" i="25" s="1"/>
  <c r="AG13" i="35"/>
  <c r="M13" i="25" s="1"/>
  <c r="AG12" i="35"/>
  <c r="M12" i="25" s="1"/>
  <c r="AG11" i="35"/>
  <c r="M11" i="25" s="1"/>
  <c r="AG10" i="35"/>
  <c r="M10" i="25" s="1"/>
  <c r="AG9" i="35"/>
  <c r="M9" i="25" s="1"/>
  <c r="AG8" i="35"/>
  <c r="M8" i="25" s="1"/>
  <c r="AG7" i="35"/>
  <c r="M7" i="25" s="1"/>
  <c r="AG6" i="35"/>
  <c r="M6" i="25" s="1"/>
  <c r="AG5" i="35"/>
  <c r="M5" i="25" s="1"/>
  <c r="AG4" i="35"/>
  <c r="M4" i="25" s="1"/>
  <c r="AF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C2" i="35"/>
  <c r="C2" i="35"/>
  <c r="D2" i="35" s="1"/>
  <c r="E2" i="35" s="1"/>
  <c r="F2" i="35" s="1"/>
  <c r="G2" i="35" s="1"/>
  <c r="H2" i="35" s="1"/>
  <c r="I2" i="35" s="1"/>
  <c r="J2" i="35" s="1"/>
  <c r="K2" i="35" s="1"/>
  <c r="L2" i="35" s="1"/>
  <c r="M2" i="35" s="1"/>
  <c r="N2" i="35" s="1"/>
  <c r="O2" i="35" s="1"/>
  <c r="P2" i="35" s="1"/>
  <c r="Q2" i="35" s="1"/>
  <c r="R2" i="35" s="1"/>
  <c r="S2" i="35" s="1"/>
  <c r="T2" i="35" s="1"/>
  <c r="U2" i="35" s="1"/>
  <c r="V2" i="35" s="1"/>
  <c r="W2" i="35" s="1"/>
  <c r="X2" i="35" s="1"/>
  <c r="Y2" i="35" s="1"/>
  <c r="Z2" i="35" s="1"/>
  <c r="AA2" i="35" s="1"/>
  <c r="AG228" i="35" l="1"/>
  <c r="M228" i="25" s="1"/>
  <c r="D144" i="35"/>
  <c r="H144" i="35"/>
  <c r="L144" i="35"/>
  <c r="P144" i="35"/>
  <c r="T144" i="35"/>
  <c r="X144" i="35"/>
  <c r="AF144" i="35"/>
  <c r="H93" i="35"/>
  <c r="AG232" i="35"/>
  <c r="M232" i="25" s="1"/>
  <c r="AD144" i="35"/>
  <c r="AD93" i="35"/>
  <c r="AB144" i="35"/>
  <c r="Z93" i="35"/>
  <c r="X93" i="35"/>
  <c r="V93" i="35"/>
  <c r="S144" i="35"/>
  <c r="R93" i="35"/>
  <c r="M144" i="35"/>
  <c r="AG147" i="35"/>
  <c r="M147" i="25" s="1"/>
  <c r="N144" i="35"/>
  <c r="AG167" i="35"/>
  <c r="M167" i="25" s="1"/>
  <c r="N93" i="35"/>
  <c r="J93" i="35"/>
  <c r="F93" i="35"/>
  <c r="AG205" i="35"/>
  <c r="M205" i="25" s="1"/>
  <c r="AG174" i="35"/>
  <c r="M174" i="25" s="1"/>
  <c r="AG130" i="35"/>
  <c r="M130" i="25" s="1"/>
  <c r="AG100" i="35"/>
  <c r="M100" i="25" s="1"/>
  <c r="AG179" i="35"/>
  <c r="M179" i="25" s="1"/>
  <c r="AG145" i="35"/>
  <c r="M145" i="25" s="1"/>
  <c r="AG84" i="35"/>
  <c r="M84" i="25" s="1"/>
  <c r="AG53" i="35"/>
  <c r="M53" i="25" s="1"/>
  <c r="AG28" i="35"/>
  <c r="M28" i="25" s="1"/>
  <c r="AG3" i="35"/>
  <c r="M3" i="25" s="1"/>
  <c r="B81" i="35"/>
  <c r="AG78" i="35"/>
  <c r="M78" i="25" s="1"/>
  <c r="C83" i="35"/>
  <c r="S83" i="35"/>
  <c r="S81" i="35" s="1"/>
  <c r="AG148" i="35"/>
  <c r="M148" i="25" s="1"/>
  <c r="AG79" i="35"/>
  <c r="M79" i="25" s="1"/>
  <c r="K81" i="35"/>
  <c r="AA81" i="35"/>
  <c r="C93" i="35"/>
  <c r="AG94" i="35"/>
  <c r="M94" i="25" s="1"/>
  <c r="AG80" i="35"/>
  <c r="M80" i="25" s="1"/>
  <c r="G81" i="35"/>
  <c r="W81" i="35"/>
  <c r="E81" i="35"/>
  <c r="I81" i="35"/>
  <c r="U81" i="35"/>
  <c r="Y81" i="35"/>
  <c r="AG82" i="35"/>
  <c r="M82" i="25" s="1"/>
  <c r="Q83" i="35"/>
  <c r="Q81" i="35" s="1"/>
  <c r="AG87" i="35"/>
  <c r="M87" i="25" s="1"/>
  <c r="M83" i="35"/>
  <c r="M81" i="35" s="1"/>
  <c r="AC83" i="35"/>
  <c r="AC81" i="35" s="1"/>
  <c r="B93" i="35"/>
  <c r="AG116" i="35"/>
  <c r="M116" i="25" s="1"/>
  <c r="AG158" i="35"/>
  <c r="M158" i="25" s="1"/>
  <c r="AE143" i="34"/>
  <c r="AE142" i="34"/>
  <c r="AE139" i="34"/>
  <c r="AE129" i="34"/>
  <c r="AD134" i="34"/>
  <c r="AD143" i="34"/>
  <c r="AD142" i="34"/>
  <c r="AD139" i="34"/>
  <c r="AD129" i="34"/>
  <c r="AC143" i="34"/>
  <c r="AC142" i="34"/>
  <c r="AC139" i="34"/>
  <c r="AC134" i="34"/>
  <c r="AC129" i="34"/>
  <c r="AB143" i="34"/>
  <c r="AB142" i="34"/>
  <c r="AB137" i="34"/>
  <c r="AB129" i="34"/>
  <c r="AG144" i="35" l="1"/>
  <c r="M144" i="25" s="1"/>
  <c r="AG146" i="35"/>
  <c r="M146" i="25" s="1"/>
  <c r="AG83" i="35"/>
  <c r="M83" i="25" s="1"/>
  <c r="AG93" i="35"/>
  <c r="AH87" i="35"/>
  <c r="C81" i="35"/>
  <c r="AG81" i="35" s="1"/>
  <c r="AH84" i="35"/>
  <c r="AA143" i="34"/>
  <c r="AA142" i="34"/>
  <c r="AA137" i="34"/>
  <c r="AA129" i="34"/>
  <c r="Z143" i="34"/>
  <c r="Z134" i="34"/>
  <c r="Z142" i="34"/>
  <c r="Z139" i="34"/>
  <c r="Z137" i="34"/>
  <c r="Z129" i="34"/>
  <c r="AH144" i="35" l="1"/>
  <c r="M93" i="25"/>
  <c r="AH81" i="35"/>
  <c r="M81" i="25"/>
  <c r="AH93" i="35"/>
  <c r="AH130" i="35"/>
  <c r="AH205" i="35"/>
  <c r="Y143" i="34"/>
  <c r="Y142" i="34"/>
  <c r="Y139" i="34"/>
  <c r="Y137" i="34"/>
  <c r="Y129" i="34"/>
  <c r="X143" i="34"/>
  <c r="X142" i="34"/>
  <c r="X139" i="34"/>
  <c r="X134" i="34"/>
  <c r="X137" i="34"/>
  <c r="X129" i="34"/>
  <c r="W143" i="34"/>
  <c r="W142" i="34"/>
  <c r="W129" i="34"/>
  <c r="V173" i="34"/>
  <c r="V142" i="34"/>
  <c r="V143" i="34"/>
  <c r="V139" i="34"/>
  <c r="V134" i="34"/>
  <c r="V137" i="34"/>
  <c r="V129" i="34"/>
  <c r="U143" i="34"/>
  <c r="U142" i="34"/>
  <c r="U129" i="34"/>
  <c r="T143" i="34"/>
  <c r="T142" i="34"/>
  <c r="T139" i="34"/>
  <c r="T134" i="34"/>
  <c r="T129" i="34"/>
  <c r="S143" i="34" l="1"/>
  <c r="S134" i="34"/>
  <c r="S142" i="34"/>
  <c r="S137" i="34"/>
  <c r="S129" i="34"/>
  <c r="R143" i="34" l="1"/>
  <c r="R142" i="34"/>
  <c r="R137" i="34"/>
  <c r="R129" i="34"/>
  <c r="Q143" i="34" l="1"/>
  <c r="Q142" i="34"/>
  <c r="Q134" i="34"/>
  <c r="Q129" i="34"/>
  <c r="P143" i="34"/>
  <c r="P139" i="34"/>
  <c r="P134" i="34"/>
  <c r="P137" i="34"/>
  <c r="P129" i="34"/>
  <c r="O143" i="34"/>
  <c r="O142" i="34"/>
  <c r="O139" i="34"/>
  <c r="O129" i="34"/>
  <c r="N134" i="34"/>
  <c r="N143" i="34"/>
  <c r="N142" i="34"/>
  <c r="N139" i="34"/>
  <c r="N137" i="34"/>
  <c r="N129" i="34"/>
  <c r="M143" i="34" l="1"/>
  <c r="M142" i="34"/>
  <c r="M137" i="34"/>
  <c r="M129" i="34"/>
  <c r="L143" i="34"/>
  <c r="L142" i="34"/>
  <c r="L134" i="34"/>
  <c r="L117" i="34"/>
  <c r="K143" i="34" l="1"/>
  <c r="K142" i="34"/>
  <c r="K139" i="34"/>
  <c r="K129" i="34"/>
  <c r="J143" i="34" l="1"/>
  <c r="J142" i="34"/>
  <c r="J139" i="34"/>
  <c r="J134" i="34"/>
  <c r="J129" i="34"/>
  <c r="I143" i="34"/>
  <c r="I142" i="34"/>
  <c r="I139" i="34"/>
  <c r="I129" i="34"/>
  <c r="H143" i="34"/>
  <c r="H142" i="34"/>
  <c r="H137" i="34"/>
  <c r="H129" i="34"/>
  <c r="G143" i="34"/>
  <c r="G142" i="34"/>
  <c r="G139" i="34"/>
  <c r="G134" i="34"/>
  <c r="G137" i="34"/>
  <c r="G129" i="34"/>
  <c r="F143" i="34"/>
  <c r="F142" i="34"/>
  <c r="F139" i="34"/>
  <c r="F137" i="34"/>
  <c r="F129" i="34"/>
  <c r="E143" i="34" l="1"/>
  <c r="E142" i="34"/>
  <c r="E134" i="34"/>
  <c r="E137" i="34"/>
  <c r="E129" i="34"/>
  <c r="D143" i="34" l="1"/>
  <c r="D142" i="34"/>
  <c r="D137" i="34"/>
  <c r="D129" i="34"/>
  <c r="C143" i="34" l="1"/>
  <c r="C142" i="34"/>
  <c r="C139" i="34"/>
  <c r="C134" i="34"/>
  <c r="AG134" i="34" s="1"/>
  <c r="L134" i="25" s="1"/>
  <c r="C137" i="34"/>
  <c r="C129" i="34"/>
  <c r="B143" i="34"/>
  <c r="B142" i="34"/>
  <c r="B134" i="34"/>
  <c r="B129" i="34"/>
  <c r="AG237" i="34"/>
  <c r="L238" i="25" s="1"/>
  <c r="AG236" i="34"/>
  <c r="L237" i="25" s="1"/>
  <c r="AG232" i="34"/>
  <c r="L233" i="25" s="1"/>
  <c r="AF231" i="34"/>
  <c r="AE231" i="34"/>
  <c r="AD231" i="34"/>
  <c r="AC231" i="34"/>
  <c r="AB231" i="34"/>
  <c r="AA231" i="34"/>
  <c r="Z231" i="34"/>
  <c r="Y231" i="34"/>
  <c r="X231" i="34"/>
  <c r="W231" i="34"/>
  <c r="V231" i="34"/>
  <c r="U231" i="34"/>
  <c r="T231" i="34"/>
  <c r="S231" i="34"/>
  <c r="R231" i="34"/>
  <c r="Q231" i="34"/>
  <c r="P231" i="34"/>
  <c r="O231" i="34"/>
  <c r="N231" i="34"/>
  <c r="M231" i="34"/>
  <c r="L231" i="34"/>
  <c r="K231" i="34"/>
  <c r="J231" i="34"/>
  <c r="I231" i="34"/>
  <c r="H231" i="34"/>
  <c r="G231" i="34"/>
  <c r="F231" i="34"/>
  <c r="E231" i="34"/>
  <c r="D231" i="34"/>
  <c r="C231" i="34"/>
  <c r="B231" i="34"/>
  <c r="AG230" i="34"/>
  <c r="L231" i="25" s="1"/>
  <c r="AG229" i="34"/>
  <c r="L230" i="25" s="1"/>
  <c r="AG228" i="34"/>
  <c r="L229" i="25" s="1"/>
  <c r="AF227" i="34"/>
  <c r="AE227" i="34"/>
  <c r="AD227" i="34"/>
  <c r="AC227" i="34"/>
  <c r="AB227" i="34"/>
  <c r="AA227" i="34"/>
  <c r="Z227" i="34"/>
  <c r="Y227" i="34"/>
  <c r="X227" i="34"/>
  <c r="W227" i="34"/>
  <c r="V227" i="34"/>
  <c r="U227" i="34"/>
  <c r="T227" i="34"/>
  <c r="S227" i="34"/>
  <c r="R227" i="34"/>
  <c r="Q227" i="34"/>
  <c r="P227" i="34"/>
  <c r="O227" i="34"/>
  <c r="N227" i="34"/>
  <c r="M227" i="34"/>
  <c r="L227" i="34"/>
  <c r="K227" i="34"/>
  <c r="J227" i="34"/>
  <c r="I227" i="34"/>
  <c r="H227" i="34"/>
  <c r="G227" i="34"/>
  <c r="F227" i="34"/>
  <c r="E227" i="34"/>
  <c r="D227" i="34"/>
  <c r="C227" i="34"/>
  <c r="B227" i="34"/>
  <c r="AG226" i="34"/>
  <c r="L227" i="25" s="1"/>
  <c r="AG225" i="34"/>
  <c r="L226" i="25" s="1"/>
  <c r="AG224" i="34"/>
  <c r="L225" i="25" s="1"/>
  <c r="AF223" i="34"/>
  <c r="AE223" i="34"/>
  <c r="AD223" i="34"/>
  <c r="AC223" i="34"/>
  <c r="AB223" i="34"/>
  <c r="AA223" i="34"/>
  <c r="Z223" i="34"/>
  <c r="Y223" i="34"/>
  <c r="X223" i="34"/>
  <c r="W223" i="34"/>
  <c r="V223" i="34"/>
  <c r="U223" i="34"/>
  <c r="T223" i="34"/>
  <c r="S223" i="34"/>
  <c r="R223" i="34"/>
  <c r="Q223" i="34"/>
  <c r="P223" i="34"/>
  <c r="O223" i="34"/>
  <c r="N223" i="34"/>
  <c r="M223" i="34"/>
  <c r="L223" i="34"/>
  <c r="K223" i="34"/>
  <c r="J223" i="34"/>
  <c r="I223" i="34"/>
  <c r="H223" i="34"/>
  <c r="G223" i="34"/>
  <c r="F223" i="34"/>
  <c r="E223" i="34"/>
  <c r="D223" i="34"/>
  <c r="C223" i="34"/>
  <c r="B223" i="34"/>
  <c r="AG222" i="34"/>
  <c r="L223" i="25" s="1"/>
  <c r="AG221" i="34"/>
  <c r="L222" i="25" s="1"/>
  <c r="AG220" i="34"/>
  <c r="L221" i="25" s="1"/>
  <c r="AG219" i="34"/>
  <c r="L220" i="25" s="1"/>
  <c r="AG218" i="34"/>
  <c r="L219" i="25" s="1"/>
  <c r="AG217" i="34"/>
  <c r="L218" i="25" s="1"/>
  <c r="AG216" i="34"/>
  <c r="L217" i="25" s="1"/>
  <c r="AG215" i="34"/>
  <c r="L216" i="25" s="1"/>
  <c r="AG214" i="34"/>
  <c r="L215" i="25" s="1"/>
  <c r="AG213" i="34"/>
  <c r="L214" i="25" s="1"/>
  <c r="AG212" i="34"/>
  <c r="L213" i="25" s="1"/>
  <c r="AG211" i="34"/>
  <c r="L212" i="25" s="1"/>
  <c r="AG209" i="34"/>
  <c r="L210" i="25" s="1"/>
  <c r="AG208" i="34"/>
  <c r="L209" i="25" s="1"/>
  <c r="AG207" i="34"/>
  <c r="L208" i="25" s="1"/>
  <c r="AG206" i="34"/>
  <c r="L207" i="25" s="1"/>
  <c r="AG205" i="34"/>
  <c r="L206" i="25" s="1"/>
  <c r="AF204" i="34"/>
  <c r="AE204" i="34"/>
  <c r="AD204" i="34"/>
  <c r="AC204" i="34"/>
  <c r="AB204" i="34"/>
  <c r="AA204" i="34"/>
  <c r="Z204" i="34"/>
  <c r="Y204" i="34"/>
  <c r="X204" i="34"/>
  <c r="W204" i="34"/>
  <c r="V204" i="34"/>
  <c r="U204" i="34"/>
  <c r="T204" i="34"/>
  <c r="S204" i="34"/>
  <c r="R204" i="34"/>
  <c r="Q204" i="34"/>
  <c r="P204" i="34"/>
  <c r="O204" i="34"/>
  <c r="N204" i="34"/>
  <c r="M204" i="34"/>
  <c r="L204" i="34"/>
  <c r="K204" i="34"/>
  <c r="J204" i="34"/>
  <c r="I204" i="34"/>
  <c r="H204" i="34"/>
  <c r="G204" i="34"/>
  <c r="F204" i="34"/>
  <c r="E204" i="34"/>
  <c r="D204" i="34"/>
  <c r="C204" i="34"/>
  <c r="B204" i="34"/>
  <c r="AG203" i="34"/>
  <c r="L204" i="25" s="1"/>
  <c r="AG202" i="34"/>
  <c r="L203" i="25" s="1"/>
  <c r="AG201" i="34"/>
  <c r="L202" i="25" s="1"/>
  <c r="AG200" i="34"/>
  <c r="L201" i="25" s="1"/>
  <c r="AG199" i="34"/>
  <c r="L200" i="25" s="1"/>
  <c r="AG198" i="34"/>
  <c r="L199" i="25" s="1"/>
  <c r="AG197" i="34"/>
  <c r="L198" i="25" s="1"/>
  <c r="AG196" i="34"/>
  <c r="L197" i="25" s="1"/>
  <c r="AG195" i="34"/>
  <c r="L196" i="25" s="1"/>
  <c r="AG194" i="34"/>
  <c r="L195" i="25" s="1"/>
  <c r="AG193" i="34"/>
  <c r="L194" i="25" s="1"/>
  <c r="AG192" i="34"/>
  <c r="L193" i="25" s="1"/>
  <c r="AG191" i="34"/>
  <c r="L192" i="25" s="1"/>
  <c r="AG190" i="34"/>
  <c r="L191" i="25" s="1"/>
  <c r="AG189" i="34"/>
  <c r="L190" i="25" s="1"/>
  <c r="AG188" i="34"/>
  <c r="L189" i="25" s="1"/>
  <c r="AG187" i="34"/>
  <c r="L188" i="25" s="1"/>
  <c r="AG186" i="34"/>
  <c r="L186" i="25" s="1"/>
  <c r="AG185" i="34"/>
  <c r="L185" i="25" s="1"/>
  <c r="AG184" i="34"/>
  <c r="L184" i="25" s="1"/>
  <c r="AG183" i="34"/>
  <c r="L183" i="25" s="1"/>
  <c r="AG182" i="34"/>
  <c r="L182" i="25" s="1"/>
  <c r="AG181" i="34"/>
  <c r="L181" i="25" s="1"/>
  <c r="AG180" i="34"/>
  <c r="L180" i="25" s="1"/>
  <c r="AF179" i="34"/>
  <c r="AE179" i="34"/>
  <c r="AD179" i="34"/>
  <c r="AC179" i="34"/>
  <c r="AB179" i="34"/>
  <c r="AA179" i="34"/>
  <c r="Z179" i="34"/>
  <c r="Y179" i="34"/>
  <c r="X179" i="34"/>
  <c r="W179" i="34"/>
  <c r="V179" i="34"/>
  <c r="U179" i="34"/>
  <c r="T179" i="34"/>
  <c r="S179" i="34"/>
  <c r="R179" i="34"/>
  <c r="Q179" i="34"/>
  <c r="P179" i="34"/>
  <c r="O179" i="34"/>
  <c r="N179" i="34"/>
  <c r="M179" i="34"/>
  <c r="L179" i="34"/>
  <c r="K179" i="34"/>
  <c r="J179" i="34"/>
  <c r="I179" i="34"/>
  <c r="H179" i="34"/>
  <c r="G179" i="34"/>
  <c r="F179" i="34"/>
  <c r="E179" i="34"/>
  <c r="D179" i="34"/>
  <c r="C179" i="34"/>
  <c r="B179" i="34"/>
  <c r="AG178" i="34"/>
  <c r="AG177" i="34"/>
  <c r="AG176" i="34"/>
  <c r="L176" i="25" s="1"/>
  <c r="AG175" i="34"/>
  <c r="L175" i="25" s="1"/>
  <c r="AF174" i="34"/>
  <c r="AE174" i="34"/>
  <c r="AD174" i="34"/>
  <c r="AC174" i="34"/>
  <c r="AB174" i="34"/>
  <c r="AA174" i="34"/>
  <c r="Z174" i="34"/>
  <c r="Y174" i="34"/>
  <c r="X174" i="34"/>
  <c r="W174" i="34"/>
  <c r="V174" i="34"/>
  <c r="U174" i="34"/>
  <c r="T174" i="34"/>
  <c r="S174" i="34"/>
  <c r="R174" i="34"/>
  <c r="Q174" i="34"/>
  <c r="P174" i="34"/>
  <c r="O174" i="34"/>
  <c r="N174" i="34"/>
  <c r="M174" i="34"/>
  <c r="L174" i="34"/>
  <c r="K174" i="34"/>
  <c r="J174" i="34"/>
  <c r="I174" i="34"/>
  <c r="H174" i="34"/>
  <c r="G174" i="34"/>
  <c r="F174" i="34"/>
  <c r="E174" i="34"/>
  <c r="D174" i="34"/>
  <c r="C174" i="34"/>
  <c r="B174" i="34"/>
  <c r="AG173" i="34"/>
  <c r="L173" i="25" s="1"/>
  <c r="AG172" i="34"/>
  <c r="L172" i="25" s="1"/>
  <c r="AG171" i="34"/>
  <c r="L171" i="25" s="1"/>
  <c r="AG170" i="34"/>
  <c r="L170" i="25" s="1"/>
  <c r="AG169" i="34"/>
  <c r="L169" i="25" s="1"/>
  <c r="AG168" i="34"/>
  <c r="L168" i="25" s="1"/>
  <c r="AF167" i="34"/>
  <c r="AE167" i="34"/>
  <c r="AD167" i="34"/>
  <c r="AC167" i="34"/>
  <c r="AB167" i="34"/>
  <c r="AA167" i="34"/>
  <c r="Z167" i="34"/>
  <c r="Y167" i="34"/>
  <c r="X167" i="34"/>
  <c r="W167" i="34"/>
  <c r="V167" i="34"/>
  <c r="U167" i="34"/>
  <c r="T167" i="34"/>
  <c r="S167" i="34"/>
  <c r="R167" i="34"/>
  <c r="Q167" i="34"/>
  <c r="P167" i="34"/>
  <c r="O167" i="34"/>
  <c r="N167" i="34"/>
  <c r="M167" i="34"/>
  <c r="L167" i="34"/>
  <c r="K167" i="34"/>
  <c r="J167" i="34"/>
  <c r="I167" i="34"/>
  <c r="H167" i="34"/>
  <c r="G167" i="34"/>
  <c r="F167" i="34"/>
  <c r="E167" i="34"/>
  <c r="D167" i="34"/>
  <c r="C167" i="34"/>
  <c r="B167" i="34"/>
  <c r="AG166" i="34"/>
  <c r="L166" i="25" s="1"/>
  <c r="AG165" i="34"/>
  <c r="L165" i="25" s="1"/>
  <c r="AG164" i="34"/>
  <c r="L164" i="25" s="1"/>
  <c r="AG163" i="34"/>
  <c r="L163" i="25" s="1"/>
  <c r="AG162" i="34"/>
  <c r="L162" i="25" s="1"/>
  <c r="AG161" i="34"/>
  <c r="L161" i="25" s="1"/>
  <c r="AG160" i="34"/>
  <c r="L160" i="25" s="1"/>
  <c r="AG159" i="34"/>
  <c r="L159" i="25" s="1"/>
  <c r="AF158" i="34"/>
  <c r="AE158" i="34"/>
  <c r="AD158" i="34"/>
  <c r="AC158" i="34"/>
  <c r="AB158" i="34"/>
  <c r="AA158" i="34"/>
  <c r="Z158" i="34"/>
  <c r="Y158" i="34"/>
  <c r="X158" i="34"/>
  <c r="W158" i="34"/>
  <c r="V158" i="34"/>
  <c r="U158" i="34"/>
  <c r="T158" i="34"/>
  <c r="S158" i="34"/>
  <c r="R158" i="34"/>
  <c r="Q158" i="34"/>
  <c r="P158" i="34"/>
  <c r="O158" i="34"/>
  <c r="N158" i="34"/>
  <c r="M158" i="34"/>
  <c r="L158" i="34"/>
  <c r="K158" i="34"/>
  <c r="J158" i="34"/>
  <c r="I158" i="34"/>
  <c r="H158" i="34"/>
  <c r="G158" i="34"/>
  <c r="F158" i="34"/>
  <c r="E158" i="34"/>
  <c r="D158" i="34"/>
  <c r="C158" i="34"/>
  <c r="B158" i="34"/>
  <c r="AG157" i="34"/>
  <c r="L157" i="25" s="1"/>
  <c r="AG156" i="34"/>
  <c r="L156" i="25" s="1"/>
  <c r="AG155" i="34"/>
  <c r="L155" i="25" s="1"/>
  <c r="AG154" i="34"/>
  <c r="L154" i="25" s="1"/>
  <c r="AG153" i="34"/>
  <c r="L153" i="25" s="1"/>
  <c r="AG152" i="34"/>
  <c r="L152" i="25" s="1"/>
  <c r="AG151" i="34"/>
  <c r="L151" i="25" s="1"/>
  <c r="AG150" i="34"/>
  <c r="L150" i="25" s="1"/>
  <c r="AG149" i="34"/>
  <c r="L149" i="25" s="1"/>
  <c r="AF148" i="34"/>
  <c r="AF146" i="34" s="1"/>
  <c r="AE148" i="34"/>
  <c r="AD148" i="34"/>
  <c r="AC148" i="34"/>
  <c r="AC146" i="34" s="1"/>
  <c r="AB148" i="34"/>
  <c r="AB146" i="34" s="1"/>
  <c r="AA148" i="34"/>
  <c r="Z148" i="34"/>
  <c r="Y148" i="34"/>
  <c r="Y146" i="34" s="1"/>
  <c r="Y144" i="34" s="1"/>
  <c r="X148" i="34"/>
  <c r="X146" i="34" s="1"/>
  <c r="W148" i="34"/>
  <c r="V148" i="34"/>
  <c r="U148" i="34"/>
  <c r="U146" i="34" s="1"/>
  <c r="U144" i="34" s="1"/>
  <c r="T148" i="34"/>
  <c r="T146" i="34" s="1"/>
  <c r="S148" i="34"/>
  <c r="R148" i="34"/>
  <c r="Q148" i="34"/>
  <c r="Q146" i="34" s="1"/>
  <c r="Q144" i="34" s="1"/>
  <c r="P148" i="34"/>
  <c r="P146" i="34" s="1"/>
  <c r="O148" i="34"/>
  <c r="N148" i="34"/>
  <c r="M148" i="34"/>
  <c r="L148" i="34"/>
  <c r="L146" i="34" s="1"/>
  <c r="K148" i="34"/>
  <c r="K146" i="34" s="1"/>
  <c r="J148" i="34"/>
  <c r="I148" i="34"/>
  <c r="I146" i="34" s="1"/>
  <c r="I144" i="34" s="1"/>
  <c r="H148" i="34"/>
  <c r="H146" i="34" s="1"/>
  <c r="G148" i="34"/>
  <c r="F148" i="34"/>
  <c r="E148" i="34"/>
  <c r="E146" i="34" s="1"/>
  <c r="E144" i="34" s="1"/>
  <c r="D148" i="34"/>
  <c r="D146" i="34" s="1"/>
  <c r="C148" i="34"/>
  <c r="C146" i="34" s="1"/>
  <c r="C144" i="34" s="1"/>
  <c r="B148" i="34"/>
  <c r="AE147" i="34"/>
  <c r="AD147" i="34"/>
  <c r="AC147" i="34"/>
  <c r="AB147" i="34"/>
  <c r="AA147" i="34"/>
  <c r="Z147" i="34"/>
  <c r="Y147" i="34"/>
  <c r="X147" i="34"/>
  <c r="W147" i="34"/>
  <c r="V147" i="34"/>
  <c r="U147" i="34"/>
  <c r="T147" i="34"/>
  <c r="S147" i="34"/>
  <c r="R147" i="34"/>
  <c r="Q147" i="34"/>
  <c r="P147" i="34"/>
  <c r="O147" i="34"/>
  <c r="N147" i="34"/>
  <c r="M147" i="34"/>
  <c r="L147" i="34"/>
  <c r="K147" i="34"/>
  <c r="J147" i="34"/>
  <c r="I147" i="34"/>
  <c r="H147" i="34"/>
  <c r="G147" i="34"/>
  <c r="F147" i="34"/>
  <c r="E147" i="34"/>
  <c r="D147" i="34"/>
  <c r="C147" i="34"/>
  <c r="B147" i="34"/>
  <c r="AE146" i="34"/>
  <c r="AE144" i="34" s="1"/>
  <c r="AD146" i="34"/>
  <c r="AA146" i="34"/>
  <c r="AA144" i="34" s="1"/>
  <c r="Z146" i="34"/>
  <c r="W146" i="34"/>
  <c r="W144" i="34" s="1"/>
  <c r="V146" i="34"/>
  <c r="S146" i="34"/>
  <c r="S144" i="34" s="1"/>
  <c r="R146" i="34"/>
  <c r="O146" i="34"/>
  <c r="O144" i="34" s="1"/>
  <c r="N146" i="34"/>
  <c r="M146" i="34"/>
  <c r="J146" i="34"/>
  <c r="G146" i="34"/>
  <c r="G144" i="34" s="1"/>
  <c r="F146" i="34"/>
  <c r="B146" i="34"/>
  <c r="B144" i="34" s="1"/>
  <c r="AF145" i="34"/>
  <c r="AE145" i="34"/>
  <c r="AD145" i="34"/>
  <c r="AC145" i="34"/>
  <c r="AB145" i="34"/>
  <c r="AA145" i="34"/>
  <c r="Z145" i="34"/>
  <c r="Y145" i="34"/>
  <c r="X145" i="34"/>
  <c r="W145" i="34"/>
  <c r="V145" i="34"/>
  <c r="U145" i="34"/>
  <c r="T145" i="34"/>
  <c r="S145" i="34"/>
  <c r="R145" i="34"/>
  <c r="Q145" i="34"/>
  <c r="P145" i="34"/>
  <c r="O145" i="34"/>
  <c r="N145" i="34"/>
  <c r="M145" i="34"/>
  <c r="L145" i="34"/>
  <c r="K145" i="34"/>
  <c r="J145" i="34"/>
  <c r="I145" i="34"/>
  <c r="H145" i="34"/>
  <c r="G145" i="34"/>
  <c r="F145" i="34"/>
  <c r="E145" i="34"/>
  <c r="D145" i="34"/>
  <c r="C145" i="34"/>
  <c r="B145" i="34"/>
  <c r="M144" i="34"/>
  <c r="AG143" i="34"/>
  <c r="L143" i="25" s="1"/>
  <c r="AG141" i="34"/>
  <c r="L141" i="25" s="1"/>
  <c r="AG140" i="34"/>
  <c r="L140" i="25" s="1"/>
  <c r="AG139" i="34"/>
  <c r="L139" i="25" s="1"/>
  <c r="AG138" i="34"/>
  <c r="L138" i="25" s="1"/>
  <c r="AG137" i="34"/>
  <c r="L137" i="25" s="1"/>
  <c r="AG136" i="34"/>
  <c r="L136" i="25" s="1"/>
  <c r="AG135" i="34"/>
  <c r="L135" i="25" s="1"/>
  <c r="AG133" i="34"/>
  <c r="L133" i="25" s="1"/>
  <c r="AG132" i="34"/>
  <c r="L132" i="25" s="1"/>
  <c r="AG131" i="34"/>
  <c r="L131" i="25" s="1"/>
  <c r="AF130" i="34"/>
  <c r="AE130" i="34"/>
  <c r="AD130" i="34"/>
  <c r="AC130" i="34"/>
  <c r="AB130" i="34"/>
  <c r="AA130" i="34"/>
  <c r="Z130" i="34"/>
  <c r="Y130" i="34"/>
  <c r="X130" i="34"/>
  <c r="W130" i="34"/>
  <c r="V130" i="34"/>
  <c r="U130" i="34"/>
  <c r="T130" i="34"/>
  <c r="S130" i="34"/>
  <c r="R130" i="34"/>
  <c r="Q130" i="34"/>
  <c r="P130" i="34"/>
  <c r="O130" i="34"/>
  <c r="N130" i="34"/>
  <c r="M130" i="34"/>
  <c r="L130" i="34"/>
  <c r="K130" i="34"/>
  <c r="J130" i="34"/>
  <c r="I130" i="34"/>
  <c r="H130" i="34"/>
  <c r="G130" i="34"/>
  <c r="F130" i="34"/>
  <c r="E130" i="34"/>
  <c r="D130" i="34"/>
  <c r="AG129" i="34"/>
  <c r="L129" i="25" s="1"/>
  <c r="AG128" i="34"/>
  <c r="L128" i="25" s="1"/>
  <c r="AG127" i="34"/>
  <c r="L127" i="25" s="1"/>
  <c r="AG126" i="34"/>
  <c r="L126" i="25" s="1"/>
  <c r="AG125" i="34"/>
  <c r="L125" i="25" s="1"/>
  <c r="AG124" i="34"/>
  <c r="L124" i="25" s="1"/>
  <c r="AG123" i="34"/>
  <c r="L123" i="25" s="1"/>
  <c r="AG122" i="34"/>
  <c r="L122" i="25" s="1"/>
  <c r="AG121" i="34"/>
  <c r="L121" i="25" s="1"/>
  <c r="AG120" i="34"/>
  <c r="L120" i="25" s="1"/>
  <c r="AG119" i="34"/>
  <c r="L119" i="25" s="1"/>
  <c r="AG118" i="34"/>
  <c r="L118" i="25" s="1"/>
  <c r="AG117" i="34"/>
  <c r="L117" i="25" s="1"/>
  <c r="AF116" i="34"/>
  <c r="AE116" i="34"/>
  <c r="AD116" i="34"/>
  <c r="AC116" i="34"/>
  <c r="AB116" i="34"/>
  <c r="AA116" i="34"/>
  <c r="Z116" i="34"/>
  <c r="Y116" i="34"/>
  <c r="X116" i="34"/>
  <c r="W116" i="34"/>
  <c r="V116" i="34"/>
  <c r="U116" i="34"/>
  <c r="T116" i="34"/>
  <c r="S116" i="34"/>
  <c r="R116" i="34"/>
  <c r="Q116" i="34"/>
  <c r="P116" i="34"/>
  <c r="O116" i="34"/>
  <c r="N116" i="34"/>
  <c r="M116" i="34"/>
  <c r="L116" i="34"/>
  <c r="K116" i="34"/>
  <c r="J116" i="34"/>
  <c r="I116" i="34"/>
  <c r="H116" i="34"/>
  <c r="G116" i="34"/>
  <c r="F116" i="34"/>
  <c r="E116" i="34"/>
  <c r="D116" i="34"/>
  <c r="C116" i="34"/>
  <c r="B116" i="34"/>
  <c r="AG115" i="34"/>
  <c r="AG114" i="34"/>
  <c r="L114" i="25" s="1"/>
  <c r="AG113" i="34"/>
  <c r="L113" i="25" s="1"/>
  <c r="AG112" i="34"/>
  <c r="L112" i="25" s="1"/>
  <c r="AG111" i="34"/>
  <c r="L111" i="25" s="1"/>
  <c r="AG110" i="34"/>
  <c r="L110" i="25" s="1"/>
  <c r="AG109" i="34"/>
  <c r="L109" i="25" s="1"/>
  <c r="AG108" i="34"/>
  <c r="L108" i="25" s="1"/>
  <c r="AG107" i="34"/>
  <c r="L107" i="25" s="1"/>
  <c r="AG106" i="34"/>
  <c r="L106" i="25" s="1"/>
  <c r="AG105" i="34"/>
  <c r="L105" i="25" s="1"/>
  <c r="AG104" i="34"/>
  <c r="L104" i="25" s="1"/>
  <c r="AG103" i="34"/>
  <c r="L103" i="25" s="1"/>
  <c r="AG102" i="34"/>
  <c r="L102" i="25" s="1"/>
  <c r="AG101" i="34"/>
  <c r="L101" i="25" s="1"/>
  <c r="AF100" i="34"/>
  <c r="AE100" i="34"/>
  <c r="AD100" i="34"/>
  <c r="AC100" i="34"/>
  <c r="AB100" i="34"/>
  <c r="AA100" i="34"/>
  <c r="Z100" i="34"/>
  <c r="Y100" i="34"/>
  <c r="X100" i="34"/>
  <c r="W100" i="34"/>
  <c r="V100" i="34"/>
  <c r="U100" i="34"/>
  <c r="T100" i="34"/>
  <c r="S100" i="34"/>
  <c r="R100" i="34"/>
  <c r="Q100" i="34"/>
  <c r="P100" i="34"/>
  <c r="O100" i="34"/>
  <c r="N100" i="34"/>
  <c r="M100" i="34"/>
  <c r="L100" i="34"/>
  <c r="K100" i="34"/>
  <c r="J100" i="34"/>
  <c r="I100" i="34"/>
  <c r="H100" i="34"/>
  <c r="G100" i="34"/>
  <c r="F100" i="34"/>
  <c r="E100" i="34"/>
  <c r="D100" i="34"/>
  <c r="C100" i="34"/>
  <c r="B100" i="34"/>
  <c r="AG99" i="34"/>
  <c r="L99" i="25" s="1"/>
  <c r="AG98" i="34"/>
  <c r="L98" i="25" s="1"/>
  <c r="AG97" i="34"/>
  <c r="L97" i="25" s="1"/>
  <c r="AG96" i="34"/>
  <c r="L96" i="25" s="1"/>
  <c r="AG95" i="34"/>
  <c r="L95" i="25" s="1"/>
  <c r="AF94" i="34"/>
  <c r="AF93" i="34" s="1"/>
  <c r="AE94" i="34"/>
  <c r="AE93" i="34" s="1"/>
  <c r="AD94" i="34"/>
  <c r="AD93" i="34" s="1"/>
  <c r="AC94" i="34"/>
  <c r="AC93" i="34" s="1"/>
  <c r="AB94" i="34"/>
  <c r="AA94" i="34"/>
  <c r="AA93" i="34" s="1"/>
  <c r="Z94" i="34"/>
  <c r="Z93" i="34" s="1"/>
  <c r="Y94" i="34"/>
  <c r="Y93" i="34" s="1"/>
  <c r="X94" i="34"/>
  <c r="W94" i="34"/>
  <c r="W93" i="34" s="1"/>
  <c r="V94" i="34"/>
  <c r="V93" i="34" s="1"/>
  <c r="U94" i="34"/>
  <c r="U93" i="34" s="1"/>
  <c r="T94" i="34"/>
  <c r="S94" i="34"/>
  <c r="S93" i="34" s="1"/>
  <c r="R94" i="34"/>
  <c r="R93" i="34" s="1"/>
  <c r="Q94" i="34"/>
  <c r="Q93" i="34" s="1"/>
  <c r="P94" i="34"/>
  <c r="P93" i="34" s="1"/>
  <c r="O94" i="34"/>
  <c r="O93" i="34" s="1"/>
  <c r="N94" i="34"/>
  <c r="N93" i="34" s="1"/>
  <c r="M94" i="34"/>
  <c r="M93" i="34" s="1"/>
  <c r="L94" i="34"/>
  <c r="K94" i="34"/>
  <c r="K93" i="34" s="1"/>
  <c r="J94" i="34"/>
  <c r="J93" i="34" s="1"/>
  <c r="I94" i="34"/>
  <c r="I93" i="34" s="1"/>
  <c r="H94" i="34"/>
  <c r="G94" i="34"/>
  <c r="G93" i="34" s="1"/>
  <c r="F94" i="34"/>
  <c r="F93" i="34" s="1"/>
  <c r="E94" i="34"/>
  <c r="E93" i="34" s="1"/>
  <c r="D94" i="34"/>
  <c r="D93" i="34" s="1"/>
  <c r="C94" i="34"/>
  <c r="C93" i="34" s="1"/>
  <c r="B94" i="34"/>
  <c r="AB93" i="34"/>
  <c r="H93" i="34"/>
  <c r="AG92" i="34"/>
  <c r="L92" i="25" s="1"/>
  <c r="AG91" i="34"/>
  <c r="L91" i="25" s="1"/>
  <c r="AG90" i="34"/>
  <c r="L90" i="25" s="1"/>
  <c r="AG89" i="34"/>
  <c r="L89" i="25" s="1"/>
  <c r="AG88" i="34"/>
  <c r="L88" i="25" s="1"/>
  <c r="AF87" i="34"/>
  <c r="AE87" i="34"/>
  <c r="AD87" i="34"/>
  <c r="AC87" i="34"/>
  <c r="AB87" i="34"/>
  <c r="AA87" i="34"/>
  <c r="Z87" i="34"/>
  <c r="Y87" i="34"/>
  <c r="X87" i="34"/>
  <c r="W87" i="34"/>
  <c r="V87" i="34"/>
  <c r="U87" i="34"/>
  <c r="T87" i="34"/>
  <c r="S87" i="34"/>
  <c r="R87" i="34"/>
  <c r="Q87" i="34"/>
  <c r="P87" i="34"/>
  <c r="O87" i="34"/>
  <c r="N87" i="34"/>
  <c r="M87" i="34"/>
  <c r="L87" i="34"/>
  <c r="K87" i="34"/>
  <c r="J87" i="34"/>
  <c r="I87" i="34"/>
  <c r="H87" i="34"/>
  <c r="G87" i="34"/>
  <c r="F87" i="34"/>
  <c r="E87" i="34"/>
  <c r="D87" i="34"/>
  <c r="C87" i="34"/>
  <c r="B87" i="34"/>
  <c r="AG86" i="34"/>
  <c r="L86" i="25" s="1"/>
  <c r="AG85" i="34"/>
  <c r="L85" i="25" s="1"/>
  <c r="AF84" i="34"/>
  <c r="AE84" i="34"/>
  <c r="AD84" i="34"/>
  <c r="AC84" i="34"/>
  <c r="AB84" i="34"/>
  <c r="AA84" i="34"/>
  <c r="Z84" i="34"/>
  <c r="Y84" i="34"/>
  <c r="X84" i="34"/>
  <c r="W84" i="34"/>
  <c r="V84" i="34"/>
  <c r="U84" i="34"/>
  <c r="T84" i="34"/>
  <c r="S84" i="34"/>
  <c r="R84" i="34"/>
  <c r="Q84" i="34"/>
  <c r="P84" i="34"/>
  <c r="O84" i="34"/>
  <c r="N84" i="34"/>
  <c r="M84" i="34"/>
  <c r="L84" i="34"/>
  <c r="K84" i="34"/>
  <c r="J84" i="34"/>
  <c r="I84" i="34"/>
  <c r="H84" i="34"/>
  <c r="G84" i="34"/>
  <c r="F84" i="34"/>
  <c r="E84" i="34"/>
  <c r="D84" i="34"/>
  <c r="C84" i="34"/>
  <c r="B84" i="34"/>
  <c r="AF82" i="34"/>
  <c r="AF83" i="34" s="1"/>
  <c r="AF81" i="34" s="1"/>
  <c r="AE83" i="34"/>
  <c r="AD82" i="34"/>
  <c r="AD83" i="34" s="1"/>
  <c r="AD81" i="34" s="1"/>
  <c r="AC82" i="34"/>
  <c r="AB82" i="34"/>
  <c r="AB83" i="34" s="1"/>
  <c r="AB81" i="34" s="1"/>
  <c r="AA82" i="34"/>
  <c r="AA83" i="34" s="1"/>
  <c r="Z82" i="34"/>
  <c r="Z83" i="34" s="1"/>
  <c r="Z81" i="34" s="1"/>
  <c r="X83" i="34"/>
  <c r="X81" i="34" s="1"/>
  <c r="W82" i="34"/>
  <c r="W83" i="34" s="1"/>
  <c r="V82" i="34"/>
  <c r="V83" i="34" s="1"/>
  <c r="V81" i="34" s="1"/>
  <c r="U82" i="34"/>
  <c r="T82" i="34"/>
  <c r="T83" i="34" s="1"/>
  <c r="T81" i="34" s="1"/>
  <c r="S82" i="34"/>
  <c r="S83" i="34" s="1"/>
  <c r="R83" i="34"/>
  <c r="R81" i="34" s="1"/>
  <c r="P82" i="34"/>
  <c r="P83" i="34" s="1"/>
  <c r="P81" i="34" s="1"/>
  <c r="O82" i="34"/>
  <c r="O83" i="34" s="1"/>
  <c r="N82" i="34"/>
  <c r="N83" i="34" s="1"/>
  <c r="N81" i="34" s="1"/>
  <c r="M82" i="34"/>
  <c r="L82" i="34"/>
  <c r="L83" i="34" s="1"/>
  <c r="L81" i="34" s="1"/>
  <c r="K83" i="34"/>
  <c r="J83" i="34"/>
  <c r="J81" i="34" s="1"/>
  <c r="I82" i="34"/>
  <c r="H82" i="34"/>
  <c r="H83" i="34" s="1"/>
  <c r="H81" i="34" s="1"/>
  <c r="G82" i="34"/>
  <c r="G83" i="34" s="1"/>
  <c r="F82" i="34"/>
  <c r="F83" i="34" s="1"/>
  <c r="F81" i="34" s="1"/>
  <c r="E82" i="34"/>
  <c r="D83" i="34"/>
  <c r="D81" i="34" s="1"/>
  <c r="C83" i="34"/>
  <c r="B83" i="34"/>
  <c r="AF80" i="34"/>
  <c r="AF79" i="34" s="1"/>
  <c r="AF78" i="34" s="1"/>
  <c r="AC80" i="34"/>
  <c r="AC79" i="34" s="1"/>
  <c r="AC78" i="34" s="1"/>
  <c r="AB80" i="34"/>
  <c r="AB79" i="34" s="1"/>
  <c r="AB78" i="34" s="1"/>
  <c r="AA80" i="34"/>
  <c r="Y80" i="34"/>
  <c r="V80" i="34"/>
  <c r="V79" i="34" s="1"/>
  <c r="V78" i="34" s="1"/>
  <c r="U80" i="34"/>
  <c r="U79" i="34" s="1"/>
  <c r="U78" i="34" s="1"/>
  <c r="T80" i="34"/>
  <c r="T79" i="34" s="1"/>
  <c r="T78" i="34" s="1"/>
  <c r="S80" i="34"/>
  <c r="S79" i="34" s="1"/>
  <c r="S78" i="34" s="1"/>
  <c r="R80" i="34"/>
  <c r="R79" i="34" s="1"/>
  <c r="R78" i="34" s="1"/>
  <c r="O80" i="34"/>
  <c r="O79" i="34" s="1"/>
  <c r="O78" i="34" s="1"/>
  <c r="N80" i="34"/>
  <c r="M80" i="34"/>
  <c r="M79" i="34" s="1"/>
  <c r="M78" i="34" s="1"/>
  <c r="H80" i="34"/>
  <c r="H79" i="34" s="1"/>
  <c r="H78" i="34" s="1"/>
  <c r="G80" i="34"/>
  <c r="G79" i="34" s="1"/>
  <c r="G78" i="34" s="1"/>
  <c r="F80" i="34"/>
  <c r="F79" i="34" s="1"/>
  <c r="F78" i="34" s="1"/>
  <c r="AE79" i="34"/>
  <c r="AD79" i="34"/>
  <c r="AD78" i="34" s="1"/>
  <c r="AA79" i="34"/>
  <c r="AA78" i="34" s="1"/>
  <c r="Z79" i="34"/>
  <c r="Z78" i="34" s="1"/>
  <c r="Y79" i="34"/>
  <c r="Y78" i="34" s="1"/>
  <c r="X79" i="34"/>
  <c r="W79" i="34"/>
  <c r="W78" i="34" s="1"/>
  <c r="Q79" i="34"/>
  <c r="Q78" i="34" s="1"/>
  <c r="P79" i="34"/>
  <c r="P78" i="34" s="1"/>
  <c r="N79" i="34"/>
  <c r="N78" i="34" s="1"/>
  <c r="L79" i="34"/>
  <c r="L78" i="34" s="1"/>
  <c r="K79" i="34"/>
  <c r="K78" i="34" s="1"/>
  <c r="J79" i="34"/>
  <c r="J78" i="34" s="1"/>
  <c r="I79" i="34"/>
  <c r="I78" i="34" s="1"/>
  <c r="E79" i="34"/>
  <c r="E78" i="34" s="1"/>
  <c r="D79" i="34"/>
  <c r="D78" i="34" s="1"/>
  <c r="C79" i="34"/>
  <c r="C78" i="34" s="1"/>
  <c r="B79" i="34"/>
  <c r="B78" i="34" s="1"/>
  <c r="AE78" i="34"/>
  <c r="X78" i="34"/>
  <c r="AG77" i="34"/>
  <c r="L77" i="25" s="1"/>
  <c r="AG76" i="34"/>
  <c r="L76" i="25" s="1"/>
  <c r="AG75" i="34"/>
  <c r="L75" i="25" s="1"/>
  <c r="AG74" i="34"/>
  <c r="L74" i="25" s="1"/>
  <c r="AG73" i="34"/>
  <c r="L73" i="25" s="1"/>
  <c r="AG72" i="34"/>
  <c r="L72" i="25" s="1"/>
  <c r="AG71" i="34"/>
  <c r="L71" i="25" s="1"/>
  <c r="AG70" i="34"/>
  <c r="L70" i="25" s="1"/>
  <c r="AG69" i="34"/>
  <c r="L69" i="25" s="1"/>
  <c r="AG68" i="34"/>
  <c r="L68" i="25" s="1"/>
  <c r="AG67" i="34"/>
  <c r="L67" i="25" s="1"/>
  <c r="AG66" i="34"/>
  <c r="L66" i="25" s="1"/>
  <c r="AG65" i="34"/>
  <c r="L65" i="25" s="1"/>
  <c r="AG64" i="34"/>
  <c r="L64" i="25" s="1"/>
  <c r="AG63" i="34"/>
  <c r="L63" i="25" s="1"/>
  <c r="AG62" i="34"/>
  <c r="L62" i="25" s="1"/>
  <c r="AG61" i="34"/>
  <c r="L61" i="25" s="1"/>
  <c r="AG60" i="34"/>
  <c r="L60" i="25" s="1"/>
  <c r="AG59" i="34"/>
  <c r="L59" i="25" s="1"/>
  <c r="AG58" i="34"/>
  <c r="L58" i="25" s="1"/>
  <c r="AG57" i="34"/>
  <c r="L57" i="25" s="1"/>
  <c r="AG56" i="34"/>
  <c r="L56" i="25" s="1"/>
  <c r="AG55" i="34"/>
  <c r="L55" i="25" s="1"/>
  <c r="AG54" i="34"/>
  <c r="L54" i="25" s="1"/>
  <c r="AF53" i="34"/>
  <c r="AE53" i="34"/>
  <c r="AD53" i="34"/>
  <c r="AC53" i="34"/>
  <c r="AB53" i="34"/>
  <c r="AA53" i="34"/>
  <c r="Z53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AG52" i="34"/>
  <c r="L52" i="25" s="1"/>
  <c r="AG51" i="34"/>
  <c r="L51" i="25" s="1"/>
  <c r="AG50" i="34"/>
  <c r="L50" i="25" s="1"/>
  <c r="AG49" i="34"/>
  <c r="L49" i="25" s="1"/>
  <c r="AG48" i="34"/>
  <c r="L48" i="25" s="1"/>
  <c r="AG47" i="34"/>
  <c r="L47" i="25" s="1"/>
  <c r="AG46" i="34"/>
  <c r="L46" i="25" s="1"/>
  <c r="AG45" i="34"/>
  <c r="L45" i="25" s="1"/>
  <c r="AG44" i="34"/>
  <c r="L44" i="25" s="1"/>
  <c r="AG43" i="34"/>
  <c r="L43" i="25" s="1"/>
  <c r="AG42" i="34"/>
  <c r="L42" i="25" s="1"/>
  <c r="AG41" i="34"/>
  <c r="L41" i="25" s="1"/>
  <c r="AG40" i="34"/>
  <c r="L40" i="25" s="1"/>
  <c r="AG39" i="34"/>
  <c r="L39" i="25" s="1"/>
  <c r="AG38" i="34"/>
  <c r="L38" i="25" s="1"/>
  <c r="AG37" i="34"/>
  <c r="L37" i="25" s="1"/>
  <c r="AG36" i="34"/>
  <c r="L36" i="25" s="1"/>
  <c r="AG35" i="34"/>
  <c r="L35" i="25" s="1"/>
  <c r="AG34" i="34"/>
  <c r="L34" i="25" s="1"/>
  <c r="AG33" i="34"/>
  <c r="L33" i="25" s="1"/>
  <c r="AG32" i="34"/>
  <c r="L32" i="25" s="1"/>
  <c r="AG31" i="34"/>
  <c r="L31" i="25" s="1"/>
  <c r="AG30" i="34"/>
  <c r="L30" i="25" s="1"/>
  <c r="AG29" i="34"/>
  <c r="L29" i="25" s="1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G27" i="34"/>
  <c r="L27" i="25" s="1"/>
  <c r="AG26" i="34"/>
  <c r="L26" i="25" s="1"/>
  <c r="AG25" i="34"/>
  <c r="L25" i="25" s="1"/>
  <c r="AG24" i="34"/>
  <c r="L24" i="25" s="1"/>
  <c r="AG23" i="34"/>
  <c r="L23" i="25" s="1"/>
  <c r="AG22" i="34"/>
  <c r="L22" i="25" s="1"/>
  <c r="AG21" i="34"/>
  <c r="L21" i="25" s="1"/>
  <c r="AG20" i="34"/>
  <c r="L20" i="25" s="1"/>
  <c r="AG19" i="34"/>
  <c r="L19" i="25" s="1"/>
  <c r="AG18" i="34"/>
  <c r="L18" i="25" s="1"/>
  <c r="AG17" i="34"/>
  <c r="L17" i="25" s="1"/>
  <c r="AG16" i="34"/>
  <c r="L16" i="25" s="1"/>
  <c r="AG15" i="34"/>
  <c r="L15" i="25" s="1"/>
  <c r="AG14" i="34"/>
  <c r="L14" i="25" s="1"/>
  <c r="AG13" i="34"/>
  <c r="L13" i="25" s="1"/>
  <c r="AG12" i="34"/>
  <c r="L12" i="25" s="1"/>
  <c r="AG11" i="34"/>
  <c r="L11" i="25" s="1"/>
  <c r="AG10" i="34"/>
  <c r="L10" i="25" s="1"/>
  <c r="AG9" i="34"/>
  <c r="L9" i="25" s="1"/>
  <c r="AG8" i="34"/>
  <c r="L8" i="25" s="1"/>
  <c r="AG7" i="34"/>
  <c r="L7" i="25" s="1"/>
  <c r="AG6" i="34"/>
  <c r="L6" i="25" s="1"/>
  <c r="AG5" i="34"/>
  <c r="L5" i="25" s="1"/>
  <c r="AG4" i="34"/>
  <c r="L4" i="25" s="1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C3" i="34"/>
  <c r="B3" i="34"/>
  <c r="AC2" i="34"/>
  <c r="C2" i="34"/>
  <c r="D2" i="34" s="1"/>
  <c r="E2" i="34" s="1"/>
  <c r="F2" i="34" s="1"/>
  <c r="G2" i="34" s="1"/>
  <c r="H2" i="34" s="1"/>
  <c r="I2" i="34" s="1"/>
  <c r="J2" i="34" s="1"/>
  <c r="K2" i="34" s="1"/>
  <c r="L2" i="34" s="1"/>
  <c r="M2" i="34" s="1"/>
  <c r="N2" i="34" s="1"/>
  <c r="O2" i="34" s="1"/>
  <c r="P2" i="34" s="1"/>
  <c r="Q2" i="34" s="1"/>
  <c r="R2" i="34" s="1"/>
  <c r="S2" i="34" s="1"/>
  <c r="T2" i="34" s="1"/>
  <c r="U2" i="34" s="1"/>
  <c r="V2" i="34" s="1"/>
  <c r="W2" i="34" s="1"/>
  <c r="X2" i="34" s="1"/>
  <c r="Y2" i="34" s="1"/>
  <c r="Z2" i="34" s="1"/>
  <c r="AA2" i="34" s="1"/>
  <c r="T93" i="34" l="1"/>
  <c r="X93" i="34"/>
  <c r="B130" i="34"/>
  <c r="AC144" i="34"/>
  <c r="AG167" i="34"/>
  <c r="L167" i="25" s="1"/>
  <c r="L93" i="34"/>
  <c r="N144" i="34"/>
  <c r="V144" i="34"/>
  <c r="AD144" i="34"/>
  <c r="AG148" i="34"/>
  <c r="AG227" i="34"/>
  <c r="L228" i="25" s="1"/>
  <c r="AG231" i="34"/>
  <c r="L232" i="25" s="1"/>
  <c r="C130" i="34"/>
  <c r="AG130" i="34" s="1"/>
  <c r="L130" i="25" s="1"/>
  <c r="F144" i="34"/>
  <c r="R144" i="34"/>
  <c r="Z144" i="34"/>
  <c r="AG147" i="34"/>
  <c r="L147" i="25" s="1"/>
  <c r="D144" i="34"/>
  <c r="H144" i="34"/>
  <c r="L144" i="34"/>
  <c r="P144" i="34"/>
  <c r="T144" i="34"/>
  <c r="X144" i="34"/>
  <c r="AB144" i="34"/>
  <c r="AF144" i="34"/>
  <c r="AG223" i="34"/>
  <c r="L224" i="25" s="1"/>
  <c r="K144" i="34"/>
  <c r="AG158" i="34"/>
  <c r="L158" i="25" s="1"/>
  <c r="J144" i="34"/>
  <c r="AG100" i="34"/>
  <c r="L100" i="25" s="1"/>
  <c r="AG80" i="34"/>
  <c r="L80" i="25" s="1"/>
  <c r="AG145" i="34"/>
  <c r="L145" i="25" s="1"/>
  <c r="AG94" i="34"/>
  <c r="L94" i="25" s="1"/>
  <c r="AG116" i="34"/>
  <c r="L116" i="25" s="1"/>
  <c r="AG87" i="34"/>
  <c r="L87" i="25" s="1"/>
  <c r="AG179" i="34"/>
  <c r="L179" i="25" s="1"/>
  <c r="AG204" i="34"/>
  <c r="L205" i="25" s="1"/>
  <c r="AG84" i="34"/>
  <c r="L84" i="25" s="1"/>
  <c r="AG174" i="34"/>
  <c r="L174" i="25" s="1"/>
  <c r="AG142" i="34"/>
  <c r="L142" i="25" s="1"/>
  <c r="AG53" i="34"/>
  <c r="L53" i="25" s="1"/>
  <c r="AG28" i="34"/>
  <c r="L28" i="25" s="1"/>
  <c r="AG78" i="34"/>
  <c r="L78" i="25" s="1"/>
  <c r="AG3" i="34"/>
  <c r="L3" i="25" s="1"/>
  <c r="AG79" i="34"/>
  <c r="L79" i="25" s="1"/>
  <c r="B81" i="34"/>
  <c r="AG82" i="34"/>
  <c r="L82" i="25" s="1"/>
  <c r="I83" i="34"/>
  <c r="I81" i="34" s="1"/>
  <c r="U83" i="34"/>
  <c r="U81" i="34" s="1"/>
  <c r="AC83" i="34"/>
  <c r="AC81" i="34" s="1"/>
  <c r="C81" i="34"/>
  <c r="G81" i="34"/>
  <c r="K81" i="34"/>
  <c r="O81" i="34"/>
  <c r="S81" i="34"/>
  <c r="W81" i="34"/>
  <c r="AA81" i="34"/>
  <c r="AE81" i="34"/>
  <c r="E83" i="34"/>
  <c r="E81" i="34" s="1"/>
  <c r="Q83" i="34"/>
  <c r="Q81" i="34" s="1"/>
  <c r="B93" i="34"/>
  <c r="AG93" i="34" s="1"/>
  <c r="L93" i="25" s="1"/>
  <c r="M83" i="34"/>
  <c r="M81" i="34" s="1"/>
  <c r="Y83" i="34"/>
  <c r="Y81" i="34" s="1"/>
  <c r="AF143" i="33"/>
  <c r="AF142" i="33"/>
  <c r="AF137" i="33"/>
  <c r="AF129" i="33"/>
  <c r="AE142" i="33"/>
  <c r="AE129" i="33"/>
  <c r="AD143" i="33"/>
  <c r="AD142" i="33"/>
  <c r="AD129" i="33"/>
  <c r="AG146" i="34" l="1"/>
  <c r="L146" i="25" s="1"/>
  <c r="L148" i="25"/>
  <c r="AG144" i="34"/>
  <c r="AH87" i="34"/>
  <c r="AH204" i="34"/>
  <c r="AH93" i="34"/>
  <c r="AH130" i="34"/>
  <c r="AG83" i="34"/>
  <c r="AG81" i="34"/>
  <c r="AC134" i="33"/>
  <c r="AC143" i="33"/>
  <c r="AC142" i="33"/>
  <c r="AC139" i="33"/>
  <c r="AC129" i="33"/>
  <c r="AB143" i="33"/>
  <c r="AB142" i="33"/>
  <c r="AB129" i="33"/>
  <c r="AA143" i="33"/>
  <c r="AA142" i="33"/>
  <c r="AA139" i="33"/>
  <c r="AA137" i="33"/>
  <c r="AA129" i="33"/>
  <c r="Z143" i="33"/>
  <c r="Z134" i="33"/>
  <c r="Z142" i="33"/>
  <c r="Z129" i="33"/>
  <c r="AH84" i="34" l="1"/>
  <c r="L83" i="25"/>
  <c r="AH144" i="34"/>
  <c r="L144" i="25"/>
  <c r="AH81" i="34"/>
  <c r="L81" i="25"/>
  <c r="Y143" i="33"/>
  <c r="Y142" i="33"/>
  <c r="Y139" i="33"/>
  <c r="Y129" i="33"/>
  <c r="X134" i="33"/>
  <c r="X142" i="33"/>
  <c r="X139" i="33"/>
  <c r="W143" i="33"/>
  <c r="W142" i="33"/>
  <c r="W139" i="33"/>
  <c r="W129" i="33"/>
  <c r="V143" i="33"/>
  <c r="V142" i="33"/>
  <c r="V129" i="33"/>
  <c r="U143" i="33"/>
  <c r="U142" i="33"/>
  <c r="U139" i="33"/>
  <c r="U134" i="33"/>
  <c r="U137" i="33"/>
  <c r="U129" i="33"/>
  <c r="T143" i="33"/>
  <c r="T134" i="33"/>
  <c r="T142" i="33"/>
  <c r="T137" i="33"/>
  <c r="T129" i="33"/>
  <c r="S143" i="33"/>
  <c r="S142" i="33"/>
  <c r="S134" i="33"/>
  <c r="S137" i="33"/>
  <c r="S129" i="33"/>
  <c r="R143" i="33"/>
  <c r="R142" i="33"/>
  <c r="R137" i="33"/>
  <c r="R129" i="33"/>
  <c r="Q143" i="33"/>
  <c r="Q142" i="33"/>
  <c r="Q137" i="33"/>
  <c r="Q129" i="33"/>
  <c r="P143" i="33"/>
  <c r="P142" i="33"/>
  <c r="P134" i="33"/>
  <c r="P129" i="33"/>
  <c r="O143" i="33"/>
  <c r="O142" i="33"/>
  <c r="O134" i="33"/>
  <c r="O137" i="33"/>
  <c r="O129" i="33"/>
  <c r="N143" i="33" l="1"/>
  <c r="N142" i="33"/>
  <c r="N139" i="33"/>
  <c r="N137" i="33"/>
  <c r="N129" i="33"/>
  <c r="M143" i="33"/>
  <c r="M142" i="33"/>
  <c r="M139" i="33"/>
  <c r="M134" i="33"/>
  <c r="M137" i="33"/>
  <c r="M129" i="33"/>
  <c r="L143" i="33"/>
  <c r="L142" i="33"/>
  <c r="L134" i="33"/>
  <c r="L129" i="33"/>
  <c r="K143" i="33" l="1"/>
  <c r="K142" i="33"/>
  <c r="K137" i="33"/>
  <c r="K129" i="33"/>
  <c r="J143" i="33"/>
  <c r="J142" i="33"/>
  <c r="J139" i="33"/>
  <c r="J137" i="33"/>
  <c r="J129" i="33"/>
  <c r="I143" i="33" l="1"/>
  <c r="I142" i="33"/>
  <c r="I137" i="33"/>
  <c r="I129" i="33"/>
  <c r="H143" i="33" l="1"/>
  <c r="H142" i="33"/>
  <c r="H139" i="33"/>
  <c r="H137" i="33"/>
  <c r="H129" i="33"/>
  <c r="G143" i="33" l="1"/>
  <c r="G134" i="33"/>
  <c r="G142" i="33"/>
  <c r="G139" i="33"/>
  <c r="G137" i="33"/>
  <c r="G129" i="33"/>
  <c r="F143" i="33" l="1"/>
  <c r="F142" i="33"/>
  <c r="F139" i="33"/>
  <c r="F134" i="33"/>
  <c r="F137" i="33"/>
  <c r="F129" i="33"/>
  <c r="F116" i="33" s="1"/>
  <c r="E143" i="33"/>
  <c r="E130" i="33" s="1"/>
  <c r="E142" i="33"/>
  <c r="E134" i="33"/>
  <c r="E129" i="33"/>
  <c r="D143" i="33"/>
  <c r="D142" i="33"/>
  <c r="D139" i="33"/>
  <c r="D134" i="33"/>
  <c r="D137" i="33"/>
  <c r="D129" i="33"/>
  <c r="C143" i="33"/>
  <c r="C142" i="33"/>
  <c r="C139" i="33"/>
  <c r="C129" i="33"/>
  <c r="B143" i="33"/>
  <c r="B134" i="33"/>
  <c r="B130" i="33" s="1"/>
  <c r="B142" i="33"/>
  <c r="AG142" i="33" s="1"/>
  <c r="K142" i="25" s="1"/>
  <c r="B137" i="33"/>
  <c r="B129" i="33"/>
  <c r="AG237" i="33"/>
  <c r="K238" i="25" s="1"/>
  <c r="AG236" i="33"/>
  <c r="K237" i="25" s="1"/>
  <c r="AG232" i="33"/>
  <c r="K233" i="25" s="1"/>
  <c r="AF231" i="33"/>
  <c r="AE231" i="33"/>
  <c r="AD231" i="33"/>
  <c r="AC231" i="33"/>
  <c r="AB231" i="33"/>
  <c r="AA231" i="33"/>
  <c r="Z231" i="33"/>
  <c r="Y231" i="33"/>
  <c r="X231" i="33"/>
  <c r="W231" i="33"/>
  <c r="V231" i="33"/>
  <c r="U231" i="33"/>
  <c r="T231" i="33"/>
  <c r="S231" i="33"/>
  <c r="R231" i="33"/>
  <c r="Q231" i="33"/>
  <c r="P231" i="33"/>
  <c r="O231" i="33"/>
  <c r="N231" i="33"/>
  <c r="M231" i="33"/>
  <c r="L231" i="33"/>
  <c r="K231" i="33"/>
  <c r="J231" i="33"/>
  <c r="I231" i="33"/>
  <c r="H231" i="33"/>
  <c r="G231" i="33"/>
  <c r="F231" i="33"/>
  <c r="E231" i="33"/>
  <c r="D231" i="33"/>
  <c r="C231" i="33"/>
  <c r="B231" i="33"/>
  <c r="AG230" i="33"/>
  <c r="K231" i="25" s="1"/>
  <c r="AG229" i="33"/>
  <c r="K230" i="25" s="1"/>
  <c r="AG228" i="33"/>
  <c r="K229" i="25" s="1"/>
  <c r="AF227" i="33"/>
  <c r="AE227" i="33"/>
  <c r="AD227" i="33"/>
  <c r="AC227" i="33"/>
  <c r="AB227" i="33"/>
  <c r="AA227" i="33"/>
  <c r="Z227" i="33"/>
  <c r="Y227" i="33"/>
  <c r="X227" i="33"/>
  <c r="W227" i="33"/>
  <c r="V227" i="33"/>
  <c r="U227" i="33"/>
  <c r="T227" i="33"/>
  <c r="S227" i="33"/>
  <c r="R227" i="33"/>
  <c r="Q227" i="33"/>
  <c r="P227" i="33"/>
  <c r="O227" i="33"/>
  <c r="N227" i="33"/>
  <c r="M227" i="33"/>
  <c r="L227" i="33"/>
  <c r="K227" i="33"/>
  <c r="J227" i="33"/>
  <c r="I227" i="33"/>
  <c r="H227" i="33"/>
  <c r="G227" i="33"/>
  <c r="F227" i="33"/>
  <c r="E227" i="33"/>
  <c r="D227" i="33"/>
  <c r="C227" i="33"/>
  <c r="B227" i="33"/>
  <c r="AG226" i="33"/>
  <c r="K227" i="25" s="1"/>
  <c r="AG225" i="33"/>
  <c r="K226" i="25" s="1"/>
  <c r="AG224" i="33"/>
  <c r="K225" i="25" s="1"/>
  <c r="AG223" i="33"/>
  <c r="K224" i="25" s="1"/>
  <c r="AG222" i="33"/>
  <c r="K223" i="25" s="1"/>
  <c r="AG221" i="33"/>
  <c r="K222" i="25" s="1"/>
  <c r="AG220" i="33"/>
  <c r="K221" i="25" s="1"/>
  <c r="AG219" i="33"/>
  <c r="K220" i="25" s="1"/>
  <c r="AG218" i="33"/>
  <c r="K219" i="25" s="1"/>
  <c r="AG217" i="33"/>
  <c r="K218" i="25" s="1"/>
  <c r="AG216" i="33"/>
  <c r="K217" i="25" s="1"/>
  <c r="AG215" i="33"/>
  <c r="K216" i="25" s="1"/>
  <c r="AG214" i="33"/>
  <c r="K215" i="25" s="1"/>
  <c r="AG213" i="33"/>
  <c r="K214" i="25" s="1"/>
  <c r="AG212" i="33"/>
  <c r="K213" i="25" s="1"/>
  <c r="AG211" i="33"/>
  <c r="K212" i="25" s="1"/>
  <c r="AG209" i="33"/>
  <c r="K210" i="25" s="1"/>
  <c r="AG208" i="33"/>
  <c r="K209" i="25" s="1"/>
  <c r="AG207" i="33"/>
  <c r="K208" i="25" s="1"/>
  <c r="AG206" i="33"/>
  <c r="K207" i="25" s="1"/>
  <c r="AG205" i="33"/>
  <c r="K206" i="25" s="1"/>
  <c r="AF204" i="33"/>
  <c r="AE204" i="33"/>
  <c r="AD204" i="33"/>
  <c r="AC204" i="33"/>
  <c r="AB204" i="33"/>
  <c r="AA204" i="33"/>
  <c r="Z204" i="33"/>
  <c r="Y204" i="33"/>
  <c r="X204" i="33"/>
  <c r="W204" i="33"/>
  <c r="V204" i="33"/>
  <c r="U204" i="33"/>
  <c r="T204" i="33"/>
  <c r="S204" i="33"/>
  <c r="R204" i="33"/>
  <c r="Q204" i="33"/>
  <c r="P204" i="33"/>
  <c r="O204" i="33"/>
  <c r="N204" i="33"/>
  <c r="M204" i="33"/>
  <c r="L204" i="33"/>
  <c r="K204" i="33"/>
  <c r="J204" i="33"/>
  <c r="I204" i="33"/>
  <c r="H204" i="33"/>
  <c r="G204" i="33"/>
  <c r="F204" i="33"/>
  <c r="E204" i="33"/>
  <c r="D204" i="33"/>
  <c r="C204" i="33"/>
  <c r="B204" i="33"/>
  <c r="AG203" i="33"/>
  <c r="K204" i="25" s="1"/>
  <c r="AG202" i="33"/>
  <c r="K203" i="25" s="1"/>
  <c r="AG201" i="33"/>
  <c r="K202" i="25" s="1"/>
  <c r="AG200" i="33"/>
  <c r="K201" i="25" s="1"/>
  <c r="AG199" i="33"/>
  <c r="K200" i="25" s="1"/>
  <c r="AG198" i="33"/>
  <c r="K199" i="25" s="1"/>
  <c r="AG197" i="33"/>
  <c r="K198" i="25" s="1"/>
  <c r="AG196" i="33"/>
  <c r="K197" i="25" s="1"/>
  <c r="AG195" i="33"/>
  <c r="K196" i="25" s="1"/>
  <c r="AG194" i="33"/>
  <c r="K195" i="25" s="1"/>
  <c r="AG193" i="33"/>
  <c r="K194" i="25" s="1"/>
  <c r="AG192" i="33"/>
  <c r="K193" i="25" s="1"/>
  <c r="AG191" i="33"/>
  <c r="K192" i="25" s="1"/>
  <c r="AG190" i="33"/>
  <c r="K191" i="25" s="1"/>
  <c r="AG189" i="33"/>
  <c r="K190" i="25" s="1"/>
  <c r="AG188" i="33"/>
  <c r="K189" i="25" s="1"/>
  <c r="AG187" i="33"/>
  <c r="K188" i="25" s="1"/>
  <c r="AG186" i="33"/>
  <c r="K186" i="25" s="1"/>
  <c r="AG185" i="33"/>
  <c r="K185" i="25" s="1"/>
  <c r="AG184" i="33"/>
  <c r="K184" i="25" s="1"/>
  <c r="AG183" i="33"/>
  <c r="K183" i="25" s="1"/>
  <c r="AG182" i="33"/>
  <c r="K182" i="25" s="1"/>
  <c r="AG181" i="33"/>
  <c r="K181" i="25" s="1"/>
  <c r="AG180" i="33"/>
  <c r="K180" i="25" s="1"/>
  <c r="AF179" i="33"/>
  <c r="AE179" i="33"/>
  <c r="AD179" i="33"/>
  <c r="AC179" i="33"/>
  <c r="AB179" i="33"/>
  <c r="AA179" i="33"/>
  <c r="Z179" i="33"/>
  <c r="Y179" i="33"/>
  <c r="X179" i="33"/>
  <c r="W179" i="33"/>
  <c r="V179" i="33"/>
  <c r="U179" i="33"/>
  <c r="T179" i="33"/>
  <c r="S179" i="33"/>
  <c r="R179" i="33"/>
  <c r="Q179" i="33"/>
  <c r="P179" i="33"/>
  <c r="O179" i="33"/>
  <c r="N179" i="33"/>
  <c r="M179" i="33"/>
  <c r="L179" i="33"/>
  <c r="K179" i="33"/>
  <c r="J179" i="33"/>
  <c r="I179" i="33"/>
  <c r="H179" i="33"/>
  <c r="G179" i="33"/>
  <c r="F179" i="33"/>
  <c r="E179" i="33"/>
  <c r="D179" i="33"/>
  <c r="C179" i="33"/>
  <c r="B179" i="33"/>
  <c r="AG178" i="33"/>
  <c r="AG177" i="33"/>
  <c r="AG176" i="33"/>
  <c r="K176" i="25" s="1"/>
  <c r="AG175" i="33"/>
  <c r="K175" i="25" s="1"/>
  <c r="AF174" i="33"/>
  <c r="AE174" i="33"/>
  <c r="AD174" i="33"/>
  <c r="AC174" i="33"/>
  <c r="AB174" i="33"/>
  <c r="AA174" i="33"/>
  <c r="Z174" i="33"/>
  <c r="Y174" i="33"/>
  <c r="X174" i="33"/>
  <c r="W174" i="33"/>
  <c r="V174" i="33"/>
  <c r="U174" i="33"/>
  <c r="T174" i="33"/>
  <c r="S174" i="33"/>
  <c r="R174" i="33"/>
  <c r="Q174" i="33"/>
  <c r="P174" i="33"/>
  <c r="O174" i="33"/>
  <c r="N174" i="33"/>
  <c r="M174" i="33"/>
  <c r="L174" i="33"/>
  <c r="K174" i="33"/>
  <c r="J174" i="33"/>
  <c r="I174" i="33"/>
  <c r="H174" i="33"/>
  <c r="G174" i="33"/>
  <c r="F174" i="33"/>
  <c r="E174" i="33"/>
  <c r="D174" i="33"/>
  <c r="C174" i="33"/>
  <c r="B174" i="33"/>
  <c r="AG173" i="33"/>
  <c r="K173" i="25" s="1"/>
  <c r="AG172" i="33"/>
  <c r="K172" i="25" s="1"/>
  <c r="AG171" i="33"/>
  <c r="K171" i="25" s="1"/>
  <c r="AG170" i="33"/>
  <c r="K170" i="25" s="1"/>
  <c r="AG169" i="33"/>
  <c r="K169" i="25" s="1"/>
  <c r="AG168" i="33"/>
  <c r="K168" i="25" s="1"/>
  <c r="AF167" i="33"/>
  <c r="AE167" i="33"/>
  <c r="AD167" i="33"/>
  <c r="AC167" i="33"/>
  <c r="AB167" i="33"/>
  <c r="AA167" i="33"/>
  <c r="Z167" i="33"/>
  <c r="Y167" i="33"/>
  <c r="X167" i="33"/>
  <c r="W167" i="33"/>
  <c r="V167" i="33"/>
  <c r="U167" i="33"/>
  <c r="T167" i="33"/>
  <c r="S167" i="33"/>
  <c r="R167" i="33"/>
  <c r="Q167" i="33"/>
  <c r="P167" i="33"/>
  <c r="O167" i="33"/>
  <c r="N167" i="33"/>
  <c r="M167" i="33"/>
  <c r="L167" i="33"/>
  <c r="K167" i="33"/>
  <c r="J167" i="33"/>
  <c r="I167" i="33"/>
  <c r="H167" i="33"/>
  <c r="G167" i="33"/>
  <c r="F167" i="33"/>
  <c r="E167" i="33"/>
  <c r="D167" i="33"/>
  <c r="C167" i="33"/>
  <c r="B167" i="33"/>
  <c r="AG166" i="33"/>
  <c r="K166" i="25" s="1"/>
  <c r="AG165" i="33"/>
  <c r="K165" i="25" s="1"/>
  <c r="AG164" i="33"/>
  <c r="K164" i="25" s="1"/>
  <c r="AG163" i="33"/>
  <c r="K163" i="25" s="1"/>
  <c r="AG162" i="33"/>
  <c r="K162" i="25" s="1"/>
  <c r="AG161" i="33"/>
  <c r="K161" i="25" s="1"/>
  <c r="AG160" i="33"/>
  <c r="K160" i="25" s="1"/>
  <c r="AG159" i="33"/>
  <c r="K159" i="25" s="1"/>
  <c r="AF158" i="33"/>
  <c r="AE158" i="33"/>
  <c r="AD158" i="33"/>
  <c r="AC158" i="33"/>
  <c r="AB158" i="33"/>
  <c r="AA158" i="33"/>
  <c r="Z158" i="33"/>
  <c r="Y158" i="33"/>
  <c r="X158" i="33"/>
  <c r="W158" i="33"/>
  <c r="V158" i="33"/>
  <c r="U158" i="33"/>
  <c r="T158" i="33"/>
  <c r="S158" i="33"/>
  <c r="R158" i="33"/>
  <c r="Q158" i="33"/>
  <c r="P158" i="33"/>
  <c r="O158" i="33"/>
  <c r="N158" i="33"/>
  <c r="M158" i="33"/>
  <c r="L158" i="33"/>
  <c r="K158" i="33"/>
  <c r="J158" i="33"/>
  <c r="I158" i="33"/>
  <c r="H158" i="33"/>
  <c r="G158" i="33"/>
  <c r="F158" i="33"/>
  <c r="E158" i="33"/>
  <c r="D158" i="33"/>
  <c r="C158" i="33"/>
  <c r="B158" i="33"/>
  <c r="AG157" i="33"/>
  <c r="K157" i="25" s="1"/>
  <c r="AG156" i="33"/>
  <c r="K156" i="25" s="1"/>
  <c r="AG155" i="33"/>
  <c r="K155" i="25" s="1"/>
  <c r="AG154" i="33"/>
  <c r="K154" i="25" s="1"/>
  <c r="AG153" i="33"/>
  <c r="K153" i="25" s="1"/>
  <c r="AG152" i="33"/>
  <c r="K152" i="25" s="1"/>
  <c r="AG151" i="33"/>
  <c r="K151" i="25" s="1"/>
  <c r="AG150" i="33"/>
  <c r="K150" i="25" s="1"/>
  <c r="AG149" i="33"/>
  <c r="K149" i="25" s="1"/>
  <c r="AF148" i="33"/>
  <c r="AF146" i="33" s="1"/>
  <c r="AF144" i="33" s="1"/>
  <c r="AE148" i="33"/>
  <c r="AE146" i="33" s="1"/>
  <c r="AE144" i="33" s="1"/>
  <c r="AD148" i="33"/>
  <c r="AC148" i="33"/>
  <c r="AB148" i="33"/>
  <c r="AB146" i="33" s="1"/>
  <c r="AB144" i="33" s="1"/>
  <c r="AA148" i="33"/>
  <c r="AA146" i="33" s="1"/>
  <c r="Z148" i="33"/>
  <c r="Y148" i="33"/>
  <c r="X148" i="33"/>
  <c r="X146" i="33" s="1"/>
  <c r="X144" i="33" s="1"/>
  <c r="W148" i="33"/>
  <c r="W146" i="33" s="1"/>
  <c r="V148" i="33"/>
  <c r="U148" i="33"/>
  <c r="T148" i="33"/>
  <c r="T146" i="33" s="1"/>
  <c r="T144" i="33" s="1"/>
  <c r="S148" i="33"/>
  <c r="S146" i="33" s="1"/>
  <c r="S144" i="33" s="1"/>
  <c r="R148" i="33"/>
  <c r="Q148" i="33"/>
  <c r="P148" i="33"/>
  <c r="P146" i="33" s="1"/>
  <c r="P144" i="33" s="1"/>
  <c r="O148" i="33"/>
  <c r="O146" i="33" s="1"/>
  <c r="O144" i="33" s="1"/>
  <c r="N148" i="33"/>
  <c r="M148" i="33"/>
  <c r="L148" i="33"/>
  <c r="L146" i="33" s="1"/>
  <c r="L144" i="33" s="1"/>
  <c r="K148" i="33"/>
  <c r="K146" i="33" s="1"/>
  <c r="K144" i="33" s="1"/>
  <c r="J148" i="33"/>
  <c r="I148" i="33"/>
  <c r="H148" i="33"/>
  <c r="H146" i="33" s="1"/>
  <c r="H144" i="33" s="1"/>
  <c r="G148" i="33"/>
  <c r="G146" i="33" s="1"/>
  <c r="G144" i="33" s="1"/>
  <c r="F148" i="33"/>
  <c r="F146" i="33" s="1"/>
  <c r="E148" i="33"/>
  <c r="D148" i="33"/>
  <c r="D146" i="33" s="1"/>
  <c r="D144" i="33" s="1"/>
  <c r="C148" i="33"/>
  <c r="C146" i="33" s="1"/>
  <c r="C144" i="33" s="1"/>
  <c r="B148" i="33"/>
  <c r="AE147" i="33"/>
  <c r="AD147" i="33"/>
  <c r="AC147" i="33"/>
  <c r="AB147" i="33"/>
  <c r="AA147" i="33"/>
  <c r="Z147" i="33"/>
  <c r="Y147" i="33"/>
  <c r="X147" i="33"/>
  <c r="W147" i="33"/>
  <c r="V147" i="33"/>
  <c r="U147" i="33"/>
  <c r="T147" i="33"/>
  <c r="S147" i="33"/>
  <c r="R147" i="33"/>
  <c r="Q147" i="33"/>
  <c r="P147" i="33"/>
  <c r="O147" i="33"/>
  <c r="N147" i="33"/>
  <c r="M147" i="33"/>
  <c r="L147" i="33"/>
  <c r="K147" i="33"/>
  <c r="J147" i="33"/>
  <c r="I147" i="33"/>
  <c r="H147" i="33"/>
  <c r="G147" i="33"/>
  <c r="F147" i="33"/>
  <c r="E147" i="33"/>
  <c r="D147" i="33"/>
  <c r="C147" i="33"/>
  <c r="B147" i="33"/>
  <c r="AD146" i="33"/>
  <c r="AD144" i="33" s="1"/>
  <c r="AC146" i="33"/>
  <c r="AC144" i="33" s="1"/>
  <c r="Z146" i="33"/>
  <c r="Y146" i="33"/>
  <c r="Y144" i="33" s="1"/>
  <c r="V146" i="33"/>
  <c r="V144" i="33" s="1"/>
  <c r="U146" i="33"/>
  <c r="R146" i="33"/>
  <c r="Q146" i="33"/>
  <c r="Q144" i="33" s="1"/>
  <c r="N146" i="33"/>
  <c r="M146" i="33"/>
  <c r="J146" i="33"/>
  <c r="I146" i="33"/>
  <c r="I144" i="33" s="1"/>
  <c r="E146" i="33"/>
  <c r="E144" i="33" s="1"/>
  <c r="B146" i="33"/>
  <c r="AF145" i="33"/>
  <c r="AE145" i="33"/>
  <c r="AD145" i="33"/>
  <c r="AC145" i="33"/>
  <c r="AB145" i="33"/>
  <c r="AA145" i="33"/>
  <c r="Z145" i="33"/>
  <c r="Y145" i="33"/>
  <c r="X145" i="33"/>
  <c r="W145" i="33"/>
  <c r="V145" i="33"/>
  <c r="U145" i="33"/>
  <c r="T145" i="33"/>
  <c r="S145" i="33"/>
  <c r="R145" i="33"/>
  <c r="Q145" i="33"/>
  <c r="P145" i="33"/>
  <c r="O145" i="33"/>
  <c r="N145" i="33"/>
  <c r="M145" i="33"/>
  <c r="L145" i="33"/>
  <c r="K145" i="33"/>
  <c r="J145" i="33"/>
  <c r="I145" i="33"/>
  <c r="H145" i="33"/>
  <c r="G145" i="33"/>
  <c r="F145" i="33"/>
  <c r="E145" i="33"/>
  <c r="D145" i="33"/>
  <c r="C145" i="33"/>
  <c r="B145" i="33"/>
  <c r="Z144" i="33"/>
  <c r="R144" i="33"/>
  <c r="J144" i="33"/>
  <c r="B144" i="33"/>
  <c r="AG141" i="33"/>
  <c r="K141" i="25" s="1"/>
  <c r="AG140" i="33"/>
  <c r="K140" i="25" s="1"/>
  <c r="AG138" i="33"/>
  <c r="K138" i="25" s="1"/>
  <c r="AG137" i="33"/>
  <c r="K137" i="25" s="1"/>
  <c r="AG136" i="33"/>
  <c r="K136" i="25" s="1"/>
  <c r="AG135" i="33"/>
  <c r="K135" i="25" s="1"/>
  <c r="AG133" i="33"/>
  <c r="K133" i="25" s="1"/>
  <c r="AG132" i="33"/>
  <c r="K132" i="25" s="1"/>
  <c r="AG131" i="33"/>
  <c r="K131" i="25" s="1"/>
  <c r="AF130" i="33"/>
  <c r="AE130" i="33"/>
  <c r="AD130" i="33"/>
  <c r="AC130" i="33"/>
  <c r="AB130" i="33"/>
  <c r="AA130" i="33"/>
  <c r="Z130" i="33"/>
  <c r="Y130" i="33"/>
  <c r="X130" i="33"/>
  <c r="W130" i="33"/>
  <c r="V130" i="33"/>
  <c r="U130" i="33"/>
  <c r="T130" i="33"/>
  <c r="S130" i="33"/>
  <c r="R130" i="33"/>
  <c r="Q130" i="33"/>
  <c r="P130" i="33"/>
  <c r="O130" i="33"/>
  <c r="N130" i="33"/>
  <c r="M130" i="33"/>
  <c r="L130" i="33"/>
  <c r="K130" i="33"/>
  <c r="J130" i="33"/>
  <c r="I130" i="33"/>
  <c r="H130" i="33"/>
  <c r="G130" i="33"/>
  <c r="F130" i="33"/>
  <c r="AG128" i="33"/>
  <c r="K128" i="25" s="1"/>
  <c r="AG127" i="33"/>
  <c r="K127" i="25" s="1"/>
  <c r="AG126" i="33"/>
  <c r="K126" i="25" s="1"/>
  <c r="AG125" i="33"/>
  <c r="K125" i="25" s="1"/>
  <c r="AG124" i="33"/>
  <c r="K124" i="25" s="1"/>
  <c r="AG123" i="33"/>
  <c r="K123" i="25" s="1"/>
  <c r="AG122" i="33"/>
  <c r="K122" i="25" s="1"/>
  <c r="AG121" i="33"/>
  <c r="K121" i="25" s="1"/>
  <c r="AG120" i="33"/>
  <c r="K120" i="25" s="1"/>
  <c r="AG119" i="33"/>
  <c r="K119" i="25" s="1"/>
  <c r="AG118" i="33"/>
  <c r="K118" i="25" s="1"/>
  <c r="AG117" i="33"/>
  <c r="K117" i="25" s="1"/>
  <c r="AF116" i="33"/>
  <c r="AE116" i="33"/>
  <c r="AD116" i="33"/>
  <c r="AC116" i="33"/>
  <c r="AB116" i="33"/>
  <c r="AA116" i="33"/>
  <c r="Z116" i="33"/>
  <c r="Y116" i="33"/>
  <c r="X116" i="33"/>
  <c r="W116" i="33"/>
  <c r="V116" i="33"/>
  <c r="U116" i="33"/>
  <c r="T116" i="33"/>
  <c r="S116" i="33"/>
  <c r="R116" i="33"/>
  <c r="Q116" i="33"/>
  <c r="P116" i="33"/>
  <c r="O116" i="33"/>
  <c r="N116" i="33"/>
  <c r="M116" i="33"/>
  <c r="L116" i="33"/>
  <c r="K116" i="33"/>
  <c r="J116" i="33"/>
  <c r="I116" i="33"/>
  <c r="H116" i="33"/>
  <c r="G116" i="33"/>
  <c r="E116" i="33"/>
  <c r="D116" i="33"/>
  <c r="C116" i="33"/>
  <c r="B116" i="33"/>
  <c r="AG115" i="33"/>
  <c r="AG114" i="33"/>
  <c r="K114" i="25" s="1"/>
  <c r="AG113" i="33"/>
  <c r="K113" i="25" s="1"/>
  <c r="AG112" i="33"/>
  <c r="K112" i="25" s="1"/>
  <c r="AG111" i="33"/>
  <c r="K111" i="25" s="1"/>
  <c r="AG110" i="33"/>
  <c r="K110" i="25" s="1"/>
  <c r="AG109" i="33"/>
  <c r="K109" i="25" s="1"/>
  <c r="AG108" i="33"/>
  <c r="K108" i="25" s="1"/>
  <c r="AG107" i="33"/>
  <c r="K107" i="25" s="1"/>
  <c r="AG106" i="33"/>
  <c r="K106" i="25" s="1"/>
  <c r="AG105" i="33"/>
  <c r="K105" i="25" s="1"/>
  <c r="AG104" i="33"/>
  <c r="K104" i="25" s="1"/>
  <c r="AG103" i="33"/>
  <c r="K103" i="25" s="1"/>
  <c r="AG102" i="33"/>
  <c r="K102" i="25" s="1"/>
  <c r="AG101" i="33"/>
  <c r="K101" i="25" s="1"/>
  <c r="AF100" i="33"/>
  <c r="AE100" i="33"/>
  <c r="AD100" i="33"/>
  <c r="AC100" i="33"/>
  <c r="AB100" i="33"/>
  <c r="AA100" i="33"/>
  <c r="Z100" i="33"/>
  <c r="Y100" i="33"/>
  <c r="X100" i="33"/>
  <c r="W100" i="33"/>
  <c r="V100" i="33"/>
  <c r="U100" i="33"/>
  <c r="T100" i="33"/>
  <c r="S100" i="33"/>
  <c r="R100" i="33"/>
  <c r="Q100" i="33"/>
  <c r="P100" i="33"/>
  <c r="O100" i="33"/>
  <c r="N100" i="33"/>
  <c r="M100" i="33"/>
  <c r="L100" i="33"/>
  <c r="K100" i="33"/>
  <c r="J100" i="33"/>
  <c r="I100" i="33"/>
  <c r="H100" i="33"/>
  <c r="G100" i="33"/>
  <c r="F100" i="33"/>
  <c r="E100" i="33"/>
  <c r="D100" i="33"/>
  <c r="C100" i="33"/>
  <c r="B100" i="33"/>
  <c r="AG99" i="33"/>
  <c r="K99" i="25" s="1"/>
  <c r="AG98" i="33"/>
  <c r="K98" i="25" s="1"/>
  <c r="AG97" i="33"/>
  <c r="K97" i="25" s="1"/>
  <c r="AG96" i="33"/>
  <c r="K96" i="25" s="1"/>
  <c r="AG95" i="33"/>
  <c r="K95" i="25" s="1"/>
  <c r="AF94" i="33"/>
  <c r="AE94" i="33"/>
  <c r="AD94" i="33"/>
  <c r="AD93" i="33" s="1"/>
  <c r="AC94" i="33"/>
  <c r="AC93" i="33" s="1"/>
  <c r="AB94" i="33"/>
  <c r="AA94" i="33"/>
  <c r="AA93" i="33" s="1"/>
  <c r="Z94" i="33"/>
  <c r="Y94" i="33"/>
  <c r="Y93" i="33" s="1"/>
  <c r="X94" i="33"/>
  <c r="W94" i="33"/>
  <c r="V94" i="33"/>
  <c r="V93" i="33" s="1"/>
  <c r="U94" i="33"/>
  <c r="U93" i="33" s="1"/>
  <c r="T94" i="33"/>
  <c r="S94" i="33"/>
  <c r="R94" i="33"/>
  <c r="R93" i="33" s="1"/>
  <c r="Q94" i="33"/>
  <c r="P94" i="33"/>
  <c r="O94" i="33"/>
  <c r="O93" i="33" s="1"/>
  <c r="N94" i="33"/>
  <c r="M94" i="33"/>
  <c r="M93" i="33" s="1"/>
  <c r="L94" i="33"/>
  <c r="K94" i="33"/>
  <c r="K93" i="33" s="1"/>
  <c r="J94" i="33"/>
  <c r="I94" i="33"/>
  <c r="I93" i="33" s="1"/>
  <c r="H94" i="33"/>
  <c r="G94" i="33"/>
  <c r="F94" i="33"/>
  <c r="F93" i="33" s="1"/>
  <c r="E94" i="33"/>
  <c r="E93" i="33" s="1"/>
  <c r="D94" i="33"/>
  <c r="C94" i="33"/>
  <c r="C93" i="33" s="1"/>
  <c r="B94" i="33"/>
  <c r="AE93" i="33"/>
  <c r="W93" i="33"/>
  <c r="S93" i="33"/>
  <c r="G93" i="33"/>
  <c r="B93" i="33"/>
  <c r="AG92" i="33"/>
  <c r="K92" i="25" s="1"/>
  <c r="AG91" i="33"/>
  <c r="K91" i="25" s="1"/>
  <c r="AG90" i="33"/>
  <c r="K90" i="25" s="1"/>
  <c r="AG89" i="33"/>
  <c r="K89" i="25" s="1"/>
  <c r="AG88" i="33"/>
  <c r="K88" i="25" s="1"/>
  <c r="AF87" i="33"/>
  <c r="AE87" i="33"/>
  <c r="AD87" i="33"/>
  <c r="AC87" i="33"/>
  <c r="AB87" i="33"/>
  <c r="AA87" i="33"/>
  <c r="Z87" i="33"/>
  <c r="Y87" i="33"/>
  <c r="X87" i="33"/>
  <c r="W87" i="33"/>
  <c r="V87" i="33"/>
  <c r="U87" i="33"/>
  <c r="T87" i="33"/>
  <c r="S87" i="33"/>
  <c r="R87" i="33"/>
  <c r="Q87" i="33"/>
  <c r="P87" i="33"/>
  <c r="O87" i="33"/>
  <c r="N87" i="33"/>
  <c r="M87" i="33"/>
  <c r="L87" i="33"/>
  <c r="K87" i="33"/>
  <c r="J87" i="33"/>
  <c r="I87" i="33"/>
  <c r="H87" i="33"/>
  <c r="G87" i="33"/>
  <c r="F87" i="33"/>
  <c r="E87" i="33"/>
  <c r="D87" i="33"/>
  <c r="C87" i="33"/>
  <c r="B87" i="33"/>
  <c r="AG86" i="33"/>
  <c r="K86" i="25" s="1"/>
  <c r="AG85" i="33"/>
  <c r="K85" i="25" s="1"/>
  <c r="AF84" i="33"/>
  <c r="AE84" i="33"/>
  <c r="AD84" i="33"/>
  <c r="AC84" i="33"/>
  <c r="AB84" i="33"/>
  <c r="AA84" i="33"/>
  <c r="Z84" i="33"/>
  <c r="Y84" i="33"/>
  <c r="X84" i="33"/>
  <c r="W84" i="33"/>
  <c r="V84" i="33"/>
  <c r="U84" i="33"/>
  <c r="T84" i="33"/>
  <c r="S84" i="33"/>
  <c r="R84" i="33"/>
  <c r="Q84" i="33"/>
  <c r="P84" i="33"/>
  <c r="O84" i="33"/>
  <c r="N84" i="33"/>
  <c r="M84" i="33"/>
  <c r="L84" i="33"/>
  <c r="K84" i="33"/>
  <c r="J84" i="33"/>
  <c r="I84" i="33"/>
  <c r="H84" i="33"/>
  <c r="G84" i="33"/>
  <c r="F84" i="33"/>
  <c r="E84" i="33"/>
  <c r="D84" i="33"/>
  <c r="C84" i="33"/>
  <c r="B84" i="33"/>
  <c r="U83" i="33"/>
  <c r="U81" i="33" s="1"/>
  <c r="T83" i="33"/>
  <c r="M83" i="33"/>
  <c r="M81" i="33" s="1"/>
  <c r="AF82" i="33"/>
  <c r="AF83" i="33" s="1"/>
  <c r="AF81" i="33" s="1"/>
  <c r="AE82" i="33"/>
  <c r="AD82" i="33"/>
  <c r="AD83" i="33" s="1"/>
  <c r="AC82" i="33"/>
  <c r="AC83" i="33" s="1"/>
  <c r="AC81" i="33" s="1"/>
  <c r="AB83" i="33"/>
  <c r="AB81" i="33" s="1"/>
  <c r="Z82" i="33"/>
  <c r="Z83" i="33" s="1"/>
  <c r="Z81" i="33" s="1"/>
  <c r="Y82" i="33"/>
  <c r="Y83" i="33" s="1"/>
  <c r="Y81" i="33" s="1"/>
  <c r="X82" i="33"/>
  <c r="X83" i="33" s="1"/>
  <c r="W82" i="33"/>
  <c r="V82" i="33"/>
  <c r="V83" i="33" s="1"/>
  <c r="V81" i="33" s="1"/>
  <c r="S82" i="33"/>
  <c r="S83" i="33" s="1"/>
  <c r="R82" i="33"/>
  <c r="R83" i="33" s="1"/>
  <c r="R81" i="33" s="1"/>
  <c r="Q82" i="33"/>
  <c r="Q83" i="33" s="1"/>
  <c r="Q81" i="33" s="1"/>
  <c r="P82" i="33"/>
  <c r="P83" i="33" s="1"/>
  <c r="P81" i="33" s="1"/>
  <c r="O82" i="33"/>
  <c r="N83" i="33"/>
  <c r="N81" i="33" s="1"/>
  <c r="L82" i="33"/>
  <c r="L83" i="33" s="1"/>
  <c r="L81" i="33" s="1"/>
  <c r="K82" i="33"/>
  <c r="J82" i="33"/>
  <c r="J83" i="33" s="1"/>
  <c r="J81" i="33" s="1"/>
  <c r="I82" i="33"/>
  <c r="H82" i="33"/>
  <c r="F83" i="33"/>
  <c r="F81" i="33" s="1"/>
  <c r="E82" i="33"/>
  <c r="E83" i="33" s="1"/>
  <c r="E81" i="33" s="1"/>
  <c r="D82" i="33"/>
  <c r="D83" i="33" s="1"/>
  <c r="D81" i="33" s="1"/>
  <c r="C82" i="33"/>
  <c r="C83" i="33" s="1"/>
  <c r="B82" i="33"/>
  <c r="B83" i="33" s="1"/>
  <c r="AD81" i="33"/>
  <c r="T81" i="33"/>
  <c r="AF80" i="33"/>
  <c r="AF79" i="33" s="1"/>
  <c r="AF78" i="33" s="1"/>
  <c r="AC80" i="33"/>
  <c r="AC79" i="33" s="1"/>
  <c r="AC78" i="33" s="1"/>
  <c r="AB80" i="33"/>
  <c r="AB79" i="33" s="1"/>
  <c r="AB78" i="33" s="1"/>
  <c r="AA80" i="33"/>
  <c r="AA79" i="33" s="1"/>
  <c r="AA78" i="33" s="1"/>
  <c r="Y80" i="33"/>
  <c r="Y79" i="33" s="1"/>
  <c r="Y78" i="33" s="1"/>
  <c r="V80" i="33"/>
  <c r="V79" i="33" s="1"/>
  <c r="V78" i="33" s="1"/>
  <c r="U80" i="33"/>
  <c r="U79" i="33" s="1"/>
  <c r="U78" i="33" s="1"/>
  <c r="T80" i="33"/>
  <c r="T79" i="33" s="1"/>
  <c r="T78" i="33" s="1"/>
  <c r="S80" i="33"/>
  <c r="S79" i="33" s="1"/>
  <c r="S78" i="33" s="1"/>
  <c r="R80" i="33"/>
  <c r="R79" i="33" s="1"/>
  <c r="R78" i="33" s="1"/>
  <c r="O80" i="33"/>
  <c r="N80" i="33"/>
  <c r="N79" i="33" s="1"/>
  <c r="N78" i="33" s="1"/>
  <c r="M80" i="33"/>
  <c r="M79" i="33" s="1"/>
  <c r="M78" i="33" s="1"/>
  <c r="H80" i="33"/>
  <c r="H79" i="33" s="1"/>
  <c r="H78" i="33" s="1"/>
  <c r="G80" i="33"/>
  <c r="F80" i="33"/>
  <c r="AE79" i="33"/>
  <c r="AE78" i="33" s="1"/>
  <c r="AD79" i="33"/>
  <c r="AD78" i="33" s="1"/>
  <c r="Z79" i="33"/>
  <c r="Z78" i="33" s="1"/>
  <c r="X79" i="33"/>
  <c r="X78" i="33" s="1"/>
  <c r="W79" i="33"/>
  <c r="Q79" i="33"/>
  <c r="Q78" i="33" s="1"/>
  <c r="P79" i="33"/>
  <c r="P78" i="33" s="1"/>
  <c r="O79" i="33"/>
  <c r="L79" i="33"/>
  <c r="K79" i="33"/>
  <c r="K78" i="33" s="1"/>
  <c r="J79" i="33"/>
  <c r="J78" i="33" s="1"/>
  <c r="I79" i="33"/>
  <c r="I78" i="33" s="1"/>
  <c r="G79" i="33"/>
  <c r="G78" i="33" s="1"/>
  <c r="E79" i="33"/>
  <c r="E78" i="33" s="1"/>
  <c r="D79" i="33"/>
  <c r="D78" i="33" s="1"/>
  <c r="C79" i="33"/>
  <c r="C78" i="33" s="1"/>
  <c r="B79" i="33"/>
  <c r="W78" i="33"/>
  <c r="O78" i="33"/>
  <c r="L78" i="33"/>
  <c r="AG77" i="33"/>
  <c r="K77" i="25" s="1"/>
  <c r="AG76" i="33"/>
  <c r="K76" i="25" s="1"/>
  <c r="AG75" i="33"/>
  <c r="K75" i="25" s="1"/>
  <c r="AG74" i="33"/>
  <c r="K74" i="25" s="1"/>
  <c r="AG73" i="33"/>
  <c r="K73" i="25" s="1"/>
  <c r="AG72" i="33"/>
  <c r="K72" i="25" s="1"/>
  <c r="AG71" i="33"/>
  <c r="K71" i="25" s="1"/>
  <c r="AG70" i="33"/>
  <c r="K70" i="25" s="1"/>
  <c r="AG69" i="33"/>
  <c r="K69" i="25" s="1"/>
  <c r="AG68" i="33"/>
  <c r="K68" i="25" s="1"/>
  <c r="AG67" i="33"/>
  <c r="K67" i="25" s="1"/>
  <c r="AG66" i="33"/>
  <c r="K66" i="25" s="1"/>
  <c r="AG65" i="33"/>
  <c r="K65" i="25" s="1"/>
  <c r="AG64" i="33"/>
  <c r="K64" i="25" s="1"/>
  <c r="AG63" i="33"/>
  <c r="K63" i="25" s="1"/>
  <c r="AG62" i="33"/>
  <c r="K62" i="25" s="1"/>
  <c r="AG61" i="33"/>
  <c r="K61" i="25" s="1"/>
  <c r="AG60" i="33"/>
  <c r="K60" i="25" s="1"/>
  <c r="AG59" i="33"/>
  <c r="K59" i="25" s="1"/>
  <c r="AG58" i="33"/>
  <c r="K58" i="25" s="1"/>
  <c r="AG57" i="33"/>
  <c r="K57" i="25" s="1"/>
  <c r="AG56" i="33"/>
  <c r="K56" i="25" s="1"/>
  <c r="AG55" i="33"/>
  <c r="K55" i="25" s="1"/>
  <c r="AG54" i="33"/>
  <c r="K54" i="25" s="1"/>
  <c r="AF53" i="33"/>
  <c r="AE53" i="33"/>
  <c r="AD53" i="33"/>
  <c r="AC53" i="33"/>
  <c r="AB53" i="33"/>
  <c r="AA53" i="33"/>
  <c r="Z53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AG52" i="33"/>
  <c r="K52" i="25" s="1"/>
  <c r="AG51" i="33"/>
  <c r="K51" i="25" s="1"/>
  <c r="AG50" i="33"/>
  <c r="K50" i="25" s="1"/>
  <c r="AG49" i="33"/>
  <c r="K49" i="25" s="1"/>
  <c r="AG48" i="33"/>
  <c r="K48" i="25" s="1"/>
  <c r="AG47" i="33"/>
  <c r="K47" i="25" s="1"/>
  <c r="AG46" i="33"/>
  <c r="K46" i="25" s="1"/>
  <c r="AG45" i="33"/>
  <c r="K45" i="25" s="1"/>
  <c r="AG44" i="33"/>
  <c r="K44" i="25" s="1"/>
  <c r="AG43" i="33"/>
  <c r="K43" i="25" s="1"/>
  <c r="AG42" i="33"/>
  <c r="K42" i="25" s="1"/>
  <c r="AG41" i="33"/>
  <c r="K41" i="25" s="1"/>
  <c r="AG40" i="33"/>
  <c r="K40" i="25" s="1"/>
  <c r="AG39" i="33"/>
  <c r="K39" i="25" s="1"/>
  <c r="AG38" i="33"/>
  <c r="K38" i="25" s="1"/>
  <c r="AG37" i="33"/>
  <c r="K37" i="25" s="1"/>
  <c r="AG36" i="33"/>
  <c r="K36" i="25" s="1"/>
  <c r="AG35" i="33"/>
  <c r="K35" i="25" s="1"/>
  <c r="AG34" i="33"/>
  <c r="K34" i="25" s="1"/>
  <c r="AG33" i="33"/>
  <c r="K33" i="25" s="1"/>
  <c r="AG32" i="33"/>
  <c r="K32" i="25" s="1"/>
  <c r="AG31" i="33"/>
  <c r="K31" i="25" s="1"/>
  <c r="AG30" i="33"/>
  <c r="K30" i="25" s="1"/>
  <c r="AG29" i="33"/>
  <c r="K29" i="25" s="1"/>
  <c r="AF28" i="33"/>
  <c r="AE28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G27" i="33"/>
  <c r="K27" i="25" s="1"/>
  <c r="AG26" i="33"/>
  <c r="K26" i="25" s="1"/>
  <c r="AG25" i="33"/>
  <c r="K25" i="25" s="1"/>
  <c r="AG24" i="33"/>
  <c r="K24" i="25" s="1"/>
  <c r="AG23" i="33"/>
  <c r="K23" i="25" s="1"/>
  <c r="AG22" i="33"/>
  <c r="K22" i="25" s="1"/>
  <c r="AG21" i="33"/>
  <c r="K21" i="25" s="1"/>
  <c r="AG20" i="33"/>
  <c r="K20" i="25" s="1"/>
  <c r="AG19" i="33"/>
  <c r="K19" i="25" s="1"/>
  <c r="AG18" i="33"/>
  <c r="K18" i="25" s="1"/>
  <c r="AG17" i="33"/>
  <c r="K17" i="25" s="1"/>
  <c r="AG16" i="33"/>
  <c r="K16" i="25" s="1"/>
  <c r="AG15" i="33"/>
  <c r="K15" i="25" s="1"/>
  <c r="AG14" i="33"/>
  <c r="K14" i="25" s="1"/>
  <c r="AG13" i="33"/>
  <c r="K13" i="25" s="1"/>
  <c r="AG12" i="33"/>
  <c r="K12" i="25" s="1"/>
  <c r="AG11" i="33"/>
  <c r="K11" i="25" s="1"/>
  <c r="AG10" i="33"/>
  <c r="K10" i="25" s="1"/>
  <c r="AG9" i="33"/>
  <c r="K9" i="25" s="1"/>
  <c r="AG8" i="33"/>
  <c r="K8" i="25" s="1"/>
  <c r="AG7" i="33"/>
  <c r="K7" i="25" s="1"/>
  <c r="AG6" i="33"/>
  <c r="K6" i="25" s="1"/>
  <c r="AG5" i="33"/>
  <c r="K5" i="25" s="1"/>
  <c r="AG4" i="33"/>
  <c r="K4" i="25" s="1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C2" i="33"/>
  <c r="D2" i="33"/>
  <c r="E2" i="33" s="1"/>
  <c r="F2" i="33" s="1"/>
  <c r="G2" i="33" s="1"/>
  <c r="H2" i="33" s="1"/>
  <c r="I2" i="33" s="1"/>
  <c r="J2" i="33" s="1"/>
  <c r="K2" i="33" s="1"/>
  <c r="L2" i="33" s="1"/>
  <c r="M2" i="33" s="1"/>
  <c r="N2" i="33" s="1"/>
  <c r="O2" i="33" s="1"/>
  <c r="P2" i="33" s="1"/>
  <c r="Q2" i="33" s="1"/>
  <c r="R2" i="33" s="1"/>
  <c r="S2" i="33" s="1"/>
  <c r="T2" i="33" s="1"/>
  <c r="U2" i="33" s="1"/>
  <c r="V2" i="33" s="1"/>
  <c r="W2" i="33" s="1"/>
  <c r="X2" i="33" s="1"/>
  <c r="Y2" i="33" s="1"/>
  <c r="Z2" i="33" s="1"/>
  <c r="AA2" i="33" s="1"/>
  <c r="C2" i="33"/>
  <c r="J93" i="33" l="1"/>
  <c r="AG139" i="33"/>
  <c r="K139" i="25" s="1"/>
  <c r="C130" i="33"/>
  <c r="AG134" i="33"/>
  <c r="K134" i="25" s="1"/>
  <c r="I83" i="33"/>
  <c r="I81" i="33" s="1"/>
  <c r="H83" i="33"/>
  <c r="H81" i="33" s="1"/>
  <c r="AG231" i="33"/>
  <c r="K232" i="25" s="1"/>
  <c r="AG227" i="33"/>
  <c r="K228" i="25" s="1"/>
  <c r="AF93" i="33"/>
  <c r="AB93" i="33"/>
  <c r="AA144" i="33"/>
  <c r="Z93" i="33"/>
  <c r="X93" i="33"/>
  <c r="X81" i="33"/>
  <c r="W144" i="33"/>
  <c r="U144" i="33"/>
  <c r="T93" i="33"/>
  <c r="Q93" i="33"/>
  <c r="P93" i="33"/>
  <c r="N144" i="33"/>
  <c r="AG167" i="33"/>
  <c r="K167" i="25" s="1"/>
  <c r="N93" i="33"/>
  <c r="M144" i="33"/>
  <c r="AG80" i="33"/>
  <c r="K80" i="25" s="1"/>
  <c r="L93" i="33"/>
  <c r="H93" i="33"/>
  <c r="F144" i="33"/>
  <c r="AG129" i="33"/>
  <c r="K129" i="25" s="1"/>
  <c r="AG84" i="33"/>
  <c r="K84" i="25" s="1"/>
  <c r="F79" i="33"/>
  <c r="F78" i="33" s="1"/>
  <c r="AG158" i="33"/>
  <c r="K158" i="25" s="1"/>
  <c r="AG143" i="33"/>
  <c r="K143" i="25" s="1"/>
  <c r="D130" i="33"/>
  <c r="AG130" i="33" s="1"/>
  <c r="K130" i="25" s="1"/>
  <c r="AG28" i="33"/>
  <c r="K28" i="25" s="1"/>
  <c r="AG145" i="33"/>
  <c r="K145" i="25" s="1"/>
  <c r="AG53" i="33"/>
  <c r="K53" i="25" s="1"/>
  <c r="AG3" i="33"/>
  <c r="K3" i="25" s="1"/>
  <c r="AG79" i="33"/>
  <c r="K79" i="25" s="1"/>
  <c r="AG179" i="33"/>
  <c r="K179" i="25" s="1"/>
  <c r="AG204" i="33"/>
  <c r="K205" i="25" s="1"/>
  <c r="AG174" i="33"/>
  <c r="K174" i="25" s="1"/>
  <c r="AG116" i="33"/>
  <c r="K116" i="25" s="1"/>
  <c r="AG100" i="33"/>
  <c r="K100" i="25" s="1"/>
  <c r="AG87" i="33"/>
  <c r="K87" i="25" s="1"/>
  <c r="B78" i="33"/>
  <c r="C81" i="33"/>
  <c r="S81" i="33"/>
  <c r="O83" i="33"/>
  <c r="O81" i="33" s="1"/>
  <c r="AE83" i="33"/>
  <c r="AE81" i="33" s="1"/>
  <c r="AG94" i="33"/>
  <c r="K94" i="25" s="1"/>
  <c r="AG147" i="33"/>
  <c r="K147" i="25" s="1"/>
  <c r="K83" i="33"/>
  <c r="K81" i="33" s="1"/>
  <c r="AA83" i="33"/>
  <c r="AA81" i="33" s="1"/>
  <c r="D93" i="33"/>
  <c r="B81" i="33"/>
  <c r="AG82" i="33"/>
  <c r="K82" i="25" s="1"/>
  <c r="G83" i="33"/>
  <c r="W83" i="33"/>
  <c r="W81" i="33" s="1"/>
  <c r="AG148" i="33"/>
  <c r="AE143" i="32"/>
  <c r="AE142" i="32"/>
  <c r="AE129" i="32"/>
  <c r="AD143" i="32"/>
  <c r="AD134" i="32"/>
  <c r="AD137" i="32"/>
  <c r="AD129" i="32"/>
  <c r="AC143" i="32"/>
  <c r="AC142" i="32"/>
  <c r="AC139" i="32"/>
  <c r="AC129" i="32"/>
  <c r="AG146" i="33" l="1"/>
  <c r="K146" i="25" s="1"/>
  <c r="K148" i="25"/>
  <c r="AG144" i="33"/>
  <c r="K144" i="25" s="1"/>
  <c r="AG83" i="33"/>
  <c r="K83" i="25" s="1"/>
  <c r="AG93" i="33"/>
  <c r="AH87" i="33"/>
  <c r="AG78" i="33"/>
  <c r="K78" i="25" s="1"/>
  <c r="AH84" i="33"/>
  <c r="G81" i="33"/>
  <c r="AG81" i="33" s="1"/>
  <c r="AB143" i="32"/>
  <c r="AB142" i="32"/>
  <c r="AB137" i="32"/>
  <c r="AB129" i="32"/>
  <c r="AA143" i="32"/>
  <c r="AA142" i="32"/>
  <c r="AA139" i="32"/>
  <c r="AA134" i="32"/>
  <c r="AA137" i="32"/>
  <c r="AA129" i="32"/>
  <c r="Z143" i="32"/>
  <c r="Z142" i="32"/>
  <c r="Z139" i="32"/>
  <c r="Z129" i="32"/>
  <c r="Y143" i="32"/>
  <c r="Y134" i="32"/>
  <c r="Y142" i="32"/>
  <c r="Y129" i="32"/>
  <c r="AH204" i="33" l="1"/>
  <c r="K93" i="25"/>
  <c r="AH81" i="33"/>
  <c r="K81" i="25"/>
  <c r="AH130" i="33"/>
  <c r="AH144" i="33"/>
  <c r="AH93" i="33"/>
  <c r="X143" i="32"/>
  <c r="X142" i="32"/>
  <c r="X139" i="32"/>
  <c r="X137" i="32"/>
  <c r="X129" i="32"/>
  <c r="W143" i="32" l="1"/>
  <c r="W142" i="32"/>
  <c r="W139" i="32"/>
  <c r="W137" i="32"/>
  <c r="W129" i="32"/>
  <c r="V143" i="32" l="1"/>
  <c r="V142" i="32"/>
  <c r="V139" i="32"/>
  <c r="V137" i="32"/>
  <c r="V129" i="32"/>
  <c r="U143" i="32"/>
  <c r="U142" i="32"/>
  <c r="U139" i="32"/>
  <c r="U134" i="32"/>
  <c r="U137" i="32"/>
  <c r="U129" i="32"/>
  <c r="T143" i="32" l="1"/>
  <c r="T142" i="32"/>
  <c r="T139" i="32"/>
  <c r="T137" i="32"/>
  <c r="T129" i="32"/>
  <c r="M143" i="32"/>
  <c r="M142" i="32"/>
  <c r="M139" i="32"/>
  <c r="M134" i="32"/>
  <c r="M137" i="32"/>
  <c r="S143" i="32"/>
  <c r="S142" i="32"/>
  <c r="S134" i="32"/>
  <c r="S129" i="32"/>
  <c r="R143" i="32"/>
  <c r="R142" i="32"/>
  <c r="R129" i="32"/>
  <c r="Q143" i="32" l="1"/>
  <c r="Q134" i="32"/>
  <c r="Q142" i="32"/>
  <c r="Q129" i="32"/>
  <c r="P143" i="32" l="1"/>
  <c r="P142" i="32"/>
  <c r="P139" i="32"/>
  <c r="P137" i="32"/>
  <c r="P129" i="32"/>
  <c r="O143" i="32" l="1"/>
  <c r="O142" i="32"/>
  <c r="O137" i="32"/>
  <c r="O129" i="32"/>
  <c r="N143" i="32"/>
  <c r="N134" i="32"/>
  <c r="N142" i="32"/>
  <c r="N139" i="32" l="1"/>
  <c r="N137" i="32"/>
  <c r="N129" i="32"/>
  <c r="M129" i="32" l="1"/>
  <c r="L143" i="32" l="1"/>
  <c r="L134" i="32"/>
  <c r="L142" i="32"/>
  <c r="L137" i="32"/>
  <c r="L129" i="32"/>
  <c r="K173" i="32" l="1"/>
  <c r="K143" i="32"/>
  <c r="K142" i="32"/>
  <c r="K139" i="32"/>
  <c r="K134" i="32"/>
  <c r="K137" i="32"/>
  <c r="K129" i="32"/>
  <c r="J143" i="32" l="1"/>
  <c r="J134" i="32"/>
  <c r="J142" i="32"/>
  <c r="J137" i="32"/>
  <c r="J129" i="32"/>
  <c r="I143" i="32" l="1"/>
  <c r="I142" i="32"/>
  <c r="I129" i="32"/>
  <c r="H143" i="32"/>
  <c r="H142" i="32"/>
  <c r="H139" i="32"/>
  <c r="H129" i="32"/>
  <c r="G143" i="32"/>
  <c r="G134" i="32"/>
  <c r="G142" i="32"/>
  <c r="G139" i="32"/>
  <c r="G137" i="32"/>
  <c r="G129" i="32"/>
  <c r="F143" i="32"/>
  <c r="F142" i="32"/>
  <c r="F129" i="32"/>
  <c r="E143" i="32" l="1"/>
  <c r="E142" i="32"/>
  <c r="E129" i="32"/>
  <c r="D143" i="32" l="1"/>
  <c r="D142" i="32"/>
  <c r="D139" i="32"/>
  <c r="D137" i="32"/>
  <c r="D129" i="32"/>
  <c r="C143" i="32"/>
  <c r="C142" i="32"/>
  <c r="C129" i="32" l="1"/>
  <c r="B143" i="32"/>
  <c r="B142" i="32"/>
  <c r="B130" i="32" s="1"/>
  <c r="B129" i="32"/>
  <c r="B116" i="32" s="1"/>
  <c r="AG237" i="32"/>
  <c r="J238" i="25" s="1"/>
  <c r="AG236" i="32"/>
  <c r="J237" i="25" s="1"/>
  <c r="AG232" i="32"/>
  <c r="J233" i="25" s="1"/>
  <c r="AF231" i="32"/>
  <c r="AE231" i="32"/>
  <c r="AD231" i="32"/>
  <c r="AC231" i="32"/>
  <c r="AB231" i="32"/>
  <c r="AA231" i="32"/>
  <c r="Z231" i="32"/>
  <c r="Y231" i="32"/>
  <c r="X231" i="32"/>
  <c r="W231" i="32"/>
  <c r="V231" i="32"/>
  <c r="U231" i="32"/>
  <c r="T231" i="32"/>
  <c r="S231" i="32"/>
  <c r="R231" i="32"/>
  <c r="Q231" i="32"/>
  <c r="P231" i="32"/>
  <c r="O231" i="32"/>
  <c r="N231" i="32"/>
  <c r="M231" i="32"/>
  <c r="L231" i="32"/>
  <c r="K231" i="32"/>
  <c r="J231" i="32"/>
  <c r="I231" i="32"/>
  <c r="H231" i="32"/>
  <c r="G231" i="32"/>
  <c r="F231" i="32"/>
  <c r="E231" i="32"/>
  <c r="D231" i="32"/>
  <c r="C231" i="32"/>
  <c r="B231" i="32"/>
  <c r="AG230" i="32"/>
  <c r="J231" i="25" s="1"/>
  <c r="AG229" i="32"/>
  <c r="J230" i="25" s="1"/>
  <c r="AG228" i="32"/>
  <c r="J229" i="25" s="1"/>
  <c r="AF227" i="32"/>
  <c r="AE227" i="32"/>
  <c r="AD227" i="32"/>
  <c r="AC227" i="32"/>
  <c r="AB227" i="32"/>
  <c r="AA227" i="32"/>
  <c r="Z227" i="32"/>
  <c r="Y227" i="32"/>
  <c r="X227" i="32"/>
  <c r="W227" i="32"/>
  <c r="V227" i="32"/>
  <c r="U227" i="32"/>
  <c r="T227" i="32"/>
  <c r="S227" i="32"/>
  <c r="R227" i="32"/>
  <c r="Q227" i="32"/>
  <c r="P227" i="32"/>
  <c r="O227" i="32"/>
  <c r="N227" i="32"/>
  <c r="M227" i="32"/>
  <c r="L227" i="32"/>
  <c r="K227" i="32"/>
  <c r="J227" i="32"/>
  <c r="I227" i="32"/>
  <c r="H227" i="32"/>
  <c r="G227" i="32"/>
  <c r="F227" i="32"/>
  <c r="E227" i="32"/>
  <c r="D227" i="32"/>
  <c r="C227" i="32"/>
  <c r="B227" i="32"/>
  <c r="AG226" i="32"/>
  <c r="J227" i="25" s="1"/>
  <c r="AG225" i="32"/>
  <c r="J226" i="25" s="1"/>
  <c r="AG224" i="32"/>
  <c r="J225" i="25" s="1"/>
  <c r="AG223" i="32"/>
  <c r="J224" i="25" s="1"/>
  <c r="AG222" i="32"/>
  <c r="J223" i="25" s="1"/>
  <c r="AG221" i="32"/>
  <c r="J222" i="25" s="1"/>
  <c r="AG220" i="32"/>
  <c r="J221" i="25" s="1"/>
  <c r="AG219" i="32"/>
  <c r="J220" i="25" s="1"/>
  <c r="AG218" i="32"/>
  <c r="J219" i="25" s="1"/>
  <c r="AG217" i="32"/>
  <c r="J218" i="25" s="1"/>
  <c r="AG216" i="32"/>
  <c r="J217" i="25" s="1"/>
  <c r="AG215" i="32"/>
  <c r="J216" i="25" s="1"/>
  <c r="AG214" i="32"/>
  <c r="J215" i="25" s="1"/>
  <c r="AG213" i="32"/>
  <c r="J214" i="25" s="1"/>
  <c r="AG212" i="32"/>
  <c r="J213" i="25" s="1"/>
  <c r="AG211" i="32"/>
  <c r="J212" i="25" s="1"/>
  <c r="AG209" i="32"/>
  <c r="J210" i="25" s="1"/>
  <c r="AG208" i="32"/>
  <c r="J209" i="25" s="1"/>
  <c r="AG207" i="32"/>
  <c r="J208" i="25" s="1"/>
  <c r="AG206" i="32"/>
  <c r="J207" i="25" s="1"/>
  <c r="AG205" i="32"/>
  <c r="J206" i="25" s="1"/>
  <c r="AF204" i="32"/>
  <c r="AE204" i="32"/>
  <c r="AD204" i="32"/>
  <c r="AC204" i="32"/>
  <c r="AB204" i="32"/>
  <c r="AA204" i="32"/>
  <c r="Z204" i="32"/>
  <c r="Y204" i="32"/>
  <c r="X204" i="32"/>
  <c r="W204" i="32"/>
  <c r="V204" i="32"/>
  <c r="U204" i="32"/>
  <c r="T204" i="32"/>
  <c r="S204" i="32"/>
  <c r="R204" i="32"/>
  <c r="Q204" i="32"/>
  <c r="P204" i="32"/>
  <c r="O204" i="32"/>
  <c r="N204" i="32"/>
  <c r="M204" i="32"/>
  <c r="L204" i="32"/>
  <c r="K204" i="32"/>
  <c r="J204" i="32"/>
  <c r="I204" i="32"/>
  <c r="H204" i="32"/>
  <c r="G204" i="32"/>
  <c r="F204" i="32"/>
  <c r="E204" i="32"/>
  <c r="D204" i="32"/>
  <c r="C204" i="32"/>
  <c r="B204" i="32"/>
  <c r="AG203" i="32"/>
  <c r="J204" i="25" s="1"/>
  <c r="AG202" i="32"/>
  <c r="J203" i="25" s="1"/>
  <c r="AG201" i="32"/>
  <c r="J202" i="25" s="1"/>
  <c r="AG200" i="32"/>
  <c r="J201" i="25" s="1"/>
  <c r="AG199" i="32"/>
  <c r="J200" i="25" s="1"/>
  <c r="AG198" i="32"/>
  <c r="J199" i="25" s="1"/>
  <c r="AG197" i="32"/>
  <c r="J198" i="25" s="1"/>
  <c r="AG196" i="32"/>
  <c r="J197" i="25" s="1"/>
  <c r="AG195" i="32"/>
  <c r="J196" i="25" s="1"/>
  <c r="AG194" i="32"/>
  <c r="J195" i="25" s="1"/>
  <c r="AG193" i="32"/>
  <c r="J194" i="25" s="1"/>
  <c r="AG192" i="32"/>
  <c r="J193" i="25" s="1"/>
  <c r="AG191" i="32"/>
  <c r="J192" i="25" s="1"/>
  <c r="AG190" i="32"/>
  <c r="J191" i="25" s="1"/>
  <c r="AG189" i="32"/>
  <c r="J190" i="25" s="1"/>
  <c r="AG188" i="32"/>
  <c r="J189" i="25" s="1"/>
  <c r="AG187" i="32"/>
  <c r="J188" i="25" s="1"/>
  <c r="AG186" i="32"/>
  <c r="J186" i="25" s="1"/>
  <c r="AG185" i="32"/>
  <c r="J185" i="25" s="1"/>
  <c r="AG184" i="32"/>
  <c r="J184" i="25" s="1"/>
  <c r="AG183" i="32"/>
  <c r="J183" i="25" s="1"/>
  <c r="AG182" i="32"/>
  <c r="J182" i="25" s="1"/>
  <c r="AG181" i="32"/>
  <c r="J181" i="25" s="1"/>
  <c r="AG180" i="32"/>
  <c r="J180" i="25" s="1"/>
  <c r="AF179" i="32"/>
  <c r="AE179" i="32"/>
  <c r="AD179" i="32"/>
  <c r="AC179" i="32"/>
  <c r="AB179" i="32"/>
  <c r="AA179" i="32"/>
  <c r="Z179" i="32"/>
  <c r="Y179" i="32"/>
  <c r="X179" i="32"/>
  <c r="W179" i="32"/>
  <c r="V179" i="32"/>
  <c r="U179" i="32"/>
  <c r="T179" i="32"/>
  <c r="S179" i="32"/>
  <c r="R179" i="32"/>
  <c r="Q179" i="32"/>
  <c r="P179" i="32"/>
  <c r="O179" i="32"/>
  <c r="N179" i="32"/>
  <c r="M179" i="32"/>
  <c r="L179" i="32"/>
  <c r="K179" i="32"/>
  <c r="J179" i="32"/>
  <c r="I179" i="32"/>
  <c r="H179" i="32"/>
  <c r="G179" i="32"/>
  <c r="F179" i="32"/>
  <c r="E179" i="32"/>
  <c r="D179" i="32"/>
  <c r="C179" i="32"/>
  <c r="B179" i="32"/>
  <c r="AG178" i="32"/>
  <c r="AG177" i="32"/>
  <c r="AG176" i="32"/>
  <c r="J176" i="25" s="1"/>
  <c r="AG175" i="32"/>
  <c r="J175" i="25" s="1"/>
  <c r="AF174" i="32"/>
  <c r="AE174" i="32"/>
  <c r="AD174" i="32"/>
  <c r="AC174" i="32"/>
  <c r="AB174" i="32"/>
  <c r="AA174" i="32"/>
  <c r="Z174" i="32"/>
  <c r="Y174" i="32"/>
  <c r="X174" i="32"/>
  <c r="W174" i="32"/>
  <c r="V174" i="32"/>
  <c r="U174" i="32"/>
  <c r="T174" i="32"/>
  <c r="S174" i="32"/>
  <c r="R174" i="32"/>
  <c r="Q174" i="32"/>
  <c r="P174" i="32"/>
  <c r="O174" i="32"/>
  <c r="N174" i="32"/>
  <c r="M174" i="32"/>
  <c r="L174" i="32"/>
  <c r="K174" i="32"/>
  <c r="J174" i="32"/>
  <c r="I174" i="32"/>
  <c r="H174" i="32"/>
  <c r="G174" i="32"/>
  <c r="F174" i="32"/>
  <c r="E174" i="32"/>
  <c r="D174" i="32"/>
  <c r="C174" i="32"/>
  <c r="B174" i="32"/>
  <c r="AG173" i="32"/>
  <c r="J173" i="25" s="1"/>
  <c r="AG172" i="32"/>
  <c r="J172" i="25" s="1"/>
  <c r="AG171" i="32"/>
  <c r="J171" i="25" s="1"/>
  <c r="AG170" i="32"/>
  <c r="J170" i="25" s="1"/>
  <c r="AG169" i="32"/>
  <c r="J169" i="25" s="1"/>
  <c r="AG168" i="32"/>
  <c r="J168" i="25" s="1"/>
  <c r="AF167" i="32"/>
  <c r="AF144" i="32" s="1"/>
  <c r="AE167" i="32"/>
  <c r="AD167" i="32"/>
  <c r="AC167" i="32"/>
  <c r="AB167" i="32"/>
  <c r="AA167" i="32"/>
  <c r="Z167" i="32"/>
  <c r="Y167" i="32"/>
  <c r="X167" i="32"/>
  <c r="X144" i="32" s="1"/>
  <c r="W167" i="32"/>
  <c r="V167" i="32"/>
  <c r="U167" i="32"/>
  <c r="T167" i="32"/>
  <c r="T144" i="32" s="1"/>
  <c r="S167" i="32"/>
  <c r="R167" i="32"/>
  <c r="Q167" i="32"/>
  <c r="P167" i="32"/>
  <c r="O167" i="32"/>
  <c r="N167" i="32"/>
  <c r="M167" i="32"/>
  <c r="L167" i="32"/>
  <c r="L144" i="32" s="1"/>
  <c r="K167" i="32"/>
  <c r="J167" i="32"/>
  <c r="I167" i="32"/>
  <c r="H167" i="32"/>
  <c r="G167" i="32"/>
  <c r="F167" i="32"/>
  <c r="E167" i="32"/>
  <c r="D167" i="32"/>
  <c r="D144" i="32" s="1"/>
  <c r="C167" i="32"/>
  <c r="B167" i="32"/>
  <c r="AG166" i="32"/>
  <c r="J166" i="25" s="1"/>
  <c r="AG165" i="32"/>
  <c r="J165" i="25" s="1"/>
  <c r="AG164" i="32"/>
  <c r="J164" i="25" s="1"/>
  <c r="AG163" i="32"/>
  <c r="J163" i="25" s="1"/>
  <c r="AG162" i="32"/>
  <c r="J162" i="25" s="1"/>
  <c r="AG161" i="32"/>
  <c r="J161" i="25" s="1"/>
  <c r="AG160" i="32"/>
  <c r="J160" i="25" s="1"/>
  <c r="AG159" i="32"/>
  <c r="J159" i="25" s="1"/>
  <c r="AF158" i="32"/>
  <c r="AE158" i="32"/>
  <c r="AD158" i="32"/>
  <c r="AC158" i="32"/>
  <c r="AB158" i="32"/>
  <c r="AA158" i="32"/>
  <c r="Z158" i="32"/>
  <c r="Y158" i="32"/>
  <c r="X158" i="32"/>
  <c r="W158" i="32"/>
  <c r="V158" i="32"/>
  <c r="U158" i="32"/>
  <c r="T158" i="32"/>
  <c r="S158" i="32"/>
  <c r="R158" i="32"/>
  <c r="Q158" i="32"/>
  <c r="P158" i="32"/>
  <c r="O158" i="32"/>
  <c r="N158" i="32"/>
  <c r="M158" i="32"/>
  <c r="L158" i="32"/>
  <c r="K158" i="32"/>
  <c r="J158" i="32"/>
  <c r="I158" i="32"/>
  <c r="H158" i="32"/>
  <c r="G158" i="32"/>
  <c r="F158" i="32"/>
  <c r="E158" i="32"/>
  <c r="D158" i="32"/>
  <c r="C158" i="32"/>
  <c r="B158" i="32"/>
  <c r="AG157" i="32"/>
  <c r="J157" i="25" s="1"/>
  <c r="AG156" i="32"/>
  <c r="J156" i="25" s="1"/>
  <c r="AG155" i="32"/>
  <c r="J155" i="25" s="1"/>
  <c r="AG154" i="32"/>
  <c r="J154" i="25" s="1"/>
  <c r="AG153" i="32"/>
  <c r="J153" i="25" s="1"/>
  <c r="AG152" i="32"/>
  <c r="J152" i="25" s="1"/>
  <c r="AG151" i="32"/>
  <c r="J151" i="25" s="1"/>
  <c r="AG150" i="32"/>
  <c r="J150" i="25" s="1"/>
  <c r="AG149" i="32"/>
  <c r="J149" i="25" s="1"/>
  <c r="AF148" i="32"/>
  <c r="AF146" i="32" s="1"/>
  <c r="AE148" i="32"/>
  <c r="AD148" i="32"/>
  <c r="AC148" i="32"/>
  <c r="AC146" i="32" s="1"/>
  <c r="AB148" i="32"/>
  <c r="AB146" i="32" s="1"/>
  <c r="AA148" i="32"/>
  <c r="AA146" i="32" s="1"/>
  <c r="AA144" i="32" s="1"/>
  <c r="Z148" i="32"/>
  <c r="Y148" i="32"/>
  <c r="Y146" i="32" s="1"/>
  <c r="Y144" i="32" s="1"/>
  <c r="X148" i="32"/>
  <c r="X146" i="32" s="1"/>
  <c r="W148" i="32"/>
  <c r="V148" i="32"/>
  <c r="U148" i="32"/>
  <c r="U146" i="32" s="1"/>
  <c r="T148" i="32"/>
  <c r="T146" i="32" s="1"/>
  <c r="S148" i="32"/>
  <c r="S146" i="32" s="1"/>
  <c r="S144" i="32" s="1"/>
  <c r="R148" i="32"/>
  <c r="Q148" i="32"/>
  <c r="Q146" i="32" s="1"/>
  <c r="Q144" i="32" s="1"/>
  <c r="P148" i="32"/>
  <c r="P146" i="32" s="1"/>
  <c r="O148" i="32"/>
  <c r="N148" i="32"/>
  <c r="M148" i="32"/>
  <c r="M146" i="32" s="1"/>
  <c r="L148" i="32"/>
  <c r="L146" i="32" s="1"/>
  <c r="K148" i="32"/>
  <c r="K146" i="32" s="1"/>
  <c r="J148" i="32"/>
  <c r="I148" i="32"/>
  <c r="I146" i="32" s="1"/>
  <c r="I144" i="32" s="1"/>
  <c r="H148" i="32"/>
  <c r="H146" i="32" s="1"/>
  <c r="G148" i="32"/>
  <c r="F148" i="32"/>
  <c r="E148" i="32"/>
  <c r="E146" i="32" s="1"/>
  <c r="E144" i="32" s="1"/>
  <c r="D148" i="32"/>
  <c r="D146" i="32" s="1"/>
  <c r="C148" i="32"/>
  <c r="C146" i="32" s="1"/>
  <c r="B148" i="32"/>
  <c r="AE147" i="32"/>
  <c r="AD147" i="32"/>
  <c r="AC147" i="32"/>
  <c r="AB147" i="32"/>
  <c r="AA147" i="32"/>
  <c r="Z147" i="32"/>
  <c r="Y147" i="32"/>
  <c r="X147" i="32"/>
  <c r="W147" i="32"/>
  <c r="V147" i="32"/>
  <c r="U147" i="32"/>
  <c r="T147" i="32"/>
  <c r="S147" i="32"/>
  <c r="R147" i="32"/>
  <c r="Q147" i="32"/>
  <c r="P147" i="32"/>
  <c r="O147" i="32"/>
  <c r="N147" i="32"/>
  <c r="M147" i="32"/>
  <c r="L147" i="32"/>
  <c r="K147" i="32"/>
  <c r="J147" i="32"/>
  <c r="I147" i="32"/>
  <c r="H147" i="32"/>
  <c r="G147" i="32"/>
  <c r="F147" i="32"/>
  <c r="E147" i="32"/>
  <c r="D147" i="32"/>
  <c r="C147" i="32"/>
  <c r="B147" i="32"/>
  <c r="AE146" i="32"/>
  <c r="AD146" i="32"/>
  <c r="Z146" i="32"/>
  <c r="W146" i="32"/>
  <c r="V146" i="32"/>
  <c r="R146" i="32"/>
  <c r="O146" i="32"/>
  <c r="N146" i="32"/>
  <c r="J146" i="32"/>
  <c r="G146" i="32"/>
  <c r="F146" i="32"/>
  <c r="B146" i="32"/>
  <c r="AF145" i="32"/>
  <c r="AE145" i="32"/>
  <c r="AD145" i="32"/>
  <c r="AC145" i="32"/>
  <c r="AB145" i="32"/>
  <c r="AA145" i="32"/>
  <c r="Z145" i="32"/>
  <c r="Y145" i="32"/>
  <c r="X145" i="32"/>
  <c r="W145" i="32"/>
  <c r="V145" i="32"/>
  <c r="U145" i="32"/>
  <c r="T145" i="32"/>
  <c r="S145" i="32"/>
  <c r="R145" i="32"/>
  <c r="Q145" i="32"/>
  <c r="P145" i="32"/>
  <c r="O145" i="32"/>
  <c r="N145" i="32"/>
  <c r="M145" i="32"/>
  <c r="L145" i="32"/>
  <c r="K145" i="32"/>
  <c r="J145" i="32"/>
  <c r="I145" i="32"/>
  <c r="H145" i="32"/>
  <c r="G145" i="32"/>
  <c r="F145" i="32"/>
  <c r="E145" i="32"/>
  <c r="D145" i="32"/>
  <c r="C145" i="32"/>
  <c r="B145" i="32"/>
  <c r="AB144" i="32"/>
  <c r="P144" i="32"/>
  <c r="AG143" i="32"/>
  <c r="J143" i="25" s="1"/>
  <c r="AG141" i="32"/>
  <c r="J141" i="25" s="1"/>
  <c r="AG140" i="32"/>
  <c r="J140" i="25" s="1"/>
  <c r="AG139" i="32"/>
  <c r="J139" i="25" s="1"/>
  <c r="AG138" i="32"/>
  <c r="J138" i="25" s="1"/>
  <c r="AG137" i="32"/>
  <c r="J137" i="25" s="1"/>
  <c r="AG136" i="32"/>
  <c r="J136" i="25" s="1"/>
  <c r="AG135" i="32"/>
  <c r="J135" i="25" s="1"/>
  <c r="AG134" i="32"/>
  <c r="J134" i="25" s="1"/>
  <c r="AG133" i="32"/>
  <c r="J133" i="25" s="1"/>
  <c r="AG132" i="32"/>
  <c r="J132" i="25" s="1"/>
  <c r="AG131" i="32"/>
  <c r="J131" i="25" s="1"/>
  <c r="AF130" i="32"/>
  <c r="AE130" i="32"/>
  <c r="AD130" i="32"/>
  <c r="AC130" i="32"/>
  <c r="AB130" i="32"/>
  <c r="AA130" i="32"/>
  <c r="Z130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AG128" i="32"/>
  <c r="J128" i="25" s="1"/>
  <c r="AG127" i="32"/>
  <c r="J127" i="25" s="1"/>
  <c r="AG126" i="32"/>
  <c r="J126" i="25" s="1"/>
  <c r="AG125" i="32"/>
  <c r="J125" i="25" s="1"/>
  <c r="AG124" i="32"/>
  <c r="J124" i="25" s="1"/>
  <c r="AG123" i="32"/>
  <c r="J123" i="25" s="1"/>
  <c r="AG122" i="32"/>
  <c r="J122" i="25" s="1"/>
  <c r="AG121" i="32"/>
  <c r="J121" i="25" s="1"/>
  <c r="AG120" i="32"/>
  <c r="J120" i="25" s="1"/>
  <c r="AG119" i="32"/>
  <c r="J119" i="25" s="1"/>
  <c r="AG118" i="32"/>
  <c r="J118" i="25" s="1"/>
  <c r="AG117" i="32"/>
  <c r="J117" i="25" s="1"/>
  <c r="AF116" i="32"/>
  <c r="AE116" i="32"/>
  <c r="AD116" i="32"/>
  <c r="AC116" i="32"/>
  <c r="AB116" i="32"/>
  <c r="AA116" i="32"/>
  <c r="Z116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AG115" i="32"/>
  <c r="AG114" i="32"/>
  <c r="J114" i="25" s="1"/>
  <c r="AG113" i="32"/>
  <c r="J113" i="25" s="1"/>
  <c r="AG112" i="32"/>
  <c r="J112" i="25" s="1"/>
  <c r="AG111" i="32"/>
  <c r="J111" i="25" s="1"/>
  <c r="AG110" i="32"/>
  <c r="J110" i="25" s="1"/>
  <c r="AG109" i="32"/>
  <c r="J109" i="25" s="1"/>
  <c r="AG108" i="32"/>
  <c r="J108" i="25" s="1"/>
  <c r="AG107" i="32"/>
  <c r="J107" i="25" s="1"/>
  <c r="AG106" i="32"/>
  <c r="J106" i="25" s="1"/>
  <c r="AG105" i="32"/>
  <c r="J105" i="25" s="1"/>
  <c r="AG104" i="32"/>
  <c r="J104" i="25" s="1"/>
  <c r="AG103" i="32"/>
  <c r="J103" i="25" s="1"/>
  <c r="AG102" i="32"/>
  <c r="J102" i="25" s="1"/>
  <c r="AG101" i="32"/>
  <c r="J101" i="25" s="1"/>
  <c r="AF100" i="32"/>
  <c r="AE100" i="32"/>
  <c r="AD100" i="32"/>
  <c r="AC100" i="32"/>
  <c r="AB100" i="32"/>
  <c r="AA100" i="32"/>
  <c r="Z100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AG99" i="32"/>
  <c r="J99" i="25" s="1"/>
  <c r="AG98" i="32"/>
  <c r="J98" i="25" s="1"/>
  <c r="AG97" i="32"/>
  <c r="J97" i="25" s="1"/>
  <c r="AG96" i="32"/>
  <c r="J96" i="25" s="1"/>
  <c r="AG95" i="32"/>
  <c r="J95" i="25" s="1"/>
  <c r="AF94" i="32"/>
  <c r="AE94" i="32"/>
  <c r="AE93" i="32" s="1"/>
  <c r="AD94" i="32"/>
  <c r="AC94" i="32"/>
  <c r="AB94" i="32"/>
  <c r="AA94" i="32"/>
  <c r="AA93" i="32" s="1"/>
  <c r="Z94" i="32"/>
  <c r="Z93" i="32" s="1"/>
  <c r="Y94" i="32"/>
  <c r="X94" i="32"/>
  <c r="X93" i="32" s="1"/>
  <c r="W94" i="32"/>
  <c r="V94" i="32"/>
  <c r="V93" i="32" s="1"/>
  <c r="U94" i="32"/>
  <c r="T94" i="32"/>
  <c r="S94" i="32"/>
  <c r="S93" i="32" s="1"/>
  <c r="R94" i="32"/>
  <c r="R93" i="32" s="1"/>
  <c r="Q94" i="32"/>
  <c r="Q93" i="32" s="1"/>
  <c r="P94" i="32"/>
  <c r="O94" i="32"/>
  <c r="O93" i="32" s="1"/>
  <c r="N94" i="32"/>
  <c r="N93" i="32" s="1"/>
  <c r="M94" i="32"/>
  <c r="M93" i="32" s="1"/>
  <c r="L94" i="32"/>
  <c r="K94" i="32"/>
  <c r="K93" i="32" s="1"/>
  <c r="J94" i="32"/>
  <c r="J93" i="32" s="1"/>
  <c r="I94" i="32"/>
  <c r="H94" i="32"/>
  <c r="H93" i="32" s="1"/>
  <c r="G94" i="32"/>
  <c r="G93" i="32" s="1"/>
  <c r="F94" i="32"/>
  <c r="F93" i="32" s="1"/>
  <c r="E94" i="32"/>
  <c r="D94" i="32"/>
  <c r="C94" i="32"/>
  <c r="C93" i="32" s="1"/>
  <c r="B94" i="32"/>
  <c r="AF93" i="32"/>
  <c r="AB93" i="32"/>
  <c r="W93" i="32"/>
  <c r="T93" i="32"/>
  <c r="P93" i="32"/>
  <c r="L93" i="32"/>
  <c r="D93" i="32"/>
  <c r="AG92" i="32"/>
  <c r="J92" i="25" s="1"/>
  <c r="AG91" i="32"/>
  <c r="J91" i="25" s="1"/>
  <c r="AG90" i="32"/>
  <c r="J90" i="25" s="1"/>
  <c r="AG89" i="32"/>
  <c r="J89" i="25" s="1"/>
  <c r="AG88" i="32"/>
  <c r="J88" i="25" s="1"/>
  <c r="AF87" i="32"/>
  <c r="AE87" i="32"/>
  <c r="AD87" i="32"/>
  <c r="AC87" i="32"/>
  <c r="AB87" i="32"/>
  <c r="AA87" i="32"/>
  <c r="Z87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AG86" i="32"/>
  <c r="J86" i="25" s="1"/>
  <c r="AG85" i="32"/>
  <c r="J85" i="25" s="1"/>
  <c r="AF84" i="32"/>
  <c r="AE84" i="32"/>
  <c r="AD84" i="32"/>
  <c r="AC84" i="32"/>
  <c r="AB84" i="32"/>
  <c r="AA84" i="32"/>
  <c r="Z84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AC83" i="32"/>
  <c r="AC81" i="32" s="1"/>
  <c r="X83" i="32"/>
  <c r="U83" i="32"/>
  <c r="U81" i="32" s="1"/>
  <c r="T83" i="32"/>
  <c r="I83" i="32"/>
  <c r="I81" i="32" s="1"/>
  <c r="H83" i="32"/>
  <c r="AF82" i="32"/>
  <c r="AE82" i="32"/>
  <c r="AE83" i="32" s="1"/>
  <c r="AE81" i="32" s="1"/>
  <c r="AD83" i="32"/>
  <c r="AD81" i="32" s="1"/>
  <c r="AB82" i="32"/>
  <c r="AA82" i="32"/>
  <c r="AA83" i="32" s="1"/>
  <c r="AA81" i="32" s="1"/>
  <c r="Z82" i="32"/>
  <c r="Z83" i="32" s="1"/>
  <c r="Y82" i="32"/>
  <c r="Y83" i="32" s="1"/>
  <c r="Y81" i="32" s="1"/>
  <c r="X82" i="32"/>
  <c r="W83" i="32"/>
  <c r="W81" i="32" s="1"/>
  <c r="V83" i="32"/>
  <c r="S83" i="32"/>
  <c r="S81" i="32" s="1"/>
  <c r="R82" i="32"/>
  <c r="Q82" i="32"/>
  <c r="Q83" i="32" s="1"/>
  <c r="Q81" i="32" s="1"/>
  <c r="O83" i="32"/>
  <c r="O81" i="32" s="1"/>
  <c r="N82" i="32"/>
  <c r="N83" i="32" s="1"/>
  <c r="N81" i="32" s="1"/>
  <c r="M82" i="32"/>
  <c r="M83" i="32" s="1"/>
  <c r="M81" i="32" s="1"/>
  <c r="L82" i="32"/>
  <c r="K82" i="32"/>
  <c r="K83" i="32" s="1"/>
  <c r="K81" i="32" s="1"/>
  <c r="J82" i="32"/>
  <c r="J83" i="32" s="1"/>
  <c r="G82" i="32"/>
  <c r="G83" i="32" s="1"/>
  <c r="G81" i="32" s="1"/>
  <c r="F82" i="32"/>
  <c r="F83" i="32" s="1"/>
  <c r="E82" i="32"/>
  <c r="E83" i="32" s="1"/>
  <c r="E81" i="32" s="1"/>
  <c r="D82" i="32"/>
  <c r="D83" i="32" s="1"/>
  <c r="C82" i="32"/>
  <c r="C83" i="32" s="1"/>
  <c r="C81" i="32" s="1"/>
  <c r="AF80" i="32"/>
  <c r="AC80" i="32"/>
  <c r="AC79" i="32" s="1"/>
  <c r="AC78" i="32" s="1"/>
  <c r="AB80" i="32"/>
  <c r="AB79" i="32" s="1"/>
  <c r="AB78" i="32" s="1"/>
  <c r="AA80" i="32"/>
  <c r="Y80" i="32"/>
  <c r="Y79" i="32" s="1"/>
  <c r="Y78" i="32" s="1"/>
  <c r="V80" i="32"/>
  <c r="U80" i="32"/>
  <c r="U79" i="32" s="1"/>
  <c r="U78" i="32" s="1"/>
  <c r="T80" i="32"/>
  <c r="T79" i="32" s="1"/>
  <c r="T78" i="32" s="1"/>
  <c r="S80" i="32"/>
  <c r="S79" i="32" s="1"/>
  <c r="S78" i="32" s="1"/>
  <c r="R80" i="32"/>
  <c r="R79" i="32" s="1"/>
  <c r="R78" i="32" s="1"/>
  <c r="O80" i="32"/>
  <c r="N80" i="32"/>
  <c r="N79" i="32" s="1"/>
  <c r="N78" i="32" s="1"/>
  <c r="M80" i="32"/>
  <c r="M79" i="32" s="1"/>
  <c r="M78" i="32" s="1"/>
  <c r="H80" i="32"/>
  <c r="H79" i="32" s="1"/>
  <c r="H78" i="32" s="1"/>
  <c r="G80" i="32"/>
  <c r="F80" i="32"/>
  <c r="AF79" i="32"/>
  <c r="AF78" i="32" s="1"/>
  <c r="AE79" i="32"/>
  <c r="AE78" i="32" s="1"/>
  <c r="AD79" i="32"/>
  <c r="AA79" i="32"/>
  <c r="AA78" i="32" s="1"/>
  <c r="Z79" i="32"/>
  <c r="Z78" i="32" s="1"/>
  <c r="X79" i="32"/>
  <c r="W79" i="32"/>
  <c r="W78" i="32" s="1"/>
  <c r="V79" i="32"/>
  <c r="V78" i="32" s="1"/>
  <c r="Q79" i="32"/>
  <c r="Q78" i="32" s="1"/>
  <c r="P79" i="32"/>
  <c r="P78" i="32" s="1"/>
  <c r="O79" i="32"/>
  <c r="O78" i="32" s="1"/>
  <c r="L79" i="32"/>
  <c r="L78" i="32" s="1"/>
  <c r="K79" i="32"/>
  <c r="K78" i="32" s="1"/>
  <c r="J79" i="32"/>
  <c r="J78" i="32" s="1"/>
  <c r="I79" i="32"/>
  <c r="G79" i="32"/>
  <c r="G78" i="32" s="1"/>
  <c r="F79" i="32"/>
  <c r="F78" i="32" s="1"/>
  <c r="E79" i="32"/>
  <c r="E78" i="32" s="1"/>
  <c r="D79" i="32"/>
  <c r="C79" i="32"/>
  <c r="C78" i="32" s="1"/>
  <c r="B79" i="32"/>
  <c r="B78" i="32" s="1"/>
  <c r="AD78" i="32"/>
  <c r="X78" i="32"/>
  <c r="I78" i="32"/>
  <c r="D78" i="32"/>
  <c r="AG77" i="32"/>
  <c r="J77" i="25" s="1"/>
  <c r="AG76" i="32"/>
  <c r="J76" i="25" s="1"/>
  <c r="AG75" i="32"/>
  <c r="J75" i="25" s="1"/>
  <c r="AG74" i="32"/>
  <c r="J74" i="25" s="1"/>
  <c r="AG73" i="32"/>
  <c r="J73" i="25" s="1"/>
  <c r="AG72" i="32"/>
  <c r="J72" i="25" s="1"/>
  <c r="AG71" i="32"/>
  <c r="J71" i="25" s="1"/>
  <c r="AG70" i="32"/>
  <c r="J70" i="25" s="1"/>
  <c r="AG69" i="32"/>
  <c r="J69" i="25" s="1"/>
  <c r="AG68" i="32"/>
  <c r="J68" i="25" s="1"/>
  <c r="AG67" i="32"/>
  <c r="J67" i="25" s="1"/>
  <c r="AG66" i="32"/>
  <c r="J66" i="25" s="1"/>
  <c r="AG65" i="32"/>
  <c r="J65" i="25" s="1"/>
  <c r="AG64" i="32"/>
  <c r="J64" i="25" s="1"/>
  <c r="AG63" i="32"/>
  <c r="J63" i="25" s="1"/>
  <c r="AG62" i="32"/>
  <c r="J62" i="25" s="1"/>
  <c r="AG61" i="32"/>
  <c r="J61" i="25" s="1"/>
  <c r="AG60" i="32"/>
  <c r="J60" i="25" s="1"/>
  <c r="AG59" i="32"/>
  <c r="J59" i="25" s="1"/>
  <c r="AG58" i="32"/>
  <c r="J58" i="25" s="1"/>
  <c r="AG57" i="32"/>
  <c r="J57" i="25" s="1"/>
  <c r="AG56" i="32"/>
  <c r="J56" i="25" s="1"/>
  <c r="AG55" i="32"/>
  <c r="J55" i="25" s="1"/>
  <c r="AG54" i="32"/>
  <c r="J54" i="25" s="1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AG52" i="32"/>
  <c r="J52" i="25" s="1"/>
  <c r="AG51" i="32"/>
  <c r="J51" i="25" s="1"/>
  <c r="AG50" i="32"/>
  <c r="J50" i="25" s="1"/>
  <c r="AG49" i="32"/>
  <c r="J49" i="25" s="1"/>
  <c r="AG48" i="32"/>
  <c r="J48" i="25" s="1"/>
  <c r="AG47" i="32"/>
  <c r="J47" i="25" s="1"/>
  <c r="AG46" i="32"/>
  <c r="J46" i="25" s="1"/>
  <c r="AG45" i="32"/>
  <c r="J45" i="25" s="1"/>
  <c r="AG44" i="32"/>
  <c r="J44" i="25" s="1"/>
  <c r="AG43" i="32"/>
  <c r="J43" i="25" s="1"/>
  <c r="AG42" i="32"/>
  <c r="J42" i="25" s="1"/>
  <c r="AG41" i="32"/>
  <c r="J41" i="25" s="1"/>
  <c r="AG40" i="32"/>
  <c r="J40" i="25" s="1"/>
  <c r="AG39" i="32"/>
  <c r="J39" i="25" s="1"/>
  <c r="AG38" i="32"/>
  <c r="J38" i="25" s="1"/>
  <c r="AG37" i="32"/>
  <c r="J37" i="25" s="1"/>
  <c r="AG36" i="32"/>
  <c r="J36" i="25" s="1"/>
  <c r="AG35" i="32"/>
  <c r="J35" i="25" s="1"/>
  <c r="AG34" i="32"/>
  <c r="J34" i="25" s="1"/>
  <c r="AG33" i="32"/>
  <c r="J33" i="25" s="1"/>
  <c r="AG32" i="32"/>
  <c r="J32" i="25" s="1"/>
  <c r="AG31" i="32"/>
  <c r="J31" i="25" s="1"/>
  <c r="AG30" i="32"/>
  <c r="J30" i="25" s="1"/>
  <c r="AG29" i="32"/>
  <c r="J29" i="25" s="1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AG27" i="32"/>
  <c r="J27" i="25" s="1"/>
  <c r="AG26" i="32"/>
  <c r="J26" i="25" s="1"/>
  <c r="AG25" i="32"/>
  <c r="J25" i="25" s="1"/>
  <c r="AG24" i="32"/>
  <c r="J24" i="25" s="1"/>
  <c r="AG23" i="32"/>
  <c r="J23" i="25" s="1"/>
  <c r="AG22" i="32"/>
  <c r="J22" i="25" s="1"/>
  <c r="AG21" i="32"/>
  <c r="J21" i="25" s="1"/>
  <c r="AG20" i="32"/>
  <c r="J20" i="25" s="1"/>
  <c r="AG19" i="32"/>
  <c r="J19" i="25" s="1"/>
  <c r="AG18" i="32"/>
  <c r="J18" i="25" s="1"/>
  <c r="AG17" i="32"/>
  <c r="J17" i="25" s="1"/>
  <c r="AG16" i="32"/>
  <c r="J16" i="25" s="1"/>
  <c r="AG15" i="32"/>
  <c r="J15" i="25" s="1"/>
  <c r="AG14" i="32"/>
  <c r="J14" i="25" s="1"/>
  <c r="AG13" i="32"/>
  <c r="J13" i="25" s="1"/>
  <c r="AG12" i="32"/>
  <c r="J12" i="25" s="1"/>
  <c r="AG11" i="32"/>
  <c r="J11" i="25" s="1"/>
  <c r="AG10" i="32"/>
  <c r="J10" i="25" s="1"/>
  <c r="AG9" i="32"/>
  <c r="J9" i="25" s="1"/>
  <c r="AG8" i="32"/>
  <c r="J8" i="25" s="1"/>
  <c r="AG7" i="32"/>
  <c r="J7" i="25" s="1"/>
  <c r="AG6" i="32"/>
  <c r="J6" i="25" s="1"/>
  <c r="AG5" i="32"/>
  <c r="J5" i="25" s="1"/>
  <c r="AG4" i="32"/>
  <c r="J4" i="25" s="1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B3" i="32"/>
  <c r="AC2" i="32"/>
  <c r="C2" i="32"/>
  <c r="D2" i="32" s="1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H144" i="32" l="1"/>
  <c r="AG82" i="32"/>
  <c r="J82" i="25" s="1"/>
  <c r="Y93" i="32"/>
  <c r="C144" i="32"/>
  <c r="G144" i="32"/>
  <c r="K144" i="32"/>
  <c r="O144" i="32"/>
  <c r="W144" i="32"/>
  <c r="AE144" i="32"/>
  <c r="AG231" i="32"/>
  <c r="J232" i="25" s="1"/>
  <c r="AG227" i="32"/>
  <c r="J228" i="25" s="1"/>
  <c r="AD93" i="32"/>
  <c r="AC144" i="32"/>
  <c r="AC93" i="32"/>
  <c r="AG148" i="32"/>
  <c r="J148" i="25" s="1"/>
  <c r="AG80" i="32"/>
  <c r="J80" i="25" s="1"/>
  <c r="U144" i="32"/>
  <c r="U93" i="32"/>
  <c r="M144" i="32"/>
  <c r="I93" i="32"/>
  <c r="AG158" i="32"/>
  <c r="J158" i="25" s="1"/>
  <c r="E93" i="32"/>
  <c r="AG53" i="32"/>
  <c r="J53" i="25" s="1"/>
  <c r="AG174" i="32"/>
  <c r="J174" i="25" s="1"/>
  <c r="AG145" i="32"/>
  <c r="J145" i="25" s="1"/>
  <c r="AG167" i="32"/>
  <c r="J167" i="25" s="1"/>
  <c r="AG116" i="32"/>
  <c r="J116" i="25" s="1"/>
  <c r="AG84" i="32"/>
  <c r="J84" i="25" s="1"/>
  <c r="AG179" i="32"/>
  <c r="J179" i="25" s="1"/>
  <c r="AG204" i="32"/>
  <c r="J205" i="25" s="1"/>
  <c r="AG142" i="32"/>
  <c r="J142" i="25" s="1"/>
  <c r="AG130" i="32"/>
  <c r="J130" i="25" s="1"/>
  <c r="AG129" i="32"/>
  <c r="J129" i="25" s="1"/>
  <c r="AG87" i="32"/>
  <c r="J87" i="25" s="1"/>
  <c r="AG78" i="32"/>
  <c r="J78" i="25" s="1"/>
  <c r="B83" i="32"/>
  <c r="B81" i="32" s="1"/>
  <c r="R83" i="32"/>
  <c r="R81" i="32" s="1"/>
  <c r="AG79" i="32"/>
  <c r="J79" i="25" s="1"/>
  <c r="J81" i="32"/>
  <c r="Z81" i="32"/>
  <c r="F144" i="32"/>
  <c r="N144" i="32"/>
  <c r="V144" i="32"/>
  <c r="AD144" i="32"/>
  <c r="AG28" i="32"/>
  <c r="J28" i="25" s="1"/>
  <c r="F81" i="32"/>
  <c r="V81" i="32"/>
  <c r="D81" i="32"/>
  <c r="H81" i="32"/>
  <c r="T81" i="32"/>
  <c r="X81" i="32"/>
  <c r="P83" i="32"/>
  <c r="P81" i="32" s="1"/>
  <c r="AF83" i="32"/>
  <c r="AF81" i="32" s="1"/>
  <c r="AG100" i="32"/>
  <c r="J100" i="25" s="1"/>
  <c r="AG3" i="32"/>
  <c r="J3" i="25" s="1"/>
  <c r="L83" i="32"/>
  <c r="L81" i="32" s="1"/>
  <c r="AB83" i="32"/>
  <c r="AB81" i="32" s="1"/>
  <c r="AG94" i="32"/>
  <c r="J94" i="25" s="1"/>
  <c r="B93" i="32"/>
  <c r="B144" i="32"/>
  <c r="J144" i="32"/>
  <c r="R144" i="32"/>
  <c r="Z144" i="32"/>
  <c r="AG147" i="32"/>
  <c r="J147" i="25" s="1"/>
  <c r="AF143" i="31"/>
  <c r="AF142" i="31"/>
  <c r="AF139" i="31"/>
  <c r="AF134" i="31"/>
  <c r="AF129" i="31"/>
  <c r="AE143" i="31"/>
  <c r="AE134" i="31"/>
  <c r="AE142" i="31"/>
  <c r="AE129" i="31"/>
  <c r="AD143" i="31"/>
  <c r="AD142" i="31"/>
  <c r="AD129" i="31"/>
  <c r="AC143" i="31"/>
  <c r="AC142" i="31"/>
  <c r="AC134" i="31"/>
  <c r="AC129" i="31"/>
  <c r="AC86" i="31"/>
  <c r="AB143" i="31"/>
  <c r="AB142" i="31"/>
  <c r="AB137" i="31"/>
  <c r="AB129" i="31"/>
  <c r="AB86" i="31"/>
  <c r="AG146" i="32" l="1"/>
  <c r="J146" i="25" s="1"/>
  <c r="AG93" i="32"/>
  <c r="AH87" i="32"/>
  <c r="AG144" i="32"/>
  <c r="J144" i="25" s="1"/>
  <c r="AG81" i="32"/>
  <c r="AG83" i="32"/>
  <c r="AA143" i="31"/>
  <c r="AA142" i="31"/>
  <c r="AA139" i="31"/>
  <c r="AA134" i="31"/>
  <c r="AA129" i="31"/>
  <c r="Z143" i="31"/>
  <c r="Z142" i="31"/>
  <c r="Z139" i="31"/>
  <c r="Z134" i="31"/>
  <c r="Z137" i="31"/>
  <c r="Z129" i="31"/>
  <c r="AH84" i="32" l="1"/>
  <c r="J83" i="25"/>
  <c r="AH130" i="32"/>
  <c r="J93" i="25"/>
  <c r="AH81" i="32"/>
  <c r="J81" i="25"/>
  <c r="AH144" i="32"/>
  <c r="AH204" i="32"/>
  <c r="AH93" i="32"/>
  <c r="X143" i="31"/>
  <c r="X142" i="31"/>
  <c r="X134" i="31"/>
  <c r="X137" i="31"/>
  <c r="X129" i="31"/>
  <c r="Y143" i="31"/>
  <c r="Y142" i="31"/>
  <c r="Y129" i="31"/>
  <c r="W143" i="31" l="1"/>
  <c r="W142" i="31"/>
  <c r="W137" i="31"/>
  <c r="W129" i="31"/>
  <c r="V143" i="31"/>
  <c r="V142" i="31"/>
  <c r="V129" i="31"/>
  <c r="U143" i="31" l="1"/>
  <c r="U142" i="31"/>
  <c r="U139" i="31"/>
  <c r="U137" i="31"/>
  <c r="U129" i="31"/>
  <c r="T143" i="31" l="1"/>
  <c r="T142" i="31"/>
  <c r="T139" i="31"/>
  <c r="T134" i="31"/>
  <c r="T137" i="31"/>
  <c r="T129" i="31"/>
  <c r="S143" i="31"/>
  <c r="S134" i="31"/>
  <c r="S142" i="31"/>
  <c r="S139" i="31"/>
  <c r="S137" i="31"/>
  <c r="S129" i="31"/>
  <c r="R143" i="31"/>
  <c r="R142" i="31"/>
  <c r="R139" i="31"/>
  <c r="R134" i="31"/>
  <c r="R137" i="31"/>
  <c r="R129" i="31"/>
  <c r="Q143" i="31"/>
  <c r="Q134" i="31"/>
  <c r="Q142" i="31"/>
  <c r="Q129" i="31"/>
  <c r="P143" i="31"/>
  <c r="P134" i="31"/>
  <c r="P142" i="31"/>
  <c r="P137" i="31"/>
  <c r="P129" i="31"/>
  <c r="O143" i="31"/>
  <c r="O142" i="31"/>
  <c r="O137" i="31"/>
  <c r="O129" i="31"/>
  <c r="N143" i="31" l="1"/>
  <c r="N142" i="31"/>
  <c r="N139" i="31"/>
  <c r="N137" i="31"/>
  <c r="N129" i="31"/>
  <c r="AF3" i="30" l="1"/>
  <c r="M143" i="31"/>
  <c r="M142" i="31"/>
  <c r="M137" i="31"/>
  <c r="M129" i="31"/>
  <c r="L143" i="31" l="1"/>
  <c r="L142" i="31"/>
  <c r="L139" i="31"/>
  <c r="L134" i="31"/>
  <c r="L137" i="31"/>
  <c r="L129" i="31"/>
  <c r="K151" i="31"/>
  <c r="K134" i="31"/>
  <c r="K143" i="31"/>
  <c r="K142" i="31"/>
  <c r="K139" i="31"/>
  <c r="K137" i="31"/>
  <c r="K129" i="31"/>
  <c r="J143" i="31"/>
  <c r="J142" i="31"/>
  <c r="J134" i="31"/>
  <c r="J137" i="31"/>
  <c r="J129" i="31"/>
  <c r="I143" i="31" l="1"/>
  <c r="I142" i="31"/>
  <c r="I139" i="31"/>
  <c r="I137" i="31"/>
  <c r="I129" i="31"/>
  <c r="I3" i="31" l="1"/>
  <c r="H143" i="31" l="1"/>
  <c r="H142" i="31"/>
  <c r="H129" i="31"/>
  <c r="G143" i="31" l="1"/>
  <c r="G142" i="31"/>
  <c r="G139" i="31"/>
  <c r="G137" i="31"/>
  <c r="G129" i="31"/>
  <c r="F142" i="31"/>
  <c r="F134" i="31"/>
  <c r="F139" i="31"/>
  <c r="F137" i="31"/>
  <c r="F129" i="31"/>
  <c r="E143" i="31"/>
  <c r="E142" i="31"/>
  <c r="E139" i="31"/>
  <c r="E134" i="31"/>
  <c r="E137" i="31"/>
  <c r="E129" i="31"/>
  <c r="D143" i="31"/>
  <c r="D142" i="31"/>
  <c r="D139" i="31"/>
  <c r="D134" i="31"/>
  <c r="D137" i="31"/>
  <c r="D129" i="31"/>
  <c r="C143" i="31"/>
  <c r="C142" i="31"/>
  <c r="C137" i="31"/>
  <c r="C129" i="31"/>
  <c r="B143" i="31" l="1"/>
  <c r="AG143" i="31" s="1"/>
  <c r="I143" i="25" s="1"/>
  <c r="B142" i="31"/>
  <c r="AG142" i="31"/>
  <c r="I142" i="25" s="1"/>
  <c r="B139" i="31"/>
  <c r="AG139" i="31" s="1"/>
  <c r="I139" i="25" s="1"/>
  <c r="B137" i="31"/>
  <c r="B129" i="31"/>
  <c r="AG237" i="31"/>
  <c r="I238" i="25" s="1"/>
  <c r="AG236" i="31"/>
  <c r="I237" i="25" s="1"/>
  <c r="AG232" i="31"/>
  <c r="I233" i="25" s="1"/>
  <c r="AF231" i="31"/>
  <c r="AE231" i="31"/>
  <c r="AD231" i="31"/>
  <c r="AC231" i="31"/>
  <c r="AB231" i="31"/>
  <c r="AA231" i="31"/>
  <c r="Z231" i="31"/>
  <c r="Y231" i="31"/>
  <c r="X231" i="31"/>
  <c r="W231" i="31"/>
  <c r="V231" i="31"/>
  <c r="U231" i="31"/>
  <c r="T231" i="31"/>
  <c r="S231" i="31"/>
  <c r="R231" i="31"/>
  <c r="Q231" i="31"/>
  <c r="P231" i="31"/>
  <c r="O231" i="31"/>
  <c r="N231" i="31"/>
  <c r="M231" i="31"/>
  <c r="L231" i="31"/>
  <c r="K231" i="31"/>
  <c r="J231" i="31"/>
  <c r="I231" i="31"/>
  <c r="H231" i="31"/>
  <c r="G231" i="31"/>
  <c r="F231" i="31"/>
  <c r="E231" i="31"/>
  <c r="D231" i="31"/>
  <c r="C231" i="31"/>
  <c r="B231" i="31"/>
  <c r="AG230" i="31"/>
  <c r="I231" i="25" s="1"/>
  <c r="AG229" i="31"/>
  <c r="I230" i="25" s="1"/>
  <c r="AG228" i="31"/>
  <c r="I229" i="25" s="1"/>
  <c r="AF227" i="31"/>
  <c r="AE227" i="31"/>
  <c r="AD227" i="31"/>
  <c r="AC227" i="31"/>
  <c r="AB227" i="31"/>
  <c r="AA227" i="31"/>
  <c r="Z227" i="31"/>
  <c r="Y227" i="31"/>
  <c r="X227" i="31"/>
  <c r="W227" i="31"/>
  <c r="V227" i="31"/>
  <c r="U227" i="31"/>
  <c r="T227" i="31"/>
  <c r="S227" i="31"/>
  <c r="R227" i="31"/>
  <c r="Q227" i="31"/>
  <c r="P227" i="31"/>
  <c r="O227" i="31"/>
  <c r="N227" i="31"/>
  <c r="M227" i="31"/>
  <c r="L227" i="31"/>
  <c r="K227" i="31"/>
  <c r="J227" i="31"/>
  <c r="I227" i="31"/>
  <c r="H227" i="31"/>
  <c r="G227" i="31"/>
  <c r="F227" i="31"/>
  <c r="E227" i="31"/>
  <c r="D227" i="31"/>
  <c r="C227" i="31"/>
  <c r="B227" i="31"/>
  <c r="AG226" i="31"/>
  <c r="I227" i="25" s="1"/>
  <c r="AG225" i="31"/>
  <c r="I226" i="25" s="1"/>
  <c r="AG224" i="31"/>
  <c r="I225" i="25" s="1"/>
  <c r="AF223" i="31"/>
  <c r="AE223" i="31"/>
  <c r="AD223" i="31"/>
  <c r="AC223" i="31"/>
  <c r="AB223" i="31"/>
  <c r="AA223" i="31"/>
  <c r="Z223" i="31"/>
  <c r="Y223" i="31"/>
  <c r="X223" i="31"/>
  <c r="W223" i="31"/>
  <c r="V223" i="31"/>
  <c r="U223" i="31"/>
  <c r="T223" i="31"/>
  <c r="S223" i="31"/>
  <c r="R223" i="31"/>
  <c r="Q223" i="31"/>
  <c r="P223" i="31"/>
  <c r="O223" i="31"/>
  <c r="N223" i="31"/>
  <c r="M223" i="31"/>
  <c r="L223" i="31"/>
  <c r="K223" i="31"/>
  <c r="J223" i="31"/>
  <c r="I223" i="31"/>
  <c r="H223" i="31"/>
  <c r="G223" i="31"/>
  <c r="F223" i="31"/>
  <c r="E223" i="31"/>
  <c r="D223" i="31"/>
  <c r="C223" i="31"/>
  <c r="B223" i="31"/>
  <c r="AG222" i="31"/>
  <c r="I223" i="25" s="1"/>
  <c r="AG221" i="31"/>
  <c r="I222" i="25" s="1"/>
  <c r="AG220" i="31"/>
  <c r="I221" i="25" s="1"/>
  <c r="AG219" i="31"/>
  <c r="I220" i="25" s="1"/>
  <c r="AG218" i="31"/>
  <c r="I219" i="25" s="1"/>
  <c r="AG217" i="31"/>
  <c r="I218" i="25" s="1"/>
  <c r="AG216" i="31"/>
  <c r="I217" i="25" s="1"/>
  <c r="AG215" i="31"/>
  <c r="I216" i="25" s="1"/>
  <c r="AG214" i="31"/>
  <c r="I215" i="25" s="1"/>
  <c r="AG213" i="31"/>
  <c r="I214" i="25" s="1"/>
  <c r="AG212" i="31"/>
  <c r="I213" i="25" s="1"/>
  <c r="AG211" i="31"/>
  <c r="I212" i="25" s="1"/>
  <c r="AG209" i="31"/>
  <c r="I210" i="25" s="1"/>
  <c r="AG208" i="31"/>
  <c r="I209" i="25" s="1"/>
  <c r="AG207" i="31"/>
  <c r="I208" i="25" s="1"/>
  <c r="AG206" i="31"/>
  <c r="I207" i="25" s="1"/>
  <c r="AG205" i="31"/>
  <c r="I206" i="25" s="1"/>
  <c r="AF204" i="31"/>
  <c r="AE204" i="31"/>
  <c r="AD204" i="31"/>
  <c r="AC204" i="31"/>
  <c r="AB204" i="31"/>
  <c r="AA204" i="31"/>
  <c r="Z204" i="31"/>
  <c r="Y204" i="31"/>
  <c r="X204" i="31"/>
  <c r="W204" i="31"/>
  <c r="V204" i="31"/>
  <c r="U204" i="31"/>
  <c r="T204" i="31"/>
  <c r="S204" i="31"/>
  <c r="R204" i="31"/>
  <c r="Q204" i="31"/>
  <c r="P204" i="31"/>
  <c r="O204" i="31"/>
  <c r="N204" i="31"/>
  <c r="M204" i="31"/>
  <c r="L204" i="31"/>
  <c r="K204" i="31"/>
  <c r="J204" i="31"/>
  <c r="I204" i="31"/>
  <c r="H204" i="31"/>
  <c r="G204" i="31"/>
  <c r="F204" i="31"/>
  <c r="E204" i="31"/>
  <c r="D204" i="31"/>
  <c r="C204" i="31"/>
  <c r="B204" i="31"/>
  <c r="AG203" i="31"/>
  <c r="I204" i="25" s="1"/>
  <c r="AG202" i="31"/>
  <c r="I203" i="25" s="1"/>
  <c r="AG201" i="31"/>
  <c r="I202" i="25" s="1"/>
  <c r="AG200" i="31"/>
  <c r="I201" i="25" s="1"/>
  <c r="AG199" i="31"/>
  <c r="I200" i="25" s="1"/>
  <c r="AG198" i="31"/>
  <c r="I199" i="25" s="1"/>
  <c r="AG197" i="31"/>
  <c r="I198" i="25" s="1"/>
  <c r="AG196" i="31"/>
  <c r="I197" i="25" s="1"/>
  <c r="AG195" i="31"/>
  <c r="I196" i="25" s="1"/>
  <c r="AG194" i="31"/>
  <c r="I195" i="25" s="1"/>
  <c r="AG193" i="31"/>
  <c r="I194" i="25" s="1"/>
  <c r="AG192" i="31"/>
  <c r="I193" i="25" s="1"/>
  <c r="AG191" i="31"/>
  <c r="I192" i="25" s="1"/>
  <c r="AG190" i="31"/>
  <c r="I191" i="25" s="1"/>
  <c r="AG189" i="31"/>
  <c r="I190" i="25" s="1"/>
  <c r="AG188" i="31"/>
  <c r="I189" i="25" s="1"/>
  <c r="AG187" i="31"/>
  <c r="I188" i="25" s="1"/>
  <c r="AG186" i="31"/>
  <c r="I186" i="25" s="1"/>
  <c r="AG185" i="31"/>
  <c r="I185" i="25" s="1"/>
  <c r="AG184" i="31"/>
  <c r="I184" i="25" s="1"/>
  <c r="AG183" i="31"/>
  <c r="I183" i="25" s="1"/>
  <c r="AG182" i="31"/>
  <c r="I182" i="25" s="1"/>
  <c r="AG181" i="31"/>
  <c r="I181" i="25" s="1"/>
  <c r="AG180" i="31"/>
  <c r="I180" i="25" s="1"/>
  <c r="AF179" i="31"/>
  <c r="AE179" i="31"/>
  <c r="AD179" i="31"/>
  <c r="AC179" i="31"/>
  <c r="AB179" i="31"/>
  <c r="AA179" i="31"/>
  <c r="Z179" i="31"/>
  <c r="Y179" i="31"/>
  <c r="X179" i="31"/>
  <c r="W179" i="31"/>
  <c r="V179" i="31"/>
  <c r="U179" i="31"/>
  <c r="T179" i="31"/>
  <c r="S179" i="31"/>
  <c r="R179" i="31"/>
  <c r="Q179" i="31"/>
  <c r="P179" i="31"/>
  <c r="O179" i="31"/>
  <c r="N179" i="31"/>
  <c r="M179" i="31"/>
  <c r="L179" i="31"/>
  <c r="K179" i="31"/>
  <c r="J179" i="31"/>
  <c r="I179" i="31"/>
  <c r="H179" i="31"/>
  <c r="G179" i="31"/>
  <c r="F179" i="31"/>
  <c r="E179" i="31"/>
  <c r="D179" i="31"/>
  <c r="C179" i="31"/>
  <c r="B179" i="31"/>
  <c r="AG178" i="31"/>
  <c r="AG177" i="31"/>
  <c r="AG176" i="31"/>
  <c r="I176" i="25" s="1"/>
  <c r="AG175" i="31"/>
  <c r="I175" i="25" s="1"/>
  <c r="AF174" i="31"/>
  <c r="AE174" i="31"/>
  <c r="AD174" i="31"/>
  <c r="AC174" i="31"/>
  <c r="AB174" i="31"/>
  <c r="AA174" i="31"/>
  <c r="Z174" i="31"/>
  <c r="Y174" i="31"/>
  <c r="X174" i="31"/>
  <c r="W174" i="31"/>
  <c r="V174" i="31"/>
  <c r="U174" i="31"/>
  <c r="T174" i="31"/>
  <c r="S174" i="31"/>
  <c r="R174" i="31"/>
  <c r="Q174" i="31"/>
  <c r="P174" i="31"/>
  <c r="O174" i="31"/>
  <c r="N174" i="31"/>
  <c r="M174" i="31"/>
  <c r="L174" i="31"/>
  <c r="K174" i="31"/>
  <c r="J174" i="31"/>
  <c r="I174" i="31"/>
  <c r="H174" i="31"/>
  <c r="G174" i="31"/>
  <c r="F174" i="31"/>
  <c r="E174" i="31"/>
  <c r="D174" i="31"/>
  <c r="C174" i="31"/>
  <c r="B174" i="31"/>
  <c r="AG173" i="31"/>
  <c r="I173" i="25" s="1"/>
  <c r="AG172" i="31"/>
  <c r="I172" i="25" s="1"/>
  <c r="AG171" i="31"/>
  <c r="I171" i="25" s="1"/>
  <c r="AG170" i="31"/>
  <c r="I170" i="25" s="1"/>
  <c r="AG169" i="31"/>
  <c r="I169" i="25" s="1"/>
  <c r="AG168" i="31"/>
  <c r="I168" i="25" s="1"/>
  <c r="AF167" i="31"/>
  <c r="AE167" i="31"/>
  <c r="AD167" i="31"/>
  <c r="AC167" i="31"/>
  <c r="AB167" i="31"/>
  <c r="AA167" i="31"/>
  <c r="Z167" i="31"/>
  <c r="Y167" i="31"/>
  <c r="X167" i="31"/>
  <c r="W167" i="31"/>
  <c r="V167" i="31"/>
  <c r="U167" i="31"/>
  <c r="T167" i="31"/>
  <c r="S167" i="31"/>
  <c r="R167" i="31"/>
  <c r="Q167" i="31"/>
  <c r="P167" i="31"/>
  <c r="O167" i="31"/>
  <c r="N167" i="31"/>
  <c r="M167" i="31"/>
  <c r="M144" i="31" s="1"/>
  <c r="L167" i="31"/>
  <c r="K167" i="31"/>
  <c r="J167" i="31"/>
  <c r="I167" i="31"/>
  <c r="H167" i="31"/>
  <c r="G167" i="31"/>
  <c r="F167" i="31"/>
  <c r="E167" i="31"/>
  <c r="D167" i="31"/>
  <c r="C167" i="31"/>
  <c r="B167" i="31"/>
  <c r="AG166" i="31"/>
  <c r="I166" i="25" s="1"/>
  <c r="AG165" i="31"/>
  <c r="I165" i="25" s="1"/>
  <c r="AG164" i="31"/>
  <c r="I164" i="25" s="1"/>
  <c r="AG163" i="31"/>
  <c r="I163" i="25" s="1"/>
  <c r="AG162" i="31"/>
  <c r="I162" i="25" s="1"/>
  <c r="AG161" i="31"/>
  <c r="I161" i="25" s="1"/>
  <c r="AG160" i="31"/>
  <c r="I160" i="25" s="1"/>
  <c r="AG159" i="31"/>
  <c r="I159" i="25" s="1"/>
  <c r="AF158" i="31"/>
  <c r="AE158" i="31"/>
  <c r="AD158" i="31"/>
  <c r="AC158" i="31"/>
  <c r="AB158" i="31"/>
  <c r="AA158" i="31"/>
  <c r="Z158" i="31"/>
  <c r="Y158" i="31"/>
  <c r="X158" i="31"/>
  <c r="W158" i="31"/>
  <c r="V158" i="31"/>
  <c r="U158" i="31"/>
  <c r="T158" i="31"/>
  <c r="S158" i="31"/>
  <c r="R158" i="31"/>
  <c r="Q158" i="31"/>
  <c r="P158" i="31"/>
  <c r="O158" i="31"/>
  <c r="N158" i="31"/>
  <c r="M158" i="31"/>
  <c r="L158" i="31"/>
  <c r="K158" i="31"/>
  <c r="J158" i="31"/>
  <c r="I158" i="31"/>
  <c r="H158" i="31"/>
  <c r="G158" i="31"/>
  <c r="F158" i="31"/>
  <c r="E158" i="31"/>
  <c r="D158" i="31"/>
  <c r="C158" i="31"/>
  <c r="B158" i="31"/>
  <c r="AG157" i="31"/>
  <c r="I157" i="25" s="1"/>
  <c r="AG156" i="31"/>
  <c r="I156" i="25" s="1"/>
  <c r="AG155" i="31"/>
  <c r="I155" i="25" s="1"/>
  <c r="AG154" i="31"/>
  <c r="I154" i="25" s="1"/>
  <c r="AG153" i="31"/>
  <c r="I153" i="25" s="1"/>
  <c r="AG152" i="31"/>
  <c r="I152" i="25" s="1"/>
  <c r="AG151" i="31"/>
  <c r="I151" i="25" s="1"/>
  <c r="AG150" i="31"/>
  <c r="I150" i="25" s="1"/>
  <c r="AG149" i="31"/>
  <c r="I149" i="25" s="1"/>
  <c r="AF148" i="31"/>
  <c r="AF146" i="31" s="1"/>
  <c r="AF144" i="31" s="1"/>
  <c r="AE148" i="31"/>
  <c r="AD148" i="31"/>
  <c r="AD146" i="31" s="1"/>
  <c r="AC148" i="31"/>
  <c r="AC146" i="31" s="1"/>
  <c r="AC144" i="31" s="1"/>
  <c r="AB148" i="31"/>
  <c r="AB146" i="31" s="1"/>
  <c r="AB144" i="31" s="1"/>
  <c r="AA148" i="31"/>
  <c r="Z148" i="31"/>
  <c r="Z146" i="31" s="1"/>
  <c r="Y148" i="31"/>
  <c r="Y146" i="31" s="1"/>
  <c r="X148" i="31"/>
  <c r="X146" i="31" s="1"/>
  <c r="W148" i="31"/>
  <c r="V148" i="31"/>
  <c r="V146" i="31" s="1"/>
  <c r="U148" i="31"/>
  <c r="U146" i="31" s="1"/>
  <c r="U144" i="31" s="1"/>
  <c r="T148" i="31"/>
  <c r="T146" i="31" s="1"/>
  <c r="T144" i="31" s="1"/>
  <c r="S148" i="31"/>
  <c r="R148" i="31"/>
  <c r="R146" i="31" s="1"/>
  <c r="Q148" i="31"/>
  <c r="Q146" i="31" s="1"/>
  <c r="P148" i="31"/>
  <c r="P146" i="31" s="1"/>
  <c r="P144" i="31" s="1"/>
  <c r="O148" i="31"/>
  <c r="N148" i="31"/>
  <c r="N146" i="31" s="1"/>
  <c r="M148" i="31"/>
  <c r="M146" i="31" s="1"/>
  <c r="L148" i="31"/>
  <c r="L146" i="31" s="1"/>
  <c r="L144" i="31" s="1"/>
  <c r="K148" i="31"/>
  <c r="K146" i="31" s="1"/>
  <c r="J148" i="31"/>
  <c r="J146" i="31" s="1"/>
  <c r="I148" i="31"/>
  <c r="I146" i="31" s="1"/>
  <c r="H148" i="31"/>
  <c r="H146" i="31" s="1"/>
  <c r="G148" i="31"/>
  <c r="F148" i="31"/>
  <c r="F146" i="31" s="1"/>
  <c r="E148" i="31"/>
  <c r="E146" i="31" s="1"/>
  <c r="D148" i="31"/>
  <c r="C148" i="31"/>
  <c r="B148" i="31"/>
  <c r="B146" i="31" s="1"/>
  <c r="AE147" i="31"/>
  <c r="AD147" i="31"/>
  <c r="AC147" i="31"/>
  <c r="AB147" i="31"/>
  <c r="AA147" i="31"/>
  <c r="Z147" i="31"/>
  <c r="Y147" i="31"/>
  <c r="X147" i="31"/>
  <c r="W147" i="31"/>
  <c r="V147" i="31"/>
  <c r="U147" i="31"/>
  <c r="T147" i="31"/>
  <c r="S147" i="31"/>
  <c r="R147" i="31"/>
  <c r="Q147" i="31"/>
  <c r="P147" i="31"/>
  <c r="O147" i="31"/>
  <c r="N147" i="31"/>
  <c r="M147" i="31"/>
  <c r="L147" i="31"/>
  <c r="K147" i="31"/>
  <c r="J147" i="31"/>
  <c r="I147" i="31"/>
  <c r="H147" i="31"/>
  <c r="G147" i="31"/>
  <c r="F147" i="31"/>
  <c r="E147" i="31"/>
  <c r="D147" i="31"/>
  <c r="C147" i="31"/>
  <c r="B147" i="31"/>
  <c r="AE146" i="31"/>
  <c r="AA146" i="31"/>
  <c r="W146" i="31"/>
  <c r="S146" i="31"/>
  <c r="O146" i="31"/>
  <c r="O144" i="31" s="1"/>
  <c r="G146" i="31"/>
  <c r="D146" i="31"/>
  <c r="C146" i="31"/>
  <c r="AF145" i="31"/>
  <c r="AE145" i="31"/>
  <c r="AD145" i="31"/>
  <c r="AC145" i="31"/>
  <c r="AB145" i="31"/>
  <c r="AA145" i="31"/>
  <c r="Z145" i="31"/>
  <c r="Y145" i="31"/>
  <c r="X145" i="31"/>
  <c r="W145" i="31"/>
  <c r="V145" i="31"/>
  <c r="U145" i="31"/>
  <c r="T145" i="31"/>
  <c r="S145" i="31"/>
  <c r="R145" i="31"/>
  <c r="Q145" i="31"/>
  <c r="P145" i="31"/>
  <c r="O145" i="31"/>
  <c r="N145" i="31"/>
  <c r="M145" i="31"/>
  <c r="L145" i="31"/>
  <c r="K145" i="31"/>
  <c r="J145" i="31"/>
  <c r="I145" i="31"/>
  <c r="H145" i="31"/>
  <c r="G145" i="31"/>
  <c r="F145" i="31"/>
  <c r="E145" i="31"/>
  <c r="D145" i="31"/>
  <c r="C145" i="31"/>
  <c r="B145" i="31"/>
  <c r="AG141" i="31"/>
  <c r="I141" i="25" s="1"/>
  <c r="AG140" i="31"/>
  <c r="I140" i="25" s="1"/>
  <c r="AG138" i="31"/>
  <c r="I138" i="25" s="1"/>
  <c r="AG137" i="31"/>
  <c r="I137" i="25" s="1"/>
  <c r="AG136" i="31"/>
  <c r="I136" i="25" s="1"/>
  <c r="AG135" i="31"/>
  <c r="I135" i="25" s="1"/>
  <c r="AG134" i="31"/>
  <c r="I134" i="25" s="1"/>
  <c r="AG133" i="31"/>
  <c r="I133" i="25" s="1"/>
  <c r="AG132" i="31"/>
  <c r="I132" i="25" s="1"/>
  <c r="AG131" i="31"/>
  <c r="I131" i="25" s="1"/>
  <c r="AF130" i="31"/>
  <c r="AE130" i="31"/>
  <c r="AD130" i="31"/>
  <c r="AC130" i="31"/>
  <c r="AB130" i="31"/>
  <c r="AA130" i="31"/>
  <c r="Z130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AG129" i="31"/>
  <c r="I129" i="25" s="1"/>
  <c r="AG128" i="31"/>
  <c r="I128" i="25" s="1"/>
  <c r="AG127" i="31"/>
  <c r="I127" i="25" s="1"/>
  <c r="AG126" i="31"/>
  <c r="I126" i="25" s="1"/>
  <c r="AG125" i="31"/>
  <c r="I125" i="25" s="1"/>
  <c r="AG124" i="31"/>
  <c r="I124" i="25" s="1"/>
  <c r="AG123" i="31"/>
  <c r="I123" i="25" s="1"/>
  <c r="AG122" i="31"/>
  <c r="I122" i="25" s="1"/>
  <c r="AG121" i="31"/>
  <c r="I121" i="25" s="1"/>
  <c r="AG120" i="31"/>
  <c r="I120" i="25" s="1"/>
  <c r="AG119" i="31"/>
  <c r="I119" i="25" s="1"/>
  <c r="AG118" i="31"/>
  <c r="I118" i="25" s="1"/>
  <c r="AG117" i="31"/>
  <c r="I117" i="25" s="1"/>
  <c r="AF116" i="31"/>
  <c r="AE116" i="31"/>
  <c r="AD116" i="31"/>
  <c r="AC116" i="31"/>
  <c r="AB116" i="31"/>
  <c r="AA116" i="31"/>
  <c r="Z116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AG115" i="31"/>
  <c r="AG114" i="31"/>
  <c r="I114" i="25" s="1"/>
  <c r="AG113" i="31"/>
  <c r="I113" i="25" s="1"/>
  <c r="AG112" i="31"/>
  <c r="I112" i="25" s="1"/>
  <c r="AG111" i="31"/>
  <c r="I111" i="25" s="1"/>
  <c r="AG110" i="31"/>
  <c r="I110" i="25" s="1"/>
  <c r="AG109" i="31"/>
  <c r="I109" i="25" s="1"/>
  <c r="AG108" i="31"/>
  <c r="I108" i="25" s="1"/>
  <c r="AG107" i="31"/>
  <c r="I107" i="25" s="1"/>
  <c r="AG106" i="31"/>
  <c r="I106" i="25" s="1"/>
  <c r="AG105" i="31"/>
  <c r="I105" i="25" s="1"/>
  <c r="AG104" i="31"/>
  <c r="I104" i="25" s="1"/>
  <c r="AG103" i="31"/>
  <c r="I103" i="25" s="1"/>
  <c r="AG102" i="31"/>
  <c r="I102" i="25" s="1"/>
  <c r="AG101" i="31"/>
  <c r="I101" i="25" s="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AG99" i="31"/>
  <c r="I99" i="25" s="1"/>
  <c r="AG98" i="31"/>
  <c r="I98" i="25" s="1"/>
  <c r="AG97" i="31"/>
  <c r="I97" i="25" s="1"/>
  <c r="AG96" i="31"/>
  <c r="I96" i="25" s="1"/>
  <c r="AG95" i="31"/>
  <c r="I95" i="25" s="1"/>
  <c r="AF94" i="31"/>
  <c r="AF93" i="31" s="1"/>
  <c r="AE94" i="31"/>
  <c r="AE93" i="31" s="1"/>
  <c r="AD94" i="31"/>
  <c r="AC94" i="31"/>
  <c r="AC93" i="31" s="1"/>
  <c r="AB94" i="31"/>
  <c r="AA94" i="31"/>
  <c r="AA93" i="31" s="1"/>
  <c r="Z94" i="31"/>
  <c r="Y94" i="31"/>
  <c r="X94" i="31"/>
  <c r="W94" i="31"/>
  <c r="W93" i="31" s="1"/>
  <c r="V94" i="31"/>
  <c r="U94" i="31"/>
  <c r="T94" i="31"/>
  <c r="S94" i="31"/>
  <c r="S93" i="31" s="1"/>
  <c r="R94" i="31"/>
  <c r="Q94" i="31"/>
  <c r="Q93" i="31" s="1"/>
  <c r="P94" i="31"/>
  <c r="P93" i="31" s="1"/>
  <c r="O94" i="31"/>
  <c r="O93" i="31" s="1"/>
  <c r="N94" i="31"/>
  <c r="M94" i="31"/>
  <c r="L94" i="31"/>
  <c r="K94" i="31"/>
  <c r="K93" i="31" s="1"/>
  <c r="J94" i="31"/>
  <c r="I94" i="31"/>
  <c r="H94" i="31"/>
  <c r="H93" i="31" s="1"/>
  <c r="G94" i="31"/>
  <c r="G93" i="31" s="1"/>
  <c r="F94" i="31"/>
  <c r="E94" i="31"/>
  <c r="E93" i="31" s="1"/>
  <c r="D94" i="31"/>
  <c r="D93" i="31" s="1"/>
  <c r="C94" i="31"/>
  <c r="B94" i="31"/>
  <c r="X93" i="31"/>
  <c r="U93" i="31"/>
  <c r="L93" i="31"/>
  <c r="B93" i="31"/>
  <c r="AG92" i="31"/>
  <c r="I92" i="25" s="1"/>
  <c r="AG91" i="31"/>
  <c r="I91" i="25" s="1"/>
  <c r="AG90" i="31"/>
  <c r="I90" i="25" s="1"/>
  <c r="AG89" i="31"/>
  <c r="I89" i="25" s="1"/>
  <c r="AG88" i="31"/>
  <c r="I88" i="25" s="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AG86" i="31"/>
  <c r="I86" i="25" s="1"/>
  <c r="AG85" i="31"/>
  <c r="I85" i="25" s="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U83" i="31"/>
  <c r="R83" i="31"/>
  <c r="I83" i="31"/>
  <c r="E83" i="31"/>
  <c r="AF83" i="31"/>
  <c r="AF81" i="31" s="1"/>
  <c r="AE82" i="31"/>
  <c r="AE83" i="31" s="1"/>
  <c r="AD82" i="31"/>
  <c r="AD83" i="31" s="1"/>
  <c r="AD81" i="31" s="1"/>
  <c r="AC82" i="31"/>
  <c r="AC83" i="31" s="1"/>
  <c r="AB82" i="31"/>
  <c r="AB83" i="31" s="1"/>
  <c r="AB81" i="31" s="1"/>
  <c r="AA82" i="31"/>
  <c r="Z83" i="31"/>
  <c r="Z81" i="31" s="1"/>
  <c r="X82" i="31"/>
  <c r="X83" i="31" s="1"/>
  <c r="X81" i="31" s="1"/>
  <c r="W82" i="31"/>
  <c r="V82" i="31"/>
  <c r="T82" i="31"/>
  <c r="T83" i="31" s="1"/>
  <c r="T81" i="31" s="1"/>
  <c r="S83" i="31"/>
  <c r="S81" i="31" s="1"/>
  <c r="Q82" i="31"/>
  <c r="P83" i="31"/>
  <c r="P81" i="31" s="1"/>
  <c r="O82" i="31"/>
  <c r="O83" i="31" s="1"/>
  <c r="N82" i="31"/>
  <c r="N83" i="31" s="1"/>
  <c r="N81" i="31" s="1"/>
  <c r="M82" i="31"/>
  <c r="M83" i="31" s="1"/>
  <c r="L83" i="31"/>
  <c r="L81" i="31" s="1"/>
  <c r="J82" i="31"/>
  <c r="J83" i="31" s="1"/>
  <c r="I82" i="31"/>
  <c r="H82" i="31"/>
  <c r="H83" i="31" s="1"/>
  <c r="G82" i="31"/>
  <c r="F82" i="31"/>
  <c r="D83" i="31"/>
  <c r="D81" i="31" s="1"/>
  <c r="C82" i="31"/>
  <c r="C83" i="31" s="1"/>
  <c r="B82" i="31"/>
  <c r="B83" i="31" s="1"/>
  <c r="J81" i="31"/>
  <c r="AF80" i="31"/>
  <c r="AC80" i="31"/>
  <c r="AC79" i="31" s="1"/>
  <c r="AC78" i="31" s="1"/>
  <c r="AB80" i="31"/>
  <c r="AB79" i="31" s="1"/>
  <c r="AB78" i="31" s="1"/>
  <c r="AA80" i="31"/>
  <c r="Y80" i="31"/>
  <c r="Y79" i="31" s="1"/>
  <c r="Y78" i="31" s="1"/>
  <c r="V80" i="31"/>
  <c r="V79" i="31" s="1"/>
  <c r="V78" i="31" s="1"/>
  <c r="U80" i="31"/>
  <c r="U79" i="31" s="1"/>
  <c r="U78" i="31" s="1"/>
  <c r="T80" i="31"/>
  <c r="S80" i="31"/>
  <c r="S79" i="31" s="1"/>
  <c r="S78" i="31" s="1"/>
  <c r="R80" i="31"/>
  <c r="R79" i="31" s="1"/>
  <c r="R78" i="31" s="1"/>
  <c r="O80" i="31"/>
  <c r="O79" i="31" s="1"/>
  <c r="N80" i="31"/>
  <c r="N79" i="31" s="1"/>
  <c r="N78" i="31" s="1"/>
  <c r="M80" i="31"/>
  <c r="M79" i="31" s="1"/>
  <c r="M78" i="31" s="1"/>
  <c r="H80" i="31"/>
  <c r="H79" i="31" s="1"/>
  <c r="H78" i="31" s="1"/>
  <c r="G80" i="31"/>
  <c r="G79" i="31" s="1"/>
  <c r="G78" i="31" s="1"/>
  <c r="F80" i="31"/>
  <c r="AF79" i="31"/>
  <c r="AF78" i="31" s="1"/>
  <c r="AE79" i="31"/>
  <c r="AE78" i="31" s="1"/>
  <c r="AD79" i="31"/>
  <c r="AD78" i="31" s="1"/>
  <c r="AA79" i="31"/>
  <c r="AA78" i="31" s="1"/>
  <c r="Z79" i="31"/>
  <c r="Z78" i="31" s="1"/>
  <c r="X79" i="31"/>
  <c r="X78" i="31" s="1"/>
  <c r="W79" i="31"/>
  <c r="W78" i="31" s="1"/>
  <c r="T79" i="31"/>
  <c r="T78" i="31" s="1"/>
  <c r="Q79" i="31"/>
  <c r="Q78" i="31" s="1"/>
  <c r="P79" i="31"/>
  <c r="L79" i="31"/>
  <c r="L78" i="31" s="1"/>
  <c r="K79" i="31"/>
  <c r="K78" i="31" s="1"/>
  <c r="J79" i="31"/>
  <c r="J78" i="31" s="1"/>
  <c r="I79" i="31"/>
  <c r="I78" i="31" s="1"/>
  <c r="F79" i="31"/>
  <c r="F78" i="31" s="1"/>
  <c r="E79" i="31"/>
  <c r="E78" i="31" s="1"/>
  <c r="D79" i="31"/>
  <c r="D78" i="31" s="1"/>
  <c r="C79" i="31"/>
  <c r="C78" i="31" s="1"/>
  <c r="B79" i="31"/>
  <c r="P78" i="31"/>
  <c r="O78" i="31"/>
  <c r="B78" i="31"/>
  <c r="AG77" i="31"/>
  <c r="I77" i="25" s="1"/>
  <c r="AG76" i="31"/>
  <c r="I76" i="25" s="1"/>
  <c r="AG75" i="31"/>
  <c r="I75" i="25" s="1"/>
  <c r="AG74" i="31"/>
  <c r="I74" i="25" s="1"/>
  <c r="AG73" i="31"/>
  <c r="I73" i="25" s="1"/>
  <c r="AG72" i="31"/>
  <c r="I72" i="25" s="1"/>
  <c r="AG71" i="31"/>
  <c r="I71" i="25" s="1"/>
  <c r="AG70" i="31"/>
  <c r="I70" i="25" s="1"/>
  <c r="AG69" i="31"/>
  <c r="I69" i="25" s="1"/>
  <c r="AG68" i="31"/>
  <c r="I68" i="25" s="1"/>
  <c r="AG67" i="31"/>
  <c r="I67" i="25" s="1"/>
  <c r="AG66" i="31"/>
  <c r="I66" i="25" s="1"/>
  <c r="AG65" i="31"/>
  <c r="I65" i="25" s="1"/>
  <c r="AG64" i="31"/>
  <c r="I64" i="25" s="1"/>
  <c r="AG63" i="31"/>
  <c r="I63" i="25" s="1"/>
  <c r="AG62" i="31"/>
  <c r="I62" i="25" s="1"/>
  <c r="AG61" i="31"/>
  <c r="I61" i="25" s="1"/>
  <c r="AG60" i="31"/>
  <c r="I60" i="25" s="1"/>
  <c r="AG59" i="31"/>
  <c r="I59" i="25" s="1"/>
  <c r="AG58" i="31"/>
  <c r="I58" i="25" s="1"/>
  <c r="AG57" i="31"/>
  <c r="I57" i="25" s="1"/>
  <c r="AG56" i="31"/>
  <c r="I56" i="25" s="1"/>
  <c r="AG55" i="31"/>
  <c r="I55" i="25" s="1"/>
  <c r="AG54" i="31"/>
  <c r="I54" i="25" s="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AG52" i="31"/>
  <c r="I52" i="25" s="1"/>
  <c r="AG51" i="31"/>
  <c r="I51" i="25" s="1"/>
  <c r="AG50" i="31"/>
  <c r="I50" i="25" s="1"/>
  <c r="AG49" i="31"/>
  <c r="I49" i="25" s="1"/>
  <c r="AG48" i="31"/>
  <c r="I48" i="25" s="1"/>
  <c r="AG47" i="31"/>
  <c r="I47" i="25" s="1"/>
  <c r="AG46" i="31"/>
  <c r="I46" i="25" s="1"/>
  <c r="AG45" i="31"/>
  <c r="I45" i="25" s="1"/>
  <c r="AG44" i="31"/>
  <c r="I44" i="25" s="1"/>
  <c r="AG43" i="31"/>
  <c r="I43" i="25" s="1"/>
  <c r="AG42" i="31"/>
  <c r="I42" i="25" s="1"/>
  <c r="AG41" i="31"/>
  <c r="I41" i="25" s="1"/>
  <c r="AG40" i="31"/>
  <c r="I40" i="25" s="1"/>
  <c r="AG39" i="31"/>
  <c r="I39" i="25" s="1"/>
  <c r="AG38" i="31"/>
  <c r="I38" i="25" s="1"/>
  <c r="AG37" i="31"/>
  <c r="I37" i="25" s="1"/>
  <c r="AG36" i="31"/>
  <c r="I36" i="25" s="1"/>
  <c r="AG35" i="31"/>
  <c r="I35" i="25" s="1"/>
  <c r="AG34" i="31"/>
  <c r="I34" i="25" s="1"/>
  <c r="AG33" i="31"/>
  <c r="I33" i="25" s="1"/>
  <c r="AG32" i="31"/>
  <c r="I32" i="25" s="1"/>
  <c r="AG31" i="31"/>
  <c r="I31" i="25" s="1"/>
  <c r="AG30" i="31"/>
  <c r="I30" i="25" s="1"/>
  <c r="AG29" i="31"/>
  <c r="I29" i="25" s="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AG27" i="31"/>
  <c r="I27" i="25" s="1"/>
  <c r="AG26" i="31"/>
  <c r="I26" i="25" s="1"/>
  <c r="AG25" i="31"/>
  <c r="I25" i="25" s="1"/>
  <c r="AG24" i="31"/>
  <c r="I24" i="25" s="1"/>
  <c r="AG23" i="31"/>
  <c r="I23" i="25" s="1"/>
  <c r="AG22" i="31"/>
  <c r="I22" i="25" s="1"/>
  <c r="AG21" i="31"/>
  <c r="I21" i="25" s="1"/>
  <c r="AG20" i="31"/>
  <c r="I20" i="25" s="1"/>
  <c r="AG19" i="31"/>
  <c r="I19" i="25" s="1"/>
  <c r="AG18" i="31"/>
  <c r="I18" i="25" s="1"/>
  <c r="AG17" i="31"/>
  <c r="I17" i="25" s="1"/>
  <c r="AG16" i="31"/>
  <c r="I16" i="25" s="1"/>
  <c r="AG15" i="31"/>
  <c r="I15" i="25" s="1"/>
  <c r="AG14" i="31"/>
  <c r="I14" i="25" s="1"/>
  <c r="AG13" i="31"/>
  <c r="I13" i="25" s="1"/>
  <c r="AG12" i="31"/>
  <c r="I12" i="25" s="1"/>
  <c r="AG11" i="31"/>
  <c r="I11" i="25" s="1"/>
  <c r="AG10" i="31"/>
  <c r="I10" i="25" s="1"/>
  <c r="AG9" i="31"/>
  <c r="I9" i="25" s="1"/>
  <c r="AG8" i="31"/>
  <c r="I8" i="25" s="1"/>
  <c r="AG7" i="31"/>
  <c r="I7" i="25" s="1"/>
  <c r="AG6" i="31"/>
  <c r="I6" i="25" s="1"/>
  <c r="AG5" i="31"/>
  <c r="I5" i="25" s="1"/>
  <c r="AG4" i="31"/>
  <c r="I4" i="25" s="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H3" i="31"/>
  <c r="G3" i="31"/>
  <c r="F3" i="31"/>
  <c r="E3" i="31"/>
  <c r="D3" i="31"/>
  <c r="C3" i="31"/>
  <c r="B3" i="31"/>
  <c r="AC2" i="31"/>
  <c r="D2" i="31"/>
  <c r="E2" i="31" s="1"/>
  <c r="F2" i="31" s="1"/>
  <c r="G2" i="31" s="1"/>
  <c r="H2" i="31" s="1"/>
  <c r="I2" i="31" s="1"/>
  <c r="J2" i="31" s="1"/>
  <c r="K2" i="31" s="1"/>
  <c r="L2" i="31" s="1"/>
  <c r="M2" i="31" s="1"/>
  <c r="N2" i="31" s="1"/>
  <c r="O2" i="31" s="1"/>
  <c r="P2" i="31" s="1"/>
  <c r="Q2" i="31" s="1"/>
  <c r="R2" i="31" s="1"/>
  <c r="S2" i="31" s="1"/>
  <c r="T2" i="31" s="1"/>
  <c r="C2" i="31"/>
  <c r="D144" i="31" l="1"/>
  <c r="Q144" i="31"/>
  <c r="AG223" i="31"/>
  <c r="I224" i="25" s="1"/>
  <c r="AG147" i="31"/>
  <c r="I147" i="25" s="1"/>
  <c r="I144" i="31"/>
  <c r="Y144" i="31"/>
  <c r="H81" i="31"/>
  <c r="AB93" i="31"/>
  <c r="B144" i="31"/>
  <c r="F144" i="31"/>
  <c r="J144" i="31"/>
  <c r="R144" i="31"/>
  <c r="V144" i="31"/>
  <c r="AD144" i="31"/>
  <c r="U2" i="31"/>
  <c r="V2" i="31" s="1"/>
  <c r="W2" i="31" s="1"/>
  <c r="X2" i="31" s="1"/>
  <c r="Y2" i="31" s="1"/>
  <c r="Z2" i="31" s="1"/>
  <c r="AA2" i="31" s="1"/>
  <c r="I93" i="31"/>
  <c r="M93" i="31"/>
  <c r="Y93" i="31"/>
  <c r="AG231" i="31"/>
  <c r="I232" i="25" s="1"/>
  <c r="AG227" i="31"/>
  <c r="I228" i="25" s="1"/>
  <c r="AD93" i="31"/>
  <c r="X144" i="31"/>
  <c r="Z144" i="31"/>
  <c r="Z93" i="31"/>
  <c r="W144" i="31"/>
  <c r="V93" i="31"/>
  <c r="T93" i="31"/>
  <c r="R93" i="31"/>
  <c r="N144" i="31"/>
  <c r="N93" i="31"/>
  <c r="AG148" i="31"/>
  <c r="J93" i="31"/>
  <c r="H144" i="31"/>
  <c r="F93" i="31"/>
  <c r="E144" i="31"/>
  <c r="AG174" i="31"/>
  <c r="I174" i="25" s="1"/>
  <c r="AG145" i="31"/>
  <c r="I145" i="25" s="1"/>
  <c r="AG158" i="31"/>
  <c r="I158" i="25" s="1"/>
  <c r="AG100" i="31"/>
  <c r="I100" i="25" s="1"/>
  <c r="AG28" i="31"/>
  <c r="I28" i="25" s="1"/>
  <c r="AG179" i="31"/>
  <c r="I179" i="25" s="1"/>
  <c r="AG84" i="31"/>
  <c r="I84" i="25" s="1"/>
  <c r="AG204" i="31"/>
  <c r="I205" i="25" s="1"/>
  <c r="B130" i="31"/>
  <c r="AG130" i="31" s="1"/>
  <c r="I130" i="25" s="1"/>
  <c r="AG116" i="31"/>
  <c r="I116" i="25" s="1"/>
  <c r="AG53" i="31"/>
  <c r="I53" i="25" s="1"/>
  <c r="AG3" i="31"/>
  <c r="I3" i="25" s="1"/>
  <c r="AG78" i="31"/>
  <c r="I78" i="25" s="1"/>
  <c r="K83" i="31"/>
  <c r="K81" i="31" s="1"/>
  <c r="AA83" i="31"/>
  <c r="AA81" i="31" s="1"/>
  <c r="W83" i="31"/>
  <c r="W81" i="31" s="1"/>
  <c r="C81" i="31"/>
  <c r="AE81" i="31"/>
  <c r="G83" i="31"/>
  <c r="G81" i="31" s="1"/>
  <c r="AG79" i="31"/>
  <c r="I79" i="25" s="1"/>
  <c r="O81" i="31"/>
  <c r="G144" i="31"/>
  <c r="AG82" i="31"/>
  <c r="I82" i="25" s="1"/>
  <c r="B81" i="31"/>
  <c r="F83" i="31"/>
  <c r="F81" i="31" s="1"/>
  <c r="R81" i="31"/>
  <c r="V83" i="31"/>
  <c r="V81" i="31"/>
  <c r="AE144" i="31"/>
  <c r="C93" i="31"/>
  <c r="AG94" i="31"/>
  <c r="I94" i="25" s="1"/>
  <c r="AG80" i="31"/>
  <c r="I80" i="25" s="1"/>
  <c r="E81" i="31"/>
  <c r="I81" i="31"/>
  <c r="M81" i="31"/>
  <c r="U81" i="31"/>
  <c r="Y81" i="31"/>
  <c r="AC81" i="31"/>
  <c r="Q83" i="31"/>
  <c r="Q81" i="31" s="1"/>
  <c r="AG87" i="31"/>
  <c r="I87" i="25" s="1"/>
  <c r="C144" i="31"/>
  <c r="K144" i="31"/>
  <c r="S144" i="31"/>
  <c r="AA144" i="31"/>
  <c r="AG167" i="31"/>
  <c r="I167" i="25" s="1"/>
  <c r="AF143" i="30"/>
  <c r="AF142" i="30"/>
  <c r="AF129" i="30"/>
  <c r="AG146" i="31" l="1"/>
  <c r="I146" i="25" s="1"/>
  <c r="I148" i="25"/>
  <c r="AG93" i="31"/>
  <c r="AG144" i="31"/>
  <c r="I144" i="25" s="1"/>
  <c r="AH87" i="31"/>
  <c r="AG83" i="31"/>
  <c r="AG81" i="31"/>
  <c r="AE142" i="30"/>
  <c r="AE134" i="30"/>
  <c r="AE139" i="30"/>
  <c r="AE129" i="30"/>
  <c r="AH81" i="31" l="1"/>
  <c r="I81" i="25"/>
  <c r="AH204" i="31"/>
  <c r="I93" i="25"/>
  <c r="AH84" i="31"/>
  <c r="I83" i="25"/>
  <c r="AH93" i="31"/>
  <c r="AH130" i="31"/>
  <c r="AH144" i="31"/>
  <c r="AD143" i="30"/>
  <c r="AD134" i="30"/>
  <c r="AD142" i="30"/>
  <c r="AD137" i="30"/>
  <c r="AD129" i="30"/>
  <c r="AC134" i="30" l="1"/>
  <c r="AC143" i="30"/>
  <c r="AC142" i="30"/>
  <c r="AC137" i="30"/>
  <c r="AC129" i="30"/>
  <c r="AB134" i="30" l="1"/>
  <c r="AB143" i="30"/>
  <c r="AB142" i="30"/>
  <c r="AB137" i="30"/>
  <c r="AB129" i="30"/>
  <c r="AA143" i="30" l="1"/>
  <c r="AA134" i="30"/>
  <c r="AA142" i="30"/>
  <c r="AA129" i="30"/>
  <c r="Z143" i="30" l="1"/>
  <c r="Z142" i="30"/>
  <c r="Z139" i="30"/>
  <c r="Z137" i="30"/>
  <c r="Z129" i="30"/>
  <c r="Y143" i="30" l="1"/>
  <c r="Y142" i="30"/>
  <c r="Y129" i="30"/>
  <c r="X143" i="30" l="1"/>
  <c r="X142" i="30"/>
  <c r="X137" i="30"/>
  <c r="X129" i="30"/>
  <c r="W143" i="30" l="1"/>
  <c r="W139" i="30"/>
  <c r="W134" i="30"/>
  <c r="W129" i="30"/>
  <c r="V143" i="30" l="1"/>
  <c r="V142" i="30"/>
  <c r="V139" i="30"/>
  <c r="V137" i="30"/>
  <c r="V129" i="30"/>
  <c r="U143" i="30"/>
  <c r="U142" i="30"/>
  <c r="U137" i="30"/>
  <c r="U129" i="30"/>
  <c r="T143" i="30" l="1"/>
  <c r="T142" i="30"/>
  <c r="T137" i="30"/>
  <c r="T129" i="30"/>
  <c r="S143" i="30" l="1"/>
  <c r="S142" i="30"/>
  <c r="S134" i="30"/>
  <c r="S129" i="30"/>
  <c r="R143" i="30" l="1"/>
  <c r="R134" i="30"/>
  <c r="R142" i="30"/>
  <c r="R137" i="30"/>
  <c r="R129" i="30"/>
  <c r="Q179" i="30" l="1"/>
  <c r="Q143" i="30"/>
  <c r="Q142" i="30"/>
  <c r="Q129" i="30"/>
  <c r="P173" i="30" l="1"/>
  <c r="P143" i="30"/>
  <c r="P142" i="30"/>
  <c r="P137" i="30"/>
  <c r="P129" i="30"/>
  <c r="O143" i="30" l="1"/>
  <c r="O142" i="30"/>
  <c r="O139" i="30"/>
  <c r="O137" i="30"/>
  <c r="O129" i="30"/>
  <c r="N143" i="30"/>
  <c r="N142" i="30"/>
  <c r="N139" i="30"/>
  <c r="N134" i="30"/>
  <c r="N137" i="30"/>
  <c r="N129" i="30"/>
  <c r="M143" i="30"/>
  <c r="M142" i="30"/>
  <c r="M129" i="30"/>
  <c r="L142" i="30" l="1"/>
  <c r="L139" i="30"/>
  <c r="L134" i="30"/>
  <c r="L129" i="30"/>
  <c r="K143" i="30" l="1"/>
  <c r="K142" i="30"/>
  <c r="K129" i="30"/>
  <c r="J143" i="30" l="1"/>
  <c r="J142" i="30"/>
  <c r="J139" i="30"/>
  <c r="J137" i="30"/>
  <c r="J129" i="30"/>
  <c r="I134" i="30"/>
  <c r="I143" i="30"/>
  <c r="I142" i="30"/>
  <c r="I139" i="30"/>
  <c r="I137" i="30"/>
  <c r="I129" i="30"/>
  <c r="H143" i="30"/>
  <c r="H142" i="30"/>
  <c r="H139" i="30"/>
  <c r="H137" i="30"/>
  <c r="H129" i="30"/>
  <c r="G143" i="30"/>
  <c r="G142" i="30"/>
  <c r="G137" i="30"/>
  <c r="G129" i="30"/>
  <c r="F143" i="30" l="1"/>
  <c r="F134" i="30"/>
  <c r="F142" i="30"/>
  <c r="F139" i="30"/>
  <c r="F137" i="30"/>
  <c r="F129" i="30"/>
  <c r="E143" i="30"/>
  <c r="E133" i="30"/>
  <c r="E142" i="30"/>
  <c r="E139" i="30"/>
  <c r="E137" i="30"/>
  <c r="E129" i="30"/>
  <c r="D143" i="30"/>
  <c r="D142" i="30"/>
  <c r="D137" i="30"/>
  <c r="D130" i="30"/>
  <c r="D129" i="30"/>
  <c r="D116" i="30" s="1"/>
  <c r="C143" i="30"/>
  <c r="C142" i="30"/>
  <c r="C139" i="30"/>
  <c r="C130" i="30" s="1"/>
  <c r="C129" i="30"/>
  <c r="B143" i="30"/>
  <c r="B142" i="30"/>
  <c r="B139" i="30"/>
  <c r="B134" i="30"/>
  <c r="B129" i="30"/>
  <c r="B116" i="30" s="1"/>
  <c r="AG237" i="30"/>
  <c r="H238" i="25" s="1"/>
  <c r="AG236" i="30"/>
  <c r="H237" i="25" s="1"/>
  <c r="AG232" i="30"/>
  <c r="H233" i="25" s="1"/>
  <c r="AF231" i="30"/>
  <c r="AE231" i="30"/>
  <c r="AD231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C231" i="30"/>
  <c r="B231" i="30"/>
  <c r="AG230" i="30"/>
  <c r="H231" i="25" s="1"/>
  <c r="AG229" i="30"/>
  <c r="H230" i="25" s="1"/>
  <c r="AG228" i="30"/>
  <c r="H229" i="25" s="1"/>
  <c r="AG226" i="30"/>
  <c r="H227" i="25" s="1"/>
  <c r="AG225" i="30"/>
  <c r="H226" i="25" s="1"/>
  <c r="AG224" i="30"/>
  <c r="H225" i="25" s="1"/>
  <c r="AF223" i="30"/>
  <c r="AE223" i="30"/>
  <c r="AD223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C223" i="30"/>
  <c r="B223" i="30"/>
  <c r="AG223" i="30" s="1"/>
  <c r="H224" i="25" s="1"/>
  <c r="AG222" i="30"/>
  <c r="H223" i="25" s="1"/>
  <c r="AG221" i="30"/>
  <c r="H222" i="25" s="1"/>
  <c r="AG220" i="30"/>
  <c r="H221" i="25" s="1"/>
  <c r="AG219" i="30"/>
  <c r="H220" i="25" s="1"/>
  <c r="AG218" i="30"/>
  <c r="H219" i="25" s="1"/>
  <c r="AG217" i="30"/>
  <c r="H218" i="25" s="1"/>
  <c r="AG216" i="30"/>
  <c r="H217" i="25" s="1"/>
  <c r="AG215" i="30"/>
  <c r="H216" i="25" s="1"/>
  <c r="AG214" i="30"/>
  <c r="H215" i="25" s="1"/>
  <c r="AG213" i="30"/>
  <c r="H214" i="25" s="1"/>
  <c r="AG212" i="30"/>
  <c r="H213" i="25" s="1"/>
  <c r="AG211" i="30"/>
  <c r="H212" i="25" s="1"/>
  <c r="AG209" i="30"/>
  <c r="H210" i="25" s="1"/>
  <c r="AG208" i="30"/>
  <c r="H209" i="25" s="1"/>
  <c r="AG207" i="30"/>
  <c r="H208" i="25" s="1"/>
  <c r="AG206" i="30"/>
  <c r="H207" i="25" s="1"/>
  <c r="AG205" i="30"/>
  <c r="H206" i="25" s="1"/>
  <c r="AF204" i="30"/>
  <c r="AE204" i="30"/>
  <c r="AD204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J204" i="30"/>
  <c r="I204" i="30"/>
  <c r="H204" i="30"/>
  <c r="G204" i="30"/>
  <c r="F204" i="30"/>
  <c r="E204" i="30"/>
  <c r="D204" i="30"/>
  <c r="C204" i="30"/>
  <c r="B204" i="30"/>
  <c r="AG203" i="30"/>
  <c r="H204" i="25" s="1"/>
  <c r="AG202" i="30"/>
  <c r="H203" i="25" s="1"/>
  <c r="AG201" i="30"/>
  <c r="H202" i="25" s="1"/>
  <c r="AG200" i="30"/>
  <c r="H201" i="25" s="1"/>
  <c r="AG199" i="30"/>
  <c r="H200" i="25" s="1"/>
  <c r="AG198" i="30"/>
  <c r="H199" i="25" s="1"/>
  <c r="AG197" i="30"/>
  <c r="H198" i="25" s="1"/>
  <c r="AG196" i="30"/>
  <c r="H197" i="25" s="1"/>
  <c r="AG195" i="30"/>
  <c r="H196" i="25" s="1"/>
  <c r="AG194" i="30"/>
  <c r="H195" i="25" s="1"/>
  <c r="AG193" i="30"/>
  <c r="H194" i="25" s="1"/>
  <c r="AG192" i="30"/>
  <c r="H193" i="25" s="1"/>
  <c r="AG191" i="30"/>
  <c r="H192" i="25" s="1"/>
  <c r="AG190" i="30"/>
  <c r="H191" i="25" s="1"/>
  <c r="AG189" i="30"/>
  <c r="H190" i="25" s="1"/>
  <c r="AG188" i="30"/>
  <c r="H189" i="25" s="1"/>
  <c r="AG187" i="30"/>
  <c r="H188" i="25" s="1"/>
  <c r="AG186" i="30"/>
  <c r="H186" i="25" s="1"/>
  <c r="AG185" i="30"/>
  <c r="H185" i="25" s="1"/>
  <c r="AG184" i="30"/>
  <c r="H184" i="25" s="1"/>
  <c r="AG183" i="30"/>
  <c r="H183" i="25" s="1"/>
  <c r="AG182" i="30"/>
  <c r="H182" i="25" s="1"/>
  <c r="AG181" i="30"/>
  <c r="H181" i="25" s="1"/>
  <c r="AG180" i="30"/>
  <c r="H180" i="25" s="1"/>
  <c r="AF179" i="30"/>
  <c r="AE179" i="30"/>
  <c r="AD179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P179" i="30"/>
  <c r="O179" i="30"/>
  <c r="N179" i="30"/>
  <c r="M179" i="30"/>
  <c r="L179" i="30"/>
  <c r="K179" i="30"/>
  <c r="J179" i="30"/>
  <c r="I179" i="30"/>
  <c r="H179" i="30"/>
  <c r="G179" i="30"/>
  <c r="F179" i="30"/>
  <c r="E179" i="30"/>
  <c r="D179" i="30"/>
  <c r="C179" i="30"/>
  <c r="B179" i="30"/>
  <c r="AG178" i="30"/>
  <c r="AG177" i="30"/>
  <c r="AG176" i="30"/>
  <c r="H176" i="25" s="1"/>
  <c r="AG175" i="30"/>
  <c r="H175" i="25" s="1"/>
  <c r="AF174" i="30"/>
  <c r="AE174" i="30"/>
  <c r="AD174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J174" i="30"/>
  <c r="I174" i="30"/>
  <c r="H174" i="30"/>
  <c r="G174" i="30"/>
  <c r="F174" i="30"/>
  <c r="E174" i="30"/>
  <c r="D174" i="30"/>
  <c r="C174" i="30"/>
  <c r="B174" i="30"/>
  <c r="AG173" i="30"/>
  <c r="H173" i="25" s="1"/>
  <c r="AG172" i="30"/>
  <c r="H172" i="25" s="1"/>
  <c r="AG171" i="30"/>
  <c r="H171" i="25" s="1"/>
  <c r="AG170" i="30"/>
  <c r="H170" i="25" s="1"/>
  <c r="AG169" i="30"/>
  <c r="H169" i="25" s="1"/>
  <c r="AG168" i="30"/>
  <c r="H168" i="25" s="1"/>
  <c r="AF167" i="30"/>
  <c r="AE167" i="30"/>
  <c r="AD167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J167" i="30"/>
  <c r="I167" i="30"/>
  <c r="H167" i="30"/>
  <c r="G167" i="30"/>
  <c r="F167" i="30"/>
  <c r="E167" i="30"/>
  <c r="D167" i="30"/>
  <c r="C167" i="30"/>
  <c r="B167" i="30"/>
  <c r="AG166" i="30"/>
  <c r="H166" i="25" s="1"/>
  <c r="AG165" i="30"/>
  <c r="H165" i="25" s="1"/>
  <c r="AG164" i="30"/>
  <c r="H164" i="25" s="1"/>
  <c r="AG163" i="30"/>
  <c r="H163" i="25" s="1"/>
  <c r="AG162" i="30"/>
  <c r="H162" i="25" s="1"/>
  <c r="AG161" i="30"/>
  <c r="H161" i="25" s="1"/>
  <c r="AG160" i="30"/>
  <c r="H160" i="25" s="1"/>
  <c r="AG159" i="30"/>
  <c r="H159" i="25" s="1"/>
  <c r="AF158" i="30"/>
  <c r="AE158" i="30"/>
  <c r="AD158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J158" i="30"/>
  <c r="I158" i="30"/>
  <c r="H158" i="30"/>
  <c r="G158" i="30"/>
  <c r="F158" i="30"/>
  <c r="E158" i="30"/>
  <c r="D158" i="30"/>
  <c r="C158" i="30"/>
  <c r="B158" i="30"/>
  <c r="AG157" i="30"/>
  <c r="H157" i="25" s="1"/>
  <c r="AG156" i="30"/>
  <c r="H156" i="25" s="1"/>
  <c r="AG155" i="30"/>
  <c r="H155" i="25" s="1"/>
  <c r="AG154" i="30"/>
  <c r="H154" i="25" s="1"/>
  <c r="AG153" i="30"/>
  <c r="H153" i="25" s="1"/>
  <c r="AG152" i="30"/>
  <c r="H152" i="25" s="1"/>
  <c r="AG151" i="30"/>
  <c r="H151" i="25" s="1"/>
  <c r="AG150" i="30"/>
  <c r="H150" i="25" s="1"/>
  <c r="AG149" i="30"/>
  <c r="H149" i="25" s="1"/>
  <c r="AF148" i="30"/>
  <c r="AF146" i="30" s="1"/>
  <c r="AE148" i="30"/>
  <c r="AD148" i="30"/>
  <c r="AC148" i="30"/>
  <c r="AC146" i="30" s="1"/>
  <c r="AC144" i="30" s="1"/>
  <c r="AB148" i="30"/>
  <c r="AB146" i="30" s="1"/>
  <c r="AB144" i="30" s="1"/>
  <c r="AA148" i="30"/>
  <c r="AA146" i="30" s="1"/>
  <c r="AA144" i="30" s="1"/>
  <c r="Z148" i="30"/>
  <c r="Y148" i="30"/>
  <c r="Y146" i="30" s="1"/>
  <c r="Y144" i="30" s="1"/>
  <c r="X148" i="30"/>
  <c r="X146" i="30" s="1"/>
  <c r="W148" i="30"/>
  <c r="W146" i="30" s="1"/>
  <c r="W144" i="30" s="1"/>
  <c r="V148" i="30"/>
  <c r="U148" i="30"/>
  <c r="U146" i="30" s="1"/>
  <c r="U144" i="30" s="1"/>
  <c r="T148" i="30"/>
  <c r="T146" i="30" s="1"/>
  <c r="T144" i="30" s="1"/>
  <c r="S148" i="30"/>
  <c r="S146" i="30" s="1"/>
  <c r="S144" i="30" s="1"/>
  <c r="R148" i="30"/>
  <c r="Q148" i="30"/>
  <c r="Q146" i="30" s="1"/>
  <c r="Q144" i="30" s="1"/>
  <c r="P148" i="30"/>
  <c r="P146" i="30" s="1"/>
  <c r="O148" i="30"/>
  <c r="O146" i="30" s="1"/>
  <c r="N148" i="30"/>
  <c r="M148" i="30"/>
  <c r="M146" i="30" s="1"/>
  <c r="M144" i="30" s="1"/>
  <c r="L148" i="30"/>
  <c r="L146" i="30" s="1"/>
  <c r="K148" i="30"/>
  <c r="K146" i="30" s="1"/>
  <c r="K144" i="30" s="1"/>
  <c r="J148" i="30"/>
  <c r="I148" i="30"/>
  <c r="I146" i="30" s="1"/>
  <c r="I144" i="30" s="1"/>
  <c r="H148" i="30"/>
  <c r="H146" i="30" s="1"/>
  <c r="G148" i="30"/>
  <c r="F148" i="30"/>
  <c r="E148" i="30"/>
  <c r="E146" i="30" s="1"/>
  <c r="E144" i="30" s="1"/>
  <c r="D148" i="30"/>
  <c r="D146" i="30" s="1"/>
  <c r="D144" i="30" s="1"/>
  <c r="C148" i="30"/>
  <c r="B148" i="30"/>
  <c r="AE147" i="30"/>
  <c r="AD147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J147" i="30"/>
  <c r="I147" i="30"/>
  <c r="H147" i="30"/>
  <c r="G147" i="30"/>
  <c r="F147" i="30"/>
  <c r="E147" i="30"/>
  <c r="D147" i="30"/>
  <c r="C147" i="30"/>
  <c r="B147" i="30"/>
  <c r="AE146" i="30"/>
  <c r="AD146" i="30"/>
  <c r="Z146" i="30"/>
  <c r="Z144" i="30" s="1"/>
  <c r="V146" i="30"/>
  <c r="R146" i="30"/>
  <c r="R144" i="30" s="1"/>
  <c r="N146" i="30"/>
  <c r="J146" i="30"/>
  <c r="G146" i="30"/>
  <c r="G144" i="30" s="1"/>
  <c r="F146" i="30"/>
  <c r="B146" i="30"/>
  <c r="B144" i="30" s="1"/>
  <c r="AF145" i="30"/>
  <c r="AE145" i="30"/>
  <c r="AD145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J145" i="30"/>
  <c r="I145" i="30"/>
  <c r="H145" i="30"/>
  <c r="G145" i="30"/>
  <c r="F145" i="30"/>
  <c r="E145" i="30"/>
  <c r="D145" i="30"/>
  <c r="C145" i="30"/>
  <c r="B145" i="30"/>
  <c r="AF144" i="30"/>
  <c r="AE144" i="30"/>
  <c r="X144" i="30"/>
  <c r="P144" i="30"/>
  <c r="H144" i="30"/>
  <c r="AG143" i="30"/>
  <c r="H143" i="25" s="1"/>
  <c r="AG141" i="30"/>
  <c r="H141" i="25" s="1"/>
  <c r="AG140" i="30"/>
  <c r="H140" i="25" s="1"/>
  <c r="AG139" i="30"/>
  <c r="H139" i="25" s="1"/>
  <c r="AG138" i="30"/>
  <c r="H138" i="25" s="1"/>
  <c r="AG137" i="30"/>
  <c r="H137" i="25" s="1"/>
  <c r="AG136" i="30"/>
  <c r="H136" i="25" s="1"/>
  <c r="AG135" i="30"/>
  <c r="H135" i="25" s="1"/>
  <c r="AG133" i="30"/>
  <c r="H133" i="25" s="1"/>
  <c r="AG132" i="30"/>
  <c r="H132" i="25" s="1"/>
  <c r="AG131" i="30"/>
  <c r="H131" i="25" s="1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E130" i="30"/>
  <c r="B130" i="30"/>
  <c r="AG129" i="30"/>
  <c r="H129" i="25" s="1"/>
  <c r="AG128" i="30"/>
  <c r="H128" i="25" s="1"/>
  <c r="AG127" i="30"/>
  <c r="H127" i="25" s="1"/>
  <c r="AG126" i="30"/>
  <c r="H126" i="25" s="1"/>
  <c r="AG125" i="30"/>
  <c r="H125" i="25" s="1"/>
  <c r="AG124" i="30"/>
  <c r="H124" i="25" s="1"/>
  <c r="AG123" i="30"/>
  <c r="H123" i="25" s="1"/>
  <c r="AG122" i="30"/>
  <c r="H122" i="25" s="1"/>
  <c r="AG121" i="30"/>
  <c r="H121" i="25" s="1"/>
  <c r="AG120" i="30"/>
  <c r="H120" i="25" s="1"/>
  <c r="AG119" i="30"/>
  <c r="H119" i="25" s="1"/>
  <c r="AG118" i="30"/>
  <c r="H118" i="25" s="1"/>
  <c r="AG117" i="30"/>
  <c r="H117" i="25" s="1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C116" i="30"/>
  <c r="AG115" i="30"/>
  <c r="AG114" i="30"/>
  <c r="H114" i="25" s="1"/>
  <c r="AG113" i="30"/>
  <c r="H113" i="25" s="1"/>
  <c r="AG112" i="30"/>
  <c r="H112" i="25" s="1"/>
  <c r="AG111" i="30"/>
  <c r="H111" i="25" s="1"/>
  <c r="AG110" i="30"/>
  <c r="H110" i="25" s="1"/>
  <c r="AG109" i="30"/>
  <c r="H109" i="25" s="1"/>
  <c r="AG108" i="30"/>
  <c r="H108" i="25" s="1"/>
  <c r="AG107" i="30"/>
  <c r="H107" i="25" s="1"/>
  <c r="AG106" i="30"/>
  <c r="H106" i="25" s="1"/>
  <c r="AG105" i="30"/>
  <c r="H105" i="25" s="1"/>
  <c r="AG104" i="30"/>
  <c r="H104" i="25" s="1"/>
  <c r="AG103" i="30"/>
  <c r="H103" i="25" s="1"/>
  <c r="AG102" i="30"/>
  <c r="H102" i="25" s="1"/>
  <c r="AG101" i="30"/>
  <c r="H101" i="25" s="1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AG99" i="30"/>
  <c r="H99" i="25" s="1"/>
  <c r="AG98" i="30"/>
  <c r="H98" i="25" s="1"/>
  <c r="AG97" i="30"/>
  <c r="H97" i="25" s="1"/>
  <c r="AG96" i="30"/>
  <c r="H96" i="25" s="1"/>
  <c r="AG95" i="30"/>
  <c r="H95" i="25" s="1"/>
  <c r="AF94" i="30"/>
  <c r="AF93" i="30" s="1"/>
  <c r="AE94" i="30"/>
  <c r="AE93" i="30" s="1"/>
  <c r="AD94" i="30"/>
  <c r="AD93" i="30" s="1"/>
  <c r="AC94" i="30"/>
  <c r="AB94" i="30"/>
  <c r="AB93" i="30" s="1"/>
  <c r="AA94" i="30"/>
  <c r="Z94" i="30"/>
  <c r="Z93" i="30" s="1"/>
  <c r="Y94" i="30"/>
  <c r="X94" i="30"/>
  <c r="W94" i="30"/>
  <c r="W93" i="30" s="1"/>
  <c r="V94" i="30"/>
  <c r="V93" i="30" s="1"/>
  <c r="U94" i="30"/>
  <c r="T94" i="30"/>
  <c r="T93" i="30" s="1"/>
  <c r="S94" i="30"/>
  <c r="S93" i="30" s="1"/>
  <c r="R94" i="30"/>
  <c r="Q94" i="30"/>
  <c r="P94" i="30"/>
  <c r="O94" i="30"/>
  <c r="N94" i="30"/>
  <c r="N93" i="30" s="1"/>
  <c r="M94" i="30"/>
  <c r="L94" i="30"/>
  <c r="L93" i="30" s="1"/>
  <c r="K94" i="30"/>
  <c r="K93" i="30" s="1"/>
  <c r="J94" i="30"/>
  <c r="J93" i="30" s="1"/>
  <c r="I94" i="30"/>
  <c r="H94" i="30"/>
  <c r="G94" i="30"/>
  <c r="G93" i="30" s="1"/>
  <c r="F94" i="30"/>
  <c r="F93" i="30" s="1"/>
  <c r="E94" i="30"/>
  <c r="D94" i="30"/>
  <c r="D93" i="30" s="1"/>
  <c r="C94" i="30"/>
  <c r="C93" i="30" s="1"/>
  <c r="B94" i="30"/>
  <c r="AA93" i="30"/>
  <c r="P93" i="30"/>
  <c r="O93" i="30"/>
  <c r="H93" i="30"/>
  <c r="AG92" i="30"/>
  <c r="H92" i="25" s="1"/>
  <c r="AG91" i="30"/>
  <c r="H91" i="25" s="1"/>
  <c r="AG90" i="30"/>
  <c r="H90" i="25" s="1"/>
  <c r="AG89" i="30"/>
  <c r="H89" i="25" s="1"/>
  <c r="AG88" i="30"/>
  <c r="H88" i="25" s="1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AG86" i="30"/>
  <c r="H86" i="25" s="1"/>
  <c r="AG85" i="30"/>
  <c r="H85" i="25" s="1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AF83" i="30"/>
  <c r="V83" i="30"/>
  <c r="V81" i="30" s="1"/>
  <c r="AF82" i="30"/>
  <c r="AE82" i="30"/>
  <c r="AE83" i="30" s="1"/>
  <c r="AE81" i="30" s="1"/>
  <c r="AD82" i="30"/>
  <c r="AD83" i="30" s="1"/>
  <c r="AD81" i="30" s="1"/>
  <c r="AC83" i="30"/>
  <c r="AA82" i="30"/>
  <c r="AA83" i="30" s="1"/>
  <c r="Z82" i="30"/>
  <c r="Z83" i="30" s="1"/>
  <c r="Y82" i="30"/>
  <c r="X82" i="30"/>
  <c r="W82" i="30"/>
  <c r="W83" i="30" s="1"/>
  <c r="T82" i="30"/>
  <c r="S82" i="30"/>
  <c r="S83" i="30" s="1"/>
  <c r="R82" i="30"/>
  <c r="R83" i="30" s="1"/>
  <c r="R81" i="30" s="1"/>
  <c r="Q83" i="30"/>
  <c r="P82" i="30"/>
  <c r="P83" i="30" s="1"/>
  <c r="O83" i="30"/>
  <c r="O81" i="30" s="1"/>
  <c r="N83" i="30"/>
  <c r="N81" i="30" s="1"/>
  <c r="M82" i="30"/>
  <c r="M83" i="30" s="1"/>
  <c r="L82" i="30"/>
  <c r="L83" i="30" s="1"/>
  <c r="K82" i="30"/>
  <c r="K83" i="30" s="1"/>
  <c r="J82" i="30"/>
  <c r="I82" i="30"/>
  <c r="G83" i="30"/>
  <c r="G81" i="30" s="1"/>
  <c r="F82" i="30"/>
  <c r="F83" i="30" s="1"/>
  <c r="F81" i="30" s="1"/>
  <c r="E82" i="30"/>
  <c r="D82" i="30"/>
  <c r="C82" i="30"/>
  <c r="C83" i="30" s="1"/>
  <c r="C81" i="30" s="1"/>
  <c r="B82" i="30"/>
  <c r="B83" i="30" s="1"/>
  <c r="B81" i="30" s="1"/>
  <c r="AA81" i="30"/>
  <c r="W81" i="30"/>
  <c r="S81" i="30"/>
  <c r="K81" i="30"/>
  <c r="AF80" i="30"/>
  <c r="AC80" i="30"/>
  <c r="AC79" i="30" s="1"/>
  <c r="AC78" i="30" s="1"/>
  <c r="AB80" i="30"/>
  <c r="AB79" i="30" s="1"/>
  <c r="AB78" i="30" s="1"/>
  <c r="AA80" i="30"/>
  <c r="AA79" i="30" s="1"/>
  <c r="AA78" i="30" s="1"/>
  <c r="Y80" i="30"/>
  <c r="V80" i="30"/>
  <c r="U80" i="30"/>
  <c r="U79" i="30" s="1"/>
  <c r="U78" i="30" s="1"/>
  <c r="T80" i="30"/>
  <c r="S80" i="30"/>
  <c r="R80" i="30"/>
  <c r="R79" i="30" s="1"/>
  <c r="R78" i="30" s="1"/>
  <c r="O80" i="30"/>
  <c r="O79" i="30" s="1"/>
  <c r="O78" i="30" s="1"/>
  <c r="N80" i="30"/>
  <c r="N79" i="30" s="1"/>
  <c r="N78" i="30" s="1"/>
  <c r="M80" i="30"/>
  <c r="H80" i="30"/>
  <c r="G80" i="30"/>
  <c r="G79" i="30" s="1"/>
  <c r="G78" i="30" s="1"/>
  <c r="F80" i="30"/>
  <c r="F79" i="30" s="1"/>
  <c r="F78" i="30" s="1"/>
  <c r="AF79" i="30"/>
  <c r="AF78" i="30" s="1"/>
  <c r="AE79" i="30"/>
  <c r="AE78" i="30" s="1"/>
  <c r="AD79" i="30"/>
  <c r="AD78" i="30" s="1"/>
  <c r="Z79" i="30"/>
  <c r="Y79" i="30"/>
  <c r="Y78" i="30" s="1"/>
  <c r="X79" i="30"/>
  <c r="X78" i="30" s="1"/>
  <c r="W79" i="30"/>
  <c r="W78" i="30" s="1"/>
  <c r="V79" i="30"/>
  <c r="V78" i="30" s="1"/>
  <c r="T79" i="30"/>
  <c r="T78" i="30" s="1"/>
  <c r="S79" i="30"/>
  <c r="S78" i="30" s="1"/>
  <c r="Q79" i="30"/>
  <c r="Q78" i="30" s="1"/>
  <c r="P79" i="30"/>
  <c r="P78" i="30" s="1"/>
  <c r="M79" i="30"/>
  <c r="M78" i="30" s="1"/>
  <c r="L79" i="30"/>
  <c r="K79" i="30"/>
  <c r="K78" i="30" s="1"/>
  <c r="J79" i="30"/>
  <c r="J78" i="30" s="1"/>
  <c r="I79" i="30"/>
  <c r="I78" i="30" s="1"/>
  <c r="H79" i="30"/>
  <c r="H78" i="30" s="1"/>
  <c r="E79" i="30"/>
  <c r="E78" i="30" s="1"/>
  <c r="D79" i="30"/>
  <c r="D78" i="30" s="1"/>
  <c r="C79" i="30"/>
  <c r="C78" i="30" s="1"/>
  <c r="B79" i="30"/>
  <c r="B78" i="30" s="1"/>
  <c r="Z78" i="30"/>
  <c r="L78" i="30"/>
  <c r="AG77" i="30"/>
  <c r="H77" i="25" s="1"/>
  <c r="AG76" i="30"/>
  <c r="H76" i="25" s="1"/>
  <c r="AG75" i="30"/>
  <c r="H75" i="25" s="1"/>
  <c r="AG74" i="30"/>
  <c r="H74" i="25" s="1"/>
  <c r="AG73" i="30"/>
  <c r="H73" i="25" s="1"/>
  <c r="AG72" i="30"/>
  <c r="H72" i="25" s="1"/>
  <c r="AG71" i="30"/>
  <c r="H71" i="25" s="1"/>
  <c r="AG70" i="30"/>
  <c r="H70" i="25" s="1"/>
  <c r="AG69" i="30"/>
  <c r="H69" i="25" s="1"/>
  <c r="AG68" i="30"/>
  <c r="H68" i="25" s="1"/>
  <c r="AG67" i="30"/>
  <c r="H67" i="25" s="1"/>
  <c r="AG66" i="30"/>
  <c r="H66" i="25" s="1"/>
  <c r="AG65" i="30"/>
  <c r="H65" i="25" s="1"/>
  <c r="AG64" i="30"/>
  <c r="H64" i="25" s="1"/>
  <c r="AG63" i="30"/>
  <c r="H63" i="25" s="1"/>
  <c r="AG62" i="30"/>
  <c r="H62" i="25" s="1"/>
  <c r="AG61" i="30"/>
  <c r="H61" i="25" s="1"/>
  <c r="AG60" i="30"/>
  <c r="H60" i="25" s="1"/>
  <c r="AG59" i="30"/>
  <c r="H59" i="25" s="1"/>
  <c r="AG58" i="30"/>
  <c r="H58" i="25" s="1"/>
  <c r="AG57" i="30"/>
  <c r="H57" i="25" s="1"/>
  <c r="AG56" i="30"/>
  <c r="H56" i="25" s="1"/>
  <c r="AG55" i="30"/>
  <c r="H55" i="25" s="1"/>
  <c r="AG54" i="30"/>
  <c r="H54" i="25" s="1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AG52" i="30"/>
  <c r="H52" i="25" s="1"/>
  <c r="AG51" i="30"/>
  <c r="H51" i="25" s="1"/>
  <c r="AG50" i="30"/>
  <c r="H50" i="25" s="1"/>
  <c r="AG49" i="30"/>
  <c r="H49" i="25" s="1"/>
  <c r="AG48" i="30"/>
  <c r="H48" i="25" s="1"/>
  <c r="AG47" i="30"/>
  <c r="H47" i="25" s="1"/>
  <c r="AG46" i="30"/>
  <c r="H46" i="25" s="1"/>
  <c r="AG45" i="30"/>
  <c r="H45" i="25" s="1"/>
  <c r="AG44" i="30"/>
  <c r="H44" i="25" s="1"/>
  <c r="AG43" i="30"/>
  <c r="H43" i="25" s="1"/>
  <c r="AG42" i="30"/>
  <c r="H42" i="25" s="1"/>
  <c r="AG41" i="30"/>
  <c r="H41" i="25" s="1"/>
  <c r="AG40" i="30"/>
  <c r="H40" i="25" s="1"/>
  <c r="AG39" i="30"/>
  <c r="H39" i="25" s="1"/>
  <c r="AG38" i="30"/>
  <c r="H38" i="25" s="1"/>
  <c r="AG37" i="30"/>
  <c r="H37" i="25" s="1"/>
  <c r="AG36" i="30"/>
  <c r="H36" i="25" s="1"/>
  <c r="AG35" i="30"/>
  <c r="H35" i="25" s="1"/>
  <c r="AG34" i="30"/>
  <c r="H34" i="25" s="1"/>
  <c r="AG33" i="30"/>
  <c r="H33" i="25" s="1"/>
  <c r="AG32" i="30"/>
  <c r="H32" i="25" s="1"/>
  <c r="AG31" i="30"/>
  <c r="H31" i="25" s="1"/>
  <c r="AG30" i="30"/>
  <c r="H30" i="25" s="1"/>
  <c r="AG29" i="30"/>
  <c r="H29" i="25" s="1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AG27" i="30"/>
  <c r="H27" i="25" s="1"/>
  <c r="AG26" i="30"/>
  <c r="H26" i="25" s="1"/>
  <c r="AG25" i="30"/>
  <c r="H25" i="25" s="1"/>
  <c r="AG24" i="30"/>
  <c r="H24" i="25" s="1"/>
  <c r="AG23" i="30"/>
  <c r="H23" i="25" s="1"/>
  <c r="AG22" i="30"/>
  <c r="H22" i="25" s="1"/>
  <c r="AG21" i="30"/>
  <c r="H21" i="25" s="1"/>
  <c r="AG20" i="30"/>
  <c r="H20" i="25" s="1"/>
  <c r="AG19" i="30"/>
  <c r="H19" i="25" s="1"/>
  <c r="AG18" i="30"/>
  <c r="H18" i="25" s="1"/>
  <c r="AG17" i="30"/>
  <c r="H17" i="25" s="1"/>
  <c r="AG16" i="30"/>
  <c r="H16" i="25" s="1"/>
  <c r="AG15" i="30"/>
  <c r="H15" i="25" s="1"/>
  <c r="AG14" i="30"/>
  <c r="H14" i="25" s="1"/>
  <c r="AG13" i="30"/>
  <c r="H13" i="25" s="1"/>
  <c r="AG12" i="30"/>
  <c r="H12" i="25" s="1"/>
  <c r="AG11" i="30"/>
  <c r="H11" i="25" s="1"/>
  <c r="AG10" i="30"/>
  <c r="H10" i="25" s="1"/>
  <c r="AG9" i="30"/>
  <c r="H9" i="25" s="1"/>
  <c r="AG8" i="30"/>
  <c r="H8" i="25" s="1"/>
  <c r="AG7" i="30"/>
  <c r="H7" i="25" s="1"/>
  <c r="AG6" i="30"/>
  <c r="H6" i="25" s="1"/>
  <c r="AG5" i="30"/>
  <c r="H5" i="25" s="1"/>
  <c r="AG4" i="30"/>
  <c r="H4" i="25" s="1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B3" i="30"/>
  <c r="AC2" i="30"/>
  <c r="C2" i="30"/>
  <c r="D2" i="30" s="1"/>
  <c r="E2" i="30" s="1"/>
  <c r="F2" i="30" s="1"/>
  <c r="G2" i="30" s="1"/>
  <c r="H2" i="30" s="1"/>
  <c r="I2" i="30" s="1"/>
  <c r="J2" i="30" s="1"/>
  <c r="K2" i="30" s="1"/>
  <c r="L2" i="30" s="1"/>
  <c r="M2" i="30" s="1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J83" i="30" l="1"/>
  <c r="J81" i="30" s="1"/>
  <c r="AG147" i="30"/>
  <c r="H147" i="25" s="1"/>
  <c r="AG231" i="30"/>
  <c r="H232" i="25" s="1"/>
  <c r="AC93" i="30"/>
  <c r="Y93" i="30"/>
  <c r="X93" i="30"/>
  <c r="U93" i="30"/>
  <c r="R93" i="30"/>
  <c r="Q93" i="30"/>
  <c r="O144" i="30"/>
  <c r="M93" i="30"/>
  <c r="L144" i="30"/>
  <c r="AG167" i="30"/>
  <c r="H167" i="25" s="1"/>
  <c r="J144" i="30"/>
  <c r="I93" i="30"/>
  <c r="F130" i="30"/>
  <c r="AG130" i="30" s="1"/>
  <c r="H130" i="25" s="1"/>
  <c r="AG134" i="30"/>
  <c r="H134" i="25" s="1"/>
  <c r="AG145" i="30"/>
  <c r="H145" i="25" s="1"/>
  <c r="E93" i="30"/>
  <c r="AG204" i="30"/>
  <c r="H205" i="25" s="1"/>
  <c r="AG142" i="30"/>
  <c r="H142" i="25" s="1"/>
  <c r="AG116" i="30"/>
  <c r="H116" i="25" s="1"/>
  <c r="AG87" i="30"/>
  <c r="H87" i="25" s="1"/>
  <c r="AG28" i="30"/>
  <c r="H28" i="25" s="1"/>
  <c r="AG3" i="30"/>
  <c r="H3" i="25" s="1"/>
  <c r="AG179" i="30"/>
  <c r="H179" i="25" s="1"/>
  <c r="AG174" i="30"/>
  <c r="H174" i="25" s="1"/>
  <c r="AG84" i="30"/>
  <c r="H84" i="25" s="1"/>
  <c r="I83" i="30"/>
  <c r="I81" i="30" s="1"/>
  <c r="Y83" i="30"/>
  <c r="Y81" i="30" s="1"/>
  <c r="AG82" i="30"/>
  <c r="H82" i="25" s="1"/>
  <c r="M81" i="30"/>
  <c r="AC81" i="30"/>
  <c r="Z81" i="30"/>
  <c r="E83" i="30"/>
  <c r="E81" i="30" s="1"/>
  <c r="AG148" i="30"/>
  <c r="C146" i="30"/>
  <c r="C144" i="30" s="1"/>
  <c r="U83" i="30"/>
  <c r="U81" i="30" s="1"/>
  <c r="AG100" i="30"/>
  <c r="H100" i="25" s="1"/>
  <c r="AG80" i="30"/>
  <c r="H80" i="25" s="1"/>
  <c r="Q81" i="30"/>
  <c r="D83" i="30"/>
  <c r="H83" i="30"/>
  <c r="H81" i="30" s="1"/>
  <c r="L81" i="30"/>
  <c r="P81" i="30"/>
  <c r="T83" i="30"/>
  <c r="T81" i="30" s="1"/>
  <c r="X83" i="30"/>
  <c r="X81" i="30" s="1"/>
  <c r="AB83" i="30"/>
  <c r="AB81" i="30" s="1"/>
  <c r="AF81" i="30"/>
  <c r="AG94" i="30"/>
  <c r="H94" i="25" s="1"/>
  <c r="B93" i="30"/>
  <c r="AG78" i="30"/>
  <c r="H78" i="25" s="1"/>
  <c r="AG53" i="30"/>
  <c r="H53" i="25" s="1"/>
  <c r="AG79" i="30"/>
  <c r="H79" i="25" s="1"/>
  <c r="F144" i="30"/>
  <c r="N144" i="30"/>
  <c r="V144" i="30"/>
  <c r="AD144" i="30"/>
  <c r="AG158" i="30"/>
  <c r="H158" i="25" s="1"/>
  <c r="AG227" i="30"/>
  <c r="H228" i="25" s="1"/>
  <c r="AE143" i="29"/>
  <c r="AE142" i="29"/>
  <c r="AE137" i="29"/>
  <c r="AE129" i="29"/>
  <c r="AD143" i="29"/>
  <c r="AD142" i="29"/>
  <c r="AD137" i="29"/>
  <c r="AD129" i="29"/>
  <c r="AC143" i="29"/>
  <c r="AC142" i="29"/>
  <c r="AC136" i="29"/>
  <c r="AC134" i="29"/>
  <c r="AC129" i="29"/>
  <c r="AB143" i="29"/>
  <c r="AB142" i="29"/>
  <c r="AB139" i="29"/>
  <c r="AB134" i="29"/>
  <c r="AB137" i="29"/>
  <c r="AB129" i="29"/>
  <c r="AA173" i="29"/>
  <c r="AA143" i="29"/>
  <c r="AA142" i="29"/>
  <c r="AA139" i="29"/>
  <c r="AA134" i="29"/>
  <c r="AA137" i="29"/>
  <c r="AA129" i="29"/>
  <c r="Z143" i="29"/>
  <c r="Z134" i="29"/>
  <c r="Z142" i="29"/>
  <c r="Z137" i="29"/>
  <c r="Z129" i="29"/>
  <c r="AG146" i="30" l="1"/>
  <c r="H146" i="25" s="1"/>
  <c r="H148" i="25"/>
  <c r="AG93" i="30"/>
  <c r="AG144" i="30"/>
  <c r="H144" i="25" s="1"/>
  <c r="AG83" i="30"/>
  <c r="AH87" i="30"/>
  <c r="D81" i="30"/>
  <c r="AG81" i="30" s="1"/>
  <c r="Y143" i="29"/>
  <c r="Y134" i="29"/>
  <c r="Y142" i="29"/>
  <c r="Y129" i="29"/>
  <c r="AH81" i="30" l="1"/>
  <c r="H81" i="25"/>
  <c r="AH204" i="30"/>
  <c r="H93" i="25"/>
  <c r="AH84" i="30"/>
  <c r="H83" i="25"/>
  <c r="AH93" i="30"/>
  <c r="AH130" i="30"/>
  <c r="AH144" i="30"/>
  <c r="X143" i="29"/>
  <c r="X142" i="29"/>
  <c r="X139" i="29"/>
  <c r="X134" i="29"/>
  <c r="X137" i="29"/>
  <c r="X129" i="29"/>
  <c r="W143" i="29"/>
  <c r="W142" i="29"/>
  <c r="W139" i="29"/>
  <c r="W134" i="29"/>
  <c r="W129" i="29"/>
  <c r="V143" i="29" l="1"/>
  <c r="V142" i="29"/>
  <c r="V129" i="29"/>
  <c r="U143" i="29" l="1"/>
  <c r="U142" i="29"/>
  <c r="U137" i="29"/>
  <c r="U129" i="29"/>
  <c r="T143" i="29"/>
  <c r="T134" i="29"/>
  <c r="T137" i="29"/>
  <c r="T129" i="29"/>
  <c r="S143" i="29"/>
  <c r="S142" i="29"/>
  <c r="S137" i="29"/>
  <c r="S129" i="29"/>
  <c r="R143" i="29"/>
  <c r="R142" i="29"/>
  <c r="R139" i="29"/>
  <c r="R134" i="29"/>
  <c r="R129" i="29"/>
  <c r="Q143" i="29" l="1"/>
  <c r="Q134" i="29"/>
  <c r="Q142" i="29"/>
  <c r="Q139" i="29"/>
  <c r="Q129" i="29"/>
  <c r="P143" i="29"/>
  <c r="P142" i="29"/>
  <c r="P139" i="29"/>
  <c r="P137" i="29"/>
  <c r="P129" i="29"/>
  <c r="O143" i="29"/>
  <c r="O142" i="29"/>
  <c r="O139" i="29"/>
  <c r="O129" i="29"/>
  <c r="N143" i="29" l="1"/>
  <c r="N139" i="29"/>
  <c r="N134" i="29"/>
  <c r="N137" i="29"/>
  <c r="N129" i="29"/>
  <c r="N100" i="29"/>
  <c r="M143" i="29"/>
  <c r="M134" i="29"/>
  <c r="M142" i="29"/>
  <c r="M137" i="29"/>
  <c r="M129" i="29"/>
  <c r="L143" i="29"/>
  <c r="L142" i="29"/>
  <c r="L137" i="29"/>
  <c r="L129" i="29"/>
  <c r="K143" i="29"/>
  <c r="K142" i="29"/>
  <c r="K129" i="29"/>
  <c r="J143" i="29"/>
  <c r="J142" i="29"/>
  <c r="J137" i="29"/>
  <c r="J129" i="29"/>
  <c r="I143" i="29" l="1"/>
  <c r="I142" i="29"/>
  <c r="I139" i="29"/>
  <c r="I129" i="29"/>
  <c r="H143" i="29" l="1"/>
  <c r="H142" i="29"/>
  <c r="H137" i="29"/>
  <c r="H129" i="29"/>
  <c r="G143" i="29"/>
  <c r="G142" i="29"/>
  <c r="G134" i="29"/>
  <c r="G137" i="29"/>
  <c r="G129" i="29"/>
  <c r="F143" i="29" l="1"/>
  <c r="F142" i="29"/>
  <c r="F137" i="29"/>
  <c r="F129" i="29"/>
  <c r="E143" i="29"/>
  <c r="E142" i="29"/>
  <c r="E129" i="29"/>
  <c r="E130" i="29"/>
  <c r="E86" i="29"/>
  <c r="E28" i="29"/>
  <c r="D143" i="29" l="1"/>
  <c r="D134" i="29"/>
  <c r="D142" i="29"/>
  <c r="D139" i="29"/>
  <c r="D129" i="29"/>
  <c r="D86" i="29" l="1"/>
  <c r="C143" i="29" l="1"/>
  <c r="C142" i="29"/>
  <c r="C137" i="29"/>
  <c r="C129" i="29"/>
  <c r="C86" i="29"/>
  <c r="B143" i="29" l="1"/>
  <c r="B142" i="29"/>
  <c r="B139" i="29"/>
  <c r="B129" i="29"/>
  <c r="AG237" i="29"/>
  <c r="G238" i="25" s="1"/>
  <c r="AG236" i="29"/>
  <c r="G237" i="25" s="1"/>
  <c r="AG232" i="29"/>
  <c r="G233" i="25" s="1"/>
  <c r="AF231" i="29"/>
  <c r="AE231" i="29"/>
  <c r="AD231" i="29"/>
  <c r="AC231" i="29"/>
  <c r="AB231" i="29"/>
  <c r="AA231" i="29"/>
  <c r="Z231" i="29"/>
  <c r="Y231" i="29"/>
  <c r="X231" i="29"/>
  <c r="W231" i="29"/>
  <c r="V231" i="29"/>
  <c r="U231" i="29"/>
  <c r="T231" i="29"/>
  <c r="S231" i="29"/>
  <c r="R231" i="29"/>
  <c r="Q231" i="29"/>
  <c r="P231" i="29"/>
  <c r="O231" i="29"/>
  <c r="N231" i="29"/>
  <c r="M231" i="29"/>
  <c r="L231" i="29"/>
  <c r="K231" i="29"/>
  <c r="J231" i="29"/>
  <c r="I231" i="29"/>
  <c r="H231" i="29"/>
  <c r="G231" i="29"/>
  <c r="F231" i="29"/>
  <c r="E231" i="29"/>
  <c r="D231" i="29"/>
  <c r="C231" i="29"/>
  <c r="B231" i="29"/>
  <c r="AG230" i="29"/>
  <c r="G231" i="25" s="1"/>
  <c r="AG229" i="29"/>
  <c r="G230" i="25" s="1"/>
  <c r="AG228" i="29"/>
  <c r="G229" i="25" s="1"/>
  <c r="AG226" i="29"/>
  <c r="G227" i="25" s="1"/>
  <c r="AG225" i="29"/>
  <c r="G226" i="25" s="1"/>
  <c r="AG224" i="29"/>
  <c r="G225" i="25" s="1"/>
  <c r="AG223" i="29"/>
  <c r="G224" i="25" s="1"/>
  <c r="AG222" i="29"/>
  <c r="G223" i="25" s="1"/>
  <c r="AG221" i="29"/>
  <c r="G222" i="25" s="1"/>
  <c r="AG220" i="29"/>
  <c r="G221" i="25" s="1"/>
  <c r="AG219" i="29"/>
  <c r="G220" i="25" s="1"/>
  <c r="AG218" i="29"/>
  <c r="G219" i="25" s="1"/>
  <c r="AG217" i="29"/>
  <c r="G218" i="25" s="1"/>
  <c r="AG216" i="29"/>
  <c r="G217" i="25" s="1"/>
  <c r="AG215" i="29"/>
  <c r="G216" i="25" s="1"/>
  <c r="AG214" i="29"/>
  <c r="G215" i="25" s="1"/>
  <c r="AG213" i="29"/>
  <c r="G214" i="25" s="1"/>
  <c r="AG212" i="29"/>
  <c r="G213" i="25" s="1"/>
  <c r="AG211" i="29"/>
  <c r="G212" i="25" s="1"/>
  <c r="AG209" i="29"/>
  <c r="G210" i="25" s="1"/>
  <c r="AG208" i="29"/>
  <c r="G209" i="25" s="1"/>
  <c r="AG207" i="29"/>
  <c r="G208" i="25" s="1"/>
  <c r="AG206" i="29"/>
  <c r="G207" i="25" s="1"/>
  <c r="AG205" i="29"/>
  <c r="G206" i="25" s="1"/>
  <c r="AF204" i="29"/>
  <c r="AE204" i="29"/>
  <c r="AD204" i="29"/>
  <c r="AC204" i="29"/>
  <c r="AB204" i="29"/>
  <c r="AA204" i="29"/>
  <c r="Z204" i="29"/>
  <c r="Y204" i="29"/>
  <c r="X204" i="29"/>
  <c r="W204" i="29"/>
  <c r="V204" i="29"/>
  <c r="U204" i="29"/>
  <c r="T204" i="29"/>
  <c r="S204" i="29"/>
  <c r="R204" i="29"/>
  <c r="Q204" i="29"/>
  <c r="P204" i="29"/>
  <c r="O204" i="29"/>
  <c r="N204" i="29"/>
  <c r="M204" i="29"/>
  <c r="L204" i="29"/>
  <c r="K204" i="29"/>
  <c r="J204" i="29"/>
  <c r="I204" i="29"/>
  <c r="H204" i="29"/>
  <c r="G204" i="29"/>
  <c r="F204" i="29"/>
  <c r="E204" i="29"/>
  <c r="D204" i="29"/>
  <c r="C204" i="29"/>
  <c r="B204" i="29"/>
  <c r="AG203" i="29"/>
  <c r="G204" i="25" s="1"/>
  <c r="AG202" i="29"/>
  <c r="G203" i="25" s="1"/>
  <c r="AG201" i="29"/>
  <c r="G202" i="25" s="1"/>
  <c r="AG200" i="29"/>
  <c r="G201" i="25" s="1"/>
  <c r="AG199" i="29"/>
  <c r="G200" i="25" s="1"/>
  <c r="AG198" i="29"/>
  <c r="G199" i="25" s="1"/>
  <c r="AG197" i="29"/>
  <c r="G198" i="25" s="1"/>
  <c r="AG196" i="29"/>
  <c r="G197" i="25" s="1"/>
  <c r="AG195" i="29"/>
  <c r="G196" i="25" s="1"/>
  <c r="AG194" i="29"/>
  <c r="G195" i="25" s="1"/>
  <c r="AG193" i="29"/>
  <c r="G194" i="25" s="1"/>
  <c r="AG192" i="29"/>
  <c r="G193" i="25" s="1"/>
  <c r="AG191" i="29"/>
  <c r="G192" i="25" s="1"/>
  <c r="AG190" i="29"/>
  <c r="G191" i="25" s="1"/>
  <c r="AG189" i="29"/>
  <c r="G190" i="25" s="1"/>
  <c r="AG188" i="29"/>
  <c r="G189" i="25" s="1"/>
  <c r="AG187" i="29"/>
  <c r="G188" i="25" s="1"/>
  <c r="AG186" i="29"/>
  <c r="G186" i="25" s="1"/>
  <c r="AG185" i="29"/>
  <c r="G185" i="25" s="1"/>
  <c r="AG184" i="29"/>
  <c r="G184" i="25" s="1"/>
  <c r="AG183" i="29"/>
  <c r="G183" i="25" s="1"/>
  <c r="AG182" i="29"/>
  <c r="G182" i="25" s="1"/>
  <c r="AG181" i="29"/>
  <c r="G181" i="25" s="1"/>
  <c r="AG180" i="29"/>
  <c r="G180" i="25" s="1"/>
  <c r="AF179" i="29"/>
  <c r="AE179" i="29"/>
  <c r="AD179" i="29"/>
  <c r="AC179" i="29"/>
  <c r="AB179" i="29"/>
  <c r="AA179" i="29"/>
  <c r="Z179" i="29"/>
  <c r="Y179" i="29"/>
  <c r="X179" i="29"/>
  <c r="W179" i="29"/>
  <c r="V179" i="29"/>
  <c r="U179" i="29"/>
  <c r="T179" i="29"/>
  <c r="S179" i="29"/>
  <c r="R179" i="29"/>
  <c r="Q179" i="29"/>
  <c r="P179" i="29"/>
  <c r="O179" i="29"/>
  <c r="N179" i="29"/>
  <c r="M179" i="29"/>
  <c r="L179" i="29"/>
  <c r="K179" i="29"/>
  <c r="J179" i="29"/>
  <c r="I179" i="29"/>
  <c r="H179" i="29"/>
  <c r="G179" i="29"/>
  <c r="F179" i="29"/>
  <c r="E179" i="29"/>
  <c r="D179" i="29"/>
  <c r="C179" i="29"/>
  <c r="B179" i="29"/>
  <c r="AG178" i="29"/>
  <c r="AG177" i="29"/>
  <c r="AG176" i="29"/>
  <c r="G176" i="25" s="1"/>
  <c r="AG175" i="29"/>
  <c r="G175" i="25" s="1"/>
  <c r="AF174" i="29"/>
  <c r="AE174" i="29"/>
  <c r="AD174" i="29"/>
  <c r="AC174" i="29"/>
  <c r="AB174" i="29"/>
  <c r="AA174" i="29"/>
  <c r="Z174" i="29"/>
  <c r="Y174" i="29"/>
  <c r="X174" i="29"/>
  <c r="W174" i="29"/>
  <c r="V174" i="29"/>
  <c r="U174" i="29"/>
  <c r="T174" i="29"/>
  <c r="S174" i="29"/>
  <c r="R174" i="29"/>
  <c r="Q174" i="29"/>
  <c r="P174" i="29"/>
  <c r="O174" i="29"/>
  <c r="N174" i="29"/>
  <c r="M174" i="29"/>
  <c r="L174" i="29"/>
  <c r="K174" i="29"/>
  <c r="J174" i="29"/>
  <c r="I174" i="29"/>
  <c r="H174" i="29"/>
  <c r="G174" i="29"/>
  <c r="F174" i="29"/>
  <c r="E174" i="29"/>
  <c r="D174" i="29"/>
  <c r="C174" i="29"/>
  <c r="B174" i="29"/>
  <c r="AG173" i="29"/>
  <c r="G173" i="25" s="1"/>
  <c r="AG172" i="29"/>
  <c r="G172" i="25" s="1"/>
  <c r="AG171" i="29"/>
  <c r="G171" i="25" s="1"/>
  <c r="AG170" i="29"/>
  <c r="G170" i="25" s="1"/>
  <c r="AG169" i="29"/>
  <c r="G169" i="25" s="1"/>
  <c r="AG168" i="29"/>
  <c r="G168" i="25" s="1"/>
  <c r="AF167" i="29"/>
  <c r="AE167" i="29"/>
  <c r="AD167" i="29"/>
  <c r="AC167" i="29"/>
  <c r="AB167" i="29"/>
  <c r="AA167" i="29"/>
  <c r="Z167" i="29"/>
  <c r="Y167" i="29"/>
  <c r="X167" i="29"/>
  <c r="W167" i="29"/>
  <c r="V167" i="29"/>
  <c r="U167" i="29"/>
  <c r="T167" i="29"/>
  <c r="S167" i="29"/>
  <c r="R167" i="29"/>
  <c r="Q167" i="29"/>
  <c r="P167" i="29"/>
  <c r="O167" i="29"/>
  <c r="N167" i="29"/>
  <c r="M167" i="29"/>
  <c r="L167" i="29"/>
  <c r="K167" i="29"/>
  <c r="J167" i="29"/>
  <c r="I167" i="29"/>
  <c r="H167" i="29"/>
  <c r="G167" i="29"/>
  <c r="F167" i="29"/>
  <c r="E167" i="29"/>
  <c r="D167" i="29"/>
  <c r="C167" i="29"/>
  <c r="B167" i="29"/>
  <c r="AG166" i="29"/>
  <c r="G166" i="25" s="1"/>
  <c r="AG165" i="29"/>
  <c r="G165" i="25" s="1"/>
  <c r="AG164" i="29"/>
  <c r="G164" i="25" s="1"/>
  <c r="AG163" i="29"/>
  <c r="G163" i="25" s="1"/>
  <c r="AG162" i="29"/>
  <c r="G162" i="25" s="1"/>
  <c r="AG161" i="29"/>
  <c r="G161" i="25" s="1"/>
  <c r="AG160" i="29"/>
  <c r="G160" i="25" s="1"/>
  <c r="AG159" i="29"/>
  <c r="G159" i="25" s="1"/>
  <c r="AF158" i="29"/>
  <c r="AE158" i="29"/>
  <c r="AD158" i="29"/>
  <c r="AC158" i="29"/>
  <c r="AB158" i="29"/>
  <c r="AA158" i="29"/>
  <c r="Z158" i="29"/>
  <c r="Y158" i="29"/>
  <c r="X158" i="29"/>
  <c r="W158" i="29"/>
  <c r="V158" i="29"/>
  <c r="U158" i="29"/>
  <c r="T158" i="29"/>
  <c r="S158" i="29"/>
  <c r="R158" i="29"/>
  <c r="Q158" i="29"/>
  <c r="P158" i="29"/>
  <c r="O158" i="29"/>
  <c r="N158" i="29"/>
  <c r="M158" i="29"/>
  <c r="L158" i="29"/>
  <c r="K158" i="29"/>
  <c r="J158" i="29"/>
  <c r="I158" i="29"/>
  <c r="H158" i="29"/>
  <c r="G158" i="29"/>
  <c r="F158" i="29"/>
  <c r="E158" i="29"/>
  <c r="D158" i="29"/>
  <c r="C158" i="29"/>
  <c r="B158" i="29"/>
  <c r="AG157" i="29"/>
  <c r="G157" i="25" s="1"/>
  <c r="AG156" i="29"/>
  <c r="G156" i="25" s="1"/>
  <c r="AG155" i="29"/>
  <c r="G155" i="25" s="1"/>
  <c r="AG154" i="29"/>
  <c r="G154" i="25" s="1"/>
  <c r="AG153" i="29"/>
  <c r="G153" i="25" s="1"/>
  <c r="AG152" i="29"/>
  <c r="G152" i="25" s="1"/>
  <c r="AG151" i="29"/>
  <c r="G151" i="25" s="1"/>
  <c r="AG150" i="29"/>
  <c r="G150" i="25" s="1"/>
  <c r="AG149" i="29"/>
  <c r="G149" i="25" s="1"/>
  <c r="AF148" i="29"/>
  <c r="AF146" i="29" s="1"/>
  <c r="AF144" i="29" s="1"/>
  <c r="AE148" i="29"/>
  <c r="AD148" i="29"/>
  <c r="AD146" i="29" s="1"/>
  <c r="AD144" i="29" s="1"/>
  <c r="AC148" i="29"/>
  <c r="AB148" i="29"/>
  <c r="AB146" i="29" s="1"/>
  <c r="AB144" i="29" s="1"/>
  <c r="AA148" i="29"/>
  <c r="Z148" i="29"/>
  <c r="Z146" i="29" s="1"/>
  <c r="Z144" i="29" s="1"/>
  <c r="Y148" i="29"/>
  <c r="X148" i="29"/>
  <c r="X146" i="29" s="1"/>
  <c r="W148" i="29"/>
  <c r="V148" i="29"/>
  <c r="V146" i="29" s="1"/>
  <c r="V144" i="29" s="1"/>
  <c r="U148" i="29"/>
  <c r="T148" i="29"/>
  <c r="T146" i="29" s="1"/>
  <c r="S148" i="29"/>
  <c r="R148" i="29"/>
  <c r="R146" i="29" s="1"/>
  <c r="R144" i="29" s="1"/>
  <c r="Q148" i="29"/>
  <c r="P148" i="29"/>
  <c r="P146" i="29" s="1"/>
  <c r="P144" i="29" s="1"/>
  <c r="O148" i="29"/>
  <c r="N148" i="29"/>
  <c r="N146" i="29" s="1"/>
  <c r="N144" i="29" s="1"/>
  <c r="M148" i="29"/>
  <c r="L148" i="29"/>
  <c r="L146" i="29" s="1"/>
  <c r="L144" i="29" s="1"/>
  <c r="K148" i="29"/>
  <c r="J148" i="29"/>
  <c r="J146" i="29" s="1"/>
  <c r="J144" i="29" s="1"/>
  <c r="I148" i="29"/>
  <c r="H148" i="29"/>
  <c r="H146" i="29" s="1"/>
  <c r="H144" i="29" s="1"/>
  <c r="G148" i="29"/>
  <c r="F148" i="29"/>
  <c r="F146" i="29" s="1"/>
  <c r="F144" i="29" s="1"/>
  <c r="E148" i="29"/>
  <c r="D148" i="29"/>
  <c r="D146" i="29" s="1"/>
  <c r="D144" i="29" s="1"/>
  <c r="C148" i="29"/>
  <c r="B148" i="29"/>
  <c r="B146" i="29" s="1"/>
  <c r="B144" i="29" s="1"/>
  <c r="AE147" i="29"/>
  <c r="AD147" i="29"/>
  <c r="AC147" i="29"/>
  <c r="AB147" i="29"/>
  <c r="AA147" i="29"/>
  <c r="Z147" i="29"/>
  <c r="Y147" i="29"/>
  <c r="X147" i="29"/>
  <c r="W147" i="29"/>
  <c r="V147" i="29"/>
  <c r="U147" i="29"/>
  <c r="T147" i="29"/>
  <c r="S147" i="29"/>
  <c r="R147" i="29"/>
  <c r="Q147" i="29"/>
  <c r="P147" i="29"/>
  <c r="O147" i="29"/>
  <c r="N147" i="29"/>
  <c r="M147" i="29"/>
  <c r="L147" i="29"/>
  <c r="K147" i="29"/>
  <c r="J147" i="29"/>
  <c r="I147" i="29"/>
  <c r="H147" i="29"/>
  <c r="G147" i="29"/>
  <c r="F147" i="29"/>
  <c r="E147" i="29"/>
  <c r="D147" i="29"/>
  <c r="C147" i="29"/>
  <c r="B147" i="29"/>
  <c r="AE146" i="29"/>
  <c r="AE144" i="29" s="1"/>
  <c r="AC146" i="29"/>
  <c r="AC144" i="29" s="1"/>
  <c r="AA146" i="29"/>
  <c r="AA144" i="29" s="1"/>
  <c r="Y146" i="29"/>
  <c r="Y144" i="29" s="1"/>
  <c r="W146" i="29"/>
  <c r="W144" i="29" s="1"/>
  <c r="U146" i="29"/>
  <c r="S146" i="29"/>
  <c r="S144" i="29" s="1"/>
  <c r="Q146" i="29"/>
  <c r="Q144" i="29" s="1"/>
  <c r="O146" i="29"/>
  <c r="O144" i="29" s="1"/>
  <c r="M146" i="29"/>
  <c r="M144" i="29" s="1"/>
  <c r="K146" i="29"/>
  <c r="I146" i="29"/>
  <c r="G146" i="29"/>
  <c r="G144" i="29" s="1"/>
  <c r="E146" i="29"/>
  <c r="C146" i="29"/>
  <c r="AF145" i="29"/>
  <c r="AE145" i="29"/>
  <c r="AD145" i="29"/>
  <c r="AC145" i="29"/>
  <c r="AB145" i="29"/>
  <c r="AA145" i="29"/>
  <c r="Z145" i="29"/>
  <c r="Y145" i="29"/>
  <c r="X145" i="29"/>
  <c r="W145" i="29"/>
  <c r="V145" i="29"/>
  <c r="U145" i="29"/>
  <c r="T145" i="29"/>
  <c r="S145" i="29"/>
  <c r="R145" i="29"/>
  <c r="Q145" i="29"/>
  <c r="P145" i="29"/>
  <c r="O145" i="29"/>
  <c r="N145" i="29"/>
  <c r="M145" i="29"/>
  <c r="L145" i="29"/>
  <c r="K145" i="29"/>
  <c r="J145" i="29"/>
  <c r="I145" i="29"/>
  <c r="H145" i="29"/>
  <c r="G145" i="29"/>
  <c r="F145" i="29"/>
  <c r="E145" i="29"/>
  <c r="D145" i="29"/>
  <c r="C145" i="29"/>
  <c r="B145" i="29"/>
  <c r="AG143" i="29"/>
  <c r="G143" i="25" s="1"/>
  <c r="AG142" i="29"/>
  <c r="G142" i="25" s="1"/>
  <c r="AG141" i="29"/>
  <c r="G141" i="25" s="1"/>
  <c r="AG140" i="29"/>
  <c r="G140" i="25" s="1"/>
  <c r="AG139" i="29"/>
  <c r="G139" i="25" s="1"/>
  <c r="AG138" i="29"/>
  <c r="G138" i="25" s="1"/>
  <c r="AG137" i="29"/>
  <c r="G137" i="25" s="1"/>
  <c r="AG136" i="29"/>
  <c r="G136" i="25" s="1"/>
  <c r="AG135" i="29"/>
  <c r="G135" i="25" s="1"/>
  <c r="AG134" i="29"/>
  <c r="G134" i="25" s="1"/>
  <c r="AG133" i="29"/>
  <c r="G133" i="25" s="1"/>
  <c r="AG132" i="29"/>
  <c r="G132" i="25" s="1"/>
  <c r="AG131" i="29"/>
  <c r="G131" i="25" s="1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D130" i="29"/>
  <c r="C130" i="29"/>
  <c r="B130" i="29"/>
  <c r="AG129" i="29"/>
  <c r="G129" i="25" s="1"/>
  <c r="AG128" i="29"/>
  <c r="G128" i="25" s="1"/>
  <c r="AG127" i="29"/>
  <c r="G127" i="25" s="1"/>
  <c r="AG126" i="29"/>
  <c r="G126" i="25" s="1"/>
  <c r="AG125" i="29"/>
  <c r="G125" i="25" s="1"/>
  <c r="AG124" i="29"/>
  <c r="G124" i="25" s="1"/>
  <c r="AG123" i="29"/>
  <c r="G123" i="25" s="1"/>
  <c r="AG122" i="29"/>
  <c r="G122" i="25" s="1"/>
  <c r="AG121" i="29"/>
  <c r="G121" i="25" s="1"/>
  <c r="AG120" i="29"/>
  <c r="G120" i="25" s="1"/>
  <c r="AG119" i="29"/>
  <c r="G119" i="25" s="1"/>
  <c r="AG118" i="29"/>
  <c r="G118" i="25" s="1"/>
  <c r="AG117" i="29"/>
  <c r="G117" i="25" s="1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AG115" i="29"/>
  <c r="AG114" i="29"/>
  <c r="G114" i="25" s="1"/>
  <c r="AG113" i="29"/>
  <c r="G113" i="25" s="1"/>
  <c r="AG112" i="29"/>
  <c r="G112" i="25" s="1"/>
  <c r="AG111" i="29"/>
  <c r="G111" i="25" s="1"/>
  <c r="AG110" i="29"/>
  <c r="G110" i="25" s="1"/>
  <c r="AG109" i="29"/>
  <c r="G109" i="25" s="1"/>
  <c r="AG108" i="29"/>
  <c r="G108" i="25" s="1"/>
  <c r="AG107" i="29"/>
  <c r="G107" i="25" s="1"/>
  <c r="AG106" i="29"/>
  <c r="G106" i="25" s="1"/>
  <c r="AG105" i="29"/>
  <c r="G105" i="25" s="1"/>
  <c r="AG104" i="29"/>
  <c r="G104" i="25" s="1"/>
  <c r="AG103" i="29"/>
  <c r="G103" i="25" s="1"/>
  <c r="AG102" i="29"/>
  <c r="G102" i="25" s="1"/>
  <c r="AG101" i="29"/>
  <c r="G101" i="25" s="1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AG99" i="29"/>
  <c r="G99" i="25" s="1"/>
  <c r="AG98" i="29"/>
  <c r="G98" i="25" s="1"/>
  <c r="AG97" i="29"/>
  <c r="G97" i="25" s="1"/>
  <c r="AG96" i="29"/>
  <c r="G96" i="25" s="1"/>
  <c r="AG95" i="29"/>
  <c r="G95" i="25" s="1"/>
  <c r="AF94" i="29"/>
  <c r="AF93" i="29" s="1"/>
  <c r="AE94" i="29"/>
  <c r="AE93" i="29" s="1"/>
  <c r="AD94" i="29"/>
  <c r="AC94" i="29"/>
  <c r="AB94" i="29"/>
  <c r="AA94" i="29"/>
  <c r="AA93" i="29" s="1"/>
  <c r="Z94" i="29"/>
  <c r="Y94" i="29"/>
  <c r="X94" i="29"/>
  <c r="W94" i="29"/>
  <c r="V94" i="29"/>
  <c r="U94" i="29"/>
  <c r="U93" i="29" s="1"/>
  <c r="T94" i="29"/>
  <c r="T93" i="29" s="1"/>
  <c r="S94" i="29"/>
  <c r="R94" i="29"/>
  <c r="Q94" i="29"/>
  <c r="P94" i="29"/>
  <c r="O94" i="29"/>
  <c r="N94" i="29"/>
  <c r="M94" i="29"/>
  <c r="M93" i="29" s="1"/>
  <c r="L94" i="29"/>
  <c r="K94" i="29"/>
  <c r="K93" i="29" s="1"/>
  <c r="J94" i="29"/>
  <c r="I94" i="29"/>
  <c r="I93" i="29" s="1"/>
  <c r="H94" i="29"/>
  <c r="H93" i="29" s="1"/>
  <c r="G94" i="29"/>
  <c r="G93" i="29" s="1"/>
  <c r="F94" i="29"/>
  <c r="E94" i="29"/>
  <c r="E93" i="29" s="1"/>
  <c r="D94" i="29"/>
  <c r="C94" i="29"/>
  <c r="C93" i="29" s="1"/>
  <c r="B94" i="29"/>
  <c r="X93" i="29"/>
  <c r="L93" i="29"/>
  <c r="D93" i="29"/>
  <c r="AG92" i="29"/>
  <c r="G92" i="25" s="1"/>
  <c r="AG91" i="29"/>
  <c r="G91" i="25" s="1"/>
  <c r="AG90" i="29"/>
  <c r="G90" i="25" s="1"/>
  <c r="AG89" i="29"/>
  <c r="G89" i="25" s="1"/>
  <c r="AG88" i="29"/>
  <c r="G88" i="25" s="1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AG86" i="29"/>
  <c r="G86" i="25" s="1"/>
  <c r="AG85" i="29"/>
  <c r="G85" i="25" s="1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AF82" i="29"/>
  <c r="AF83" i="29" s="1"/>
  <c r="AF81" i="29" s="1"/>
  <c r="AE83" i="29"/>
  <c r="AD83" i="29"/>
  <c r="AD81" i="29" s="1"/>
  <c r="AC82" i="29"/>
  <c r="AB82" i="29"/>
  <c r="AB83" i="29" s="1"/>
  <c r="AB81" i="29" s="1"/>
  <c r="AA82" i="29"/>
  <c r="AA83" i="29" s="1"/>
  <c r="Z82" i="29"/>
  <c r="Z83" i="29" s="1"/>
  <c r="Z81" i="29" s="1"/>
  <c r="Y82" i="29"/>
  <c r="X83" i="29"/>
  <c r="X81" i="29" s="1"/>
  <c r="W83" i="29"/>
  <c r="V82" i="29"/>
  <c r="V83" i="29" s="1"/>
  <c r="V81" i="29" s="1"/>
  <c r="U82" i="29"/>
  <c r="T82" i="29"/>
  <c r="T83" i="29" s="1"/>
  <c r="T81" i="29" s="1"/>
  <c r="S82" i="29"/>
  <c r="S83" i="29" s="1"/>
  <c r="R82" i="29"/>
  <c r="R83" i="29" s="1"/>
  <c r="R81" i="29" s="1"/>
  <c r="P83" i="29"/>
  <c r="P81" i="29" s="1"/>
  <c r="O82" i="29"/>
  <c r="O83" i="29" s="1"/>
  <c r="N82" i="29"/>
  <c r="N83" i="29" s="1"/>
  <c r="N81" i="29" s="1"/>
  <c r="M82" i="29"/>
  <c r="L82" i="29"/>
  <c r="L83" i="29" s="1"/>
  <c r="L81" i="29" s="1"/>
  <c r="K82" i="29"/>
  <c r="K83" i="29" s="1"/>
  <c r="J83" i="29"/>
  <c r="J81" i="29" s="1"/>
  <c r="H82" i="29"/>
  <c r="H83" i="29" s="1"/>
  <c r="H81" i="29" s="1"/>
  <c r="G82" i="29"/>
  <c r="G83" i="29" s="1"/>
  <c r="F82" i="29"/>
  <c r="F83" i="29" s="1"/>
  <c r="F81" i="29" s="1"/>
  <c r="E82" i="29"/>
  <c r="D82" i="29"/>
  <c r="D83" i="29" s="1"/>
  <c r="D81" i="29" s="1"/>
  <c r="C83" i="29"/>
  <c r="B83" i="29"/>
  <c r="AF80" i="29"/>
  <c r="AF79" i="29" s="1"/>
  <c r="AF78" i="29" s="1"/>
  <c r="AC80" i="29"/>
  <c r="AC79" i="29" s="1"/>
  <c r="AC78" i="29" s="1"/>
  <c r="AB80" i="29"/>
  <c r="AB79" i="29" s="1"/>
  <c r="AB78" i="29" s="1"/>
  <c r="AA80" i="29"/>
  <c r="Y80" i="29"/>
  <c r="V80" i="29"/>
  <c r="V79" i="29" s="1"/>
  <c r="V78" i="29" s="1"/>
  <c r="U80" i="29"/>
  <c r="U79" i="29" s="1"/>
  <c r="U78" i="29" s="1"/>
  <c r="T80" i="29"/>
  <c r="S80" i="29"/>
  <c r="R80" i="29"/>
  <c r="O80" i="29"/>
  <c r="N80" i="29"/>
  <c r="M80" i="29"/>
  <c r="H80" i="29"/>
  <c r="G80" i="29"/>
  <c r="F80" i="29"/>
  <c r="AG80" i="29" s="1"/>
  <c r="G80" i="25" s="1"/>
  <c r="AE79" i="29"/>
  <c r="AD79" i="29"/>
  <c r="AD78" i="29" s="1"/>
  <c r="AA79" i="29"/>
  <c r="Z79" i="29"/>
  <c r="Y79" i="29"/>
  <c r="Y78" i="29" s="1"/>
  <c r="X79" i="29"/>
  <c r="W79" i="29"/>
  <c r="W78" i="29" s="1"/>
  <c r="T79" i="29"/>
  <c r="S79" i="29"/>
  <c r="S78" i="29" s="1"/>
  <c r="R79" i="29"/>
  <c r="R78" i="29" s="1"/>
  <c r="Q79" i="29"/>
  <c r="P79" i="29"/>
  <c r="O79" i="29"/>
  <c r="O78" i="29" s="1"/>
  <c r="N79" i="29"/>
  <c r="N78" i="29" s="1"/>
  <c r="M79" i="29"/>
  <c r="L79" i="29"/>
  <c r="L78" i="29" s="1"/>
  <c r="K79" i="29"/>
  <c r="J79" i="29"/>
  <c r="I79" i="29"/>
  <c r="H79" i="29"/>
  <c r="H78" i="29" s="1"/>
  <c r="G79" i="29"/>
  <c r="G78" i="29" s="1"/>
  <c r="F79" i="29"/>
  <c r="F78" i="29" s="1"/>
  <c r="E79" i="29"/>
  <c r="E78" i="29" s="1"/>
  <c r="D79" i="29"/>
  <c r="D78" i="29" s="1"/>
  <c r="C79" i="29"/>
  <c r="B79" i="29"/>
  <c r="B78" i="29" s="1"/>
  <c r="AE78" i="29"/>
  <c r="AA78" i="29"/>
  <c r="Z78" i="29"/>
  <c r="X78" i="29"/>
  <c r="T78" i="29"/>
  <c r="Q78" i="29"/>
  <c r="P78" i="29"/>
  <c r="M78" i="29"/>
  <c r="K78" i="29"/>
  <c r="J78" i="29"/>
  <c r="I78" i="29"/>
  <c r="C78" i="29"/>
  <c r="AG77" i="29"/>
  <c r="G77" i="25" s="1"/>
  <c r="AG76" i="29"/>
  <c r="G76" i="25" s="1"/>
  <c r="AG75" i="29"/>
  <c r="G75" i="25" s="1"/>
  <c r="AG74" i="29"/>
  <c r="G74" i="25" s="1"/>
  <c r="AG73" i="29"/>
  <c r="G73" i="25" s="1"/>
  <c r="AG72" i="29"/>
  <c r="G72" i="25" s="1"/>
  <c r="AG71" i="29"/>
  <c r="G71" i="25" s="1"/>
  <c r="AG70" i="29"/>
  <c r="G70" i="25" s="1"/>
  <c r="AG69" i="29"/>
  <c r="G69" i="25" s="1"/>
  <c r="AG68" i="29"/>
  <c r="G68" i="25" s="1"/>
  <c r="AG67" i="29"/>
  <c r="G67" i="25" s="1"/>
  <c r="AG66" i="29"/>
  <c r="G66" i="25" s="1"/>
  <c r="AG65" i="29"/>
  <c r="G65" i="25" s="1"/>
  <c r="AG64" i="29"/>
  <c r="G64" i="25" s="1"/>
  <c r="AG63" i="29"/>
  <c r="G63" i="25" s="1"/>
  <c r="AG62" i="29"/>
  <c r="G62" i="25" s="1"/>
  <c r="AG61" i="29"/>
  <c r="G61" i="25" s="1"/>
  <c r="AG60" i="29"/>
  <c r="G60" i="25" s="1"/>
  <c r="AG59" i="29"/>
  <c r="G59" i="25" s="1"/>
  <c r="AG58" i="29"/>
  <c r="G58" i="25" s="1"/>
  <c r="AG57" i="29"/>
  <c r="G57" i="25" s="1"/>
  <c r="AG56" i="29"/>
  <c r="G56" i="25" s="1"/>
  <c r="AG55" i="29"/>
  <c r="G55" i="25" s="1"/>
  <c r="AG54" i="29"/>
  <c r="G54" i="25" s="1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AG52" i="29"/>
  <c r="G52" i="25" s="1"/>
  <c r="AG51" i="29"/>
  <c r="G51" i="25" s="1"/>
  <c r="AG50" i="29"/>
  <c r="G50" i="25" s="1"/>
  <c r="AG49" i="29"/>
  <c r="G49" i="25" s="1"/>
  <c r="AG48" i="29"/>
  <c r="G48" i="25" s="1"/>
  <c r="AG47" i="29"/>
  <c r="G47" i="25" s="1"/>
  <c r="AG46" i="29"/>
  <c r="G46" i="25" s="1"/>
  <c r="AG45" i="29"/>
  <c r="G45" i="25" s="1"/>
  <c r="AG44" i="29"/>
  <c r="G44" i="25" s="1"/>
  <c r="AG43" i="29"/>
  <c r="G43" i="25" s="1"/>
  <c r="AG42" i="29"/>
  <c r="G42" i="25" s="1"/>
  <c r="AG41" i="29"/>
  <c r="G41" i="25" s="1"/>
  <c r="AG40" i="29"/>
  <c r="G40" i="25" s="1"/>
  <c r="AG39" i="29"/>
  <c r="G39" i="25" s="1"/>
  <c r="AG38" i="29"/>
  <c r="G38" i="25" s="1"/>
  <c r="AG37" i="29"/>
  <c r="G37" i="25" s="1"/>
  <c r="AG36" i="29"/>
  <c r="G36" i="25" s="1"/>
  <c r="AG35" i="29"/>
  <c r="G35" i="25" s="1"/>
  <c r="AG34" i="29"/>
  <c r="G34" i="25" s="1"/>
  <c r="AG33" i="29"/>
  <c r="G33" i="25" s="1"/>
  <c r="AG32" i="29"/>
  <c r="G32" i="25" s="1"/>
  <c r="AG31" i="29"/>
  <c r="G31" i="25" s="1"/>
  <c r="AG30" i="29"/>
  <c r="G30" i="25" s="1"/>
  <c r="AG29" i="29"/>
  <c r="G29" i="25" s="1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D28" i="29"/>
  <c r="C28" i="29"/>
  <c r="B28" i="29"/>
  <c r="AG27" i="29"/>
  <c r="G27" i="25" s="1"/>
  <c r="AG26" i="29"/>
  <c r="G26" i="25" s="1"/>
  <c r="AG25" i="29"/>
  <c r="G25" i="25" s="1"/>
  <c r="AG24" i="29"/>
  <c r="G24" i="25" s="1"/>
  <c r="AG23" i="29"/>
  <c r="G23" i="25" s="1"/>
  <c r="AG22" i="29"/>
  <c r="G22" i="25" s="1"/>
  <c r="AG21" i="29"/>
  <c r="G21" i="25" s="1"/>
  <c r="AG20" i="29"/>
  <c r="G20" i="25" s="1"/>
  <c r="AG19" i="29"/>
  <c r="G19" i="25" s="1"/>
  <c r="AG18" i="29"/>
  <c r="G18" i="25" s="1"/>
  <c r="AG17" i="29"/>
  <c r="G17" i="25" s="1"/>
  <c r="AG16" i="29"/>
  <c r="G16" i="25" s="1"/>
  <c r="AG15" i="29"/>
  <c r="G15" i="25" s="1"/>
  <c r="AG14" i="29"/>
  <c r="G14" i="25" s="1"/>
  <c r="AG13" i="29"/>
  <c r="G13" i="25" s="1"/>
  <c r="AG12" i="29"/>
  <c r="G12" i="25" s="1"/>
  <c r="AG11" i="29"/>
  <c r="G11" i="25" s="1"/>
  <c r="AG10" i="29"/>
  <c r="G10" i="25" s="1"/>
  <c r="AG9" i="29"/>
  <c r="G9" i="25" s="1"/>
  <c r="AG8" i="29"/>
  <c r="G8" i="25" s="1"/>
  <c r="AG7" i="29"/>
  <c r="G7" i="25" s="1"/>
  <c r="AG6" i="29"/>
  <c r="G6" i="25" s="1"/>
  <c r="AG5" i="29"/>
  <c r="G5" i="25" s="1"/>
  <c r="AG4" i="29"/>
  <c r="G4" i="25" s="1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AC2" i="29"/>
  <c r="C2" i="29"/>
  <c r="D2" i="29" s="1"/>
  <c r="E2" i="29" s="1"/>
  <c r="F2" i="29" s="1"/>
  <c r="G2" i="29" s="1"/>
  <c r="H2" i="29" s="1"/>
  <c r="I2" i="29" s="1"/>
  <c r="J2" i="29" s="1"/>
  <c r="K2" i="29" s="1"/>
  <c r="L2" i="29" s="1"/>
  <c r="M2" i="29" s="1"/>
  <c r="N2" i="29" s="1"/>
  <c r="O2" i="29" s="1"/>
  <c r="P2" i="29" s="1"/>
  <c r="Q2" i="29" s="1"/>
  <c r="R2" i="29" s="1"/>
  <c r="S2" i="29" s="1"/>
  <c r="T2" i="29" s="1"/>
  <c r="U2" i="29" s="1"/>
  <c r="V2" i="29" s="1"/>
  <c r="W2" i="29" s="1"/>
  <c r="X2" i="29" s="1"/>
  <c r="Y2" i="29" s="1"/>
  <c r="Z2" i="29" s="1"/>
  <c r="AA2" i="29" s="1"/>
  <c r="R93" i="29" l="1"/>
  <c r="V93" i="29"/>
  <c r="AD93" i="29"/>
  <c r="AB93" i="29"/>
  <c r="AG231" i="29"/>
  <c r="G232" i="25" s="1"/>
  <c r="AG227" i="29"/>
  <c r="G228" i="25" s="1"/>
  <c r="AC93" i="29"/>
  <c r="Z93" i="29"/>
  <c r="Y93" i="29"/>
  <c r="X144" i="29"/>
  <c r="W93" i="29"/>
  <c r="U144" i="29"/>
  <c r="T144" i="29"/>
  <c r="S93" i="29"/>
  <c r="Q93" i="29"/>
  <c r="P93" i="29"/>
  <c r="O93" i="29"/>
  <c r="N93" i="29"/>
  <c r="K144" i="29"/>
  <c r="J93" i="29"/>
  <c r="I144" i="29"/>
  <c r="AG158" i="29"/>
  <c r="G158" i="25" s="1"/>
  <c r="F93" i="29"/>
  <c r="E144" i="29"/>
  <c r="AG167" i="29"/>
  <c r="G167" i="25" s="1"/>
  <c r="AG100" i="29"/>
  <c r="G100" i="25" s="1"/>
  <c r="AG174" i="29"/>
  <c r="G174" i="25" s="1"/>
  <c r="AG84" i="29"/>
  <c r="G84" i="25" s="1"/>
  <c r="AG204" i="29"/>
  <c r="G205" i="25" s="1"/>
  <c r="AG147" i="29"/>
  <c r="G147" i="25" s="1"/>
  <c r="C144" i="29"/>
  <c r="AG130" i="29"/>
  <c r="G130" i="25" s="1"/>
  <c r="AG87" i="29"/>
  <c r="G87" i="25" s="1"/>
  <c r="AG179" i="29"/>
  <c r="G179" i="25" s="1"/>
  <c r="AG145" i="29"/>
  <c r="G145" i="25" s="1"/>
  <c r="AG116" i="29"/>
  <c r="G116" i="25" s="1"/>
  <c r="AG53" i="29"/>
  <c r="G53" i="25" s="1"/>
  <c r="AG28" i="29"/>
  <c r="G28" i="25" s="1"/>
  <c r="AG3" i="29"/>
  <c r="G3" i="25" s="1"/>
  <c r="B81" i="29"/>
  <c r="AG78" i="29"/>
  <c r="G78" i="25" s="1"/>
  <c r="AG79" i="29"/>
  <c r="G79" i="25" s="1"/>
  <c r="AG82" i="29"/>
  <c r="G82" i="25" s="1"/>
  <c r="I83" i="29"/>
  <c r="I81" i="29" s="1"/>
  <c r="Q83" i="29"/>
  <c r="Q81" i="29" s="1"/>
  <c r="Y83" i="29"/>
  <c r="Y81" i="29" s="1"/>
  <c r="AC83" i="29"/>
  <c r="AC81" i="29" s="1"/>
  <c r="C81" i="29"/>
  <c r="G81" i="29"/>
  <c r="K81" i="29"/>
  <c r="O81" i="29"/>
  <c r="S81" i="29"/>
  <c r="W81" i="29"/>
  <c r="AA81" i="29"/>
  <c r="AE81" i="29"/>
  <c r="AG148" i="29"/>
  <c r="E83" i="29"/>
  <c r="E81" i="29" s="1"/>
  <c r="B93" i="29"/>
  <c r="AG94" i="29"/>
  <c r="G94" i="25" s="1"/>
  <c r="M83" i="29"/>
  <c r="M81" i="29" s="1"/>
  <c r="U83" i="29"/>
  <c r="U81" i="29" s="1"/>
  <c r="AF143" i="28"/>
  <c r="AF142" i="28"/>
  <c r="AF129" i="28"/>
  <c r="AE142" i="28"/>
  <c r="AE134" i="28"/>
  <c r="AE137" i="28"/>
  <c r="AE129" i="28"/>
  <c r="AD143" i="28"/>
  <c r="AD137" i="28"/>
  <c r="AD129" i="28"/>
  <c r="AG146" i="29" l="1"/>
  <c r="G146" i="25" s="1"/>
  <c r="G148" i="25"/>
  <c r="AG144" i="29"/>
  <c r="G144" i="25" s="1"/>
  <c r="AG93" i="29"/>
  <c r="AH87" i="29"/>
  <c r="AG81" i="29"/>
  <c r="AG83" i="29"/>
  <c r="AC143" i="28"/>
  <c r="AC142" i="28"/>
  <c r="AC134" i="28"/>
  <c r="AC137" i="28"/>
  <c r="AC129" i="28"/>
  <c r="AE53" i="28"/>
  <c r="AB143" i="28"/>
  <c r="AB142" i="28"/>
  <c r="AB137" i="28"/>
  <c r="AB129" i="28"/>
  <c r="AH93" i="29" l="1"/>
  <c r="G93" i="25"/>
  <c r="AH84" i="29"/>
  <c r="G83" i="25"/>
  <c r="AH81" i="29"/>
  <c r="G81" i="25"/>
  <c r="AH130" i="29"/>
  <c r="AH144" i="29"/>
  <c r="AH204" i="29"/>
  <c r="AA143" i="28"/>
  <c r="AA142" i="28"/>
  <c r="AA139" i="28"/>
  <c r="AA137" i="28"/>
  <c r="AA129" i="28"/>
  <c r="Z173" i="28"/>
  <c r="Z143" i="28"/>
  <c r="Z142" i="28"/>
  <c r="Z134" i="28"/>
  <c r="Z139" i="28"/>
  <c r="Z137" i="28"/>
  <c r="Z129" i="28"/>
  <c r="Y143" i="28"/>
  <c r="Y142" i="28"/>
  <c r="Y139" i="28"/>
  <c r="Y137" i="28"/>
  <c r="Y129" i="28"/>
  <c r="X143" i="28"/>
  <c r="X142" i="28"/>
  <c r="X129" i="28"/>
  <c r="W143" i="28"/>
  <c r="W134" i="28"/>
  <c r="W137" i="28"/>
  <c r="W129" i="28"/>
  <c r="V143" i="28"/>
  <c r="V142" i="28"/>
  <c r="V137" i="28"/>
  <c r="V129" i="28"/>
  <c r="U143" i="28"/>
  <c r="U142" i="28"/>
  <c r="U137" i="28"/>
  <c r="U129" i="28"/>
  <c r="T143" i="28"/>
  <c r="T142" i="28"/>
  <c r="T139" i="28"/>
  <c r="T137" i="28"/>
  <c r="T129" i="28"/>
  <c r="S143" i="28" l="1"/>
  <c r="S142" i="28"/>
  <c r="S139" i="28"/>
  <c r="S137" i="28"/>
  <c r="S129" i="28"/>
  <c r="R143" i="28"/>
  <c r="R142" i="28"/>
  <c r="R139" i="28"/>
  <c r="R137" i="28"/>
  <c r="R117" i="28"/>
  <c r="Q143" i="28" l="1"/>
  <c r="Q142" i="28"/>
  <c r="Q129" i="28"/>
  <c r="P143" i="28"/>
  <c r="P134" i="28"/>
  <c r="P142" i="28"/>
  <c r="P137" i="28"/>
  <c r="P129" i="28" l="1"/>
  <c r="O143" i="28"/>
  <c r="O142" i="28"/>
  <c r="O134" i="28"/>
  <c r="O137" i="28"/>
  <c r="O129" i="28"/>
  <c r="N143" i="28" l="1"/>
  <c r="N142" i="28"/>
  <c r="N134" i="28"/>
  <c r="N137" i="28"/>
  <c r="N129" i="28"/>
  <c r="M143" i="28"/>
  <c r="M142" i="28"/>
  <c r="M139" i="28"/>
  <c r="M134" i="28"/>
  <c r="M129" i="28"/>
  <c r="L143" i="28"/>
  <c r="L142" i="28"/>
  <c r="L134" i="28"/>
  <c r="L129" i="28"/>
  <c r="K143" i="28"/>
  <c r="K142" i="28"/>
  <c r="K139" i="28"/>
  <c r="K134" i="28"/>
  <c r="K129" i="28"/>
  <c r="J143" i="28"/>
  <c r="J134" i="28"/>
  <c r="J142" i="28"/>
  <c r="J129" i="28"/>
  <c r="I143" i="28"/>
  <c r="I137" i="28"/>
  <c r="I129" i="28"/>
  <c r="H143" i="28"/>
  <c r="H142" i="28"/>
  <c r="H139" i="28"/>
  <c r="H137" i="28"/>
  <c r="H129" i="28"/>
  <c r="G143" i="28" l="1"/>
  <c r="G142" i="28"/>
  <c r="G137" i="28"/>
  <c r="G129" i="28"/>
  <c r="F143" i="28" l="1"/>
  <c r="F142" i="28"/>
  <c r="F137" i="28"/>
  <c r="F129" i="28"/>
  <c r="E143" i="28"/>
  <c r="E142" i="28"/>
  <c r="E139" i="28"/>
  <c r="E129" i="28"/>
  <c r="D143" i="28"/>
  <c r="D142" i="28"/>
  <c r="D139" i="28"/>
  <c r="D137" i="28"/>
  <c r="D129" i="28"/>
  <c r="C143" i="28"/>
  <c r="C129" i="28"/>
  <c r="B143" i="28" l="1"/>
  <c r="B142" i="28"/>
  <c r="B129" i="28"/>
  <c r="AG209" i="28" l="1"/>
  <c r="F210" i="25" s="1"/>
  <c r="AG208" i="28"/>
  <c r="F209" i="25" s="1"/>
  <c r="AG207" i="28"/>
  <c r="F208" i="25" s="1"/>
  <c r="AG206" i="28"/>
  <c r="F207" i="25" s="1"/>
  <c r="AG205" i="28"/>
  <c r="F206" i="25" s="1"/>
  <c r="AF204" i="28"/>
  <c r="AE204" i="28"/>
  <c r="AD204" i="28"/>
  <c r="AC204" i="28"/>
  <c r="AB204" i="28"/>
  <c r="AA204" i="28"/>
  <c r="Z204" i="28"/>
  <c r="Y204" i="28"/>
  <c r="X204" i="28"/>
  <c r="W204" i="28"/>
  <c r="V204" i="28"/>
  <c r="U204" i="28"/>
  <c r="T204" i="28"/>
  <c r="S204" i="28"/>
  <c r="R204" i="28"/>
  <c r="Q204" i="28"/>
  <c r="P204" i="28"/>
  <c r="O204" i="28"/>
  <c r="N204" i="28"/>
  <c r="M204" i="28"/>
  <c r="L204" i="28"/>
  <c r="K204" i="28"/>
  <c r="J204" i="28"/>
  <c r="I204" i="28"/>
  <c r="H204" i="28"/>
  <c r="G204" i="28"/>
  <c r="F204" i="28"/>
  <c r="E204" i="28"/>
  <c r="D204" i="28"/>
  <c r="C204" i="28"/>
  <c r="B204" i="28"/>
  <c r="AG203" i="28"/>
  <c r="F204" i="25" s="1"/>
  <c r="AG202" i="28"/>
  <c r="F203" i="25" s="1"/>
  <c r="AG201" i="28"/>
  <c r="F202" i="25" s="1"/>
  <c r="AG200" i="28"/>
  <c r="F201" i="25" s="1"/>
  <c r="AG199" i="28"/>
  <c r="F200" i="25" s="1"/>
  <c r="AG198" i="28"/>
  <c r="F199" i="25" s="1"/>
  <c r="AG197" i="28"/>
  <c r="F198" i="25" s="1"/>
  <c r="AG196" i="28"/>
  <c r="F197" i="25" s="1"/>
  <c r="AG195" i="28"/>
  <c r="F196" i="25" s="1"/>
  <c r="AG194" i="28"/>
  <c r="F195" i="25" s="1"/>
  <c r="AG193" i="28"/>
  <c r="F194" i="25" s="1"/>
  <c r="AG192" i="28"/>
  <c r="F193" i="25" s="1"/>
  <c r="AG191" i="28"/>
  <c r="F192" i="25" s="1"/>
  <c r="AG190" i="28"/>
  <c r="F191" i="25" s="1"/>
  <c r="AG189" i="28"/>
  <c r="F190" i="25" s="1"/>
  <c r="AG188" i="28"/>
  <c r="F189" i="25" s="1"/>
  <c r="AG187" i="28"/>
  <c r="F188" i="25" s="1"/>
  <c r="AG186" i="28"/>
  <c r="F186" i="25" s="1"/>
  <c r="AG185" i="28"/>
  <c r="F185" i="25" s="1"/>
  <c r="AG184" i="28"/>
  <c r="F184" i="25" s="1"/>
  <c r="AG183" i="28"/>
  <c r="F183" i="25" s="1"/>
  <c r="AG182" i="28"/>
  <c r="F182" i="25" s="1"/>
  <c r="AG181" i="28"/>
  <c r="F181" i="25" s="1"/>
  <c r="AG180" i="28"/>
  <c r="F180" i="25" s="1"/>
  <c r="AF179" i="28"/>
  <c r="AE179" i="28"/>
  <c r="AD179" i="28"/>
  <c r="AC179" i="28"/>
  <c r="AB179" i="28"/>
  <c r="AA179" i="28"/>
  <c r="Z179" i="28"/>
  <c r="Y179" i="28"/>
  <c r="X179" i="28"/>
  <c r="W179" i="28"/>
  <c r="V179" i="28"/>
  <c r="U179" i="28"/>
  <c r="T179" i="28"/>
  <c r="S179" i="28"/>
  <c r="R179" i="28"/>
  <c r="Q179" i="28"/>
  <c r="P179" i="28"/>
  <c r="O179" i="28"/>
  <c r="N179" i="28"/>
  <c r="M179" i="28"/>
  <c r="L179" i="28"/>
  <c r="K179" i="28"/>
  <c r="J179" i="28"/>
  <c r="I179" i="28"/>
  <c r="H179" i="28"/>
  <c r="G179" i="28"/>
  <c r="F179" i="28"/>
  <c r="E179" i="28"/>
  <c r="D179" i="28"/>
  <c r="C179" i="28"/>
  <c r="B179" i="28"/>
  <c r="AG178" i="28"/>
  <c r="AG177" i="28"/>
  <c r="AG176" i="28"/>
  <c r="F176" i="25" s="1"/>
  <c r="AG175" i="28"/>
  <c r="F175" i="25" s="1"/>
  <c r="AF174" i="28"/>
  <c r="AE174" i="28"/>
  <c r="AD174" i="28"/>
  <c r="AC174" i="28"/>
  <c r="AB174" i="28"/>
  <c r="AA174" i="28"/>
  <c r="Z174" i="28"/>
  <c r="Y174" i="28"/>
  <c r="X174" i="28"/>
  <c r="W174" i="28"/>
  <c r="V174" i="28"/>
  <c r="U174" i="28"/>
  <c r="T174" i="28"/>
  <c r="S174" i="28"/>
  <c r="R174" i="28"/>
  <c r="Q174" i="28"/>
  <c r="P174" i="28"/>
  <c r="O174" i="28"/>
  <c r="N174" i="28"/>
  <c r="M174" i="28"/>
  <c r="L174" i="28"/>
  <c r="K174" i="28"/>
  <c r="J174" i="28"/>
  <c r="I174" i="28"/>
  <c r="H174" i="28"/>
  <c r="G174" i="28"/>
  <c r="F174" i="28"/>
  <c r="E174" i="28"/>
  <c r="D174" i="28"/>
  <c r="C174" i="28"/>
  <c r="B174" i="28"/>
  <c r="AG173" i="28"/>
  <c r="F173" i="25" s="1"/>
  <c r="AG172" i="28"/>
  <c r="F172" i="25" s="1"/>
  <c r="AG171" i="28"/>
  <c r="F171" i="25" s="1"/>
  <c r="AG170" i="28"/>
  <c r="F170" i="25" s="1"/>
  <c r="AG169" i="28"/>
  <c r="F169" i="25" s="1"/>
  <c r="AG168" i="28"/>
  <c r="F168" i="25" s="1"/>
  <c r="AF167" i="28"/>
  <c r="AE167" i="28"/>
  <c r="AD167" i="28"/>
  <c r="AC167" i="28"/>
  <c r="AB167" i="28"/>
  <c r="AA167" i="28"/>
  <c r="Z167" i="28"/>
  <c r="Y167" i="28"/>
  <c r="X167" i="28"/>
  <c r="W167" i="28"/>
  <c r="V167" i="28"/>
  <c r="U167" i="28"/>
  <c r="T167" i="28"/>
  <c r="S167" i="28"/>
  <c r="R167" i="28"/>
  <c r="Q167" i="28"/>
  <c r="P167" i="28"/>
  <c r="O167" i="28"/>
  <c r="N167" i="28"/>
  <c r="M167" i="28"/>
  <c r="L167" i="28"/>
  <c r="K167" i="28"/>
  <c r="J167" i="28"/>
  <c r="I167" i="28"/>
  <c r="H167" i="28"/>
  <c r="G167" i="28"/>
  <c r="F167" i="28"/>
  <c r="E167" i="28"/>
  <c r="D167" i="28"/>
  <c r="C167" i="28"/>
  <c r="B167" i="28"/>
  <c r="AG166" i="28"/>
  <c r="F166" i="25" s="1"/>
  <c r="AG165" i="28"/>
  <c r="F165" i="25" s="1"/>
  <c r="AG164" i="28"/>
  <c r="F164" i="25" s="1"/>
  <c r="AG163" i="28"/>
  <c r="F163" i="25" s="1"/>
  <c r="AG162" i="28"/>
  <c r="F162" i="25" s="1"/>
  <c r="AG161" i="28"/>
  <c r="F161" i="25" s="1"/>
  <c r="AG160" i="28"/>
  <c r="F160" i="25" s="1"/>
  <c r="AG159" i="28"/>
  <c r="F159" i="25" s="1"/>
  <c r="AF158" i="28"/>
  <c r="AE158" i="28"/>
  <c r="AD158" i="28"/>
  <c r="AC158" i="28"/>
  <c r="AB158" i="28"/>
  <c r="AA158" i="28"/>
  <c r="Z158" i="28"/>
  <c r="Y158" i="28"/>
  <c r="X158" i="28"/>
  <c r="W158" i="28"/>
  <c r="V158" i="28"/>
  <c r="U158" i="28"/>
  <c r="T158" i="28"/>
  <c r="S158" i="28"/>
  <c r="R158" i="28"/>
  <c r="Q158" i="28"/>
  <c r="P158" i="28"/>
  <c r="O158" i="28"/>
  <c r="N158" i="28"/>
  <c r="M158" i="28"/>
  <c r="L158" i="28"/>
  <c r="K158" i="28"/>
  <c r="J158" i="28"/>
  <c r="I158" i="28"/>
  <c r="H158" i="28"/>
  <c r="G158" i="28"/>
  <c r="F158" i="28"/>
  <c r="E158" i="28"/>
  <c r="D158" i="28"/>
  <c r="C158" i="28"/>
  <c r="B158" i="28"/>
  <c r="AG157" i="28"/>
  <c r="F157" i="25" s="1"/>
  <c r="AG156" i="28"/>
  <c r="F156" i="25" s="1"/>
  <c r="AG155" i="28"/>
  <c r="F155" i="25" s="1"/>
  <c r="AG154" i="28"/>
  <c r="F154" i="25" s="1"/>
  <c r="AG153" i="28"/>
  <c r="F153" i="25" s="1"/>
  <c r="AG152" i="28"/>
  <c r="F152" i="25" s="1"/>
  <c r="AG151" i="28"/>
  <c r="F151" i="25" s="1"/>
  <c r="AG150" i="28"/>
  <c r="F150" i="25" s="1"/>
  <c r="AG149" i="28"/>
  <c r="F149" i="25" s="1"/>
  <c r="AF148" i="28"/>
  <c r="AF146" i="28" s="1"/>
  <c r="AE148" i="28"/>
  <c r="AE146" i="28" s="1"/>
  <c r="AD148" i="28"/>
  <c r="AD146" i="28" s="1"/>
  <c r="AD144" i="28" s="1"/>
  <c r="AC148" i="28"/>
  <c r="AC146" i="28" s="1"/>
  <c r="AB148" i="28"/>
  <c r="AB146" i="28" s="1"/>
  <c r="AA148" i="28"/>
  <c r="AA146" i="28" s="1"/>
  <c r="Z148" i="28"/>
  <c r="Z146" i="28" s="1"/>
  <c r="Z144" i="28" s="1"/>
  <c r="Y148" i="28"/>
  <c r="X148" i="28"/>
  <c r="X146" i="28" s="1"/>
  <c r="W148" i="28"/>
  <c r="W146" i="28" s="1"/>
  <c r="V148" i="28"/>
  <c r="V146" i="28" s="1"/>
  <c r="V144" i="28" s="1"/>
  <c r="U148" i="28"/>
  <c r="T148" i="28"/>
  <c r="T146" i="28" s="1"/>
  <c r="S148" i="28"/>
  <c r="S146" i="28" s="1"/>
  <c r="R148" i="28"/>
  <c r="R146" i="28" s="1"/>
  <c r="R144" i="28" s="1"/>
  <c r="Q148" i="28"/>
  <c r="Q146" i="28" s="1"/>
  <c r="P148" i="28"/>
  <c r="P146" i="28" s="1"/>
  <c r="O148" i="28"/>
  <c r="O146" i="28" s="1"/>
  <c r="N148" i="28"/>
  <c r="N146" i="28" s="1"/>
  <c r="M148" i="28"/>
  <c r="M146" i="28" s="1"/>
  <c r="L148" i="28"/>
  <c r="L146" i="28" s="1"/>
  <c r="K148" i="28"/>
  <c r="K146" i="28" s="1"/>
  <c r="J148" i="28"/>
  <c r="J146" i="28" s="1"/>
  <c r="J144" i="28" s="1"/>
  <c r="I148" i="28"/>
  <c r="H148" i="28"/>
  <c r="H146" i="28" s="1"/>
  <c r="G148" i="28"/>
  <c r="G146" i="28" s="1"/>
  <c r="F148" i="28"/>
  <c r="F146" i="28" s="1"/>
  <c r="F144" i="28" s="1"/>
  <c r="E148" i="28"/>
  <c r="D148" i="28"/>
  <c r="D146" i="28" s="1"/>
  <c r="C148" i="28"/>
  <c r="C146" i="28" s="1"/>
  <c r="B148" i="28"/>
  <c r="B146" i="28" s="1"/>
  <c r="B144" i="28" s="1"/>
  <c r="AE147" i="28"/>
  <c r="AD147" i="28"/>
  <c r="AC147" i="28"/>
  <c r="AB147" i="28"/>
  <c r="AA147" i="28"/>
  <c r="Z147" i="28"/>
  <c r="Y147" i="28"/>
  <c r="X147" i="28"/>
  <c r="W147" i="28"/>
  <c r="V147" i="28"/>
  <c r="U147" i="28"/>
  <c r="T147" i="28"/>
  <c r="S147" i="28"/>
  <c r="R147" i="28"/>
  <c r="Q147" i="28"/>
  <c r="P147" i="28"/>
  <c r="O147" i="28"/>
  <c r="N147" i="28"/>
  <c r="M147" i="28"/>
  <c r="L147" i="28"/>
  <c r="K147" i="28"/>
  <c r="J147" i="28"/>
  <c r="I147" i="28"/>
  <c r="H147" i="28"/>
  <c r="G147" i="28"/>
  <c r="F147" i="28"/>
  <c r="E147" i="28"/>
  <c r="D147" i="28"/>
  <c r="C147" i="28"/>
  <c r="B147" i="28"/>
  <c r="Y146" i="28"/>
  <c r="U146" i="28"/>
  <c r="U144" i="28" s="1"/>
  <c r="I146" i="28"/>
  <c r="I144" i="28" s="1"/>
  <c r="E146" i="28"/>
  <c r="AF145" i="28"/>
  <c r="AE145" i="28"/>
  <c r="AD145" i="28"/>
  <c r="AC145" i="28"/>
  <c r="AB145" i="28"/>
  <c r="AA145" i="28"/>
  <c r="Z145" i="28"/>
  <c r="Y145" i="28"/>
  <c r="X145" i="28"/>
  <c r="W145" i="28"/>
  <c r="V145" i="28"/>
  <c r="U145" i="28"/>
  <c r="T145" i="28"/>
  <c r="S145" i="28"/>
  <c r="R145" i="28"/>
  <c r="Q145" i="28"/>
  <c r="P145" i="28"/>
  <c r="O145" i="28"/>
  <c r="N145" i="28"/>
  <c r="M145" i="28"/>
  <c r="L145" i="28"/>
  <c r="K145" i="28"/>
  <c r="J145" i="28"/>
  <c r="I145" i="28"/>
  <c r="H145" i="28"/>
  <c r="G145" i="28"/>
  <c r="F145" i="28"/>
  <c r="E145" i="28"/>
  <c r="D145" i="28"/>
  <c r="C145" i="28"/>
  <c r="B145" i="28"/>
  <c r="AG143" i="28"/>
  <c r="F143" i="25" s="1"/>
  <c r="AG142" i="28"/>
  <c r="F142" i="25" s="1"/>
  <c r="AG141" i="28"/>
  <c r="F141" i="25" s="1"/>
  <c r="AG140" i="28"/>
  <c r="F140" i="25" s="1"/>
  <c r="AG139" i="28"/>
  <c r="F139" i="25" s="1"/>
  <c r="AG138" i="28"/>
  <c r="F138" i="25" s="1"/>
  <c r="AG137" i="28"/>
  <c r="F137" i="25" s="1"/>
  <c r="AG136" i="28"/>
  <c r="F136" i="25" s="1"/>
  <c r="AG135" i="28"/>
  <c r="F135" i="25" s="1"/>
  <c r="AG134" i="28"/>
  <c r="F134" i="25" s="1"/>
  <c r="AG133" i="28"/>
  <c r="F133" i="25" s="1"/>
  <c r="AG132" i="28"/>
  <c r="F132" i="25" s="1"/>
  <c r="AG131" i="28"/>
  <c r="F131" i="25" s="1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AG129" i="28"/>
  <c r="F129" i="25" s="1"/>
  <c r="AG128" i="28"/>
  <c r="F128" i="25" s="1"/>
  <c r="AG127" i="28"/>
  <c r="F127" i="25" s="1"/>
  <c r="AG126" i="28"/>
  <c r="F126" i="25" s="1"/>
  <c r="AG125" i="28"/>
  <c r="F125" i="25" s="1"/>
  <c r="AG124" i="28"/>
  <c r="F124" i="25" s="1"/>
  <c r="AG123" i="28"/>
  <c r="F123" i="25" s="1"/>
  <c r="AG122" i="28"/>
  <c r="F122" i="25" s="1"/>
  <c r="AG121" i="28"/>
  <c r="F121" i="25" s="1"/>
  <c r="AG120" i="28"/>
  <c r="F120" i="25" s="1"/>
  <c r="AG119" i="28"/>
  <c r="F119" i="25" s="1"/>
  <c r="AG118" i="28"/>
  <c r="F118" i="25" s="1"/>
  <c r="AG117" i="28"/>
  <c r="F117" i="25" s="1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AG115" i="28"/>
  <c r="AG114" i="28"/>
  <c r="F114" i="25" s="1"/>
  <c r="AG113" i="28"/>
  <c r="F113" i="25" s="1"/>
  <c r="AG112" i="28"/>
  <c r="F112" i="25" s="1"/>
  <c r="AG111" i="28"/>
  <c r="F111" i="25" s="1"/>
  <c r="AG110" i="28"/>
  <c r="F110" i="25" s="1"/>
  <c r="AG109" i="28"/>
  <c r="F109" i="25" s="1"/>
  <c r="AG108" i="28"/>
  <c r="F108" i="25" s="1"/>
  <c r="AG107" i="28"/>
  <c r="F107" i="25" s="1"/>
  <c r="AG106" i="28"/>
  <c r="F106" i="25" s="1"/>
  <c r="AG105" i="28"/>
  <c r="F105" i="25" s="1"/>
  <c r="AG104" i="28"/>
  <c r="F104" i="25" s="1"/>
  <c r="AG103" i="28"/>
  <c r="F103" i="25" s="1"/>
  <c r="AG102" i="28"/>
  <c r="F102" i="25" s="1"/>
  <c r="AG101" i="28"/>
  <c r="F101" i="25" s="1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AG99" i="28"/>
  <c r="F99" i="25" s="1"/>
  <c r="AG98" i="28"/>
  <c r="F98" i="25" s="1"/>
  <c r="AG97" i="28"/>
  <c r="F97" i="25" s="1"/>
  <c r="AG96" i="28"/>
  <c r="F96" i="25" s="1"/>
  <c r="AG95" i="28"/>
  <c r="F95" i="25" s="1"/>
  <c r="AF94" i="28"/>
  <c r="AE94" i="28"/>
  <c r="AE93" i="28" s="1"/>
  <c r="AD94" i="28"/>
  <c r="AD93" i="28" s="1"/>
  <c r="AC94" i="28"/>
  <c r="AC93" i="28" s="1"/>
  <c r="AB94" i="28"/>
  <c r="AA94" i="28"/>
  <c r="AA93" i="28" s="1"/>
  <c r="Z94" i="28"/>
  <c r="Y94" i="28"/>
  <c r="X94" i="28"/>
  <c r="W94" i="28"/>
  <c r="W93" i="28" s="1"/>
  <c r="V94" i="28"/>
  <c r="V93" i="28" s="1"/>
  <c r="U94" i="28"/>
  <c r="U93" i="28" s="1"/>
  <c r="T94" i="28"/>
  <c r="S94" i="28"/>
  <c r="R94" i="28"/>
  <c r="R93" i="28" s="1"/>
  <c r="Q94" i="28"/>
  <c r="Q93" i="28" s="1"/>
  <c r="P94" i="28"/>
  <c r="O94" i="28"/>
  <c r="O93" i="28" s="1"/>
  <c r="N94" i="28"/>
  <c r="N93" i="28" s="1"/>
  <c r="M94" i="28"/>
  <c r="M93" i="28" s="1"/>
  <c r="L94" i="28"/>
  <c r="K94" i="28"/>
  <c r="K93" i="28" s="1"/>
  <c r="J94" i="28"/>
  <c r="J93" i="28" s="1"/>
  <c r="I94" i="28"/>
  <c r="I93" i="28" s="1"/>
  <c r="H94" i="28"/>
  <c r="G94" i="28"/>
  <c r="G93" i="28" s="1"/>
  <c r="F94" i="28"/>
  <c r="F93" i="28" s="1"/>
  <c r="E94" i="28"/>
  <c r="E93" i="28" s="1"/>
  <c r="D94" i="28"/>
  <c r="C94" i="28"/>
  <c r="C93" i="28" s="1"/>
  <c r="B94" i="28"/>
  <c r="B93" i="28" s="1"/>
  <c r="Z93" i="28"/>
  <c r="AG92" i="28"/>
  <c r="F92" i="25" s="1"/>
  <c r="AG91" i="28"/>
  <c r="F91" i="25" s="1"/>
  <c r="AG90" i="28"/>
  <c r="F90" i="25" s="1"/>
  <c r="AG89" i="28"/>
  <c r="F89" i="25" s="1"/>
  <c r="AG88" i="28"/>
  <c r="F88" i="25" s="1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AG86" i="28"/>
  <c r="F86" i="25" s="1"/>
  <c r="AG85" i="28"/>
  <c r="F85" i="25" s="1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T83" i="28"/>
  <c r="T81" i="28" s="1"/>
  <c r="S83" i="28"/>
  <c r="M83" i="28"/>
  <c r="M81" i="28" s="1"/>
  <c r="E83" i="28"/>
  <c r="E81" i="28" s="1"/>
  <c r="AF82" i="28"/>
  <c r="AF83" i="28" s="1"/>
  <c r="AF81" i="28" s="1"/>
  <c r="AE82" i="28"/>
  <c r="AD82" i="28"/>
  <c r="AD83" i="28" s="1"/>
  <c r="AC82" i="28"/>
  <c r="AC83" i="28" s="1"/>
  <c r="AC81" i="28" s="1"/>
  <c r="AB82" i="28"/>
  <c r="AB83" i="28" s="1"/>
  <c r="AB81" i="28" s="1"/>
  <c r="Z83" i="28"/>
  <c r="Z81" i="28" s="1"/>
  <c r="Y82" i="28"/>
  <c r="Y83" i="28" s="1"/>
  <c r="Y81" i="28" s="1"/>
  <c r="X82" i="28"/>
  <c r="W82" i="28"/>
  <c r="V83" i="28"/>
  <c r="V81" i="28" s="1"/>
  <c r="U82" i="28"/>
  <c r="U83" i="28" s="1"/>
  <c r="R82" i="28"/>
  <c r="R83" i="28" s="1"/>
  <c r="R81" i="28" s="1"/>
  <c r="Q82" i="28"/>
  <c r="Q83" i="28" s="1"/>
  <c r="Q81" i="28" s="1"/>
  <c r="P82" i="28"/>
  <c r="P83" i="28" s="1"/>
  <c r="P81" i="28" s="1"/>
  <c r="O82" i="28"/>
  <c r="N82" i="28"/>
  <c r="N83" i="28" s="1"/>
  <c r="N81" i="28" s="1"/>
  <c r="L83" i="28"/>
  <c r="L81" i="28" s="1"/>
  <c r="K82" i="28"/>
  <c r="J82" i="28"/>
  <c r="J83" i="28" s="1"/>
  <c r="J81" i="28" s="1"/>
  <c r="I82" i="28"/>
  <c r="I83" i="28" s="1"/>
  <c r="I81" i="28" s="1"/>
  <c r="H82" i="28"/>
  <c r="G82" i="28"/>
  <c r="F83" i="28"/>
  <c r="F81" i="28" s="1"/>
  <c r="D82" i="28"/>
  <c r="D83" i="28" s="1"/>
  <c r="D81" i="28" s="1"/>
  <c r="C82" i="28"/>
  <c r="C83" i="28" s="1"/>
  <c r="B83" i="28"/>
  <c r="AD81" i="28"/>
  <c r="AF80" i="28"/>
  <c r="AF79" i="28" s="1"/>
  <c r="AF78" i="28" s="1"/>
  <c r="AC80" i="28"/>
  <c r="AC79" i="28" s="1"/>
  <c r="AC78" i="28" s="1"/>
  <c r="AB80" i="28"/>
  <c r="AB79" i="28" s="1"/>
  <c r="AB78" i="28" s="1"/>
  <c r="AA80" i="28"/>
  <c r="Y80" i="28"/>
  <c r="Y79" i="28" s="1"/>
  <c r="Y78" i="28" s="1"/>
  <c r="V80" i="28"/>
  <c r="V79" i="28" s="1"/>
  <c r="V78" i="28" s="1"/>
  <c r="U80" i="28"/>
  <c r="U79" i="28" s="1"/>
  <c r="U78" i="28" s="1"/>
  <c r="T80" i="28"/>
  <c r="T79" i="28" s="1"/>
  <c r="T78" i="28" s="1"/>
  <c r="S80" i="28"/>
  <c r="S79" i="28" s="1"/>
  <c r="S78" i="28" s="1"/>
  <c r="R80" i="28"/>
  <c r="R79" i="28" s="1"/>
  <c r="R78" i="28" s="1"/>
  <c r="O80" i="28"/>
  <c r="O79" i="28" s="1"/>
  <c r="O78" i="28" s="1"/>
  <c r="N80" i="28"/>
  <c r="N79" i="28" s="1"/>
  <c r="N78" i="28" s="1"/>
  <c r="M80" i="28"/>
  <c r="M79" i="28" s="1"/>
  <c r="M78" i="28" s="1"/>
  <c r="H80" i="28"/>
  <c r="H79" i="28" s="1"/>
  <c r="H78" i="28" s="1"/>
  <c r="G80" i="28"/>
  <c r="G79" i="28" s="1"/>
  <c r="G78" i="28" s="1"/>
  <c r="F80" i="28"/>
  <c r="F79" i="28" s="1"/>
  <c r="F78" i="28" s="1"/>
  <c r="AE79" i="28"/>
  <c r="AE78" i="28" s="1"/>
  <c r="AD79" i="28"/>
  <c r="AD78" i="28" s="1"/>
  <c r="AA79" i="28"/>
  <c r="AA78" i="28" s="1"/>
  <c r="Z79" i="28"/>
  <c r="Z78" i="28" s="1"/>
  <c r="X79" i="28"/>
  <c r="X78" i="28" s="1"/>
  <c r="W79" i="28"/>
  <c r="W78" i="28" s="1"/>
  <c r="Q79" i="28"/>
  <c r="Q78" i="28" s="1"/>
  <c r="P79" i="28"/>
  <c r="P78" i="28" s="1"/>
  <c r="L79" i="28"/>
  <c r="L78" i="28" s="1"/>
  <c r="K79" i="28"/>
  <c r="K78" i="28" s="1"/>
  <c r="J79" i="28"/>
  <c r="J78" i="28" s="1"/>
  <c r="I79" i="28"/>
  <c r="I78" i="28" s="1"/>
  <c r="E79" i="28"/>
  <c r="E78" i="28" s="1"/>
  <c r="D79" i="28"/>
  <c r="D78" i="28" s="1"/>
  <c r="C79" i="28"/>
  <c r="C78" i="28" s="1"/>
  <c r="B79" i="28"/>
  <c r="B78" i="28" s="1"/>
  <c r="AG77" i="28"/>
  <c r="F77" i="25" s="1"/>
  <c r="AG76" i="28"/>
  <c r="F76" i="25" s="1"/>
  <c r="AG75" i="28"/>
  <c r="F75" i="25" s="1"/>
  <c r="AG74" i="28"/>
  <c r="F74" i="25" s="1"/>
  <c r="AG73" i="28"/>
  <c r="F73" i="25" s="1"/>
  <c r="AG72" i="28"/>
  <c r="F72" i="25" s="1"/>
  <c r="AG71" i="28"/>
  <c r="F71" i="25" s="1"/>
  <c r="AG70" i="28"/>
  <c r="F70" i="25" s="1"/>
  <c r="AG69" i="28"/>
  <c r="F69" i="25" s="1"/>
  <c r="AG68" i="28"/>
  <c r="F68" i="25" s="1"/>
  <c r="AG67" i="28"/>
  <c r="F67" i="25" s="1"/>
  <c r="AG66" i="28"/>
  <c r="F66" i="25" s="1"/>
  <c r="AG65" i="28"/>
  <c r="F65" i="25" s="1"/>
  <c r="AG64" i="28"/>
  <c r="F64" i="25" s="1"/>
  <c r="AG63" i="28"/>
  <c r="F63" i="25" s="1"/>
  <c r="AG62" i="28"/>
  <c r="F62" i="25" s="1"/>
  <c r="AG61" i="28"/>
  <c r="F61" i="25" s="1"/>
  <c r="AG60" i="28"/>
  <c r="F60" i="25" s="1"/>
  <c r="AG59" i="28"/>
  <c r="F59" i="25" s="1"/>
  <c r="AG58" i="28"/>
  <c r="F58" i="25" s="1"/>
  <c r="AG57" i="28"/>
  <c r="F57" i="25" s="1"/>
  <c r="AG56" i="28"/>
  <c r="F56" i="25" s="1"/>
  <c r="AG55" i="28"/>
  <c r="F55" i="25" s="1"/>
  <c r="AG54" i="28"/>
  <c r="F54" i="25" s="1"/>
  <c r="AF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AG52" i="28"/>
  <c r="F52" i="25" s="1"/>
  <c r="AG51" i="28"/>
  <c r="F51" i="25" s="1"/>
  <c r="AG50" i="28"/>
  <c r="F50" i="25" s="1"/>
  <c r="AG49" i="28"/>
  <c r="F49" i="25" s="1"/>
  <c r="AG48" i="28"/>
  <c r="F48" i="25" s="1"/>
  <c r="AG47" i="28"/>
  <c r="F47" i="25" s="1"/>
  <c r="AG46" i="28"/>
  <c r="F46" i="25" s="1"/>
  <c r="AG45" i="28"/>
  <c r="F45" i="25" s="1"/>
  <c r="AG44" i="28"/>
  <c r="F44" i="25" s="1"/>
  <c r="AG43" i="28"/>
  <c r="F43" i="25" s="1"/>
  <c r="AG42" i="28"/>
  <c r="F42" i="25" s="1"/>
  <c r="AG41" i="28"/>
  <c r="F41" i="25" s="1"/>
  <c r="AG40" i="28"/>
  <c r="F40" i="25" s="1"/>
  <c r="AG39" i="28"/>
  <c r="F39" i="25" s="1"/>
  <c r="AG38" i="28"/>
  <c r="F38" i="25" s="1"/>
  <c r="AG37" i="28"/>
  <c r="F37" i="25" s="1"/>
  <c r="AG36" i="28"/>
  <c r="F36" i="25" s="1"/>
  <c r="AG35" i="28"/>
  <c r="F35" i="25" s="1"/>
  <c r="AG34" i="28"/>
  <c r="F34" i="25" s="1"/>
  <c r="AG33" i="28"/>
  <c r="F33" i="25" s="1"/>
  <c r="AG32" i="28"/>
  <c r="F32" i="25" s="1"/>
  <c r="AG31" i="28"/>
  <c r="F31" i="25" s="1"/>
  <c r="AG30" i="28"/>
  <c r="F30" i="25" s="1"/>
  <c r="AG29" i="28"/>
  <c r="F29" i="25" s="1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AG27" i="28"/>
  <c r="F27" i="25" s="1"/>
  <c r="AG26" i="28"/>
  <c r="F26" i="25" s="1"/>
  <c r="AG25" i="28"/>
  <c r="F25" i="25" s="1"/>
  <c r="AG24" i="28"/>
  <c r="F24" i="25" s="1"/>
  <c r="AG23" i="28"/>
  <c r="F23" i="25" s="1"/>
  <c r="AG22" i="28"/>
  <c r="F22" i="25" s="1"/>
  <c r="AG21" i="28"/>
  <c r="F21" i="25" s="1"/>
  <c r="AG20" i="28"/>
  <c r="F20" i="25" s="1"/>
  <c r="AG19" i="28"/>
  <c r="F19" i="25" s="1"/>
  <c r="AG18" i="28"/>
  <c r="F18" i="25" s="1"/>
  <c r="AG17" i="28"/>
  <c r="F17" i="25" s="1"/>
  <c r="AG16" i="28"/>
  <c r="F16" i="25" s="1"/>
  <c r="AG15" i="28"/>
  <c r="F15" i="25" s="1"/>
  <c r="AG14" i="28"/>
  <c r="F14" i="25" s="1"/>
  <c r="AG13" i="28"/>
  <c r="F13" i="25" s="1"/>
  <c r="AG12" i="28"/>
  <c r="F12" i="25" s="1"/>
  <c r="AG11" i="28"/>
  <c r="F11" i="25" s="1"/>
  <c r="AG10" i="28"/>
  <c r="F10" i="25" s="1"/>
  <c r="AG9" i="28"/>
  <c r="F9" i="25" s="1"/>
  <c r="AG8" i="28"/>
  <c r="F8" i="25" s="1"/>
  <c r="AG7" i="28"/>
  <c r="F7" i="25" s="1"/>
  <c r="AG6" i="28"/>
  <c r="F6" i="25" s="1"/>
  <c r="AG5" i="28"/>
  <c r="F5" i="25" s="1"/>
  <c r="AG4" i="28"/>
  <c r="F4" i="25" s="1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D3" i="28"/>
  <c r="C3" i="28"/>
  <c r="B3" i="28"/>
  <c r="AC2" i="28"/>
  <c r="C2" i="28"/>
  <c r="D2" i="28" s="1"/>
  <c r="C144" i="28" l="1"/>
  <c r="S144" i="28"/>
  <c r="AA144" i="28"/>
  <c r="G144" i="28"/>
  <c r="O144" i="28"/>
  <c r="W144" i="28"/>
  <c r="AE144" i="28"/>
  <c r="Y93" i="28"/>
  <c r="U81" i="28"/>
  <c r="Q144" i="28"/>
  <c r="AC144" i="28"/>
  <c r="E144" i="28"/>
  <c r="Y144" i="28"/>
  <c r="E2" i="28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P2" i="28" s="1"/>
  <c r="Q2" i="28" s="1"/>
  <c r="R2" i="28" s="1"/>
  <c r="S2" i="28" s="1"/>
  <c r="T2" i="28" s="1"/>
  <c r="U2" i="28" s="1"/>
  <c r="V2" i="28" s="1"/>
  <c r="W2" i="28" s="1"/>
  <c r="X2" i="28" s="1"/>
  <c r="Y2" i="28" s="1"/>
  <c r="Z2" i="28" s="1"/>
  <c r="AA2" i="28" s="1"/>
  <c r="H83" i="28"/>
  <c r="H81" i="28" s="1"/>
  <c r="S93" i="28"/>
  <c r="N144" i="28"/>
  <c r="T93" i="28"/>
  <c r="X93" i="28"/>
  <c r="AB93" i="28"/>
  <c r="AF93" i="28"/>
  <c r="D144" i="28"/>
  <c r="H144" i="28"/>
  <c r="L144" i="28"/>
  <c r="P144" i="28"/>
  <c r="T144" i="28"/>
  <c r="X144" i="28"/>
  <c r="AB144" i="28"/>
  <c r="AF144" i="28"/>
  <c r="AG167" i="28"/>
  <c r="F167" i="25" s="1"/>
  <c r="X83" i="28"/>
  <c r="X81" i="28" s="1"/>
  <c r="P93" i="28"/>
  <c r="M144" i="28"/>
  <c r="L93" i="28"/>
  <c r="K144" i="28"/>
  <c r="H93" i="28"/>
  <c r="AG80" i="28"/>
  <c r="F80" i="25" s="1"/>
  <c r="AG100" i="28"/>
  <c r="F100" i="25" s="1"/>
  <c r="AG87" i="28"/>
  <c r="F87" i="25" s="1"/>
  <c r="AG28" i="28"/>
  <c r="F28" i="25" s="1"/>
  <c r="AG145" i="28"/>
  <c r="F145" i="25" s="1"/>
  <c r="AG53" i="28"/>
  <c r="F53" i="25" s="1"/>
  <c r="AG179" i="28"/>
  <c r="F179" i="25" s="1"/>
  <c r="AG204" i="28"/>
  <c r="F205" i="25" s="1"/>
  <c r="AG174" i="28"/>
  <c r="F174" i="25" s="1"/>
  <c r="AG158" i="28"/>
  <c r="F158" i="25" s="1"/>
  <c r="AG130" i="28"/>
  <c r="F130" i="25" s="1"/>
  <c r="AG116" i="28"/>
  <c r="F116" i="25" s="1"/>
  <c r="AG84" i="28"/>
  <c r="F84" i="25" s="1"/>
  <c r="AG3" i="28"/>
  <c r="F3" i="25" s="1"/>
  <c r="AG79" i="28"/>
  <c r="F79" i="25" s="1"/>
  <c r="AG78" i="28"/>
  <c r="F78" i="25" s="1"/>
  <c r="C81" i="28"/>
  <c r="S81" i="28"/>
  <c r="O83" i="28"/>
  <c r="O81" i="28" s="1"/>
  <c r="AE83" i="28"/>
  <c r="AE81" i="28" s="1"/>
  <c r="AG94" i="28"/>
  <c r="F94" i="25" s="1"/>
  <c r="AG147" i="28"/>
  <c r="F147" i="25" s="1"/>
  <c r="K83" i="28"/>
  <c r="K81" i="28" s="1"/>
  <c r="AA83" i="28"/>
  <c r="AA81" i="28" s="1"/>
  <c r="D93" i="28"/>
  <c r="B81" i="28"/>
  <c r="AG82" i="28"/>
  <c r="F82" i="25" s="1"/>
  <c r="G83" i="28"/>
  <c r="W83" i="28"/>
  <c r="W81" i="28" s="1"/>
  <c r="AG148" i="28"/>
  <c r="F148" i="25" s="1"/>
  <c r="AE143" i="27"/>
  <c r="AE142" i="27"/>
  <c r="AE137" i="27"/>
  <c r="AE129" i="27"/>
  <c r="AD142" i="27"/>
  <c r="AD139" i="27"/>
  <c r="AD129" i="27"/>
  <c r="AC143" i="27"/>
  <c r="AC134" i="27"/>
  <c r="AC142" i="27"/>
  <c r="AC139" i="27"/>
  <c r="AC137" i="27"/>
  <c r="AC129" i="27"/>
  <c r="AG146" i="28" l="1"/>
  <c r="F146" i="25" s="1"/>
  <c r="AG93" i="28"/>
  <c r="AG83" i="28"/>
  <c r="AG144" i="28"/>
  <c r="F144" i="25" s="1"/>
  <c r="AH87" i="28"/>
  <c r="AH93" i="28"/>
  <c r="G81" i="28"/>
  <c r="AG81" i="28" s="1"/>
  <c r="AG183" i="24"/>
  <c r="AG183" i="23"/>
  <c r="AG183" i="21"/>
  <c r="AG183" i="22"/>
  <c r="AG183" i="27"/>
  <c r="E183" i="25" s="1"/>
  <c r="N183" i="25" s="1"/>
  <c r="AB143" i="27"/>
  <c r="AB142" i="27"/>
  <c r="AB139" i="27"/>
  <c r="AB129" i="27"/>
  <c r="AA143" i="27"/>
  <c r="AA142" i="27"/>
  <c r="AA129" i="27"/>
  <c r="AH204" i="28" l="1"/>
  <c r="F93" i="25"/>
  <c r="AH81" i="28"/>
  <c r="F81" i="25"/>
  <c r="AH84" i="28"/>
  <c r="F83" i="25"/>
  <c r="AH130" i="28"/>
  <c r="AH144" i="28"/>
  <c r="Z173" i="27"/>
  <c r="Z143" i="27"/>
  <c r="Z142" i="27"/>
  <c r="Z137" i="27"/>
  <c r="Z129" i="27"/>
  <c r="Y173" i="27" l="1"/>
  <c r="Y143" i="27"/>
  <c r="Y142" i="27"/>
  <c r="Y134" i="27"/>
  <c r="Y137" i="27"/>
  <c r="Y129" i="27"/>
  <c r="X143" i="27" l="1"/>
  <c r="X142" i="27"/>
  <c r="X139" i="27"/>
  <c r="X134" i="27"/>
  <c r="X137" i="27"/>
  <c r="X129" i="27"/>
  <c r="W143" i="27" l="1"/>
  <c r="W142" i="27"/>
  <c r="W139" i="27"/>
  <c r="W137" i="27"/>
  <c r="W129" i="27"/>
  <c r="V143" i="27" l="1"/>
  <c r="V134" i="27"/>
  <c r="V142" i="27"/>
  <c r="V139" i="27"/>
  <c r="V129" i="27"/>
  <c r="U173" i="27"/>
  <c r="U143" i="27"/>
  <c r="U142" i="27"/>
  <c r="U139" i="27"/>
  <c r="U129" i="27"/>
  <c r="T142" i="27"/>
  <c r="T139" i="27"/>
  <c r="T134" i="27"/>
  <c r="T137" i="27"/>
  <c r="T129" i="27"/>
  <c r="S143" i="27"/>
  <c r="S142" i="27"/>
  <c r="S139" i="27"/>
  <c r="S137" i="27"/>
  <c r="S129" i="27"/>
  <c r="R143" i="27" l="1"/>
  <c r="R142" i="27"/>
  <c r="R134" i="27"/>
  <c r="R137" i="27"/>
  <c r="R129" i="27"/>
  <c r="Q143" i="27"/>
  <c r="Q142" i="27"/>
  <c r="Q139" i="27"/>
  <c r="Q137" i="27"/>
  <c r="Q129" i="27"/>
  <c r="P143" i="27"/>
  <c r="P142" i="27"/>
  <c r="P139" i="27"/>
  <c r="P137" i="27"/>
  <c r="P129" i="27"/>
  <c r="O143" i="27" l="1"/>
  <c r="O142" i="27"/>
  <c r="O137" i="27"/>
  <c r="O129" i="27"/>
  <c r="N143" i="27"/>
  <c r="N142" i="27"/>
  <c r="N139" i="27"/>
  <c r="N134" i="27"/>
  <c r="N129" i="27"/>
  <c r="M143" i="27"/>
  <c r="M142" i="27"/>
  <c r="M137" i="27"/>
  <c r="M129" i="27"/>
  <c r="L143" i="27"/>
  <c r="L142" i="27"/>
  <c r="L137" i="27"/>
  <c r="L129" i="27"/>
  <c r="AG186" i="24" l="1"/>
  <c r="AG186" i="23"/>
  <c r="AG186" i="21"/>
  <c r="AG186" i="22"/>
  <c r="AG186" i="27"/>
  <c r="E186" i="25" s="1"/>
  <c r="K143" i="27"/>
  <c r="K142" i="27"/>
  <c r="K129" i="27"/>
  <c r="J143" i="27"/>
  <c r="J142" i="27"/>
  <c r="J139" i="27"/>
  <c r="J129" i="27"/>
  <c r="N186" i="25" l="1"/>
  <c r="I143" i="27"/>
  <c r="I142" i="27"/>
  <c r="I129" i="27" l="1"/>
  <c r="H143" i="27"/>
  <c r="H142" i="27"/>
  <c r="H139" i="27"/>
  <c r="H129" i="27"/>
  <c r="G143" i="27"/>
  <c r="G142" i="27"/>
  <c r="G139" i="27"/>
  <c r="G137" i="27"/>
  <c r="G129" i="27"/>
  <c r="F143" i="27"/>
  <c r="F142" i="27"/>
  <c r="F139" i="27"/>
  <c r="F129" i="27"/>
  <c r="E143" i="27"/>
  <c r="E142" i="27"/>
  <c r="E139" i="27"/>
  <c r="E134" i="27"/>
  <c r="E137" i="27"/>
  <c r="E129" i="27"/>
  <c r="D143" i="27" l="1"/>
  <c r="D142" i="27"/>
  <c r="D129" i="27"/>
  <c r="C143" i="27" l="1"/>
  <c r="C134" i="27"/>
  <c r="C142" i="27"/>
  <c r="C139" i="27"/>
  <c r="C137" i="27"/>
  <c r="C129" i="27"/>
  <c r="B142" i="27"/>
  <c r="B143" i="27"/>
  <c r="AG143" i="27" s="1"/>
  <c r="E143" i="25" s="1"/>
  <c r="B134" i="27"/>
  <c r="B139" i="27"/>
  <c r="B129" i="27"/>
  <c r="B116" i="27" s="1"/>
  <c r="AG209" i="27"/>
  <c r="E210" i="25" s="1"/>
  <c r="AG208" i="27"/>
  <c r="E209" i="25" s="1"/>
  <c r="AG207" i="27"/>
  <c r="E208" i="25" s="1"/>
  <c r="AG206" i="27"/>
  <c r="E207" i="25" s="1"/>
  <c r="AG205" i="27"/>
  <c r="E206" i="25" s="1"/>
  <c r="AF204" i="27"/>
  <c r="AE204" i="27"/>
  <c r="AD204" i="27"/>
  <c r="AC204" i="27"/>
  <c r="AB204" i="27"/>
  <c r="AA204" i="27"/>
  <c r="Z204" i="27"/>
  <c r="Y204" i="27"/>
  <c r="X204" i="27"/>
  <c r="W204" i="27"/>
  <c r="V204" i="27"/>
  <c r="U204" i="27"/>
  <c r="T204" i="27"/>
  <c r="S204" i="27"/>
  <c r="R204" i="27"/>
  <c r="Q204" i="27"/>
  <c r="P204" i="27"/>
  <c r="O204" i="27"/>
  <c r="N204" i="27"/>
  <c r="M204" i="27"/>
  <c r="L204" i="27"/>
  <c r="K204" i="27"/>
  <c r="J204" i="27"/>
  <c r="I204" i="27"/>
  <c r="H204" i="27"/>
  <c r="G204" i="27"/>
  <c r="F204" i="27"/>
  <c r="E204" i="27"/>
  <c r="D204" i="27"/>
  <c r="C204" i="27"/>
  <c r="B204" i="27"/>
  <c r="AG203" i="27"/>
  <c r="E204" i="25" s="1"/>
  <c r="AG202" i="27"/>
  <c r="E203" i="25" s="1"/>
  <c r="AG201" i="27"/>
  <c r="E202" i="25" s="1"/>
  <c r="AG200" i="27"/>
  <c r="E201" i="25" s="1"/>
  <c r="AG199" i="27"/>
  <c r="E200" i="25" s="1"/>
  <c r="AG198" i="27"/>
  <c r="E199" i="25" s="1"/>
  <c r="AG197" i="27"/>
  <c r="E198" i="25" s="1"/>
  <c r="AG196" i="27"/>
  <c r="E197" i="25" s="1"/>
  <c r="AG195" i="27"/>
  <c r="E196" i="25" s="1"/>
  <c r="AG194" i="27"/>
  <c r="E195" i="25" s="1"/>
  <c r="AG193" i="27"/>
  <c r="E194" i="25" s="1"/>
  <c r="AG192" i="27"/>
  <c r="E193" i="25" s="1"/>
  <c r="AG191" i="27"/>
  <c r="E192" i="25" s="1"/>
  <c r="AG190" i="27"/>
  <c r="E191" i="25" s="1"/>
  <c r="AG189" i="27"/>
  <c r="E190" i="25" s="1"/>
  <c r="AG188" i="27"/>
  <c r="E189" i="25" s="1"/>
  <c r="AG187" i="27"/>
  <c r="E188" i="25" s="1"/>
  <c r="AG185" i="27"/>
  <c r="E185" i="25" s="1"/>
  <c r="AG184" i="27"/>
  <c r="E184" i="25" s="1"/>
  <c r="AG182" i="27"/>
  <c r="E182" i="25" s="1"/>
  <c r="AG181" i="27"/>
  <c r="E181" i="25" s="1"/>
  <c r="AG180" i="27"/>
  <c r="E180" i="25" s="1"/>
  <c r="AF179" i="27"/>
  <c r="AE179" i="27"/>
  <c r="AD179" i="27"/>
  <c r="AC179" i="27"/>
  <c r="AB179" i="27"/>
  <c r="AA179" i="27"/>
  <c r="Z179" i="27"/>
  <c r="Y179" i="27"/>
  <c r="X179" i="27"/>
  <c r="W179" i="27"/>
  <c r="V179" i="27"/>
  <c r="U179" i="27"/>
  <c r="T179" i="27"/>
  <c r="S179" i="27"/>
  <c r="R179" i="27"/>
  <c r="Q179" i="27"/>
  <c r="P179" i="27"/>
  <c r="O179" i="27"/>
  <c r="N179" i="27"/>
  <c r="M179" i="27"/>
  <c r="L179" i="27"/>
  <c r="K179" i="27"/>
  <c r="J179" i="27"/>
  <c r="I179" i="27"/>
  <c r="H179" i="27"/>
  <c r="G179" i="27"/>
  <c r="F179" i="27"/>
  <c r="E179" i="27"/>
  <c r="D179" i="27"/>
  <c r="C179" i="27"/>
  <c r="B179" i="27"/>
  <c r="AG178" i="27"/>
  <c r="AG177" i="27"/>
  <c r="AG176" i="27"/>
  <c r="E176" i="25" s="1"/>
  <c r="AG175" i="27"/>
  <c r="E175" i="25" s="1"/>
  <c r="AF174" i="27"/>
  <c r="AE174" i="27"/>
  <c r="AD174" i="27"/>
  <c r="AC174" i="27"/>
  <c r="AB174" i="27"/>
  <c r="AA174" i="27"/>
  <c r="Z174" i="27"/>
  <c r="Y174" i="27"/>
  <c r="X174" i="27"/>
  <c r="W174" i="27"/>
  <c r="V174" i="27"/>
  <c r="U174" i="27"/>
  <c r="T174" i="27"/>
  <c r="S174" i="27"/>
  <c r="R174" i="27"/>
  <c r="Q174" i="27"/>
  <c r="P174" i="27"/>
  <c r="O174" i="27"/>
  <c r="N174" i="27"/>
  <c r="M174" i="27"/>
  <c r="L174" i="27"/>
  <c r="K174" i="27"/>
  <c r="J174" i="27"/>
  <c r="I174" i="27"/>
  <c r="H174" i="27"/>
  <c r="G174" i="27"/>
  <c r="F174" i="27"/>
  <c r="E174" i="27"/>
  <c r="D174" i="27"/>
  <c r="C174" i="27"/>
  <c r="B174" i="27"/>
  <c r="AG173" i="27"/>
  <c r="E173" i="25" s="1"/>
  <c r="AG172" i="27"/>
  <c r="E172" i="25" s="1"/>
  <c r="AG171" i="27"/>
  <c r="E171" i="25" s="1"/>
  <c r="AG170" i="27"/>
  <c r="E170" i="25" s="1"/>
  <c r="AG169" i="27"/>
  <c r="E169" i="25" s="1"/>
  <c r="AG168" i="27"/>
  <c r="E168" i="25" s="1"/>
  <c r="AF167" i="27"/>
  <c r="AE167" i="27"/>
  <c r="AD167" i="27"/>
  <c r="AC167" i="27"/>
  <c r="AB167" i="27"/>
  <c r="AA167" i="27"/>
  <c r="Z167" i="27"/>
  <c r="Y167" i="27"/>
  <c r="X167" i="27"/>
  <c r="W167" i="27"/>
  <c r="V167" i="27"/>
  <c r="U167" i="27"/>
  <c r="T167" i="27"/>
  <c r="S167" i="27"/>
  <c r="R167" i="27"/>
  <c r="Q167" i="27"/>
  <c r="P167" i="27"/>
  <c r="O167" i="27"/>
  <c r="N167" i="27"/>
  <c r="M167" i="27"/>
  <c r="L167" i="27"/>
  <c r="K167" i="27"/>
  <c r="J167" i="27"/>
  <c r="I167" i="27"/>
  <c r="H167" i="27"/>
  <c r="G167" i="27"/>
  <c r="F167" i="27"/>
  <c r="E167" i="27"/>
  <c r="D167" i="27"/>
  <c r="C167" i="27"/>
  <c r="B167" i="27"/>
  <c r="AG166" i="27"/>
  <c r="E166" i="25" s="1"/>
  <c r="AG165" i="27"/>
  <c r="E165" i="25" s="1"/>
  <c r="AG164" i="27"/>
  <c r="E164" i="25" s="1"/>
  <c r="AG163" i="27"/>
  <c r="E163" i="25" s="1"/>
  <c r="AG162" i="27"/>
  <c r="E162" i="25" s="1"/>
  <c r="AG161" i="27"/>
  <c r="E161" i="25" s="1"/>
  <c r="AG160" i="27"/>
  <c r="E160" i="25" s="1"/>
  <c r="AG159" i="27"/>
  <c r="E159" i="25" s="1"/>
  <c r="AF158" i="27"/>
  <c r="AE158" i="27"/>
  <c r="AD158" i="27"/>
  <c r="AC158" i="27"/>
  <c r="AB158" i="27"/>
  <c r="AA158" i="27"/>
  <c r="Z158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AG157" i="27"/>
  <c r="E157" i="25" s="1"/>
  <c r="AG156" i="27"/>
  <c r="E156" i="25" s="1"/>
  <c r="AG155" i="27"/>
  <c r="E155" i="25" s="1"/>
  <c r="AG154" i="27"/>
  <c r="E154" i="25" s="1"/>
  <c r="AG153" i="27"/>
  <c r="E153" i="25" s="1"/>
  <c r="AG152" i="27"/>
  <c r="E152" i="25" s="1"/>
  <c r="AG151" i="27"/>
  <c r="E151" i="25" s="1"/>
  <c r="AG150" i="27"/>
  <c r="E150" i="25" s="1"/>
  <c r="AG149" i="27"/>
  <c r="E149" i="25" s="1"/>
  <c r="AF148" i="27"/>
  <c r="AE148" i="27"/>
  <c r="AE146" i="27" s="1"/>
  <c r="AE144" i="27" s="1"/>
  <c r="AD148" i="27"/>
  <c r="AD146" i="27" s="1"/>
  <c r="AC148" i="27"/>
  <c r="AB148" i="27"/>
  <c r="AA148" i="27"/>
  <c r="AA146" i="27" s="1"/>
  <c r="AA144" i="27" s="1"/>
  <c r="Z148" i="27"/>
  <c r="Z146" i="27" s="1"/>
  <c r="Z144" i="27" s="1"/>
  <c r="Y148" i="27"/>
  <c r="Y146" i="27" s="1"/>
  <c r="Y144" i="27" s="1"/>
  <c r="X148" i="27"/>
  <c r="W148" i="27"/>
  <c r="W146" i="27" s="1"/>
  <c r="W144" i="27" s="1"/>
  <c r="V148" i="27"/>
  <c r="V146" i="27" s="1"/>
  <c r="V144" i="27" s="1"/>
  <c r="U148" i="27"/>
  <c r="T148" i="27"/>
  <c r="S148" i="27"/>
  <c r="S146" i="27" s="1"/>
  <c r="S144" i="27" s="1"/>
  <c r="R148" i="27"/>
  <c r="R146" i="27" s="1"/>
  <c r="R144" i="27" s="1"/>
  <c r="Q148" i="27"/>
  <c r="Q146" i="27" s="1"/>
  <c r="P148" i="27"/>
  <c r="O148" i="27"/>
  <c r="O146" i="27" s="1"/>
  <c r="N148" i="27"/>
  <c r="N146" i="27" s="1"/>
  <c r="N144" i="27" s="1"/>
  <c r="M148" i="27"/>
  <c r="L148" i="27"/>
  <c r="K148" i="27"/>
  <c r="K146" i="27" s="1"/>
  <c r="K144" i="27" s="1"/>
  <c r="J148" i="27"/>
  <c r="J146" i="27" s="1"/>
  <c r="I148" i="27"/>
  <c r="I146" i="27" s="1"/>
  <c r="H148" i="27"/>
  <c r="G148" i="27"/>
  <c r="G146" i="27" s="1"/>
  <c r="F148" i="27"/>
  <c r="F146" i="27" s="1"/>
  <c r="F144" i="27" s="1"/>
  <c r="E148" i="27"/>
  <c r="D148" i="27"/>
  <c r="C148" i="27"/>
  <c r="C146" i="27" s="1"/>
  <c r="B148" i="27"/>
  <c r="B146" i="27" s="1"/>
  <c r="B144" i="27" s="1"/>
  <c r="AE147" i="27"/>
  <c r="AD147" i="27"/>
  <c r="AC147" i="27"/>
  <c r="AB147" i="27"/>
  <c r="AA147" i="27"/>
  <c r="Z147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AF146" i="27"/>
  <c r="AF144" i="27" s="1"/>
  <c r="AC146" i="27"/>
  <c r="AC144" i="27" s="1"/>
  <c r="AB146" i="27"/>
  <c r="X146" i="27"/>
  <c r="U146" i="27"/>
  <c r="T146" i="27"/>
  <c r="P146" i="27"/>
  <c r="P144" i="27" s="1"/>
  <c r="M146" i="27"/>
  <c r="M144" i="27" s="1"/>
  <c r="L146" i="27"/>
  <c r="H146" i="27"/>
  <c r="E146" i="27"/>
  <c r="D146" i="27"/>
  <c r="AF145" i="27"/>
  <c r="AE145" i="27"/>
  <c r="AD145" i="27"/>
  <c r="AC145" i="27"/>
  <c r="AB145" i="27"/>
  <c r="AA145" i="27"/>
  <c r="Z145" i="27"/>
  <c r="Y145" i="27"/>
  <c r="X145" i="27"/>
  <c r="W145" i="27"/>
  <c r="V145" i="27"/>
  <c r="U145" i="27"/>
  <c r="T145" i="27"/>
  <c r="S145" i="27"/>
  <c r="R145" i="27"/>
  <c r="Q145" i="27"/>
  <c r="P145" i="27"/>
  <c r="O145" i="27"/>
  <c r="N145" i="27"/>
  <c r="M145" i="27"/>
  <c r="L145" i="27"/>
  <c r="K145" i="27"/>
  <c r="J145" i="27"/>
  <c r="I145" i="27"/>
  <c r="H145" i="27"/>
  <c r="G145" i="27"/>
  <c r="F145" i="27"/>
  <c r="E145" i="27"/>
  <c r="D145" i="27"/>
  <c r="C145" i="27"/>
  <c r="B145" i="27"/>
  <c r="AG141" i="27"/>
  <c r="E141" i="25" s="1"/>
  <c r="AG140" i="27"/>
  <c r="E140" i="25" s="1"/>
  <c r="AG138" i="27"/>
  <c r="E138" i="25" s="1"/>
  <c r="AG137" i="27"/>
  <c r="E137" i="25" s="1"/>
  <c r="AG136" i="27"/>
  <c r="E136" i="25" s="1"/>
  <c r="AG135" i="27"/>
  <c r="E135" i="25" s="1"/>
  <c r="AG133" i="27"/>
  <c r="E133" i="25" s="1"/>
  <c r="AG132" i="27"/>
  <c r="E132" i="25" s="1"/>
  <c r="AG131" i="27"/>
  <c r="E131" i="25" s="1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AG129" i="27"/>
  <c r="E129" i="25" s="1"/>
  <c r="AG128" i="27"/>
  <c r="E128" i="25" s="1"/>
  <c r="AG127" i="27"/>
  <c r="E127" i="25" s="1"/>
  <c r="AG126" i="27"/>
  <c r="E126" i="25" s="1"/>
  <c r="AG125" i="27"/>
  <c r="E125" i="25" s="1"/>
  <c r="AG124" i="27"/>
  <c r="E124" i="25" s="1"/>
  <c r="AG123" i="27"/>
  <c r="E123" i="25" s="1"/>
  <c r="AG122" i="27"/>
  <c r="E122" i="25" s="1"/>
  <c r="AG121" i="27"/>
  <c r="E121" i="25" s="1"/>
  <c r="AG120" i="27"/>
  <c r="E120" i="25" s="1"/>
  <c r="AG119" i="27"/>
  <c r="E119" i="25" s="1"/>
  <c r="AG118" i="27"/>
  <c r="E118" i="25" s="1"/>
  <c r="AG117" i="27"/>
  <c r="E117" i="25" s="1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AG115" i="27"/>
  <c r="AG114" i="27"/>
  <c r="E114" i="25" s="1"/>
  <c r="AG113" i="27"/>
  <c r="E113" i="25" s="1"/>
  <c r="AG112" i="27"/>
  <c r="E112" i="25" s="1"/>
  <c r="AG111" i="27"/>
  <c r="E111" i="25" s="1"/>
  <c r="AG110" i="27"/>
  <c r="E110" i="25" s="1"/>
  <c r="AG109" i="27"/>
  <c r="E109" i="25" s="1"/>
  <c r="AG108" i="27"/>
  <c r="E108" i="25" s="1"/>
  <c r="AG107" i="27"/>
  <c r="E107" i="25" s="1"/>
  <c r="AG106" i="27"/>
  <c r="E106" i="25" s="1"/>
  <c r="AG105" i="27"/>
  <c r="E105" i="25" s="1"/>
  <c r="AG104" i="27"/>
  <c r="E104" i="25" s="1"/>
  <c r="AG103" i="27"/>
  <c r="E103" i="25" s="1"/>
  <c r="AG102" i="27"/>
  <c r="E102" i="25" s="1"/>
  <c r="AG101" i="27"/>
  <c r="E101" i="25" s="1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AG99" i="27"/>
  <c r="E99" i="25" s="1"/>
  <c r="AG98" i="27"/>
  <c r="E98" i="25" s="1"/>
  <c r="AG97" i="27"/>
  <c r="E97" i="25" s="1"/>
  <c r="AG96" i="27"/>
  <c r="E96" i="25" s="1"/>
  <c r="AG95" i="27"/>
  <c r="E95" i="25" s="1"/>
  <c r="AF94" i="27"/>
  <c r="AF93" i="27" s="1"/>
  <c r="AE94" i="27"/>
  <c r="AD94" i="27"/>
  <c r="AD93" i="27" s="1"/>
  <c r="AC94" i="27"/>
  <c r="AC93" i="27" s="1"/>
  <c r="AB94" i="27"/>
  <c r="AB93" i="27" s="1"/>
  <c r="AA94" i="27"/>
  <c r="Z94" i="27"/>
  <c r="Z93" i="27" s="1"/>
  <c r="Y94" i="27"/>
  <c r="Y93" i="27" s="1"/>
  <c r="X94" i="27"/>
  <c r="X93" i="27" s="1"/>
  <c r="W94" i="27"/>
  <c r="V94" i="27"/>
  <c r="V93" i="27" s="1"/>
  <c r="U94" i="27"/>
  <c r="U93" i="27" s="1"/>
  <c r="T94" i="27"/>
  <c r="T93" i="27" s="1"/>
  <c r="S94" i="27"/>
  <c r="R94" i="27"/>
  <c r="R93" i="27" s="1"/>
  <c r="Q94" i="27"/>
  <c r="Q93" i="27" s="1"/>
  <c r="P94" i="27"/>
  <c r="P93" i="27" s="1"/>
  <c r="O94" i="27"/>
  <c r="N94" i="27"/>
  <c r="M94" i="27"/>
  <c r="M93" i="27" s="1"/>
  <c r="L94" i="27"/>
  <c r="L93" i="27" s="1"/>
  <c r="K94" i="27"/>
  <c r="J94" i="27"/>
  <c r="J93" i="27" s="1"/>
  <c r="I94" i="27"/>
  <c r="I93" i="27" s="1"/>
  <c r="H94" i="27"/>
  <c r="H93" i="27" s="1"/>
  <c r="G94" i="27"/>
  <c r="F94" i="27"/>
  <c r="F93" i="27" s="1"/>
  <c r="E94" i="27"/>
  <c r="E93" i="27" s="1"/>
  <c r="D94" i="27"/>
  <c r="D93" i="27" s="1"/>
  <c r="C94" i="27"/>
  <c r="B94" i="27"/>
  <c r="B93" i="27" s="1"/>
  <c r="AG92" i="27"/>
  <c r="E92" i="25" s="1"/>
  <c r="AG91" i="27"/>
  <c r="E91" i="25" s="1"/>
  <c r="AG90" i="27"/>
  <c r="E90" i="25" s="1"/>
  <c r="AG89" i="27"/>
  <c r="E89" i="25" s="1"/>
  <c r="AG88" i="27"/>
  <c r="E88" i="25" s="1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AG86" i="27"/>
  <c r="E86" i="25" s="1"/>
  <c r="AG85" i="27"/>
  <c r="E85" i="25" s="1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V83" i="27"/>
  <c r="S83" i="27"/>
  <c r="S81" i="27" s="1"/>
  <c r="G83" i="27"/>
  <c r="G81" i="27" s="1"/>
  <c r="F83" i="27"/>
  <c r="AF82" i="27"/>
  <c r="AF83" i="27" s="1"/>
  <c r="AF81" i="27" s="1"/>
  <c r="AE82" i="27"/>
  <c r="AE83" i="27" s="1"/>
  <c r="AE81" i="27" s="1"/>
  <c r="AD82" i="27"/>
  <c r="AC83" i="27"/>
  <c r="AC81" i="27" s="1"/>
  <c r="AB83" i="27"/>
  <c r="AA82" i="27"/>
  <c r="AA83" i="27" s="1"/>
  <c r="Z82" i="27"/>
  <c r="Y82" i="27"/>
  <c r="Y83" i="27" s="1"/>
  <c r="Y81" i="27" s="1"/>
  <c r="X82" i="27"/>
  <c r="X83" i="27" s="1"/>
  <c r="W82" i="27"/>
  <c r="W83" i="27" s="1"/>
  <c r="W81" i="27" s="1"/>
  <c r="U83" i="27"/>
  <c r="T83" i="27"/>
  <c r="S82" i="27"/>
  <c r="R82" i="27"/>
  <c r="R83" i="27" s="1"/>
  <c r="Q82" i="27"/>
  <c r="Q83" i="27" s="1"/>
  <c r="Q81" i="27" s="1"/>
  <c r="P82" i="27"/>
  <c r="P83" i="27" s="1"/>
  <c r="P81" i="27" s="1"/>
  <c r="O83" i="27"/>
  <c r="O81" i="27" s="1"/>
  <c r="M82" i="27"/>
  <c r="M83" i="27" s="1"/>
  <c r="M81" i="27" s="1"/>
  <c r="L82" i="27"/>
  <c r="L83" i="27" s="1"/>
  <c r="K82" i="27"/>
  <c r="K83" i="27" s="1"/>
  <c r="K81" i="27" s="1"/>
  <c r="J82" i="27"/>
  <c r="I82" i="27"/>
  <c r="I83" i="27" s="1"/>
  <c r="I81" i="27" s="1"/>
  <c r="H83" i="27"/>
  <c r="F82" i="27"/>
  <c r="E82" i="27"/>
  <c r="E83" i="27" s="1"/>
  <c r="E81" i="27" s="1"/>
  <c r="D82" i="27"/>
  <c r="D83" i="27" s="1"/>
  <c r="C82" i="27"/>
  <c r="C83" i="27" s="1"/>
  <c r="C81" i="27" s="1"/>
  <c r="B82" i="27"/>
  <c r="B83" i="27" s="1"/>
  <c r="U81" i="27"/>
  <c r="AF80" i="27"/>
  <c r="AF79" i="27" s="1"/>
  <c r="AF78" i="27" s="1"/>
  <c r="AC80" i="27"/>
  <c r="AB80" i="27"/>
  <c r="AA80" i="27"/>
  <c r="AA79" i="27" s="1"/>
  <c r="AA78" i="27" s="1"/>
  <c r="Y80" i="27"/>
  <c r="Y79" i="27" s="1"/>
  <c r="Y78" i="27" s="1"/>
  <c r="V80" i="27"/>
  <c r="V79" i="27" s="1"/>
  <c r="V78" i="27" s="1"/>
  <c r="U80" i="27"/>
  <c r="T80" i="27"/>
  <c r="T79" i="27" s="1"/>
  <c r="T78" i="27" s="1"/>
  <c r="S80" i="27"/>
  <c r="S79" i="27" s="1"/>
  <c r="S78" i="27" s="1"/>
  <c r="R80" i="27"/>
  <c r="O80" i="27"/>
  <c r="O79" i="27" s="1"/>
  <c r="O78" i="27" s="1"/>
  <c r="N80" i="27"/>
  <c r="N79" i="27" s="1"/>
  <c r="N78" i="27" s="1"/>
  <c r="M80" i="27"/>
  <c r="M79" i="27" s="1"/>
  <c r="M78" i="27" s="1"/>
  <c r="H80" i="27"/>
  <c r="H79" i="27" s="1"/>
  <c r="H78" i="27" s="1"/>
  <c r="G80" i="27"/>
  <c r="G79" i="27" s="1"/>
  <c r="G78" i="27" s="1"/>
  <c r="F80" i="27"/>
  <c r="F79" i="27" s="1"/>
  <c r="AE79" i="27"/>
  <c r="AE78" i="27" s="1"/>
  <c r="AD79" i="27"/>
  <c r="AD78" i="27" s="1"/>
  <c r="AC79" i="27"/>
  <c r="AC78" i="27" s="1"/>
  <c r="AB79" i="27"/>
  <c r="AB78" i="27" s="1"/>
  <c r="Z79" i="27"/>
  <c r="Z78" i="27" s="1"/>
  <c r="X79" i="27"/>
  <c r="X78" i="27" s="1"/>
  <c r="W79" i="27"/>
  <c r="W78" i="27" s="1"/>
  <c r="U79" i="27"/>
  <c r="U78" i="27" s="1"/>
  <c r="R79" i="27"/>
  <c r="R78" i="27" s="1"/>
  <c r="Q79" i="27"/>
  <c r="Q78" i="27" s="1"/>
  <c r="P79" i="27"/>
  <c r="P78" i="27" s="1"/>
  <c r="L79" i="27"/>
  <c r="L78" i="27" s="1"/>
  <c r="K79" i="27"/>
  <c r="K78" i="27" s="1"/>
  <c r="J79" i="27"/>
  <c r="J78" i="27" s="1"/>
  <c r="I79" i="27"/>
  <c r="I78" i="27" s="1"/>
  <c r="E79" i="27"/>
  <c r="E78" i="27" s="1"/>
  <c r="D79" i="27"/>
  <c r="D78" i="27" s="1"/>
  <c r="C79" i="27"/>
  <c r="C78" i="27" s="1"/>
  <c r="B79" i="27"/>
  <c r="B78" i="27" s="1"/>
  <c r="AG77" i="27"/>
  <c r="E77" i="25" s="1"/>
  <c r="AG76" i="27"/>
  <c r="E76" i="25" s="1"/>
  <c r="AG75" i="27"/>
  <c r="E75" i="25" s="1"/>
  <c r="AG74" i="27"/>
  <c r="E74" i="25" s="1"/>
  <c r="AG73" i="27"/>
  <c r="E73" i="25" s="1"/>
  <c r="AG72" i="27"/>
  <c r="E72" i="25" s="1"/>
  <c r="AG71" i="27"/>
  <c r="E71" i="25" s="1"/>
  <c r="AG70" i="27"/>
  <c r="E70" i="25" s="1"/>
  <c r="AG69" i="27"/>
  <c r="E69" i="25" s="1"/>
  <c r="AG68" i="27"/>
  <c r="E68" i="25" s="1"/>
  <c r="AG67" i="27"/>
  <c r="E67" i="25" s="1"/>
  <c r="AG66" i="27"/>
  <c r="E66" i="25" s="1"/>
  <c r="AG65" i="27"/>
  <c r="E65" i="25" s="1"/>
  <c r="AG64" i="27"/>
  <c r="E64" i="25" s="1"/>
  <c r="AG63" i="27"/>
  <c r="E63" i="25" s="1"/>
  <c r="AG62" i="27"/>
  <c r="E62" i="25" s="1"/>
  <c r="AG61" i="27"/>
  <c r="E61" i="25" s="1"/>
  <c r="AG60" i="27"/>
  <c r="E60" i="25" s="1"/>
  <c r="AG59" i="27"/>
  <c r="E59" i="25" s="1"/>
  <c r="AG58" i="27"/>
  <c r="E58" i="25" s="1"/>
  <c r="AG57" i="27"/>
  <c r="E57" i="25" s="1"/>
  <c r="AG56" i="27"/>
  <c r="E56" i="25" s="1"/>
  <c r="AG55" i="27"/>
  <c r="E55" i="25" s="1"/>
  <c r="AG54" i="27"/>
  <c r="E54" i="25" s="1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AG52" i="27"/>
  <c r="E52" i="25" s="1"/>
  <c r="AG51" i="27"/>
  <c r="E51" i="25" s="1"/>
  <c r="AG50" i="27"/>
  <c r="E50" i="25" s="1"/>
  <c r="AG49" i="27"/>
  <c r="E49" i="25" s="1"/>
  <c r="AG48" i="27"/>
  <c r="E48" i="25" s="1"/>
  <c r="AG47" i="27"/>
  <c r="E47" i="25" s="1"/>
  <c r="AG46" i="27"/>
  <c r="E46" i="25" s="1"/>
  <c r="AG45" i="27"/>
  <c r="E45" i="25" s="1"/>
  <c r="AG44" i="27"/>
  <c r="E44" i="25" s="1"/>
  <c r="AG43" i="27"/>
  <c r="E43" i="25" s="1"/>
  <c r="AG42" i="27"/>
  <c r="E42" i="25" s="1"/>
  <c r="AG41" i="27"/>
  <c r="E41" i="25" s="1"/>
  <c r="AG40" i="27"/>
  <c r="E40" i="25" s="1"/>
  <c r="AG39" i="27"/>
  <c r="E39" i="25" s="1"/>
  <c r="AG38" i="27"/>
  <c r="E38" i="25" s="1"/>
  <c r="AG37" i="27"/>
  <c r="E37" i="25" s="1"/>
  <c r="AG36" i="27"/>
  <c r="E36" i="25" s="1"/>
  <c r="AG35" i="27"/>
  <c r="E35" i="25" s="1"/>
  <c r="AG34" i="27"/>
  <c r="E34" i="25" s="1"/>
  <c r="AG33" i="27"/>
  <c r="E33" i="25" s="1"/>
  <c r="AG32" i="27"/>
  <c r="E32" i="25" s="1"/>
  <c r="AG31" i="27"/>
  <c r="E31" i="25" s="1"/>
  <c r="AG30" i="27"/>
  <c r="E30" i="25" s="1"/>
  <c r="AG29" i="27"/>
  <c r="E29" i="25" s="1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AG27" i="27"/>
  <c r="E27" i="25" s="1"/>
  <c r="AG26" i="27"/>
  <c r="E26" i="25" s="1"/>
  <c r="AG25" i="27"/>
  <c r="E25" i="25" s="1"/>
  <c r="AG24" i="27"/>
  <c r="E24" i="25" s="1"/>
  <c r="AG23" i="27"/>
  <c r="E23" i="25" s="1"/>
  <c r="AG22" i="27"/>
  <c r="E22" i="25" s="1"/>
  <c r="AG21" i="27"/>
  <c r="E21" i="25" s="1"/>
  <c r="AG20" i="27"/>
  <c r="E20" i="25" s="1"/>
  <c r="AG19" i="27"/>
  <c r="E19" i="25" s="1"/>
  <c r="AG18" i="27"/>
  <c r="E18" i="25" s="1"/>
  <c r="AG17" i="27"/>
  <c r="E17" i="25" s="1"/>
  <c r="AG16" i="27"/>
  <c r="E16" i="25" s="1"/>
  <c r="AG15" i="27"/>
  <c r="E15" i="25" s="1"/>
  <c r="AG14" i="27"/>
  <c r="E14" i="25" s="1"/>
  <c r="AG13" i="27"/>
  <c r="E13" i="25" s="1"/>
  <c r="AG12" i="27"/>
  <c r="E12" i="25" s="1"/>
  <c r="AG11" i="27"/>
  <c r="E11" i="25" s="1"/>
  <c r="AG10" i="27"/>
  <c r="E10" i="25" s="1"/>
  <c r="AG9" i="27"/>
  <c r="E9" i="25" s="1"/>
  <c r="AG8" i="27"/>
  <c r="E8" i="25" s="1"/>
  <c r="AG7" i="27"/>
  <c r="E7" i="25" s="1"/>
  <c r="AG6" i="27"/>
  <c r="E6" i="25" s="1"/>
  <c r="AG5" i="27"/>
  <c r="E5" i="25" s="1"/>
  <c r="AG4" i="27"/>
  <c r="E4" i="25" s="1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C2" i="27"/>
  <c r="C2" i="27"/>
  <c r="D2" i="27" s="1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R2" i="27" s="1"/>
  <c r="S2" i="27" s="1"/>
  <c r="T2" i="27" s="1"/>
  <c r="U2" i="27" s="1"/>
  <c r="V2" i="27" s="1"/>
  <c r="W2" i="27" s="1"/>
  <c r="X2" i="27" s="1"/>
  <c r="Y2" i="27" s="1"/>
  <c r="Z2" i="27" s="1"/>
  <c r="AA2" i="27" s="1"/>
  <c r="AG139" i="27" l="1"/>
  <c r="E139" i="25" s="1"/>
  <c r="AA81" i="27"/>
  <c r="AG134" i="27"/>
  <c r="E134" i="25" s="1"/>
  <c r="AE93" i="27"/>
  <c r="AD144" i="27"/>
  <c r="AA93" i="27"/>
  <c r="X144" i="27"/>
  <c r="W93" i="27"/>
  <c r="U144" i="27"/>
  <c r="S93" i="27"/>
  <c r="Q144" i="27"/>
  <c r="O144" i="27"/>
  <c r="O93" i="27"/>
  <c r="N93" i="27"/>
  <c r="K93" i="27"/>
  <c r="J144" i="27"/>
  <c r="I144" i="27"/>
  <c r="H144" i="27"/>
  <c r="G144" i="27"/>
  <c r="G93" i="27"/>
  <c r="E144" i="27"/>
  <c r="AG179" i="27"/>
  <c r="E179" i="25" s="1"/>
  <c r="AG174" i="27"/>
  <c r="E174" i="25" s="1"/>
  <c r="AG145" i="27"/>
  <c r="E145" i="25" s="1"/>
  <c r="AG147" i="27"/>
  <c r="E147" i="25" s="1"/>
  <c r="AG158" i="27"/>
  <c r="E158" i="25" s="1"/>
  <c r="C144" i="27"/>
  <c r="AG167" i="27"/>
  <c r="E167" i="25" s="1"/>
  <c r="C130" i="27"/>
  <c r="AG84" i="27"/>
  <c r="E84" i="25" s="1"/>
  <c r="AG3" i="27"/>
  <c r="E3" i="25" s="1"/>
  <c r="AG204" i="27"/>
  <c r="E205" i="25" s="1"/>
  <c r="AG148" i="27"/>
  <c r="E148" i="25" s="1"/>
  <c r="B130" i="27"/>
  <c r="AG142" i="27"/>
  <c r="E142" i="25" s="1"/>
  <c r="AG116" i="27"/>
  <c r="E116" i="25" s="1"/>
  <c r="AG100" i="27"/>
  <c r="E100" i="25" s="1"/>
  <c r="AG87" i="27"/>
  <c r="E87" i="25" s="1"/>
  <c r="AG53" i="27"/>
  <c r="E53" i="25" s="1"/>
  <c r="AG28" i="27"/>
  <c r="E28" i="25" s="1"/>
  <c r="F78" i="27"/>
  <c r="AG78" i="27" s="1"/>
  <c r="E78" i="25" s="1"/>
  <c r="AG79" i="27"/>
  <c r="E79" i="25" s="1"/>
  <c r="AG80" i="27"/>
  <c r="E80" i="25" s="1"/>
  <c r="L81" i="27"/>
  <c r="AB81" i="27"/>
  <c r="C93" i="27"/>
  <c r="AG94" i="27"/>
  <c r="E94" i="25" s="1"/>
  <c r="H81" i="27"/>
  <c r="X81" i="27"/>
  <c r="AG82" i="27"/>
  <c r="E82" i="25" s="1"/>
  <c r="B81" i="27"/>
  <c r="F81" i="27"/>
  <c r="R81" i="27"/>
  <c r="V81" i="27"/>
  <c r="N83" i="27"/>
  <c r="N81" i="27" s="1"/>
  <c r="AD83" i="27"/>
  <c r="AD81" i="27" s="1"/>
  <c r="D81" i="27"/>
  <c r="T81" i="27"/>
  <c r="J83" i="27"/>
  <c r="Z83" i="27"/>
  <c r="Z81" i="27" s="1"/>
  <c r="D144" i="27"/>
  <c r="L144" i="27"/>
  <c r="T144" i="27"/>
  <c r="AB144" i="27"/>
  <c r="AF143" i="24"/>
  <c r="AF142" i="24"/>
  <c r="AF139" i="24"/>
  <c r="AF134" i="24"/>
  <c r="AF129" i="24"/>
  <c r="AE143" i="24"/>
  <c r="AE142" i="24"/>
  <c r="AE139" i="24"/>
  <c r="AE134" i="24"/>
  <c r="AE129" i="24"/>
  <c r="AD143" i="24"/>
  <c r="AD134" i="24"/>
  <c r="AD142" i="24"/>
  <c r="AD139" i="24"/>
  <c r="AD137" i="24"/>
  <c r="AD129" i="24"/>
  <c r="AG83" i="27" l="1"/>
  <c r="E83" i="25" s="1"/>
  <c r="AH87" i="27"/>
  <c r="AG93" i="27"/>
  <c r="AG146" i="27"/>
  <c r="E146" i="25" s="1"/>
  <c r="AG130" i="27"/>
  <c r="E130" i="25" s="1"/>
  <c r="AG144" i="27"/>
  <c r="E144" i="25" s="1"/>
  <c r="AH84" i="27"/>
  <c r="J81" i="27"/>
  <c r="AG81" i="27" s="1"/>
  <c r="AC143" i="24"/>
  <c r="AC142" i="24"/>
  <c r="AC139" i="24"/>
  <c r="AC137" i="24"/>
  <c r="AC129" i="24"/>
  <c r="AH81" i="27" l="1"/>
  <c r="E81" i="25"/>
  <c r="AH204" i="27"/>
  <c r="E93" i="25"/>
  <c r="AH93" i="27"/>
  <c r="AH144" i="27"/>
  <c r="AH130" i="27"/>
  <c r="AG192" i="22"/>
  <c r="AB173" i="24" l="1"/>
  <c r="AB143" i="24"/>
  <c r="AB142" i="24"/>
  <c r="AB139" i="24"/>
  <c r="AB129" i="24"/>
  <c r="AA143" i="24" l="1"/>
  <c r="AA142" i="24"/>
  <c r="AA137" i="24"/>
  <c r="AA129" i="24"/>
  <c r="AG203" i="23" l="1"/>
  <c r="C204" i="25" s="1"/>
  <c r="AG202" i="23"/>
  <c r="C203" i="25" s="1"/>
  <c r="AG201" i="23"/>
  <c r="C202" i="25" s="1"/>
  <c r="AG200" i="23"/>
  <c r="C201" i="25" s="1"/>
  <c r="AG199" i="23"/>
  <c r="C200" i="25" s="1"/>
  <c r="AG198" i="23"/>
  <c r="C199" i="25" s="1"/>
  <c r="AG197" i="23"/>
  <c r="C198" i="25" s="1"/>
  <c r="AG196" i="23"/>
  <c r="C197" i="25" s="1"/>
  <c r="AG195" i="23"/>
  <c r="AG194" i="23"/>
  <c r="C195" i="25" s="1"/>
  <c r="AG193" i="23"/>
  <c r="AG192" i="23"/>
  <c r="C193" i="25" s="1"/>
  <c r="AG191" i="23"/>
  <c r="C192" i="25" s="1"/>
  <c r="AG190" i="23"/>
  <c r="C191" i="25" s="1"/>
  <c r="AG189" i="23"/>
  <c r="C190" i="25" s="1"/>
  <c r="AG188" i="23"/>
  <c r="C189" i="25" s="1"/>
  <c r="AG187" i="23"/>
  <c r="C188" i="25" s="1"/>
  <c r="AG185" i="23"/>
  <c r="C185" i="25" s="1"/>
  <c r="AG203" i="21"/>
  <c r="B204" i="25" s="1"/>
  <c r="AG202" i="21"/>
  <c r="AG201" i="21"/>
  <c r="B202" i="25" s="1"/>
  <c r="AG200" i="21"/>
  <c r="B201" i="25" s="1"/>
  <c r="AG199" i="21"/>
  <c r="AG198" i="21"/>
  <c r="B199" i="25" s="1"/>
  <c r="AG197" i="21"/>
  <c r="B198" i="25" s="1"/>
  <c r="AG196" i="21"/>
  <c r="B197" i="25" s="1"/>
  <c r="AG195" i="21"/>
  <c r="AG194" i="21"/>
  <c r="AG193" i="21"/>
  <c r="AG192" i="21"/>
  <c r="B193" i="25" s="1"/>
  <c r="AG191" i="21"/>
  <c r="AG190" i="21"/>
  <c r="AG189" i="21"/>
  <c r="B190" i="25" s="1"/>
  <c r="Z143" i="24"/>
  <c r="Z142" i="24"/>
  <c r="Z139" i="24"/>
  <c r="Z134" i="24"/>
  <c r="Z137" i="24"/>
  <c r="Z129" i="24"/>
  <c r="Y143" i="24" l="1"/>
  <c r="Y142" i="24"/>
  <c r="Y139" i="24"/>
  <c r="Y137" i="24"/>
  <c r="Y129" i="24"/>
  <c r="X142" i="24" l="1"/>
  <c r="X139" i="24"/>
  <c r="X137" i="24"/>
  <c r="X129" i="24"/>
  <c r="W143" i="24"/>
  <c r="W142" i="24"/>
  <c r="W137" i="24"/>
  <c r="W129" i="24"/>
  <c r="V143" i="24" l="1"/>
  <c r="V137" i="24"/>
  <c r="V129" i="24"/>
  <c r="U143" i="24" l="1"/>
  <c r="U142" i="24"/>
  <c r="U134" i="24"/>
  <c r="U137" i="24"/>
  <c r="U129" i="24"/>
  <c r="T143" i="24" l="1"/>
  <c r="T134" i="24"/>
  <c r="T142" i="24"/>
  <c r="T137" i="24"/>
  <c r="T129" i="24"/>
  <c r="S143" i="24" l="1"/>
  <c r="S142" i="24"/>
  <c r="S137" i="24"/>
  <c r="S129" i="24"/>
  <c r="R143" i="24" l="1"/>
  <c r="R142" i="24"/>
  <c r="R139" i="24"/>
  <c r="R134" i="24"/>
  <c r="R129" i="24"/>
  <c r="Q143" i="24"/>
  <c r="Q142" i="24"/>
  <c r="Q137" i="24"/>
  <c r="Q129" i="24"/>
  <c r="AG193" i="22" l="1"/>
  <c r="AG193" i="24"/>
  <c r="P143" i="24"/>
  <c r="P142" i="24"/>
  <c r="P139" i="24"/>
  <c r="P137" i="24"/>
  <c r="P129" i="24"/>
  <c r="AG195" i="22"/>
  <c r="AG195" i="24"/>
  <c r="O143" i="24"/>
  <c r="O134" i="24"/>
  <c r="O142" i="24"/>
  <c r="O139" i="24"/>
  <c r="O137" i="24"/>
  <c r="O129" i="24"/>
  <c r="D194" i="25" l="1"/>
  <c r="N194" i="25" s="1"/>
  <c r="D196" i="25"/>
  <c r="N196" i="25" s="1"/>
  <c r="N143" i="24"/>
  <c r="N142" i="24"/>
  <c r="N139" i="24"/>
  <c r="N137" i="24"/>
  <c r="N129" i="24"/>
  <c r="M143" i="24"/>
  <c r="M134" i="24"/>
  <c r="M142" i="24"/>
  <c r="M129" i="24"/>
  <c r="N178" i="25" l="1"/>
  <c r="N177" i="25"/>
  <c r="N128" i="25"/>
  <c r="N127" i="25"/>
  <c r="N126" i="25"/>
  <c r="N125" i="25"/>
  <c r="N124" i="25"/>
  <c r="N123" i="25"/>
  <c r="N122" i="25"/>
  <c r="N121" i="25"/>
  <c r="N120" i="25"/>
  <c r="N119" i="25"/>
  <c r="N118" i="25"/>
  <c r="N115" i="25"/>
  <c r="L143" i="24"/>
  <c r="L142" i="24"/>
  <c r="L129" i="24"/>
  <c r="K143" i="24" l="1"/>
  <c r="K142" i="24"/>
  <c r="K137" i="24"/>
  <c r="K129" i="24"/>
  <c r="J143" i="24"/>
  <c r="J134" i="24"/>
  <c r="J142" i="24"/>
  <c r="J139" i="24"/>
  <c r="J129" i="24"/>
  <c r="I143" i="24"/>
  <c r="I142" i="24"/>
  <c r="I134" i="24"/>
  <c r="I137" i="24"/>
  <c r="I129" i="24"/>
  <c r="H180" i="24"/>
  <c r="H143" i="24"/>
  <c r="H142" i="24"/>
  <c r="H134" i="24"/>
  <c r="H129" i="24"/>
  <c r="G143" i="24"/>
  <c r="G142" i="24"/>
  <c r="G139" i="24"/>
  <c r="G137" i="24"/>
  <c r="G129" i="24"/>
  <c r="F142" i="24"/>
  <c r="F134" i="24"/>
  <c r="F129" i="24"/>
  <c r="E204" i="24" l="1"/>
  <c r="E143" i="24"/>
  <c r="E134" i="24"/>
  <c r="E130" i="24" s="1"/>
  <c r="E142" i="24"/>
  <c r="E137" i="24"/>
  <c r="E129" i="24"/>
  <c r="D204" i="24"/>
  <c r="D143" i="24"/>
  <c r="D142" i="24"/>
  <c r="D139" i="24"/>
  <c r="AG139" i="24" s="1"/>
  <c r="D139" i="25" s="1"/>
  <c r="D137" i="24"/>
  <c r="D130" i="24" s="1"/>
  <c r="D129" i="24"/>
  <c r="C173" i="24"/>
  <c r="C143" i="24"/>
  <c r="AG143" i="24" s="1"/>
  <c r="D143" i="25" s="1"/>
  <c r="C142" i="24"/>
  <c r="C139" i="24"/>
  <c r="C134" i="24"/>
  <c r="C129" i="24"/>
  <c r="C116" i="24" s="1"/>
  <c r="B204" i="24"/>
  <c r="B143" i="24"/>
  <c r="B142" i="24"/>
  <c r="B134" i="24"/>
  <c r="B130" i="24" s="1"/>
  <c r="B137" i="24"/>
  <c r="B129" i="24"/>
  <c r="B116" i="24" s="1"/>
  <c r="AG209" i="24"/>
  <c r="D210" i="25" s="1"/>
  <c r="AG206" i="24"/>
  <c r="D207" i="25" s="1"/>
  <c r="AG205" i="24"/>
  <c r="D206" i="25" s="1"/>
  <c r="AF204" i="24"/>
  <c r="AE204" i="24"/>
  <c r="AD204" i="24"/>
  <c r="AC204" i="24"/>
  <c r="AB204" i="24"/>
  <c r="AA204" i="24"/>
  <c r="Z204" i="24"/>
  <c r="Y204" i="24"/>
  <c r="X204" i="24"/>
  <c r="W204" i="24"/>
  <c r="V204" i="24"/>
  <c r="U204" i="24"/>
  <c r="T204" i="24"/>
  <c r="S204" i="24"/>
  <c r="R204" i="24"/>
  <c r="Q204" i="24"/>
  <c r="P204" i="24"/>
  <c r="O204" i="24"/>
  <c r="N204" i="24"/>
  <c r="M204" i="24"/>
  <c r="L204" i="24"/>
  <c r="K204" i="24"/>
  <c r="J204" i="24"/>
  <c r="I204" i="24"/>
  <c r="H204" i="24"/>
  <c r="G204" i="24"/>
  <c r="F204" i="24"/>
  <c r="AG203" i="24"/>
  <c r="D204" i="25" s="1"/>
  <c r="AG202" i="24"/>
  <c r="D203" i="25" s="1"/>
  <c r="AG201" i="24"/>
  <c r="D202" i="25" s="1"/>
  <c r="AG200" i="24"/>
  <c r="D201" i="25" s="1"/>
  <c r="AG199" i="24"/>
  <c r="D200" i="25" s="1"/>
  <c r="AG198" i="24"/>
  <c r="D199" i="25" s="1"/>
  <c r="AG197" i="24"/>
  <c r="D198" i="25" s="1"/>
  <c r="AG196" i="24"/>
  <c r="D197" i="25" s="1"/>
  <c r="AG194" i="24"/>
  <c r="D195" i="25" s="1"/>
  <c r="AG192" i="24"/>
  <c r="D193" i="25" s="1"/>
  <c r="AG191" i="24"/>
  <c r="D192" i="25" s="1"/>
  <c r="AG190" i="24"/>
  <c r="D191" i="25" s="1"/>
  <c r="AG189" i="24"/>
  <c r="D190" i="25" s="1"/>
  <c r="AG188" i="24"/>
  <c r="D189" i="25" s="1"/>
  <c r="AG187" i="24"/>
  <c r="D188" i="25" s="1"/>
  <c r="AG185" i="24"/>
  <c r="D185" i="25" s="1"/>
  <c r="AG184" i="24"/>
  <c r="D184" i="25" s="1"/>
  <c r="AG182" i="24"/>
  <c r="D182" i="25" s="1"/>
  <c r="AG181" i="24"/>
  <c r="D181" i="25" s="1"/>
  <c r="AG180" i="24"/>
  <c r="D180" i="25" s="1"/>
  <c r="D179" i="25" s="1"/>
  <c r="AF179" i="24"/>
  <c r="AE179" i="24"/>
  <c r="AD179" i="24"/>
  <c r="AC179" i="24"/>
  <c r="AB179" i="24"/>
  <c r="AA179" i="24"/>
  <c r="Z179" i="24"/>
  <c r="Y179" i="24"/>
  <c r="X179" i="24"/>
  <c r="W179" i="24"/>
  <c r="V179" i="24"/>
  <c r="U179" i="24"/>
  <c r="T179" i="24"/>
  <c r="S179" i="24"/>
  <c r="R179" i="24"/>
  <c r="Q179" i="24"/>
  <c r="P179" i="24"/>
  <c r="O179" i="24"/>
  <c r="N179" i="24"/>
  <c r="M179" i="24"/>
  <c r="L179" i="24"/>
  <c r="K179" i="24"/>
  <c r="J179" i="24"/>
  <c r="I179" i="24"/>
  <c r="H179" i="24"/>
  <c r="G179" i="24"/>
  <c r="F179" i="24"/>
  <c r="E179" i="24"/>
  <c r="D179" i="24"/>
  <c r="C179" i="24"/>
  <c r="B179" i="24"/>
  <c r="AG178" i="24"/>
  <c r="AG177" i="24"/>
  <c r="AG176" i="24"/>
  <c r="D176" i="25" s="1"/>
  <c r="AG175" i="24"/>
  <c r="D175" i="25" s="1"/>
  <c r="D174" i="25" s="1"/>
  <c r="AF174" i="24"/>
  <c r="AE174" i="24"/>
  <c r="AD174" i="24"/>
  <c r="AC174" i="24"/>
  <c r="AB174" i="24"/>
  <c r="AA174" i="24"/>
  <c r="Z174" i="24"/>
  <c r="Y174" i="24"/>
  <c r="X174" i="24"/>
  <c r="W174" i="24"/>
  <c r="V174" i="24"/>
  <c r="U174" i="24"/>
  <c r="T174" i="24"/>
  <c r="S174" i="24"/>
  <c r="R174" i="24"/>
  <c r="Q174" i="24"/>
  <c r="P174" i="24"/>
  <c r="O174" i="24"/>
  <c r="N174" i="24"/>
  <c r="M174" i="24"/>
  <c r="L174" i="24"/>
  <c r="K174" i="24"/>
  <c r="J174" i="24"/>
  <c r="I174" i="24"/>
  <c r="H174" i="24"/>
  <c r="G174" i="24"/>
  <c r="F174" i="24"/>
  <c r="E174" i="24"/>
  <c r="D174" i="24"/>
  <c r="C174" i="24"/>
  <c r="B174" i="24"/>
  <c r="AG173" i="24"/>
  <c r="D173" i="25" s="1"/>
  <c r="AG172" i="24"/>
  <c r="D172" i="25" s="1"/>
  <c r="AG171" i="24"/>
  <c r="D171" i="25" s="1"/>
  <c r="AG170" i="24"/>
  <c r="D170" i="25" s="1"/>
  <c r="AG169" i="24"/>
  <c r="D169" i="25" s="1"/>
  <c r="AG168" i="24"/>
  <c r="D168" i="25" s="1"/>
  <c r="D167" i="25" s="1"/>
  <c r="AF167" i="24"/>
  <c r="AE167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R167" i="24"/>
  <c r="Q167" i="24"/>
  <c r="P167" i="24"/>
  <c r="O167" i="24"/>
  <c r="N167" i="24"/>
  <c r="M167" i="24"/>
  <c r="L167" i="24"/>
  <c r="K167" i="24"/>
  <c r="J167" i="24"/>
  <c r="I167" i="24"/>
  <c r="H167" i="24"/>
  <c r="G167" i="24"/>
  <c r="F167" i="24"/>
  <c r="E167" i="24"/>
  <c r="D167" i="24"/>
  <c r="C167" i="24"/>
  <c r="B167" i="24"/>
  <c r="AG166" i="24"/>
  <c r="D166" i="25" s="1"/>
  <c r="AG165" i="24"/>
  <c r="D165" i="25" s="1"/>
  <c r="AG164" i="24"/>
  <c r="D164" i="25" s="1"/>
  <c r="AG163" i="24"/>
  <c r="D163" i="25" s="1"/>
  <c r="AG162" i="24"/>
  <c r="D162" i="25" s="1"/>
  <c r="AG161" i="24"/>
  <c r="D161" i="25" s="1"/>
  <c r="AG160" i="24"/>
  <c r="D160" i="25" s="1"/>
  <c r="AG159" i="24"/>
  <c r="D159" i="25" s="1"/>
  <c r="AF158" i="24"/>
  <c r="AE158" i="24"/>
  <c r="AD158" i="24"/>
  <c r="AC158" i="24"/>
  <c r="AB158" i="24"/>
  <c r="AA158" i="24"/>
  <c r="Z158" i="24"/>
  <c r="Y158" i="24"/>
  <c r="X158" i="24"/>
  <c r="W158" i="24"/>
  <c r="V158" i="24"/>
  <c r="U158" i="24"/>
  <c r="T158" i="24"/>
  <c r="S158" i="24"/>
  <c r="R158" i="24"/>
  <c r="Q158" i="24"/>
  <c r="P158" i="24"/>
  <c r="O158" i="24"/>
  <c r="N158" i="24"/>
  <c r="M158" i="24"/>
  <c r="L158" i="24"/>
  <c r="K158" i="24"/>
  <c r="J158" i="24"/>
  <c r="I158" i="24"/>
  <c r="H158" i="24"/>
  <c r="G158" i="24"/>
  <c r="F158" i="24"/>
  <c r="E158" i="24"/>
  <c r="D158" i="24"/>
  <c r="C158" i="24"/>
  <c r="B158" i="24"/>
  <c r="AG157" i="24"/>
  <c r="D157" i="25" s="1"/>
  <c r="AG156" i="24"/>
  <c r="D156" i="25" s="1"/>
  <c r="AG155" i="24"/>
  <c r="D155" i="25" s="1"/>
  <c r="AG154" i="24"/>
  <c r="D154" i="25" s="1"/>
  <c r="AG153" i="24"/>
  <c r="D153" i="25" s="1"/>
  <c r="AG152" i="24"/>
  <c r="D152" i="25" s="1"/>
  <c r="AG151" i="24"/>
  <c r="D151" i="25" s="1"/>
  <c r="AG150" i="24"/>
  <c r="D150" i="25" s="1"/>
  <c r="AG149" i="24"/>
  <c r="D149" i="25" s="1"/>
  <c r="AF148" i="24"/>
  <c r="AF146" i="24" s="1"/>
  <c r="AF144" i="24" s="1"/>
  <c r="AE148" i="24"/>
  <c r="AE146" i="24" s="1"/>
  <c r="AD148" i="24"/>
  <c r="AD146" i="24" s="1"/>
  <c r="AD144" i="24" s="1"/>
  <c r="AC148" i="24"/>
  <c r="AB148" i="24"/>
  <c r="AB146" i="24" s="1"/>
  <c r="AB144" i="24" s="1"/>
  <c r="AA148" i="24"/>
  <c r="AA146" i="24" s="1"/>
  <c r="Z148" i="24"/>
  <c r="Z146" i="24" s="1"/>
  <c r="Z144" i="24" s="1"/>
  <c r="Y148" i="24"/>
  <c r="Y146" i="24" s="1"/>
  <c r="X148" i="24"/>
  <c r="X146" i="24" s="1"/>
  <c r="W148" i="24"/>
  <c r="W146" i="24" s="1"/>
  <c r="V148" i="24"/>
  <c r="V146" i="24" s="1"/>
  <c r="V144" i="24" s="1"/>
  <c r="U148" i="24"/>
  <c r="U146" i="24" s="1"/>
  <c r="U144" i="24" s="1"/>
  <c r="T148" i="24"/>
  <c r="T146" i="24" s="1"/>
  <c r="T144" i="24" s="1"/>
  <c r="S148" i="24"/>
  <c r="S146" i="24" s="1"/>
  <c r="S144" i="24" s="1"/>
  <c r="R148" i="24"/>
  <c r="Q148" i="24"/>
  <c r="P148" i="24"/>
  <c r="P146" i="24" s="1"/>
  <c r="P144" i="24" s="1"/>
  <c r="O148" i="24"/>
  <c r="O146" i="24" s="1"/>
  <c r="N148" i="24"/>
  <c r="M148" i="24"/>
  <c r="M146" i="24" s="1"/>
  <c r="M144" i="24" s="1"/>
  <c r="L148" i="24"/>
  <c r="L146" i="24" s="1"/>
  <c r="L144" i="24" s="1"/>
  <c r="K148" i="24"/>
  <c r="K146" i="24" s="1"/>
  <c r="J148" i="24"/>
  <c r="J146" i="24" s="1"/>
  <c r="J144" i="24" s="1"/>
  <c r="I148" i="24"/>
  <c r="H148" i="24"/>
  <c r="H146" i="24" s="1"/>
  <c r="G148" i="24"/>
  <c r="G146" i="24" s="1"/>
  <c r="G144" i="24" s="1"/>
  <c r="F148" i="24"/>
  <c r="E148" i="24"/>
  <c r="E146" i="24" s="1"/>
  <c r="E144" i="24" s="1"/>
  <c r="D148" i="24"/>
  <c r="D146" i="24" s="1"/>
  <c r="D144" i="24" s="1"/>
  <c r="C148" i="24"/>
  <c r="C146" i="24" s="1"/>
  <c r="C144" i="24" s="1"/>
  <c r="B148" i="24"/>
  <c r="AE147" i="24"/>
  <c r="AD147" i="24"/>
  <c r="AC147" i="24"/>
  <c r="AB147" i="24"/>
  <c r="AA147" i="24"/>
  <c r="Z147" i="24"/>
  <c r="Y147" i="24"/>
  <c r="X147" i="24"/>
  <c r="W147" i="24"/>
  <c r="V147" i="24"/>
  <c r="U147" i="24"/>
  <c r="T147" i="24"/>
  <c r="S147" i="24"/>
  <c r="R147" i="24"/>
  <c r="Q147" i="24"/>
  <c r="P147" i="24"/>
  <c r="O147" i="24"/>
  <c r="N147" i="24"/>
  <c r="M147" i="24"/>
  <c r="L147" i="24"/>
  <c r="K147" i="24"/>
  <c r="J147" i="24"/>
  <c r="I147" i="24"/>
  <c r="H147" i="24"/>
  <c r="G147" i="24"/>
  <c r="F147" i="24"/>
  <c r="E147" i="24"/>
  <c r="D147" i="24"/>
  <c r="C147" i="24"/>
  <c r="B147" i="24"/>
  <c r="AC146" i="24"/>
  <c r="AC144" i="24" s="1"/>
  <c r="R146" i="24"/>
  <c r="R144" i="24" s="1"/>
  <c r="Q146" i="24"/>
  <c r="N146" i="24"/>
  <c r="N144" i="24" s="1"/>
  <c r="I146" i="24"/>
  <c r="F146" i="24"/>
  <c r="F144" i="24" s="1"/>
  <c r="B146" i="24"/>
  <c r="B144" i="24" s="1"/>
  <c r="AF145" i="24"/>
  <c r="AE145" i="24"/>
  <c r="AD145" i="24"/>
  <c r="AC145" i="24"/>
  <c r="AB145" i="24"/>
  <c r="AA145" i="24"/>
  <c r="Z145" i="24"/>
  <c r="Y145" i="24"/>
  <c r="X145" i="24"/>
  <c r="W145" i="24"/>
  <c r="V145" i="24"/>
  <c r="U145" i="24"/>
  <c r="T145" i="24"/>
  <c r="S145" i="24"/>
  <c r="R145" i="24"/>
  <c r="Q145" i="24"/>
  <c r="P145" i="24"/>
  <c r="O145" i="24"/>
  <c r="N145" i="24"/>
  <c r="M145" i="24"/>
  <c r="L145" i="24"/>
  <c r="K145" i="24"/>
  <c r="J145" i="24"/>
  <c r="I145" i="24"/>
  <c r="H145" i="24"/>
  <c r="G145" i="24"/>
  <c r="F145" i="24"/>
  <c r="E145" i="24"/>
  <c r="D145" i="24"/>
  <c r="C145" i="24"/>
  <c r="B145" i="24"/>
  <c r="AA144" i="24"/>
  <c r="K144" i="24"/>
  <c r="AG142" i="24"/>
  <c r="D142" i="25" s="1"/>
  <c r="AG141" i="24"/>
  <c r="D141" i="25" s="1"/>
  <c r="AG140" i="24"/>
  <c r="D140" i="25" s="1"/>
  <c r="AG138" i="24"/>
  <c r="D138" i="25" s="1"/>
  <c r="AG136" i="24"/>
  <c r="D136" i="25" s="1"/>
  <c r="AG135" i="24"/>
  <c r="D135" i="25" s="1"/>
  <c r="AG134" i="24"/>
  <c r="D134" i="25" s="1"/>
  <c r="AG133" i="24"/>
  <c r="D133" i="25" s="1"/>
  <c r="AG132" i="24"/>
  <c r="D132" i="25" s="1"/>
  <c r="AG131" i="24"/>
  <c r="D131" i="25" s="1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AC116" i="24"/>
  <c r="Z116" i="24"/>
  <c r="V116" i="24"/>
  <c r="U116" i="24"/>
  <c r="R116" i="24"/>
  <c r="Q116" i="24"/>
  <c r="N116" i="24"/>
  <c r="M116" i="24"/>
  <c r="J116" i="24"/>
  <c r="F116" i="24"/>
  <c r="AG128" i="24"/>
  <c r="AG127" i="24"/>
  <c r="AG126" i="24"/>
  <c r="AG125" i="24"/>
  <c r="AG124" i="24"/>
  <c r="AG123" i="24"/>
  <c r="AG122" i="24"/>
  <c r="AG121" i="24"/>
  <c r="AG120" i="24"/>
  <c r="AG119" i="24"/>
  <c r="AG118" i="24"/>
  <c r="AG117" i="24"/>
  <c r="D117" i="25" s="1"/>
  <c r="AF116" i="24"/>
  <c r="AE116" i="24"/>
  <c r="AD116" i="24"/>
  <c r="AB116" i="24"/>
  <c r="AA116" i="24"/>
  <c r="Y116" i="24"/>
  <c r="X116" i="24"/>
  <c r="W116" i="24"/>
  <c r="T116" i="24"/>
  <c r="S116" i="24"/>
  <c r="P116" i="24"/>
  <c r="O116" i="24"/>
  <c r="L116" i="24"/>
  <c r="K116" i="24"/>
  <c r="I116" i="24"/>
  <c r="H116" i="24"/>
  <c r="G116" i="24"/>
  <c r="D116" i="24"/>
  <c r="AG115" i="24"/>
  <c r="AG114" i="24"/>
  <c r="D114" i="25" s="1"/>
  <c r="AG113" i="24"/>
  <c r="D113" i="25" s="1"/>
  <c r="AG112" i="24"/>
  <c r="D112" i="25" s="1"/>
  <c r="AG111" i="24"/>
  <c r="D111" i="25" s="1"/>
  <c r="AG110" i="24"/>
  <c r="D110" i="25" s="1"/>
  <c r="AG109" i="24"/>
  <c r="D109" i="25" s="1"/>
  <c r="AG108" i="24"/>
  <c r="D108" i="25" s="1"/>
  <c r="AG107" i="24"/>
  <c r="D107" i="25" s="1"/>
  <c r="AG106" i="24"/>
  <c r="D106" i="25" s="1"/>
  <c r="AG105" i="24"/>
  <c r="D105" i="25" s="1"/>
  <c r="AG104" i="24"/>
  <c r="D104" i="25" s="1"/>
  <c r="AG103" i="24"/>
  <c r="D103" i="25" s="1"/>
  <c r="AG102" i="24"/>
  <c r="D102" i="25" s="1"/>
  <c r="AG101" i="24"/>
  <c r="D101" i="25" s="1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AG99" i="24"/>
  <c r="D99" i="25" s="1"/>
  <c r="AG98" i="24"/>
  <c r="D98" i="25" s="1"/>
  <c r="AG97" i="24"/>
  <c r="D97" i="25" s="1"/>
  <c r="AG96" i="24"/>
  <c r="D96" i="25" s="1"/>
  <c r="AG95" i="24"/>
  <c r="D95" i="25" s="1"/>
  <c r="AF94" i="24"/>
  <c r="AE94" i="24"/>
  <c r="AE93" i="24" s="1"/>
  <c r="AD94" i="24"/>
  <c r="AC94" i="24"/>
  <c r="AC93" i="24" s="1"/>
  <c r="AB94" i="24"/>
  <c r="AA94" i="24"/>
  <c r="AA93" i="24" s="1"/>
  <c r="Z94" i="24"/>
  <c r="Y94" i="24"/>
  <c r="Y93" i="24" s="1"/>
  <c r="X94" i="24"/>
  <c r="X93" i="24" s="1"/>
  <c r="W94" i="24"/>
  <c r="W93" i="24" s="1"/>
  <c r="V94" i="24"/>
  <c r="U94" i="24"/>
  <c r="U93" i="24" s="1"/>
  <c r="T94" i="24"/>
  <c r="T93" i="24" s="1"/>
  <c r="S94" i="24"/>
  <c r="S93" i="24" s="1"/>
  <c r="R94" i="24"/>
  <c r="Q94" i="24"/>
  <c r="P94" i="24"/>
  <c r="P93" i="24" s="1"/>
  <c r="O94" i="24"/>
  <c r="O93" i="24" s="1"/>
  <c r="N94" i="24"/>
  <c r="M94" i="24"/>
  <c r="L94" i="24"/>
  <c r="L93" i="24" s="1"/>
  <c r="K94" i="24"/>
  <c r="K93" i="24" s="1"/>
  <c r="J94" i="24"/>
  <c r="I94" i="24"/>
  <c r="I93" i="24" s="1"/>
  <c r="H94" i="24"/>
  <c r="H93" i="24" s="1"/>
  <c r="G94" i="24"/>
  <c r="G93" i="24" s="1"/>
  <c r="F94" i="24"/>
  <c r="E94" i="24"/>
  <c r="E93" i="24" s="1"/>
  <c r="D94" i="24"/>
  <c r="D93" i="24" s="1"/>
  <c r="C94" i="24"/>
  <c r="B94" i="24"/>
  <c r="AF93" i="24"/>
  <c r="AB93" i="24"/>
  <c r="Z93" i="24"/>
  <c r="M93" i="24"/>
  <c r="F93" i="24"/>
  <c r="AG92" i="24"/>
  <c r="D92" i="25" s="1"/>
  <c r="AG91" i="24"/>
  <c r="D91" i="25" s="1"/>
  <c r="AG90" i="24"/>
  <c r="D90" i="25" s="1"/>
  <c r="AG89" i="24"/>
  <c r="D89" i="25" s="1"/>
  <c r="AG88" i="24"/>
  <c r="D88" i="25" s="1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AG86" i="24"/>
  <c r="D86" i="25" s="1"/>
  <c r="AG85" i="24"/>
  <c r="D85" i="25" s="1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AE83" i="24"/>
  <c r="AE81" i="24" s="1"/>
  <c r="W83" i="24"/>
  <c r="W81" i="24" s="1"/>
  <c r="Q83" i="24"/>
  <c r="K83" i="24"/>
  <c r="K81" i="24" s="1"/>
  <c r="J83" i="24"/>
  <c r="AF83" i="24"/>
  <c r="AF81" i="24" s="1"/>
  <c r="AD82" i="24"/>
  <c r="AD83" i="24" s="1"/>
  <c r="AD81" i="24" s="1"/>
  <c r="AC82" i="24"/>
  <c r="AB82" i="24"/>
  <c r="AB83" i="24" s="1"/>
  <c r="AB81" i="24" s="1"/>
  <c r="AA82" i="24"/>
  <c r="AA83" i="24" s="1"/>
  <c r="AA81" i="24" s="1"/>
  <c r="Z82" i="24"/>
  <c r="Z83" i="24" s="1"/>
  <c r="X83" i="24"/>
  <c r="X81" i="24" s="1"/>
  <c r="W82" i="24"/>
  <c r="V82" i="24"/>
  <c r="V83" i="24" s="1"/>
  <c r="U82" i="24"/>
  <c r="T82" i="24"/>
  <c r="T83" i="24" s="1"/>
  <c r="T81" i="24" s="1"/>
  <c r="S82" i="24"/>
  <c r="S83" i="24" s="1"/>
  <c r="S81" i="24" s="1"/>
  <c r="R83" i="24"/>
  <c r="R81" i="24" s="1"/>
  <c r="P82" i="24"/>
  <c r="P83" i="24" s="1"/>
  <c r="P81" i="24" s="1"/>
  <c r="O82" i="24"/>
  <c r="O83" i="24" s="1"/>
  <c r="O81" i="24" s="1"/>
  <c r="N82" i="24"/>
  <c r="N83" i="24" s="1"/>
  <c r="N81" i="24" s="1"/>
  <c r="M82" i="24"/>
  <c r="L82" i="24"/>
  <c r="L83" i="24" s="1"/>
  <c r="L81" i="24" s="1"/>
  <c r="I82" i="24"/>
  <c r="H82" i="24"/>
  <c r="H83" i="24" s="1"/>
  <c r="H81" i="24" s="1"/>
  <c r="G82" i="24"/>
  <c r="G83" i="24" s="1"/>
  <c r="G81" i="24" s="1"/>
  <c r="F82" i="24"/>
  <c r="F83" i="24" s="1"/>
  <c r="F81" i="24" s="1"/>
  <c r="E82" i="24"/>
  <c r="D83" i="24"/>
  <c r="D81" i="24" s="1"/>
  <c r="C83" i="24"/>
  <c r="C81" i="24" s="1"/>
  <c r="B82" i="24"/>
  <c r="B83" i="24" s="1"/>
  <c r="B81" i="24" s="1"/>
  <c r="AF80" i="24"/>
  <c r="AF79" i="24" s="1"/>
  <c r="AF78" i="24" s="1"/>
  <c r="AC80" i="24"/>
  <c r="AB80" i="24"/>
  <c r="AB79" i="24" s="1"/>
  <c r="AB78" i="24" s="1"/>
  <c r="AA80" i="24"/>
  <c r="Y80" i="24"/>
  <c r="Y79" i="24" s="1"/>
  <c r="Y78" i="24" s="1"/>
  <c r="V80" i="24"/>
  <c r="V79" i="24" s="1"/>
  <c r="V78" i="24" s="1"/>
  <c r="U80" i="24"/>
  <c r="U79" i="24" s="1"/>
  <c r="U78" i="24" s="1"/>
  <c r="T80" i="24"/>
  <c r="S80" i="24"/>
  <c r="S79" i="24" s="1"/>
  <c r="S78" i="24" s="1"/>
  <c r="R80" i="24"/>
  <c r="R79" i="24" s="1"/>
  <c r="R78" i="24" s="1"/>
  <c r="O80" i="24"/>
  <c r="O79" i="24" s="1"/>
  <c r="O78" i="24" s="1"/>
  <c r="N80" i="24"/>
  <c r="M80" i="24"/>
  <c r="M79" i="24" s="1"/>
  <c r="M78" i="24" s="1"/>
  <c r="H80" i="24"/>
  <c r="G80" i="24"/>
  <c r="F80" i="24"/>
  <c r="AE79" i="24"/>
  <c r="AD79" i="24"/>
  <c r="AC79" i="24"/>
  <c r="AC78" i="24" s="1"/>
  <c r="AA79" i="24"/>
  <c r="AA78" i="24" s="1"/>
  <c r="Z79" i="24"/>
  <c r="Z78" i="24" s="1"/>
  <c r="X79" i="24"/>
  <c r="W79" i="24"/>
  <c r="W78" i="24" s="1"/>
  <c r="T79" i="24"/>
  <c r="T78" i="24" s="1"/>
  <c r="Q79" i="24"/>
  <c r="Q78" i="24" s="1"/>
  <c r="P79" i="24"/>
  <c r="P78" i="24" s="1"/>
  <c r="N79" i="24"/>
  <c r="N78" i="24" s="1"/>
  <c r="L79" i="24"/>
  <c r="L78" i="24" s="1"/>
  <c r="K79" i="24"/>
  <c r="K78" i="24" s="1"/>
  <c r="J79" i="24"/>
  <c r="I79" i="24"/>
  <c r="I78" i="24" s="1"/>
  <c r="H79" i="24"/>
  <c r="H78" i="24" s="1"/>
  <c r="G79" i="24"/>
  <c r="G78" i="24" s="1"/>
  <c r="F79" i="24"/>
  <c r="E79" i="24"/>
  <c r="E78" i="24" s="1"/>
  <c r="D79" i="24"/>
  <c r="D78" i="24" s="1"/>
  <c r="C79" i="24"/>
  <c r="C78" i="24" s="1"/>
  <c r="B79" i="24"/>
  <c r="B78" i="24" s="1"/>
  <c r="AE78" i="24"/>
  <c r="AD78" i="24"/>
  <c r="X78" i="24"/>
  <c r="J78" i="24"/>
  <c r="F78" i="24"/>
  <c r="AG77" i="24"/>
  <c r="D77" i="25" s="1"/>
  <c r="AG76" i="24"/>
  <c r="D76" i="25" s="1"/>
  <c r="AG75" i="24"/>
  <c r="D75" i="25" s="1"/>
  <c r="AG74" i="24"/>
  <c r="D74" i="25" s="1"/>
  <c r="AG73" i="24"/>
  <c r="D73" i="25" s="1"/>
  <c r="AG72" i="24"/>
  <c r="D72" i="25" s="1"/>
  <c r="AG71" i="24"/>
  <c r="D71" i="25" s="1"/>
  <c r="AG70" i="24"/>
  <c r="D70" i="25" s="1"/>
  <c r="AG69" i="24"/>
  <c r="D69" i="25" s="1"/>
  <c r="AG68" i="24"/>
  <c r="D68" i="25" s="1"/>
  <c r="AG67" i="24"/>
  <c r="D67" i="25" s="1"/>
  <c r="AG66" i="24"/>
  <c r="D66" i="25" s="1"/>
  <c r="AG65" i="24"/>
  <c r="D65" i="25" s="1"/>
  <c r="AG64" i="24"/>
  <c r="D64" i="25" s="1"/>
  <c r="AG63" i="24"/>
  <c r="D63" i="25" s="1"/>
  <c r="AG62" i="24"/>
  <c r="D62" i="25" s="1"/>
  <c r="AG61" i="24"/>
  <c r="D61" i="25" s="1"/>
  <c r="AG60" i="24"/>
  <c r="D60" i="25" s="1"/>
  <c r="AG59" i="24"/>
  <c r="D59" i="25" s="1"/>
  <c r="AG58" i="24"/>
  <c r="D58" i="25" s="1"/>
  <c r="AG57" i="24"/>
  <c r="D57" i="25" s="1"/>
  <c r="AG56" i="24"/>
  <c r="D56" i="25" s="1"/>
  <c r="AG55" i="24"/>
  <c r="D55" i="25" s="1"/>
  <c r="AG54" i="24"/>
  <c r="D54" i="25" s="1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AG52" i="24"/>
  <c r="D52" i="25" s="1"/>
  <c r="AG51" i="24"/>
  <c r="D51" i="25" s="1"/>
  <c r="AG50" i="24"/>
  <c r="D50" i="25" s="1"/>
  <c r="AG49" i="24"/>
  <c r="D49" i="25" s="1"/>
  <c r="AG48" i="24"/>
  <c r="D48" i="25" s="1"/>
  <c r="AG47" i="24"/>
  <c r="D47" i="25" s="1"/>
  <c r="AG46" i="24"/>
  <c r="D46" i="25" s="1"/>
  <c r="AG45" i="24"/>
  <c r="D45" i="25" s="1"/>
  <c r="AG44" i="24"/>
  <c r="D44" i="25" s="1"/>
  <c r="AG43" i="24"/>
  <c r="D43" i="25" s="1"/>
  <c r="AG42" i="24"/>
  <c r="D42" i="25" s="1"/>
  <c r="AG41" i="24"/>
  <c r="D41" i="25" s="1"/>
  <c r="AG40" i="24"/>
  <c r="D40" i="25" s="1"/>
  <c r="AG39" i="24"/>
  <c r="D39" i="25" s="1"/>
  <c r="AG38" i="24"/>
  <c r="D38" i="25" s="1"/>
  <c r="AG37" i="24"/>
  <c r="D37" i="25" s="1"/>
  <c r="AG36" i="24"/>
  <c r="D36" i="25" s="1"/>
  <c r="AG35" i="24"/>
  <c r="D35" i="25" s="1"/>
  <c r="AG34" i="24"/>
  <c r="D34" i="25" s="1"/>
  <c r="AG33" i="24"/>
  <c r="D33" i="25" s="1"/>
  <c r="AG32" i="24"/>
  <c r="D32" i="25" s="1"/>
  <c r="AG31" i="24"/>
  <c r="D31" i="25" s="1"/>
  <c r="AG30" i="24"/>
  <c r="D30" i="25" s="1"/>
  <c r="AG29" i="24"/>
  <c r="D29" i="25" s="1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AG27" i="24"/>
  <c r="D27" i="25" s="1"/>
  <c r="AG26" i="24"/>
  <c r="D26" i="25" s="1"/>
  <c r="AG25" i="24"/>
  <c r="D25" i="25" s="1"/>
  <c r="AG24" i="24"/>
  <c r="D24" i="25" s="1"/>
  <c r="AG23" i="24"/>
  <c r="D23" i="25" s="1"/>
  <c r="AG22" i="24"/>
  <c r="D22" i="25" s="1"/>
  <c r="AG21" i="24"/>
  <c r="D21" i="25" s="1"/>
  <c r="AG20" i="24"/>
  <c r="D20" i="25" s="1"/>
  <c r="AG19" i="24"/>
  <c r="D19" i="25" s="1"/>
  <c r="AG18" i="24"/>
  <c r="D18" i="25" s="1"/>
  <c r="AG17" i="24"/>
  <c r="D17" i="25" s="1"/>
  <c r="AG16" i="24"/>
  <c r="D16" i="25" s="1"/>
  <c r="AG15" i="24"/>
  <c r="D15" i="25" s="1"/>
  <c r="AG14" i="24"/>
  <c r="D14" i="25" s="1"/>
  <c r="AG13" i="24"/>
  <c r="D13" i="25" s="1"/>
  <c r="AG12" i="24"/>
  <c r="D12" i="25" s="1"/>
  <c r="AG11" i="24"/>
  <c r="D11" i="25" s="1"/>
  <c r="AG10" i="24"/>
  <c r="D10" i="25" s="1"/>
  <c r="AG9" i="24"/>
  <c r="D9" i="25" s="1"/>
  <c r="AG8" i="24"/>
  <c r="D8" i="25" s="1"/>
  <c r="AG7" i="24"/>
  <c r="D7" i="25" s="1"/>
  <c r="AG6" i="24"/>
  <c r="D6" i="25" s="1"/>
  <c r="AG5" i="24"/>
  <c r="D5" i="25" s="1"/>
  <c r="AG4" i="24"/>
  <c r="D4" i="25" s="1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2" i="24"/>
  <c r="C2" i="24"/>
  <c r="D2" i="24" s="1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V2" i="24" s="1"/>
  <c r="W2" i="24" s="1"/>
  <c r="X2" i="24" s="1"/>
  <c r="Y2" i="24" s="1"/>
  <c r="Z2" i="24" s="1"/>
  <c r="AA2" i="24" s="1"/>
  <c r="Y82" i="22"/>
  <c r="Y83" i="22" s="1"/>
  <c r="Y81" i="22" s="1"/>
  <c r="X82" i="22"/>
  <c r="R82" i="22"/>
  <c r="Q82" i="22"/>
  <c r="K82" i="22"/>
  <c r="J82" i="22"/>
  <c r="J83" i="22" s="1"/>
  <c r="D82" i="22"/>
  <c r="C82" i="22"/>
  <c r="AD3" i="22"/>
  <c r="AG237" i="22"/>
  <c r="AG236" i="22"/>
  <c r="AG232" i="22"/>
  <c r="AF231" i="22"/>
  <c r="AE231" i="22"/>
  <c r="AD231" i="22"/>
  <c r="AC231" i="22"/>
  <c r="AB231" i="22"/>
  <c r="AA231" i="22"/>
  <c r="Z231" i="22"/>
  <c r="Y231" i="22"/>
  <c r="X231" i="22"/>
  <c r="W231" i="22"/>
  <c r="V231" i="22"/>
  <c r="U231" i="22"/>
  <c r="T231" i="22"/>
  <c r="S231" i="22"/>
  <c r="R231" i="22"/>
  <c r="Q231" i="22"/>
  <c r="P231" i="22"/>
  <c r="O231" i="22"/>
  <c r="N231" i="22"/>
  <c r="M231" i="22"/>
  <c r="L231" i="22"/>
  <c r="K231" i="22"/>
  <c r="J231" i="22"/>
  <c r="I231" i="22"/>
  <c r="H231" i="22"/>
  <c r="G231" i="22"/>
  <c r="F231" i="22"/>
  <c r="E231" i="22"/>
  <c r="D231" i="22"/>
  <c r="AG231" i="22" s="1"/>
  <c r="C231" i="22"/>
  <c r="B231" i="22"/>
  <c r="AG230" i="22"/>
  <c r="AG229" i="22"/>
  <c r="AG228" i="22"/>
  <c r="AF227" i="22"/>
  <c r="AE227" i="22"/>
  <c r="AD227" i="22"/>
  <c r="AC227" i="22"/>
  <c r="AB227" i="22"/>
  <c r="AA227" i="22"/>
  <c r="Z227" i="22"/>
  <c r="Y227" i="22"/>
  <c r="X227" i="22"/>
  <c r="W227" i="22"/>
  <c r="V227" i="22"/>
  <c r="U227" i="22"/>
  <c r="T227" i="22"/>
  <c r="S227" i="22"/>
  <c r="R227" i="22"/>
  <c r="Q227" i="22"/>
  <c r="P227" i="22"/>
  <c r="O227" i="22"/>
  <c r="N227" i="22"/>
  <c r="M227" i="22"/>
  <c r="L227" i="22"/>
  <c r="K227" i="22"/>
  <c r="J227" i="22"/>
  <c r="I227" i="22"/>
  <c r="H227" i="22"/>
  <c r="G227" i="22"/>
  <c r="F227" i="22"/>
  <c r="E227" i="22"/>
  <c r="D227" i="22"/>
  <c r="C227" i="22"/>
  <c r="B227" i="22"/>
  <c r="AG226" i="22"/>
  <c r="AG225" i="22"/>
  <c r="AG224" i="22"/>
  <c r="AF223" i="22"/>
  <c r="AE223" i="22"/>
  <c r="AD223" i="22"/>
  <c r="AC223" i="22"/>
  <c r="AB223" i="22"/>
  <c r="AA223" i="22"/>
  <c r="Z223" i="22"/>
  <c r="Y223" i="22"/>
  <c r="X223" i="22"/>
  <c r="W223" i="22"/>
  <c r="V223" i="22"/>
  <c r="U223" i="22"/>
  <c r="T223" i="22"/>
  <c r="S223" i="22"/>
  <c r="R223" i="22"/>
  <c r="Q223" i="22"/>
  <c r="P223" i="22"/>
  <c r="O223" i="22"/>
  <c r="N223" i="22"/>
  <c r="M223" i="22"/>
  <c r="L223" i="22"/>
  <c r="K223" i="22"/>
  <c r="J223" i="22"/>
  <c r="I223" i="22"/>
  <c r="H223" i="22"/>
  <c r="G223" i="22"/>
  <c r="F223" i="22"/>
  <c r="E223" i="22"/>
  <c r="D223" i="22"/>
  <c r="C223" i="22"/>
  <c r="B223" i="22"/>
  <c r="AG222" i="22"/>
  <c r="AG221" i="22"/>
  <c r="AG220" i="22"/>
  <c r="AG219" i="22"/>
  <c r="AG218" i="22"/>
  <c r="AG217" i="22"/>
  <c r="AG216" i="22"/>
  <c r="AG215" i="22"/>
  <c r="AG214" i="22"/>
  <c r="AG213" i="22"/>
  <c r="AG212" i="22"/>
  <c r="AG211" i="22"/>
  <c r="Y204" i="22"/>
  <c r="X204" i="22"/>
  <c r="Z204" i="22"/>
  <c r="R204" i="22"/>
  <c r="N204" i="22"/>
  <c r="B204" i="22"/>
  <c r="AA204" i="22"/>
  <c r="W204" i="22"/>
  <c r="T204" i="22"/>
  <c r="S204" i="22"/>
  <c r="P204" i="22"/>
  <c r="O204" i="22"/>
  <c r="K204" i="22"/>
  <c r="G204" i="22"/>
  <c r="D204" i="22"/>
  <c r="C204" i="22"/>
  <c r="AG207" i="22"/>
  <c r="AG206" i="22"/>
  <c r="AG205" i="22"/>
  <c r="AF204" i="22"/>
  <c r="AE204" i="22"/>
  <c r="AD204" i="22"/>
  <c r="AC204" i="22"/>
  <c r="AB204" i="22"/>
  <c r="V204" i="22"/>
  <c r="U204" i="22"/>
  <c r="Q204" i="22"/>
  <c r="M204" i="22"/>
  <c r="L204" i="22"/>
  <c r="I204" i="22"/>
  <c r="H204" i="22"/>
  <c r="F204" i="22"/>
  <c r="E204" i="22"/>
  <c r="AG203" i="22"/>
  <c r="AG202" i="22"/>
  <c r="AG201" i="22"/>
  <c r="AG200" i="22"/>
  <c r="AG199" i="22"/>
  <c r="AG198" i="22"/>
  <c r="AG197" i="22"/>
  <c r="AG196" i="22"/>
  <c r="AG194" i="22"/>
  <c r="AG191" i="22"/>
  <c r="AG190" i="22"/>
  <c r="AG189" i="22"/>
  <c r="AG188" i="22"/>
  <c r="AG187" i="22"/>
  <c r="AG185" i="22"/>
  <c r="AG184" i="22"/>
  <c r="AG182" i="22"/>
  <c r="AG181" i="22"/>
  <c r="AG180" i="22"/>
  <c r="AF179" i="22"/>
  <c r="AE179" i="22"/>
  <c r="AD179" i="22"/>
  <c r="AC179" i="22"/>
  <c r="AB179" i="22"/>
  <c r="AA179" i="22"/>
  <c r="Z179" i="22"/>
  <c r="Y179" i="22"/>
  <c r="X179" i="22"/>
  <c r="W179" i="22"/>
  <c r="V179" i="22"/>
  <c r="U179" i="22"/>
  <c r="T179" i="22"/>
  <c r="S179" i="22"/>
  <c r="R179" i="22"/>
  <c r="Q179" i="22"/>
  <c r="P179" i="22"/>
  <c r="O179" i="22"/>
  <c r="N179" i="22"/>
  <c r="M179" i="22"/>
  <c r="L179" i="22"/>
  <c r="K179" i="22"/>
  <c r="J179" i="22"/>
  <c r="I179" i="22"/>
  <c r="H179" i="22"/>
  <c r="G179" i="22"/>
  <c r="F179" i="22"/>
  <c r="E179" i="22"/>
  <c r="D179" i="22"/>
  <c r="C179" i="22"/>
  <c r="B179" i="22"/>
  <c r="AG178" i="22"/>
  <c r="AG177" i="22"/>
  <c r="AG176" i="22"/>
  <c r="AG175" i="22"/>
  <c r="AF174" i="22"/>
  <c r="AE174" i="22"/>
  <c r="AD174" i="22"/>
  <c r="AC174" i="22"/>
  <c r="AB174" i="22"/>
  <c r="AA174" i="22"/>
  <c r="Z174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AG173" i="22"/>
  <c r="AG172" i="22"/>
  <c r="AG171" i="22"/>
  <c r="AG170" i="22"/>
  <c r="AG169" i="22"/>
  <c r="AG168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AG167" i="22" s="1"/>
  <c r="B167" i="22"/>
  <c r="AG166" i="22"/>
  <c r="AG165" i="22"/>
  <c r="AG164" i="22"/>
  <c r="AG163" i="22"/>
  <c r="AG162" i="22"/>
  <c r="AG161" i="22"/>
  <c r="AG160" i="22"/>
  <c r="AG159" i="22"/>
  <c r="AF158" i="22"/>
  <c r="AE158" i="22"/>
  <c r="AD158" i="22"/>
  <c r="AC158" i="22"/>
  <c r="AB158" i="22"/>
  <c r="AA158" i="22"/>
  <c r="Z158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AG157" i="22"/>
  <c r="AG156" i="22"/>
  <c r="AG155" i="22"/>
  <c r="AG154" i="22"/>
  <c r="AG153" i="22"/>
  <c r="AG152" i="22"/>
  <c r="AG151" i="22"/>
  <c r="AG150" i="22"/>
  <c r="AG149" i="22"/>
  <c r="AF148" i="22"/>
  <c r="AF146" i="22" s="1"/>
  <c r="AF144" i="22" s="1"/>
  <c r="AE148" i="22"/>
  <c r="AD148" i="22"/>
  <c r="AC148" i="22"/>
  <c r="AB148" i="22"/>
  <c r="AB146" i="22" s="1"/>
  <c r="AA148" i="22"/>
  <c r="AA146" i="22" s="1"/>
  <c r="Z148" i="22"/>
  <c r="Z146" i="22" s="1"/>
  <c r="Z144" i="22" s="1"/>
  <c r="Y148" i="22"/>
  <c r="Y146" i="22" s="1"/>
  <c r="Y144" i="22" s="1"/>
  <c r="X148" i="22"/>
  <c r="X146" i="22" s="1"/>
  <c r="X144" i="22" s="1"/>
  <c r="W148" i="22"/>
  <c r="W146" i="22" s="1"/>
  <c r="W144" i="22" s="1"/>
  <c r="V148" i="22"/>
  <c r="V146" i="22" s="1"/>
  <c r="V144" i="22" s="1"/>
  <c r="U148" i="22"/>
  <c r="U146" i="22" s="1"/>
  <c r="U144" i="22" s="1"/>
  <c r="T148" i="22"/>
  <c r="T146" i="22" s="1"/>
  <c r="S148" i="22"/>
  <c r="R148" i="22"/>
  <c r="Q148" i="22"/>
  <c r="Q146" i="22" s="1"/>
  <c r="P148" i="22"/>
  <c r="P146" i="22" s="1"/>
  <c r="O148" i="22"/>
  <c r="O146" i="22" s="1"/>
  <c r="N148" i="22"/>
  <c r="N146" i="22" s="1"/>
  <c r="N144" i="22" s="1"/>
  <c r="M148" i="22"/>
  <c r="M146" i="22" s="1"/>
  <c r="M144" i="22" s="1"/>
  <c r="L148" i="22"/>
  <c r="L146" i="22" s="1"/>
  <c r="K148" i="22"/>
  <c r="K146" i="22" s="1"/>
  <c r="J148" i="22"/>
  <c r="J146" i="22" s="1"/>
  <c r="J144" i="22" s="1"/>
  <c r="I148" i="22"/>
  <c r="H148" i="22"/>
  <c r="H146" i="22" s="1"/>
  <c r="H144" i="22" s="1"/>
  <c r="G148" i="22"/>
  <c r="F148" i="22"/>
  <c r="F146" i="22" s="1"/>
  <c r="F144" i="22" s="1"/>
  <c r="E148" i="22"/>
  <c r="E146" i="22" s="1"/>
  <c r="D148" i="22"/>
  <c r="D146" i="22" s="1"/>
  <c r="C148" i="22"/>
  <c r="C146" i="22" s="1"/>
  <c r="C144" i="22" s="1"/>
  <c r="B148" i="22"/>
  <c r="B146" i="22" s="1"/>
  <c r="B144" i="22" s="1"/>
  <c r="AE147" i="22"/>
  <c r="AD147" i="22"/>
  <c r="AC147" i="22"/>
  <c r="AB147" i="22"/>
  <c r="AA147" i="22"/>
  <c r="Z147" i="22"/>
  <c r="Y147" i="22"/>
  <c r="X147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AE146" i="22"/>
  <c r="AD146" i="22"/>
  <c r="AD144" i="22" s="1"/>
  <c r="AC146" i="22"/>
  <c r="S146" i="22"/>
  <c r="S144" i="22" s="1"/>
  <c r="R146" i="22"/>
  <c r="R144" i="22" s="1"/>
  <c r="I146" i="22"/>
  <c r="I144" i="22" s="1"/>
  <c r="G146" i="22"/>
  <c r="G144" i="22" s="1"/>
  <c r="AF145" i="22"/>
  <c r="AE145" i="22"/>
  <c r="AD145" i="22"/>
  <c r="AC145" i="22"/>
  <c r="AB145" i="22"/>
  <c r="AA145" i="22"/>
  <c r="Z145" i="22"/>
  <c r="Y145" i="22"/>
  <c r="X145" i="22"/>
  <c r="W145" i="22"/>
  <c r="V145" i="22"/>
  <c r="U145" i="22"/>
  <c r="T145" i="22"/>
  <c r="S145" i="22"/>
  <c r="R145" i="22"/>
  <c r="Q145" i="22"/>
  <c r="P145" i="22"/>
  <c r="O145" i="22"/>
  <c r="N145" i="22"/>
  <c r="M145" i="22"/>
  <c r="L145" i="22"/>
  <c r="K145" i="22"/>
  <c r="J145" i="22"/>
  <c r="I145" i="22"/>
  <c r="H145" i="22"/>
  <c r="G145" i="22"/>
  <c r="F145" i="22"/>
  <c r="E145" i="22"/>
  <c r="D145" i="22"/>
  <c r="C145" i="22"/>
  <c r="B145" i="22"/>
  <c r="AA130" i="22"/>
  <c r="W130" i="22"/>
  <c r="K130" i="22"/>
  <c r="G130" i="22"/>
  <c r="C130" i="22"/>
  <c r="AB130" i="22"/>
  <c r="P130" i="22"/>
  <c r="N130" i="22"/>
  <c r="L130" i="22"/>
  <c r="E130" i="22"/>
  <c r="AG142" i="22"/>
  <c r="AG141" i="22"/>
  <c r="AG140" i="22"/>
  <c r="U130" i="22"/>
  <c r="H130" i="22"/>
  <c r="AG138" i="22"/>
  <c r="AC130" i="22"/>
  <c r="V130" i="22"/>
  <c r="I130" i="22"/>
  <c r="AG136" i="22"/>
  <c r="AG135" i="22"/>
  <c r="X130" i="22"/>
  <c r="S130" i="22"/>
  <c r="AG134" i="22"/>
  <c r="AG133" i="22"/>
  <c r="AG132" i="22"/>
  <c r="AG131" i="22"/>
  <c r="AF130" i="22"/>
  <c r="AE130" i="22"/>
  <c r="AD130" i="22"/>
  <c r="Z130" i="22"/>
  <c r="T130" i="22"/>
  <c r="R130" i="22"/>
  <c r="O130" i="22"/>
  <c r="J130" i="22"/>
  <c r="F130" i="22"/>
  <c r="D130" i="22"/>
  <c r="B130" i="22"/>
  <c r="AC116" i="22"/>
  <c r="AB116" i="22"/>
  <c r="X116" i="22"/>
  <c r="T116" i="22"/>
  <c r="Q116" i="22"/>
  <c r="P116" i="22"/>
  <c r="M116" i="22"/>
  <c r="L116" i="22"/>
  <c r="H116" i="22"/>
  <c r="AG129" i="22"/>
  <c r="AG128" i="22"/>
  <c r="AG127" i="22"/>
  <c r="AG126" i="22"/>
  <c r="AG125" i="22"/>
  <c r="AG124" i="22"/>
  <c r="AG123" i="22"/>
  <c r="AG122" i="22"/>
  <c r="AG121" i="22"/>
  <c r="AG120" i="22"/>
  <c r="AG119" i="22"/>
  <c r="AG118" i="22"/>
  <c r="AG117" i="22"/>
  <c r="AF116" i="22"/>
  <c r="AE116" i="22"/>
  <c r="AD116" i="22"/>
  <c r="AA116" i="22"/>
  <c r="Z116" i="22"/>
  <c r="Y116" i="22"/>
  <c r="W116" i="22"/>
  <c r="V116" i="22"/>
  <c r="U116" i="22"/>
  <c r="S116" i="22"/>
  <c r="R116" i="22"/>
  <c r="O116" i="22"/>
  <c r="N116" i="22"/>
  <c r="K116" i="22"/>
  <c r="J116" i="22"/>
  <c r="I116" i="22"/>
  <c r="G116" i="22"/>
  <c r="F116" i="22"/>
  <c r="E116" i="22"/>
  <c r="D116" i="22"/>
  <c r="C116" i="22"/>
  <c r="AG115" i="22"/>
  <c r="AG114" i="22"/>
  <c r="AG113" i="22"/>
  <c r="AG112" i="22"/>
  <c r="AG111" i="22"/>
  <c r="AG110" i="22"/>
  <c r="AG109" i="22"/>
  <c r="AG108" i="22"/>
  <c r="AG107" i="22"/>
  <c r="AG106" i="22"/>
  <c r="AG105" i="22"/>
  <c r="AG104" i="22"/>
  <c r="AG103" i="22"/>
  <c r="AG102" i="22"/>
  <c r="AG101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AG99" i="22"/>
  <c r="AG98" i="22"/>
  <c r="AG97" i="22"/>
  <c r="AG96" i="22"/>
  <c r="AG95" i="22"/>
  <c r="AF94" i="22"/>
  <c r="AE94" i="22"/>
  <c r="AD94" i="22"/>
  <c r="AC94" i="22"/>
  <c r="AC93" i="22" s="1"/>
  <c r="AB94" i="22"/>
  <c r="AA94" i="22"/>
  <c r="Z94" i="22"/>
  <c r="Z93" i="22" s="1"/>
  <c r="Y94" i="22"/>
  <c r="Y93" i="22" s="1"/>
  <c r="X94" i="22"/>
  <c r="W94" i="22"/>
  <c r="W93" i="22" s="1"/>
  <c r="V94" i="22"/>
  <c r="V93" i="22" s="1"/>
  <c r="U94" i="22"/>
  <c r="U93" i="22" s="1"/>
  <c r="T94" i="22"/>
  <c r="S94" i="22"/>
  <c r="R94" i="22"/>
  <c r="Q94" i="22"/>
  <c r="Q93" i="22" s="1"/>
  <c r="P94" i="22"/>
  <c r="O94" i="22"/>
  <c r="N94" i="22"/>
  <c r="N93" i="22" s="1"/>
  <c r="M94" i="22"/>
  <c r="M93" i="22" s="1"/>
  <c r="L94" i="22"/>
  <c r="K94" i="22"/>
  <c r="K93" i="22" s="1"/>
  <c r="J94" i="22"/>
  <c r="J93" i="22" s="1"/>
  <c r="I94" i="22"/>
  <c r="I93" i="22" s="1"/>
  <c r="H94" i="22"/>
  <c r="G94" i="22"/>
  <c r="G93" i="22" s="1"/>
  <c r="F94" i="22"/>
  <c r="E94" i="22"/>
  <c r="E93" i="22" s="1"/>
  <c r="D94" i="22"/>
  <c r="C94" i="22"/>
  <c r="C93" i="22" s="1"/>
  <c r="B94" i="22"/>
  <c r="B93" i="22" s="1"/>
  <c r="AF93" i="22"/>
  <c r="AE93" i="22"/>
  <c r="AD93" i="22"/>
  <c r="AB93" i="22"/>
  <c r="AA93" i="22"/>
  <c r="S93" i="22"/>
  <c r="R93" i="22"/>
  <c r="P93" i="22"/>
  <c r="O93" i="22"/>
  <c r="L93" i="22"/>
  <c r="F93" i="22"/>
  <c r="AG92" i="22"/>
  <c r="AG91" i="22"/>
  <c r="AG90" i="22"/>
  <c r="AG89" i="22"/>
  <c r="AG88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AG86" i="22"/>
  <c r="AG85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AC83" i="22"/>
  <c r="AC81" i="22" s="1"/>
  <c r="T83" i="22"/>
  <c r="T81" i="22" s="1"/>
  <c r="S83" i="22"/>
  <c r="R83" i="22"/>
  <c r="Q83" i="22"/>
  <c r="M83" i="22"/>
  <c r="M81" i="22" s="1"/>
  <c r="D83" i="22"/>
  <c r="C83" i="22"/>
  <c r="AF82" i="22"/>
  <c r="AF83" i="22" s="1"/>
  <c r="AF81" i="22" s="1"/>
  <c r="AE82" i="22"/>
  <c r="AD82" i="22"/>
  <c r="AD83" i="22" s="1"/>
  <c r="AC82" i="22"/>
  <c r="AB82" i="22"/>
  <c r="AB83" i="22" s="1"/>
  <c r="AB81" i="22" s="1"/>
  <c r="AA82" i="22"/>
  <c r="Z82" i="22"/>
  <c r="Z83" i="22" s="1"/>
  <c r="Z81" i="22" s="1"/>
  <c r="W82" i="22"/>
  <c r="W83" i="22" s="1"/>
  <c r="V82" i="22"/>
  <c r="V83" i="22" s="1"/>
  <c r="U82" i="22"/>
  <c r="U83" i="22" s="1"/>
  <c r="U81" i="22" s="1"/>
  <c r="T82" i="22"/>
  <c r="S82" i="22"/>
  <c r="P82" i="22"/>
  <c r="P83" i="22" s="1"/>
  <c r="P81" i="22" s="1"/>
  <c r="O82" i="22"/>
  <c r="N82" i="22"/>
  <c r="N83" i="22" s="1"/>
  <c r="M82" i="22"/>
  <c r="L82" i="22"/>
  <c r="L83" i="22" s="1"/>
  <c r="L81" i="22" s="1"/>
  <c r="I82" i="22"/>
  <c r="I83" i="22" s="1"/>
  <c r="I81" i="22" s="1"/>
  <c r="H82" i="22"/>
  <c r="H83" i="22" s="1"/>
  <c r="H81" i="22" s="1"/>
  <c r="G82" i="22"/>
  <c r="F82" i="22"/>
  <c r="F83" i="22" s="1"/>
  <c r="E82" i="22"/>
  <c r="B82" i="22"/>
  <c r="B83" i="22" s="1"/>
  <c r="B81" i="22" s="1"/>
  <c r="V81" i="22"/>
  <c r="R81" i="22"/>
  <c r="Q81" i="22"/>
  <c r="N81" i="22"/>
  <c r="D81" i="22"/>
  <c r="AF80" i="22"/>
  <c r="AF79" i="22" s="1"/>
  <c r="AF78" i="22" s="1"/>
  <c r="AC80" i="22"/>
  <c r="AC79" i="22" s="1"/>
  <c r="AC78" i="22" s="1"/>
  <c r="AB80" i="22"/>
  <c r="AB79" i="22" s="1"/>
  <c r="AB78" i="22" s="1"/>
  <c r="AA80" i="22"/>
  <c r="Y80" i="22"/>
  <c r="Y79" i="22" s="1"/>
  <c r="Y78" i="22" s="1"/>
  <c r="V80" i="22"/>
  <c r="V79" i="22" s="1"/>
  <c r="V78" i="22" s="1"/>
  <c r="U80" i="22"/>
  <c r="T80" i="22"/>
  <c r="T79" i="22" s="1"/>
  <c r="T78" i="22" s="1"/>
  <c r="S80" i="22"/>
  <c r="S79" i="22" s="1"/>
  <c r="S78" i="22" s="1"/>
  <c r="R80" i="22"/>
  <c r="O80" i="22"/>
  <c r="N80" i="22"/>
  <c r="M80" i="22"/>
  <c r="H80" i="22"/>
  <c r="H79" i="22" s="1"/>
  <c r="H78" i="22" s="1"/>
  <c r="G80" i="22"/>
  <c r="F80" i="22"/>
  <c r="AE79" i="22"/>
  <c r="AE78" i="22" s="1"/>
  <c r="AD79" i="22"/>
  <c r="AD78" i="22" s="1"/>
  <c r="AA79" i="22"/>
  <c r="Z79" i="22"/>
  <c r="Z78" i="22" s="1"/>
  <c r="X79" i="22"/>
  <c r="W79" i="22"/>
  <c r="U79" i="22"/>
  <c r="U78" i="22" s="1"/>
  <c r="R79" i="22"/>
  <c r="R78" i="22" s="1"/>
  <c r="Q79" i="22"/>
  <c r="Q78" i="22" s="1"/>
  <c r="P79" i="22"/>
  <c r="O79" i="22"/>
  <c r="O78" i="22" s="1"/>
  <c r="N79" i="22"/>
  <c r="N78" i="22" s="1"/>
  <c r="M79" i="22"/>
  <c r="M78" i="22" s="1"/>
  <c r="L79" i="22"/>
  <c r="K79" i="22"/>
  <c r="J79" i="22"/>
  <c r="J78" i="22" s="1"/>
  <c r="I79" i="22"/>
  <c r="I78" i="22" s="1"/>
  <c r="G79" i="22"/>
  <c r="F79" i="22"/>
  <c r="E79" i="22"/>
  <c r="E78" i="22" s="1"/>
  <c r="D79" i="22"/>
  <c r="C79" i="22"/>
  <c r="C78" i="22" s="1"/>
  <c r="B79" i="22"/>
  <c r="B78" i="22" s="1"/>
  <c r="AA78" i="22"/>
  <c r="X78" i="22"/>
  <c r="W78" i="22"/>
  <c r="P78" i="22"/>
  <c r="L78" i="22"/>
  <c r="K78" i="22"/>
  <c r="G78" i="22"/>
  <c r="F78" i="22"/>
  <c r="D78" i="22"/>
  <c r="AG77" i="22"/>
  <c r="AG76" i="22"/>
  <c r="AG75" i="22"/>
  <c r="AG74" i="22"/>
  <c r="AG73" i="22"/>
  <c r="AG72" i="22"/>
  <c r="AG71" i="22"/>
  <c r="AG70" i="22"/>
  <c r="AG69" i="22"/>
  <c r="AG68" i="22"/>
  <c r="AG67" i="22"/>
  <c r="AG66" i="22"/>
  <c r="AG65" i="22"/>
  <c r="AG64" i="22"/>
  <c r="AG63" i="22"/>
  <c r="AG62" i="22"/>
  <c r="AG61" i="22"/>
  <c r="AG60" i="22"/>
  <c r="AG59" i="22"/>
  <c r="AG58" i="22"/>
  <c r="AG57" i="22"/>
  <c r="AG56" i="22"/>
  <c r="AG55" i="22"/>
  <c r="AG54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AG52" i="22"/>
  <c r="AG51" i="22"/>
  <c r="AG50" i="22"/>
  <c r="AG49" i="22"/>
  <c r="AG48" i="22"/>
  <c r="AG47" i="22"/>
  <c r="AG46" i="22"/>
  <c r="AG45" i="22"/>
  <c r="AG44" i="22"/>
  <c r="AG43" i="22"/>
  <c r="AG42" i="22"/>
  <c r="AG41" i="22"/>
  <c r="AG40" i="22"/>
  <c r="AG39" i="22"/>
  <c r="AG38" i="22"/>
  <c r="AG37" i="22"/>
  <c r="AG36" i="22"/>
  <c r="AG35" i="22"/>
  <c r="AG34" i="22"/>
  <c r="AG33" i="22"/>
  <c r="AG32" i="22"/>
  <c r="AG31" i="22"/>
  <c r="AG30" i="22"/>
  <c r="AG29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AG27" i="22"/>
  <c r="AG26" i="22"/>
  <c r="AG25" i="22"/>
  <c r="AG24" i="22"/>
  <c r="AG23" i="22"/>
  <c r="AG22" i="22"/>
  <c r="AG21" i="22"/>
  <c r="AG20" i="22"/>
  <c r="AG19" i="22"/>
  <c r="AG18" i="22"/>
  <c r="AG17" i="22"/>
  <c r="AG16" i="22"/>
  <c r="AG15" i="22"/>
  <c r="AG14" i="22"/>
  <c r="AG13" i="22"/>
  <c r="AG12" i="22"/>
  <c r="AG11" i="22"/>
  <c r="AG10" i="22"/>
  <c r="AG9" i="22"/>
  <c r="AG8" i="22"/>
  <c r="AG7" i="22"/>
  <c r="AG6" i="22"/>
  <c r="AG5" i="22"/>
  <c r="AG4" i="22"/>
  <c r="AF3" i="22"/>
  <c r="AE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2" i="22"/>
  <c r="C2" i="22"/>
  <c r="D2" i="22" s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D81" i="22" l="1"/>
  <c r="V81" i="24"/>
  <c r="D148" i="25"/>
  <c r="D146" i="25" s="1"/>
  <c r="D144" i="25" s="1"/>
  <c r="AG3" i="22"/>
  <c r="AG53" i="22"/>
  <c r="AG80" i="22"/>
  <c r="AG28" i="22"/>
  <c r="F81" i="22"/>
  <c r="AG82" i="22"/>
  <c r="Q93" i="24"/>
  <c r="AG79" i="22"/>
  <c r="AG227" i="22"/>
  <c r="D145" i="25"/>
  <c r="D147" i="25"/>
  <c r="D158" i="25"/>
  <c r="C130" i="24"/>
  <c r="AE144" i="24"/>
  <c r="AD93" i="24"/>
  <c r="X144" i="24"/>
  <c r="W144" i="24"/>
  <c r="V93" i="24"/>
  <c r="R93" i="24"/>
  <c r="AE144" i="22"/>
  <c r="O144" i="24"/>
  <c r="N93" i="24"/>
  <c r="J93" i="24"/>
  <c r="H144" i="24"/>
  <c r="AG3" i="24"/>
  <c r="D3" i="25" s="1"/>
  <c r="AG207" i="24"/>
  <c r="D208" i="25" s="1"/>
  <c r="D205" i="25" s="1"/>
  <c r="AG208" i="24"/>
  <c r="D209" i="25" s="1"/>
  <c r="AG148" i="24"/>
  <c r="AG146" i="24" s="1"/>
  <c r="AG137" i="24"/>
  <c r="D137" i="25" s="1"/>
  <c r="D130" i="25" s="1"/>
  <c r="AG84" i="24"/>
  <c r="D84" i="25" s="1"/>
  <c r="AG28" i="24"/>
  <c r="D28" i="25" s="1"/>
  <c r="C204" i="24"/>
  <c r="AG204" i="24" s="1"/>
  <c r="AG158" i="24"/>
  <c r="AG145" i="24"/>
  <c r="AG147" i="24"/>
  <c r="AG87" i="24"/>
  <c r="D87" i="25" s="1"/>
  <c r="AG179" i="24"/>
  <c r="AG174" i="24"/>
  <c r="AG167" i="24"/>
  <c r="AG130" i="24"/>
  <c r="AG53" i="24"/>
  <c r="D53" i="25" s="1"/>
  <c r="AG78" i="24"/>
  <c r="D78" i="25" s="1"/>
  <c r="AG79" i="24"/>
  <c r="D79" i="25" s="1"/>
  <c r="AG100" i="24"/>
  <c r="D100" i="25" s="1"/>
  <c r="B93" i="24"/>
  <c r="AG80" i="24"/>
  <c r="D80" i="25" s="1"/>
  <c r="I83" i="24"/>
  <c r="I81" i="24" s="1"/>
  <c r="M83" i="24"/>
  <c r="M81" i="24" s="1"/>
  <c r="Q81" i="24"/>
  <c r="Y83" i="24"/>
  <c r="Y81" i="24" s="1"/>
  <c r="AC83" i="24"/>
  <c r="AC81" i="24" s="1"/>
  <c r="AG82" i="24"/>
  <c r="D82" i="25" s="1"/>
  <c r="U83" i="24"/>
  <c r="U81" i="24" s="1"/>
  <c r="C93" i="24"/>
  <c r="AG94" i="24"/>
  <c r="D94" i="25" s="1"/>
  <c r="J81" i="24"/>
  <c r="Z81" i="24"/>
  <c r="E83" i="24"/>
  <c r="E81" i="24" s="1"/>
  <c r="AG129" i="24"/>
  <c r="D129" i="25" s="1"/>
  <c r="D116" i="25" s="1"/>
  <c r="E116" i="24"/>
  <c r="AG116" i="24" s="1"/>
  <c r="I144" i="24"/>
  <c r="Q144" i="24"/>
  <c r="Y144" i="24"/>
  <c r="AG158" i="22"/>
  <c r="K144" i="22"/>
  <c r="O144" i="22"/>
  <c r="AA144" i="22"/>
  <c r="AG145" i="22"/>
  <c r="AG147" i="22"/>
  <c r="D144" i="22"/>
  <c r="L144" i="22"/>
  <c r="P144" i="22"/>
  <c r="T144" i="22"/>
  <c r="AB144" i="22"/>
  <c r="AG179" i="22"/>
  <c r="E144" i="22"/>
  <c r="AC144" i="22"/>
  <c r="AG174" i="22"/>
  <c r="AG84" i="22"/>
  <c r="AG87" i="22"/>
  <c r="D93" i="22"/>
  <c r="H93" i="22"/>
  <c r="AG93" i="22" s="1"/>
  <c r="AH93" i="22" s="1"/>
  <c r="T93" i="22"/>
  <c r="X93" i="22"/>
  <c r="AG204" i="22"/>
  <c r="AG78" i="22"/>
  <c r="AG208" i="22"/>
  <c r="J81" i="22"/>
  <c r="O83" i="22"/>
  <c r="O81" i="22" s="1"/>
  <c r="X83" i="22"/>
  <c r="X81" i="22" s="1"/>
  <c r="AG94" i="22"/>
  <c r="AG209" i="22"/>
  <c r="E83" i="22"/>
  <c r="E81" i="22" s="1"/>
  <c r="K83" i="22"/>
  <c r="K81" i="22" s="1"/>
  <c r="AE83" i="22"/>
  <c r="AE81" i="22" s="1"/>
  <c r="AG100" i="22"/>
  <c r="B116" i="22"/>
  <c r="AG116" i="22" s="1"/>
  <c r="AG137" i="22"/>
  <c r="Y130" i="22"/>
  <c r="AG139" i="22"/>
  <c r="Q130" i="22"/>
  <c r="AG148" i="22"/>
  <c r="AG146" i="22" s="1"/>
  <c r="AG223" i="22"/>
  <c r="C81" i="22"/>
  <c r="S81" i="22"/>
  <c r="W81" i="22"/>
  <c r="G83" i="22"/>
  <c r="G81" i="22" s="1"/>
  <c r="AA83" i="22"/>
  <c r="AA81" i="22" s="1"/>
  <c r="M130" i="22"/>
  <c r="AG143" i="22"/>
  <c r="Q144" i="22"/>
  <c r="J204" i="22"/>
  <c r="AC143" i="23"/>
  <c r="AC142" i="23"/>
  <c r="AC137" i="23"/>
  <c r="AC129" i="23"/>
  <c r="AB143" i="23"/>
  <c r="AB142" i="23"/>
  <c r="AB129" i="23"/>
  <c r="AA143" i="23"/>
  <c r="AA142" i="23"/>
  <c r="AA129" i="23"/>
  <c r="Z143" i="23"/>
  <c r="Z142" i="23"/>
  <c r="Z139" i="23"/>
  <c r="Z137" i="23"/>
  <c r="Z129" i="23"/>
  <c r="AH87" i="22" l="1"/>
  <c r="AG144" i="22"/>
  <c r="AH204" i="22"/>
  <c r="AG144" i="24"/>
  <c r="AH87" i="24"/>
  <c r="AG81" i="24"/>
  <c r="AG93" i="24"/>
  <c r="AG83" i="24"/>
  <c r="AG130" i="22"/>
  <c r="AH130" i="22" s="1"/>
  <c r="AH144" i="22"/>
  <c r="AG81" i="22"/>
  <c r="AH81" i="22" s="1"/>
  <c r="AG83" i="22"/>
  <c r="AH84" i="22" s="1"/>
  <c r="Y143" i="23"/>
  <c r="Y142" i="23"/>
  <c r="Y137" i="23"/>
  <c r="Y129" i="23"/>
  <c r="D53" i="23"/>
  <c r="AH204" i="24" l="1"/>
  <c r="D93" i="25"/>
  <c r="AH81" i="24"/>
  <c r="D81" i="25"/>
  <c r="AH84" i="24"/>
  <c r="D83" i="25"/>
  <c r="AH93" i="24"/>
  <c r="AH130" i="24"/>
  <c r="AH144" i="24"/>
  <c r="N195" i="25"/>
  <c r="X143" i="23"/>
  <c r="X134" i="23"/>
  <c r="X142" i="23"/>
  <c r="X139" i="23"/>
  <c r="X137" i="23"/>
  <c r="X129" i="23"/>
  <c r="W143" i="23"/>
  <c r="W142" i="23"/>
  <c r="W129" i="23"/>
  <c r="V143" i="23"/>
  <c r="V142" i="23"/>
  <c r="V137" i="23"/>
  <c r="V129" i="23"/>
  <c r="U143" i="23"/>
  <c r="U142" i="23"/>
  <c r="U139" i="23"/>
  <c r="U134" i="23"/>
  <c r="U129" i="23"/>
  <c r="T143" i="23" l="1"/>
  <c r="T142" i="23"/>
  <c r="T139" i="23"/>
  <c r="T137" i="23"/>
  <c r="T129" i="23"/>
  <c r="S142" i="23"/>
  <c r="S143" i="23"/>
  <c r="S139" i="23"/>
  <c r="S134" i="23"/>
  <c r="S137" i="23"/>
  <c r="S129" i="23"/>
  <c r="R143" i="23"/>
  <c r="R142" i="23"/>
  <c r="R137" i="23"/>
  <c r="R129" i="23"/>
  <c r="Q143" i="23"/>
  <c r="Q142" i="23"/>
  <c r="Q139" i="23"/>
  <c r="Q129" i="23"/>
  <c r="P143" i="23"/>
  <c r="P142" i="23"/>
  <c r="P129" i="23"/>
  <c r="N204" i="23"/>
  <c r="O143" i="23" l="1"/>
  <c r="O142" i="23"/>
  <c r="O139" i="23"/>
  <c r="O137" i="23"/>
  <c r="O129" i="23"/>
  <c r="N143" i="23" l="1"/>
  <c r="N142" i="23"/>
  <c r="N139" i="23"/>
  <c r="N137" i="23"/>
  <c r="N129" i="23"/>
  <c r="M143" i="23"/>
  <c r="M142" i="23"/>
  <c r="M139" i="23"/>
  <c r="M129" i="23"/>
  <c r="L143" i="23" l="1"/>
  <c r="L134" i="23"/>
  <c r="L142" i="23"/>
  <c r="L137" i="23"/>
  <c r="L129" i="23"/>
  <c r="N203" i="25"/>
  <c r="K143" i="23"/>
  <c r="K142" i="23"/>
  <c r="K137" i="23"/>
  <c r="K129" i="23"/>
  <c r="J129" i="23"/>
  <c r="J143" i="23"/>
  <c r="J142" i="23"/>
  <c r="I143" i="23"/>
  <c r="I142" i="23"/>
  <c r="I137" i="23"/>
  <c r="I129" i="23"/>
  <c r="N200" i="25"/>
  <c r="N192" i="25"/>
  <c r="N191" i="25"/>
  <c r="H154" i="23"/>
  <c r="H143" i="23"/>
  <c r="H142" i="23"/>
  <c r="H139" i="23"/>
  <c r="H129" i="23"/>
  <c r="G143" i="23" l="1"/>
  <c r="G142" i="23"/>
  <c r="G137" i="23"/>
  <c r="G129" i="23"/>
  <c r="F143" i="23" l="1"/>
  <c r="F142" i="23"/>
  <c r="F139" i="23"/>
  <c r="F137" i="23"/>
  <c r="F129" i="23"/>
  <c r="E143" i="23"/>
  <c r="E142" i="23"/>
  <c r="E139" i="23"/>
  <c r="E137" i="23"/>
  <c r="E129" i="23"/>
  <c r="D143" i="23"/>
  <c r="D142" i="23"/>
  <c r="D134" i="23"/>
  <c r="D137" i="23"/>
  <c r="C171" i="23"/>
  <c r="C143" i="23"/>
  <c r="C142" i="23"/>
  <c r="C139" i="23"/>
  <c r="C137" i="23"/>
  <c r="B154" i="23"/>
  <c r="B143" i="23" l="1"/>
  <c r="B142" i="23"/>
  <c r="AG142" i="23" s="1"/>
  <c r="C142" i="25" s="1"/>
  <c r="B129" i="23"/>
  <c r="B116" i="23" s="1"/>
  <c r="B139" i="23"/>
  <c r="AG139" i="23" s="1"/>
  <c r="C139" i="25" s="1"/>
  <c r="B137" i="23"/>
  <c r="AG137" i="23" s="1"/>
  <c r="C137" i="25" s="1"/>
  <c r="AG209" i="23"/>
  <c r="C210" i="25" s="1"/>
  <c r="AG208" i="23"/>
  <c r="C209" i="25" s="1"/>
  <c r="AG207" i="23"/>
  <c r="C208" i="25" s="1"/>
  <c r="AG206" i="23"/>
  <c r="C207" i="25" s="1"/>
  <c r="AG205" i="23"/>
  <c r="C206" i="25" s="1"/>
  <c r="AF204" i="23"/>
  <c r="AE204" i="23"/>
  <c r="AD204" i="23"/>
  <c r="AC204" i="23"/>
  <c r="AB204" i="23"/>
  <c r="AA204" i="23"/>
  <c r="Z204" i="23"/>
  <c r="Y204" i="23"/>
  <c r="X204" i="23"/>
  <c r="W204" i="23"/>
  <c r="V204" i="23"/>
  <c r="U204" i="23"/>
  <c r="T204" i="23"/>
  <c r="S204" i="23"/>
  <c r="R204" i="23"/>
  <c r="Q204" i="23"/>
  <c r="P204" i="23"/>
  <c r="O204" i="23"/>
  <c r="M204" i="23"/>
  <c r="L204" i="23"/>
  <c r="K204" i="23"/>
  <c r="J204" i="23"/>
  <c r="I204" i="23"/>
  <c r="H204" i="23"/>
  <c r="G204" i="23"/>
  <c r="F204" i="23"/>
  <c r="E204" i="23"/>
  <c r="D204" i="23"/>
  <c r="C204" i="23"/>
  <c r="B204" i="23"/>
  <c r="N204" i="25"/>
  <c r="AG184" i="23"/>
  <c r="C184" i="25" s="1"/>
  <c r="AG182" i="23"/>
  <c r="C182" i="25" s="1"/>
  <c r="AG181" i="23"/>
  <c r="C181" i="25" s="1"/>
  <c r="AG180" i="23"/>
  <c r="C180" i="25" s="1"/>
  <c r="AF179" i="23"/>
  <c r="AE179" i="23"/>
  <c r="AD179" i="23"/>
  <c r="AC179" i="23"/>
  <c r="AB179" i="23"/>
  <c r="AA179" i="23"/>
  <c r="Z179" i="23"/>
  <c r="Y179" i="23"/>
  <c r="X179" i="23"/>
  <c r="W179" i="23"/>
  <c r="V179" i="23"/>
  <c r="U179" i="23"/>
  <c r="T179" i="23"/>
  <c r="S179" i="23"/>
  <c r="R179" i="23"/>
  <c r="Q179" i="23"/>
  <c r="P179" i="23"/>
  <c r="O179" i="23"/>
  <c r="N179" i="23"/>
  <c r="M179" i="23"/>
  <c r="L179" i="23"/>
  <c r="K179" i="23"/>
  <c r="J179" i="23"/>
  <c r="I179" i="23"/>
  <c r="H179" i="23"/>
  <c r="G179" i="23"/>
  <c r="F179" i="23"/>
  <c r="E179" i="23"/>
  <c r="D179" i="23"/>
  <c r="C179" i="23"/>
  <c r="B179" i="23"/>
  <c r="AG178" i="23"/>
  <c r="AG177" i="23"/>
  <c r="AG176" i="23"/>
  <c r="C176" i="25" s="1"/>
  <c r="AG175" i="23"/>
  <c r="C175" i="25" s="1"/>
  <c r="C174" i="25" s="1"/>
  <c r="AF174" i="23"/>
  <c r="AE174" i="23"/>
  <c r="AD174" i="23"/>
  <c r="AC174" i="23"/>
  <c r="AB174" i="23"/>
  <c r="AA174" i="23"/>
  <c r="Z174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AG173" i="23"/>
  <c r="C173" i="25" s="1"/>
  <c r="AG172" i="23"/>
  <c r="C172" i="25" s="1"/>
  <c r="AG171" i="23"/>
  <c r="C171" i="25" s="1"/>
  <c r="AG170" i="23"/>
  <c r="C170" i="25" s="1"/>
  <c r="AG169" i="23"/>
  <c r="C169" i="25" s="1"/>
  <c r="AG168" i="23"/>
  <c r="C168" i="25" s="1"/>
  <c r="AF167" i="23"/>
  <c r="AE167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AG166" i="23"/>
  <c r="C166" i="25" s="1"/>
  <c r="AG165" i="23"/>
  <c r="C165" i="25" s="1"/>
  <c r="AG164" i="23"/>
  <c r="C164" i="25" s="1"/>
  <c r="AG163" i="23"/>
  <c r="C163" i="25" s="1"/>
  <c r="AG162" i="23"/>
  <c r="C162" i="25" s="1"/>
  <c r="AG161" i="23"/>
  <c r="C161" i="25" s="1"/>
  <c r="AG160" i="23"/>
  <c r="C160" i="25" s="1"/>
  <c r="AG159" i="23"/>
  <c r="C159" i="25" s="1"/>
  <c r="C158" i="25" s="1"/>
  <c r="AF158" i="23"/>
  <c r="AE158" i="23"/>
  <c r="AD158" i="23"/>
  <c r="AC158" i="23"/>
  <c r="AB158" i="23"/>
  <c r="AA158" i="23"/>
  <c r="Z158" i="23"/>
  <c r="Y158" i="23"/>
  <c r="X158" i="23"/>
  <c r="W158" i="23"/>
  <c r="V158" i="23"/>
  <c r="U158" i="23"/>
  <c r="T158" i="23"/>
  <c r="S158" i="23"/>
  <c r="R158" i="23"/>
  <c r="Q158" i="23"/>
  <c r="P158" i="23"/>
  <c r="O158" i="23"/>
  <c r="N158" i="23"/>
  <c r="M158" i="23"/>
  <c r="L158" i="23"/>
  <c r="K158" i="23"/>
  <c r="J158" i="23"/>
  <c r="I158" i="23"/>
  <c r="H158" i="23"/>
  <c r="G158" i="23"/>
  <c r="F158" i="23"/>
  <c r="E158" i="23"/>
  <c r="D158" i="23"/>
  <c r="C158" i="23"/>
  <c r="B158" i="23"/>
  <c r="AG157" i="23"/>
  <c r="C157" i="25" s="1"/>
  <c r="AG156" i="23"/>
  <c r="C156" i="25" s="1"/>
  <c r="AG155" i="23"/>
  <c r="C155" i="25" s="1"/>
  <c r="AG154" i="23"/>
  <c r="C154" i="25" s="1"/>
  <c r="AG153" i="23"/>
  <c r="C153" i="25" s="1"/>
  <c r="AG152" i="23"/>
  <c r="C152" i="25" s="1"/>
  <c r="AG151" i="23"/>
  <c r="C151" i="25" s="1"/>
  <c r="AG150" i="23"/>
  <c r="C150" i="25" s="1"/>
  <c r="AG149" i="23"/>
  <c r="C149" i="25" s="1"/>
  <c r="AF148" i="23"/>
  <c r="AF146" i="23" s="1"/>
  <c r="AF144" i="23" s="1"/>
  <c r="AE148" i="23"/>
  <c r="AE146" i="23" s="1"/>
  <c r="AD148" i="23"/>
  <c r="AD146" i="23" s="1"/>
  <c r="AC148" i="23"/>
  <c r="AC146" i="23" s="1"/>
  <c r="AB148" i="23"/>
  <c r="AB146" i="23" s="1"/>
  <c r="AA148" i="23"/>
  <c r="AA146" i="23" s="1"/>
  <c r="Z148" i="23"/>
  <c r="Z146" i="23" s="1"/>
  <c r="Y148" i="23"/>
  <c r="Y146" i="23" s="1"/>
  <c r="X148" i="23"/>
  <c r="X146" i="23" s="1"/>
  <c r="W148" i="23"/>
  <c r="W146" i="23" s="1"/>
  <c r="V148" i="23"/>
  <c r="V146" i="23" s="1"/>
  <c r="U148" i="23"/>
  <c r="U146" i="23" s="1"/>
  <c r="T148" i="23"/>
  <c r="T146" i="23" s="1"/>
  <c r="S148" i="23"/>
  <c r="S146" i="23" s="1"/>
  <c r="R148" i="23"/>
  <c r="R146" i="23" s="1"/>
  <c r="Q148" i="23"/>
  <c r="Q146" i="23" s="1"/>
  <c r="P148" i="23"/>
  <c r="P146" i="23" s="1"/>
  <c r="O148" i="23"/>
  <c r="O146" i="23" s="1"/>
  <c r="N148" i="23"/>
  <c r="N146" i="23" s="1"/>
  <c r="M148" i="23"/>
  <c r="M146" i="23" s="1"/>
  <c r="M144" i="23" s="1"/>
  <c r="L148" i="23"/>
  <c r="L146" i="23" s="1"/>
  <c r="K148" i="23"/>
  <c r="K146" i="23" s="1"/>
  <c r="J148" i="23"/>
  <c r="J146" i="23" s="1"/>
  <c r="I148" i="23"/>
  <c r="I146" i="23" s="1"/>
  <c r="H148" i="23"/>
  <c r="H146" i="23" s="1"/>
  <c r="H144" i="23" s="1"/>
  <c r="G148" i="23"/>
  <c r="G146" i="23" s="1"/>
  <c r="F148" i="23"/>
  <c r="F146" i="23" s="1"/>
  <c r="E148" i="23"/>
  <c r="E146" i="23" s="1"/>
  <c r="D148" i="23"/>
  <c r="D146" i="23" s="1"/>
  <c r="C148" i="23"/>
  <c r="C146" i="23" s="1"/>
  <c r="B148" i="23"/>
  <c r="B146" i="23" s="1"/>
  <c r="AE147" i="23"/>
  <c r="AD147" i="23"/>
  <c r="AC147" i="23"/>
  <c r="AB147" i="23"/>
  <c r="AA147" i="23"/>
  <c r="Z147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AF145" i="23"/>
  <c r="AE145" i="23"/>
  <c r="AD145" i="23"/>
  <c r="AC145" i="23"/>
  <c r="AB145" i="23"/>
  <c r="AA145" i="23"/>
  <c r="Z145" i="23"/>
  <c r="Y145" i="23"/>
  <c r="X145" i="23"/>
  <c r="W145" i="23"/>
  <c r="V145" i="23"/>
  <c r="U145" i="23"/>
  <c r="T145" i="23"/>
  <c r="S145" i="23"/>
  <c r="R145" i="23"/>
  <c r="Q145" i="23"/>
  <c r="P145" i="23"/>
  <c r="O145" i="23"/>
  <c r="N145" i="23"/>
  <c r="M145" i="23"/>
  <c r="L145" i="23"/>
  <c r="K145" i="23"/>
  <c r="J145" i="23"/>
  <c r="I145" i="23"/>
  <c r="H145" i="23"/>
  <c r="G145" i="23"/>
  <c r="F145" i="23"/>
  <c r="E145" i="23"/>
  <c r="D145" i="23"/>
  <c r="C145" i="23"/>
  <c r="B145" i="23"/>
  <c r="AG143" i="23"/>
  <c r="C143" i="25" s="1"/>
  <c r="AG141" i="23"/>
  <c r="C141" i="25" s="1"/>
  <c r="AG140" i="23"/>
  <c r="C140" i="25" s="1"/>
  <c r="AG138" i="23"/>
  <c r="C138" i="25" s="1"/>
  <c r="AG136" i="23"/>
  <c r="C136" i="25" s="1"/>
  <c r="AG135" i="23"/>
  <c r="C135" i="25" s="1"/>
  <c r="AG134" i="23"/>
  <c r="C134" i="25" s="1"/>
  <c r="AG133" i="23"/>
  <c r="C133" i="25" s="1"/>
  <c r="AG132" i="23"/>
  <c r="C132" i="25" s="1"/>
  <c r="AG131" i="23"/>
  <c r="C131" i="25" s="1"/>
  <c r="C130" i="25" s="1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AG128" i="23"/>
  <c r="AG127" i="23"/>
  <c r="AG126" i="23"/>
  <c r="AG125" i="23"/>
  <c r="AG124" i="23"/>
  <c r="AG123" i="23"/>
  <c r="AG122" i="23"/>
  <c r="AG121" i="23"/>
  <c r="AG120" i="23"/>
  <c r="AG119" i="23"/>
  <c r="AG118" i="23"/>
  <c r="AG117" i="23"/>
  <c r="C117" i="25" s="1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AG115" i="23"/>
  <c r="AG114" i="23"/>
  <c r="C114" i="25" s="1"/>
  <c r="AG113" i="23"/>
  <c r="C113" i="25" s="1"/>
  <c r="AG112" i="23"/>
  <c r="C112" i="25" s="1"/>
  <c r="AG111" i="23"/>
  <c r="C111" i="25" s="1"/>
  <c r="AG110" i="23"/>
  <c r="C110" i="25" s="1"/>
  <c r="AG109" i="23"/>
  <c r="C109" i="25" s="1"/>
  <c r="AG108" i="23"/>
  <c r="C108" i="25" s="1"/>
  <c r="AG107" i="23"/>
  <c r="C107" i="25" s="1"/>
  <c r="AG106" i="23"/>
  <c r="C106" i="25" s="1"/>
  <c r="AG105" i="23"/>
  <c r="C105" i="25" s="1"/>
  <c r="AG104" i="23"/>
  <c r="C104" i="25" s="1"/>
  <c r="AG103" i="23"/>
  <c r="C103" i="25" s="1"/>
  <c r="AG102" i="23"/>
  <c r="C102" i="25" s="1"/>
  <c r="AG101" i="23"/>
  <c r="C101" i="25" s="1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AG99" i="23"/>
  <c r="C99" i="25" s="1"/>
  <c r="AG98" i="23"/>
  <c r="C98" i="25" s="1"/>
  <c r="AG97" i="23"/>
  <c r="C97" i="25" s="1"/>
  <c r="AG96" i="23"/>
  <c r="C96" i="25" s="1"/>
  <c r="AG95" i="23"/>
  <c r="C95" i="25" s="1"/>
  <c r="AF94" i="23"/>
  <c r="AF93" i="23" s="1"/>
  <c r="AE94" i="23"/>
  <c r="AD94" i="23"/>
  <c r="AD93" i="23" s="1"/>
  <c r="AC94" i="23"/>
  <c r="AC93" i="23" s="1"/>
  <c r="AB94" i="23"/>
  <c r="AB93" i="23" s="1"/>
  <c r="AA94" i="23"/>
  <c r="Z94" i="23"/>
  <c r="Z93" i="23" s="1"/>
  <c r="Y94" i="23"/>
  <c r="Y93" i="23" s="1"/>
  <c r="X94" i="23"/>
  <c r="X93" i="23" s="1"/>
  <c r="W94" i="23"/>
  <c r="V94" i="23"/>
  <c r="V93" i="23" s="1"/>
  <c r="U94" i="23"/>
  <c r="U93" i="23" s="1"/>
  <c r="T94" i="23"/>
  <c r="T93" i="23" s="1"/>
  <c r="S94" i="23"/>
  <c r="R94" i="23"/>
  <c r="R93" i="23" s="1"/>
  <c r="Q94" i="23"/>
  <c r="Q93" i="23" s="1"/>
  <c r="P94" i="23"/>
  <c r="P93" i="23" s="1"/>
  <c r="O94" i="23"/>
  <c r="N94" i="23"/>
  <c r="N93" i="23" s="1"/>
  <c r="M94" i="23"/>
  <c r="M93" i="23" s="1"/>
  <c r="L94" i="23"/>
  <c r="L93" i="23" s="1"/>
  <c r="K94" i="23"/>
  <c r="J94" i="23"/>
  <c r="I94" i="23"/>
  <c r="H94" i="23"/>
  <c r="H93" i="23" s="1"/>
  <c r="G94" i="23"/>
  <c r="F94" i="23"/>
  <c r="F93" i="23" s="1"/>
  <c r="E94" i="23"/>
  <c r="E93" i="23" s="1"/>
  <c r="D94" i="23"/>
  <c r="C94" i="23"/>
  <c r="B94" i="23"/>
  <c r="B93" i="23" s="1"/>
  <c r="J93" i="23"/>
  <c r="I93" i="23"/>
  <c r="AG92" i="23"/>
  <c r="C92" i="25" s="1"/>
  <c r="AG91" i="23"/>
  <c r="C91" i="25" s="1"/>
  <c r="AG90" i="23"/>
  <c r="C90" i="25" s="1"/>
  <c r="AG89" i="23"/>
  <c r="C89" i="25" s="1"/>
  <c r="AG88" i="23"/>
  <c r="C88" i="25" s="1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AG86" i="23"/>
  <c r="C86" i="25" s="1"/>
  <c r="AG85" i="23"/>
  <c r="C85" i="25" s="1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Y81" i="23" s="1"/>
  <c r="X83" i="23"/>
  <c r="X81" i="23" s="1"/>
  <c r="R83" i="23"/>
  <c r="R81" i="23" s="1"/>
  <c r="Q83" i="23"/>
  <c r="Q81" i="23" s="1"/>
  <c r="K83" i="23"/>
  <c r="K81" i="23" s="1"/>
  <c r="J83" i="23"/>
  <c r="J81" i="23" s="1"/>
  <c r="D83" i="23"/>
  <c r="C83" i="23"/>
  <c r="C81" i="23" s="1"/>
  <c r="AF82" i="23"/>
  <c r="AF83" i="23" s="1"/>
  <c r="AF81" i="23" s="1"/>
  <c r="AE82" i="23"/>
  <c r="AE83" i="23" s="1"/>
  <c r="AE81" i="23" s="1"/>
  <c r="AD82" i="23"/>
  <c r="AC82" i="23"/>
  <c r="AC83" i="23" s="1"/>
  <c r="AC81" i="23" s="1"/>
  <c r="AB82" i="23"/>
  <c r="AB83" i="23" s="1"/>
  <c r="AB81" i="23" s="1"/>
  <c r="AA82" i="23"/>
  <c r="AA83" i="23" s="1"/>
  <c r="Z82" i="23"/>
  <c r="Z83" i="23" s="1"/>
  <c r="W82" i="23"/>
  <c r="W83" i="23" s="1"/>
  <c r="W81" i="23" s="1"/>
  <c r="V82" i="23"/>
  <c r="V83" i="23" s="1"/>
  <c r="U82" i="23"/>
  <c r="U83" i="23" s="1"/>
  <c r="T82" i="23"/>
  <c r="T83" i="23" s="1"/>
  <c r="S82" i="23"/>
  <c r="S83" i="23" s="1"/>
  <c r="S81" i="23" s="1"/>
  <c r="P82" i="23"/>
  <c r="P83" i="23" s="1"/>
  <c r="P81" i="23" s="1"/>
  <c r="O82" i="23"/>
  <c r="O83" i="23" s="1"/>
  <c r="O81" i="23" s="1"/>
  <c r="N82" i="23"/>
  <c r="M82" i="23"/>
  <c r="M83" i="23" s="1"/>
  <c r="M81" i="23" s="1"/>
  <c r="L82" i="23"/>
  <c r="I82" i="23"/>
  <c r="I83" i="23" s="1"/>
  <c r="H82" i="23"/>
  <c r="H83" i="23" s="1"/>
  <c r="G82" i="23"/>
  <c r="G83" i="23" s="1"/>
  <c r="G81" i="23" s="1"/>
  <c r="F82" i="23"/>
  <c r="E82" i="23"/>
  <c r="E83" i="23" s="1"/>
  <c r="B82" i="23"/>
  <c r="B83" i="23" s="1"/>
  <c r="D81" i="23"/>
  <c r="AF80" i="23"/>
  <c r="AC80" i="23"/>
  <c r="AC79" i="23" s="1"/>
  <c r="AC78" i="23" s="1"/>
  <c r="AB80" i="23"/>
  <c r="AA80" i="23"/>
  <c r="AA79" i="23" s="1"/>
  <c r="AA78" i="23" s="1"/>
  <c r="Y80" i="23"/>
  <c r="Y79" i="23" s="1"/>
  <c r="Y78" i="23" s="1"/>
  <c r="V80" i="23"/>
  <c r="V79" i="23" s="1"/>
  <c r="V78" i="23" s="1"/>
  <c r="U80" i="23"/>
  <c r="U79" i="23" s="1"/>
  <c r="U78" i="23" s="1"/>
  <c r="T80" i="23"/>
  <c r="T79" i="23" s="1"/>
  <c r="T78" i="23" s="1"/>
  <c r="S80" i="23"/>
  <c r="S79" i="23" s="1"/>
  <c r="S78" i="23" s="1"/>
  <c r="R80" i="23"/>
  <c r="R79" i="23" s="1"/>
  <c r="R78" i="23" s="1"/>
  <c r="O80" i="23"/>
  <c r="O79" i="23" s="1"/>
  <c r="O78" i="23" s="1"/>
  <c r="N80" i="23"/>
  <c r="N79" i="23" s="1"/>
  <c r="N78" i="23" s="1"/>
  <c r="M80" i="23"/>
  <c r="M79" i="23" s="1"/>
  <c r="M78" i="23" s="1"/>
  <c r="H80" i="23"/>
  <c r="H79" i="23" s="1"/>
  <c r="H78" i="23" s="1"/>
  <c r="G80" i="23"/>
  <c r="G79" i="23" s="1"/>
  <c r="G78" i="23" s="1"/>
  <c r="F80" i="23"/>
  <c r="F79" i="23" s="1"/>
  <c r="F78" i="23" s="1"/>
  <c r="AF79" i="23"/>
  <c r="AF78" i="23" s="1"/>
  <c r="AE79" i="23"/>
  <c r="AD79" i="23"/>
  <c r="AD78" i="23" s="1"/>
  <c r="AB79" i="23"/>
  <c r="AB78" i="23" s="1"/>
  <c r="Z79" i="23"/>
  <c r="Z78" i="23" s="1"/>
  <c r="X79" i="23"/>
  <c r="X78" i="23" s="1"/>
  <c r="W79" i="23"/>
  <c r="Q79" i="23"/>
  <c r="Q78" i="23" s="1"/>
  <c r="P79" i="23"/>
  <c r="P78" i="23" s="1"/>
  <c r="L79" i="23"/>
  <c r="L78" i="23" s="1"/>
  <c r="K79" i="23"/>
  <c r="J79" i="23"/>
  <c r="J78" i="23" s="1"/>
  <c r="I79" i="23"/>
  <c r="I78" i="23" s="1"/>
  <c r="E79" i="23"/>
  <c r="E78" i="23" s="1"/>
  <c r="D79" i="23"/>
  <c r="D78" i="23" s="1"/>
  <c r="C79" i="23"/>
  <c r="C78" i="23" s="1"/>
  <c r="B79" i="23"/>
  <c r="B78" i="23" s="1"/>
  <c r="AE78" i="23"/>
  <c r="W78" i="23"/>
  <c r="K78" i="23"/>
  <c r="AG77" i="23"/>
  <c r="C77" i="25" s="1"/>
  <c r="AG76" i="23"/>
  <c r="C76" i="25" s="1"/>
  <c r="AG75" i="23"/>
  <c r="C75" i="25" s="1"/>
  <c r="AG74" i="23"/>
  <c r="C74" i="25" s="1"/>
  <c r="AG73" i="23"/>
  <c r="C73" i="25" s="1"/>
  <c r="AG72" i="23"/>
  <c r="C72" i="25" s="1"/>
  <c r="AG71" i="23"/>
  <c r="C71" i="25" s="1"/>
  <c r="AG70" i="23"/>
  <c r="C70" i="25" s="1"/>
  <c r="AG69" i="23"/>
  <c r="C69" i="25" s="1"/>
  <c r="AG68" i="23"/>
  <c r="C68" i="25" s="1"/>
  <c r="AG67" i="23"/>
  <c r="C67" i="25" s="1"/>
  <c r="AG66" i="23"/>
  <c r="C66" i="25" s="1"/>
  <c r="AG65" i="23"/>
  <c r="C65" i="25" s="1"/>
  <c r="AG64" i="23"/>
  <c r="C64" i="25" s="1"/>
  <c r="AG63" i="23"/>
  <c r="C63" i="25" s="1"/>
  <c r="AG62" i="23"/>
  <c r="C62" i="25" s="1"/>
  <c r="AG61" i="23"/>
  <c r="C61" i="25" s="1"/>
  <c r="AG60" i="23"/>
  <c r="C60" i="25" s="1"/>
  <c r="AG59" i="23"/>
  <c r="C59" i="25" s="1"/>
  <c r="AG58" i="23"/>
  <c r="C58" i="25" s="1"/>
  <c r="AG57" i="23"/>
  <c r="C57" i="25" s="1"/>
  <c r="AG56" i="23"/>
  <c r="C56" i="25" s="1"/>
  <c r="AG55" i="23"/>
  <c r="C55" i="25" s="1"/>
  <c r="AG54" i="23"/>
  <c r="C54" i="25" s="1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C53" i="23"/>
  <c r="B53" i="23"/>
  <c r="AG52" i="23"/>
  <c r="C52" i="25" s="1"/>
  <c r="AG51" i="23"/>
  <c r="C51" i="25" s="1"/>
  <c r="AG50" i="23"/>
  <c r="C50" i="25" s="1"/>
  <c r="AG49" i="23"/>
  <c r="C49" i="25" s="1"/>
  <c r="AG48" i="23"/>
  <c r="C48" i="25" s="1"/>
  <c r="AG47" i="23"/>
  <c r="C47" i="25" s="1"/>
  <c r="AG46" i="23"/>
  <c r="C46" i="25" s="1"/>
  <c r="AG45" i="23"/>
  <c r="C45" i="25" s="1"/>
  <c r="AG44" i="23"/>
  <c r="C44" i="25" s="1"/>
  <c r="AG43" i="23"/>
  <c r="C43" i="25" s="1"/>
  <c r="AG42" i="23"/>
  <c r="C42" i="25" s="1"/>
  <c r="AG41" i="23"/>
  <c r="C41" i="25" s="1"/>
  <c r="AG40" i="23"/>
  <c r="C40" i="25" s="1"/>
  <c r="AG39" i="23"/>
  <c r="C39" i="25" s="1"/>
  <c r="AG38" i="23"/>
  <c r="C38" i="25" s="1"/>
  <c r="AG37" i="23"/>
  <c r="C37" i="25" s="1"/>
  <c r="AG36" i="23"/>
  <c r="C36" i="25" s="1"/>
  <c r="AG35" i="23"/>
  <c r="C35" i="25" s="1"/>
  <c r="AG34" i="23"/>
  <c r="C34" i="25" s="1"/>
  <c r="AG33" i="23"/>
  <c r="C33" i="25" s="1"/>
  <c r="AG32" i="23"/>
  <c r="C32" i="25" s="1"/>
  <c r="AG31" i="23"/>
  <c r="C31" i="25" s="1"/>
  <c r="AG30" i="23"/>
  <c r="C30" i="25" s="1"/>
  <c r="AG29" i="23"/>
  <c r="C29" i="25" s="1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AG27" i="23"/>
  <c r="C27" i="25" s="1"/>
  <c r="AG26" i="23"/>
  <c r="C26" i="25" s="1"/>
  <c r="AG25" i="23"/>
  <c r="C25" i="25" s="1"/>
  <c r="AG24" i="23"/>
  <c r="C24" i="25" s="1"/>
  <c r="AG23" i="23"/>
  <c r="C23" i="25" s="1"/>
  <c r="AG22" i="23"/>
  <c r="C22" i="25" s="1"/>
  <c r="AG21" i="23"/>
  <c r="C21" i="25" s="1"/>
  <c r="AG20" i="23"/>
  <c r="C20" i="25" s="1"/>
  <c r="AG19" i="23"/>
  <c r="C19" i="25" s="1"/>
  <c r="AG18" i="23"/>
  <c r="C18" i="25" s="1"/>
  <c r="AG17" i="23"/>
  <c r="C17" i="25" s="1"/>
  <c r="AG16" i="23"/>
  <c r="C16" i="25" s="1"/>
  <c r="AG15" i="23"/>
  <c r="C15" i="25" s="1"/>
  <c r="AG14" i="23"/>
  <c r="C14" i="25" s="1"/>
  <c r="AG13" i="23"/>
  <c r="C13" i="25" s="1"/>
  <c r="AG12" i="23"/>
  <c r="C12" i="25" s="1"/>
  <c r="AG11" i="23"/>
  <c r="C11" i="25" s="1"/>
  <c r="AG10" i="23"/>
  <c r="C10" i="25" s="1"/>
  <c r="AG9" i="23"/>
  <c r="C9" i="25" s="1"/>
  <c r="AG8" i="23"/>
  <c r="C8" i="25" s="1"/>
  <c r="AG7" i="23"/>
  <c r="C7" i="25" s="1"/>
  <c r="AG6" i="23"/>
  <c r="C6" i="25" s="1"/>
  <c r="AG5" i="23"/>
  <c r="C5" i="25" s="1"/>
  <c r="AG4" i="23"/>
  <c r="C4" i="25" s="1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2" i="23"/>
  <c r="C2" i="23"/>
  <c r="D2" i="23" s="1"/>
  <c r="E2" i="23" s="1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C145" i="25" l="1"/>
  <c r="C147" i="25"/>
  <c r="C148" i="25"/>
  <c r="C146" i="25" s="1"/>
  <c r="C144" i="25" s="1"/>
  <c r="C205" i="25"/>
  <c r="C167" i="25"/>
  <c r="C179" i="25"/>
  <c r="U144" i="23"/>
  <c r="AC144" i="23"/>
  <c r="B144" i="23"/>
  <c r="F144" i="23"/>
  <c r="V144" i="23"/>
  <c r="Z144" i="23"/>
  <c r="AD144" i="23"/>
  <c r="R144" i="23"/>
  <c r="N144" i="23"/>
  <c r="AG174" i="23"/>
  <c r="L83" i="23"/>
  <c r="L81" i="23" s="1"/>
  <c r="Q144" i="23"/>
  <c r="Y144" i="23"/>
  <c r="J144" i="23"/>
  <c r="I144" i="23"/>
  <c r="C144" i="23"/>
  <c r="K144" i="23"/>
  <c r="S144" i="23"/>
  <c r="AE144" i="23"/>
  <c r="H81" i="23"/>
  <c r="K93" i="23"/>
  <c r="O93" i="23"/>
  <c r="S93" i="23"/>
  <c r="W93" i="23"/>
  <c r="AA93" i="23"/>
  <c r="AE93" i="23"/>
  <c r="AG129" i="23"/>
  <c r="C129" i="25" s="1"/>
  <c r="C116" i="25" s="1"/>
  <c r="X144" i="23"/>
  <c r="AA81" i="23"/>
  <c r="O144" i="23"/>
  <c r="W144" i="23"/>
  <c r="AA144" i="23"/>
  <c r="I81" i="23"/>
  <c r="P144" i="23"/>
  <c r="AG145" i="23"/>
  <c r="G144" i="23"/>
  <c r="AG167" i="23"/>
  <c r="G93" i="23"/>
  <c r="E144" i="23"/>
  <c r="AG53" i="23"/>
  <c r="C53" i="25" s="1"/>
  <c r="AG28" i="23"/>
  <c r="C28" i="25" s="1"/>
  <c r="AG179" i="23"/>
  <c r="AG158" i="23"/>
  <c r="AG116" i="23"/>
  <c r="AG78" i="23"/>
  <c r="C78" i="25" s="1"/>
  <c r="AG3" i="23"/>
  <c r="C3" i="25" s="1"/>
  <c r="AG147" i="23"/>
  <c r="AG148" i="23"/>
  <c r="AG146" i="23" s="1"/>
  <c r="AG87" i="23"/>
  <c r="C87" i="25" s="1"/>
  <c r="B130" i="23"/>
  <c r="AG130" i="23" s="1"/>
  <c r="AG79" i="23"/>
  <c r="C79" i="25" s="1"/>
  <c r="AG80" i="23"/>
  <c r="C80" i="25" s="1"/>
  <c r="AG100" i="23"/>
  <c r="C100" i="25" s="1"/>
  <c r="C93" i="23"/>
  <c r="D93" i="23"/>
  <c r="AG94" i="23"/>
  <c r="C94" i="25" s="1"/>
  <c r="AG82" i="23"/>
  <c r="C82" i="25" s="1"/>
  <c r="B81" i="23"/>
  <c r="Z81" i="23"/>
  <c r="N83" i="23"/>
  <c r="T81" i="23"/>
  <c r="AG84" i="23"/>
  <c r="C84" i="25" s="1"/>
  <c r="E81" i="23"/>
  <c r="U81" i="23"/>
  <c r="V81" i="23"/>
  <c r="F83" i="23"/>
  <c r="F81" i="23" s="1"/>
  <c r="AD83" i="23"/>
  <c r="AD81" i="23" s="1"/>
  <c r="D144" i="23"/>
  <c r="L144" i="23"/>
  <c r="T144" i="23"/>
  <c r="AB144" i="23"/>
  <c r="AG204" i="23"/>
  <c r="AE143" i="21"/>
  <c r="AE142" i="21"/>
  <c r="AE137" i="21"/>
  <c r="AE129" i="21"/>
  <c r="AD143" i="21"/>
  <c r="AD142" i="21"/>
  <c r="AD137" i="21"/>
  <c r="AD12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C143" i="21"/>
  <c r="AC139" i="21"/>
  <c r="AC137" i="21"/>
  <c r="AC129" i="21"/>
  <c r="AB143" i="21"/>
  <c r="AB142" i="21"/>
  <c r="AB137" i="21"/>
  <c r="AB129" i="21"/>
  <c r="AA143" i="21"/>
  <c r="AA142" i="21"/>
  <c r="AA139" i="21"/>
  <c r="AA129" i="21"/>
  <c r="Z143" i="21"/>
  <c r="Z142" i="21"/>
  <c r="Z129" i="21"/>
  <c r="Y143" i="21"/>
  <c r="Y142" i="21"/>
  <c r="Y139" i="21"/>
  <c r="Y137" i="21"/>
  <c r="Y129" i="21"/>
  <c r="X173" i="21"/>
  <c r="X143" i="21"/>
  <c r="X142" i="21"/>
  <c r="X129" i="21"/>
  <c r="AG83" i="23" l="1"/>
  <c r="N81" i="23"/>
  <c r="AG81" i="23" s="1"/>
  <c r="C81" i="25" s="1"/>
  <c r="AG93" i="23"/>
  <c r="AG144" i="23"/>
  <c r="AH87" i="23"/>
  <c r="W143" i="21"/>
  <c r="W142" i="21"/>
  <c r="W129" i="21"/>
  <c r="V143" i="21"/>
  <c r="V142" i="21"/>
  <c r="V139" i="21"/>
  <c r="V137" i="21"/>
  <c r="V129" i="21"/>
  <c r="U143" i="21"/>
  <c r="U142" i="21"/>
  <c r="U139" i="21"/>
  <c r="U137" i="21"/>
  <c r="U129" i="21"/>
  <c r="T143" i="21"/>
  <c r="T134" i="21"/>
  <c r="T142" i="21"/>
  <c r="T139" i="21"/>
  <c r="T137" i="21"/>
  <c r="T129" i="21"/>
  <c r="S143" i="21"/>
  <c r="S142" i="21"/>
  <c r="S137" i="21"/>
  <c r="S129" i="21"/>
  <c r="AH130" i="23" l="1"/>
  <c r="C93" i="25"/>
  <c r="AH84" i="23"/>
  <c r="C83" i="25"/>
  <c r="AH204" i="23"/>
  <c r="AH93" i="23"/>
  <c r="AH81" i="23"/>
  <c r="AH144" i="23"/>
  <c r="R143" i="21"/>
  <c r="R142" i="21"/>
  <c r="R129" i="21"/>
  <c r="Q143" i="21"/>
  <c r="Q142" i="21"/>
  <c r="Q139" i="21"/>
  <c r="Q137" i="21"/>
  <c r="Q129" i="21"/>
  <c r="P143" i="21"/>
  <c r="P134" i="21"/>
  <c r="P142" i="21"/>
  <c r="P137" i="21"/>
  <c r="P129" i="21"/>
  <c r="O143" i="21"/>
  <c r="O142" i="21"/>
  <c r="O134" i="21"/>
  <c r="O129" i="21"/>
  <c r="AF82" i="21"/>
  <c r="AE82" i="21"/>
  <c r="AD82" i="21"/>
  <c r="AC82" i="21"/>
  <c r="AC83" i="21" s="1"/>
  <c r="Z82" i="21"/>
  <c r="Y82" i="21"/>
  <c r="Y83" i="21" s="1"/>
  <c r="X82" i="21"/>
  <c r="W82" i="21"/>
  <c r="W83" i="21" s="1"/>
  <c r="V82" i="21"/>
  <c r="S82" i="21"/>
  <c r="S83" i="21" s="1"/>
  <c r="R82" i="21"/>
  <c r="Q82" i="21"/>
  <c r="Q83" i="21" s="1"/>
  <c r="P82" i="21"/>
  <c r="O82" i="21"/>
  <c r="O83" i="21" s="1"/>
  <c r="L82" i="21"/>
  <c r="K82" i="21"/>
  <c r="K83" i="21" s="1"/>
  <c r="J82" i="21"/>
  <c r="I82" i="21"/>
  <c r="I83" i="21" s="1"/>
  <c r="H82" i="21"/>
  <c r="E82" i="21"/>
  <c r="E83" i="21" s="1"/>
  <c r="D82" i="21"/>
  <c r="AF83" i="21"/>
  <c r="AE83" i="21"/>
  <c r="AD83" i="21"/>
  <c r="AB83" i="21"/>
  <c r="AA83" i="21"/>
  <c r="Z83" i="21"/>
  <c r="X83" i="21"/>
  <c r="V83" i="21"/>
  <c r="U83" i="21"/>
  <c r="T83" i="21"/>
  <c r="R83" i="21"/>
  <c r="P83" i="21"/>
  <c r="N83" i="21"/>
  <c r="M83" i="21"/>
  <c r="L83" i="21"/>
  <c r="J83" i="21"/>
  <c r="H83" i="21"/>
  <c r="G83" i="21"/>
  <c r="F83" i="21"/>
  <c r="D83" i="21"/>
  <c r="B83" i="21"/>
  <c r="C82" i="21"/>
  <c r="C83" i="21" s="1"/>
  <c r="N143" i="21" l="1"/>
  <c r="N142" i="21"/>
  <c r="N134" i="21"/>
  <c r="N129" i="21"/>
  <c r="M143" i="21"/>
  <c r="M142" i="21"/>
  <c r="M137" i="21"/>
  <c r="M129" i="21"/>
  <c r="L143" i="21"/>
  <c r="L142" i="21"/>
  <c r="L139" i="21"/>
  <c r="L137" i="21"/>
  <c r="L129" i="21"/>
  <c r="K143" i="21"/>
  <c r="K142" i="21"/>
  <c r="K139" i="21"/>
  <c r="K129" i="21"/>
  <c r="AG184" i="21"/>
  <c r="B184" i="25" s="1"/>
  <c r="J143" i="21"/>
  <c r="J134" i="21"/>
  <c r="J142" i="21"/>
  <c r="J139" i="21"/>
  <c r="J129" i="21"/>
  <c r="N184" i="25" l="1"/>
  <c r="I143" i="21"/>
  <c r="I142" i="21"/>
  <c r="I139" i="21"/>
  <c r="I129" i="21"/>
  <c r="H143" i="21" l="1"/>
  <c r="H142" i="21"/>
  <c r="H137" i="21"/>
  <c r="G142" i="21" l="1"/>
  <c r="G143" i="21"/>
  <c r="G139" i="21"/>
  <c r="G129" i="21"/>
  <c r="F143" i="21"/>
  <c r="F134" i="21"/>
  <c r="F142" i="21"/>
  <c r="F129" i="21"/>
  <c r="E143" i="21" l="1"/>
  <c r="E134" i="21"/>
  <c r="E142" i="21"/>
  <c r="E137" i="21"/>
  <c r="E129" i="21"/>
  <c r="E116" i="21" s="1"/>
  <c r="B81" i="21"/>
  <c r="F81" i="21"/>
  <c r="J81" i="21"/>
  <c r="P81" i="21"/>
  <c r="T81" i="21"/>
  <c r="AA81" i="21"/>
  <c r="AB81" i="21"/>
  <c r="Z81" i="21"/>
  <c r="Y81" i="21"/>
  <c r="X81" i="21"/>
  <c r="Q81" i="21"/>
  <c r="D143" i="21"/>
  <c r="D134" i="21"/>
  <c r="D142" i="21"/>
  <c r="D129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F148" i="21"/>
  <c r="AF146" i="21" s="1"/>
  <c r="AE148" i="21"/>
  <c r="AE146" i="21" s="1"/>
  <c r="AD148" i="21"/>
  <c r="AD146" i="21" s="1"/>
  <c r="AC148" i="21"/>
  <c r="AB148" i="21"/>
  <c r="AA148" i="21"/>
  <c r="AA146" i="21" s="1"/>
  <c r="Z148" i="21"/>
  <c r="Z146" i="21" s="1"/>
  <c r="Y148" i="21"/>
  <c r="Y146" i="21" s="1"/>
  <c r="X148" i="21"/>
  <c r="X146" i="21" s="1"/>
  <c r="W148" i="21"/>
  <c r="W146" i="21" s="1"/>
  <c r="V148" i="21"/>
  <c r="U148" i="21"/>
  <c r="T148" i="21"/>
  <c r="T146" i="21" s="1"/>
  <c r="S148" i="21"/>
  <c r="S146" i="21" s="1"/>
  <c r="R148" i="21"/>
  <c r="Q148" i="21"/>
  <c r="P148" i="21"/>
  <c r="O148" i="21"/>
  <c r="O146" i="21" s="1"/>
  <c r="N148" i="21"/>
  <c r="M148" i="21"/>
  <c r="M146" i="21" s="1"/>
  <c r="L148" i="21"/>
  <c r="K148" i="21"/>
  <c r="K146" i="21" s="1"/>
  <c r="J148" i="21"/>
  <c r="J146" i="21" s="1"/>
  <c r="I148" i="21"/>
  <c r="H148" i="21"/>
  <c r="G148" i="21"/>
  <c r="G146" i="21" s="1"/>
  <c r="F148" i="21"/>
  <c r="F146" i="21" s="1"/>
  <c r="E148" i="21"/>
  <c r="E146" i="21" s="1"/>
  <c r="D148" i="21"/>
  <c r="C148" i="21"/>
  <c r="B148" i="21"/>
  <c r="B129" i="21"/>
  <c r="B116" i="21" s="1"/>
  <c r="C143" i="21"/>
  <c r="C142" i="21"/>
  <c r="C139" i="21"/>
  <c r="C137" i="21"/>
  <c r="C130" i="21" s="1"/>
  <c r="C129" i="21"/>
  <c r="C116" i="21" s="1"/>
  <c r="N158" i="21"/>
  <c r="B143" i="21"/>
  <c r="B142" i="21"/>
  <c r="B137" i="21"/>
  <c r="AE81" i="21"/>
  <c r="AD81" i="21"/>
  <c r="W81" i="21"/>
  <c r="I81" i="21"/>
  <c r="AG237" i="21"/>
  <c r="B238" i="25" s="1"/>
  <c r="N238" i="25" s="1"/>
  <c r="AG236" i="21"/>
  <c r="B237" i="25" s="1"/>
  <c r="N237" i="25" s="1"/>
  <c r="AG232" i="21"/>
  <c r="B233" i="25" s="1"/>
  <c r="N233" i="25" s="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G230" i="21"/>
  <c r="AG229" i="21"/>
  <c r="AG228" i="21"/>
  <c r="B229" i="25" s="1"/>
  <c r="AG226" i="21"/>
  <c r="B227" i="25" s="1"/>
  <c r="N227" i="25" s="1"/>
  <c r="AG225" i="21"/>
  <c r="B226" i="25" s="1"/>
  <c r="N226" i="25" s="1"/>
  <c r="AG224" i="21"/>
  <c r="B225" i="25" s="1"/>
  <c r="N225" i="25" s="1"/>
  <c r="AG223" i="21"/>
  <c r="B224" i="25" s="1"/>
  <c r="N224" i="25" s="1"/>
  <c r="AG222" i="21"/>
  <c r="B223" i="25" s="1"/>
  <c r="N223" i="25" s="1"/>
  <c r="AG221" i="21"/>
  <c r="B222" i="25" s="1"/>
  <c r="N222" i="25" s="1"/>
  <c r="AG220" i="21"/>
  <c r="B221" i="25" s="1"/>
  <c r="N221" i="25" s="1"/>
  <c r="AG219" i="21"/>
  <c r="B220" i="25" s="1"/>
  <c r="N220" i="25" s="1"/>
  <c r="AG218" i="21"/>
  <c r="B219" i="25" s="1"/>
  <c r="N219" i="25" s="1"/>
  <c r="AG217" i="21"/>
  <c r="B218" i="25" s="1"/>
  <c r="N218" i="25" s="1"/>
  <c r="AG216" i="21"/>
  <c r="B217" i="25" s="1"/>
  <c r="N217" i="25" s="1"/>
  <c r="AG215" i="21"/>
  <c r="B216" i="25" s="1"/>
  <c r="N216" i="25" s="1"/>
  <c r="AG214" i="21"/>
  <c r="B215" i="25" s="1"/>
  <c r="N215" i="25" s="1"/>
  <c r="AG213" i="21"/>
  <c r="B214" i="25" s="1"/>
  <c r="N214" i="25" s="1"/>
  <c r="AG212" i="21"/>
  <c r="B213" i="25" s="1"/>
  <c r="N213" i="25" s="1"/>
  <c r="AG211" i="21"/>
  <c r="B212" i="25" s="1"/>
  <c r="N212" i="25" s="1"/>
  <c r="AG209" i="21"/>
  <c r="B210" i="25" s="1"/>
  <c r="AG208" i="21"/>
  <c r="B209" i="25" s="1"/>
  <c r="AG207" i="21"/>
  <c r="B208" i="25" s="1"/>
  <c r="AG206" i="21"/>
  <c r="B207" i="25" s="1"/>
  <c r="AG205" i="21"/>
  <c r="B206" i="25" s="1"/>
  <c r="B205" i="25" s="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N202" i="25"/>
  <c r="N201" i="25"/>
  <c r="N199" i="25"/>
  <c r="N198" i="25"/>
  <c r="N197" i="25"/>
  <c r="N193" i="25"/>
  <c r="N190" i="25"/>
  <c r="AG188" i="21"/>
  <c r="B189" i="25" s="1"/>
  <c r="AG187" i="21"/>
  <c r="B188" i="25" s="1"/>
  <c r="AG185" i="21"/>
  <c r="B185" i="25" s="1"/>
  <c r="AG182" i="21"/>
  <c r="B182" i="25" s="1"/>
  <c r="AG181" i="21"/>
  <c r="B181" i="25" s="1"/>
  <c r="AG180" i="21"/>
  <c r="B180" i="25" s="1"/>
  <c r="B179" i="25" s="1"/>
  <c r="AG178" i="21"/>
  <c r="AG177" i="21"/>
  <c r="AG176" i="21"/>
  <c r="B176" i="25" s="1"/>
  <c r="AG175" i="21"/>
  <c r="B175" i="25" s="1"/>
  <c r="B174" i="25" s="1"/>
  <c r="AG173" i="21"/>
  <c r="B173" i="25" s="1"/>
  <c r="AG172" i="21"/>
  <c r="B172" i="25" s="1"/>
  <c r="AG171" i="21"/>
  <c r="B171" i="25" s="1"/>
  <c r="AG170" i="21"/>
  <c r="B170" i="25" s="1"/>
  <c r="AG169" i="21"/>
  <c r="B169" i="25" s="1"/>
  <c r="AG168" i="21"/>
  <c r="B168" i="25" s="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G166" i="21"/>
  <c r="B166" i="25" s="1"/>
  <c r="AG165" i="21"/>
  <c r="B165" i="25" s="1"/>
  <c r="AG164" i="21"/>
  <c r="B164" i="25" s="1"/>
  <c r="AG163" i="21"/>
  <c r="B163" i="25" s="1"/>
  <c r="AG162" i="21"/>
  <c r="B162" i="25" s="1"/>
  <c r="AG161" i="21"/>
  <c r="B161" i="25" s="1"/>
  <c r="AG160" i="21"/>
  <c r="B160" i="25" s="1"/>
  <c r="AG159" i="21"/>
  <c r="B159" i="25" s="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G157" i="21"/>
  <c r="B157" i="25" s="1"/>
  <c r="AG156" i="21"/>
  <c r="B156" i="25" s="1"/>
  <c r="AG155" i="21"/>
  <c r="B155" i="25" s="1"/>
  <c r="AG154" i="21"/>
  <c r="B154" i="25" s="1"/>
  <c r="AG153" i="21"/>
  <c r="B153" i="25" s="1"/>
  <c r="AG152" i="21"/>
  <c r="B152" i="25" s="1"/>
  <c r="AG151" i="21"/>
  <c r="B151" i="25" s="1"/>
  <c r="AG150" i="21"/>
  <c r="B150" i="25" s="1"/>
  <c r="AG149" i="21"/>
  <c r="B149" i="25" s="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C146" i="21"/>
  <c r="AB146" i="21"/>
  <c r="V146" i="21"/>
  <c r="V144" i="21" s="1"/>
  <c r="U146" i="21"/>
  <c r="R146" i="21"/>
  <c r="Q146" i="21"/>
  <c r="Q144" i="21" s="1"/>
  <c r="P146" i="21"/>
  <c r="P144" i="21" s="1"/>
  <c r="N146" i="21"/>
  <c r="L146" i="21"/>
  <c r="I146" i="21"/>
  <c r="H146" i="21"/>
  <c r="D146" i="21"/>
  <c r="B146" i="21"/>
  <c r="B144" i="21" s="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G141" i="21"/>
  <c r="B141" i="25" s="1"/>
  <c r="AG140" i="21"/>
  <c r="B140" i="25" s="1"/>
  <c r="AG139" i="21"/>
  <c r="B139" i="25" s="1"/>
  <c r="AG138" i="21"/>
  <c r="B138" i="25" s="1"/>
  <c r="AG136" i="21"/>
  <c r="B136" i="25" s="1"/>
  <c r="AG135" i="21"/>
  <c r="B135" i="25" s="1"/>
  <c r="AG134" i="21"/>
  <c r="B134" i="25" s="1"/>
  <c r="AG133" i="21"/>
  <c r="B133" i="25" s="1"/>
  <c r="AG132" i="21"/>
  <c r="B132" i="25" s="1"/>
  <c r="AG131" i="21"/>
  <c r="B131" i="25" s="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B130" i="21"/>
  <c r="AG128" i="21"/>
  <c r="AG127" i="21"/>
  <c r="AG126" i="21"/>
  <c r="AG125" i="21"/>
  <c r="AG124" i="21"/>
  <c r="AG123" i="21"/>
  <c r="AG122" i="21"/>
  <c r="AG121" i="21"/>
  <c r="AG120" i="21"/>
  <c r="AG119" i="21"/>
  <c r="AG118" i="21"/>
  <c r="AG117" i="21"/>
  <c r="B117" i="25" s="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D116" i="21"/>
  <c r="AG115" i="21"/>
  <c r="AG114" i="21"/>
  <c r="B114" i="25" s="1"/>
  <c r="AG113" i="21"/>
  <c r="B113" i="25" s="1"/>
  <c r="AG112" i="21"/>
  <c r="AG111" i="21"/>
  <c r="B111" i="25" s="1"/>
  <c r="AG110" i="21"/>
  <c r="B110" i="25" s="1"/>
  <c r="AG109" i="21"/>
  <c r="B109" i="25" s="1"/>
  <c r="AG108" i="21"/>
  <c r="B108" i="25" s="1"/>
  <c r="AG107" i="21"/>
  <c r="B107" i="25" s="1"/>
  <c r="AG106" i="21"/>
  <c r="B106" i="25" s="1"/>
  <c r="AG105" i="21"/>
  <c r="B105" i="25" s="1"/>
  <c r="AG104" i="21"/>
  <c r="B104" i="25" s="1"/>
  <c r="AG103" i="21"/>
  <c r="B103" i="25" s="1"/>
  <c r="AG102" i="21"/>
  <c r="B102" i="25" s="1"/>
  <c r="AG101" i="21"/>
  <c r="B101" i="25" s="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G99" i="21"/>
  <c r="B99" i="25" s="1"/>
  <c r="AG98" i="21"/>
  <c r="B98" i="25" s="1"/>
  <c r="AG97" i="21"/>
  <c r="B97" i="25" s="1"/>
  <c r="AG96" i="21"/>
  <c r="B96" i="25" s="1"/>
  <c r="AG95" i="21"/>
  <c r="B95" i="25" s="1"/>
  <c r="AF94" i="21"/>
  <c r="AE94" i="21"/>
  <c r="AD94" i="21"/>
  <c r="AD93" i="21" s="1"/>
  <c r="AC94" i="21"/>
  <c r="AC93" i="21" s="1"/>
  <c r="AB94" i="21"/>
  <c r="AA94" i="21"/>
  <c r="AA93" i="21" s="1"/>
  <c r="Z94" i="21"/>
  <c r="Z93" i="21" s="1"/>
  <c r="Y94" i="21"/>
  <c r="Y93" i="21" s="1"/>
  <c r="X94" i="21"/>
  <c r="W94" i="21"/>
  <c r="W93" i="21" s="1"/>
  <c r="V94" i="21"/>
  <c r="V93" i="21" s="1"/>
  <c r="U94" i="21"/>
  <c r="U93" i="21" s="1"/>
  <c r="T94" i="21"/>
  <c r="S94" i="21"/>
  <c r="R94" i="21"/>
  <c r="Q94" i="21"/>
  <c r="Q93" i="21" s="1"/>
  <c r="P94" i="21"/>
  <c r="O94" i="21"/>
  <c r="O93" i="21" s="1"/>
  <c r="N94" i="21"/>
  <c r="N93" i="21" s="1"/>
  <c r="M94" i="21"/>
  <c r="M93" i="21" s="1"/>
  <c r="L94" i="21"/>
  <c r="K94" i="21"/>
  <c r="J94" i="21"/>
  <c r="I94" i="21"/>
  <c r="I93" i="21" s="1"/>
  <c r="H94" i="21"/>
  <c r="G94" i="21"/>
  <c r="G93" i="21" s="1"/>
  <c r="F94" i="21"/>
  <c r="F93" i="21" s="1"/>
  <c r="E94" i="21"/>
  <c r="D94" i="21"/>
  <c r="C94" i="21"/>
  <c r="B94" i="21"/>
  <c r="B93" i="21" s="1"/>
  <c r="AE93" i="21"/>
  <c r="S93" i="21"/>
  <c r="R93" i="21"/>
  <c r="K93" i="21"/>
  <c r="J93" i="21"/>
  <c r="C93" i="21"/>
  <c r="AG92" i="21"/>
  <c r="B92" i="25" s="1"/>
  <c r="AG91" i="21"/>
  <c r="B91" i="25" s="1"/>
  <c r="AG90" i="21"/>
  <c r="B90" i="25" s="1"/>
  <c r="AG89" i="21"/>
  <c r="B89" i="25" s="1"/>
  <c r="AG88" i="21"/>
  <c r="B88" i="25" s="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G86" i="21"/>
  <c r="B86" i="25" s="1"/>
  <c r="AG85" i="21"/>
  <c r="B85" i="25" s="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O81" i="21"/>
  <c r="G81" i="21"/>
  <c r="AC81" i="21"/>
  <c r="V81" i="21"/>
  <c r="U81" i="21"/>
  <c r="N81" i="21"/>
  <c r="M81" i="21"/>
  <c r="E81" i="21"/>
  <c r="AF80" i="21"/>
  <c r="AC80" i="21"/>
  <c r="AC79" i="21" s="1"/>
  <c r="AC78" i="21" s="1"/>
  <c r="AB80" i="21"/>
  <c r="AB79" i="21" s="1"/>
  <c r="AB78" i="21" s="1"/>
  <c r="AA80" i="21"/>
  <c r="AA79" i="21" s="1"/>
  <c r="AA78" i="21" s="1"/>
  <c r="Y80" i="21"/>
  <c r="V80" i="21"/>
  <c r="V79" i="21" s="1"/>
  <c r="V78" i="21" s="1"/>
  <c r="U80" i="21"/>
  <c r="U79" i="21" s="1"/>
  <c r="U78" i="21" s="1"/>
  <c r="T80" i="21"/>
  <c r="T79" i="21" s="1"/>
  <c r="T78" i="21" s="1"/>
  <c r="S80" i="21"/>
  <c r="S79" i="21" s="1"/>
  <c r="S78" i="21" s="1"/>
  <c r="R80" i="21"/>
  <c r="O80" i="21"/>
  <c r="O79" i="21" s="1"/>
  <c r="O78" i="21" s="1"/>
  <c r="N80" i="21"/>
  <c r="N79" i="21" s="1"/>
  <c r="N78" i="21" s="1"/>
  <c r="M80" i="21"/>
  <c r="M79" i="21" s="1"/>
  <c r="M78" i="21" s="1"/>
  <c r="H80" i="21"/>
  <c r="H79" i="21" s="1"/>
  <c r="H78" i="21" s="1"/>
  <c r="G80" i="21"/>
  <c r="G79" i="21" s="1"/>
  <c r="G78" i="21" s="1"/>
  <c r="F80" i="21"/>
  <c r="AF79" i="21"/>
  <c r="AF78" i="21" s="1"/>
  <c r="AE79" i="21"/>
  <c r="AD79" i="21"/>
  <c r="Z79" i="21"/>
  <c r="Z78" i="21" s="1"/>
  <c r="Y79" i="21"/>
  <c r="Y78" i="21" s="1"/>
  <c r="X79" i="21"/>
  <c r="W79" i="21"/>
  <c r="R79" i="21"/>
  <c r="R78" i="21" s="1"/>
  <c r="Q79" i="21"/>
  <c r="Q78" i="21" s="1"/>
  <c r="P79" i="21"/>
  <c r="L79" i="21"/>
  <c r="L78" i="21" s="1"/>
  <c r="K79" i="21"/>
  <c r="J79" i="21"/>
  <c r="I79" i="21"/>
  <c r="F79" i="21"/>
  <c r="E79" i="21"/>
  <c r="D79" i="21"/>
  <c r="C79" i="21"/>
  <c r="B79" i="21"/>
  <c r="B78" i="21" s="1"/>
  <c r="AE78" i="21"/>
  <c r="AD78" i="21"/>
  <c r="X78" i="21"/>
  <c r="W78" i="21"/>
  <c r="P78" i="21"/>
  <c r="K78" i="21"/>
  <c r="J78" i="21"/>
  <c r="I78" i="21"/>
  <c r="F78" i="21"/>
  <c r="E78" i="21"/>
  <c r="D78" i="21"/>
  <c r="C78" i="21"/>
  <c r="AG77" i="21"/>
  <c r="B77" i="25" s="1"/>
  <c r="AG76" i="21"/>
  <c r="B76" i="25" s="1"/>
  <c r="AG75" i="21"/>
  <c r="B75" i="25" s="1"/>
  <c r="AG74" i="21"/>
  <c r="B74" i="25" s="1"/>
  <c r="AG73" i="21"/>
  <c r="B73" i="25" s="1"/>
  <c r="AG72" i="21"/>
  <c r="B72" i="25" s="1"/>
  <c r="AG71" i="21"/>
  <c r="B71" i="25" s="1"/>
  <c r="AG70" i="21"/>
  <c r="B70" i="25" s="1"/>
  <c r="AG69" i="21"/>
  <c r="B69" i="25" s="1"/>
  <c r="AG68" i="21"/>
  <c r="B68" i="25" s="1"/>
  <c r="AG67" i="21"/>
  <c r="B67" i="25" s="1"/>
  <c r="AG66" i="21"/>
  <c r="B66" i="25" s="1"/>
  <c r="AG65" i="21"/>
  <c r="B65" i="25" s="1"/>
  <c r="AG64" i="21"/>
  <c r="B64" i="25" s="1"/>
  <c r="AG63" i="21"/>
  <c r="B63" i="25" s="1"/>
  <c r="AG62" i="21"/>
  <c r="B62" i="25" s="1"/>
  <c r="AG61" i="21"/>
  <c r="B61" i="25" s="1"/>
  <c r="AG60" i="21"/>
  <c r="B60" i="25" s="1"/>
  <c r="AG59" i="21"/>
  <c r="B59" i="25" s="1"/>
  <c r="AG58" i="21"/>
  <c r="B58" i="25" s="1"/>
  <c r="AG57" i="21"/>
  <c r="B57" i="25" s="1"/>
  <c r="AG56" i="21"/>
  <c r="B56" i="25" s="1"/>
  <c r="AG55" i="21"/>
  <c r="B55" i="25" s="1"/>
  <c r="AG54" i="21"/>
  <c r="B54" i="25" s="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G52" i="21"/>
  <c r="B52" i="25" s="1"/>
  <c r="AG51" i="21"/>
  <c r="B51" i="25" s="1"/>
  <c r="AG50" i="21"/>
  <c r="B50" i="25" s="1"/>
  <c r="AG49" i="21"/>
  <c r="B49" i="25" s="1"/>
  <c r="AG48" i="21"/>
  <c r="B48" i="25" s="1"/>
  <c r="AG47" i="21"/>
  <c r="B47" i="25" s="1"/>
  <c r="AG46" i="21"/>
  <c r="B46" i="25" s="1"/>
  <c r="AG45" i="21"/>
  <c r="B45" i="25" s="1"/>
  <c r="AG44" i="21"/>
  <c r="B44" i="25" s="1"/>
  <c r="AG43" i="21"/>
  <c r="B43" i="25" s="1"/>
  <c r="AG42" i="21"/>
  <c r="B42" i="25" s="1"/>
  <c r="AG41" i="21"/>
  <c r="B41" i="25" s="1"/>
  <c r="AG40" i="21"/>
  <c r="B40" i="25" s="1"/>
  <c r="AG39" i="21"/>
  <c r="B39" i="25" s="1"/>
  <c r="AG38" i="21"/>
  <c r="B38" i="25" s="1"/>
  <c r="AG37" i="21"/>
  <c r="B37" i="25" s="1"/>
  <c r="AG36" i="21"/>
  <c r="B36" i="25" s="1"/>
  <c r="AG35" i="21"/>
  <c r="B35" i="25" s="1"/>
  <c r="AG34" i="21"/>
  <c r="B34" i="25" s="1"/>
  <c r="AG33" i="21"/>
  <c r="B33" i="25" s="1"/>
  <c r="AG32" i="21"/>
  <c r="B32" i="25" s="1"/>
  <c r="AG31" i="21"/>
  <c r="B31" i="25" s="1"/>
  <c r="AG30" i="21"/>
  <c r="B30" i="25" s="1"/>
  <c r="AG29" i="21"/>
  <c r="B29" i="25" s="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G27" i="21"/>
  <c r="B27" i="25" s="1"/>
  <c r="AG26" i="21"/>
  <c r="B26" i="25" s="1"/>
  <c r="AG25" i="21"/>
  <c r="B25" i="25" s="1"/>
  <c r="AG24" i="21"/>
  <c r="B24" i="25" s="1"/>
  <c r="AG23" i="21"/>
  <c r="B23" i="25" s="1"/>
  <c r="AG22" i="21"/>
  <c r="B22" i="25" s="1"/>
  <c r="AG21" i="21"/>
  <c r="B21" i="25" s="1"/>
  <c r="AG20" i="21"/>
  <c r="B20" i="25" s="1"/>
  <c r="AG19" i="21"/>
  <c r="B19" i="25" s="1"/>
  <c r="AG18" i="21"/>
  <c r="B18" i="25" s="1"/>
  <c r="AG17" i="21"/>
  <c r="B17" i="25" s="1"/>
  <c r="AG16" i="21"/>
  <c r="B16" i="25" s="1"/>
  <c r="AG15" i="21"/>
  <c r="B15" i="25" s="1"/>
  <c r="AG14" i="21"/>
  <c r="B14" i="25" s="1"/>
  <c r="AG13" i="21"/>
  <c r="B13" i="25" s="1"/>
  <c r="AG12" i="21"/>
  <c r="B12" i="25" s="1"/>
  <c r="AG11" i="21"/>
  <c r="B11" i="25" s="1"/>
  <c r="AG10" i="21"/>
  <c r="B10" i="25" s="1"/>
  <c r="AG9" i="21"/>
  <c r="B9" i="25" s="1"/>
  <c r="AG8" i="21"/>
  <c r="B8" i="25" s="1"/>
  <c r="AG7" i="21"/>
  <c r="B7" i="25" s="1"/>
  <c r="AG6" i="21"/>
  <c r="B6" i="25" s="1"/>
  <c r="AG5" i="21"/>
  <c r="B5" i="25" s="1"/>
  <c r="AG4" i="21"/>
  <c r="B4" i="25" s="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2" i="21"/>
  <c r="AD2" i="21" s="1"/>
  <c r="AE2" i="21" s="1"/>
  <c r="AF2" i="21" s="1"/>
  <c r="D2" i="21"/>
  <c r="E2" i="21" s="1"/>
  <c r="F2" i="21" s="1"/>
  <c r="G2" i="21" s="1"/>
  <c r="H2" i="21" s="1"/>
  <c r="I2" i="21" s="1"/>
  <c r="J2" i="21" s="1"/>
  <c r="K2" i="21" s="1"/>
  <c r="L2" i="21" s="1"/>
  <c r="M2" i="21" s="1"/>
  <c r="N2" i="21" s="1"/>
  <c r="O2" i="21" s="1"/>
  <c r="P2" i="21" s="1"/>
  <c r="Q2" i="21" s="1"/>
  <c r="R2" i="21" s="1"/>
  <c r="S2" i="21" s="1"/>
  <c r="T2" i="21" s="1"/>
  <c r="U2" i="21" s="1"/>
  <c r="V2" i="21" s="1"/>
  <c r="W2" i="21" s="1"/>
  <c r="X2" i="21" s="1"/>
  <c r="Y2" i="21" s="1"/>
  <c r="Z2" i="21" s="1"/>
  <c r="AA2" i="21" s="1"/>
  <c r="C2" i="21"/>
  <c r="B112" i="25" l="1"/>
  <c r="N112" i="25" s="1"/>
  <c r="N144" i="21"/>
  <c r="U144" i="21"/>
  <c r="B167" i="25"/>
  <c r="B230" i="25"/>
  <c r="N230" i="25" s="1"/>
  <c r="T144" i="21"/>
  <c r="X144" i="21"/>
  <c r="AF144" i="21"/>
  <c r="B158" i="25"/>
  <c r="B231" i="25"/>
  <c r="N231" i="25" s="1"/>
  <c r="E144" i="21"/>
  <c r="M144" i="21"/>
  <c r="Y144" i="21"/>
  <c r="B145" i="25"/>
  <c r="B147" i="25"/>
  <c r="F144" i="21"/>
  <c r="J144" i="21"/>
  <c r="Z144" i="21"/>
  <c r="AD144" i="21"/>
  <c r="R144" i="21"/>
  <c r="AC144" i="21"/>
  <c r="B148" i="25"/>
  <c r="B146" i="25" s="1"/>
  <c r="B144" i="25" s="1"/>
  <c r="O144" i="21"/>
  <c r="N229" i="25"/>
  <c r="AG231" i="21"/>
  <c r="B232" i="25" s="1"/>
  <c r="N232" i="25" s="1"/>
  <c r="AG227" i="21"/>
  <c r="B228" i="25" s="1"/>
  <c r="N228" i="25" s="1"/>
  <c r="AF93" i="21"/>
  <c r="N11" i="25"/>
  <c r="N19" i="25"/>
  <c r="N27" i="25"/>
  <c r="N9" i="25"/>
  <c r="N13" i="25"/>
  <c r="N17" i="25"/>
  <c r="N21" i="25"/>
  <c r="N25" i="25"/>
  <c r="N35" i="25"/>
  <c r="N39" i="25"/>
  <c r="N43" i="25"/>
  <c r="N47" i="25"/>
  <c r="N51" i="25"/>
  <c r="N57" i="25"/>
  <c r="N61" i="25"/>
  <c r="N65" i="25"/>
  <c r="N69" i="25"/>
  <c r="N73" i="25"/>
  <c r="N77" i="25"/>
  <c r="N96" i="25"/>
  <c r="N106" i="25"/>
  <c r="N110" i="25"/>
  <c r="N114" i="25"/>
  <c r="N135" i="25"/>
  <c r="N140" i="25"/>
  <c r="N152" i="25"/>
  <c r="N156" i="25"/>
  <c r="N163" i="25"/>
  <c r="N173" i="25"/>
  <c r="N209" i="25"/>
  <c r="N6" i="25"/>
  <c r="N10" i="25"/>
  <c r="N14" i="25"/>
  <c r="N18" i="25"/>
  <c r="N22" i="25"/>
  <c r="N26" i="25"/>
  <c r="N32" i="25"/>
  <c r="N36" i="25"/>
  <c r="N40" i="25"/>
  <c r="N44" i="25"/>
  <c r="N48" i="25"/>
  <c r="N52" i="25"/>
  <c r="N58" i="25"/>
  <c r="N62" i="25"/>
  <c r="N66" i="25"/>
  <c r="N70" i="25"/>
  <c r="N74" i="25"/>
  <c r="N92" i="25"/>
  <c r="N97" i="25"/>
  <c r="N107" i="25"/>
  <c r="N111" i="25"/>
  <c r="N132" i="25"/>
  <c r="N136" i="25"/>
  <c r="N141" i="25"/>
  <c r="N164" i="25"/>
  <c r="N170" i="25"/>
  <c r="N175" i="25"/>
  <c r="N188" i="25"/>
  <c r="N210" i="25"/>
  <c r="N7" i="25"/>
  <c r="N15" i="25"/>
  <c r="N23" i="25"/>
  <c r="N33" i="25"/>
  <c r="N37" i="25"/>
  <c r="N41" i="25"/>
  <c r="N45" i="25"/>
  <c r="N49" i="25"/>
  <c r="N59" i="25"/>
  <c r="N63" i="25"/>
  <c r="N67" i="25"/>
  <c r="N71" i="25"/>
  <c r="N75" i="25"/>
  <c r="N89" i="25"/>
  <c r="N104" i="25"/>
  <c r="N108" i="25"/>
  <c r="N133" i="25"/>
  <c r="N138" i="25"/>
  <c r="N154" i="25"/>
  <c r="N161" i="25"/>
  <c r="N165" i="25"/>
  <c r="N171" i="25"/>
  <c r="N181" i="25"/>
  <c r="N189" i="25"/>
  <c r="N207" i="25"/>
  <c r="N8" i="25"/>
  <c r="N12" i="25"/>
  <c r="N16" i="25"/>
  <c r="N20" i="25"/>
  <c r="N24" i="25"/>
  <c r="N30" i="25"/>
  <c r="N34" i="25"/>
  <c r="N38" i="25"/>
  <c r="N42" i="25"/>
  <c r="N46" i="25"/>
  <c r="N50" i="25"/>
  <c r="N56" i="25"/>
  <c r="N60" i="25"/>
  <c r="N64" i="25"/>
  <c r="N68" i="25"/>
  <c r="N72" i="25"/>
  <c r="N76" i="25"/>
  <c r="N90" i="25"/>
  <c r="N99" i="25"/>
  <c r="N101" i="25"/>
  <c r="N105" i="25"/>
  <c r="N109" i="25"/>
  <c r="N113" i="25"/>
  <c r="N134" i="25"/>
  <c r="N139" i="25"/>
  <c r="N151" i="25"/>
  <c r="N162" i="25"/>
  <c r="N166" i="25"/>
  <c r="N172" i="25"/>
  <c r="N182" i="25"/>
  <c r="N208" i="25"/>
  <c r="N29" i="25"/>
  <c r="N55" i="25"/>
  <c r="N117" i="25"/>
  <c r="N150" i="25"/>
  <c r="N176" i="25"/>
  <c r="N4" i="25"/>
  <c r="N85" i="25"/>
  <c r="N102" i="25"/>
  <c r="N131" i="25"/>
  <c r="N159" i="25"/>
  <c r="N54" i="25"/>
  <c r="N88" i="25"/>
  <c r="N149" i="25"/>
  <c r="N180" i="25"/>
  <c r="N206" i="25"/>
  <c r="N95" i="25"/>
  <c r="N147" i="25"/>
  <c r="N155" i="25"/>
  <c r="N168" i="25"/>
  <c r="AE144" i="21"/>
  <c r="AB144" i="21"/>
  <c r="AB93" i="21"/>
  <c r="AA144" i="21"/>
  <c r="X93" i="21"/>
  <c r="W144" i="21"/>
  <c r="T93" i="21"/>
  <c r="S144" i="21"/>
  <c r="P93" i="21"/>
  <c r="L93" i="21"/>
  <c r="K144" i="21"/>
  <c r="I144" i="21"/>
  <c r="H93" i="21"/>
  <c r="AG80" i="21"/>
  <c r="B80" i="25" s="1"/>
  <c r="N80" i="25" s="1"/>
  <c r="AG145" i="21"/>
  <c r="G144" i="21"/>
  <c r="AG28" i="21"/>
  <c r="B28" i="25" s="1"/>
  <c r="AG167" i="21"/>
  <c r="AG158" i="21"/>
  <c r="AG53" i="21"/>
  <c r="B53" i="25" s="1"/>
  <c r="K81" i="21"/>
  <c r="S81" i="21"/>
  <c r="AF81" i="21"/>
  <c r="L81" i="21"/>
  <c r="H81" i="21"/>
  <c r="R81" i="21"/>
  <c r="AG179" i="21"/>
  <c r="AG147" i="21"/>
  <c r="AG142" i="21"/>
  <c r="B142" i="25" s="1"/>
  <c r="AG143" i="21"/>
  <c r="B143" i="25" s="1"/>
  <c r="D81" i="21"/>
  <c r="AG82" i="21"/>
  <c r="B82" i="25" s="1"/>
  <c r="AG174" i="21"/>
  <c r="AG148" i="21"/>
  <c r="AG146" i="21" s="1"/>
  <c r="C146" i="21"/>
  <c r="C144" i="21" s="1"/>
  <c r="H144" i="21"/>
  <c r="L144" i="21"/>
  <c r="AG116" i="21"/>
  <c r="AG129" i="21"/>
  <c r="B129" i="25" s="1"/>
  <c r="B116" i="25" s="1"/>
  <c r="AG100" i="21"/>
  <c r="B100" i="25" s="1"/>
  <c r="AG94" i="21"/>
  <c r="B94" i="25" s="1"/>
  <c r="AG137" i="21"/>
  <c r="B137" i="25" s="1"/>
  <c r="B130" i="25" s="1"/>
  <c r="AG3" i="21"/>
  <c r="B3" i="25" s="1"/>
  <c r="AG78" i="21"/>
  <c r="B78" i="25" s="1"/>
  <c r="AG87" i="21"/>
  <c r="B87" i="25" s="1"/>
  <c r="AG204" i="21"/>
  <c r="AG130" i="21"/>
  <c r="AG84" i="21"/>
  <c r="B84" i="25" s="1"/>
  <c r="N84" i="25" s="1"/>
  <c r="AG83" i="21"/>
  <c r="B83" i="25" s="1"/>
  <c r="AG79" i="21"/>
  <c r="B79" i="25" s="1"/>
  <c r="C81" i="21"/>
  <c r="D93" i="21"/>
  <c r="D144" i="21"/>
  <c r="E93" i="21"/>
  <c r="N158" i="25" l="1"/>
  <c r="N205" i="25"/>
  <c r="N174" i="25"/>
  <c r="N145" i="25"/>
  <c r="N100" i="25"/>
  <c r="N179" i="25"/>
  <c r="N28" i="25"/>
  <c r="O28" i="25" s="1"/>
  <c r="N53" i="25"/>
  <c r="N157" i="25"/>
  <c r="N78" i="25"/>
  <c r="N86" i="25"/>
  <c r="N144" i="25"/>
  <c r="N87" i="25"/>
  <c r="O87" i="25" s="1"/>
  <c r="N142" i="25"/>
  <c r="N3" i="25"/>
  <c r="N82" i="25"/>
  <c r="N98" i="25"/>
  <c r="N160" i="25"/>
  <c r="N153" i="25"/>
  <c r="N103" i="25"/>
  <c r="N185" i="25"/>
  <c r="N169" i="25"/>
  <c r="N91" i="25"/>
  <c r="N31" i="25"/>
  <c r="N5" i="25"/>
  <c r="N129" i="25"/>
  <c r="N137" i="25"/>
  <c r="N143" i="25"/>
  <c r="N167" i="25"/>
  <c r="N148" i="25"/>
  <c r="N146" i="25" s="1"/>
  <c r="N83" i="25"/>
  <c r="AH84" i="21"/>
  <c r="AG93" i="21"/>
  <c r="AH87" i="21"/>
  <c r="AG81" i="21"/>
  <c r="AG144" i="21"/>
  <c r="AH81" i="21" l="1"/>
  <c r="B81" i="25"/>
  <c r="AH130" i="21"/>
  <c r="B93" i="25"/>
  <c r="N93" i="25" s="1"/>
  <c r="N116" i="25"/>
  <c r="AH204" i="21"/>
  <c r="N94" i="25"/>
  <c r="N79" i="25"/>
  <c r="O144" i="25"/>
  <c r="O93" i="25"/>
  <c r="N130" i="25"/>
  <c r="O130" i="25" s="1"/>
  <c r="O84" i="25"/>
  <c r="O205" i="25"/>
  <c r="N81" i="25"/>
  <c r="O81" i="25" s="1"/>
  <c r="AH144" i="21"/>
  <c r="AH9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1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  <author>Cristina Cires V. (CVP)</author>
  </authors>
  <commentList>
    <comment ref="A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220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Cristina Cires V. (CVP):</t>
        </r>
        <r>
          <rPr>
            <sz val="9"/>
            <color indexed="81"/>
            <rFont val="Tahoma"/>
            <family val="2"/>
          </rPr>
          <t xml:space="preserve">
celda "v" SISQ</t>
        </r>
      </text>
    </comment>
    <comment ref="A221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 xml:space="preserve">CELDA "y"
</t>
        </r>
      </text>
    </comment>
    <comment ref="A222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CELDA "z" SISQ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  <author>Cristina Cires V. (CVP)</author>
    <author>Gabriela Cofre C. (CVP)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5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  <comment ref="A220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Cristina Cires V. (CVP):</t>
        </r>
        <r>
          <rPr>
            <sz val="9"/>
            <color indexed="81"/>
            <rFont val="Tahoma"/>
            <family val="2"/>
          </rPr>
          <t xml:space="preserve">
celda "v" SISQ</t>
        </r>
      </text>
    </comment>
    <comment ref="A221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 xml:space="preserve">CELDA "y"
</t>
        </r>
      </text>
    </comment>
    <comment ref="A222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CELDA "z" SISQ</t>
        </r>
      </text>
    </comment>
    <comment ref="W225" authorId="2" shapeId="0" xr:uid="{00000000-0006-0000-0500-00000D000000}">
      <text>
        <r>
          <rPr>
            <b/>
            <sz val="9"/>
            <color indexed="81"/>
            <rFont val="Tahoma"/>
            <family val="2"/>
          </rPr>
          <t>Gabriela Cofre C. (CVP):</t>
        </r>
        <r>
          <rPr>
            <sz val="9"/>
            <color indexed="81"/>
            <rFont val="Tahoma"/>
            <family val="2"/>
          </rPr>
          <t xml:space="preserve">
sabado, domingos y festivos no hay cierre.</t>
        </r>
      </text>
    </comment>
    <comment ref="X225" authorId="2" shapeId="0" xr:uid="{00000000-0006-0000-0500-00000E000000}">
      <text>
        <r>
          <rPr>
            <b/>
            <sz val="9"/>
            <color indexed="81"/>
            <rFont val="Tahoma"/>
            <family val="2"/>
          </rPr>
          <t>Gabriela Cofre C. (CVP):</t>
        </r>
        <r>
          <rPr>
            <sz val="9"/>
            <color indexed="81"/>
            <rFont val="Tahoma"/>
            <family val="2"/>
          </rPr>
          <t xml:space="preserve">
sabado, domingos y festivos no hay cierre.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6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7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8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9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A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D28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HAY 11 PERSONAS CON LA HORA EN BLANCO</t>
        </r>
      </text>
    </comment>
    <comment ref="A116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B00-00000A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N28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14 PERSONAS SIN DATO DE HORA ATENDIDO</t>
        </r>
      </text>
    </comment>
    <comment ref="A116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C00-00000A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2" authorId="0" shapeId="0" xr:uid="{00000000-0006-0000-0D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A193" authorId="0" shapeId="0" xr:uid="{00000000-0006-0000-0E00-000009000000}">
      <text>
        <r>
          <rPr>
            <b/>
            <sz val="11"/>
            <color indexed="81"/>
            <rFont val="Tahoma"/>
            <family val="2"/>
          </rPr>
          <t>EXTRAER REPORTE DE ALCOHOLEMIAS</t>
        </r>
      </text>
    </comment>
  </commentList>
</comments>
</file>

<file path=xl/sharedStrings.xml><?xml version="1.0" encoding="utf-8"?>
<sst xmlns="http://schemas.openxmlformats.org/spreadsheetml/2006/main" count="4005" uniqueCount="621">
  <si>
    <t>Total de Inscritos</t>
  </si>
  <si>
    <t>NSP</t>
  </si>
  <si>
    <t>Traidos por SAMU a SAR</t>
  </si>
  <si>
    <t>Derivado de SAR  a UEH</t>
  </si>
  <si>
    <t>Constatacion de lesiones</t>
  </si>
  <si>
    <t>Alcoholemias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</si>
  <si>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</si>
  <si>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</si>
  <si>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</si>
  <si>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</si>
  <si>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</si>
  <si>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</si>
  <si>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</si>
  <si>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</si>
  <si>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</si>
  <si>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</si>
  <si>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</si>
  <si>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</si>
  <si>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</si>
  <si>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</si>
  <si>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</si>
  <si>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y mas</t>
  </si>
  <si>
    <t>Derivados de SAPU  a SAR</t>
  </si>
  <si>
    <t>Ultraestación</t>
  </si>
  <si>
    <t>Los Volcanes</t>
  </si>
  <si>
    <t>Isabel Riquelme</t>
  </si>
  <si>
    <t>Sol de Oriente</t>
  </si>
  <si>
    <t>San Ramón Nonato</t>
  </si>
  <si>
    <t>Federico Puga</t>
  </si>
  <si>
    <t>Michelle Bachelet</t>
  </si>
  <si>
    <t>Coihueco</t>
  </si>
  <si>
    <t>Pinto</t>
  </si>
  <si>
    <t>Portezuelo</t>
  </si>
  <si>
    <t>00:00</t>
  </si>
  <si>
    <t>01:00</t>
  </si>
  <si>
    <t>02:00</t>
  </si>
  <si>
    <t>03:00</t>
  </si>
  <si>
    <t>06:00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</si>
  <si>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</si>
  <si>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</si>
  <si>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</si>
  <si>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</si>
  <si>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</si>
  <si>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</si>
  <si>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</si>
  <si>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</si>
  <si>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</si>
  <si>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</si>
  <si>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</si>
  <si>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</si>
  <si>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</si>
  <si>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04:00</t>
  </si>
  <si>
    <t>05:00</t>
  </si>
  <si>
    <t>07:00</t>
  </si>
  <si>
    <t>08:00</t>
  </si>
  <si>
    <t>09:00</t>
  </si>
  <si>
    <t>10:00</t>
  </si>
  <si>
    <t>PAR</t>
  </si>
  <si>
    <t>SAR</t>
  </si>
  <si>
    <t>Violeta Parra</t>
  </si>
  <si>
    <t>Otros</t>
  </si>
  <si>
    <t>CENTRO DE SALUD INSCRITO</t>
  </si>
  <si>
    <t>CONSULTA ESPONTANEA</t>
  </si>
  <si>
    <t>Accidentes Escolares</t>
  </si>
  <si>
    <t>TIEMPOS DE ESPERA</t>
  </si>
  <si>
    <t>Menor 15 años</t>
  </si>
  <si>
    <t>Mayor de 15 años</t>
  </si>
  <si>
    <t>UE Adulto a SAR</t>
  </si>
  <si>
    <t>UE Pediatrica a SAR</t>
  </si>
  <si>
    <t>Redirec. de UEH a SAR</t>
  </si>
  <si>
    <t xml:space="preserve"> 2 - 4</t>
  </si>
  <si>
    <t>Derivados de SUR a SAR</t>
  </si>
  <si>
    <t>C1</t>
  </si>
  <si>
    <t>C2</t>
  </si>
  <si>
    <t>C3</t>
  </si>
  <si>
    <t>C4</t>
  </si>
  <si>
    <t>C5</t>
  </si>
  <si>
    <t>ADM. - CAT.</t>
  </si>
  <si>
    <t>CAT. - A. MEDICA</t>
  </si>
  <si>
    <t>A. MEDICA - EGRESO</t>
  </si>
  <si>
    <t>TOTAL</t>
  </si>
  <si>
    <t>Menor 1 Año</t>
  </si>
  <si>
    <t>1 Año</t>
  </si>
  <si>
    <t>TOTAL TRIAGE</t>
  </si>
  <si>
    <t>PROC. EXTERNA</t>
  </si>
  <si>
    <t>SISQ</t>
  </si>
  <si>
    <t>Sin Centro de Salud</t>
  </si>
  <si>
    <t>Otros Derivados</t>
  </si>
  <si>
    <t>VIF</t>
  </si>
  <si>
    <t>TOTAL ATENDIDOS</t>
  </si>
  <si>
    <t>TOTAL RX</t>
  </si>
  <si>
    <t>HORA CIERRE DE INSCRIPCION</t>
  </si>
  <si>
    <t>SALIDA DE AMBULANCIA</t>
  </si>
  <si>
    <t>SERVICIOS GENERALES</t>
  </si>
  <si>
    <t>HORARIO DIURNO (08:00 - 17:00)</t>
  </si>
  <si>
    <t>HORARIO SAR (17:00 - 07:59)</t>
  </si>
  <si>
    <t>RECAUDACION</t>
  </si>
  <si>
    <t>RECHAZOS</t>
  </si>
  <si>
    <t>TOTAL NSP</t>
  </si>
  <si>
    <t>TOTAL PACIENTES INSCRITOS</t>
  </si>
  <si>
    <t>&lt; 1 año</t>
  </si>
  <si>
    <t>1 - 4 años</t>
  </si>
  <si>
    <t>5 - 9 años</t>
  </si>
  <si>
    <t>10 - 14 años</t>
  </si>
  <si>
    <t>ACTIVID. KINE. SAR</t>
  </si>
  <si>
    <t>ACTIVID. KINE. RAYEN (DIURNO)</t>
  </si>
  <si>
    <t xml:space="preserve">OTRAS SALIDAS </t>
  </si>
  <si>
    <t>Total de atendidos</t>
  </si>
  <si>
    <t>Total de NSP</t>
  </si>
  <si>
    <t>CENTRO DE SALUD ATENDIDO</t>
  </si>
  <si>
    <t>ADM. - CAT. 17:00</t>
  </si>
  <si>
    <t>ADM. - CAT. 18:00</t>
  </si>
  <si>
    <t>ADM. - CAT. 19:00</t>
  </si>
  <si>
    <t>ADM. - CAT. 20:00</t>
  </si>
  <si>
    <t>ADM. - CAT. 21:00</t>
  </si>
  <si>
    <t>ADM. - CAT. 22:00</t>
  </si>
  <si>
    <t>ADM. - CAT. 23:00</t>
  </si>
  <si>
    <t>ADM. - CAT. 24:00</t>
  </si>
  <si>
    <t>ADM. - EGRESO</t>
  </si>
  <si>
    <t>ADULTOS</t>
  </si>
  <si>
    <t>PEDIATRICOS</t>
  </si>
  <si>
    <t>JULIO</t>
  </si>
  <si>
    <t>Accidente de Transito</t>
  </si>
  <si>
    <t>Accidente Otro Tipo</t>
  </si>
  <si>
    <t>Intoxicación por Alimentos</t>
  </si>
  <si>
    <t>Mordedura de Gato</t>
  </si>
  <si>
    <t>Mordedura de Perro</t>
  </si>
  <si>
    <t>SIN CATEGORIZACIÓN nsp</t>
  </si>
  <si>
    <t>OTROS NSP</t>
  </si>
  <si>
    <t>AGOSTO</t>
  </si>
  <si>
    <t>NSP Infantil + Adultos</t>
  </si>
  <si>
    <t>NSP Infantil</t>
  </si>
  <si>
    <t>NSP Adultos</t>
  </si>
  <si>
    <t>SEPTIEMBRE</t>
  </si>
  <si>
    <t>OCTUBRE</t>
  </si>
  <si>
    <t>NOVIEMBRE</t>
  </si>
  <si>
    <t>DICIEMBRE</t>
  </si>
  <si>
    <t>MEDIO DE LLEGADA</t>
  </si>
  <si>
    <t>DESTINO</t>
  </si>
  <si>
    <t>Accidentes en el Hogar</t>
  </si>
  <si>
    <t>EST. ORIGEN</t>
  </si>
  <si>
    <t>Accidente trabajo Obrero</t>
  </si>
  <si>
    <t>Accidente por Agresion</t>
  </si>
  <si>
    <t>Intoxicación por Medicamentos</t>
  </si>
  <si>
    <t>NSP PEDIATRICOS (&lt;15 AÑOS)</t>
  </si>
  <si>
    <t>NSP ADULTOS</t>
  </si>
  <si>
    <t>NSP PEDIATR. / ADULTOS</t>
  </si>
  <si>
    <t>NSP CATEGORIZACION</t>
  </si>
  <si>
    <t>TOTAL J</t>
  </si>
  <si>
    <t>TOTAL MOTIVO CONSULTA</t>
  </si>
  <si>
    <t>CAT. A BOX</t>
  </si>
  <si>
    <t xml:space="preserve">TOTAL EGRESO </t>
  </si>
  <si>
    <t xml:space="preserve">ESPERA ATENCION </t>
  </si>
  <si>
    <t>ENERO</t>
  </si>
  <si>
    <t>FEBRERO</t>
  </si>
  <si>
    <t>MARZO</t>
  </si>
  <si>
    <t>ABRIL</t>
  </si>
  <si>
    <t>MAYO</t>
  </si>
  <si>
    <t>JUNIO</t>
  </si>
  <si>
    <t xml:space="preserve">    IRA Alta (J00-J06)</t>
  </si>
  <si>
    <t xml:space="preserve">    Influenza (J09-J11)</t>
  </si>
  <si>
    <t xml:space="preserve">    Neumonía (J12-J18)</t>
  </si>
  <si>
    <t xml:space="preserve">    Bronquitis/bronquiolitis aguda (J20-J21)</t>
  </si>
  <si>
    <t xml:space="preserve">    Crisis obstructiva bronquial (J40-J46)</t>
  </si>
  <si>
    <t xml:space="preserve">    Otra causa respiratoria (J22 , J30-J39, J47, J60-J98)</t>
  </si>
  <si>
    <t>Accidente Bicicleta</t>
  </si>
  <si>
    <t>Mordedura de  Raton</t>
  </si>
  <si>
    <t>Intoxicación por Quimicos</t>
  </si>
  <si>
    <t>Accidente por Asalto</t>
  </si>
  <si>
    <t>Accidente por caida de Animal</t>
  </si>
  <si>
    <t>Mordedura de Araña</t>
  </si>
  <si>
    <t xml:space="preserve"> </t>
  </si>
  <si>
    <t>Autoagresion</t>
  </si>
  <si>
    <t>X X X X X</t>
  </si>
  <si>
    <t>Derivado al Servicio Medico Legal</t>
  </si>
  <si>
    <t>Agresor Sexual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</si>
  <si>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</si>
  <si>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</si>
  <si>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</si>
  <si>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</si>
  <si>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</si>
  <si>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</si>
  <si>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</si>
  <si>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</si>
  <si>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</si>
  <si>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</si>
  <si>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</si>
  <si>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</si>
  <si>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</si>
  <si>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</si>
  <si>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</si>
  <si>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</si>
  <si>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</si>
  <si>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</si>
  <si>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</si>
  <si>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</si>
  <si>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</si>
  <si>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</si>
  <si>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</si>
  <si>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</si>
  <si>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</si>
  <si>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</si>
  <si>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</si>
  <si>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</si>
  <si>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</si>
  <si>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</si>
  <si>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</si>
  <si>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</si>
  <si>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</si>
  <si>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</si>
  <si>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</si>
  <si>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(CRUP)</t>
  </si>
  <si>
    <t>J051</t>
  </si>
  <si>
    <t>EPIGLOTITIS AGUDA</t>
  </si>
  <si>
    <t>J060</t>
  </si>
  <si>
    <t>LARINGOFARINGITIS AGUDA</t>
  </si>
  <si>
    <t>J068</t>
  </si>
  <si>
    <t>OTRAS INFECCIONES AGUDAS DE SITIOS MULTIPLES DE LAS VÍAS RESPIRATORIAS SUPERIORES</t>
  </si>
  <si>
    <t>J069</t>
  </si>
  <si>
    <t>INFECCION AGUDA DE LAS VÍAS RESPIRATORIAS SUPERIORES, NO ESPECIFICADA</t>
  </si>
  <si>
    <t>J09X</t>
  </si>
  <si>
    <t>INFLUENZA DEBIDA A CIERTOS VIRUS DE LA INFLUENZA IDENTIFICADOS</t>
  </si>
  <si>
    <t>J100</t>
  </si>
  <si>
    <t>INFLUENZA CON NEUMONIA, DEBIDA A VIRUS DE LA INFLUENZA IDENTIFICADO</t>
  </si>
  <si>
    <t>J101</t>
  </si>
  <si>
    <t>INFLUENZA CON OTRAS MANIFESTACIONES RESPIRATORIAS, DEBIDA A VIRUS DE LA INFLUENZA IDENTIFICADO</t>
  </si>
  <si>
    <t>J108</t>
  </si>
  <si>
    <t>INFLUENZA, CON OTRAS MANIFESTACIONES, DEBIDA A VIRUS DE LA INFLUENZA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</si>
  <si>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</si>
  <si>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</si>
  <si>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</si>
  <si>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</si>
  <si>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</si>
  <si>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</si>
  <si>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</si>
  <si>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</si>
  <si>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</si>
  <si>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SINCICIAL RESPIRATORIO</t>
  </si>
  <si>
    <t>J122</t>
  </si>
  <si>
    <t>NEUMONIA DEBIDA A VIRUS PARAINFLUENZA</t>
  </si>
  <si>
    <t>J123</t>
  </si>
  <si>
    <t>NEUMONÍA DEBIDA A METANEUMOVIRUS HUMANO</t>
  </si>
  <si>
    <t>J128</t>
  </si>
  <si>
    <t>NEUMONIA DEBIDA A OTROS VIRUS</t>
  </si>
  <si>
    <t>J129</t>
  </si>
  <si>
    <t>NEUMONIA VIRAL, NO ESPECIFICADA (VIRUS)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</si>
  <si>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</si>
  <si>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</si>
  <si>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</si>
  <si>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</si>
  <si>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</si>
  <si>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</si>
  <si>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</si>
  <si>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</si>
  <si>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</si>
  <si>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</si>
  <si>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</si>
  <si>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</si>
  <si>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</si>
  <si>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</si>
  <si>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</si>
  <si>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</si>
  <si>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</si>
  <si>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</si>
  <si>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</si>
  <si>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</si>
  <si>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</si>
  <si>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</si>
  <si>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</si>
  <si>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</si>
  <si>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</si>
  <si>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</si>
  <si>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</si>
  <si>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</si>
  <si>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</si>
  <si>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</si>
  <si>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</si>
  <si>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</si>
  <si>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</si>
  <si>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</si>
  <si>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</si>
  <si>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</si>
  <si>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</si>
  <si>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</si>
  <si>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</si>
  <si>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</si>
  <si>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</si>
  <si>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</si>
  <si>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</si>
  <si>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</si>
  <si>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</si>
  <si>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</si>
  <si>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</si>
  <si>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</si>
  <si>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</si>
  <si>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</si>
  <si>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</si>
  <si>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</si>
  <si>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</si>
  <si>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</si>
  <si>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</si>
  <si>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</si>
  <si>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</si>
  <si>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ESPECIFICADO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</si>
  <si>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</si>
  <si>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</si>
  <si>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</si>
  <si>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</si>
  <si>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</si>
  <si>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</si>
  <si>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</si>
  <si>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</si>
  <si>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</si>
  <si>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VÍAS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</si>
  <si>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</si>
  <si>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</si>
  <si>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</si>
  <si>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</si>
  <si>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</si>
  <si>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</si>
  <si>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</si>
  <si>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</si>
  <si>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</si>
  <si>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</si>
  <si>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</si>
  <si>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</si>
  <si>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</si>
  <si>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</si>
  <si>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</si>
  <si>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</si>
  <si>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</si>
  <si>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</si>
  <si>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</si>
  <si>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</si>
  <si>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</si>
  <si>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</si>
  <si>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</si>
  <si>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</si>
  <si>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</si>
  <si>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</si>
  <si>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</si>
  <si>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</si>
  <si>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</si>
  <si>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</si>
  <si>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</si>
  <si>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</si>
  <si>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</si>
  <si>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</si>
  <si>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</si>
  <si>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</si>
  <si>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</si>
  <si>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</si>
  <si>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</si>
  <si>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CARBUNCO DE LA NARIZ</t>
  </si>
  <si>
    <t>J341</t>
  </si>
  <si>
    <t>QUISTE Y MUCOCELE DE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</si>
  <si>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</si>
  <si>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</si>
  <si>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</si>
  <si>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</si>
  <si>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</si>
  <si>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</si>
  <si>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</si>
  <si>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</si>
  <si>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</si>
  <si>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</si>
  <si>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</si>
  <si>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</si>
  <si>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</si>
  <si>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</si>
  <si>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</si>
  <si>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CRÓNICAS DE LAS AMIGDALAS Y DE LAS ADENOIDES</t>
  </si>
  <si>
    <t>J359</t>
  </si>
  <si>
    <t>ENFERMEDAD CRONICA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</si>
  <si>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</si>
  <si>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</si>
  <si>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</si>
  <si>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</si>
  <si>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</si>
  <si>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</si>
  <si>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</si>
  <si>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</si>
  <si>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</si>
  <si>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</si>
  <si>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</si>
  <si>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</si>
  <si>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</si>
  <si>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</si>
  <si>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</si>
  <si>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</si>
  <si>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</si>
  <si>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</si>
  <si>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</si>
  <si>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</si>
  <si>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</si>
  <si>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</si>
  <si>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</si>
  <si>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</si>
  <si>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</si>
  <si>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</si>
  <si>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</si>
  <si>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</si>
  <si>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</si>
  <si>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VÍAS RESPIRATORIAS SUPERIORES, SITIO NO ESPECIFICADO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</si>
  <si>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</si>
  <si>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</si>
  <si>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</si>
  <si>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</si>
  <si>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</si>
  <si>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</si>
  <si>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</si>
  <si>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</si>
  <si>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</si>
  <si>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</si>
  <si>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</si>
  <si>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</si>
  <si>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</si>
  <si>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</si>
  <si>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</si>
  <si>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</si>
  <si>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</si>
  <si>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</si>
  <si>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</si>
  <si>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</si>
  <si>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</si>
  <si>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</si>
  <si>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</si>
  <si>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</si>
  <si>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</si>
  <si>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PULMÓNAR OBSTRUCTIVA CRONICA C/INFECC. AG.DE VÍAS RESPIRATORIAS INFERIORES</t>
  </si>
  <si>
    <t>J441</t>
  </si>
  <si>
    <t>ENFERMEDAD PULMÓNAR OBSTRUCTIVA CRONICA CON EXACERBACION AGUDA, NO ESPECIFICADA</t>
  </si>
  <si>
    <t>J448</t>
  </si>
  <si>
    <t>OTRAS ENFERMEDADES PULMÓNARES OBSTRUCTIVAS CRÓNICAS ESPECIFICADAS</t>
  </si>
  <si>
    <t>J449</t>
  </si>
  <si>
    <t>ENFERMEDAD PULMÓNAR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</si>
  <si>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</si>
  <si>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</si>
  <si>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</si>
  <si>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</si>
  <si>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</si>
  <si>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</si>
  <si>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</si>
  <si>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</si>
  <si>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</si>
  <si>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</si>
  <si>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</si>
  <si>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</si>
  <si>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</si>
  <si>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</si>
  <si>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</si>
  <si>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</si>
  <si>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</si>
  <si>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 (SILICE)</t>
  </si>
  <si>
    <t>J628</t>
  </si>
  <si>
    <t>NEUMOCONIOSIS DEBIDA A OTROS POLVOS QUE CONTIENEN SILICE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</si>
  <si>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</si>
  <si>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</si>
  <si>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</si>
  <si>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</si>
  <si>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</si>
  <si>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</si>
  <si>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</si>
  <si>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</si>
  <si>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</si>
  <si>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</si>
  <si>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</si>
  <si>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</si>
  <si>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</si>
  <si>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</si>
  <si>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</si>
  <si>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</si>
  <si>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</si>
  <si>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 ASOCIADA CON TUBERCULOSIS</t>
  </si>
  <si>
    <t>J676</t>
  </si>
  <si>
    <t>PULMÓN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</si>
  <si>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</si>
  <si>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</si>
  <si>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</si>
  <si>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</si>
  <si>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</si>
  <si>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</si>
  <si>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</si>
  <si>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QUÍMICAS</t>
  </si>
  <si>
    <t>J681</t>
  </si>
  <si>
    <t>EDEMA PULMÓNAR AGUDO DEBIDO A INHALACION DE GASES, HUMOS, VAPORES Y SUSTANCIAS QUÍMICAS</t>
  </si>
  <si>
    <t>J682</t>
  </si>
  <si>
    <t>INFLAMAC.RESPIRAT.SUP. DEB.A INHALAC. GASES, HUMOS, VAPORES Y SUST. QUÍMICAS, NCOP</t>
  </si>
  <si>
    <t>J683</t>
  </si>
  <si>
    <t>OTRAS AFECC.RESPIRAT.AG. Y SUBAG. DEB. A INHALAC.DE GASES, HUMOS, VAPORES Y SUST. QUÍMICAS</t>
  </si>
  <si>
    <t>J684</t>
  </si>
  <si>
    <t>AFECCIONES RESPIRAT.CRÓNICAS DEB.A INHALAC. DE GASES, HUMOS, VAPORES Y SUSTANCIAS QUÍMICAS</t>
  </si>
  <si>
    <t>J688</t>
  </si>
  <si>
    <t>OTRAS AFECC.RESPIRAT.DEB. A INHALACION DE GASES, HUMOS, VAPORES Y SUSTANCIAS QUÍMICAS</t>
  </si>
  <si>
    <t>J689</t>
  </si>
  <si>
    <t>AFECC.RESPIRAT.NO ESPECIFIC., DEB. A INHALACION DE GASES, HUMOS, VAPORES Y SUSTANCIAS QUÍMICAS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</si>
  <si>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</si>
  <si>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</si>
  <si>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</si>
  <si>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</si>
  <si>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</si>
  <si>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</si>
  <si>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</si>
  <si>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PULMÓNARES AGUDAS DEBIDAS A RADIACION</t>
  </si>
  <si>
    <t>J701</t>
  </si>
  <si>
    <t>MANIFESTACIONES PULMÓNARES CRÓNICAS Y OTRAS MANIFESTACIONES DEBIDAS A RADIACION</t>
  </si>
  <si>
    <t>J702</t>
  </si>
  <si>
    <t>TRASTORNOS PULMÓNARES INTERSTICIALES AGUDOS INDUCIDOS POR DROGAS</t>
  </si>
  <si>
    <t>J703</t>
  </si>
  <si>
    <t>TRASTORNOS PULMÓNARES INTERSTICIALES CRONICOS INDUCIDOS POR DROGAS</t>
  </si>
  <si>
    <t>J704</t>
  </si>
  <si>
    <t>TRASTORNOS PULMÓNARES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</si>
  <si>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</si>
  <si>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</si>
  <si>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</si>
  <si>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</si>
  <si>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</si>
  <si>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</si>
  <si>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</si>
  <si>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PULMÓNAR</t>
  </si>
  <si>
    <t>J82X</t>
  </si>
  <si>
    <t>EOSINOFILIA PULMÓNAR, NO CLASIFICADA EN OTRA PARTE</t>
  </si>
  <si>
    <t>J840</t>
  </si>
  <si>
    <t>AFECCIONES ALVEOLARES Y ALVEOLOPARIETALES</t>
  </si>
  <si>
    <t>J841</t>
  </si>
  <si>
    <t>OTRAS ENFERMEDADES PULMÓNARES INTERSTICIALES CON FIBROSIS</t>
  </si>
  <si>
    <t>J848</t>
  </si>
  <si>
    <t>OTRAS ENFERMEDADES PULMÓNARES INTERSTICIALES ESPECIFICADAS</t>
  </si>
  <si>
    <t>J849</t>
  </si>
  <si>
    <t>ENFERMEDAD PULMÓNAR INTERSTICIAL, NO ESPECIFICADA</t>
  </si>
  <si>
    <t>J850</t>
  </si>
  <si>
    <t>GANGRENA Y NECROSIS DEL PULMÓN</t>
  </si>
  <si>
    <t>J851</t>
  </si>
  <si>
    <t>ABSCESO DEL PULMÓN CON NEUMONIA</t>
  </si>
  <si>
    <t>J852</t>
  </si>
  <si>
    <t>ABSCESO DEL PULMÓN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</si>
  <si>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</si>
  <si>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</si>
  <si>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</si>
  <si>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</si>
  <si>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</si>
  <si>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</si>
  <si>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</si>
  <si>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</si>
  <si>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</si>
  <si>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</si>
  <si>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</si>
  <si>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</si>
  <si>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</si>
  <si>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</si>
  <si>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</si>
  <si>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</si>
  <si>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</si>
  <si>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</si>
  <si>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</si>
  <si>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</si>
  <si>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</si>
  <si>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</si>
  <si>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</si>
  <si>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</si>
  <si>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</si>
  <si>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</si>
  <si>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</si>
  <si>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</si>
  <si>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</si>
  <si>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</si>
  <si>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</si>
  <si>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</si>
  <si>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</si>
  <si>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PULMÓNAR AGUDA CONSECUTIVA A CIRUGÍA TORACICA</t>
  </si>
  <si>
    <t>J952</t>
  </si>
  <si>
    <t>INSUFICIENCIA PULMÓNAR AGUDA CONSECUTIVA A CIRUGÍA EXTRATORACICA</t>
  </si>
  <si>
    <t>J953</t>
  </si>
  <si>
    <t>INSUFICIENCIA PULMÓNAR CRONICA CONSECUTIVA A CIRUGÍA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</si>
  <si>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</si>
  <si>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</si>
  <si>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</si>
  <si>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</si>
  <si>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</si>
  <si>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</si>
  <si>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</si>
  <si>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</si>
  <si>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</si>
  <si>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</si>
  <si>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</si>
  <si>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</si>
  <si>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</si>
  <si>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</si>
  <si>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</si>
  <si>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TRÁQUEA Y DE LOS BRONQUIOS, NO CLASIFICADAS EN OTRA PARTE</t>
  </si>
  <si>
    <t>J981</t>
  </si>
  <si>
    <t>COLAPSO PULMÓNAR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</si>
  <si>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</si>
  <si>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</si>
  <si>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</si>
  <si>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</si>
  <si>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</si>
  <si>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</si>
  <si>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</si>
  <si>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</si>
  <si>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</si>
  <si>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</si>
  <si>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</si>
  <si>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</si>
  <si>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</si>
  <si>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</si>
  <si>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CIE_10</t>
  </si>
  <si>
    <t>Descriptor</t>
  </si>
  <si>
    <t>J00-J06</t>
  </si>
  <si>
    <t>J09-J11</t>
  </si>
  <si>
    <t>J12-J18</t>
  </si>
  <si>
    <t>J20-J21</t>
  </si>
  <si>
    <t>J40-J46</t>
  </si>
  <si>
    <t>J22,J30-J39,J60-J98</t>
  </si>
  <si>
    <t>Accidente Trabajo Funcionario</t>
  </si>
  <si>
    <t>ACC. DE TRANSITO Y LABORAL</t>
  </si>
  <si>
    <t>TOTAL PACIENTES ATENDIDOS</t>
  </si>
  <si>
    <t xml:space="preserve">            </t>
  </si>
  <si>
    <t>Accidente del Trabajo Mutual</t>
  </si>
  <si>
    <t>tiempo espera de CAT A AT. MÉDICA.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</si>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</sst>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6.5"/>
      <color rgb="FF000000"/>
      <name val="Georgia"/>
      <family val="1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2"/>
      <color rgb="FF000000"/>
      <name val="Georgia"/>
      <family val="1"/>
    </font>
    <font>
      <sz val="20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indexed="81"/>
      <name val="Tahoma"/>
      <family val="2"/>
    </font>
    <font>
      <b/>
      <sz val="12"/>
      <color rgb="FF000000"/>
      <name val="Georgia"/>
      <family val="1"/>
    </font>
    <font>
      <sz val="9"/>
      <color indexed="81"/>
      <name val="Tahoma"/>
      <family val="2"/>
    </font>
    <font>
      <b/>
      <sz val="2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088D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rgb="FF000000"/>
      </right>
      <top/>
      <bottom/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8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6" fillId="0" borderId="0" xfId="0" applyFont="1"/>
    <xf numFmtId="0" fontId="1" fillId="6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0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vertical="center"/>
    </xf>
    <xf numFmtId="0" fontId="6" fillId="3" borderId="25" xfId="0" applyFont="1" applyFill="1" applyBorder="1" applyAlignment="1">
      <alignment vertical="center"/>
    </xf>
    <xf numFmtId="0" fontId="6" fillId="3" borderId="25" xfId="0" applyFont="1" applyFill="1" applyBorder="1" applyAlignment="1">
      <alignment horizontal="center" vertical="center"/>
    </xf>
    <xf numFmtId="2" fontId="6" fillId="3" borderId="25" xfId="0" applyNumberFormat="1" applyFont="1" applyFill="1" applyBorder="1" applyAlignment="1">
      <alignment horizontal="center" vertical="center"/>
    </xf>
    <xf numFmtId="16" fontId="6" fillId="3" borderId="25" xfId="0" applyNumberFormat="1" applyFont="1" applyFill="1" applyBorder="1" applyAlignment="1">
      <alignment horizontal="center" vertical="center"/>
    </xf>
    <xf numFmtId="49" fontId="7" fillId="3" borderId="25" xfId="0" applyNumberFormat="1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vertical="center"/>
    </xf>
    <xf numFmtId="0" fontId="6" fillId="8" borderId="25" xfId="0" applyFont="1" applyFill="1" applyBorder="1" applyAlignment="1">
      <alignment horizontal="left" vertical="center"/>
    </xf>
    <xf numFmtId="0" fontId="6" fillId="17" borderId="25" xfId="0" applyFont="1" applyFill="1" applyBorder="1" applyAlignment="1">
      <alignment vertical="center"/>
    </xf>
    <xf numFmtId="0" fontId="6" fillId="16" borderId="25" xfId="0" applyFont="1" applyFill="1" applyBorder="1" applyAlignment="1">
      <alignment vertical="center"/>
    </xf>
    <xf numFmtId="0" fontId="6" fillId="14" borderId="25" xfId="0" applyFont="1" applyFill="1" applyBorder="1" applyAlignment="1">
      <alignment horizontal="left" vertical="center"/>
    </xf>
    <xf numFmtId="0" fontId="6" fillId="10" borderId="24" xfId="0" applyFont="1" applyFill="1" applyBorder="1" applyAlignment="1">
      <alignment horizontal="left" vertical="center"/>
    </xf>
    <xf numFmtId="0" fontId="4" fillId="10" borderId="13" xfId="0" applyFont="1" applyFill="1" applyBorder="1" applyAlignment="1">
      <alignment horizontal="center" vertical="center" wrapText="1"/>
    </xf>
    <xf numFmtId="0" fontId="6" fillId="12" borderId="24" xfId="0" applyFont="1" applyFill="1" applyBorder="1" applyAlignment="1">
      <alignment horizontal="left" vertical="center"/>
    </xf>
    <xf numFmtId="0" fontId="6" fillId="14" borderId="26" xfId="0" applyFont="1" applyFill="1" applyBorder="1" applyAlignment="1">
      <alignment horizontal="left" vertical="center"/>
    </xf>
    <xf numFmtId="0" fontId="4" fillId="14" borderId="10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vertical="center"/>
    </xf>
    <xf numFmtId="164" fontId="4" fillId="7" borderId="13" xfId="0" applyNumberFormat="1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vertical="center"/>
    </xf>
    <xf numFmtId="0" fontId="6" fillId="17" borderId="26" xfId="0" applyFont="1" applyFill="1" applyBorder="1" applyAlignment="1">
      <alignment vertical="center"/>
    </xf>
    <xf numFmtId="0" fontId="6" fillId="15" borderId="24" xfId="0" applyFont="1" applyFill="1" applyBorder="1" applyAlignment="1">
      <alignment vertical="center"/>
    </xf>
    <xf numFmtId="0" fontId="4" fillId="15" borderId="13" xfId="0" applyFont="1" applyFill="1" applyBorder="1" applyAlignment="1">
      <alignment horizontal="center" vertical="center" wrapText="1"/>
    </xf>
    <xf numFmtId="0" fontId="6" fillId="15" borderId="26" xfId="0" applyFont="1" applyFill="1" applyBorder="1" applyAlignment="1">
      <alignment vertical="center"/>
    </xf>
    <xf numFmtId="0" fontId="4" fillId="15" borderId="10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vertical="center"/>
    </xf>
    <xf numFmtId="0" fontId="6" fillId="10" borderId="24" xfId="0" applyFont="1" applyFill="1" applyBorder="1" applyAlignment="1">
      <alignment vertical="center"/>
    </xf>
    <xf numFmtId="0" fontId="6" fillId="8" borderId="26" xfId="0" applyFont="1" applyFill="1" applyBorder="1" applyAlignment="1">
      <alignment horizontal="left" vertical="center"/>
    </xf>
    <xf numFmtId="0" fontId="6" fillId="8" borderId="26" xfId="0" applyFont="1" applyFill="1" applyBorder="1" applyAlignment="1">
      <alignment vertical="center"/>
    </xf>
    <xf numFmtId="0" fontId="6" fillId="9" borderId="28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vertical="center"/>
    </xf>
    <xf numFmtId="0" fontId="7" fillId="4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vertical="center"/>
    </xf>
    <xf numFmtId="0" fontId="4" fillId="11" borderId="13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4" fillId="15" borderId="1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11" xfId="0" applyFont="1" applyFill="1" applyBorder="1" applyAlignment="1">
      <alignment horizontal="center" vertical="center" wrapText="1"/>
    </xf>
    <xf numFmtId="164" fontId="4" fillId="7" borderId="14" xfId="0" applyNumberFormat="1" applyFont="1" applyFill="1" applyBorder="1" applyAlignment="1">
      <alignment horizontal="center" vertical="center" wrapText="1"/>
    </xf>
    <xf numFmtId="164" fontId="4" fillId="16" borderId="2" xfId="0" applyNumberFormat="1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164" fontId="4" fillId="14" borderId="2" xfId="0" applyNumberFormat="1" applyFont="1" applyFill="1" applyBorder="1" applyAlignment="1">
      <alignment horizontal="center" vertical="center" wrapText="1"/>
    </xf>
    <xf numFmtId="0" fontId="4" fillId="14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164" fontId="4" fillId="7" borderId="12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16" borderId="5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6" fillId="18" borderId="28" xfId="0" applyFont="1" applyFill="1" applyBorder="1" applyAlignment="1">
      <alignment vertical="center"/>
    </xf>
    <xf numFmtId="0" fontId="6" fillId="18" borderId="27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vertical="center"/>
    </xf>
    <xf numFmtId="0" fontId="4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30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vertical="center"/>
    </xf>
    <xf numFmtId="0" fontId="4" fillId="10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6" fillId="10" borderId="36" xfId="0" applyFont="1" applyFill="1" applyBorder="1" applyAlignment="1">
      <alignment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0" borderId="38" xfId="0" applyFont="1" applyFill="1" applyBorder="1" applyAlignment="1">
      <alignment horizontal="center" vertical="center" wrapText="1"/>
    </xf>
    <xf numFmtId="0" fontId="4" fillId="10" borderId="35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vertical="center"/>
    </xf>
    <xf numFmtId="0" fontId="4" fillId="8" borderId="33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6" fillId="18" borderId="24" xfId="0" applyFont="1" applyFill="1" applyBorder="1" applyAlignment="1">
      <alignment vertical="center"/>
    </xf>
    <xf numFmtId="0" fontId="6" fillId="3" borderId="28" xfId="0" applyFont="1" applyFill="1" applyBorder="1" applyAlignment="1">
      <alignment horizontal="left" vertical="center"/>
    </xf>
    <xf numFmtId="0" fontId="4" fillId="11" borderId="37" xfId="0" applyFont="1" applyFill="1" applyBorder="1" applyAlignment="1">
      <alignment horizontal="center" vertical="center" wrapText="1"/>
    </xf>
    <xf numFmtId="0" fontId="6" fillId="11" borderId="36" xfId="0" applyFont="1" applyFill="1" applyBorder="1" applyAlignment="1">
      <alignment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6" fillId="13" borderId="40" xfId="0" applyFont="1" applyFill="1" applyBorder="1" applyAlignment="1">
      <alignment horizontal="left" vertical="center"/>
    </xf>
    <xf numFmtId="0" fontId="10" fillId="20" borderId="39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20" borderId="43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10" fillId="20" borderId="46" xfId="0" applyFont="1" applyFill="1" applyBorder="1" applyAlignment="1">
      <alignment horizontal="center" vertical="center" wrapText="1"/>
    </xf>
    <xf numFmtId="0" fontId="10" fillId="20" borderId="47" xfId="0" applyFont="1" applyFill="1" applyBorder="1" applyAlignment="1">
      <alignment horizontal="center" vertical="center" wrapText="1"/>
    </xf>
    <xf numFmtId="0" fontId="6" fillId="18" borderId="26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7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vertical="center"/>
    </xf>
    <xf numFmtId="0" fontId="4" fillId="4" borderId="37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 wrapText="1"/>
    </xf>
    <xf numFmtId="0" fontId="6" fillId="4" borderId="48" xfId="0" applyFont="1" applyFill="1" applyBorder="1" applyAlignmen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6" fillId="9" borderId="36" xfId="0" applyFont="1" applyFill="1" applyBorder="1" applyAlignment="1">
      <alignment vertical="center"/>
    </xf>
    <xf numFmtId="0" fontId="4" fillId="9" borderId="37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9" borderId="31" xfId="0" applyFont="1" applyFill="1" applyBorder="1" applyAlignment="1">
      <alignment horizontal="center" vertical="center" wrapText="1"/>
    </xf>
    <xf numFmtId="0" fontId="4" fillId="9" borderId="33" xfId="0" applyFont="1" applyFill="1" applyBorder="1" applyAlignment="1">
      <alignment horizontal="center" vertical="center" wrapText="1"/>
    </xf>
    <xf numFmtId="0" fontId="4" fillId="9" borderId="49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 wrapText="1"/>
    </xf>
    <xf numFmtId="0" fontId="6" fillId="18" borderId="36" xfId="0" applyFont="1" applyFill="1" applyBorder="1" applyAlignment="1">
      <alignment vertical="center"/>
    </xf>
    <xf numFmtId="0" fontId="4" fillId="18" borderId="3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3" borderId="32" xfId="0" applyFont="1" applyFill="1" applyBorder="1" applyAlignment="1">
      <alignment vertical="center"/>
    </xf>
    <xf numFmtId="0" fontId="4" fillId="4" borderId="33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vertical="center"/>
    </xf>
    <xf numFmtId="0" fontId="4" fillId="2" borderId="37" xfId="0" applyFont="1" applyFill="1" applyBorder="1" applyAlignment="1">
      <alignment horizontal="center" vertical="center" wrapText="1"/>
    </xf>
    <xf numFmtId="0" fontId="9" fillId="19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/>
    </xf>
    <xf numFmtId="0" fontId="4" fillId="17" borderId="33" xfId="0" applyFont="1" applyFill="1" applyBorder="1" applyAlignment="1">
      <alignment horizontal="center" vertical="center"/>
    </xf>
    <xf numFmtId="0" fontId="6" fillId="13" borderId="50" xfId="0" applyFont="1" applyFill="1" applyBorder="1" applyAlignment="1">
      <alignment horizontal="left" vertical="center"/>
    </xf>
    <xf numFmtId="0" fontId="10" fillId="20" borderId="51" xfId="0" applyFont="1" applyFill="1" applyBorder="1" applyAlignment="1">
      <alignment horizontal="center" vertical="center" wrapText="1"/>
    </xf>
    <xf numFmtId="0" fontId="4" fillId="13" borderId="51" xfId="0" applyFont="1" applyFill="1" applyBorder="1" applyAlignment="1">
      <alignment horizontal="center" vertical="center" wrapText="1"/>
    </xf>
    <xf numFmtId="0" fontId="4" fillId="13" borderId="52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4" fillId="17" borderId="34" xfId="0" applyFont="1" applyFill="1" applyBorder="1" applyAlignment="1">
      <alignment horizontal="center" vertical="center"/>
    </xf>
    <xf numFmtId="0" fontId="4" fillId="17" borderId="31" xfId="0" applyFont="1" applyFill="1" applyBorder="1" applyAlignment="1">
      <alignment horizontal="center" vertical="center"/>
    </xf>
    <xf numFmtId="0" fontId="13" fillId="17" borderId="36" xfId="0" applyFont="1" applyFill="1" applyBorder="1" applyAlignment="1">
      <alignment horizontal="left" vertical="center"/>
    </xf>
    <xf numFmtId="0" fontId="4" fillId="17" borderId="37" xfId="0" applyFont="1" applyFill="1" applyBorder="1" applyAlignment="1">
      <alignment horizontal="center" vertical="center"/>
    </xf>
    <xf numFmtId="0" fontId="4" fillId="17" borderId="38" xfId="0" applyFont="1" applyFill="1" applyBorder="1" applyAlignment="1">
      <alignment horizontal="center" vertical="center"/>
    </xf>
    <xf numFmtId="0" fontId="4" fillId="17" borderId="3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9" fillId="17" borderId="33" xfId="0" applyFont="1" applyFill="1" applyBorder="1" applyAlignment="1">
      <alignment horizontal="center" vertical="center" wrapText="1"/>
    </xf>
    <xf numFmtId="0" fontId="4" fillId="17" borderId="33" xfId="0" applyFont="1" applyFill="1" applyBorder="1" applyAlignment="1">
      <alignment horizontal="center" vertical="center" wrapText="1"/>
    </xf>
    <xf numFmtId="0" fontId="4" fillId="17" borderId="34" xfId="0" applyFont="1" applyFill="1" applyBorder="1" applyAlignment="1">
      <alignment horizontal="center" vertical="center" wrapText="1"/>
    </xf>
    <xf numFmtId="0" fontId="4" fillId="17" borderId="31" xfId="0" applyFont="1" applyFill="1" applyBorder="1" applyAlignment="1">
      <alignment horizontal="center" vertical="center" wrapText="1"/>
    </xf>
    <xf numFmtId="0" fontId="9" fillId="17" borderId="36" xfId="0" applyFont="1" applyFill="1" applyBorder="1" applyAlignment="1">
      <alignment horizontal="center" vertical="center" wrapText="1"/>
    </xf>
    <xf numFmtId="0" fontId="9" fillId="17" borderId="37" xfId="0" applyFont="1" applyFill="1" applyBorder="1" applyAlignment="1">
      <alignment horizontal="center" vertical="center" wrapText="1"/>
    </xf>
    <xf numFmtId="0" fontId="4" fillId="17" borderId="37" xfId="0" applyFont="1" applyFill="1" applyBorder="1" applyAlignment="1">
      <alignment horizontal="center" vertical="center" wrapText="1"/>
    </xf>
    <xf numFmtId="0" fontId="4" fillId="17" borderId="38" xfId="0" applyFont="1" applyFill="1" applyBorder="1" applyAlignment="1">
      <alignment horizontal="center" vertical="center" wrapText="1"/>
    </xf>
    <xf numFmtId="0" fontId="4" fillId="17" borderId="35" xfId="0" applyFont="1" applyFill="1" applyBorder="1" applyAlignment="1">
      <alignment horizontal="center" vertical="center" wrapText="1"/>
    </xf>
    <xf numFmtId="0" fontId="6" fillId="17" borderId="32" xfId="0" applyFont="1" applyFill="1" applyBorder="1" applyAlignment="1">
      <alignment vertical="center"/>
    </xf>
    <xf numFmtId="0" fontId="6" fillId="17" borderId="35" xfId="0" applyFont="1" applyFill="1" applyBorder="1" applyAlignment="1">
      <alignment vertical="center"/>
    </xf>
    <xf numFmtId="0" fontId="9" fillId="2" borderId="33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vertical="center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/>
    </xf>
    <xf numFmtId="0" fontId="4" fillId="17" borderId="30" xfId="0" applyFont="1" applyFill="1" applyBorder="1" applyAlignment="1">
      <alignment horizontal="center" vertical="center"/>
    </xf>
    <xf numFmtId="0" fontId="8" fillId="21" borderId="24" xfId="0" applyFont="1" applyFill="1" applyBorder="1" applyAlignment="1">
      <alignment vertical="center" wrapText="1"/>
    </xf>
    <xf numFmtId="0" fontId="0" fillId="21" borderId="13" xfId="0" applyFill="1" applyBorder="1"/>
    <xf numFmtId="0" fontId="0" fillId="21" borderId="53" xfId="0" applyFill="1" applyBorder="1"/>
    <xf numFmtId="0" fontId="8" fillId="21" borderId="26" xfId="0" applyFont="1" applyFill="1" applyBorder="1" applyAlignment="1">
      <alignment vertical="center" wrapText="1"/>
    </xf>
    <xf numFmtId="0" fontId="0" fillId="21" borderId="10" xfId="0" applyFill="1" applyBorder="1"/>
    <xf numFmtId="0" fontId="0" fillId="21" borderId="54" xfId="0" applyFill="1" applyBorder="1"/>
    <xf numFmtId="0" fontId="14" fillId="17" borderId="32" xfId="0" applyFont="1" applyFill="1" applyBorder="1" applyAlignment="1">
      <alignment vertical="center" wrapText="1"/>
    </xf>
    <xf numFmtId="0" fontId="14" fillId="17" borderId="25" xfId="0" applyFont="1" applyFill="1" applyBorder="1" applyAlignment="1">
      <alignment vertical="center" wrapText="1"/>
    </xf>
    <xf numFmtId="0" fontId="14" fillId="17" borderId="2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9" fillId="22" borderId="1" xfId="0" applyFont="1" applyFill="1" applyBorder="1" applyAlignment="1">
      <alignment horizontal="center" vertical="center" wrapText="1"/>
    </xf>
    <xf numFmtId="0" fontId="9" fillId="22" borderId="3" xfId="0" applyFont="1" applyFill="1" applyBorder="1" applyAlignment="1">
      <alignment horizontal="center" vertical="center" wrapText="1"/>
    </xf>
    <xf numFmtId="0" fontId="15" fillId="6" borderId="29" xfId="0" applyFont="1" applyFill="1" applyBorder="1" applyAlignment="1">
      <alignment horizontal="center" vertical="center"/>
    </xf>
    <xf numFmtId="0" fontId="16" fillId="0" borderId="55" xfId="0" applyFont="1" applyBorder="1"/>
    <xf numFmtId="0" fontId="16" fillId="0" borderId="0" xfId="0" applyFont="1"/>
    <xf numFmtId="0" fontId="17" fillId="23" borderId="56" xfId="0" applyFont="1" applyFill="1" applyBorder="1" applyAlignment="1">
      <alignment horizontal="center" vertical="center" wrapText="1"/>
    </xf>
    <xf numFmtId="0" fontId="17" fillId="23" borderId="47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vertical="center"/>
    </xf>
    <xf numFmtId="0" fontId="9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center" vertical="center" wrapText="1"/>
    </xf>
    <xf numFmtId="0" fontId="0" fillId="15" borderId="0" xfId="0" applyFill="1"/>
    <xf numFmtId="20" fontId="0" fillId="21" borderId="13" xfId="0" applyNumberFormat="1" applyFill="1" applyBorder="1"/>
    <xf numFmtId="20" fontId="0" fillId="21" borderId="10" xfId="0" applyNumberFormat="1" applyFill="1" applyBorder="1"/>
    <xf numFmtId="164" fontId="13" fillId="8" borderId="40" xfId="0" applyNumberFormat="1" applyFont="1" applyFill="1" applyBorder="1" applyAlignment="1">
      <alignment horizontal="center"/>
    </xf>
    <xf numFmtId="164" fontId="0" fillId="8" borderId="24" xfId="0" applyNumberFormat="1" applyFill="1" applyBorder="1"/>
    <xf numFmtId="164" fontId="0" fillId="8" borderId="13" xfId="0" applyNumberFormat="1" applyFill="1" applyBorder="1"/>
    <xf numFmtId="164" fontId="0" fillId="8" borderId="53" xfId="0" applyNumberFormat="1" applyFill="1" applyBorder="1"/>
    <xf numFmtId="164" fontId="2" fillId="8" borderId="12" xfId="0" applyNumberFormat="1" applyFont="1" applyFill="1" applyBorder="1"/>
    <xf numFmtId="164" fontId="0" fillId="8" borderId="25" xfId="0" applyNumberFormat="1" applyFill="1" applyBorder="1"/>
    <xf numFmtId="164" fontId="0" fillId="8" borderId="1" xfId="0" applyNumberFormat="1" applyFill="1" applyBorder="1"/>
    <xf numFmtId="164" fontId="0" fillId="8" borderId="57" xfId="0" applyNumberFormat="1" applyFill="1" applyBorder="1"/>
    <xf numFmtId="164" fontId="2" fillId="8" borderId="5" xfId="0" applyNumberFormat="1" applyFont="1" applyFill="1" applyBorder="1"/>
    <xf numFmtId="164" fontId="13" fillId="8" borderId="58" xfId="0" applyNumberFormat="1" applyFont="1" applyFill="1" applyBorder="1" applyAlignment="1">
      <alignment horizontal="center"/>
    </xf>
    <xf numFmtId="164" fontId="0" fillId="8" borderId="26" xfId="0" applyNumberFormat="1" applyFill="1" applyBorder="1"/>
    <xf numFmtId="164" fontId="0" fillId="8" borderId="10" xfId="0" applyNumberFormat="1" applyFill="1" applyBorder="1"/>
    <xf numFmtId="164" fontId="0" fillId="8" borderId="54" xfId="0" applyNumberFormat="1" applyFill="1" applyBorder="1"/>
    <xf numFmtId="164" fontId="2" fillId="8" borderId="6" xfId="0" applyNumberFormat="1" applyFont="1" applyFill="1" applyBorder="1"/>
    <xf numFmtId="20" fontId="4" fillId="21" borderId="13" xfId="0" applyNumberFormat="1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 vertical="center"/>
    </xf>
    <xf numFmtId="20" fontId="4" fillId="21" borderId="10" xfId="0" applyNumberFormat="1" applyFont="1" applyFill="1" applyBorder="1" applyAlignment="1">
      <alignment horizontal="center"/>
    </xf>
    <xf numFmtId="0" fontId="4" fillId="21" borderId="6" xfId="0" applyFont="1" applyFill="1" applyBorder="1" applyAlignment="1">
      <alignment horizontal="center" vertical="center"/>
    </xf>
    <xf numFmtId="164" fontId="4" fillId="8" borderId="24" xfId="0" applyNumberFormat="1" applyFont="1" applyFill="1" applyBorder="1" applyAlignment="1">
      <alignment horizontal="center"/>
    </xf>
    <xf numFmtId="164" fontId="4" fillId="8" borderId="13" xfId="0" applyNumberFormat="1" applyFont="1" applyFill="1" applyBorder="1" applyAlignment="1">
      <alignment horizontal="center"/>
    </xf>
    <xf numFmtId="164" fontId="4" fillId="8" borderId="53" xfId="0" applyNumberFormat="1" applyFont="1" applyFill="1" applyBorder="1" applyAlignment="1">
      <alignment horizontal="center"/>
    </xf>
    <xf numFmtId="164" fontId="4" fillId="8" borderId="25" xfId="0" applyNumberFormat="1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164" fontId="4" fillId="8" borderId="57" xfId="0" applyNumberFormat="1" applyFont="1" applyFill="1" applyBorder="1" applyAlignment="1">
      <alignment horizontal="center"/>
    </xf>
    <xf numFmtId="164" fontId="4" fillId="8" borderId="26" xfId="0" applyNumberFormat="1" applyFont="1" applyFill="1" applyBorder="1" applyAlignment="1">
      <alignment horizontal="center"/>
    </xf>
    <xf numFmtId="164" fontId="4" fillId="8" borderId="10" xfId="0" applyNumberFormat="1" applyFont="1" applyFill="1" applyBorder="1" applyAlignment="1">
      <alignment horizontal="center"/>
    </xf>
    <xf numFmtId="164" fontId="4" fillId="8" borderId="54" xfId="0" applyNumberFormat="1" applyFont="1" applyFill="1" applyBorder="1" applyAlignment="1">
      <alignment horizontal="center"/>
    </xf>
    <xf numFmtId="20" fontId="0" fillId="21" borderId="13" xfId="0" applyNumberFormat="1" applyFill="1" applyBorder="1" applyAlignment="1">
      <alignment horizontal="center"/>
    </xf>
    <xf numFmtId="20" fontId="0" fillId="21" borderId="10" xfId="0" applyNumberFormat="1" applyFill="1" applyBorder="1" applyAlignment="1">
      <alignment horizontal="center"/>
    </xf>
    <xf numFmtId="164" fontId="0" fillId="8" borderId="13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8" borderId="10" xfId="0" applyNumberFormat="1" applyFill="1" applyBorder="1" applyAlignment="1">
      <alignment horizontal="center"/>
    </xf>
    <xf numFmtId="20" fontId="8" fillId="21" borderId="24" xfId="0" applyNumberFormat="1" applyFont="1" applyFill="1" applyBorder="1" applyAlignment="1">
      <alignment vertical="center" wrapText="1"/>
    </xf>
    <xf numFmtId="20" fontId="4" fillId="21" borderId="4" xfId="0" applyNumberFormat="1" applyFont="1" applyFill="1" applyBorder="1" applyAlignment="1">
      <alignment horizontal="center" vertical="center"/>
    </xf>
    <xf numFmtId="20" fontId="8" fillId="21" borderId="26" xfId="0" applyNumberFormat="1" applyFont="1" applyFill="1" applyBorder="1" applyAlignment="1">
      <alignment vertical="center" wrapText="1"/>
    </xf>
    <xf numFmtId="20" fontId="4" fillId="21" borderId="6" xfId="0" applyNumberFormat="1" applyFont="1" applyFill="1" applyBorder="1" applyAlignment="1">
      <alignment horizontal="center" vertical="center"/>
    </xf>
    <xf numFmtId="20" fontId="13" fillId="8" borderId="40" xfId="0" applyNumberFormat="1" applyFont="1" applyFill="1" applyBorder="1" applyAlignment="1">
      <alignment horizontal="center"/>
    </xf>
    <xf numFmtId="20" fontId="0" fillId="8" borderId="24" xfId="0" applyNumberFormat="1" applyFill="1" applyBorder="1" applyAlignment="1">
      <alignment horizontal="center"/>
    </xf>
    <xf numFmtId="20" fontId="0" fillId="8" borderId="13" xfId="0" applyNumberFormat="1" applyFill="1" applyBorder="1" applyAlignment="1">
      <alignment horizontal="center"/>
    </xf>
    <xf numFmtId="20" fontId="0" fillId="8" borderId="13" xfId="0" applyNumberFormat="1" applyFill="1" applyBorder="1"/>
    <xf numFmtId="20" fontId="0" fillId="8" borderId="53" xfId="0" applyNumberFormat="1" applyFill="1" applyBorder="1"/>
    <xf numFmtId="20" fontId="2" fillId="8" borderId="12" xfId="0" applyNumberFormat="1" applyFont="1" applyFill="1" applyBorder="1"/>
    <xf numFmtId="20" fontId="0" fillId="8" borderId="25" xfId="0" applyNumberFormat="1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20" fontId="0" fillId="8" borderId="1" xfId="0" applyNumberFormat="1" applyFill="1" applyBorder="1"/>
    <xf numFmtId="20" fontId="0" fillId="8" borderId="57" xfId="0" applyNumberFormat="1" applyFill="1" applyBorder="1"/>
    <xf numFmtId="20" fontId="2" fillId="8" borderId="5" xfId="0" applyNumberFormat="1" applyFont="1" applyFill="1" applyBorder="1"/>
    <xf numFmtId="20" fontId="13" fillId="8" borderId="58" xfId="0" applyNumberFormat="1" applyFont="1" applyFill="1" applyBorder="1" applyAlignment="1">
      <alignment horizontal="center"/>
    </xf>
    <xf numFmtId="20" fontId="0" fillId="8" borderId="26" xfId="0" applyNumberFormat="1" applyFill="1" applyBorder="1" applyAlignment="1">
      <alignment horizontal="center"/>
    </xf>
    <xf numFmtId="20" fontId="0" fillId="8" borderId="10" xfId="0" applyNumberFormat="1" applyFill="1" applyBorder="1" applyAlignment="1">
      <alignment horizontal="center"/>
    </xf>
    <xf numFmtId="20" fontId="0" fillId="8" borderId="10" xfId="0" applyNumberFormat="1" applyFill="1" applyBorder="1"/>
    <xf numFmtId="20" fontId="0" fillId="8" borderId="54" xfId="0" applyNumberFormat="1" applyFill="1" applyBorder="1"/>
    <xf numFmtId="20" fontId="2" fillId="8" borderId="6" xfId="0" applyNumberFormat="1" applyFont="1" applyFill="1" applyBorder="1"/>
    <xf numFmtId="0" fontId="0" fillId="0" borderId="0" xfId="0" applyAlignment="1">
      <alignment horizontal="center"/>
    </xf>
    <xf numFmtId="164" fontId="8" fillId="21" borderId="59" xfId="0" applyNumberFormat="1" applyFont="1" applyFill="1" applyBorder="1" applyAlignment="1">
      <alignment vertical="center" wrapText="1"/>
    </xf>
    <xf numFmtId="164" fontId="0" fillId="21" borderId="36" xfId="0" applyNumberFormat="1" applyFill="1" applyBorder="1"/>
    <xf numFmtId="164" fontId="0" fillId="21" borderId="37" xfId="0" applyNumberFormat="1" applyFill="1" applyBorder="1"/>
    <xf numFmtId="164" fontId="0" fillId="21" borderId="38" xfId="0" applyNumberFormat="1" applyFill="1" applyBorder="1"/>
    <xf numFmtId="164" fontId="0" fillId="21" borderId="35" xfId="0" applyNumberFormat="1" applyFill="1" applyBorder="1"/>
    <xf numFmtId="164" fontId="0" fillId="21" borderId="0" xfId="0" applyNumberFormat="1" applyFill="1"/>
    <xf numFmtId="164" fontId="8" fillId="21" borderId="60" xfId="0" applyNumberFormat="1" applyFont="1" applyFill="1" applyBorder="1" applyAlignment="1">
      <alignment vertical="center" wrapText="1"/>
    </xf>
    <xf numFmtId="164" fontId="0" fillId="21" borderId="48" xfId="0" applyNumberFormat="1" applyFill="1" applyBorder="1"/>
    <xf numFmtId="164" fontId="0" fillId="21" borderId="42" xfId="0" applyNumberFormat="1" applyFill="1" applyBorder="1"/>
    <xf numFmtId="164" fontId="0" fillId="21" borderId="44" xfId="0" applyNumberFormat="1" applyFill="1" applyBorder="1"/>
    <xf numFmtId="164" fontId="0" fillId="21" borderId="41" xfId="0" applyNumberFormat="1" applyFill="1" applyBorder="1"/>
    <xf numFmtId="164" fontId="13" fillId="8" borderId="1" xfId="0" applyNumberFormat="1" applyFont="1" applyFill="1" applyBorder="1" applyAlignment="1">
      <alignment horizontal="center"/>
    </xf>
    <xf numFmtId="164" fontId="11" fillId="8" borderId="1" xfId="0" applyNumberFormat="1" applyFont="1" applyFill="1" applyBorder="1"/>
    <xf numFmtId="45" fontId="0" fillId="21" borderId="13" xfId="0" applyNumberFormat="1" applyFill="1" applyBorder="1"/>
    <xf numFmtId="20" fontId="0" fillId="21" borderId="53" xfId="0" applyNumberFormat="1" applyFill="1" applyBorder="1"/>
    <xf numFmtId="45" fontId="0" fillId="21" borderId="10" xfId="0" applyNumberFormat="1" applyFill="1" applyBorder="1"/>
    <xf numFmtId="20" fontId="0" fillId="21" borderId="54" xfId="0" applyNumberFormat="1" applyFill="1" applyBorder="1"/>
    <xf numFmtId="164" fontId="0" fillId="18" borderId="1" xfId="0" applyNumberFormat="1" applyFill="1" applyBorder="1"/>
    <xf numFmtId="164" fontId="2" fillId="2" borderId="5" xfId="0" applyNumberFormat="1" applyFont="1" applyFill="1" applyBorder="1" applyAlignment="1">
      <alignment horizontal="center" vertical="center" wrapText="1"/>
    </xf>
    <xf numFmtId="164" fontId="2" fillId="16" borderId="5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164" fontId="4" fillId="24" borderId="1" xfId="0" applyNumberFormat="1" applyFont="1" applyFill="1" applyBorder="1" applyAlignment="1">
      <alignment horizontal="center" vertical="center" wrapText="1"/>
    </xf>
    <xf numFmtId="20" fontId="0" fillId="24" borderId="1" xfId="0" applyNumberFormat="1" applyFill="1" applyBorder="1" applyAlignment="1">
      <alignment horizontal="center"/>
    </xf>
    <xf numFmtId="0" fontId="4" fillId="24" borderId="10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1" fillId="17" borderId="36" xfId="0" applyFont="1" applyFill="1" applyBorder="1" applyAlignment="1">
      <alignment horizontal="left" vertical="center"/>
    </xf>
    <xf numFmtId="0" fontId="21" fillId="17" borderId="37" xfId="0" applyFont="1" applyFill="1" applyBorder="1" applyAlignment="1">
      <alignment horizontal="center" vertical="center"/>
    </xf>
    <xf numFmtId="0" fontId="21" fillId="17" borderId="38" xfId="0" applyFont="1" applyFill="1" applyBorder="1" applyAlignment="1">
      <alignment horizontal="center" vertical="center"/>
    </xf>
    <xf numFmtId="0" fontId="21" fillId="17" borderId="35" xfId="0" applyFont="1" applyFill="1" applyBorder="1" applyAlignment="1">
      <alignment horizontal="center" vertical="center"/>
    </xf>
    <xf numFmtId="0" fontId="2" fillId="17" borderId="3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30" xfId="0" applyFont="1" applyFill="1" applyBorder="1" applyAlignment="1">
      <alignment horizontal="center" vertical="center"/>
    </xf>
    <xf numFmtId="20" fontId="6" fillId="21" borderId="13" xfId="0" applyNumberFormat="1" applyFont="1" applyFill="1" applyBorder="1"/>
    <xf numFmtId="20" fontId="2" fillId="21" borderId="53" xfId="0" applyNumberFormat="1" applyFont="1" applyFill="1" applyBorder="1"/>
    <xf numFmtId="20" fontId="6" fillId="21" borderId="10" xfId="0" applyNumberFormat="1" applyFont="1" applyFill="1" applyBorder="1"/>
    <xf numFmtId="20" fontId="2" fillId="21" borderId="54" xfId="0" applyNumberFormat="1" applyFont="1" applyFill="1" applyBorder="1"/>
    <xf numFmtId="164" fontId="0" fillId="18" borderId="13" xfId="0" applyNumberFormat="1" applyFill="1" applyBorder="1"/>
    <xf numFmtId="164" fontId="0" fillId="4" borderId="13" xfId="0" applyNumberFormat="1" applyFill="1" applyBorder="1"/>
    <xf numFmtId="164" fontId="0" fillId="4" borderId="1" xfId="0" applyNumberFormat="1" applyFill="1" applyBorder="1"/>
    <xf numFmtId="22" fontId="8" fillId="21" borderId="24" xfId="0" applyNumberFormat="1" applyFont="1" applyFill="1" applyBorder="1" applyAlignment="1">
      <alignment vertical="center" wrapText="1"/>
    </xf>
    <xf numFmtId="20" fontId="0" fillId="21" borderId="13" xfId="0" applyNumberFormat="1" applyFill="1" applyBorder="1" applyAlignment="1">
      <alignment horizontal="right" vertical="center"/>
    </xf>
    <xf numFmtId="20" fontId="0" fillId="21" borderId="53" xfId="0" applyNumberFormat="1" applyFill="1" applyBorder="1" applyAlignment="1">
      <alignment horizontal="right" vertical="center"/>
    </xf>
    <xf numFmtId="22" fontId="8" fillId="21" borderId="26" xfId="0" applyNumberFormat="1" applyFont="1" applyFill="1" applyBorder="1" applyAlignment="1">
      <alignment vertical="center" wrapText="1"/>
    </xf>
    <xf numFmtId="20" fontId="0" fillId="21" borderId="10" xfId="0" applyNumberFormat="1" applyFill="1" applyBorder="1" applyAlignment="1">
      <alignment horizontal="right" vertical="center"/>
    </xf>
    <xf numFmtId="20" fontId="0" fillId="21" borderId="54" xfId="0" applyNumberFormat="1" applyFill="1" applyBorder="1" applyAlignment="1">
      <alignment horizontal="right" vertical="center"/>
    </xf>
    <xf numFmtId="20" fontId="0" fillId="0" borderId="0" xfId="0" applyNumberFormat="1"/>
    <xf numFmtId="164" fontId="19" fillId="8" borderId="23" xfId="0" applyNumberFormat="1" applyFont="1" applyFill="1" applyBorder="1" applyAlignment="1">
      <alignment vertical="center"/>
    </xf>
    <xf numFmtId="164" fontId="19" fillId="8" borderId="21" xfId="0" applyNumberFormat="1" applyFont="1" applyFill="1" applyBorder="1" applyAlignment="1">
      <alignment vertical="center"/>
    </xf>
    <xf numFmtId="164" fontId="0" fillId="8" borderId="14" xfId="0" applyNumberFormat="1" applyFill="1" applyBorder="1"/>
    <xf numFmtId="164" fontId="19" fillId="0" borderId="0" xfId="0" applyNumberFormat="1" applyFont="1" applyAlignment="1">
      <alignment vertical="center"/>
    </xf>
    <xf numFmtId="164" fontId="13" fillId="8" borderId="61" xfId="0" applyNumberFormat="1" applyFont="1" applyFill="1" applyBorder="1" applyAlignment="1">
      <alignment horizontal="center"/>
    </xf>
    <xf numFmtId="164" fontId="19" fillId="8" borderId="35" xfId="0" applyNumberFormat="1" applyFont="1" applyFill="1" applyBorder="1" applyAlignment="1">
      <alignment vertical="center"/>
    </xf>
    <xf numFmtId="164" fontId="0" fillId="8" borderId="2" xfId="0" applyNumberFormat="1" applyFill="1" applyBorder="1"/>
    <xf numFmtId="164" fontId="0" fillId="8" borderId="11" xfId="0" applyNumberFormat="1" applyFill="1" applyBorder="1"/>
    <xf numFmtId="164" fontId="0" fillId="8" borderId="12" xfId="0" applyNumberFormat="1" applyFill="1" applyBorder="1"/>
    <xf numFmtId="164" fontId="0" fillId="8" borderId="5" xfId="0" applyNumberFormat="1" applyFill="1" applyBorder="1"/>
    <xf numFmtId="164" fontId="0" fillId="8" borderId="6" xfId="0" applyNumberFormat="1" applyFill="1" applyBorder="1"/>
    <xf numFmtId="1" fontId="4" fillId="2" borderId="12" xfId="0" applyNumberFormat="1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164" fontId="19" fillId="8" borderId="18" xfId="0" applyNumberFormat="1" applyFont="1" applyFill="1" applyBorder="1" applyAlignment="1">
      <alignment horizontal="left" vertical="center" wrapText="1"/>
    </xf>
    <xf numFmtId="164" fontId="19" fillId="8" borderId="23" xfId="0" applyNumberFormat="1" applyFont="1" applyFill="1" applyBorder="1" applyAlignment="1">
      <alignment horizontal="left" vertical="center" wrapText="1"/>
    </xf>
    <xf numFmtId="164" fontId="19" fillId="8" borderId="21" xfId="0" applyNumberFormat="1" applyFont="1" applyFill="1" applyBorder="1" applyAlignment="1">
      <alignment horizontal="left" vertical="center" wrapText="1"/>
    </xf>
    <xf numFmtId="20" fontId="19" fillId="8" borderId="18" xfId="0" applyNumberFormat="1" applyFont="1" applyFill="1" applyBorder="1" applyAlignment="1">
      <alignment horizontal="left" vertical="center" wrapText="1"/>
    </xf>
    <xf numFmtId="20" fontId="19" fillId="8" borderId="23" xfId="0" applyNumberFormat="1" applyFont="1" applyFill="1" applyBorder="1" applyAlignment="1">
      <alignment horizontal="left" vertical="center" wrapText="1"/>
    </xf>
    <xf numFmtId="20" fontId="19" fillId="8" borderId="2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44"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88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workbookViewId="0">
      <selection sqref="A1:AG1"/>
    </sheetView>
  </sheetViews>
  <sheetFormatPr baseColWidth="10" defaultRowHeight="15" x14ac:dyDescent="0.25"/>
  <cols>
    <col min="2" max="2" width="99" bestFit="1" customWidth="1"/>
  </cols>
  <sheetData>
    <row r="1" spans="1:2" x14ac:dyDescent="0.25">
      <c r="A1" s="241" t="s">
        <v>606</v>
      </c>
      <c r="B1" s="242" t="s">
        <v>607</v>
      </c>
    </row>
    <row r="2" spans="1:2" x14ac:dyDescent="0.25">
      <c r="A2" t="s">
        <v>608</v>
      </c>
    </row>
    <row r="3" spans="1:2" x14ac:dyDescent="0.25">
      <c r="A3" s="239" t="s">
        <v>176</v>
      </c>
      <c r="B3" s="240" t="s">
        <v>177</v>
      </c>
    </row>
    <row r="4" spans="1:2" x14ac:dyDescent="0.25">
      <c r="A4" s="239" t="s">
        <v>178</v>
      </c>
      <c r="B4" s="240" t="s">
        <v>179</v>
      </c>
    </row>
    <row r="5" spans="1:2" x14ac:dyDescent="0.25">
      <c r="A5" s="239" t="s">
        <v>180</v>
      </c>
      <c r="B5" s="240" t="s">
        <v>181</v>
      </c>
    </row>
    <row r="6" spans="1:2" x14ac:dyDescent="0.25">
      <c r="A6" s="239" t="s">
        <v>182</v>
      </c>
      <c r="B6" s="240" t="s">
        <v>183</v>
      </c>
    </row>
    <row r="7" spans="1:2" x14ac:dyDescent="0.25">
      <c r="A7" s="239" t="s">
        <v>184</v>
      </c>
      <c r="B7" s="240" t="s">
        <v>185</v>
      </c>
    </row>
    <row r="8" spans="1:2" x14ac:dyDescent="0.25">
      <c r="A8" s="239" t="s">
        <v>186</v>
      </c>
      <c r="B8" s="240" t="s">
        <v>187</v>
      </c>
    </row>
    <row r="9" spans="1:2" x14ac:dyDescent="0.25">
      <c r="A9" s="239" t="s">
        <v>188</v>
      </c>
      <c r="B9" s="240" t="s">
        <v>189</v>
      </c>
    </row>
    <row r="10" spans="1:2" x14ac:dyDescent="0.25">
      <c r="A10" s="239" t="s">
        <v>190</v>
      </c>
      <c r="B10" s="240" t="s">
        <v>191</v>
      </c>
    </row>
    <row r="11" spans="1:2" x14ac:dyDescent="0.25">
      <c r="A11" s="239" t="s">
        <v>192</v>
      </c>
      <c r="B11" s="240" t="s">
        <v>193</v>
      </c>
    </row>
    <row r="12" spans="1:2" x14ac:dyDescent="0.25">
      <c r="A12" s="239" t="s">
        <v>194</v>
      </c>
      <c r="B12" s="240" t="s">
        <v>195</v>
      </c>
    </row>
    <row r="13" spans="1:2" x14ac:dyDescent="0.25">
      <c r="A13" s="239" t="s">
        <v>196</v>
      </c>
      <c r="B13" s="240" t="s">
        <v>197</v>
      </c>
    </row>
    <row r="14" spans="1:2" x14ac:dyDescent="0.25">
      <c r="A14" s="239" t="s">
        <v>198</v>
      </c>
      <c r="B14" s="240" t="s">
        <v>199</v>
      </c>
    </row>
    <row r="15" spans="1:2" x14ac:dyDescent="0.25">
      <c r="A15" s="239" t="s">
        <v>200</v>
      </c>
      <c r="B15" s="240" t="s">
        <v>201</v>
      </c>
    </row>
    <row r="16" spans="1:2" x14ac:dyDescent="0.25">
      <c r="A16" s="239" t="s">
        <v>202</v>
      </c>
      <c r="B16" s="240" t="s">
        <v>203</v>
      </c>
    </row>
    <row r="17" spans="1:2" x14ac:dyDescent="0.25">
      <c r="A17" s="239" t="s">
        <v>204</v>
      </c>
      <c r="B17" s="240" t="s">
        <v>205</v>
      </c>
    </row>
    <row r="18" spans="1:2" x14ac:dyDescent="0.25">
      <c r="A18" s="239" t="s">
        <v>206</v>
      </c>
      <c r="B18" s="240" t="s">
        <v>207</v>
      </c>
    </row>
    <row r="19" spans="1:2" x14ac:dyDescent="0.25">
      <c r="A19" s="239" t="s">
        <v>208</v>
      </c>
      <c r="B19" s="240" t="s">
        <v>209</v>
      </c>
    </row>
    <row r="20" spans="1:2" x14ac:dyDescent="0.25">
      <c r="A20" s="239" t="s">
        <v>210</v>
      </c>
      <c r="B20" s="240" t="s">
        <v>211</v>
      </c>
    </row>
    <row r="21" spans="1:2" x14ac:dyDescent="0.25">
      <c r="A21" s="239" t="s">
        <v>212</v>
      </c>
      <c r="B21" s="240" t="s">
        <v>213</v>
      </c>
    </row>
    <row r="22" spans="1:2" x14ac:dyDescent="0.25">
      <c r="A22" s="239" t="s">
        <v>214</v>
      </c>
      <c r="B22" s="240" t="s">
        <v>215</v>
      </c>
    </row>
    <row r="23" spans="1:2" x14ac:dyDescent="0.25">
      <c r="A23" s="239" t="s">
        <v>216</v>
      </c>
      <c r="B23" s="240" t="s">
        <v>217</v>
      </c>
    </row>
    <row r="24" spans="1:2" x14ac:dyDescent="0.25">
      <c r="A24" s="239" t="s">
        <v>218</v>
      </c>
      <c r="B24" s="240" t="s">
        <v>219</v>
      </c>
    </row>
    <row r="25" spans="1:2" x14ac:dyDescent="0.25">
      <c r="A25" s="239"/>
      <c r="B25" s="240"/>
    </row>
    <row r="26" spans="1:2" x14ac:dyDescent="0.25">
      <c r="A26" s="239" t="s">
        <v>609</v>
      </c>
      <c r="B26" s="240"/>
    </row>
    <row r="27" spans="1:2" x14ac:dyDescent="0.25">
      <c r="A27" s="239" t="s">
        <v>220</v>
      </c>
      <c r="B27" s="240" t="s">
        <v>221</v>
      </c>
    </row>
    <row r="28" spans="1:2" x14ac:dyDescent="0.25">
      <c r="A28" s="239" t="s">
        <v>222</v>
      </c>
      <c r="B28" s="240" t="s">
        <v>223</v>
      </c>
    </row>
    <row r="29" spans="1:2" x14ac:dyDescent="0.25">
      <c r="A29" s="239" t="s">
        <v>224</v>
      </c>
      <c r="B29" s="240" t="s">
        <v>225</v>
      </c>
    </row>
    <row r="30" spans="1:2" x14ac:dyDescent="0.25">
      <c r="A30" s="239" t="s">
        <v>226</v>
      </c>
      <c r="B30" s="240" t="s">
        <v>227</v>
      </c>
    </row>
    <row r="31" spans="1:2" x14ac:dyDescent="0.25">
      <c r="A31" s="239" t="s">
        <v>228</v>
      </c>
      <c r="B31" s="240" t="s">
        <v>229</v>
      </c>
    </row>
    <row r="32" spans="1:2" x14ac:dyDescent="0.25">
      <c r="A32" s="239" t="s">
        <v>230</v>
      </c>
      <c r="B32" s="240" t="s">
        <v>231</v>
      </c>
    </row>
    <row r="33" spans="1:2" x14ac:dyDescent="0.25">
      <c r="A33" s="239" t="s">
        <v>232</v>
      </c>
      <c r="B33" s="240" t="s">
        <v>233</v>
      </c>
    </row>
    <row r="34" spans="1:2" x14ac:dyDescent="0.25">
      <c r="A34" s="239"/>
      <c r="B34" s="240"/>
    </row>
    <row r="35" spans="1:2" x14ac:dyDescent="0.25">
      <c r="A35" s="239"/>
      <c r="B35" s="240"/>
    </row>
    <row r="36" spans="1:2" x14ac:dyDescent="0.25">
      <c r="A36" s="239" t="s">
        <v>610</v>
      </c>
      <c r="B36" s="240"/>
    </row>
    <row r="37" spans="1:2" x14ac:dyDescent="0.25">
      <c r="A37" s="239" t="s">
        <v>234</v>
      </c>
      <c r="B37" s="240" t="s">
        <v>235</v>
      </c>
    </row>
    <row r="38" spans="1:2" x14ac:dyDescent="0.25">
      <c r="A38" s="239" t="s">
        <v>236</v>
      </c>
      <c r="B38" s="240" t="s">
        <v>237</v>
      </c>
    </row>
    <row r="39" spans="1:2" x14ac:dyDescent="0.25">
      <c r="A39" s="239" t="s">
        <v>238</v>
      </c>
      <c r="B39" s="240" t="s">
        <v>239</v>
      </c>
    </row>
    <row r="40" spans="1:2" x14ac:dyDescent="0.25">
      <c r="A40" s="239" t="s">
        <v>240</v>
      </c>
      <c r="B40" s="240" t="s">
        <v>241</v>
      </c>
    </row>
    <row r="41" spans="1:2" x14ac:dyDescent="0.25">
      <c r="A41" s="239" t="s">
        <v>242</v>
      </c>
      <c r="B41" s="240" t="s">
        <v>243</v>
      </c>
    </row>
    <row r="42" spans="1:2" x14ac:dyDescent="0.25">
      <c r="A42" s="239" t="s">
        <v>244</v>
      </c>
      <c r="B42" s="240" t="s">
        <v>245</v>
      </c>
    </row>
    <row r="43" spans="1:2" x14ac:dyDescent="0.25">
      <c r="A43" s="239" t="s">
        <v>246</v>
      </c>
      <c r="B43" s="240" t="s">
        <v>247</v>
      </c>
    </row>
    <row r="44" spans="1:2" x14ac:dyDescent="0.25">
      <c r="A44" s="239" t="s">
        <v>248</v>
      </c>
      <c r="B44" s="240" t="s">
        <v>249</v>
      </c>
    </row>
    <row r="45" spans="1:2" x14ac:dyDescent="0.25">
      <c r="A45" s="239" t="s">
        <v>250</v>
      </c>
      <c r="B45" s="240" t="s">
        <v>251</v>
      </c>
    </row>
    <row r="46" spans="1:2" x14ac:dyDescent="0.25">
      <c r="A46" s="239" t="s">
        <v>252</v>
      </c>
      <c r="B46" s="240" t="s">
        <v>253</v>
      </c>
    </row>
    <row r="47" spans="1:2" x14ac:dyDescent="0.25">
      <c r="A47" s="239" t="s">
        <v>254</v>
      </c>
      <c r="B47" s="240" t="s">
        <v>255</v>
      </c>
    </row>
    <row r="48" spans="1:2" x14ac:dyDescent="0.25">
      <c r="A48" s="239" t="s">
        <v>256</v>
      </c>
      <c r="B48" s="240" t="s">
        <v>257</v>
      </c>
    </row>
    <row r="49" spans="1:2" x14ac:dyDescent="0.25">
      <c r="A49" s="239" t="s">
        <v>258</v>
      </c>
      <c r="B49" s="240" t="s">
        <v>259</v>
      </c>
    </row>
    <row r="50" spans="1:2" x14ac:dyDescent="0.25">
      <c r="A50" s="239" t="s">
        <v>260</v>
      </c>
      <c r="B50" s="240" t="s">
        <v>261</v>
      </c>
    </row>
    <row r="51" spans="1:2" x14ac:dyDescent="0.25">
      <c r="A51" s="239" t="s">
        <v>262</v>
      </c>
      <c r="B51" s="240" t="s">
        <v>263</v>
      </c>
    </row>
    <row r="52" spans="1:2" x14ac:dyDescent="0.25">
      <c r="A52" s="239" t="s">
        <v>264</v>
      </c>
      <c r="B52" s="240" t="s">
        <v>265</v>
      </c>
    </row>
    <row r="53" spans="1:2" x14ac:dyDescent="0.25">
      <c r="A53" s="239" t="s">
        <v>266</v>
      </c>
      <c r="B53" s="240" t="s">
        <v>267</v>
      </c>
    </row>
    <row r="54" spans="1:2" x14ac:dyDescent="0.25">
      <c r="A54" s="239" t="s">
        <v>268</v>
      </c>
      <c r="B54" s="240" t="s">
        <v>269</v>
      </c>
    </row>
    <row r="55" spans="1:2" x14ac:dyDescent="0.25">
      <c r="A55" s="239" t="s">
        <v>270</v>
      </c>
      <c r="B55" s="240" t="s">
        <v>271</v>
      </c>
    </row>
    <row r="56" spans="1:2" x14ac:dyDescent="0.25">
      <c r="A56" s="239" t="s">
        <v>272</v>
      </c>
      <c r="B56" s="240" t="s">
        <v>273</v>
      </c>
    </row>
    <row r="57" spans="1:2" x14ac:dyDescent="0.25">
      <c r="A57" s="239" t="s">
        <v>274</v>
      </c>
      <c r="B57" s="240" t="s">
        <v>275</v>
      </c>
    </row>
    <row r="58" spans="1:2" x14ac:dyDescent="0.25">
      <c r="A58" s="239" t="s">
        <v>276</v>
      </c>
      <c r="B58" s="240" t="s">
        <v>277</v>
      </c>
    </row>
    <row r="59" spans="1:2" x14ac:dyDescent="0.25">
      <c r="A59" s="239" t="s">
        <v>278</v>
      </c>
      <c r="B59" s="240" t="s">
        <v>279</v>
      </c>
    </row>
    <row r="60" spans="1:2" x14ac:dyDescent="0.25">
      <c r="A60" s="239" t="s">
        <v>280</v>
      </c>
      <c r="B60" s="240" t="s">
        <v>281</v>
      </c>
    </row>
    <row r="61" spans="1:2" x14ac:dyDescent="0.25">
      <c r="A61" s="239" t="s">
        <v>282</v>
      </c>
      <c r="B61" s="240" t="s">
        <v>283</v>
      </c>
    </row>
    <row r="62" spans="1:2" x14ac:dyDescent="0.25">
      <c r="A62" s="239"/>
      <c r="B62" s="240"/>
    </row>
    <row r="63" spans="1:2" x14ac:dyDescent="0.25">
      <c r="A63" s="239"/>
      <c r="B63" s="240"/>
    </row>
    <row r="64" spans="1:2" x14ac:dyDescent="0.25">
      <c r="A64" s="239" t="s">
        <v>611</v>
      </c>
      <c r="B64" s="240"/>
    </row>
    <row r="65" spans="1:2" x14ac:dyDescent="0.25">
      <c r="A65" s="239" t="s">
        <v>284</v>
      </c>
      <c r="B65" s="240" t="s">
        <v>285</v>
      </c>
    </row>
    <row r="66" spans="1:2" x14ac:dyDescent="0.25">
      <c r="A66" s="239" t="s">
        <v>286</v>
      </c>
      <c r="B66" s="240" t="s">
        <v>287</v>
      </c>
    </row>
    <row r="67" spans="1:2" x14ac:dyDescent="0.25">
      <c r="A67" s="239" t="s">
        <v>288</v>
      </c>
      <c r="B67" s="240" t="s">
        <v>289</v>
      </c>
    </row>
    <row r="68" spans="1:2" x14ac:dyDescent="0.25">
      <c r="A68" s="239" t="s">
        <v>290</v>
      </c>
      <c r="B68" s="240" t="s">
        <v>291</v>
      </c>
    </row>
    <row r="69" spans="1:2" x14ac:dyDescent="0.25">
      <c r="A69" s="239" t="s">
        <v>292</v>
      </c>
      <c r="B69" s="240" t="s">
        <v>293</v>
      </c>
    </row>
    <row r="70" spans="1:2" x14ac:dyDescent="0.25">
      <c r="A70" s="239" t="s">
        <v>294</v>
      </c>
      <c r="B70" s="240" t="s">
        <v>295</v>
      </c>
    </row>
    <row r="71" spans="1:2" x14ac:dyDescent="0.25">
      <c r="A71" s="239" t="s">
        <v>296</v>
      </c>
      <c r="B71" s="240" t="s">
        <v>297</v>
      </c>
    </row>
    <row r="72" spans="1:2" x14ac:dyDescent="0.25">
      <c r="A72" s="239" t="s">
        <v>298</v>
      </c>
      <c r="B72" s="240" t="s">
        <v>299</v>
      </c>
    </row>
    <row r="73" spans="1:2" x14ac:dyDescent="0.25">
      <c r="A73" s="239" t="s">
        <v>300</v>
      </c>
      <c r="B73" s="240" t="s">
        <v>301</v>
      </c>
    </row>
    <row r="74" spans="1:2" x14ac:dyDescent="0.25">
      <c r="A74" s="239" t="s">
        <v>302</v>
      </c>
      <c r="B74" s="240" t="s">
        <v>303</v>
      </c>
    </row>
    <row r="75" spans="1:2" x14ac:dyDescent="0.25">
      <c r="A75" s="239" t="s">
        <v>304</v>
      </c>
      <c r="B75" s="240" t="s">
        <v>305</v>
      </c>
    </row>
    <row r="76" spans="1:2" x14ac:dyDescent="0.25">
      <c r="A76" s="239" t="s">
        <v>306</v>
      </c>
      <c r="B76" s="240" t="s">
        <v>307</v>
      </c>
    </row>
    <row r="77" spans="1:2" x14ac:dyDescent="0.25">
      <c r="A77" s="239" t="s">
        <v>308</v>
      </c>
      <c r="B77" s="240" t="s">
        <v>309</v>
      </c>
    </row>
    <row r="78" spans="1:2" x14ac:dyDescent="0.25">
      <c r="A78" s="239" t="s">
        <v>310</v>
      </c>
      <c r="B78" s="240" t="s">
        <v>311</v>
      </c>
    </row>
    <row r="79" spans="1:2" x14ac:dyDescent="0.25">
      <c r="A79" s="239"/>
      <c r="B79" s="240"/>
    </row>
    <row r="80" spans="1:2" x14ac:dyDescent="0.25">
      <c r="A80" s="239"/>
      <c r="B80" s="240"/>
    </row>
    <row r="81" spans="1:2" x14ac:dyDescent="0.25">
      <c r="A81" s="239" t="s">
        <v>612</v>
      </c>
      <c r="B81" s="240"/>
    </row>
    <row r="82" spans="1:2" x14ac:dyDescent="0.25">
      <c r="A82" s="239" t="s">
        <v>408</v>
      </c>
      <c r="B82" s="240" t="s">
        <v>409</v>
      </c>
    </row>
    <row r="83" spans="1:2" x14ac:dyDescent="0.25">
      <c r="A83" s="239" t="s">
        <v>410</v>
      </c>
      <c r="B83" s="240" t="s">
        <v>411</v>
      </c>
    </row>
    <row r="84" spans="1:2" x14ac:dyDescent="0.25">
      <c r="A84" s="239" t="s">
        <v>412</v>
      </c>
      <c r="B84" s="240" t="s">
        <v>413</v>
      </c>
    </row>
    <row r="85" spans="1:2" x14ac:dyDescent="0.25">
      <c r="A85" s="239" t="s">
        <v>414</v>
      </c>
      <c r="B85" s="240" t="s">
        <v>415</v>
      </c>
    </row>
    <row r="86" spans="1:2" x14ac:dyDescent="0.25">
      <c r="A86" s="239" t="s">
        <v>416</v>
      </c>
      <c r="B86" s="240" t="s">
        <v>417</v>
      </c>
    </row>
    <row r="87" spans="1:2" x14ac:dyDescent="0.25">
      <c r="A87" s="239" t="s">
        <v>418</v>
      </c>
      <c r="B87" s="240" t="s">
        <v>419</v>
      </c>
    </row>
    <row r="88" spans="1:2" x14ac:dyDescent="0.25">
      <c r="A88" s="239" t="s">
        <v>420</v>
      </c>
      <c r="B88" s="240" t="s">
        <v>421</v>
      </c>
    </row>
    <row r="89" spans="1:2" x14ac:dyDescent="0.25">
      <c r="A89" s="239" t="s">
        <v>422</v>
      </c>
      <c r="B89" s="240" t="s">
        <v>423</v>
      </c>
    </row>
    <row r="90" spans="1:2" x14ac:dyDescent="0.25">
      <c r="A90" s="239" t="s">
        <v>424</v>
      </c>
      <c r="B90" s="240" t="s">
        <v>425</v>
      </c>
    </row>
    <row r="91" spans="1:2" x14ac:dyDescent="0.25">
      <c r="A91" s="239" t="s">
        <v>426</v>
      </c>
      <c r="B91" s="240" t="s">
        <v>427</v>
      </c>
    </row>
    <row r="92" spans="1:2" x14ac:dyDescent="0.25">
      <c r="A92" s="239" t="s">
        <v>428</v>
      </c>
      <c r="B92" s="240" t="s">
        <v>429</v>
      </c>
    </row>
    <row r="93" spans="1:2" x14ac:dyDescent="0.25">
      <c r="A93" s="239" t="s">
        <v>430</v>
      </c>
      <c r="B93" s="240" t="s">
        <v>431</v>
      </c>
    </row>
    <row r="94" spans="1:2" x14ac:dyDescent="0.25">
      <c r="A94" s="239" t="s">
        <v>432</v>
      </c>
      <c r="B94" s="240" t="s">
        <v>433</v>
      </c>
    </row>
    <row r="95" spans="1:2" x14ac:dyDescent="0.25">
      <c r="A95" s="239" t="s">
        <v>434</v>
      </c>
      <c r="B95" s="240" t="s">
        <v>435</v>
      </c>
    </row>
    <row r="96" spans="1:2" x14ac:dyDescent="0.25">
      <c r="A96" s="239" t="s">
        <v>436</v>
      </c>
      <c r="B96" s="240" t="s">
        <v>437</v>
      </c>
    </row>
    <row r="97" spans="1:2" x14ac:dyDescent="0.25">
      <c r="A97" s="239" t="s">
        <v>438</v>
      </c>
      <c r="B97" s="240" t="s">
        <v>439</v>
      </c>
    </row>
    <row r="98" spans="1:2" x14ac:dyDescent="0.25">
      <c r="A98" s="239" t="s">
        <v>440</v>
      </c>
      <c r="B98" s="240" t="s">
        <v>441</v>
      </c>
    </row>
    <row r="99" spans="1:2" x14ac:dyDescent="0.25">
      <c r="A99" s="239" t="s">
        <v>442</v>
      </c>
      <c r="B99" s="240" t="s">
        <v>443</v>
      </c>
    </row>
    <row r="100" spans="1:2" x14ac:dyDescent="0.25">
      <c r="A100" s="239" t="s">
        <v>444</v>
      </c>
      <c r="B100" s="240" t="s">
        <v>445</v>
      </c>
    </row>
    <row r="101" spans="1:2" x14ac:dyDescent="0.25">
      <c r="A101" s="239"/>
      <c r="B101" s="240"/>
    </row>
    <row r="102" spans="1:2" x14ac:dyDescent="0.25">
      <c r="A102" s="239"/>
      <c r="B102" s="240"/>
    </row>
    <row r="103" spans="1:2" x14ac:dyDescent="0.25">
      <c r="A103" s="239" t="s">
        <v>613</v>
      </c>
      <c r="B103" s="240"/>
    </row>
    <row r="104" spans="1:2" x14ac:dyDescent="0.25">
      <c r="A104" s="239" t="s">
        <v>312</v>
      </c>
      <c r="B104" s="240" t="s">
        <v>313</v>
      </c>
    </row>
    <row r="105" spans="1:2" x14ac:dyDescent="0.25">
      <c r="A105" s="239" t="s">
        <v>314</v>
      </c>
      <c r="B105" s="240" t="s">
        <v>315</v>
      </c>
    </row>
    <row r="106" spans="1:2" x14ac:dyDescent="0.25">
      <c r="A106" s="239" t="s">
        <v>316</v>
      </c>
      <c r="B106" s="240" t="s">
        <v>317</v>
      </c>
    </row>
    <row r="107" spans="1:2" x14ac:dyDescent="0.25">
      <c r="A107" s="239" t="s">
        <v>318</v>
      </c>
      <c r="B107" s="240" t="s">
        <v>319</v>
      </c>
    </row>
    <row r="108" spans="1:2" x14ac:dyDescent="0.25">
      <c r="A108" s="239" t="s">
        <v>320</v>
      </c>
      <c r="B108" s="240" t="s">
        <v>321</v>
      </c>
    </row>
    <row r="109" spans="1:2" x14ac:dyDescent="0.25">
      <c r="A109" s="239" t="s">
        <v>322</v>
      </c>
      <c r="B109" s="240" t="s">
        <v>323</v>
      </c>
    </row>
    <row r="110" spans="1:2" x14ac:dyDescent="0.25">
      <c r="A110" s="239" t="s">
        <v>324</v>
      </c>
      <c r="B110" s="240" t="s">
        <v>325</v>
      </c>
    </row>
    <row r="111" spans="1:2" x14ac:dyDescent="0.25">
      <c r="A111" s="239" t="s">
        <v>326</v>
      </c>
      <c r="B111" s="240" t="s">
        <v>327</v>
      </c>
    </row>
    <row r="112" spans="1:2" x14ac:dyDescent="0.25">
      <c r="A112" s="239" t="s">
        <v>328</v>
      </c>
      <c r="B112" s="240" t="s">
        <v>329</v>
      </c>
    </row>
    <row r="113" spans="1:2" x14ac:dyDescent="0.25">
      <c r="A113" s="239" t="s">
        <v>330</v>
      </c>
      <c r="B113" s="240" t="s">
        <v>331</v>
      </c>
    </row>
    <row r="114" spans="1:2" x14ac:dyDescent="0.25">
      <c r="A114" s="239" t="s">
        <v>332</v>
      </c>
      <c r="B114" s="240" t="s">
        <v>333</v>
      </c>
    </row>
    <row r="115" spans="1:2" x14ac:dyDescent="0.25">
      <c r="A115" s="239" t="s">
        <v>334</v>
      </c>
      <c r="B115" s="240" t="s">
        <v>335</v>
      </c>
    </row>
    <row r="116" spans="1:2" x14ac:dyDescent="0.25">
      <c r="A116" s="239" t="s">
        <v>336</v>
      </c>
      <c r="B116" s="240" t="s">
        <v>337</v>
      </c>
    </row>
    <row r="117" spans="1:2" x14ac:dyDescent="0.25">
      <c r="A117" s="239" t="s">
        <v>338</v>
      </c>
      <c r="B117" s="240" t="s">
        <v>339</v>
      </c>
    </row>
    <row r="118" spans="1:2" x14ac:dyDescent="0.25">
      <c r="A118" s="239" t="s">
        <v>340</v>
      </c>
      <c r="B118" s="240" t="s">
        <v>341</v>
      </c>
    </row>
    <row r="119" spans="1:2" x14ac:dyDescent="0.25">
      <c r="A119" s="239" t="s">
        <v>342</v>
      </c>
      <c r="B119" s="240" t="s">
        <v>343</v>
      </c>
    </row>
    <row r="120" spans="1:2" x14ac:dyDescent="0.25">
      <c r="A120" s="239" t="s">
        <v>344</v>
      </c>
      <c r="B120" s="240" t="s">
        <v>345</v>
      </c>
    </row>
    <row r="121" spans="1:2" x14ac:dyDescent="0.25">
      <c r="A121" s="239" t="s">
        <v>346</v>
      </c>
      <c r="B121" s="240" t="s">
        <v>347</v>
      </c>
    </row>
    <row r="122" spans="1:2" x14ac:dyDescent="0.25">
      <c r="A122" s="239" t="s">
        <v>348</v>
      </c>
      <c r="B122" s="240" t="s">
        <v>349</v>
      </c>
    </row>
    <row r="123" spans="1:2" x14ac:dyDescent="0.25">
      <c r="A123" s="239" t="s">
        <v>350</v>
      </c>
      <c r="B123" s="240" t="s">
        <v>351</v>
      </c>
    </row>
    <row r="124" spans="1:2" x14ac:dyDescent="0.25">
      <c r="A124" s="239" t="s">
        <v>352</v>
      </c>
      <c r="B124" s="240" t="s">
        <v>353</v>
      </c>
    </row>
    <row r="125" spans="1:2" x14ac:dyDescent="0.25">
      <c r="A125" s="239" t="s">
        <v>354</v>
      </c>
      <c r="B125" s="240" t="s">
        <v>355</v>
      </c>
    </row>
    <row r="126" spans="1:2" x14ac:dyDescent="0.25">
      <c r="A126" s="239" t="s">
        <v>356</v>
      </c>
      <c r="B126" s="240" t="s">
        <v>357</v>
      </c>
    </row>
    <row r="127" spans="1:2" x14ac:dyDescent="0.25">
      <c r="A127" s="239" t="s">
        <v>358</v>
      </c>
      <c r="B127" s="240" t="s">
        <v>359</v>
      </c>
    </row>
    <row r="128" spans="1:2" x14ac:dyDescent="0.25">
      <c r="A128" s="239" t="s">
        <v>360</v>
      </c>
      <c r="B128" s="240" t="s">
        <v>361</v>
      </c>
    </row>
    <row r="129" spans="1:2" x14ac:dyDescent="0.25">
      <c r="A129" s="239" t="s">
        <v>362</v>
      </c>
      <c r="B129" s="240" t="s">
        <v>363</v>
      </c>
    </row>
    <row r="130" spans="1:2" x14ac:dyDescent="0.25">
      <c r="A130" s="239" t="s">
        <v>364</v>
      </c>
      <c r="B130" s="240" t="s">
        <v>365</v>
      </c>
    </row>
    <row r="131" spans="1:2" x14ac:dyDescent="0.25">
      <c r="A131" s="239" t="s">
        <v>366</v>
      </c>
      <c r="B131" s="240" t="s">
        <v>367</v>
      </c>
    </row>
    <row r="132" spans="1:2" x14ac:dyDescent="0.25">
      <c r="A132" s="239" t="s">
        <v>368</v>
      </c>
      <c r="B132" s="240" t="s">
        <v>369</v>
      </c>
    </row>
    <row r="133" spans="1:2" x14ac:dyDescent="0.25">
      <c r="A133" s="239" t="s">
        <v>370</v>
      </c>
      <c r="B133" s="240" t="s">
        <v>371</v>
      </c>
    </row>
    <row r="134" spans="1:2" x14ac:dyDescent="0.25">
      <c r="A134" s="239" t="s">
        <v>372</v>
      </c>
      <c r="B134" s="240" t="s">
        <v>373</v>
      </c>
    </row>
    <row r="135" spans="1:2" x14ac:dyDescent="0.25">
      <c r="A135" s="239" t="s">
        <v>374</v>
      </c>
      <c r="B135" s="240" t="s">
        <v>375</v>
      </c>
    </row>
    <row r="136" spans="1:2" x14ac:dyDescent="0.25">
      <c r="A136" s="239" t="s">
        <v>376</v>
      </c>
      <c r="B136" s="240" t="s">
        <v>377</v>
      </c>
    </row>
    <row r="137" spans="1:2" x14ac:dyDescent="0.25">
      <c r="A137" s="239" t="s">
        <v>378</v>
      </c>
      <c r="B137" s="240" t="s">
        <v>379</v>
      </c>
    </row>
    <row r="138" spans="1:2" x14ac:dyDescent="0.25">
      <c r="A138" s="239" t="s">
        <v>380</v>
      </c>
      <c r="B138" s="240" t="s">
        <v>381</v>
      </c>
    </row>
    <row r="139" spans="1:2" x14ac:dyDescent="0.25">
      <c r="A139" s="239" t="s">
        <v>382</v>
      </c>
      <c r="B139" s="240" t="s">
        <v>383</v>
      </c>
    </row>
    <row r="140" spans="1:2" x14ac:dyDescent="0.25">
      <c r="A140" s="239" t="s">
        <v>384</v>
      </c>
      <c r="B140" s="240" t="s">
        <v>385</v>
      </c>
    </row>
    <row r="141" spans="1:2" x14ac:dyDescent="0.25">
      <c r="A141" s="239" t="s">
        <v>386</v>
      </c>
      <c r="B141" s="240" t="s">
        <v>387</v>
      </c>
    </row>
    <row r="142" spans="1:2" x14ac:dyDescent="0.25">
      <c r="A142" s="239" t="s">
        <v>388</v>
      </c>
      <c r="B142" s="240" t="s">
        <v>389</v>
      </c>
    </row>
    <row r="143" spans="1:2" x14ac:dyDescent="0.25">
      <c r="A143" s="239" t="s">
        <v>390</v>
      </c>
      <c r="B143" s="240" t="s">
        <v>391</v>
      </c>
    </row>
    <row r="144" spans="1:2" x14ac:dyDescent="0.25">
      <c r="A144" s="239" t="s">
        <v>392</v>
      </c>
      <c r="B144" s="240" t="s">
        <v>393</v>
      </c>
    </row>
    <row r="145" spans="1:2" x14ac:dyDescent="0.25">
      <c r="A145" s="239" t="s">
        <v>394</v>
      </c>
      <c r="B145" s="240" t="s">
        <v>395</v>
      </c>
    </row>
    <row r="146" spans="1:2" x14ac:dyDescent="0.25">
      <c r="A146" s="239" t="s">
        <v>396</v>
      </c>
      <c r="B146" s="240" t="s">
        <v>397</v>
      </c>
    </row>
    <row r="147" spans="1:2" x14ac:dyDescent="0.25">
      <c r="A147" s="239" t="s">
        <v>398</v>
      </c>
      <c r="B147" s="240" t="s">
        <v>399</v>
      </c>
    </row>
    <row r="148" spans="1:2" x14ac:dyDescent="0.25">
      <c r="A148" s="239" t="s">
        <v>400</v>
      </c>
      <c r="B148" s="240" t="s">
        <v>401</v>
      </c>
    </row>
    <row r="149" spans="1:2" x14ac:dyDescent="0.25">
      <c r="A149" s="239" t="s">
        <v>402</v>
      </c>
      <c r="B149" s="240" t="s">
        <v>403</v>
      </c>
    </row>
    <row r="150" spans="1:2" x14ac:dyDescent="0.25">
      <c r="A150" s="239" t="s">
        <v>404</v>
      </c>
      <c r="B150" s="240" t="s">
        <v>405</v>
      </c>
    </row>
    <row r="151" spans="1:2" x14ac:dyDescent="0.25">
      <c r="A151" s="239" t="s">
        <v>406</v>
      </c>
      <c r="B151" s="240" t="s">
        <v>407</v>
      </c>
    </row>
    <row r="152" spans="1:2" x14ac:dyDescent="0.25">
      <c r="A152" s="239" t="s">
        <v>446</v>
      </c>
      <c r="B152" s="240" t="s">
        <v>447</v>
      </c>
    </row>
    <row r="153" spans="1:2" x14ac:dyDescent="0.25">
      <c r="A153" s="239" t="s">
        <v>448</v>
      </c>
      <c r="B153" s="240" t="s">
        <v>449</v>
      </c>
    </row>
    <row r="154" spans="1:2" x14ac:dyDescent="0.25">
      <c r="A154" s="239" t="s">
        <v>450</v>
      </c>
      <c r="B154" s="240" t="s">
        <v>451</v>
      </c>
    </row>
    <row r="155" spans="1:2" x14ac:dyDescent="0.25">
      <c r="A155" s="239" t="s">
        <v>452</v>
      </c>
      <c r="B155" s="240" t="s">
        <v>453</v>
      </c>
    </row>
    <row r="156" spans="1:2" x14ac:dyDescent="0.25">
      <c r="A156" s="239" t="s">
        <v>454</v>
      </c>
      <c r="B156" s="240" t="s">
        <v>455</v>
      </c>
    </row>
    <row r="157" spans="1:2" x14ac:dyDescent="0.25">
      <c r="A157" s="239" t="s">
        <v>456</v>
      </c>
      <c r="B157" s="240" t="s">
        <v>457</v>
      </c>
    </row>
    <row r="158" spans="1:2" x14ac:dyDescent="0.25">
      <c r="A158" s="239" t="s">
        <v>458</v>
      </c>
      <c r="B158" s="240" t="s">
        <v>459</v>
      </c>
    </row>
    <row r="159" spans="1:2" x14ac:dyDescent="0.25">
      <c r="A159" s="239" t="s">
        <v>460</v>
      </c>
      <c r="B159" s="240" t="s">
        <v>461</v>
      </c>
    </row>
    <row r="160" spans="1:2" x14ac:dyDescent="0.25">
      <c r="A160" s="239" t="s">
        <v>462</v>
      </c>
      <c r="B160" s="240" t="s">
        <v>463</v>
      </c>
    </row>
    <row r="161" spans="1:2" x14ac:dyDescent="0.25">
      <c r="A161" s="239" t="s">
        <v>464</v>
      </c>
      <c r="B161" s="240" t="s">
        <v>465</v>
      </c>
    </row>
    <row r="162" spans="1:2" x14ac:dyDescent="0.25">
      <c r="A162" s="239" t="s">
        <v>466</v>
      </c>
      <c r="B162" s="240" t="s">
        <v>467</v>
      </c>
    </row>
    <row r="163" spans="1:2" x14ac:dyDescent="0.25">
      <c r="A163" s="239" t="s">
        <v>468</v>
      </c>
      <c r="B163" s="240" t="s">
        <v>469</v>
      </c>
    </row>
    <row r="164" spans="1:2" x14ac:dyDescent="0.25">
      <c r="A164" s="239" t="s">
        <v>470</v>
      </c>
      <c r="B164" s="240" t="s">
        <v>471</v>
      </c>
    </row>
    <row r="165" spans="1:2" x14ac:dyDescent="0.25">
      <c r="A165" s="239" t="s">
        <v>472</v>
      </c>
      <c r="B165" s="240" t="s">
        <v>473</v>
      </c>
    </row>
    <row r="166" spans="1:2" x14ac:dyDescent="0.25">
      <c r="A166" s="239" t="s">
        <v>474</v>
      </c>
      <c r="B166" s="240" t="s">
        <v>475</v>
      </c>
    </row>
    <row r="167" spans="1:2" x14ac:dyDescent="0.25">
      <c r="A167" s="239" t="s">
        <v>476</v>
      </c>
      <c r="B167" s="240" t="s">
        <v>477</v>
      </c>
    </row>
    <row r="168" spans="1:2" x14ac:dyDescent="0.25">
      <c r="A168" s="239" t="s">
        <v>478</v>
      </c>
      <c r="B168" s="240" t="s">
        <v>479</v>
      </c>
    </row>
    <row r="169" spans="1:2" x14ac:dyDescent="0.25">
      <c r="A169" s="239" t="s">
        <v>480</v>
      </c>
      <c r="B169" s="240" t="s">
        <v>481</v>
      </c>
    </row>
    <row r="170" spans="1:2" x14ac:dyDescent="0.25">
      <c r="A170" s="239" t="s">
        <v>482</v>
      </c>
      <c r="B170" s="240" t="s">
        <v>483</v>
      </c>
    </row>
    <row r="171" spans="1:2" x14ac:dyDescent="0.25">
      <c r="A171" s="239" t="s">
        <v>484</v>
      </c>
      <c r="B171" s="240" t="s">
        <v>485</v>
      </c>
    </row>
    <row r="172" spans="1:2" x14ac:dyDescent="0.25">
      <c r="A172" s="239" t="s">
        <v>486</v>
      </c>
      <c r="B172" s="240" t="s">
        <v>487</v>
      </c>
    </row>
    <row r="173" spans="1:2" x14ac:dyDescent="0.25">
      <c r="A173" s="239" t="s">
        <v>488</v>
      </c>
      <c r="B173" s="240" t="s">
        <v>489</v>
      </c>
    </row>
    <row r="174" spans="1:2" x14ac:dyDescent="0.25">
      <c r="A174" s="239" t="s">
        <v>490</v>
      </c>
      <c r="B174" s="240" t="s">
        <v>491</v>
      </c>
    </row>
    <row r="175" spans="1:2" x14ac:dyDescent="0.25">
      <c r="A175" s="239" t="s">
        <v>492</v>
      </c>
      <c r="B175" s="240" t="s">
        <v>493</v>
      </c>
    </row>
    <row r="176" spans="1:2" x14ac:dyDescent="0.25">
      <c r="A176" s="239" t="s">
        <v>494</v>
      </c>
      <c r="B176" s="240" t="s">
        <v>495</v>
      </c>
    </row>
    <row r="177" spans="1:2" x14ac:dyDescent="0.25">
      <c r="A177" s="239" t="s">
        <v>496</v>
      </c>
      <c r="B177" s="240" t="s">
        <v>497</v>
      </c>
    </row>
    <row r="178" spans="1:2" x14ac:dyDescent="0.25">
      <c r="A178" s="239" t="s">
        <v>498</v>
      </c>
      <c r="B178" s="240" t="s">
        <v>499</v>
      </c>
    </row>
    <row r="179" spans="1:2" x14ac:dyDescent="0.25">
      <c r="A179" s="239" t="s">
        <v>500</v>
      </c>
      <c r="B179" s="240" t="s">
        <v>501</v>
      </c>
    </row>
    <row r="180" spans="1:2" x14ac:dyDescent="0.25">
      <c r="A180" s="239" t="s">
        <v>502</v>
      </c>
      <c r="B180" s="240" t="s">
        <v>503</v>
      </c>
    </row>
    <row r="181" spans="1:2" x14ac:dyDescent="0.25">
      <c r="A181" s="239" t="s">
        <v>504</v>
      </c>
      <c r="B181" s="240" t="s">
        <v>505</v>
      </c>
    </row>
    <row r="182" spans="1:2" x14ac:dyDescent="0.25">
      <c r="A182" s="239" t="s">
        <v>506</v>
      </c>
      <c r="B182" s="240" t="s">
        <v>507</v>
      </c>
    </row>
    <row r="183" spans="1:2" x14ac:dyDescent="0.25">
      <c r="A183" s="239" t="s">
        <v>508</v>
      </c>
      <c r="B183" s="240" t="s">
        <v>509</v>
      </c>
    </row>
    <row r="184" spans="1:2" x14ac:dyDescent="0.25">
      <c r="A184" s="239" t="s">
        <v>510</v>
      </c>
      <c r="B184" s="240" t="s">
        <v>511</v>
      </c>
    </row>
    <row r="185" spans="1:2" x14ac:dyDescent="0.25">
      <c r="A185" s="239" t="s">
        <v>512</v>
      </c>
      <c r="B185" s="240" t="s">
        <v>513</v>
      </c>
    </row>
    <row r="186" spans="1:2" x14ac:dyDescent="0.25">
      <c r="A186" s="239" t="s">
        <v>514</v>
      </c>
      <c r="B186" s="240" t="s">
        <v>515</v>
      </c>
    </row>
    <row r="187" spans="1:2" x14ac:dyDescent="0.25">
      <c r="A187" s="239" t="s">
        <v>516</v>
      </c>
      <c r="B187" s="240" t="s">
        <v>517</v>
      </c>
    </row>
    <row r="188" spans="1:2" x14ac:dyDescent="0.25">
      <c r="A188" s="239" t="s">
        <v>518</v>
      </c>
      <c r="B188" s="240" t="s">
        <v>519</v>
      </c>
    </row>
    <row r="189" spans="1:2" x14ac:dyDescent="0.25">
      <c r="A189" s="239" t="s">
        <v>520</v>
      </c>
      <c r="B189" s="240" t="s">
        <v>521</v>
      </c>
    </row>
    <row r="190" spans="1:2" x14ac:dyDescent="0.25">
      <c r="A190" s="239" t="s">
        <v>522</v>
      </c>
      <c r="B190" s="240" t="s">
        <v>523</v>
      </c>
    </row>
    <row r="191" spans="1:2" x14ac:dyDescent="0.25">
      <c r="A191" s="239" t="s">
        <v>524</v>
      </c>
      <c r="B191" s="240" t="s">
        <v>525</v>
      </c>
    </row>
    <row r="192" spans="1:2" x14ac:dyDescent="0.25">
      <c r="A192" s="239" t="s">
        <v>526</v>
      </c>
      <c r="B192" s="240" t="s">
        <v>527</v>
      </c>
    </row>
    <row r="193" spans="1:2" x14ac:dyDescent="0.25">
      <c r="A193" s="239" t="s">
        <v>528</v>
      </c>
      <c r="B193" s="240" t="s">
        <v>529</v>
      </c>
    </row>
    <row r="194" spans="1:2" x14ac:dyDescent="0.25">
      <c r="A194" s="239" t="s">
        <v>530</v>
      </c>
      <c r="B194" s="240" t="s">
        <v>531</v>
      </c>
    </row>
    <row r="195" spans="1:2" x14ac:dyDescent="0.25">
      <c r="A195" s="239" t="s">
        <v>532</v>
      </c>
      <c r="B195" s="240" t="s">
        <v>533</v>
      </c>
    </row>
    <row r="196" spans="1:2" x14ac:dyDescent="0.25">
      <c r="A196" s="239" t="s">
        <v>534</v>
      </c>
      <c r="B196" s="240" t="s">
        <v>535</v>
      </c>
    </row>
    <row r="197" spans="1:2" x14ac:dyDescent="0.25">
      <c r="A197" s="239" t="s">
        <v>536</v>
      </c>
      <c r="B197" s="240" t="s">
        <v>537</v>
      </c>
    </row>
    <row r="198" spans="1:2" x14ac:dyDescent="0.25">
      <c r="A198" s="239" t="s">
        <v>538</v>
      </c>
      <c r="B198" s="240" t="s">
        <v>539</v>
      </c>
    </row>
    <row r="199" spans="1:2" x14ac:dyDescent="0.25">
      <c r="A199" s="239" t="s">
        <v>540</v>
      </c>
      <c r="B199" s="240" t="s">
        <v>541</v>
      </c>
    </row>
    <row r="200" spans="1:2" x14ac:dyDescent="0.25">
      <c r="A200" s="239" t="s">
        <v>542</v>
      </c>
      <c r="B200" s="240" t="s">
        <v>543</v>
      </c>
    </row>
    <row r="201" spans="1:2" x14ac:dyDescent="0.25">
      <c r="A201" s="239" t="s">
        <v>544</v>
      </c>
      <c r="B201" s="240" t="s">
        <v>545</v>
      </c>
    </row>
    <row r="202" spans="1:2" x14ac:dyDescent="0.25">
      <c r="A202" s="239" t="s">
        <v>546</v>
      </c>
      <c r="B202" s="240" t="s">
        <v>547</v>
      </c>
    </row>
    <row r="203" spans="1:2" x14ac:dyDescent="0.25">
      <c r="A203" s="239" t="s">
        <v>548</v>
      </c>
      <c r="B203" s="240" t="s">
        <v>549</v>
      </c>
    </row>
    <row r="204" spans="1:2" x14ac:dyDescent="0.25">
      <c r="A204" s="239" t="s">
        <v>550</v>
      </c>
      <c r="B204" s="240" t="s">
        <v>551</v>
      </c>
    </row>
    <row r="205" spans="1:2" x14ac:dyDescent="0.25">
      <c r="A205" s="239" t="s">
        <v>552</v>
      </c>
      <c r="B205" s="240" t="s">
        <v>553</v>
      </c>
    </row>
    <row r="206" spans="1:2" x14ac:dyDescent="0.25">
      <c r="A206" s="239" t="s">
        <v>554</v>
      </c>
      <c r="B206" s="240" t="s">
        <v>555</v>
      </c>
    </row>
    <row r="207" spans="1:2" x14ac:dyDescent="0.25">
      <c r="A207" s="239" t="s">
        <v>556</v>
      </c>
      <c r="B207" s="240" t="s">
        <v>557</v>
      </c>
    </row>
    <row r="208" spans="1:2" x14ac:dyDescent="0.25">
      <c r="A208" s="239" t="s">
        <v>558</v>
      </c>
      <c r="B208" s="240" t="s">
        <v>559</v>
      </c>
    </row>
    <row r="209" spans="1:2" x14ac:dyDescent="0.25">
      <c r="A209" s="239" t="s">
        <v>560</v>
      </c>
      <c r="B209" s="240" t="s">
        <v>561</v>
      </c>
    </row>
    <row r="210" spans="1:2" x14ac:dyDescent="0.25">
      <c r="A210" s="239" t="s">
        <v>562</v>
      </c>
      <c r="B210" s="240" t="s">
        <v>563</v>
      </c>
    </row>
    <row r="211" spans="1:2" x14ac:dyDescent="0.25">
      <c r="A211" s="239" t="s">
        <v>564</v>
      </c>
      <c r="B211" s="240" t="s">
        <v>565</v>
      </c>
    </row>
    <row r="212" spans="1:2" x14ac:dyDescent="0.25">
      <c r="A212" s="239" t="s">
        <v>566</v>
      </c>
      <c r="B212" s="240" t="s">
        <v>567</v>
      </c>
    </row>
    <row r="213" spans="1:2" x14ac:dyDescent="0.25">
      <c r="A213" s="239" t="s">
        <v>568</v>
      </c>
      <c r="B213" s="240" t="s">
        <v>569</v>
      </c>
    </row>
    <row r="214" spans="1:2" x14ac:dyDescent="0.25">
      <c r="A214" s="239" t="s">
        <v>570</v>
      </c>
      <c r="B214" s="240" t="s">
        <v>571</v>
      </c>
    </row>
    <row r="215" spans="1:2" x14ac:dyDescent="0.25">
      <c r="A215" s="239" t="s">
        <v>572</v>
      </c>
      <c r="B215" s="240" t="s">
        <v>573</v>
      </c>
    </row>
    <row r="216" spans="1:2" x14ac:dyDescent="0.25">
      <c r="A216" s="239" t="s">
        <v>574</v>
      </c>
      <c r="B216" s="240" t="s">
        <v>575</v>
      </c>
    </row>
    <row r="217" spans="1:2" x14ac:dyDescent="0.25">
      <c r="A217" s="239" t="s">
        <v>576</v>
      </c>
      <c r="B217" s="240" t="s">
        <v>577</v>
      </c>
    </row>
    <row r="218" spans="1:2" x14ac:dyDescent="0.25">
      <c r="A218" s="239" t="s">
        <v>578</v>
      </c>
      <c r="B218" s="240" t="s">
        <v>579</v>
      </c>
    </row>
    <row r="219" spans="1:2" x14ac:dyDescent="0.25">
      <c r="A219" s="239" t="s">
        <v>580</v>
      </c>
      <c r="B219" s="240" t="s">
        <v>581</v>
      </c>
    </row>
    <row r="220" spans="1:2" x14ac:dyDescent="0.25">
      <c r="A220" s="239" t="s">
        <v>582</v>
      </c>
      <c r="B220" s="240" t="s">
        <v>583</v>
      </c>
    </row>
    <row r="221" spans="1:2" x14ac:dyDescent="0.25">
      <c r="A221" s="239" t="s">
        <v>584</v>
      </c>
      <c r="B221" s="240" t="s">
        <v>585</v>
      </c>
    </row>
    <row r="222" spans="1:2" x14ac:dyDescent="0.25">
      <c r="A222" s="239" t="s">
        <v>586</v>
      </c>
      <c r="B222" s="240" t="s">
        <v>587</v>
      </c>
    </row>
    <row r="223" spans="1:2" x14ac:dyDescent="0.25">
      <c r="A223" s="239" t="s">
        <v>588</v>
      </c>
      <c r="B223" s="240" t="s">
        <v>589</v>
      </c>
    </row>
    <row r="224" spans="1:2" x14ac:dyDescent="0.25">
      <c r="A224" s="239" t="s">
        <v>590</v>
      </c>
      <c r="B224" s="240" t="s">
        <v>591</v>
      </c>
    </row>
    <row r="225" spans="1:2" x14ac:dyDescent="0.25">
      <c r="A225" s="239" t="s">
        <v>592</v>
      </c>
      <c r="B225" s="240" t="s">
        <v>593</v>
      </c>
    </row>
    <row r="226" spans="1:2" x14ac:dyDescent="0.25">
      <c r="A226" s="239" t="s">
        <v>594</v>
      </c>
      <c r="B226" s="240" t="s">
        <v>595</v>
      </c>
    </row>
    <row r="227" spans="1:2" x14ac:dyDescent="0.25">
      <c r="A227" s="239" t="s">
        <v>596</v>
      </c>
      <c r="B227" s="240" t="s">
        <v>597</v>
      </c>
    </row>
    <row r="228" spans="1:2" x14ac:dyDescent="0.25">
      <c r="A228" s="239" t="s">
        <v>598</v>
      </c>
      <c r="B228" s="240" t="s">
        <v>599</v>
      </c>
    </row>
    <row r="229" spans="1:2" x14ac:dyDescent="0.25">
      <c r="A229" s="239" t="s">
        <v>600</v>
      </c>
      <c r="B229" s="240" t="s">
        <v>601</v>
      </c>
    </row>
    <row r="230" spans="1:2" x14ac:dyDescent="0.25">
      <c r="A230" s="239" t="s">
        <v>602</v>
      </c>
      <c r="B230" s="240" t="s">
        <v>603</v>
      </c>
    </row>
    <row r="231" spans="1:2" x14ac:dyDescent="0.25">
      <c r="A231" s="239" t="s">
        <v>604</v>
      </c>
      <c r="B231" s="240" t="s">
        <v>605</v>
      </c>
    </row>
    <row r="232" spans="1:2" x14ac:dyDescent="0.25">
      <c r="A232" s="239"/>
      <c r="B232" s="2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75"/>
  <sheetViews>
    <sheetView zoomScale="80" zoomScaleNormal="80" workbookViewId="0">
      <pane xSplit="1" ySplit="3" topLeftCell="B4" activePane="bottomRight" state="frozen"/>
      <selection sqref="A1:AG1"/>
      <selection pane="topRight" sqref="A1:AG1"/>
      <selection pane="bottomLeft" sqref="A1:AG1"/>
      <selection pane="bottomRight" sqref="A1:AG1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173</v>
      </c>
      <c r="B2" s="234">
        <v>1</v>
      </c>
      <c r="C2" s="234">
        <f t="shared" ref="C2:AA2" si="0">+B2+1</f>
        <v>2</v>
      </c>
      <c r="D2" s="234">
        <f t="shared" si="0"/>
        <v>3</v>
      </c>
      <c r="E2" s="234">
        <f t="shared" si="0"/>
        <v>4</v>
      </c>
      <c r="F2" s="234">
        <f t="shared" si="0"/>
        <v>5</v>
      </c>
      <c r="G2" s="234">
        <f t="shared" si="0"/>
        <v>6</v>
      </c>
      <c r="H2" s="234">
        <f t="shared" si="0"/>
        <v>7</v>
      </c>
      <c r="I2" s="234">
        <f t="shared" si="0"/>
        <v>8</v>
      </c>
      <c r="J2" s="234">
        <f t="shared" si="0"/>
        <v>9</v>
      </c>
      <c r="K2" s="234">
        <f t="shared" si="0"/>
        <v>10</v>
      </c>
      <c r="L2" s="234">
        <f t="shared" si="0"/>
        <v>11</v>
      </c>
      <c r="M2" s="234">
        <f t="shared" si="0"/>
        <v>12</v>
      </c>
      <c r="N2" s="234">
        <f t="shared" si="0"/>
        <v>13</v>
      </c>
      <c r="O2" s="234">
        <f t="shared" si="0"/>
        <v>14</v>
      </c>
      <c r="P2" s="234">
        <f t="shared" si="0"/>
        <v>15</v>
      </c>
      <c r="Q2" s="234">
        <f t="shared" si="0"/>
        <v>16</v>
      </c>
      <c r="R2" s="234">
        <f t="shared" si="0"/>
        <v>17</v>
      </c>
      <c r="S2" s="234">
        <f t="shared" si="0"/>
        <v>18</v>
      </c>
      <c r="T2" s="234">
        <f t="shared" si="0"/>
        <v>19</v>
      </c>
      <c r="U2" s="234">
        <f t="shared" si="0"/>
        <v>20</v>
      </c>
      <c r="V2" s="234">
        <f t="shared" si="0"/>
        <v>21</v>
      </c>
      <c r="W2" s="234">
        <f t="shared" si="0"/>
        <v>22</v>
      </c>
      <c r="X2" s="234">
        <f t="shared" si="0"/>
        <v>23</v>
      </c>
      <c r="Y2" s="234">
        <f t="shared" si="0"/>
        <v>24</v>
      </c>
      <c r="Z2" s="234">
        <f t="shared" si="0"/>
        <v>25</v>
      </c>
      <c r="AA2" s="234">
        <f t="shared" si="0"/>
        <v>26</v>
      </c>
      <c r="AB2" s="234">
        <v>27</v>
      </c>
      <c r="AC2" s="234">
        <f>+AB2+1</f>
        <v>28</v>
      </c>
      <c r="AD2" s="234">
        <v>29</v>
      </c>
      <c r="AE2" s="234">
        <v>30</v>
      </c>
      <c r="AF2" s="234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0</v>
      </c>
      <c r="C3" s="135">
        <f t="shared" si="1"/>
        <v>0</v>
      </c>
      <c r="D3" s="135">
        <f t="shared" si="1"/>
        <v>0</v>
      </c>
      <c r="E3" s="135">
        <f t="shared" si="1"/>
        <v>0</v>
      </c>
      <c r="F3" s="135">
        <f t="shared" si="1"/>
        <v>0</v>
      </c>
      <c r="G3" s="135">
        <f t="shared" si="1"/>
        <v>0</v>
      </c>
      <c r="H3" s="135">
        <f t="shared" si="1"/>
        <v>0</v>
      </c>
      <c r="I3" s="135">
        <f t="shared" si="1"/>
        <v>0</v>
      </c>
      <c r="J3" s="135">
        <f t="shared" si="1"/>
        <v>0</v>
      </c>
      <c r="K3" s="135">
        <f t="shared" si="1"/>
        <v>0</v>
      </c>
      <c r="L3" s="135">
        <f t="shared" si="1"/>
        <v>0</v>
      </c>
      <c r="M3" s="135">
        <f t="shared" si="1"/>
        <v>0</v>
      </c>
      <c r="N3" s="135">
        <f t="shared" si="1"/>
        <v>0</v>
      </c>
      <c r="O3" s="135">
        <f t="shared" si="1"/>
        <v>0</v>
      </c>
      <c r="P3" s="135">
        <f t="shared" si="1"/>
        <v>0</v>
      </c>
      <c r="Q3" s="135">
        <f t="shared" si="1"/>
        <v>0</v>
      </c>
      <c r="R3" s="135">
        <f t="shared" si="1"/>
        <v>0</v>
      </c>
      <c r="S3" s="135">
        <f t="shared" si="1"/>
        <v>0</v>
      </c>
      <c r="T3" s="135">
        <f t="shared" si="1"/>
        <v>0</v>
      </c>
      <c r="U3" s="135">
        <f t="shared" si="1"/>
        <v>0</v>
      </c>
      <c r="V3" s="135">
        <f t="shared" si="1"/>
        <v>0</v>
      </c>
      <c r="W3" s="135">
        <f t="shared" si="1"/>
        <v>0</v>
      </c>
      <c r="X3" s="135">
        <f t="shared" si="1"/>
        <v>0</v>
      </c>
      <c r="Y3" s="135">
        <f t="shared" si="1"/>
        <v>0</v>
      </c>
      <c r="Z3" s="135">
        <f t="shared" si="1"/>
        <v>0</v>
      </c>
      <c r="AA3" s="135">
        <f t="shared" si="1"/>
        <v>0</v>
      </c>
      <c r="AB3" s="135">
        <f t="shared" si="1"/>
        <v>0</v>
      </c>
      <c r="AC3" s="135">
        <f t="shared" si="1"/>
        <v>0</v>
      </c>
      <c r="AD3" s="135">
        <f t="shared" si="1"/>
        <v>0</v>
      </c>
      <c r="AE3" s="135">
        <f t="shared" si="1"/>
        <v>0</v>
      </c>
      <c r="AF3" s="135">
        <f t="shared" si="1"/>
        <v>0</v>
      </c>
      <c r="AG3" s="187">
        <f>SUM(B3:AF3)</f>
        <v>0</v>
      </c>
    </row>
    <row r="4" spans="1:33" ht="18.75" x14ac:dyDescent="0.25">
      <c r="A4" s="113" t="s">
        <v>54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5"/>
      <c r="AG4" s="132">
        <f t="shared" ref="AG4:AG83" si="2">SUM(B4:AF4)</f>
        <v>0</v>
      </c>
    </row>
    <row r="5" spans="1:33" ht="18.75" x14ac:dyDescent="0.25">
      <c r="A5" s="41" t="s">
        <v>55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4">
        <f t="shared" si="2"/>
        <v>0</v>
      </c>
    </row>
    <row r="6" spans="1:33" ht="18.75" x14ac:dyDescent="0.25">
      <c r="A6" s="41" t="s">
        <v>56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  <c r="AG6" s="4">
        <f t="shared" si="2"/>
        <v>0</v>
      </c>
    </row>
    <row r="7" spans="1:33" ht="18.75" x14ac:dyDescent="0.25">
      <c r="A7" s="41" t="s">
        <v>38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  <c r="AG7" s="4">
        <f t="shared" si="2"/>
        <v>0</v>
      </c>
    </row>
    <row r="8" spans="1:33" ht="18.75" x14ac:dyDescent="0.25">
      <c r="A8" s="41" t="s">
        <v>39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4">
        <f t="shared" si="2"/>
        <v>0</v>
      </c>
    </row>
    <row r="9" spans="1:33" ht="18.75" x14ac:dyDescent="0.25">
      <c r="A9" s="41" t="s">
        <v>40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  <c r="AG9" s="4">
        <f t="shared" si="2"/>
        <v>0</v>
      </c>
    </row>
    <row r="10" spans="1:33" ht="18.75" x14ac:dyDescent="0.25">
      <c r="A10" s="41" t="s">
        <v>41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  <c r="AG10" s="4">
        <f t="shared" si="2"/>
        <v>0</v>
      </c>
    </row>
    <row r="11" spans="1:33" ht="18.75" x14ac:dyDescent="0.25">
      <c r="A11" s="41" t="s">
        <v>42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8"/>
      <c r="AG11" s="4">
        <f t="shared" si="2"/>
        <v>0</v>
      </c>
    </row>
    <row r="12" spans="1:33" ht="18.75" x14ac:dyDescent="0.25">
      <c r="A12" s="41" t="s">
        <v>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8"/>
      <c r="AG12" s="4">
        <f t="shared" si="2"/>
        <v>0</v>
      </c>
    </row>
    <row r="13" spans="1:33" ht="18.75" x14ac:dyDescent="0.25">
      <c r="A13" s="41" t="s">
        <v>44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8"/>
      <c r="AG13" s="4">
        <f t="shared" si="2"/>
        <v>0</v>
      </c>
    </row>
    <row r="14" spans="1:33" ht="18.75" x14ac:dyDescent="0.25">
      <c r="A14" s="41" t="s">
        <v>45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8"/>
      <c r="AG14" s="4">
        <f t="shared" si="2"/>
        <v>0</v>
      </c>
    </row>
    <row r="15" spans="1:33" ht="18.75" x14ac:dyDescent="0.25">
      <c r="A15" s="41" t="s">
        <v>46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4">
        <f t="shared" si="2"/>
        <v>0</v>
      </c>
    </row>
    <row r="16" spans="1:33" ht="18.75" x14ac:dyDescent="0.25">
      <c r="A16" s="41" t="s">
        <v>47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4">
        <f t="shared" si="2"/>
        <v>0</v>
      </c>
    </row>
    <row r="17" spans="1:33" ht="18.75" x14ac:dyDescent="0.25">
      <c r="A17" s="41" t="s">
        <v>48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4">
        <f t="shared" si="2"/>
        <v>0</v>
      </c>
    </row>
    <row r="18" spans="1:33" ht="18.75" x14ac:dyDescent="0.25">
      <c r="A18" s="41" t="s">
        <v>49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4">
        <f t="shared" si="2"/>
        <v>0</v>
      </c>
    </row>
    <row r="19" spans="1:33" ht="18.75" x14ac:dyDescent="0.25">
      <c r="A19" s="41" t="s">
        <v>50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4">
        <f t="shared" si="2"/>
        <v>0</v>
      </c>
    </row>
    <row r="20" spans="1:33" ht="18.75" x14ac:dyDescent="0.25">
      <c r="A20" s="41" t="s">
        <v>33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4">
        <f t="shared" si="2"/>
        <v>0</v>
      </c>
    </row>
    <row r="21" spans="1:33" ht="18.75" x14ac:dyDescent="0.25">
      <c r="A21" s="41" t="s">
        <v>34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4">
        <f t="shared" si="2"/>
        <v>0</v>
      </c>
    </row>
    <row r="22" spans="1:33" ht="18.75" x14ac:dyDescent="0.25">
      <c r="A22" s="41" t="s">
        <v>35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4">
        <f t="shared" si="2"/>
        <v>0</v>
      </c>
    </row>
    <row r="23" spans="1:33" ht="18.75" x14ac:dyDescent="0.25">
      <c r="A23" s="41" t="s">
        <v>36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4">
        <f t="shared" si="2"/>
        <v>0</v>
      </c>
    </row>
    <row r="24" spans="1:33" ht="18.75" x14ac:dyDescent="0.25">
      <c r="A24" s="41" t="s">
        <v>51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4">
        <f t="shared" si="2"/>
        <v>0</v>
      </c>
    </row>
    <row r="25" spans="1:33" ht="18.75" x14ac:dyDescent="0.25">
      <c r="A25" s="41" t="s">
        <v>52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4">
        <f t="shared" si="2"/>
        <v>0</v>
      </c>
    </row>
    <row r="26" spans="1:33" ht="18.75" x14ac:dyDescent="0.25">
      <c r="A26" s="41" t="s">
        <v>37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4">
        <f t="shared" si="2"/>
        <v>0</v>
      </c>
    </row>
    <row r="27" spans="1:33" ht="19.5" thickBot="1" x14ac:dyDescent="0.3">
      <c r="A27" s="81" t="s">
        <v>53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83"/>
      <c r="AG27" s="4">
        <f t="shared" si="2"/>
        <v>0</v>
      </c>
    </row>
    <row r="28" spans="1:33" ht="18.75" x14ac:dyDescent="0.25">
      <c r="A28" s="79" t="s">
        <v>107</v>
      </c>
      <c r="B28" s="80">
        <f>SUM(B29:B52)</f>
        <v>0</v>
      </c>
      <c r="C28" s="80">
        <f t="shared" ref="C28:AF28" si="3">SUM(C29:C52)</f>
        <v>0</v>
      </c>
      <c r="D28" s="80">
        <f t="shared" si="3"/>
        <v>0</v>
      </c>
      <c r="E28" s="80">
        <f t="shared" si="3"/>
        <v>0</v>
      </c>
      <c r="F28" s="80">
        <f t="shared" si="3"/>
        <v>0</v>
      </c>
      <c r="G28" s="80">
        <f t="shared" si="3"/>
        <v>0</v>
      </c>
      <c r="H28" s="80">
        <f t="shared" si="3"/>
        <v>0</v>
      </c>
      <c r="I28" s="80">
        <f t="shared" si="3"/>
        <v>0</v>
      </c>
      <c r="J28" s="80">
        <f t="shared" si="3"/>
        <v>0</v>
      </c>
      <c r="K28" s="80">
        <f t="shared" si="3"/>
        <v>0</v>
      </c>
      <c r="L28" s="80">
        <f t="shared" si="3"/>
        <v>0</v>
      </c>
      <c r="M28" s="80">
        <f t="shared" si="3"/>
        <v>0</v>
      </c>
      <c r="N28" s="80">
        <f t="shared" si="3"/>
        <v>0</v>
      </c>
      <c r="O28" s="80">
        <f t="shared" si="3"/>
        <v>0</v>
      </c>
      <c r="P28" s="80">
        <f t="shared" si="3"/>
        <v>0</v>
      </c>
      <c r="Q28" s="80">
        <f t="shared" si="3"/>
        <v>0</v>
      </c>
      <c r="R28" s="80">
        <f t="shared" si="3"/>
        <v>0</v>
      </c>
      <c r="S28" s="80">
        <f t="shared" si="3"/>
        <v>0</v>
      </c>
      <c r="T28" s="80">
        <f t="shared" si="3"/>
        <v>0</v>
      </c>
      <c r="U28" s="80">
        <f t="shared" si="3"/>
        <v>0</v>
      </c>
      <c r="V28" s="80">
        <f t="shared" si="3"/>
        <v>0</v>
      </c>
      <c r="W28" s="80">
        <f t="shared" si="3"/>
        <v>0</v>
      </c>
      <c r="X28" s="80">
        <f t="shared" si="3"/>
        <v>0</v>
      </c>
      <c r="Y28" s="80">
        <f t="shared" si="3"/>
        <v>0</v>
      </c>
      <c r="Z28" s="80">
        <f t="shared" si="3"/>
        <v>0</v>
      </c>
      <c r="AA28" s="80">
        <f t="shared" si="3"/>
        <v>0</v>
      </c>
      <c r="AB28" s="80">
        <f t="shared" si="3"/>
        <v>0</v>
      </c>
      <c r="AC28" s="80">
        <f t="shared" si="3"/>
        <v>0</v>
      </c>
      <c r="AD28" s="80">
        <f t="shared" si="3"/>
        <v>0</v>
      </c>
      <c r="AE28" s="80">
        <f>SUM(AE29:AE52)</f>
        <v>0</v>
      </c>
      <c r="AF28" s="80">
        <f t="shared" si="3"/>
        <v>0</v>
      </c>
      <c r="AG28" s="150">
        <f t="shared" si="2"/>
        <v>0</v>
      </c>
    </row>
    <row r="29" spans="1:33" ht="18.75" x14ac:dyDescent="0.25">
      <c r="A29" s="41" t="s">
        <v>54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4">
        <f t="shared" si="2"/>
        <v>0</v>
      </c>
    </row>
    <row r="30" spans="1:33" ht="18.75" x14ac:dyDescent="0.25">
      <c r="A30" s="41" t="s">
        <v>55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4">
        <f t="shared" si="2"/>
        <v>0</v>
      </c>
    </row>
    <row r="31" spans="1:33" ht="18.75" x14ac:dyDescent="0.25">
      <c r="A31" s="41" t="s">
        <v>56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4">
        <f t="shared" si="2"/>
        <v>0</v>
      </c>
    </row>
    <row r="32" spans="1:33" ht="18.75" x14ac:dyDescent="0.25">
      <c r="A32" s="41" t="s">
        <v>38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4">
        <f t="shared" si="2"/>
        <v>0</v>
      </c>
    </row>
    <row r="33" spans="1:33" ht="18.75" x14ac:dyDescent="0.25">
      <c r="A33" s="41" t="s">
        <v>39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4">
        <f t="shared" si="2"/>
        <v>0</v>
      </c>
    </row>
    <row r="34" spans="1:33" ht="18.75" x14ac:dyDescent="0.25">
      <c r="A34" s="41" t="s">
        <v>40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4">
        <f t="shared" si="2"/>
        <v>0</v>
      </c>
    </row>
    <row r="35" spans="1:33" ht="18.75" x14ac:dyDescent="0.25">
      <c r="A35" s="41" t="s">
        <v>41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4">
        <f t="shared" si="2"/>
        <v>0</v>
      </c>
    </row>
    <row r="36" spans="1:33" ht="18.75" x14ac:dyDescent="0.25">
      <c r="A36" s="41" t="s">
        <v>42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4">
        <f t="shared" si="2"/>
        <v>0</v>
      </c>
    </row>
    <row r="37" spans="1:33" ht="18.75" x14ac:dyDescent="0.25">
      <c r="A37" s="41" t="s">
        <v>43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4">
        <f t="shared" si="2"/>
        <v>0</v>
      </c>
    </row>
    <row r="38" spans="1:33" ht="18.75" x14ac:dyDescent="0.25">
      <c r="A38" s="41" t="s">
        <v>44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4">
        <f t="shared" si="2"/>
        <v>0</v>
      </c>
    </row>
    <row r="39" spans="1:33" ht="18.75" x14ac:dyDescent="0.25">
      <c r="A39" s="41" t="s">
        <v>45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4">
        <f t="shared" si="2"/>
        <v>0</v>
      </c>
    </row>
    <row r="40" spans="1:33" ht="18.75" x14ac:dyDescent="0.25">
      <c r="A40" s="41" t="s">
        <v>46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4">
        <f t="shared" si="2"/>
        <v>0</v>
      </c>
    </row>
    <row r="41" spans="1:33" ht="18.75" x14ac:dyDescent="0.25">
      <c r="A41" s="41" t="s">
        <v>47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4">
        <f t="shared" si="2"/>
        <v>0</v>
      </c>
    </row>
    <row r="42" spans="1:33" ht="18.75" x14ac:dyDescent="0.25">
      <c r="A42" s="41" t="s">
        <v>48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4">
        <f t="shared" si="2"/>
        <v>0</v>
      </c>
    </row>
    <row r="43" spans="1:33" ht="18.75" x14ac:dyDescent="0.25">
      <c r="A43" s="41" t="s">
        <v>49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4">
        <f t="shared" si="2"/>
        <v>0</v>
      </c>
    </row>
    <row r="44" spans="1:33" ht="18.75" x14ac:dyDescent="0.25">
      <c r="A44" s="41" t="s">
        <v>50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4">
        <f t="shared" si="2"/>
        <v>0</v>
      </c>
    </row>
    <row r="45" spans="1:33" ht="18.75" x14ac:dyDescent="0.25">
      <c r="A45" s="41" t="s">
        <v>33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4">
        <f t="shared" si="2"/>
        <v>0</v>
      </c>
    </row>
    <row r="46" spans="1:33" ht="18.75" x14ac:dyDescent="0.25">
      <c r="A46" s="41" t="s">
        <v>34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4">
        <f t="shared" si="2"/>
        <v>0</v>
      </c>
    </row>
    <row r="47" spans="1:33" ht="18.75" x14ac:dyDescent="0.25">
      <c r="A47" s="41" t="s">
        <v>35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4">
        <f t="shared" si="2"/>
        <v>0</v>
      </c>
    </row>
    <row r="48" spans="1:33" ht="18.75" x14ac:dyDescent="0.25">
      <c r="A48" s="41" t="s">
        <v>36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4">
        <f t="shared" si="2"/>
        <v>0</v>
      </c>
    </row>
    <row r="49" spans="1:33" ht="18.75" x14ac:dyDescent="0.25">
      <c r="A49" s="41" t="s">
        <v>51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4">
        <f t="shared" si="2"/>
        <v>0</v>
      </c>
    </row>
    <row r="50" spans="1:33" ht="18.75" x14ac:dyDescent="0.25">
      <c r="A50" s="41" t="s">
        <v>52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4">
        <f t="shared" si="2"/>
        <v>0</v>
      </c>
    </row>
    <row r="51" spans="1:33" ht="18.75" x14ac:dyDescent="0.25">
      <c r="A51" s="41" t="s">
        <v>37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4">
        <f t="shared" si="2"/>
        <v>0</v>
      </c>
    </row>
    <row r="52" spans="1:33" ht="19.5" thickBot="1" x14ac:dyDescent="0.3">
      <c r="A52" s="77" t="s">
        <v>53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/>
      <c r="AG52" s="108">
        <f t="shared" si="2"/>
        <v>0</v>
      </c>
    </row>
    <row r="53" spans="1:33" ht="19.5" thickBot="1" x14ac:dyDescent="0.3">
      <c r="A53" s="136" t="s">
        <v>108</v>
      </c>
      <c r="B53" s="135">
        <f t="shared" ref="B53:AF53" si="4">SUM(B54:B77)</f>
        <v>0</v>
      </c>
      <c r="C53" s="135">
        <f t="shared" si="4"/>
        <v>0</v>
      </c>
      <c r="D53" s="135">
        <f t="shared" si="4"/>
        <v>0</v>
      </c>
      <c r="E53" s="135">
        <f t="shared" si="4"/>
        <v>0</v>
      </c>
      <c r="F53" s="135">
        <f t="shared" si="4"/>
        <v>0</v>
      </c>
      <c r="G53" s="135">
        <f t="shared" si="4"/>
        <v>0</v>
      </c>
      <c r="H53" s="135">
        <f t="shared" si="4"/>
        <v>0</v>
      </c>
      <c r="I53" s="135">
        <f t="shared" si="4"/>
        <v>0</v>
      </c>
      <c r="J53" s="135">
        <f t="shared" si="4"/>
        <v>0</v>
      </c>
      <c r="K53" s="135">
        <f t="shared" si="4"/>
        <v>0</v>
      </c>
      <c r="L53" s="135">
        <f t="shared" si="4"/>
        <v>0</v>
      </c>
      <c r="M53" s="135">
        <f t="shared" si="4"/>
        <v>0</v>
      </c>
      <c r="N53" s="135">
        <f t="shared" si="4"/>
        <v>0</v>
      </c>
      <c r="O53" s="135">
        <f t="shared" si="4"/>
        <v>0</v>
      </c>
      <c r="P53" s="135">
        <f t="shared" si="4"/>
        <v>0</v>
      </c>
      <c r="Q53" s="135">
        <f t="shared" si="4"/>
        <v>0</v>
      </c>
      <c r="R53" s="135">
        <f t="shared" si="4"/>
        <v>0</v>
      </c>
      <c r="S53" s="135">
        <f t="shared" si="4"/>
        <v>0</v>
      </c>
      <c r="T53" s="135">
        <f t="shared" si="4"/>
        <v>0</v>
      </c>
      <c r="U53" s="135">
        <f t="shared" si="4"/>
        <v>0</v>
      </c>
      <c r="V53" s="135">
        <f t="shared" si="4"/>
        <v>0</v>
      </c>
      <c r="W53" s="135">
        <f t="shared" si="4"/>
        <v>0</v>
      </c>
      <c r="X53" s="135">
        <f t="shared" si="4"/>
        <v>0</v>
      </c>
      <c r="Y53" s="135">
        <f t="shared" si="4"/>
        <v>0</v>
      </c>
      <c r="Z53" s="135">
        <f t="shared" si="4"/>
        <v>0</v>
      </c>
      <c r="AA53" s="135">
        <f t="shared" si="4"/>
        <v>0</v>
      </c>
      <c r="AB53" s="135">
        <f t="shared" si="4"/>
        <v>0</v>
      </c>
      <c r="AC53" s="135">
        <f t="shared" si="4"/>
        <v>0</v>
      </c>
      <c r="AD53" s="135">
        <f t="shared" si="4"/>
        <v>0</v>
      </c>
      <c r="AE53" s="135">
        <f t="shared" si="4"/>
        <v>0</v>
      </c>
      <c r="AF53" s="135">
        <f t="shared" si="4"/>
        <v>0</v>
      </c>
      <c r="AG53" s="116">
        <f t="shared" si="2"/>
        <v>0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0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0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0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0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0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4">
        <f t="shared" si="2"/>
        <v>0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4">
        <f t="shared" si="2"/>
        <v>0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4">
        <f t="shared" si="2"/>
        <v>0</v>
      </c>
    </row>
    <row r="63" spans="1:33" ht="18.75" x14ac:dyDescent="0.25">
      <c r="A63" s="41" t="s">
        <v>44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4">
        <f t="shared" si="2"/>
        <v>0</v>
      </c>
    </row>
    <row r="64" spans="1:33" ht="18.75" x14ac:dyDescent="0.25">
      <c r="A64" s="41" t="s">
        <v>45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4">
        <f t="shared" si="2"/>
        <v>0</v>
      </c>
    </row>
    <row r="65" spans="1:33" ht="18.75" x14ac:dyDescent="0.25">
      <c r="A65" s="41" t="s">
        <v>46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4">
        <f t="shared" si="2"/>
        <v>0</v>
      </c>
    </row>
    <row r="66" spans="1:33" ht="18.75" x14ac:dyDescent="0.25">
      <c r="A66" s="41" t="s">
        <v>47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4">
        <f t="shared" si="2"/>
        <v>0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4">
        <f t="shared" si="2"/>
        <v>0</v>
      </c>
    </row>
    <row r="68" spans="1:33" ht="18.75" x14ac:dyDescent="0.25">
      <c r="A68" s="41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4">
        <f t="shared" si="2"/>
        <v>0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4">
        <f t="shared" si="2"/>
        <v>0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0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0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0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0</v>
      </c>
      <c r="C78" s="185">
        <f t="shared" si="5"/>
        <v>0</v>
      </c>
      <c r="D78" s="185">
        <f t="shared" si="5"/>
        <v>0</v>
      </c>
      <c r="E78" s="184">
        <f t="shared" si="5"/>
        <v>0</v>
      </c>
      <c r="F78" s="184">
        <f t="shared" si="5"/>
        <v>0</v>
      </c>
      <c r="G78" s="184">
        <f t="shared" si="5"/>
        <v>0</v>
      </c>
      <c r="H78" s="184">
        <f t="shared" si="5"/>
        <v>0</v>
      </c>
      <c r="I78" s="184">
        <f t="shared" si="5"/>
        <v>0</v>
      </c>
      <c r="J78" s="184">
        <f t="shared" si="5"/>
        <v>0</v>
      </c>
      <c r="K78" s="184">
        <f t="shared" si="5"/>
        <v>0</v>
      </c>
      <c r="L78" s="184">
        <f t="shared" si="5"/>
        <v>0</v>
      </c>
      <c r="M78" s="184">
        <f t="shared" si="5"/>
        <v>0</v>
      </c>
      <c r="N78" s="184">
        <f t="shared" si="5"/>
        <v>0</v>
      </c>
      <c r="O78" s="184">
        <f>SUM(O79:O80)</f>
        <v>0</v>
      </c>
      <c r="P78" s="184">
        <f t="shared" si="5"/>
        <v>0</v>
      </c>
      <c r="Q78" s="184">
        <f t="shared" si="5"/>
        <v>0</v>
      </c>
      <c r="R78" s="184">
        <f t="shared" si="5"/>
        <v>0</v>
      </c>
      <c r="S78" s="184">
        <f t="shared" si="5"/>
        <v>0</v>
      </c>
      <c r="T78" s="184">
        <f t="shared" si="5"/>
        <v>0</v>
      </c>
      <c r="U78" s="184">
        <f t="shared" si="5"/>
        <v>0</v>
      </c>
      <c r="V78" s="184">
        <f t="shared" si="5"/>
        <v>0</v>
      </c>
      <c r="W78" s="184">
        <f t="shared" si="5"/>
        <v>0</v>
      </c>
      <c r="X78" s="184">
        <f t="shared" si="5"/>
        <v>0</v>
      </c>
      <c r="Y78" s="184">
        <f t="shared" si="5"/>
        <v>0</v>
      </c>
      <c r="Z78" s="184">
        <f t="shared" si="5"/>
        <v>0</v>
      </c>
      <c r="AA78" s="184">
        <f t="shared" si="5"/>
        <v>0</v>
      </c>
      <c r="AB78" s="184">
        <f t="shared" si="5"/>
        <v>0</v>
      </c>
      <c r="AC78" s="184">
        <f t="shared" si="5"/>
        <v>0</v>
      </c>
      <c r="AD78" s="184">
        <f t="shared" si="5"/>
        <v>0</v>
      </c>
      <c r="AE78" s="184">
        <f t="shared" si="5"/>
        <v>0</v>
      </c>
      <c r="AF78" s="186">
        <f t="shared" si="5"/>
        <v>0</v>
      </c>
      <c r="AG78" s="116">
        <f t="shared" si="2"/>
        <v>0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0</v>
      </c>
      <c r="C79" s="114">
        <f t="shared" si="6"/>
        <v>0</v>
      </c>
      <c r="D79" s="114">
        <f t="shared" si="6"/>
        <v>0</v>
      </c>
      <c r="E79" s="114">
        <f t="shared" si="6"/>
        <v>0</v>
      </c>
      <c r="F79" s="114">
        <f t="shared" si="6"/>
        <v>0</v>
      </c>
      <c r="G79" s="114">
        <f t="shared" si="6"/>
        <v>0</v>
      </c>
      <c r="H79" s="114">
        <f t="shared" si="6"/>
        <v>0</v>
      </c>
      <c r="I79" s="114">
        <f t="shared" si="6"/>
        <v>0</v>
      </c>
      <c r="J79" s="114">
        <f t="shared" si="6"/>
        <v>0</v>
      </c>
      <c r="K79" s="114">
        <f t="shared" si="6"/>
        <v>0</v>
      </c>
      <c r="L79" s="114">
        <f t="shared" si="6"/>
        <v>0</v>
      </c>
      <c r="M79" s="114">
        <f t="shared" si="6"/>
        <v>0</v>
      </c>
      <c r="N79" s="114">
        <f t="shared" si="6"/>
        <v>0</v>
      </c>
      <c r="O79" s="114">
        <f t="shared" si="6"/>
        <v>0</v>
      </c>
      <c r="P79" s="114">
        <f t="shared" si="6"/>
        <v>0</v>
      </c>
      <c r="Q79" s="114">
        <f t="shared" si="6"/>
        <v>0</v>
      </c>
      <c r="R79" s="114">
        <f t="shared" si="6"/>
        <v>0</v>
      </c>
      <c r="S79" s="114">
        <f t="shared" si="6"/>
        <v>0</v>
      </c>
      <c r="T79" s="114">
        <f t="shared" si="6"/>
        <v>0</v>
      </c>
      <c r="U79" s="114">
        <f t="shared" si="6"/>
        <v>0</v>
      </c>
      <c r="V79" s="114">
        <f t="shared" si="6"/>
        <v>0</v>
      </c>
      <c r="W79" s="114">
        <f t="shared" si="6"/>
        <v>0</v>
      </c>
      <c r="X79" s="114">
        <f t="shared" si="6"/>
        <v>0</v>
      </c>
      <c r="Y79" s="114">
        <f t="shared" si="6"/>
        <v>0</v>
      </c>
      <c r="Z79" s="114">
        <f t="shared" si="6"/>
        <v>0</v>
      </c>
      <c r="AA79" s="114">
        <f t="shared" si="6"/>
        <v>0</v>
      </c>
      <c r="AB79" s="114">
        <f t="shared" si="6"/>
        <v>0</v>
      </c>
      <c r="AC79" s="114">
        <f t="shared" si="6"/>
        <v>0</v>
      </c>
      <c r="AD79" s="114">
        <f t="shared" si="6"/>
        <v>0</v>
      </c>
      <c r="AE79" s="114">
        <f t="shared" si="6"/>
        <v>0</v>
      </c>
      <c r="AF79" s="114">
        <f t="shared" si="6"/>
        <v>0</v>
      </c>
      <c r="AG79" s="132">
        <f t="shared" si="2"/>
        <v>0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0</v>
      </c>
      <c r="H80" s="9">
        <f>SUM(H4:H12)</f>
        <v>0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0</v>
      </c>
      <c r="O80" s="9">
        <f>SUM(O4:O12)</f>
        <v>0</v>
      </c>
      <c r="P80" s="11"/>
      <c r="Q80" s="11"/>
      <c r="R80" s="9">
        <f>SUM(R4:R12)</f>
        <v>0</v>
      </c>
      <c r="S80" s="9">
        <f>SUM(S4:S12)</f>
        <v>0</v>
      </c>
      <c r="T80" s="9">
        <f>SUM(T4:T12)</f>
        <v>0</v>
      </c>
      <c r="U80" s="9">
        <f>SUM(U4:U12)</f>
        <v>0</v>
      </c>
      <c r="V80" s="9">
        <f>SUM(V4:V12)</f>
        <v>0</v>
      </c>
      <c r="W80" s="11"/>
      <c r="X80" s="11"/>
      <c r="Y80" s="9">
        <f>SUM(Y4:Y12)</f>
        <v>0</v>
      </c>
      <c r="Z80" s="11"/>
      <c r="AA80" s="9">
        <f>SUM(AA4:AA12)</f>
        <v>0</v>
      </c>
      <c r="AB80" s="9">
        <f>SUM(AB4:AB12)</f>
        <v>0</v>
      </c>
      <c r="AC80" s="9">
        <f>SUM(AC4:AC12)</f>
        <v>0</v>
      </c>
      <c r="AD80" s="11"/>
      <c r="AE80" s="11"/>
      <c r="AF80" s="9">
        <f>SUM(AF4:AF12)</f>
        <v>0</v>
      </c>
      <c r="AG80" s="108">
        <f t="shared" si="2"/>
        <v>0</v>
      </c>
    </row>
    <row r="81" spans="1:35" ht="19.5" thickBot="1" x14ac:dyDescent="0.3">
      <c r="A81" s="183" t="s">
        <v>98</v>
      </c>
      <c r="B81" s="184">
        <f t="shared" ref="B81:AF81" si="7">SUM(B82:B83)</f>
        <v>0</v>
      </c>
      <c r="C81" s="184">
        <f t="shared" si="7"/>
        <v>0</v>
      </c>
      <c r="D81" s="184">
        <f t="shared" si="7"/>
        <v>0</v>
      </c>
      <c r="E81" s="184">
        <f t="shared" si="7"/>
        <v>0</v>
      </c>
      <c r="F81" s="184">
        <f t="shared" si="7"/>
        <v>0</v>
      </c>
      <c r="G81" s="184">
        <f t="shared" si="7"/>
        <v>0</v>
      </c>
      <c r="H81" s="184">
        <f t="shared" si="7"/>
        <v>0</v>
      </c>
      <c r="I81" s="184">
        <f t="shared" si="7"/>
        <v>0</v>
      </c>
      <c r="J81" s="184">
        <f t="shared" si="7"/>
        <v>0</v>
      </c>
      <c r="K81" s="184">
        <f t="shared" si="7"/>
        <v>0</v>
      </c>
      <c r="L81" s="184">
        <f t="shared" si="7"/>
        <v>0</v>
      </c>
      <c r="M81" s="184">
        <f t="shared" si="7"/>
        <v>0</v>
      </c>
      <c r="N81" s="184">
        <f t="shared" si="7"/>
        <v>0</v>
      </c>
      <c r="O81" s="184">
        <f t="shared" si="7"/>
        <v>0</v>
      </c>
      <c r="P81" s="184">
        <f t="shared" si="7"/>
        <v>0</v>
      </c>
      <c r="Q81" s="184">
        <f t="shared" si="7"/>
        <v>0</v>
      </c>
      <c r="R81" s="184">
        <f t="shared" si="7"/>
        <v>0</v>
      </c>
      <c r="S81" s="184">
        <f t="shared" si="7"/>
        <v>0</v>
      </c>
      <c r="T81" s="184">
        <f t="shared" si="7"/>
        <v>0</v>
      </c>
      <c r="U81" s="184">
        <f t="shared" si="7"/>
        <v>0</v>
      </c>
      <c r="V81" s="184">
        <f t="shared" si="7"/>
        <v>0</v>
      </c>
      <c r="W81" s="184">
        <f t="shared" si="7"/>
        <v>0</v>
      </c>
      <c r="X81" s="184">
        <f t="shared" si="7"/>
        <v>0</v>
      </c>
      <c r="Y81" s="184">
        <f t="shared" si="7"/>
        <v>0</v>
      </c>
      <c r="Z81" s="184">
        <f>SUM(Z82:Z83)</f>
        <v>0</v>
      </c>
      <c r="AA81" s="184">
        <f t="shared" si="7"/>
        <v>0</v>
      </c>
      <c r="AB81" s="184">
        <f t="shared" si="7"/>
        <v>0</v>
      </c>
      <c r="AC81" s="184">
        <f t="shared" si="7"/>
        <v>0</v>
      </c>
      <c r="AD81" s="184">
        <f t="shared" si="7"/>
        <v>0</v>
      </c>
      <c r="AE81" s="184">
        <f t="shared" si="7"/>
        <v>0</v>
      </c>
      <c r="AF81" s="184">
        <f t="shared" si="7"/>
        <v>0</v>
      </c>
      <c r="AG81" s="116">
        <f t="shared" si="2"/>
        <v>0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14">
        <f t="shared" si="8"/>
        <v>0</v>
      </c>
      <c r="D82" s="114">
        <f t="shared" si="8"/>
        <v>0</v>
      </c>
      <c r="E82" s="114">
        <f t="shared" si="8"/>
        <v>0</v>
      </c>
      <c r="F82" s="114">
        <f t="shared" si="8"/>
        <v>0</v>
      </c>
      <c r="G82" s="114">
        <f t="shared" si="8"/>
        <v>0</v>
      </c>
      <c r="H82" s="114">
        <f t="shared" si="8"/>
        <v>0</v>
      </c>
      <c r="I82" s="114">
        <f t="shared" si="8"/>
        <v>0</v>
      </c>
      <c r="J82" s="114">
        <f t="shared" si="8"/>
        <v>0</v>
      </c>
      <c r="K82" s="114">
        <f t="shared" si="8"/>
        <v>0</v>
      </c>
      <c r="L82" s="114">
        <f t="shared" si="8"/>
        <v>0</v>
      </c>
      <c r="M82" s="114">
        <f t="shared" si="8"/>
        <v>0</v>
      </c>
      <c r="N82" s="114">
        <f t="shared" si="8"/>
        <v>0</v>
      </c>
      <c r="O82" s="114">
        <f t="shared" si="8"/>
        <v>0</v>
      </c>
      <c r="P82" s="114">
        <f t="shared" si="8"/>
        <v>0</v>
      </c>
      <c r="Q82" s="114">
        <f t="shared" si="8"/>
        <v>0</v>
      </c>
      <c r="R82" s="114">
        <f t="shared" si="8"/>
        <v>0</v>
      </c>
      <c r="S82" s="114">
        <f t="shared" si="8"/>
        <v>0</v>
      </c>
      <c r="T82" s="114">
        <f t="shared" si="8"/>
        <v>0</v>
      </c>
      <c r="U82" s="114">
        <f t="shared" si="8"/>
        <v>0</v>
      </c>
      <c r="V82" s="114">
        <f t="shared" si="8"/>
        <v>0</v>
      </c>
      <c r="W82" s="114">
        <f t="shared" si="8"/>
        <v>0</v>
      </c>
      <c r="X82" s="114">
        <f t="shared" si="8"/>
        <v>0</v>
      </c>
      <c r="Y82" s="114">
        <f t="shared" si="8"/>
        <v>0</v>
      </c>
      <c r="Z82" s="114">
        <f t="shared" si="8"/>
        <v>0</v>
      </c>
      <c r="AA82" s="114">
        <f t="shared" si="8"/>
        <v>0</v>
      </c>
      <c r="AB82" s="114">
        <f t="shared" si="8"/>
        <v>0</v>
      </c>
      <c r="AC82" s="114">
        <f t="shared" si="8"/>
        <v>0</v>
      </c>
      <c r="AD82" s="114">
        <f t="shared" si="8"/>
        <v>0</v>
      </c>
      <c r="AE82" s="114">
        <f t="shared" si="8"/>
        <v>0</v>
      </c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0</v>
      </c>
      <c r="C83" s="9">
        <f t="shared" ref="C83" si="10">SUM(C54:C77)-C82</f>
        <v>0</v>
      </c>
      <c r="D83" s="9">
        <f t="shared" ref="D83:AF83" si="11">SUM(D54:D77)-D82</f>
        <v>0</v>
      </c>
      <c r="E83" s="9">
        <f t="shared" si="11"/>
        <v>0</v>
      </c>
      <c r="F83" s="9">
        <f t="shared" si="11"/>
        <v>0</v>
      </c>
      <c r="G83" s="9">
        <f t="shared" si="11"/>
        <v>0</v>
      </c>
      <c r="H83" s="9">
        <f t="shared" si="11"/>
        <v>0</v>
      </c>
      <c r="I83" s="9">
        <f t="shared" si="11"/>
        <v>0</v>
      </c>
      <c r="J83" s="9">
        <f t="shared" si="11"/>
        <v>0</v>
      </c>
      <c r="K83" s="9">
        <f t="shared" si="11"/>
        <v>0</v>
      </c>
      <c r="L83" s="9">
        <f t="shared" si="11"/>
        <v>0</v>
      </c>
      <c r="M83" s="9">
        <f t="shared" si="11"/>
        <v>0</v>
      </c>
      <c r="N83" s="9">
        <f t="shared" si="11"/>
        <v>0</v>
      </c>
      <c r="O83" s="9">
        <f t="shared" si="11"/>
        <v>0</v>
      </c>
      <c r="P83" s="9">
        <f t="shared" si="11"/>
        <v>0</v>
      </c>
      <c r="Q83" s="9">
        <f t="shared" si="11"/>
        <v>0</v>
      </c>
      <c r="R83" s="9">
        <f t="shared" si="11"/>
        <v>0</v>
      </c>
      <c r="S83" s="9">
        <f t="shared" si="11"/>
        <v>0</v>
      </c>
      <c r="T83" s="9">
        <f t="shared" si="11"/>
        <v>0</v>
      </c>
      <c r="U83" s="9">
        <f t="shared" si="11"/>
        <v>0</v>
      </c>
      <c r="V83" s="9">
        <f t="shared" si="11"/>
        <v>0</v>
      </c>
      <c r="W83" s="9">
        <f t="shared" si="11"/>
        <v>0</v>
      </c>
      <c r="X83" s="9">
        <f t="shared" si="11"/>
        <v>0</v>
      </c>
      <c r="Y83" s="9">
        <f t="shared" si="11"/>
        <v>0</v>
      </c>
      <c r="Z83" s="9">
        <f t="shared" si="11"/>
        <v>0</v>
      </c>
      <c r="AA83" s="9">
        <f t="shared" si="11"/>
        <v>0</v>
      </c>
      <c r="AB83" s="9">
        <f t="shared" si="11"/>
        <v>0</v>
      </c>
      <c r="AC83" s="9">
        <f t="shared" si="11"/>
        <v>0</v>
      </c>
      <c r="AD83" s="9">
        <f t="shared" si="11"/>
        <v>0</v>
      </c>
      <c r="AE83" s="9">
        <f t="shared" si="11"/>
        <v>0</v>
      </c>
      <c r="AF83" s="9">
        <f t="shared" si="11"/>
        <v>0</v>
      </c>
      <c r="AG83" s="4">
        <f t="shared" si="2"/>
        <v>0</v>
      </c>
    </row>
    <row r="84" spans="1:35" ht="19.5" thickBot="1" x14ac:dyDescent="0.3">
      <c r="A84" s="164" t="s">
        <v>146</v>
      </c>
      <c r="B84" s="165">
        <f>SUM(B85:B86)</f>
        <v>0</v>
      </c>
      <c r="C84" s="165">
        <f t="shared" ref="C84:AF84" si="12">SUM(C85:C86)</f>
        <v>0</v>
      </c>
      <c r="D84" s="165">
        <f t="shared" si="12"/>
        <v>0</v>
      </c>
      <c r="E84" s="165">
        <f t="shared" si="12"/>
        <v>0</v>
      </c>
      <c r="F84" s="165">
        <f t="shared" si="12"/>
        <v>0</v>
      </c>
      <c r="G84" s="165">
        <f t="shared" si="12"/>
        <v>0</v>
      </c>
      <c r="H84" s="165">
        <f t="shared" si="12"/>
        <v>0</v>
      </c>
      <c r="I84" s="165">
        <f t="shared" si="12"/>
        <v>0</v>
      </c>
      <c r="J84" s="165">
        <f t="shared" si="12"/>
        <v>0</v>
      </c>
      <c r="K84" s="165">
        <f t="shared" si="12"/>
        <v>0</v>
      </c>
      <c r="L84" s="165">
        <f t="shared" si="12"/>
        <v>0</v>
      </c>
      <c r="M84" s="165">
        <f t="shared" si="12"/>
        <v>0</v>
      </c>
      <c r="N84" s="165">
        <f t="shared" si="12"/>
        <v>0</v>
      </c>
      <c r="O84" s="165">
        <f t="shared" si="12"/>
        <v>0</v>
      </c>
      <c r="P84" s="165">
        <f t="shared" si="12"/>
        <v>0</v>
      </c>
      <c r="Q84" s="165">
        <f t="shared" si="12"/>
        <v>0</v>
      </c>
      <c r="R84" s="165">
        <f t="shared" si="12"/>
        <v>0</v>
      </c>
      <c r="S84" s="165">
        <f t="shared" si="12"/>
        <v>0</v>
      </c>
      <c r="T84" s="165">
        <f t="shared" si="12"/>
        <v>0</v>
      </c>
      <c r="U84" s="165">
        <f t="shared" si="12"/>
        <v>0</v>
      </c>
      <c r="V84" s="165">
        <f t="shared" si="12"/>
        <v>0</v>
      </c>
      <c r="W84" s="165">
        <f t="shared" si="12"/>
        <v>0</v>
      </c>
      <c r="X84" s="165">
        <f t="shared" si="12"/>
        <v>0</v>
      </c>
      <c r="Y84" s="165">
        <f t="shared" si="12"/>
        <v>0</v>
      </c>
      <c r="Z84" s="165">
        <f t="shared" si="12"/>
        <v>0</v>
      </c>
      <c r="AA84" s="165">
        <f t="shared" si="12"/>
        <v>0</v>
      </c>
      <c r="AB84" s="165">
        <f t="shared" si="12"/>
        <v>0</v>
      </c>
      <c r="AC84" s="165">
        <f t="shared" si="12"/>
        <v>0</v>
      </c>
      <c r="AD84" s="165">
        <f t="shared" si="12"/>
        <v>0</v>
      </c>
      <c r="AE84" s="165">
        <f t="shared" si="12"/>
        <v>0</v>
      </c>
      <c r="AF84" s="165">
        <f t="shared" si="12"/>
        <v>0</v>
      </c>
      <c r="AG84" s="171">
        <f t="shared" ref="AG84:AG126" si="13">SUM(B84:AF84)</f>
        <v>0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70"/>
      <c r="AG85" s="168">
        <f t="shared" si="13"/>
        <v>0</v>
      </c>
      <c r="AI85" s="374"/>
    </row>
    <row r="86" spans="1:35" ht="19.5" thickBot="1" x14ac:dyDescent="0.3">
      <c r="A86" s="172" t="s">
        <v>145</v>
      </c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4"/>
      <c r="AG86" s="176">
        <f t="shared" si="13"/>
        <v>0</v>
      </c>
      <c r="AI86" s="375"/>
    </row>
    <row r="87" spans="1:35" ht="19.5" thickBot="1" x14ac:dyDescent="0.3">
      <c r="A87" s="177" t="s">
        <v>147</v>
      </c>
      <c r="B87" s="178">
        <f>SUM(B88:B92)</f>
        <v>0</v>
      </c>
      <c r="C87" s="178">
        <f t="shared" ref="C87:AF87" si="14">SUM(C88:C92)</f>
        <v>0</v>
      </c>
      <c r="D87" s="178">
        <f t="shared" si="14"/>
        <v>0</v>
      </c>
      <c r="E87" s="178">
        <f t="shared" si="14"/>
        <v>0</v>
      </c>
      <c r="F87" s="178">
        <f t="shared" si="14"/>
        <v>0</v>
      </c>
      <c r="G87" s="178">
        <f t="shared" si="14"/>
        <v>0</v>
      </c>
      <c r="H87" s="178">
        <f t="shared" si="14"/>
        <v>0</v>
      </c>
      <c r="I87" s="178">
        <f t="shared" si="14"/>
        <v>0</v>
      </c>
      <c r="J87" s="178">
        <f t="shared" si="14"/>
        <v>0</v>
      </c>
      <c r="K87" s="178">
        <f t="shared" si="14"/>
        <v>0</v>
      </c>
      <c r="L87" s="178">
        <f t="shared" si="14"/>
        <v>0</v>
      </c>
      <c r="M87" s="178">
        <f t="shared" si="14"/>
        <v>0</v>
      </c>
      <c r="N87" s="178">
        <f t="shared" si="14"/>
        <v>0</v>
      </c>
      <c r="O87" s="178">
        <f t="shared" si="14"/>
        <v>0</v>
      </c>
      <c r="P87" s="178">
        <f t="shared" si="14"/>
        <v>0</v>
      </c>
      <c r="Q87" s="178">
        <f t="shared" si="14"/>
        <v>0</v>
      </c>
      <c r="R87" s="178">
        <f t="shared" si="14"/>
        <v>0</v>
      </c>
      <c r="S87" s="178">
        <f t="shared" si="14"/>
        <v>0</v>
      </c>
      <c r="T87" s="178">
        <f t="shared" si="14"/>
        <v>0</v>
      </c>
      <c r="U87" s="178">
        <f t="shared" si="14"/>
        <v>0</v>
      </c>
      <c r="V87" s="178">
        <f t="shared" si="14"/>
        <v>0</v>
      </c>
      <c r="W87" s="178">
        <f t="shared" si="14"/>
        <v>0</v>
      </c>
      <c r="X87" s="178">
        <f t="shared" si="14"/>
        <v>0</v>
      </c>
      <c r="Y87" s="178">
        <f t="shared" si="14"/>
        <v>0</v>
      </c>
      <c r="Z87" s="178">
        <f t="shared" si="14"/>
        <v>0</v>
      </c>
      <c r="AA87" s="178">
        <f t="shared" si="14"/>
        <v>0</v>
      </c>
      <c r="AB87" s="178">
        <f t="shared" si="14"/>
        <v>0</v>
      </c>
      <c r="AC87" s="178">
        <f t="shared" si="14"/>
        <v>0</v>
      </c>
      <c r="AD87" s="178">
        <f t="shared" si="14"/>
        <v>0</v>
      </c>
      <c r="AE87" s="178">
        <f t="shared" si="14"/>
        <v>0</v>
      </c>
      <c r="AF87" s="178">
        <f t="shared" si="14"/>
        <v>0</v>
      </c>
      <c r="AG87" s="179">
        <f t="shared" si="13"/>
        <v>0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7"/>
      <c r="AG88" s="132">
        <f t="shared" si="13"/>
        <v>0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0</v>
      </c>
    </row>
    <row r="91" spans="1:35" ht="18.75" x14ac:dyDescent="0.25">
      <c r="A91" s="105" t="s">
        <v>75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  <c r="AG91" s="4">
        <f t="shared" si="13"/>
        <v>0</v>
      </c>
    </row>
    <row r="92" spans="1:35" ht="19.5" thickBot="1" x14ac:dyDescent="0.3">
      <c r="A92" s="105" t="s">
        <v>76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"/>
      <c r="AG92" s="4">
        <f t="shared" si="13"/>
        <v>0</v>
      </c>
    </row>
    <row r="93" spans="1:35" ht="18.75" x14ac:dyDescent="0.25">
      <c r="A93" s="73" t="s">
        <v>616</v>
      </c>
      <c r="B93" s="74">
        <f t="shared" ref="B93:AF93" si="15">+B94+B100</f>
        <v>0</v>
      </c>
      <c r="C93" s="74">
        <f t="shared" si="15"/>
        <v>0</v>
      </c>
      <c r="D93" s="74">
        <f t="shared" si="15"/>
        <v>0</v>
      </c>
      <c r="E93" s="74">
        <f t="shared" si="15"/>
        <v>0</v>
      </c>
      <c r="F93" s="74">
        <f t="shared" si="15"/>
        <v>0</v>
      </c>
      <c r="G93" s="74">
        <f t="shared" si="15"/>
        <v>0</v>
      </c>
      <c r="H93" s="74">
        <f t="shared" si="15"/>
        <v>0</v>
      </c>
      <c r="I93" s="74">
        <f t="shared" si="15"/>
        <v>0</v>
      </c>
      <c r="J93" s="74">
        <f t="shared" si="15"/>
        <v>0</v>
      </c>
      <c r="K93" s="74">
        <f t="shared" si="15"/>
        <v>0</v>
      </c>
      <c r="L93" s="74">
        <f t="shared" si="15"/>
        <v>0</v>
      </c>
      <c r="M93" s="74">
        <f t="shared" si="15"/>
        <v>0</v>
      </c>
      <c r="N93" s="74">
        <f t="shared" si="15"/>
        <v>0</v>
      </c>
      <c r="O93" s="74">
        <f t="shared" si="15"/>
        <v>0</v>
      </c>
      <c r="P93" s="74">
        <f t="shared" si="15"/>
        <v>0</v>
      </c>
      <c r="Q93" s="74">
        <f t="shared" si="15"/>
        <v>0</v>
      </c>
      <c r="R93" s="74">
        <f t="shared" si="15"/>
        <v>0</v>
      </c>
      <c r="S93" s="74">
        <f t="shared" si="15"/>
        <v>0</v>
      </c>
      <c r="T93" s="74">
        <f t="shared" si="15"/>
        <v>0</v>
      </c>
      <c r="U93" s="74">
        <f t="shared" si="15"/>
        <v>0</v>
      </c>
      <c r="V93" s="74">
        <f t="shared" si="15"/>
        <v>0</v>
      </c>
      <c r="W93" s="74">
        <f t="shared" si="15"/>
        <v>0</v>
      </c>
      <c r="X93" s="74">
        <f t="shared" si="15"/>
        <v>0</v>
      </c>
      <c r="Y93" s="74">
        <f t="shared" si="15"/>
        <v>0</v>
      </c>
      <c r="Z93" s="74">
        <f t="shared" si="15"/>
        <v>0</v>
      </c>
      <c r="AA93" s="74">
        <f t="shared" si="15"/>
        <v>0</v>
      </c>
      <c r="AB93" s="74">
        <f t="shared" si="15"/>
        <v>0</v>
      </c>
      <c r="AC93" s="74">
        <f t="shared" si="15"/>
        <v>0</v>
      </c>
      <c r="AD93" s="74">
        <f t="shared" si="15"/>
        <v>0</v>
      </c>
      <c r="AE93" s="74">
        <f t="shared" si="15"/>
        <v>0</v>
      </c>
      <c r="AF93" s="84">
        <f t="shared" si="15"/>
        <v>0</v>
      </c>
      <c r="AG93" s="150">
        <f t="shared" si="13"/>
        <v>0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0</v>
      </c>
      <c r="C94" s="17">
        <f t="shared" si="16"/>
        <v>0</v>
      </c>
      <c r="D94" s="17">
        <f t="shared" si="16"/>
        <v>0</v>
      </c>
      <c r="E94" s="17">
        <f t="shared" si="16"/>
        <v>0</v>
      </c>
      <c r="F94" s="17">
        <f t="shared" si="16"/>
        <v>0</v>
      </c>
      <c r="G94" s="17">
        <f t="shared" si="16"/>
        <v>0</v>
      </c>
      <c r="H94" s="17">
        <f t="shared" si="16"/>
        <v>0</v>
      </c>
      <c r="I94" s="17">
        <f t="shared" si="16"/>
        <v>0</v>
      </c>
      <c r="J94" s="17">
        <f t="shared" si="16"/>
        <v>0</v>
      </c>
      <c r="K94" s="17">
        <f t="shared" si="16"/>
        <v>0</v>
      </c>
      <c r="L94" s="17">
        <f t="shared" si="16"/>
        <v>0</v>
      </c>
      <c r="M94" s="17">
        <f t="shared" si="16"/>
        <v>0</v>
      </c>
      <c r="N94" s="17">
        <f t="shared" si="16"/>
        <v>0</v>
      </c>
      <c r="O94" s="17">
        <f t="shared" si="16"/>
        <v>0</v>
      </c>
      <c r="P94" s="17">
        <f t="shared" si="16"/>
        <v>0</v>
      </c>
      <c r="Q94" s="17">
        <f t="shared" si="16"/>
        <v>0</v>
      </c>
      <c r="R94" s="17">
        <f t="shared" si="16"/>
        <v>0</v>
      </c>
      <c r="S94" s="17">
        <f t="shared" si="16"/>
        <v>0</v>
      </c>
      <c r="T94" s="17">
        <f t="shared" si="16"/>
        <v>0</v>
      </c>
      <c r="U94" s="17">
        <f t="shared" si="16"/>
        <v>0</v>
      </c>
      <c r="V94" s="17">
        <f t="shared" si="16"/>
        <v>0</v>
      </c>
      <c r="W94" s="17">
        <f t="shared" si="16"/>
        <v>0</v>
      </c>
      <c r="X94" s="17">
        <f t="shared" si="16"/>
        <v>0</v>
      </c>
      <c r="Y94" s="17">
        <f t="shared" si="16"/>
        <v>0</v>
      </c>
      <c r="Z94" s="17">
        <f t="shared" si="16"/>
        <v>0</v>
      </c>
      <c r="AA94" s="17">
        <f t="shared" si="16"/>
        <v>0</v>
      </c>
      <c r="AB94" s="17">
        <f t="shared" si="16"/>
        <v>0</v>
      </c>
      <c r="AC94" s="17">
        <f t="shared" si="16"/>
        <v>0</v>
      </c>
      <c r="AD94" s="17">
        <f t="shared" si="16"/>
        <v>0</v>
      </c>
      <c r="AE94" s="17">
        <f t="shared" si="16"/>
        <v>0</v>
      </c>
      <c r="AF94" s="18">
        <f t="shared" si="16"/>
        <v>0</v>
      </c>
      <c r="AG94" s="4">
        <f t="shared" si="13"/>
        <v>0</v>
      </c>
    </row>
    <row r="95" spans="1:35" ht="18.75" x14ac:dyDescent="0.25">
      <c r="A95" s="44" t="s">
        <v>81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4">
        <f t="shared" si="13"/>
        <v>0</v>
      </c>
    </row>
    <row r="96" spans="1:35" ht="18.75" x14ac:dyDescent="0.25">
      <c r="A96" s="45" t="s">
        <v>82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141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4">
        <f t="shared" si="13"/>
        <v>0</v>
      </c>
    </row>
    <row r="97" spans="1:33" ht="18.75" x14ac:dyDescent="0.25">
      <c r="A97" s="46" t="s">
        <v>70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4">
        <f t="shared" si="13"/>
        <v>0</v>
      </c>
    </row>
    <row r="98" spans="1:33" ht="18.75" x14ac:dyDescent="0.25">
      <c r="A98" s="47" t="s">
        <v>6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4">
        <f t="shared" si="13"/>
        <v>0</v>
      </c>
    </row>
    <row r="99" spans="1:33" ht="18.75" x14ac:dyDescent="0.25">
      <c r="A99" s="48" t="s">
        <v>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4">
        <f t="shared" si="13"/>
        <v>0</v>
      </c>
    </row>
    <row r="100" spans="1:33" ht="18.75" x14ac:dyDescent="0.25">
      <c r="A100" s="42" t="s">
        <v>66</v>
      </c>
      <c r="B100" s="17">
        <f t="shared" ref="B100:AF100" si="17">SUM(B101:B115)</f>
        <v>0</v>
      </c>
      <c r="C100" s="17">
        <f t="shared" si="17"/>
        <v>0</v>
      </c>
      <c r="D100" s="17">
        <f t="shared" si="17"/>
        <v>0</v>
      </c>
      <c r="E100" s="17">
        <f t="shared" si="17"/>
        <v>0</v>
      </c>
      <c r="F100" s="17">
        <f t="shared" si="17"/>
        <v>0</v>
      </c>
      <c r="G100" s="17">
        <f t="shared" si="17"/>
        <v>0</v>
      </c>
      <c r="H100" s="17">
        <f t="shared" si="17"/>
        <v>0</v>
      </c>
      <c r="I100" s="17">
        <f t="shared" si="17"/>
        <v>0</v>
      </c>
      <c r="J100" s="17">
        <f t="shared" si="17"/>
        <v>0</v>
      </c>
      <c r="K100" s="17">
        <f t="shared" si="17"/>
        <v>0</v>
      </c>
      <c r="L100" s="17">
        <f t="shared" si="17"/>
        <v>0</v>
      </c>
      <c r="M100" s="17">
        <f t="shared" si="17"/>
        <v>0</v>
      </c>
      <c r="N100" s="17">
        <f t="shared" si="17"/>
        <v>0</v>
      </c>
      <c r="O100" s="17">
        <f t="shared" si="17"/>
        <v>0</v>
      </c>
      <c r="P100" s="17">
        <f t="shared" si="17"/>
        <v>0</v>
      </c>
      <c r="Q100" s="17">
        <f t="shared" si="17"/>
        <v>0</v>
      </c>
      <c r="R100" s="17">
        <f t="shared" si="17"/>
        <v>0</v>
      </c>
      <c r="S100" s="17">
        <f t="shared" si="17"/>
        <v>0</v>
      </c>
      <c r="T100" s="17">
        <f t="shared" si="17"/>
        <v>0</v>
      </c>
      <c r="U100" s="17">
        <f t="shared" si="17"/>
        <v>0</v>
      </c>
      <c r="V100" s="17">
        <f t="shared" si="17"/>
        <v>0</v>
      </c>
      <c r="W100" s="17">
        <f t="shared" si="17"/>
        <v>0</v>
      </c>
      <c r="X100" s="17">
        <f t="shared" si="17"/>
        <v>0</v>
      </c>
      <c r="Y100" s="17">
        <f t="shared" si="17"/>
        <v>0</v>
      </c>
      <c r="Z100" s="17">
        <f t="shared" si="17"/>
        <v>0</v>
      </c>
      <c r="AA100" s="17">
        <f t="shared" si="17"/>
        <v>0</v>
      </c>
      <c r="AB100" s="17">
        <f t="shared" si="17"/>
        <v>0</v>
      </c>
      <c r="AC100" s="17">
        <f t="shared" si="17"/>
        <v>0</v>
      </c>
      <c r="AD100" s="17">
        <f t="shared" si="17"/>
        <v>0</v>
      </c>
      <c r="AE100" s="17">
        <f t="shared" si="17"/>
        <v>0</v>
      </c>
      <c r="AF100" s="18">
        <f t="shared" si="17"/>
        <v>0</v>
      </c>
      <c r="AG100" s="4">
        <f t="shared" si="13"/>
        <v>0</v>
      </c>
    </row>
    <row r="101" spans="1:33" ht="18.75" x14ac:dyDescent="0.25">
      <c r="A101" s="48" t="s">
        <v>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4">
        <f t="shared" si="13"/>
        <v>0</v>
      </c>
    </row>
    <row r="102" spans="1:33" ht="18.75" x14ac:dyDescent="0.25">
      <c r="A102" s="48" t="s">
        <v>9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4">
        <f t="shared" si="13"/>
        <v>0</v>
      </c>
    </row>
    <row r="103" spans="1:33" ht="18.75" x14ac:dyDescent="0.25">
      <c r="A103" s="49" t="s">
        <v>10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4">
        <f t="shared" si="13"/>
        <v>0</v>
      </c>
    </row>
    <row r="104" spans="1:33" ht="18.75" x14ac:dyDescent="0.25">
      <c r="A104" s="49" t="s">
        <v>11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4">
        <f t="shared" si="13"/>
        <v>0</v>
      </c>
    </row>
    <row r="105" spans="1:33" ht="18.75" x14ac:dyDescent="0.25">
      <c r="A105" s="49" t="s">
        <v>12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4">
        <f t="shared" si="13"/>
        <v>0</v>
      </c>
    </row>
    <row r="106" spans="1:33" ht="18.75" x14ac:dyDescent="0.25">
      <c r="A106" s="49" t="s">
        <v>13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4">
        <f t="shared" si="13"/>
        <v>0</v>
      </c>
    </row>
    <row r="107" spans="1:33" ht="18.75" x14ac:dyDescent="0.25">
      <c r="A107" s="49" t="s">
        <v>14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4">
        <f t="shared" si="13"/>
        <v>0</v>
      </c>
    </row>
    <row r="108" spans="1:33" ht="18.75" x14ac:dyDescent="0.25">
      <c r="A108" s="49" t="s">
        <v>15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4">
        <f t="shared" si="13"/>
        <v>0</v>
      </c>
    </row>
    <row r="109" spans="1:33" ht="18.75" x14ac:dyDescent="0.25">
      <c r="A109" s="49" t="s">
        <v>16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4">
        <f t="shared" si="13"/>
        <v>0</v>
      </c>
    </row>
    <row r="110" spans="1:33" ht="18.75" x14ac:dyDescent="0.25">
      <c r="A110" s="49" t="s">
        <v>17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4">
        <f t="shared" si="13"/>
        <v>0</v>
      </c>
    </row>
    <row r="111" spans="1:33" ht="18.75" x14ac:dyDescent="0.25">
      <c r="A111" s="49" t="s">
        <v>18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4">
        <f t="shared" si="13"/>
        <v>0</v>
      </c>
    </row>
    <row r="112" spans="1:33" ht="18.75" x14ac:dyDescent="0.25">
      <c r="A112" s="49" t="s">
        <v>19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4">
        <f>SUM(B112:AF112)</f>
        <v>0</v>
      </c>
    </row>
    <row r="113" spans="1:33" ht="18.75" x14ac:dyDescent="0.25">
      <c r="A113" s="49" t="s">
        <v>20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4">
        <f t="shared" si="13"/>
        <v>0</v>
      </c>
    </row>
    <row r="114" spans="1:33" ht="18.75" x14ac:dyDescent="0.25">
      <c r="A114" s="49" t="s">
        <v>21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4">
        <f t="shared" si="13"/>
        <v>0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0</v>
      </c>
      <c r="C116" s="74">
        <f t="shared" si="18"/>
        <v>0</v>
      </c>
      <c r="D116" s="74">
        <f t="shared" si="18"/>
        <v>0</v>
      </c>
      <c r="E116" s="74">
        <f t="shared" si="18"/>
        <v>0</v>
      </c>
      <c r="F116" s="74">
        <f t="shared" si="18"/>
        <v>0</v>
      </c>
      <c r="G116" s="74">
        <f t="shared" si="18"/>
        <v>0</v>
      </c>
      <c r="H116" s="74">
        <f t="shared" si="18"/>
        <v>0</v>
      </c>
      <c r="I116" s="74">
        <f t="shared" si="18"/>
        <v>0</v>
      </c>
      <c r="J116" s="74">
        <f t="shared" si="18"/>
        <v>0</v>
      </c>
      <c r="K116" s="74">
        <f t="shared" si="18"/>
        <v>0</v>
      </c>
      <c r="L116" s="74">
        <f t="shared" si="18"/>
        <v>0</v>
      </c>
      <c r="M116" s="74">
        <f t="shared" si="18"/>
        <v>0</v>
      </c>
      <c r="N116" s="74">
        <f t="shared" si="18"/>
        <v>0</v>
      </c>
      <c r="O116" s="74">
        <f t="shared" si="18"/>
        <v>0</v>
      </c>
      <c r="P116" s="74">
        <f t="shared" si="18"/>
        <v>0</v>
      </c>
      <c r="Q116" s="74">
        <f t="shared" si="18"/>
        <v>0</v>
      </c>
      <c r="R116" s="74">
        <f t="shared" si="18"/>
        <v>0</v>
      </c>
      <c r="S116" s="74">
        <f t="shared" si="18"/>
        <v>0</v>
      </c>
      <c r="T116" s="74">
        <f t="shared" si="18"/>
        <v>0</v>
      </c>
      <c r="U116" s="74">
        <f t="shared" si="18"/>
        <v>0</v>
      </c>
      <c r="V116" s="74">
        <f t="shared" si="18"/>
        <v>0</v>
      </c>
      <c r="W116" s="74">
        <f t="shared" si="18"/>
        <v>0</v>
      </c>
      <c r="X116" s="74">
        <f t="shared" si="18"/>
        <v>0</v>
      </c>
      <c r="Y116" s="74">
        <f t="shared" si="18"/>
        <v>0</v>
      </c>
      <c r="Z116" s="74">
        <f t="shared" si="18"/>
        <v>0</v>
      </c>
      <c r="AA116" s="74">
        <f t="shared" si="18"/>
        <v>0</v>
      </c>
      <c r="AB116" s="74">
        <f t="shared" si="18"/>
        <v>0</v>
      </c>
      <c r="AC116" s="74">
        <f t="shared" si="18"/>
        <v>0</v>
      </c>
      <c r="AD116" s="74">
        <f t="shared" si="18"/>
        <v>0</v>
      </c>
      <c r="AE116" s="74">
        <f t="shared" si="18"/>
        <v>0</v>
      </c>
      <c r="AF116" s="84">
        <f t="shared" si="18"/>
        <v>0</v>
      </c>
      <c r="AG116" s="4">
        <f t="shared" si="13"/>
        <v>0</v>
      </c>
    </row>
    <row r="117" spans="1:33" ht="18.75" x14ac:dyDescent="0.25">
      <c r="A117" s="43" t="s">
        <v>59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4">
        <f t="shared" si="13"/>
        <v>0</v>
      </c>
    </row>
    <row r="118" spans="1:33" ht="19.5" hidden="1" customHeight="1" thickBot="1" x14ac:dyDescent="0.3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3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3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3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3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3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3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3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3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3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3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4"/>
      <c r="AG129" s="4">
        <f t="shared" si="19"/>
        <v>0</v>
      </c>
    </row>
    <row r="130" spans="1:35" ht="18.75" x14ac:dyDescent="0.25">
      <c r="A130" s="73" t="s">
        <v>109</v>
      </c>
      <c r="B130" s="74">
        <f t="shared" ref="B130:AF130" si="20">SUM(B131:B143)</f>
        <v>0</v>
      </c>
      <c r="C130" s="74">
        <f t="shared" si="20"/>
        <v>0</v>
      </c>
      <c r="D130" s="74">
        <f t="shared" si="20"/>
        <v>0</v>
      </c>
      <c r="E130" s="74">
        <f t="shared" si="20"/>
        <v>0</v>
      </c>
      <c r="F130" s="74">
        <f t="shared" si="20"/>
        <v>0</v>
      </c>
      <c r="G130" s="74">
        <f t="shared" si="20"/>
        <v>0</v>
      </c>
      <c r="H130" s="74">
        <f t="shared" si="20"/>
        <v>0</v>
      </c>
      <c r="I130" s="74">
        <f t="shared" si="20"/>
        <v>0</v>
      </c>
      <c r="J130" s="74">
        <f t="shared" si="20"/>
        <v>0</v>
      </c>
      <c r="K130" s="74">
        <f t="shared" si="20"/>
        <v>0</v>
      </c>
      <c r="L130" s="74">
        <f t="shared" si="20"/>
        <v>0</v>
      </c>
      <c r="M130" s="74">
        <f t="shared" si="20"/>
        <v>0</v>
      </c>
      <c r="N130" s="74">
        <f t="shared" si="20"/>
        <v>0</v>
      </c>
      <c r="O130" s="74">
        <f t="shared" si="20"/>
        <v>0</v>
      </c>
      <c r="P130" s="74">
        <f t="shared" si="20"/>
        <v>0</v>
      </c>
      <c r="Q130" s="74">
        <f t="shared" si="20"/>
        <v>0</v>
      </c>
      <c r="R130" s="74">
        <f t="shared" si="20"/>
        <v>0</v>
      </c>
      <c r="S130" s="74">
        <f t="shared" si="20"/>
        <v>0</v>
      </c>
      <c r="T130" s="74">
        <f t="shared" si="20"/>
        <v>0</v>
      </c>
      <c r="U130" s="74">
        <f t="shared" si="20"/>
        <v>0</v>
      </c>
      <c r="V130" s="74">
        <f t="shared" si="20"/>
        <v>0</v>
      </c>
      <c r="W130" s="74">
        <f t="shared" si="20"/>
        <v>0</v>
      </c>
      <c r="X130" s="74">
        <f t="shared" si="20"/>
        <v>0</v>
      </c>
      <c r="Y130" s="74">
        <f t="shared" si="20"/>
        <v>0</v>
      </c>
      <c r="Z130" s="74">
        <f t="shared" si="20"/>
        <v>0</v>
      </c>
      <c r="AA130" s="74">
        <f t="shared" si="20"/>
        <v>0</v>
      </c>
      <c r="AB130" s="74">
        <f t="shared" si="20"/>
        <v>0</v>
      </c>
      <c r="AC130" s="74">
        <f t="shared" si="20"/>
        <v>0</v>
      </c>
      <c r="AD130" s="74">
        <f t="shared" si="20"/>
        <v>0</v>
      </c>
      <c r="AE130" s="74">
        <f t="shared" si="20"/>
        <v>0</v>
      </c>
      <c r="AF130" s="84">
        <f t="shared" si="20"/>
        <v>0</v>
      </c>
      <c r="AG130" s="150">
        <f t="shared" si="19"/>
        <v>0</v>
      </c>
      <c r="AH130" s="1" t="str">
        <f>IF(AG130&lt;&gt;AG93,"*","")</f>
        <v/>
      </c>
    </row>
    <row r="131" spans="1:35" ht="18.75" x14ac:dyDescent="0.25">
      <c r="A131" s="43" t="s">
        <v>59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4">
        <f t="shared" si="19"/>
        <v>0</v>
      </c>
    </row>
    <row r="132" spans="1:35" ht="18.75" x14ac:dyDescent="0.25">
      <c r="A132" s="43" t="s">
        <v>23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4">
        <f t="shared" si="19"/>
        <v>0</v>
      </c>
    </row>
    <row r="133" spans="1:35" ht="18.75" x14ac:dyDescent="0.25">
      <c r="A133" s="43" t="s">
        <v>24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4">
        <f t="shared" si="19"/>
        <v>0</v>
      </c>
    </row>
    <row r="134" spans="1:35" ht="18.75" x14ac:dyDescent="0.25">
      <c r="A134" s="43" t="s">
        <v>25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4">
        <f t="shared" ref="AG134:AG147" si="21">SUM(B134:AF134)</f>
        <v>0</v>
      </c>
    </row>
    <row r="135" spans="1:35" ht="18.75" x14ac:dyDescent="0.25">
      <c r="A135" s="43" t="s">
        <v>26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4">
        <f t="shared" si="21"/>
        <v>0</v>
      </c>
    </row>
    <row r="136" spans="1:35" ht="18.75" x14ac:dyDescent="0.25">
      <c r="A136" s="43" t="s">
        <v>27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4">
        <f t="shared" si="21"/>
        <v>0</v>
      </c>
    </row>
    <row r="137" spans="1:35" ht="18.75" x14ac:dyDescent="0.25">
      <c r="A137" s="43" t="s">
        <v>28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4">
        <f t="shared" si="21"/>
        <v>0</v>
      </c>
    </row>
    <row r="138" spans="1:35" ht="18.75" x14ac:dyDescent="0.25">
      <c r="A138" s="43" t="s">
        <v>29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4">
        <f t="shared" si="21"/>
        <v>0</v>
      </c>
    </row>
    <row r="139" spans="1:35" ht="18.75" x14ac:dyDescent="0.25">
      <c r="A139" s="41" t="s">
        <v>30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4">
        <f t="shared" si="21"/>
        <v>0</v>
      </c>
    </row>
    <row r="140" spans="1:35" ht="18.75" x14ac:dyDescent="0.25">
      <c r="A140" s="41" t="s">
        <v>31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4">
        <f t="shared" si="21"/>
        <v>0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0</v>
      </c>
    </row>
    <row r="142" spans="1:35" ht="18.75" x14ac:dyDescent="0.25">
      <c r="A142" s="43" t="s">
        <v>60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4">
        <f t="shared" si="21"/>
        <v>0</v>
      </c>
    </row>
    <row r="143" spans="1:35" ht="19.5" thickBot="1" x14ac:dyDescent="0.3">
      <c r="A143" s="75" t="s">
        <v>86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4"/>
      <c r="AG143" s="108">
        <f t="shared" si="21"/>
        <v>0</v>
      </c>
    </row>
    <row r="144" spans="1:35" ht="19.5" thickBot="1" x14ac:dyDescent="0.3">
      <c r="A144" s="164" t="s">
        <v>89</v>
      </c>
      <c r="B144" s="165">
        <f t="shared" ref="B144:AD144" si="22">+B146+B156+B158+B167</f>
        <v>0</v>
      </c>
      <c r="C144" s="165">
        <f t="shared" si="22"/>
        <v>0</v>
      </c>
      <c r="D144" s="165">
        <f t="shared" si="22"/>
        <v>0</v>
      </c>
      <c r="E144" s="165">
        <f t="shared" si="22"/>
        <v>0</v>
      </c>
      <c r="F144" s="165">
        <f t="shared" si="22"/>
        <v>0</v>
      </c>
      <c r="G144" s="165">
        <f t="shared" si="22"/>
        <v>0</v>
      </c>
      <c r="H144" s="165">
        <f t="shared" si="22"/>
        <v>0</v>
      </c>
      <c r="I144" s="165">
        <f t="shared" si="22"/>
        <v>0</v>
      </c>
      <c r="J144" s="165">
        <f t="shared" si="22"/>
        <v>0</v>
      </c>
      <c r="K144" s="165">
        <f t="shared" si="22"/>
        <v>0</v>
      </c>
      <c r="L144" s="165">
        <f t="shared" si="22"/>
        <v>0</v>
      </c>
      <c r="M144" s="165">
        <f t="shared" si="22"/>
        <v>0</v>
      </c>
      <c r="N144" s="165">
        <f t="shared" si="22"/>
        <v>0</v>
      </c>
      <c r="O144" s="165">
        <f t="shared" si="22"/>
        <v>0</v>
      </c>
      <c r="P144" s="165">
        <f t="shared" si="22"/>
        <v>0</v>
      </c>
      <c r="Q144" s="165">
        <f t="shared" si="22"/>
        <v>0</v>
      </c>
      <c r="R144" s="165">
        <f t="shared" si="22"/>
        <v>0</v>
      </c>
      <c r="S144" s="165">
        <f t="shared" si="22"/>
        <v>0</v>
      </c>
      <c r="T144" s="165">
        <f t="shared" si="22"/>
        <v>0</v>
      </c>
      <c r="U144" s="165">
        <f t="shared" si="22"/>
        <v>0</v>
      </c>
      <c r="V144" s="165">
        <f t="shared" si="22"/>
        <v>0</v>
      </c>
      <c r="W144" s="165">
        <f t="shared" si="22"/>
        <v>0</v>
      </c>
      <c r="X144" s="165">
        <f t="shared" si="22"/>
        <v>0</v>
      </c>
      <c r="Y144" s="165">
        <f t="shared" si="22"/>
        <v>0</v>
      </c>
      <c r="Z144" s="165">
        <f t="shared" si="22"/>
        <v>0</v>
      </c>
      <c r="AA144" s="165">
        <f t="shared" si="22"/>
        <v>0</v>
      </c>
      <c r="AB144" s="165">
        <f t="shared" si="22"/>
        <v>0</v>
      </c>
      <c r="AC144" s="165">
        <f t="shared" si="22"/>
        <v>0</v>
      </c>
      <c r="AD144" s="165">
        <f t="shared" si="22"/>
        <v>0</v>
      </c>
      <c r="AE144" s="165">
        <f>+AE146+AE156+AE158+AE167</f>
        <v>0</v>
      </c>
      <c r="AF144" s="165">
        <f t="shared" ref="AF144" si="23">+AF146+AF156+AF158+AF167</f>
        <v>0</v>
      </c>
      <c r="AG144" s="116">
        <f t="shared" si="21"/>
        <v>0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0</v>
      </c>
      <c r="C145" s="161">
        <f t="shared" si="24"/>
        <v>0</v>
      </c>
      <c r="D145" s="161">
        <f t="shared" si="24"/>
        <v>0</v>
      </c>
      <c r="E145" s="161">
        <f t="shared" si="24"/>
        <v>0</v>
      </c>
      <c r="F145" s="161">
        <f t="shared" si="24"/>
        <v>0</v>
      </c>
      <c r="G145" s="161">
        <f t="shared" si="24"/>
        <v>0</v>
      </c>
      <c r="H145" s="161">
        <f t="shared" si="24"/>
        <v>0</v>
      </c>
      <c r="I145" s="161">
        <f t="shared" si="24"/>
        <v>0</v>
      </c>
      <c r="J145" s="161">
        <f t="shared" si="24"/>
        <v>0</v>
      </c>
      <c r="K145" s="161">
        <f t="shared" si="24"/>
        <v>0</v>
      </c>
      <c r="L145" s="161">
        <f t="shared" si="24"/>
        <v>0</v>
      </c>
      <c r="M145" s="161">
        <f t="shared" si="24"/>
        <v>0</v>
      </c>
      <c r="N145" s="161">
        <f t="shared" si="24"/>
        <v>0</v>
      </c>
      <c r="O145" s="161">
        <f t="shared" si="24"/>
        <v>0</v>
      </c>
      <c r="P145" s="161">
        <f t="shared" si="24"/>
        <v>0</v>
      </c>
      <c r="Q145" s="161">
        <f t="shared" si="24"/>
        <v>0</v>
      </c>
      <c r="R145" s="161">
        <f t="shared" si="24"/>
        <v>0</v>
      </c>
      <c r="S145" s="161">
        <f t="shared" si="24"/>
        <v>0</v>
      </c>
      <c r="T145" s="161">
        <f t="shared" si="24"/>
        <v>0</v>
      </c>
      <c r="U145" s="161">
        <f t="shared" si="24"/>
        <v>0</v>
      </c>
      <c r="V145" s="161">
        <f t="shared" si="24"/>
        <v>0</v>
      </c>
      <c r="W145" s="161">
        <f t="shared" si="24"/>
        <v>0</v>
      </c>
      <c r="X145" s="161">
        <f t="shared" si="24"/>
        <v>0</v>
      </c>
      <c r="Y145" s="161">
        <f t="shared" si="24"/>
        <v>0</v>
      </c>
      <c r="Z145" s="161">
        <f t="shared" si="24"/>
        <v>0</v>
      </c>
      <c r="AA145" s="161">
        <f t="shared" si="24"/>
        <v>0</v>
      </c>
      <c r="AB145" s="161">
        <f t="shared" si="24"/>
        <v>0</v>
      </c>
      <c r="AC145" s="161">
        <f t="shared" si="24"/>
        <v>0</v>
      </c>
      <c r="AD145" s="161">
        <f t="shared" si="24"/>
        <v>0</v>
      </c>
      <c r="AE145" s="161">
        <f>+AE149+AE155+AE157+AE172</f>
        <v>0</v>
      </c>
      <c r="AF145" s="162">
        <f t="shared" ref="AF145" si="25">+AF149+AF155+AF157+AF172</f>
        <v>0</v>
      </c>
      <c r="AG145" s="163">
        <f t="shared" si="21"/>
        <v>0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23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85"/>
      <c r="AG156" s="95">
        <f t="shared" si="28"/>
        <v>0</v>
      </c>
      <c r="AH156" s="2" t="s">
        <v>84</v>
      </c>
    </row>
    <row r="157" spans="1:34" ht="19.5" thickBot="1" x14ac:dyDescent="0.3">
      <c r="A157" s="75" t="s">
        <v>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4"/>
      <c r="AG157" s="157">
        <f t="shared" si="28"/>
        <v>0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0</v>
      </c>
      <c r="D158" s="122">
        <f t="shared" si="29"/>
        <v>0</v>
      </c>
      <c r="E158" s="122">
        <f t="shared" si="29"/>
        <v>0</v>
      </c>
      <c r="F158" s="122">
        <f t="shared" si="29"/>
        <v>0</v>
      </c>
      <c r="G158" s="122">
        <f t="shared" si="29"/>
        <v>0</v>
      </c>
      <c r="H158" s="122">
        <f t="shared" si="29"/>
        <v>0</v>
      </c>
      <c r="I158" s="122">
        <f t="shared" si="29"/>
        <v>0</v>
      </c>
      <c r="J158" s="122">
        <f t="shared" si="29"/>
        <v>0</v>
      </c>
      <c r="K158" s="122">
        <f t="shared" si="29"/>
        <v>0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0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0</v>
      </c>
      <c r="T158" s="122">
        <f t="shared" si="29"/>
        <v>0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0</v>
      </c>
      <c r="Z158" s="122">
        <f t="shared" si="29"/>
        <v>0</v>
      </c>
      <c r="AA158" s="122">
        <f t="shared" si="29"/>
        <v>0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0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0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0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0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0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0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0</v>
      </c>
      <c r="H167" s="56">
        <f t="shared" si="30"/>
        <v>0</v>
      </c>
      <c r="I167" s="56">
        <f t="shared" si="30"/>
        <v>0</v>
      </c>
      <c r="J167" s="56">
        <f t="shared" si="30"/>
        <v>0</v>
      </c>
      <c r="K167" s="56">
        <f t="shared" si="30"/>
        <v>0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0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0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0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0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0</v>
      </c>
    </row>
    <row r="173" spans="1:34" ht="18.75" x14ac:dyDescent="0.25">
      <c r="A173" s="68" t="s">
        <v>2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23"/>
      <c r="AG173" s="5">
        <f t="shared" si="28"/>
        <v>0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0</v>
      </c>
      <c r="C174" s="16">
        <f t="shared" ref="C174:AF174" si="31">SUM(C175:C176)</f>
        <v>0</v>
      </c>
      <c r="D174" s="16">
        <f t="shared" si="31"/>
        <v>0</v>
      </c>
      <c r="E174" s="16">
        <f t="shared" si="31"/>
        <v>0</v>
      </c>
      <c r="F174" s="16">
        <f t="shared" si="31"/>
        <v>0</v>
      </c>
      <c r="G174" s="16">
        <f t="shared" si="31"/>
        <v>0</v>
      </c>
      <c r="H174" s="16">
        <f t="shared" si="31"/>
        <v>0</v>
      </c>
      <c r="I174" s="16">
        <f t="shared" si="31"/>
        <v>0</v>
      </c>
      <c r="J174" s="16">
        <f t="shared" si="31"/>
        <v>0</v>
      </c>
      <c r="K174" s="16">
        <f t="shared" si="31"/>
        <v>0</v>
      </c>
      <c r="L174" s="16">
        <f t="shared" si="31"/>
        <v>0</v>
      </c>
      <c r="M174" s="16">
        <f t="shared" si="31"/>
        <v>0</v>
      </c>
      <c r="N174" s="16">
        <f t="shared" si="31"/>
        <v>0</v>
      </c>
      <c r="O174" s="16">
        <f t="shared" si="31"/>
        <v>0</v>
      </c>
      <c r="P174" s="16">
        <f t="shared" si="31"/>
        <v>0</v>
      </c>
      <c r="Q174" s="16">
        <f t="shared" si="31"/>
        <v>0</v>
      </c>
      <c r="R174" s="16">
        <f t="shared" si="31"/>
        <v>0</v>
      </c>
      <c r="S174" s="16">
        <f t="shared" si="31"/>
        <v>0</v>
      </c>
      <c r="T174" s="16">
        <f t="shared" si="31"/>
        <v>0</v>
      </c>
      <c r="U174" s="16">
        <f t="shared" si="31"/>
        <v>0</v>
      </c>
      <c r="V174" s="16">
        <f t="shared" si="31"/>
        <v>0</v>
      </c>
      <c r="W174" s="16">
        <f t="shared" si="31"/>
        <v>0</v>
      </c>
      <c r="X174" s="16">
        <f t="shared" si="31"/>
        <v>0</v>
      </c>
      <c r="Y174" s="16">
        <f t="shared" si="31"/>
        <v>0</v>
      </c>
      <c r="Z174" s="16">
        <f t="shared" si="31"/>
        <v>0</v>
      </c>
      <c r="AA174" s="16">
        <f t="shared" si="31"/>
        <v>0</v>
      </c>
      <c r="AB174" s="16">
        <f t="shared" si="31"/>
        <v>0</v>
      </c>
      <c r="AC174" s="16">
        <f t="shared" si="31"/>
        <v>0</v>
      </c>
      <c r="AD174" s="16">
        <f t="shared" si="31"/>
        <v>0</v>
      </c>
      <c r="AE174" s="16">
        <f t="shared" si="31"/>
        <v>0</v>
      </c>
      <c r="AF174" s="24">
        <f t="shared" si="31"/>
        <v>0</v>
      </c>
      <c r="AG174" s="6">
        <f t="shared" si="28"/>
        <v>0</v>
      </c>
      <c r="AH174" s="2" t="s">
        <v>138</v>
      </c>
    </row>
    <row r="175" spans="1:34" ht="18.75" x14ac:dyDescent="0.25">
      <c r="A175" s="133" t="s">
        <v>120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23"/>
      <c r="AG175" s="5">
        <f t="shared" si="28"/>
        <v>0</v>
      </c>
      <c r="AH175" s="2" t="s">
        <v>138</v>
      </c>
    </row>
    <row r="176" spans="1:34" ht="19.5" thickBot="1" x14ac:dyDescent="0.3">
      <c r="A176" s="104" t="s">
        <v>119</v>
      </c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2"/>
      <c r="AG176" s="103">
        <f t="shared" si="28"/>
        <v>0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0</v>
      </c>
      <c r="C179" s="220">
        <f t="shared" si="32"/>
        <v>0</v>
      </c>
      <c r="D179" s="220">
        <f t="shared" si="32"/>
        <v>0</v>
      </c>
      <c r="E179" s="220">
        <f t="shared" si="32"/>
        <v>0</v>
      </c>
      <c r="F179" s="220">
        <f t="shared" si="32"/>
        <v>0</v>
      </c>
      <c r="G179" s="220">
        <f t="shared" si="32"/>
        <v>0</v>
      </c>
      <c r="H179" s="220">
        <f t="shared" si="32"/>
        <v>0</v>
      </c>
      <c r="I179" s="220">
        <f t="shared" si="32"/>
        <v>0</v>
      </c>
      <c r="J179" s="220">
        <f t="shared" si="32"/>
        <v>0</v>
      </c>
      <c r="K179" s="220">
        <f t="shared" si="32"/>
        <v>0</v>
      </c>
      <c r="L179" s="220">
        <f t="shared" si="32"/>
        <v>0</v>
      </c>
      <c r="M179" s="220">
        <f t="shared" si="32"/>
        <v>0</v>
      </c>
      <c r="N179" s="220">
        <f t="shared" si="32"/>
        <v>0</v>
      </c>
      <c r="O179" s="220">
        <f t="shared" si="32"/>
        <v>0</v>
      </c>
      <c r="P179" s="220">
        <f t="shared" si="32"/>
        <v>0</v>
      </c>
      <c r="Q179" s="220">
        <f t="shared" si="32"/>
        <v>0</v>
      </c>
      <c r="R179" s="220">
        <f t="shared" si="32"/>
        <v>0</v>
      </c>
      <c r="S179" s="220">
        <f t="shared" si="32"/>
        <v>0</v>
      </c>
      <c r="T179" s="220">
        <f t="shared" si="32"/>
        <v>0</v>
      </c>
      <c r="U179" s="220">
        <f t="shared" si="32"/>
        <v>0</v>
      </c>
      <c r="V179" s="220">
        <f t="shared" si="32"/>
        <v>0</v>
      </c>
      <c r="W179" s="220">
        <f t="shared" si="32"/>
        <v>0</v>
      </c>
      <c r="X179" s="220">
        <f t="shared" si="32"/>
        <v>0</v>
      </c>
      <c r="Y179" s="220">
        <f t="shared" si="32"/>
        <v>0</v>
      </c>
      <c r="Z179" s="220">
        <f t="shared" si="32"/>
        <v>0</v>
      </c>
      <c r="AA179" s="220">
        <f t="shared" si="32"/>
        <v>0</v>
      </c>
      <c r="AB179" s="220">
        <f t="shared" si="32"/>
        <v>0</v>
      </c>
      <c r="AC179" s="220">
        <f t="shared" si="32"/>
        <v>0</v>
      </c>
      <c r="AD179" s="220">
        <f t="shared" si="32"/>
        <v>0</v>
      </c>
      <c r="AE179" s="220">
        <f t="shared" si="32"/>
        <v>0</v>
      </c>
      <c r="AF179" s="221">
        <f t="shared" si="32"/>
        <v>0</v>
      </c>
      <c r="AG179" s="156">
        <f t="shared" si="28"/>
        <v>0</v>
      </c>
      <c r="AH179" s="38"/>
    </row>
    <row r="180" spans="1:34" ht="18.75" x14ac:dyDescent="0.25">
      <c r="A180" s="109" t="s">
        <v>4</v>
      </c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8"/>
      <c r="AG180" s="31">
        <f t="shared" si="28"/>
        <v>0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0</v>
      </c>
    </row>
    <row r="182" spans="1:34" ht="18.75" x14ac:dyDescent="0.25">
      <c r="A182" s="109" t="s">
        <v>123</v>
      </c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8"/>
      <c r="AG182" s="4">
        <f t="shared" si="28"/>
        <v>0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ref="AG183" si="33">SUM(B183:AF183)</f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139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10" t="s">
        <v>63</v>
      </c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8"/>
      <c r="AG188" s="4">
        <f t="shared" si="28"/>
        <v>0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6"/>
      <c r="AG192" s="247">
        <f t="shared" ref="AG192" si="34">SUM(B192:AF192)</f>
        <v>0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143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0" t="s">
        <v>124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0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126</v>
      </c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4"/>
      <c r="AG201" s="4">
        <f t="shared" si="28"/>
        <v>0</v>
      </c>
    </row>
    <row r="202" spans="1:34" ht="18.75" x14ac:dyDescent="0.25">
      <c r="A202" s="112" t="s">
        <v>170</v>
      </c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4"/>
      <c r="AG202" s="4">
        <f t="shared" si="28"/>
        <v>0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0</v>
      </c>
    </row>
    <row r="204" spans="1:34" ht="19.5" thickBot="1" x14ac:dyDescent="0.3">
      <c r="A204" s="215" t="s">
        <v>83</v>
      </c>
      <c r="B204" s="209">
        <f>SUM(B205:B209)</f>
        <v>0</v>
      </c>
      <c r="C204" s="210">
        <f t="shared" ref="C204:AF204" si="35">SUM(C205:C209)</f>
        <v>0</v>
      </c>
      <c r="D204" s="210">
        <f t="shared" si="35"/>
        <v>0</v>
      </c>
      <c r="E204" s="210">
        <f t="shared" si="35"/>
        <v>0</v>
      </c>
      <c r="F204" s="210">
        <f t="shared" si="35"/>
        <v>0</v>
      </c>
      <c r="G204" s="210">
        <f t="shared" si="35"/>
        <v>0</v>
      </c>
      <c r="H204" s="210">
        <f t="shared" si="35"/>
        <v>0</v>
      </c>
      <c r="I204" s="210">
        <f t="shared" si="35"/>
        <v>0</v>
      </c>
      <c r="J204" s="210">
        <f t="shared" si="35"/>
        <v>0</v>
      </c>
      <c r="K204" s="210">
        <f t="shared" si="35"/>
        <v>0</v>
      </c>
      <c r="L204" s="210">
        <f t="shared" si="35"/>
        <v>0</v>
      </c>
      <c r="M204" s="210">
        <f t="shared" si="35"/>
        <v>0</v>
      </c>
      <c r="N204" s="211">
        <f t="shared" si="35"/>
        <v>0</v>
      </c>
      <c r="O204" s="211">
        <f t="shared" si="35"/>
        <v>0</v>
      </c>
      <c r="P204" s="211">
        <f t="shared" si="35"/>
        <v>0</v>
      </c>
      <c r="Q204" s="211">
        <f t="shared" si="35"/>
        <v>0</v>
      </c>
      <c r="R204" s="211">
        <f t="shared" si="35"/>
        <v>0</v>
      </c>
      <c r="S204" s="211">
        <f t="shared" si="35"/>
        <v>0</v>
      </c>
      <c r="T204" s="211">
        <f t="shared" si="35"/>
        <v>0</v>
      </c>
      <c r="U204" s="211">
        <f t="shared" si="35"/>
        <v>0</v>
      </c>
      <c r="V204" s="211">
        <f t="shared" si="35"/>
        <v>0</v>
      </c>
      <c r="W204" s="211">
        <f t="shared" si="35"/>
        <v>0</v>
      </c>
      <c r="X204" s="211">
        <f t="shared" si="35"/>
        <v>0</v>
      </c>
      <c r="Y204" s="211">
        <f t="shared" si="35"/>
        <v>0</v>
      </c>
      <c r="Z204" s="211">
        <f t="shared" si="35"/>
        <v>0</v>
      </c>
      <c r="AA204" s="211">
        <f t="shared" si="35"/>
        <v>0</v>
      </c>
      <c r="AB204" s="211">
        <f t="shared" si="35"/>
        <v>0</v>
      </c>
      <c r="AC204" s="211">
        <f t="shared" si="35"/>
        <v>0</v>
      </c>
      <c r="AD204" s="211">
        <f t="shared" si="35"/>
        <v>0</v>
      </c>
      <c r="AE204" s="211">
        <f t="shared" si="35"/>
        <v>0</v>
      </c>
      <c r="AF204" s="212">
        <f t="shared" si="35"/>
        <v>0</v>
      </c>
      <c r="AG204" s="213">
        <f t="shared" si="28"/>
        <v>0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/>
      <c r="AG205" s="208">
        <f t="shared" si="28"/>
        <v>0</v>
      </c>
    </row>
    <row r="206" spans="1:34" ht="18.75" x14ac:dyDescent="0.25">
      <c r="A206" s="52" t="s">
        <v>73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88"/>
      <c r="AG206" s="97">
        <f t="shared" si="28"/>
        <v>0</v>
      </c>
    </row>
    <row r="207" spans="1:34" ht="18.75" x14ac:dyDescent="0.25">
      <c r="A207" s="52" t="s">
        <v>74</v>
      </c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88"/>
      <c r="AG207" s="97">
        <f t="shared" si="28"/>
        <v>0</v>
      </c>
    </row>
    <row r="208" spans="1:34" ht="18.75" x14ac:dyDescent="0.25">
      <c r="A208" s="52" t="s">
        <v>75</v>
      </c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88"/>
      <c r="AG208" s="97">
        <f t="shared" si="28"/>
        <v>0</v>
      </c>
    </row>
    <row r="209" spans="1:34" ht="19.5" thickBot="1" x14ac:dyDescent="0.3">
      <c r="A209" s="63" t="s">
        <v>76</v>
      </c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89"/>
      <c r="AG209" s="35">
        <f t="shared" si="28"/>
        <v>0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25"/>
      <c r="AG211" s="99">
        <f t="shared" si="28"/>
        <v>0</v>
      </c>
      <c r="AH211" s="376" t="s">
        <v>85</v>
      </c>
    </row>
    <row r="212" spans="1:34" ht="18.75" x14ac:dyDescent="0.25">
      <c r="A212" s="53" t="s">
        <v>110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91"/>
      <c r="AG212" s="100">
        <f t="shared" si="28"/>
        <v>0</v>
      </c>
      <c r="AH212" s="377"/>
    </row>
    <row r="213" spans="1:34" ht="18.75" x14ac:dyDescent="0.25">
      <c r="A213" s="53" t="s">
        <v>111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91"/>
      <c r="AG213" s="100">
        <f t="shared" si="28"/>
        <v>0</v>
      </c>
      <c r="AH213" s="377"/>
    </row>
    <row r="214" spans="1:34" ht="18.75" x14ac:dyDescent="0.25">
      <c r="A214" s="53" t="s">
        <v>112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91"/>
      <c r="AG214" s="100">
        <f t="shared" si="28"/>
        <v>0</v>
      </c>
      <c r="AH214" s="377"/>
    </row>
    <row r="215" spans="1:34" ht="18.75" x14ac:dyDescent="0.25">
      <c r="A215" s="53" t="s">
        <v>113</v>
      </c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91"/>
      <c r="AG215" s="100">
        <f t="shared" si="28"/>
        <v>0</v>
      </c>
      <c r="AH215" s="377"/>
    </row>
    <row r="216" spans="1:34" ht="18.75" x14ac:dyDescent="0.25">
      <c r="A216" s="53" t="s">
        <v>114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91"/>
      <c r="AG216" s="100">
        <f t="shared" ref="AG216:AG218" si="36">SUM(B216:AF216)</f>
        <v>0</v>
      </c>
      <c r="AH216" s="377"/>
    </row>
    <row r="217" spans="1:34" ht="18.75" x14ac:dyDescent="0.25">
      <c r="A217" s="53" t="s">
        <v>115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91"/>
      <c r="AG217" s="100">
        <f t="shared" si="36"/>
        <v>0</v>
      </c>
      <c r="AH217" s="377"/>
    </row>
    <row r="218" spans="1:34" ht="18.75" x14ac:dyDescent="0.25">
      <c r="A218" s="53" t="s">
        <v>116</v>
      </c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91"/>
      <c r="AG218" s="100">
        <f t="shared" si="36"/>
        <v>0</v>
      </c>
      <c r="AH218" s="377"/>
    </row>
    <row r="219" spans="1:34" ht="18.75" x14ac:dyDescent="0.25">
      <c r="A219" s="53" t="s">
        <v>117</v>
      </c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91"/>
      <c r="AG219" s="100">
        <f t="shared" si="28"/>
        <v>0</v>
      </c>
      <c r="AH219" s="377"/>
    </row>
    <row r="220" spans="1:34" ht="18.75" x14ac:dyDescent="0.25">
      <c r="A220" s="43" t="s">
        <v>150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377"/>
    </row>
    <row r="221" spans="1:34" ht="18.75" x14ac:dyDescent="0.25">
      <c r="A221" s="43" t="s">
        <v>78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25"/>
      <c r="AG221" s="99">
        <f t="shared" si="28"/>
        <v>0</v>
      </c>
      <c r="AH221" s="377"/>
    </row>
    <row r="222" spans="1:34" ht="19.5" thickBot="1" x14ac:dyDescent="0.3">
      <c r="A222" s="43" t="s">
        <v>79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25"/>
      <c r="AG222" s="99">
        <f t="shared" si="28"/>
        <v>0</v>
      </c>
      <c r="AH222" s="378"/>
    </row>
    <row r="223" spans="1:34" ht="24" thickBot="1" x14ac:dyDescent="0.3">
      <c r="A223" s="62" t="s">
        <v>118</v>
      </c>
      <c r="B223" s="20">
        <f>+B222+B221+B211+B220</f>
        <v>0</v>
      </c>
      <c r="C223" s="20">
        <f t="shared" ref="C223:AF223" si="37">+C222+C221+C211+C220</f>
        <v>0</v>
      </c>
      <c r="D223" s="20">
        <f t="shared" si="37"/>
        <v>0</v>
      </c>
      <c r="E223" s="20">
        <f t="shared" si="37"/>
        <v>0</v>
      </c>
      <c r="F223" s="20">
        <f t="shared" si="37"/>
        <v>0</v>
      </c>
      <c r="G223" s="20">
        <f t="shared" si="37"/>
        <v>0</v>
      </c>
      <c r="H223" s="20">
        <f t="shared" si="37"/>
        <v>0</v>
      </c>
      <c r="I223" s="20">
        <f t="shared" si="37"/>
        <v>0</v>
      </c>
      <c r="J223" s="20">
        <f t="shared" si="37"/>
        <v>0</v>
      </c>
      <c r="K223" s="20">
        <f t="shared" si="37"/>
        <v>0</v>
      </c>
      <c r="L223" s="20">
        <f t="shared" si="37"/>
        <v>0</v>
      </c>
      <c r="M223" s="20">
        <f t="shared" si="37"/>
        <v>0</v>
      </c>
      <c r="N223" s="20">
        <f t="shared" si="37"/>
        <v>0</v>
      </c>
      <c r="O223" s="20">
        <f t="shared" si="37"/>
        <v>0</v>
      </c>
      <c r="P223" s="20">
        <f t="shared" si="37"/>
        <v>0</v>
      </c>
      <c r="Q223" s="20">
        <f t="shared" si="37"/>
        <v>0</v>
      </c>
      <c r="R223" s="20">
        <f t="shared" si="37"/>
        <v>0</v>
      </c>
      <c r="S223" s="20">
        <f t="shared" si="37"/>
        <v>0</v>
      </c>
      <c r="T223" s="20">
        <f t="shared" si="37"/>
        <v>0</v>
      </c>
      <c r="U223" s="20">
        <f t="shared" si="37"/>
        <v>0</v>
      </c>
      <c r="V223" s="20">
        <f t="shared" si="37"/>
        <v>0</v>
      </c>
      <c r="W223" s="20">
        <f t="shared" si="37"/>
        <v>0</v>
      </c>
      <c r="X223" s="20">
        <f t="shared" si="37"/>
        <v>0</v>
      </c>
      <c r="Y223" s="20">
        <f t="shared" si="37"/>
        <v>0</v>
      </c>
      <c r="Z223" s="20">
        <f t="shared" si="37"/>
        <v>0</v>
      </c>
      <c r="AA223" s="20">
        <f t="shared" si="37"/>
        <v>0</v>
      </c>
      <c r="AB223" s="20">
        <f t="shared" si="37"/>
        <v>0</v>
      </c>
      <c r="AC223" s="20">
        <f t="shared" si="37"/>
        <v>0</v>
      </c>
      <c r="AD223" s="20">
        <f t="shared" si="37"/>
        <v>0</v>
      </c>
      <c r="AE223" s="20">
        <f t="shared" si="37"/>
        <v>0</v>
      </c>
      <c r="AF223" s="26">
        <f t="shared" si="37"/>
        <v>0</v>
      </c>
      <c r="AG223" s="99">
        <f t="shared" si="28"/>
        <v>0</v>
      </c>
      <c r="AH223" s="36"/>
    </row>
    <row r="224" spans="1:34" ht="18.75" x14ac:dyDescent="0.25">
      <c r="A224" s="57" t="s">
        <v>90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92"/>
      <c r="AG224" s="31">
        <f t="shared" ref="AG224:AG237" si="38">SUM(B224:AF224)</f>
        <v>0</v>
      </c>
      <c r="AH224" s="379" t="s">
        <v>96</v>
      </c>
    </row>
    <row r="225" spans="1:34" ht="18.75" x14ac:dyDescent="0.25">
      <c r="A225" s="54" t="s">
        <v>91</v>
      </c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93"/>
      <c r="AG225" s="99">
        <f t="shared" si="38"/>
        <v>0</v>
      </c>
      <c r="AH225" s="380"/>
    </row>
    <row r="226" spans="1:34" ht="19.5" thickBot="1" x14ac:dyDescent="0.3">
      <c r="A226" s="58" t="s">
        <v>97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94"/>
      <c r="AG226" s="28">
        <f t="shared" si="38"/>
        <v>0</v>
      </c>
      <c r="AH226" s="381"/>
    </row>
    <row r="227" spans="1:34" ht="18.75" x14ac:dyDescent="0.25">
      <c r="A227" s="55" t="s">
        <v>92</v>
      </c>
      <c r="B227" s="118">
        <f>SUM(B228:B230)</f>
        <v>0</v>
      </c>
      <c r="C227" s="118">
        <f t="shared" ref="C227:AF227" si="39">SUM(C228:C230)</f>
        <v>0</v>
      </c>
      <c r="D227" s="118">
        <f t="shared" si="39"/>
        <v>0</v>
      </c>
      <c r="E227" s="118">
        <f t="shared" si="39"/>
        <v>0</v>
      </c>
      <c r="F227" s="118">
        <f t="shared" si="39"/>
        <v>0</v>
      </c>
      <c r="G227" s="118">
        <f t="shared" si="39"/>
        <v>0</v>
      </c>
      <c r="H227" s="118">
        <f t="shared" si="39"/>
        <v>0</v>
      </c>
      <c r="I227" s="118">
        <f t="shared" si="39"/>
        <v>0</v>
      </c>
      <c r="J227" s="118">
        <f t="shared" si="39"/>
        <v>0</v>
      </c>
      <c r="K227" s="118">
        <f t="shared" si="39"/>
        <v>0</v>
      </c>
      <c r="L227" s="118">
        <f t="shared" si="39"/>
        <v>0</v>
      </c>
      <c r="M227" s="118">
        <f t="shared" si="39"/>
        <v>0</v>
      </c>
      <c r="N227" s="118">
        <f t="shared" si="39"/>
        <v>0</v>
      </c>
      <c r="O227" s="118">
        <f t="shared" si="39"/>
        <v>0</v>
      </c>
      <c r="P227" s="118">
        <f t="shared" si="39"/>
        <v>0</v>
      </c>
      <c r="Q227" s="118">
        <f t="shared" si="39"/>
        <v>0</v>
      </c>
      <c r="R227" s="118">
        <f t="shared" si="39"/>
        <v>0</v>
      </c>
      <c r="S227" s="118">
        <f t="shared" si="39"/>
        <v>0</v>
      </c>
      <c r="T227" s="118">
        <f t="shared" si="39"/>
        <v>0</v>
      </c>
      <c r="U227" s="118">
        <f t="shared" si="39"/>
        <v>0</v>
      </c>
      <c r="V227" s="118">
        <f t="shared" si="39"/>
        <v>0</v>
      </c>
      <c r="W227" s="118">
        <f t="shared" si="39"/>
        <v>0</v>
      </c>
      <c r="X227" s="118">
        <f t="shared" si="39"/>
        <v>0</v>
      </c>
      <c r="Y227" s="118">
        <f t="shared" si="39"/>
        <v>0</v>
      </c>
      <c r="Z227" s="118">
        <f t="shared" si="39"/>
        <v>0</v>
      </c>
      <c r="AA227" s="118">
        <f t="shared" si="39"/>
        <v>0</v>
      </c>
      <c r="AB227" s="118">
        <f t="shared" si="39"/>
        <v>0</v>
      </c>
      <c r="AC227" s="118">
        <f t="shared" si="39"/>
        <v>0</v>
      </c>
      <c r="AD227" s="118">
        <f t="shared" si="39"/>
        <v>0</v>
      </c>
      <c r="AE227" s="118">
        <f t="shared" si="39"/>
        <v>0</v>
      </c>
      <c r="AF227" s="118">
        <f t="shared" si="39"/>
        <v>0</v>
      </c>
      <c r="AG227" s="95">
        <f t="shared" si="38"/>
        <v>0</v>
      </c>
      <c r="AH227" s="379" t="s">
        <v>93</v>
      </c>
    </row>
    <row r="228" spans="1:34" ht="18.75" x14ac:dyDescent="0.25">
      <c r="A228" s="139" t="s">
        <v>94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5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2"/>
      <c r="AA228" s="140"/>
      <c r="AB228" s="140"/>
      <c r="AC228" s="140"/>
      <c r="AD228" s="140"/>
      <c r="AE228" s="140"/>
      <c r="AF228" s="144"/>
      <c r="AG228" s="143">
        <f t="shared" si="38"/>
        <v>0</v>
      </c>
      <c r="AH228" s="380"/>
    </row>
    <row r="229" spans="1:34" ht="18.75" x14ac:dyDescent="0.25">
      <c r="A229" s="139" t="s">
        <v>95</v>
      </c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5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2"/>
      <c r="AA229" s="140"/>
      <c r="AB229" s="140"/>
      <c r="AC229" s="140"/>
      <c r="AD229" s="140"/>
      <c r="AE229" s="140"/>
      <c r="AF229" s="144"/>
      <c r="AG229" s="143">
        <f t="shared" si="38"/>
        <v>0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8"/>
        <v>0</v>
      </c>
      <c r="AH230" s="381"/>
    </row>
    <row r="231" spans="1:34" ht="24" thickBot="1" x14ac:dyDescent="0.3">
      <c r="A231" s="198" t="s">
        <v>148</v>
      </c>
      <c r="B231" s="199">
        <f>SUM(B232:B237)</f>
        <v>0</v>
      </c>
      <c r="C231" s="199">
        <f t="shared" ref="C231:AF231" si="40">SUM(C232:C237)</f>
        <v>0</v>
      </c>
      <c r="D231" s="199">
        <f t="shared" si="40"/>
        <v>0</v>
      </c>
      <c r="E231" s="199">
        <f t="shared" si="40"/>
        <v>0</v>
      </c>
      <c r="F231" s="199">
        <f t="shared" si="40"/>
        <v>0</v>
      </c>
      <c r="G231" s="199">
        <f t="shared" si="40"/>
        <v>0</v>
      </c>
      <c r="H231" s="199">
        <f t="shared" si="40"/>
        <v>0</v>
      </c>
      <c r="I231" s="199">
        <f t="shared" si="40"/>
        <v>0</v>
      </c>
      <c r="J231" s="199">
        <f t="shared" si="40"/>
        <v>0</v>
      </c>
      <c r="K231" s="199">
        <f t="shared" si="40"/>
        <v>0</v>
      </c>
      <c r="L231" s="199">
        <f t="shared" si="40"/>
        <v>0</v>
      </c>
      <c r="M231" s="199">
        <f t="shared" si="40"/>
        <v>0</v>
      </c>
      <c r="N231" s="199">
        <f t="shared" si="40"/>
        <v>0</v>
      </c>
      <c r="O231" s="199">
        <f t="shared" si="40"/>
        <v>0</v>
      </c>
      <c r="P231" s="199">
        <f t="shared" si="40"/>
        <v>0</v>
      </c>
      <c r="Q231" s="199">
        <f t="shared" si="40"/>
        <v>0</v>
      </c>
      <c r="R231" s="199">
        <f t="shared" si="40"/>
        <v>0</v>
      </c>
      <c r="S231" s="199">
        <f t="shared" si="40"/>
        <v>0</v>
      </c>
      <c r="T231" s="199">
        <f t="shared" si="40"/>
        <v>0</v>
      </c>
      <c r="U231" s="199">
        <f t="shared" si="40"/>
        <v>0</v>
      </c>
      <c r="V231" s="199">
        <f t="shared" si="40"/>
        <v>0</v>
      </c>
      <c r="W231" s="199">
        <f t="shared" si="40"/>
        <v>0</v>
      </c>
      <c r="X231" s="199">
        <f t="shared" si="40"/>
        <v>0</v>
      </c>
      <c r="Y231" s="199">
        <f t="shared" si="40"/>
        <v>0</v>
      </c>
      <c r="Z231" s="199">
        <f t="shared" si="40"/>
        <v>0</v>
      </c>
      <c r="AA231" s="199">
        <f t="shared" si="40"/>
        <v>0</v>
      </c>
      <c r="AB231" s="199">
        <f t="shared" si="40"/>
        <v>0</v>
      </c>
      <c r="AC231" s="199">
        <f t="shared" si="40"/>
        <v>0</v>
      </c>
      <c r="AD231" s="199">
        <f t="shared" si="40"/>
        <v>0</v>
      </c>
      <c r="AE231" s="199">
        <f t="shared" si="40"/>
        <v>0</v>
      </c>
      <c r="AF231" s="200">
        <f t="shared" si="40"/>
        <v>0</v>
      </c>
      <c r="AG231" s="201">
        <f t="shared" si="38"/>
        <v>0</v>
      </c>
    </row>
    <row r="232" spans="1:34" ht="38.25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38"/>
        <v>0</v>
      </c>
    </row>
    <row r="233" spans="1:34" ht="40.5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38"/>
        <v>0</v>
      </c>
    </row>
    <row r="237" spans="1:34" ht="39.75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38"/>
        <v>0</v>
      </c>
    </row>
    <row r="238" spans="1:34" ht="21.75" x14ac:dyDescent="0.25">
      <c r="A238" s="225" t="s">
        <v>151</v>
      </c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  <c r="AB238" s="226"/>
      <c r="AC238" s="226"/>
      <c r="AD238" s="226"/>
      <c r="AE238" s="226"/>
      <c r="AF238" s="226"/>
      <c r="AG238" s="227"/>
    </row>
    <row r="239" spans="1:34" ht="22.5" thickBot="1" x14ac:dyDescent="0.3">
      <c r="A239" s="228" t="s">
        <v>152</v>
      </c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30"/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5">
    <mergeCell ref="AH227:AH230"/>
    <mergeCell ref="A1:AG1"/>
    <mergeCell ref="AI84:AI86"/>
    <mergeCell ref="AH211:AH222"/>
    <mergeCell ref="AH224:AH226"/>
  </mergeCells>
  <conditionalFormatting sqref="B29:AF52">
    <cfRule type="cellIs" dxfId="143" priority="6" operator="lessThan">
      <formula>0</formula>
    </cfRule>
  </conditionalFormatting>
  <conditionalFormatting sqref="D54:D77">
    <cfRule type="cellIs" dxfId="142" priority="2" operator="lessThan">
      <formula>0</formula>
    </cfRule>
  </conditionalFormatting>
  <conditionalFormatting sqref="G54:G77">
    <cfRule type="cellIs" dxfId="141" priority="1" operator="lessThan">
      <formula>0</formula>
    </cfRule>
  </conditionalFormatting>
  <conditionalFormatting sqref="AH81">
    <cfRule type="cellIs" dxfId="140" priority="4" operator="equal">
      <formula>"*"</formula>
    </cfRule>
  </conditionalFormatting>
  <conditionalFormatting sqref="AH84 AH87">
    <cfRule type="cellIs" dxfId="139" priority="5" operator="equal">
      <formula>"*"</formula>
    </cfRule>
  </conditionalFormatting>
  <conditionalFormatting sqref="AH93">
    <cfRule type="cellIs" dxfId="138" priority="10" operator="equal">
      <formula>"*"</formula>
    </cfRule>
  </conditionalFormatting>
  <conditionalFormatting sqref="AH130">
    <cfRule type="cellIs" dxfId="137" priority="8" operator="equal">
      <formula>"*"</formula>
    </cfRule>
  </conditionalFormatting>
  <conditionalFormatting sqref="AH144:AH145">
    <cfRule type="cellIs" dxfId="136" priority="9" operator="equal">
      <formula>"*"</formula>
    </cfRule>
  </conditionalFormatting>
  <conditionalFormatting sqref="AH179">
    <cfRule type="cellIs" dxfId="135" priority="7" operator="equal">
      <formula>"*"</formula>
    </cfRule>
  </conditionalFormatting>
  <conditionalFormatting sqref="AH204">
    <cfRule type="cellIs" dxfId="134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1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76"/>
  <sheetViews>
    <sheetView tabSelected="1" zoomScale="80" zoomScaleNormal="80"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33.7109375" customWidth="1"/>
    <col min="2" max="2" width="9.7109375" customWidth="1"/>
    <col min="3" max="3" width="8.7109375" customWidth="1"/>
    <col min="4" max="4" width="8.28515625" customWidth="1"/>
    <col min="5" max="13" width="9.85546875" customWidth="1"/>
    <col min="14" max="14" width="11.140625" customWidth="1"/>
    <col min="15" max="15" width="12.42578125" customWidth="1"/>
  </cols>
  <sheetData>
    <row r="1" spans="1:14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4" ht="32.25" thickBot="1" x14ac:dyDescent="0.3">
      <c r="A2" s="238">
        <v>2019</v>
      </c>
      <c r="B2" s="234" t="s">
        <v>153</v>
      </c>
      <c r="C2" s="234" t="s">
        <v>154</v>
      </c>
      <c r="D2" s="234" t="s">
        <v>155</v>
      </c>
      <c r="E2" s="234" t="s">
        <v>156</v>
      </c>
      <c r="F2" s="234" t="s">
        <v>157</v>
      </c>
      <c r="G2" s="234" t="s">
        <v>158</v>
      </c>
      <c r="H2" s="234" t="s">
        <v>121</v>
      </c>
      <c r="I2" s="234" t="s">
        <v>129</v>
      </c>
      <c r="J2" s="234" t="s">
        <v>133</v>
      </c>
      <c r="K2" s="234" t="s">
        <v>134</v>
      </c>
      <c r="L2" s="234" t="s">
        <v>135</v>
      </c>
      <c r="M2" s="234" t="s">
        <v>136</v>
      </c>
      <c r="N2" s="3" t="s">
        <v>80</v>
      </c>
    </row>
    <row r="3" spans="1:14" ht="19.5" thickBot="1" x14ac:dyDescent="0.3">
      <c r="A3" s="136" t="s">
        <v>0</v>
      </c>
      <c r="B3" s="135">
        <f>+ENERO!AG3</f>
        <v>6497</v>
      </c>
      <c r="C3" s="135">
        <f>+FEBRERO!AG3</f>
        <v>5688</v>
      </c>
      <c r="D3" s="135">
        <f>+MARZO!AG3</f>
        <v>6448</v>
      </c>
      <c r="E3" s="135">
        <f>+ABRIL!AG3</f>
        <v>5662</v>
      </c>
      <c r="F3" s="135">
        <f>+MAYO!AG3</f>
        <v>6212</v>
      </c>
      <c r="G3" s="135">
        <f>+JUNIO!AG3</f>
        <v>6358</v>
      </c>
      <c r="H3" s="135">
        <f>+JULIO!AG3</f>
        <v>5478</v>
      </c>
      <c r="I3" s="135">
        <f>+AGOSTO!AG3</f>
        <v>6354</v>
      </c>
      <c r="J3" s="135">
        <f>+SEPTIEMBRE!AG3</f>
        <v>6735</v>
      </c>
      <c r="K3" s="135">
        <f>+OCTUBRE!AG3</f>
        <v>5836</v>
      </c>
      <c r="L3" s="135">
        <f>+NOVIEMBRE!AG3</f>
        <v>5266</v>
      </c>
      <c r="M3" s="135">
        <f>+DICIEMBRE!AG3</f>
        <v>5179</v>
      </c>
      <c r="N3" s="187">
        <f t="shared" ref="N3:N34" si="0">SUM(B3:M3)</f>
        <v>71713</v>
      </c>
    </row>
    <row r="4" spans="1:14" ht="18.75" x14ac:dyDescent="0.25">
      <c r="A4" s="113" t="s">
        <v>54</v>
      </c>
      <c r="B4" s="114">
        <f>+ENERO!AG4</f>
        <v>52</v>
      </c>
      <c r="C4" s="114">
        <f>+FEBRERO!AG4</f>
        <v>50</v>
      </c>
      <c r="D4" s="114">
        <f>+MARZO!AG4</f>
        <v>54</v>
      </c>
      <c r="E4" s="114">
        <f>+ABRIL!AG4</f>
        <v>50</v>
      </c>
      <c r="F4" s="114">
        <f>+MAYO!AG4</f>
        <v>62</v>
      </c>
      <c r="G4" s="114">
        <f>+JUNIO!AG4</f>
        <v>64</v>
      </c>
      <c r="H4" s="114">
        <f>+JULIO!AG4</f>
        <v>35</v>
      </c>
      <c r="I4" s="114">
        <f>+AGOSTO!AG4</f>
        <v>69</v>
      </c>
      <c r="J4" s="114">
        <f>+SEPTIEMBRE!AG4</f>
        <v>59</v>
      </c>
      <c r="K4" s="114">
        <f>+OCTUBRE!AG4</f>
        <v>44</v>
      </c>
      <c r="L4" s="114">
        <f>+NOVIEMBRE!AG4</f>
        <v>58</v>
      </c>
      <c r="M4" s="114">
        <f>+DICIEMBRE!AG4</f>
        <v>50</v>
      </c>
      <c r="N4" s="132">
        <f t="shared" si="0"/>
        <v>647</v>
      </c>
    </row>
    <row r="5" spans="1:14" ht="18.75" x14ac:dyDescent="0.25">
      <c r="A5" s="41" t="s">
        <v>55</v>
      </c>
      <c r="B5" s="7">
        <f>+ENERO!AG5</f>
        <v>81</v>
      </c>
      <c r="C5" s="7">
        <f>+FEBRERO!AG5</f>
        <v>75</v>
      </c>
      <c r="D5" s="7">
        <f>+MARZO!AG5</f>
        <v>81</v>
      </c>
      <c r="E5" s="7">
        <f>+ABRIL!AG5</f>
        <v>85</v>
      </c>
      <c r="F5" s="7">
        <f>+MAYO!AG5</f>
        <v>120</v>
      </c>
      <c r="G5" s="7">
        <f>+JUNIO!AG5</f>
        <v>125</v>
      </c>
      <c r="H5" s="7">
        <f>+JULIO!AG5</f>
        <v>114</v>
      </c>
      <c r="I5" s="7">
        <f>+AGOSTO!AG5</f>
        <v>121</v>
      </c>
      <c r="J5" s="7">
        <f>+SEPTIEMBRE!AG5</f>
        <v>148</v>
      </c>
      <c r="K5" s="7">
        <f>+OCTUBRE!AG5</f>
        <v>89</v>
      </c>
      <c r="L5" s="7">
        <f>+NOVIEMBRE!AG5</f>
        <v>111</v>
      </c>
      <c r="M5" s="7">
        <f>+DICIEMBRE!AG5</f>
        <v>103</v>
      </c>
      <c r="N5" s="4">
        <f t="shared" si="0"/>
        <v>1253</v>
      </c>
    </row>
    <row r="6" spans="1:14" ht="18.75" x14ac:dyDescent="0.25">
      <c r="A6" s="41" t="s">
        <v>56</v>
      </c>
      <c r="B6" s="7">
        <f>+ENERO!AG6</f>
        <v>108</v>
      </c>
      <c r="C6" s="7">
        <f>+FEBRERO!AG6</f>
        <v>113</v>
      </c>
      <c r="D6" s="7">
        <f>+MARZO!AG6</f>
        <v>108</v>
      </c>
      <c r="E6" s="7">
        <f>+ABRIL!AG6</f>
        <v>148</v>
      </c>
      <c r="F6" s="7">
        <f>+MAYO!AG6</f>
        <v>167</v>
      </c>
      <c r="G6" s="7">
        <f>+JUNIO!AG6</f>
        <v>182</v>
      </c>
      <c r="H6" s="7">
        <f>+JULIO!AG6</f>
        <v>111</v>
      </c>
      <c r="I6" s="7">
        <f>+AGOSTO!AG6</f>
        <v>171</v>
      </c>
      <c r="J6" s="7">
        <f>+SEPTIEMBRE!AG6</f>
        <v>188</v>
      </c>
      <c r="K6" s="7">
        <f>+OCTUBRE!AG6</f>
        <v>136</v>
      </c>
      <c r="L6" s="7">
        <f>+NOVIEMBRE!AG6</f>
        <v>96</v>
      </c>
      <c r="M6" s="7">
        <f>+DICIEMBRE!AG6</f>
        <v>106</v>
      </c>
      <c r="N6" s="4">
        <f t="shared" si="0"/>
        <v>1634</v>
      </c>
    </row>
    <row r="7" spans="1:14" ht="18.75" x14ac:dyDescent="0.25">
      <c r="A7" s="41" t="s">
        <v>38</v>
      </c>
      <c r="B7" s="7">
        <f>+ENERO!AG7</f>
        <v>416</v>
      </c>
      <c r="C7" s="7">
        <f>+FEBRERO!AG7</f>
        <v>309</v>
      </c>
      <c r="D7" s="7">
        <f>+MARZO!AG7</f>
        <v>418</v>
      </c>
      <c r="E7" s="7">
        <f>+ABRIL!AG7</f>
        <v>219</v>
      </c>
      <c r="F7" s="7">
        <f>+MAYO!AG7</f>
        <v>189</v>
      </c>
      <c r="G7" s="7">
        <f>+JUNIO!AG7</f>
        <v>209</v>
      </c>
      <c r="H7" s="7">
        <f>+JULIO!AG7</f>
        <v>149</v>
      </c>
      <c r="I7" s="7">
        <f>+AGOSTO!AG7</f>
        <v>183</v>
      </c>
      <c r="J7" s="7">
        <f>+SEPTIEMBRE!AG7</f>
        <v>250</v>
      </c>
      <c r="K7" s="7">
        <f>+OCTUBRE!AG7</f>
        <v>138</v>
      </c>
      <c r="L7" s="7">
        <f>+NOVIEMBRE!AG7</f>
        <v>169</v>
      </c>
      <c r="M7" s="7">
        <f>+DICIEMBRE!AG7</f>
        <v>138</v>
      </c>
      <c r="N7" s="4">
        <f t="shared" si="0"/>
        <v>2787</v>
      </c>
    </row>
    <row r="8" spans="1:14" ht="18.75" x14ac:dyDescent="0.25">
      <c r="A8" s="41" t="s">
        <v>39</v>
      </c>
      <c r="B8" s="7">
        <f>+ENERO!AG8</f>
        <v>211</v>
      </c>
      <c r="C8" s="7">
        <f>+FEBRERO!AG8</f>
        <v>207</v>
      </c>
      <c r="D8" s="7">
        <f>+MARZO!AG8</f>
        <v>267</v>
      </c>
      <c r="E8" s="7">
        <f>+ABRIL!AG8</f>
        <v>166</v>
      </c>
      <c r="F8" s="7">
        <f>+MAYO!AG8</f>
        <v>190</v>
      </c>
      <c r="G8" s="7">
        <f>+JUNIO!AG8</f>
        <v>210</v>
      </c>
      <c r="H8" s="7">
        <f>+JULIO!AG8</f>
        <v>146</v>
      </c>
      <c r="I8" s="7">
        <f>+AGOSTO!AG8</f>
        <v>196</v>
      </c>
      <c r="J8" s="7">
        <f>+SEPTIEMBRE!AG8</f>
        <v>232</v>
      </c>
      <c r="K8" s="7">
        <f>+OCTUBRE!AG8</f>
        <v>158</v>
      </c>
      <c r="L8" s="7">
        <f>+NOVIEMBRE!AG8</f>
        <v>124</v>
      </c>
      <c r="M8" s="7">
        <f>+DICIEMBRE!AG8</f>
        <v>131</v>
      </c>
      <c r="N8" s="4">
        <f t="shared" si="0"/>
        <v>2238</v>
      </c>
    </row>
    <row r="9" spans="1:14" ht="18.75" x14ac:dyDescent="0.25">
      <c r="A9" s="41" t="s">
        <v>40</v>
      </c>
      <c r="B9" s="7">
        <f>+ENERO!AG9</f>
        <v>206</v>
      </c>
      <c r="C9" s="7">
        <f>+FEBRERO!AG9</f>
        <v>128</v>
      </c>
      <c r="D9" s="7">
        <f>+MARZO!AG9</f>
        <v>191</v>
      </c>
      <c r="E9" s="7">
        <f>+ABRIL!AG9</f>
        <v>159</v>
      </c>
      <c r="F9" s="7">
        <f>+MAYO!AG9</f>
        <v>142</v>
      </c>
      <c r="G9" s="7">
        <f>+JUNIO!AG9</f>
        <v>210</v>
      </c>
      <c r="H9" s="7">
        <f>+JULIO!AG9</f>
        <v>125</v>
      </c>
      <c r="I9" s="7">
        <f>+AGOSTO!AG9</f>
        <v>149</v>
      </c>
      <c r="J9" s="7">
        <f>+SEPTIEMBRE!AG9</f>
        <v>191</v>
      </c>
      <c r="K9" s="7">
        <f>+OCTUBRE!AG9</f>
        <v>125</v>
      </c>
      <c r="L9" s="7">
        <f>+NOVIEMBRE!AG9</f>
        <v>92</v>
      </c>
      <c r="M9" s="7">
        <f>+DICIEMBRE!AG9</f>
        <v>124</v>
      </c>
      <c r="N9" s="4">
        <f t="shared" si="0"/>
        <v>1842</v>
      </c>
    </row>
    <row r="10" spans="1:14" ht="18.75" x14ac:dyDescent="0.25">
      <c r="A10" s="41" t="s">
        <v>41</v>
      </c>
      <c r="B10" s="7">
        <f>+ENERO!AG10</f>
        <v>204</v>
      </c>
      <c r="C10" s="7">
        <f>+FEBRERO!AG10</f>
        <v>174</v>
      </c>
      <c r="D10" s="7">
        <f>+MARZO!AG10</f>
        <v>233</v>
      </c>
      <c r="E10" s="7">
        <f>+ABRIL!AG10</f>
        <v>137</v>
      </c>
      <c r="F10" s="7">
        <f>+MAYO!AG10</f>
        <v>177</v>
      </c>
      <c r="G10" s="7">
        <f>+JUNIO!AG10</f>
        <v>164</v>
      </c>
      <c r="H10" s="7">
        <f>+JULIO!AG10</f>
        <v>123</v>
      </c>
      <c r="I10" s="7">
        <f>+AGOSTO!AG10</f>
        <v>164</v>
      </c>
      <c r="J10" s="7">
        <f>+SEPTIEMBRE!AG10</f>
        <v>187</v>
      </c>
      <c r="K10" s="7">
        <f>+OCTUBRE!AG10</f>
        <v>128</v>
      </c>
      <c r="L10" s="7">
        <f>+NOVIEMBRE!AG10</f>
        <v>110</v>
      </c>
      <c r="M10" s="7">
        <f>+DICIEMBRE!AG10</f>
        <v>101</v>
      </c>
      <c r="N10" s="4">
        <f t="shared" si="0"/>
        <v>1902</v>
      </c>
    </row>
    <row r="11" spans="1:14" ht="18.75" x14ac:dyDescent="0.25">
      <c r="A11" s="41" t="s">
        <v>42</v>
      </c>
      <c r="B11" s="7">
        <f>+ENERO!AG11</f>
        <v>215</v>
      </c>
      <c r="C11" s="7">
        <f>+FEBRERO!AG11</f>
        <v>182</v>
      </c>
      <c r="D11" s="7">
        <f>+MARZO!AG11</f>
        <v>248</v>
      </c>
      <c r="E11" s="7">
        <f>+ABRIL!AG11</f>
        <v>190</v>
      </c>
      <c r="F11" s="7">
        <f>+MAYO!AG11</f>
        <v>179</v>
      </c>
      <c r="G11" s="7">
        <f>+JUNIO!AG11</f>
        <v>204</v>
      </c>
      <c r="H11" s="7">
        <f>+JULIO!AG11</f>
        <v>159</v>
      </c>
      <c r="I11" s="7">
        <f>+AGOSTO!AG11</f>
        <v>222</v>
      </c>
      <c r="J11" s="7">
        <f>+SEPTIEMBRE!AG11</f>
        <v>199</v>
      </c>
      <c r="K11" s="7">
        <f>+OCTUBRE!AG11</f>
        <v>130</v>
      </c>
      <c r="L11" s="7">
        <f>+NOVIEMBRE!AG11</f>
        <v>143</v>
      </c>
      <c r="M11" s="7">
        <f>+DICIEMBRE!AG11</f>
        <v>100</v>
      </c>
      <c r="N11" s="4">
        <f t="shared" si="0"/>
        <v>2171</v>
      </c>
    </row>
    <row r="12" spans="1:14" ht="18.75" x14ac:dyDescent="0.25">
      <c r="A12" s="41" t="s">
        <v>43</v>
      </c>
      <c r="B12" s="7">
        <f>+ENERO!AG12</f>
        <v>205</v>
      </c>
      <c r="C12" s="7">
        <f>+FEBRERO!AG12</f>
        <v>221</v>
      </c>
      <c r="D12" s="7">
        <f>+MARZO!AG12</f>
        <v>261</v>
      </c>
      <c r="E12" s="7">
        <f>+ABRIL!AG12</f>
        <v>179</v>
      </c>
      <c r="F12" s="7">
        <f>+MAYO!AG12</f>
        <v>207</v>
      </c>
      <c r="G12" s="7">
        <f>+JUNIO!AG12</f>
        <v>212</v>
      </c>
      <c r="H12" s="7">
        <f>+JULIO!AG12</f>
        <v>174</v>
      </c>
      <c r="I12" s="7">
        <f>+AGOSTO!AG12</f>
        <v>201</v>
      </c>
      <c r="J12" s="7">
        <f>+SEPTIEMBRE!AG12</f>
        <v>259</v>
      </c>
      <c r="K12" s="7">
        <f>+OCTUBRE!AG12</f>
        <v>164</v>
      </c>
      <c r="L12" s="7">
        <f>+NOVIEMBRE!AG12</f>
        <v>162</v>
      </c>
      <c r="M12" s="7">
        <f>+DICIEMBRE!AG12</f>
        <v>191</v>
      </c>
      <c r="N12" s="4">
        <f t="shared" si="0"/>
        <v>2436</v>
      </c>
    </row>
    <row r="13" spans="1:14" ht="18.75" x14ac:dyDescent="0.25">
      <c r="A13" s="41" t="s">
        <v>44</v>
      </c>
      <c r="B13" s="7">
        <f>+ENERO!AG13</f>
        <v>1136</v>
      </c>
      <c r="C13" s="7">
        <f>+FEBRERO!AG13</f>
        <v>999</v>
      </c>
      <c r="D13" s="7">
        <f>+MARZO!AG13</f>
        <v>1279</v>
      </c>
      <c r="E13" s="7">
        <f>+ABRIL!AG13</f>
        <v>1375</v>
      </c>
      <c r="F13" s="7">
        <f>+MAYO!AG13</f>
        <v>1671</v>
      </c>
      <c r="G13" s="7">
        <f>+JUNIO!AG13</f>
        <v>1704</v>
      </c>
      <c r="H13" s="7">
        <f>+JULIO!AG13</f>
        <v>1517</v>
      </c>
      <c r="I13" s="7">
        <f>+AGOSTO!AG13</f>
        <v>1661</v>
      </c>
      <c r="J13" s="7">
        <f>+SEPTIEMBRE!AG13</f>
        <v>1480</v>
      </c>
      <c r="K13" s="7">
        <f>+OCTUBRE!AG13</f>
        <v>1562</v>
      </c>
      <c r="L13" s="7">
        <f>+NOVIEMBRE!AG13</f>
        <v>1216</v>
      </c>
      <c r="M13" s="7">
        <f>+DICIEMBRE!AG13</f>
        <v>1133</v>
      </c>
      <c r="N13" s="4">
        <f t="shared" si="0"/>
        <v>16733</v>
      </c>
    </row>
    <row r="14" spans="1:14" ht="18.75" x14ac:dyDescent="0.25">
      <c r="A14" s="41" t="s">
        <v>45</v>
      </c>
      <c r="B14" s="7">
        <f>+ENERO!AG14</f>
        <v>581</v>
      </c>
      <c r="C14" s="7">
        <f>+FEBRERO!AG14</f>
        <v>544</v>
      </c>
      <c r="D14" s="7">
        <f>+MARZO!AG14</f>
        <v>585</v>
      </c>
      <c r="E14" s="7">
        <f>+ABRIL!AG14</f>
        <v>640</v>
      </c>
      <c r="F14" s="7">
        <f>+MAYO!AG14</f>
        <v>640</v>
      </c>
      <c r="G14" s="7">
        <f>+JUNIO!AG14</f>
        <v>639</v>
      </c>
      <c r="H14" s="7">
        <f>+JULIO!AG14</f>
        <v>567</v>
      </c>
      <c r="I14" s="7">
        <f>+AGOSTO!AG14</f>
        <v>703</v>
      </c>
      <c r="J14" s="7">
        <f>+SEPTIEMBRE!AG14</f>
        <v>662</v>
      </c>
      <c r="K14" s="7">
        <f>+OCTUBRE!AG14</f>
        <v>547</v>
      </c>
      <c r="L14" s="7">
        <f>+NOVIEMBRE!AG14</f>
        <v>516</v>
      </c>
      <c r="M14" s="7">
        <f>+DICIEMBRE!AG14</f>
        <v>493</v>
      </c>
      <c r="N14" s="4">
        <f t="shared" si="0"/>
        <v>7117</v>
      </c>
    </row>
    <row r="15" spans="1:14" ht="18.75" x14ac:dyDescent="0.25">
      <c r="A15" s="41" t="s">
        <v>46</v>
      </c>
      <c r="B15" s="7">
        <f>+ENERO!AG15</f>
        <v>512</v>
      </c>
      <c r="C15" s="7">
        <f>+FEBRERO!AG15</f>
        <v>448</v>
      </c>
      <c r="D15" s="7">
        <f>+MARZO!AG15</f>
        <v>558</v>
      </c>
      <c r="E15" s="7">
        <f>+ABRIL!AG15</f>
        <v>533</v>
      </c>
      <c r="F15" s="7">
        <f>+MAYO!AG15</f>
        <v>561</v>
      </c>
      <c r="G15" s="7">
        <f>+JUNIO!AG15</f>
        <v>505</v>
      </c>
      <c r="H15" s="7">
        <f>+JULIO!AG15</f>
        <v>506</v>
      </c>
      <c r="I15" s="7">
        <f>+AGOSTO!AG15</f>
        <v>588</v>
      </c>
      <c r="J15" s="7">
        <f>+SEPTIEMBRE!AG15</f>
        <v>639</v>
      </c>
      <c r="K15" s="7">
        <f>+OCTUBRE!AG15</f>
        <v>572</v>
      </c>
      <c r="L15" s="7">
        <f>+NOVIEMBRE!AG15</f>
        <v>505</v>
      </c>
      <c r="M15" s="7">
        <f>+DICIEMBRE!AG15</f>
        <v>429</v>
      </c>
      <c r="N15" s="4">
        <f t="shared" si="0"/>
        <v>6356</v>
      </c>
    </row>
    <row r="16" spans="1:14" ht="18.75" x14ac:dyDescent="0.25">
      <c r="A16" s="41" t="s">
        <v>47</v>
      </c>
      <c r="B16" s="7">
        <f>+ENERO!AG16</f>
        <v>515</v>
      </c>
      <c r="C16" s="7">
        <f>+FEBRERO!AG16</f>
        <v>456</v>
      </c>
      <c r="D16" s="7">
        <f>+MARZO!AG16</f>
        <v>505</v>
      </c>
      <c r="E16" s="7">
        <f>+ABRIL!AG16</f>
        <v>428</v>
      </c>
      <c r="F16" s="7">
        <f>+MAYO!AG16</f>
        <v>492</v>
      </c>
      <c r="G16" s="7">
        <f>+JUNIO!AG16</f>
        <v>468</v>
      </c>
      <c r="H16" s="7">
        <f>+JULIO!AG16</f>
        <v>421</v>
      </c>
      <c r="I16" s="7">
        <f>+AGOSTO!AG16</f>
        <v>488</v>
      </c>
      <c r="J16" s="7">
        <f>+SEPTIEMBRE!AG16</f>
        <v>557</v>
      </c>
      <c r="K16" s="7">
        <f>+OCTUBRE!AG16</f>
        <v>541</v>
      </c>
      <c r="L16" s="7">
        <f>+NOVIEMBRE!AG16</f>
        <v>468</v>
      </c>
      <c r="M16" s="7">
        <f>+DICIEMBRE!AG16</f>
        <v>424</v>
      </c>
      <c r="N16" s="4">
        <f t="shared" si="0"/>
        <v>5763</v>
      </c>
    </row>
    <row r="17" spans="1:15" ht="18.75" x14ac:dyDescent="0.25">
      <c r="A17" s="41" t="s">
        <v>48</v>
      </c>
      <c r="B17" s="7">
        <f>+ENERO!AG17</f>
        <v>501</v>
      </c>
      <c r="C17" s="7">
        <f>+FEBRERO!AG17</f>
        <v>448</v>
      </c>
      <c r="D17" s="7">
        <f>+MARZO!AG17</f>
        <v>497</v>
      </c>
      <c r="E17" s="7">
        <f>+ABRIL!AG17</f>
        <v>433</v>
      </c>
      <c r="F17" s="7">
        <f>+MAYO!AG17</f>
        <v>401</v>
      </c>
      <c r="G17" s="7">
        <f>+JUNIO!AG17</f>
        <v>423</v>
      </c>
      <c r="H17" s="7">
        <f>+JULIO!AG17</f>
        <v>374</v>
      </c>
      <c r="I17" s="7">
        <f>+AGOSTO!AG17</f>
        <v>455</v>
      </c>
      <c r="J17" s="7">
        <f>+SEPTIEMBRE!AG17</f>
        <v>509</v>
      </c>
      <c r="K17" s="7">
        <f>+OCTUBRE!AG17</f>
        <v>458</v>
      </c>
      <c r="L17" s="7">
        <f>+NOVIEMBRE!AG17</f>
        <v>417</v>
      </c>
      <c r="M17" s="7">
        <f>+DICIEMBRE!AG17</f>
        <v>466</v>
      </c>
      <c r="N17" s="4">
        <f t="shared" si="0"/>
        <v>5382</v>
      </c>
    </row>
    <row r="18" spans="1:15" ht="18.75" x14ac:dyDescent="0.25">
      <c r="A18" s="41" t="s">
        <v>49</v>
      </c>
      <c r="B18" s="7">
        <f>+ENERO!AG18</f>
        <v>489</v>
      </c>
      <c r="C18" s="7">
        <f>+FEBRERO!AG18</f>
        <v>408</v>
      </c>
      <c r="D18" s="7">
        <f>+MARZO!AG18</f>
        <v>372</v>
      </c>
      <c r="E18" s="7">
        <f>+ABRIL!AG18</f>
        <v>313</v>
      </c>
      <c r="F18" s="7">
        <f>+MAYO!AG18</f>
        <v>309</v>
      </c>
      <c r="G18" s="7">
        <f>+JUNIO!AG18</f>
        <v>300</v>
      </c>
      <c r="H18" s="7">
        <f>+JULIO!AG18</f>
        <v>293</v>
      </c>
      <c r="I18" s="7">
        <f>+AGOSTO!AG18</f>
        <v>309</v>
      </c>
      <c r="J18" s="7">
        <f>+SEPTIEMBRE!AG18</f>
        <v>417</v>
      </c>
      <c r="K18" s="7">
        <f>+OCTUBRE!AG18</f>
        <v>354</v>
      </c>
      <c r="L18" s="7">
        <f>+NOVIEMBRE!AG18</f>
        <v>374</v>
      </c>
      <c r="M18" s="7">
        <f>+DICIEMBRE!AG18</f>
        <v>418</v>
      </c>
      <c r="N18" s="4">
        <f t="shared" si="0"/>
        <v>4356</v>
      </c>
    </row>
    <row r="19" spans="1:15" ht="18.75" x14ac:dyDescent="0.25">
      <c r="A19" s="41" t="s">
        <v>50</v>
      </c>
      <c r="B19" s="7">
        <f>+ENERO!AG19</f>
        <v>389</v>
      </c>
      <c r="C19" s="7">
        <f>+FEBRERO!AG19</f>
        <v>299</v>
      </c>
      <c r="D19" s="7">
        <f>+MARZO!AG19</f>
        <v>265</v>
      </c>
      <c r="E19" s="7">
        <f>+ABRIL!AG19</f>
        <v>202</v>
      </c>
      <c r="F19" s="7">
        <f>+MAYO!AG19</f>
        <v>229</v>
      </c>
      <c r="G19" s="7">
        <f>+JUNIO!AG19</f>
        <v>252</v>
      </c>
      <c r="H19" s="7">
        <f>+JULIO!AG19</f>
        <v>229</v>
      </c>
      <c r="I19" s="7">
        <f>+AGOSTO!AG19</f>
        <v>221</v>
      </c>
      <c r="J19" s="7">
        <f>+SEPTIEMBRE!AG19</f>
        <v>296</v>
      </c>
      <c r="K19" s="7">
        <f>+OCTUBRE!AG19</f>
        <v>261</v>
      </c>
      <c r="L19" s="7">
        <f>+NOVIEMBRE!AG19</f>
        <v>275</v>
      </c>
      <c r="M19" s="7">
        <f>+DICIEMBRE!AG19</f>
        <v>317</v>
      </c>
      <c r="N19" s="4">
        <f t="shared" si="0"/>
        <v>3235</v>
      </c>
    </row>
    <row r="20" spans="1:15" ht="18.75" x14ac:dyDescent="0.25">
      <c r="A20" s="41" t="s">
        <v>33</v>
      </c>
      <c r="B20" s="7">
        <f>+ENERO!AG20</f>
        <v>224</v>
      </c>
      <c r="C20" s="7">
        <f>+FEBRERO!AG20</f>
        <v>182</v>
      </c>
      <c r="D20" s="7">
        <f>+MARZO!AG20</f>
        <v>146</v>
      </c>
      <c r="E20" s="7">
        <f>+ABRIL!AG20</f>
        <v>119</v>
      </c>
      <c r="F20" s="7">
        <f>+MAYO!AG20</f>
        <v>152</v>
      </c>
      <c r="G20" s="7">
        <f>+JUNIO!AG20</f>
        <v>154</v>
      </c>
      <c r="H20" s="7">
        <f>+JULIO!AG20</f>
        <v>125</v>
      </c>
      <c r="I20" s="7">
        <f>+AGOSTO!AG20</f>
        <v>148</v>
      </c>
      <c r="J20" s="7">
        <f>+SEPTIEMBRE!AG20</f>
        <v>167</v>
      </c>
      <c r="K20" s="7">
        <f>+OCTUBRE!AG20</f>
        <v>133</v>
      </c>
      <c r="L20" s="7">
        <f>+NOVIEMBRE!AG20</f>
        <v>161</v>
      </c>
      <c r="M20" s="7">
        <f>+DICIEMBRE!AG20</f>
        <v>174</v>
      </c>
      <c r="N20" s="4">
        <f t="shared" si="0"/>
        <v>1885</v>
      </c>
    </row>
    <row r="21" spans="1:15" ht="18.75" x14ac:dyDescent="0.25">
      <c r="A21" s="41" t="s">
        <v>34</v>
      </c>
      <c r="B21" s="7">
        <f>+ENERO!AG21</f>
        <v>147</v>
      </c>
      <c r="C21" s="7">
        <f>+FEBRERO!AG21</f>
        <v>128</v>
      </c>
      <c r="D21" s="7">
        <f>+MARZO!AG21</f>
        <v>119</v>
      </c>
      <c r="E21" s="7">
        <f>+ABRIL!AG21</f>
        <v>77</v>
      </c>
      <c r="F21" s="7">
        <f>+MAYO!AG21</f>
        <v>98</v>
      </c>
      <c r="G21" s="7">
        <f>+JUNIO!AG21</f>
        <v>104</v>
      </c>
      <c r="H21" s="7">
        <f>+JULIO!AG21</f>
        <v>103</v>
      </c>
      <c r="I21" s="7">
        <f>+AGOSTO!AG21</f>
        <v>103</v>
      </c>
      <c r="J21" s="7">
        <f>+SEPTIEMBRE!AG21</f>
        <v>84</v>
      </c>
      <c r="K21" s="7">
        <f>+OCTUBRE!AG21</f>
        <v>97</v>
      </c>
      <c r="L21" s="7">
        <f>+NOVIEMBRE!AG21</f>
        <v>84</v>
      </c>
      <c r="M21" s="7">
        <f>+DICIEMBRE!AG21</f>
        <v>105</v>
      </c>
      <c r="N21" s="4">
        <f t="shared" si="0"/>
        <v>1249</v>
      </c>
    </row>
    <row r="22" spans="1:15" ht="18.75" x14ac:dyDescent="0.25">
      <c r="A22" s="41" t="s">
        <v>35</v>
      </c>
      <c r="B22" s="7">
        <f>+ENERO!AG22</f>
        <v>79</v>
      </c>
      <c r="C22" s="7">
        <f>+FEBRERO!AG22</f>
        <v>87</v>
      </c>
      <c r="D22" s="7">
        <f>+MARZO!AG22</f>
        <v>60</v>
      </c>
      <c r="E22" s="7">
        <f>+ABRIL!AG22</f>
        <v>59</v>
      </c>
      <c r="F22" s="7">
        <f>+MAYO!AG22</f>
        <v>42</v>
      </c>
      <c r="G22" s="7">
        <f>+JUNIO!AG22</f>
        <v>63</v>
      </c>
      <c r="H22" s="7">
        <f>+JULIO!AG22</f>
        <v>59</v>
      </c>
      <c r="I22" s="7">
        <f>+AGOSTO!AG22</f>
        <v>50</v>
      </c>
      <c r="J22" s="7">
        <f>+SEPTIEMBRE!AG22</f>
        <v>73</v>
      </c>
      <c r="K22" s="7">
        <f>+OCTUBRE!AG22</f>
        <v>56</v>
      </c>
      <c r="L22" s="7">
        <f>+NOVIEMBRE!AG22</f>
        <v>54</v>
      </c>
      <c r="M22" s="7">
        <f>+DICIEMBRE!AG22</f>
        <v>55</v>
      </c>
      <c r="N22" s="4">
        <f t="shared" si="0"/>
        <v>737</v>
      </c>
    </row>
    <row r="23" spans="1:15" ht="18.75" x14ac:dyDescent="0.25">
      <c r="A23" s="41" t="s">
        <v>36</v>
      </c>
      <c r="B23" s="7">
        <f>+ENERO!AG23</f>
        <v>53</v>
      </c>
      <c r="C23" s="7">
        <f>+FEBRERO!AG23</f>
        <v>61</v>
      </c>
      <c r="D23" s="7">
        <f>+MARZO!AG23</f>
        <v>46</v>
      </c>
      <c r="E23" s="7">
        <f>+ABRIL!AG23</f>
        <v>37</v>
      </c>
      <c r="F23" s="7">
        <f>+MAYO!AG23</f>
        <v>40</v>
      </c>
      <c r="G23" s="7">
        <f>+JUNIO!AG23</f>
        <v>40</v>
      </c>
      <c r="H23" s="7">
        <f>+JULIO!AG23</f>
        <v>41</v>
      </c>
      <c r="I23" s="7">
        <f>+AGOSTO!AG23</f>
        <v>41</v>
      </c>
      <c r="J23" s="7">
        <f>+SEPTIEMBRE!AG23</f>
        <v>36</v>
      </c>
      <c r="K23" s="7">
        <f>+OCTUBRE!AG23</f>
        <v>44</v>
      </c>
      <c r="L23" s="7">
        <f>+NOVIEMBRE!AG23</f>
        <v>35</v>
      </c>
      <c r="M23" s="7">
        <f>+DICIEMBRE!AG23</f>
        <v>32</v>
      </c>
      <c r="N23" s="4">
        <f t="shared" si="0"/>
        <v>506</v>
      </c>
    </row>
    <row r="24" spans="1:15" ht="18.75" x14ac:dyDescent="0.25">
      <c r="A24" s="41" t="s">
        <v>51</v>
      </c>
      <c r="B24" s="7">
        <f>+ENERO!AG24</f>
        <v>45</v>
      </c>
      <c r="C24" s="7">
        <f>+FEBRERO!AG24</f>
        <v>53</v>
      </c>
      <c r="D24" s="7">
        <f>+MARZO!AG24</f>
        <v>49</v>
      </c>
      <c r="E24" s="7">
        <f>+ABRIL!AG24</f>
        <v>37</v>
      </c>
      <c r="F24" s="7">
        <f>+MAYO!AG24</f>
        <v>35</v>
      </c>
      <c r="G24" s="7">
        <f>+JUNIO!AG24</f>
        <v>38</v>
      </c>
      <c r="H24" s="7">
        <f>+JULIO!AG24</f>
        <v>28</v>
      </c>
      <c r="I24" s="7">
        <f>+AGOSTO!AG24</f>
        <v>25</v>
      </c>
      <c r="J24" s="7">
        <f>+SEPTIEMBRE!AG24</f>
        <v>27</v>
      </c>
      <c r="K24" s="7">
        <f>+OCTUBRE!AG24</f>
        <v>33</v>
      </c>
      <c r="L24" s="7">
        <f>+NOVIEMBRE!AG24</f>
        <v>25</v>
      </c>
      <c r="M24" s="7">
        <f>+DICIEMBRE!AG24</f>
        <v>27</v>
      </c>
      <c r="N24" s="4">
        <f t="shared" si="0"/>
        <v>422</v>
      </c>
    </row>
    <row r="25" spans="1:15" ht="18.75" x14ac:dyDescent="0.25">
      <c r="A25" s="41" t="s">
        <v>52</v>
      </c>
      <c r="B25" s="7">
        <f>+ENERO!AG25</f>
        <v>40</v>
      </c>
      <c r="C25" s="7">
        <f>+FEBRERO!AG25</f>
        <v>43</v>
      </c>
      <c r="D25" s="7">
        <f>+MARZO!AG25</f>
        <v>42</v>
      </c>
      <c r="E25" s="7">
        <f>+ABRIL!AG25</f>
        <v>22</v>
      </c>
      <c r="F25" s="7">
        <f>+MAYO!AG25</f>
        <v>28</v>
      </c>
      <c r="G25" s="7">
        <f>+JUNIO!AG25</f>
        <v>31</v>
      </c>
      <c r="H25" s="7">
        <f>+JULIO!AG25</f>
        <v>32</v>
      </c>
      <c r="I25" s="7">
        <f>+AGOSTO!AG25</f>
        <v>23</v>
      </c>
      <c r="J25" s="7">
        <f>+SEPTIEMBRE!AG25</f>
        <v>29</v>
      </c>
      <c r="K25" s="7">
        <f>+OCTUBRE!AG25</f>
        <v>19</v>
      </c>
      <c r="L25" s="7">
        <f>+NOVIEMBRE!AG25</f>
        <v>23</v>
      </c>
      <c r="M25" s="7">
        <f>+DICIEMBRE!AG25</f>
        <v>25</v>
      </c>
      <c r="N25" s="4">
        <f t="shared" si="0"/>
        <v>357</v>
      </c>
    </row>
    <row r="26" spans="1:15" ht="18.75" x14ac:dyDescent="0.25">
      <c r="A26" s="41" t="s">
        <v>37</v>
      </c>
      <c r="B26" s="7">
        <f>+ENERO!AG26</f>
        <v>39</v>
      </c>
      <c r="C26" s="7">
        <f>+FEBRERO!AG26</f>
        <v>35</v>
      </c>
      <c r="D26" s="7">
        <f>+MARZO!AG26</f>
        <v>25</v>
      </c>
      <c r="E26" s="7">
        <f>+ABRIL!AG26</f>
        <v>32</v>
      </c>
      <c r="F26" s="7">
        <f>+MAYO!AG26</f>
        <v>40</v>
      </c>
      <c r="G26" s="7">
        <f>+JUNIO!AG26</f>
        <v>26</v>
      </c>
      <c r="H26" s="7">
        <f>+JULIO!AG26</f>
        <v>24</v>
      </c>
      <c r="I26" s="7">
        <f>+AGOSTO!AG26</f>
        <v>17</v>
      </c>
      <c r="J26" s="7">
        <f>+SEPTIEMBRE!AG26</f>
        <v>25</v>
      </c>
      <c r="K26" s="7">
        <f>+OCTUBRE!AG26</f>
        <v>22</v>
      </c>
      <c r="L26" s="7">
        <f>+NOVIEMBRE!AG26</f>
        <v>28</v>
      </c>
      <c r="M26" s="7">
        <f>+DICIEMBRE!AG26</f>
        <v>23</v>
      </c>
      <c r="N26" s="4">
        <f t="shared" si="0"/>
        <v>336</v>
      </c>
    </row>
    <row r="27" spans="1:15" ht="19.5" thickBot="1" x14ac:dyDescent="0.3">
      <c r="A27" s="81" t="s">
        <v>53</v>
      </c>
      <c r="B27" s="78">
        <f>+ENERO!AG27</f>
        <v>49</v>
      </c>
      <c r="C27" s="78">
        <f>+FEBRERO!AG27</f>
        <v>38</v>
      </c>
      <c r="D27" s="78">
        <f>+MARZO!AG27</f>
        <v>39</v>
      </c>
      <c r="E27" s="78">
        <f>+ABRIL!AG27</f>
        <v>22</v>
      </c>
      <c r="F27" s="78">
        <f>+MAYO!AG27</f>
        <v>41</v>
      </c>
      <c r="G27" s="78">
        <f>+JUNIO!AG27</f>
        <v>31</v>
      </c>
      <c r="H27" s="78">
        <f>+JULIO!AG27</f>
        <v>23</v>
      </c>
      <c r="I27" s="78">
        <f>+AGOSTO!AG27</f>
        <v>46</v>
      </c>
      <c r="J27" s="78">
        <f>+SEPTIEMBRE!AG27</f>
        <v>21</v>
      </c>
      <c r="K27" s="78">
        <f>+OCTUBRE!AG27</f>
        <v>25</v>
      </c>
      <c r="L27" s="78">
        <f>+NOVIEMBRE!AG27</f>
        <v>20</v>
      </c>
      <c r="M27" s="78">
        <f>+DICIEMBRE!AG27</f>
        <v>14</v>
      </c>
      <c r="N27" s="4">
        <f t="shared" si="0"/>
        <v>369</v>
      </c>
    </row>
    <row r="28" spans="1:15" ht="18.75" x14ac:dyDescent="0.25">
      <c r="A28" s="79" t="s">
        <v>107</v>
      </c>
      <c r="B28" s="80">
        <f>+ENERO!AG28</f>
        <v>5938</v>
      </c>
      <c r="C28" s="80">
        <f>+FEBRERO!AG28</f>
        <v>5319</v>
      </c>
      <c r="D28" s="80">
        <f>+MARZO!AG28</f>
        <v>5734</v>
      </c>
      <c r="E28" s="80">
        <f>+ABRIL!AG28</f>
        <v>5114</v>
      </c>
      <c r="F28" s="80">
        <f>+MAYO!AG28</f>
        <v>5518</v>
      </c>
      <c r="G28" s="80">
        <f>+JUNIO!AG28</f>
        <v>5586</v>
      </c>
      <c r="H28" s="80">
        <f>+JULIO!AG28</f>
        <v>5211</v>
      </c>
      <c r="I28" s="80">
        <f>+AGOSTO!AG28</f>
        <v>5859</v>
      </c>
      <c r="J28" s="80">
        <f>+SEPTIEMBRE!AG28</f>
        <v>6140</v>
      </c>
      <c r="K28" s="80">
        <f>+OCTUBRE!AG28</f>
        <v>5334</v>
      </c>
      <c r="L28" s="80">
        <f>+NOVIEMBRE!AG28</f>
        <v>4817</v>
      </c>
      <c r="M28" s="80">
        <f>+DICIEMBRE!AG28</f>
        <v>4768</v>
      </c>
      <c r="N28" s="150">
        <f t="shared" si="0"/>
        <v>65338</v>
      </c>
      <c r="O28">
        <f>+N28-65340</f>
        <v>-2</v>
      </c>
    </row>
    <row r="29" spans="1:15" ht="18.75" x14ac:dyDescent="0.25">
      <c r="A29" s="41" t="s">
        <v>54</v>
      </c>
      <c r="B29" s="7">
        <f>+ENERO!AG29</f>
        <v>37</v>
      </c>
      <c r="C29" s="7">
        <f>+FEBRERO!AG29</f>
        <v>40</v>
      </c>
      <c r="D29" s="7">
        <f>+MARZO!AG29</f>
        <v>20</v>
      </c>
      <c r="E29" s="7">
        <f>+ABRIL!AG29</f>
        <v>37</v>
      </c>
      <c r="F29" s="7">
        <f>+MAYO!AG29</f>
        <v>42</v>
      </c>
      <c r="G29" s="7">
        <f>+JUNIO!AG29</f>
        <v>31</v>
      </c>
      <c r="H29" s="7">
        <f>+JULIO!AG29</f>
        <v>12</v>
      </c>
      <c r="I29" s="7">
        <f>+AGOSTO!AG29</f>
        <v>37</v>
      </c>
      <c r="J29" s="7">
        <f>+SEPTIEMBRE!AG29</f>
        <v>32</v>
      </c>
      <c r="K29" s="7">
        <f>+OCTUBRE!AG29</f>
        <v>30</v>
      </c>
      <c r="L29" s="7">
        <f>+NOVIEMBRE!AG29</f>
        <v>34</v>
      </c>
      <c r="M29" s="7">
        <f>+DICIEMBRE!AG29</f>
        <v>24</v>
      </c>
      <c r="N29" s="4">
        <f t="shared" si="0"/>
        <v>376</v>
      </c>
    </row>
    <row r="30" spans="1:15" ht="18.75" x14ac:dyDescent="0.25">
      <c r="A30" s="41" t="s">
        <v>55</v>
      </c>
      <c r="B30" s="7">
        <f>+ENERO!AG30</f>
        <v>62</v>
      </c>
      <c r="C30" s="7">
        <f>+FEBRERO!AG30</f>
        <v>66</v>
      </c>
      <c r="D30" s="7">
        <f>+MARZO!AG30</f>
        <v>62</v>
      </c>
      <c r="E30" s="7">
        <f>+ABRIL!AG30</f>
        <v>38</v>
      </c>
      <c r="F30" s="7">
        <f>+MAYO!AG30</f>
        <v>62</v>
      </c>
      <c r="G30" s="7">
        <f>+JUNIO!AG30</f>
        <v>62</v>
      </c>
      <c r="H30" s="7">
        <f>+JULIO!AG30</f>
        <v>61</v>
      </c>
      <c r="I30" s="7">
        <f>+AGOSTO!AG30</f>
        <v>78</v>
      </c>
      <c r="J30" s="7">
        <f>+SEPTIEMBRE!AG30</f>
        <v>73</v>
      </c>
      <c r="K30" s="7">
        <f>+OCTUBRE!AG30</f>
        <v>57</v>
      </c>
      <c r="L30" s="7">
        <f>+NOVIEMBRE!AG30</f>
        <v>68</v>
      </c>
      <c r="M30" s="7">
        <f>+DICIEMBRE!AG30</f>
        <v>56</v>
      </c>
      <c r="N30" s="4">
        <f t="shared" si="0"/>
        <v>745</v>
      </c>
    </row>
    <row r="31" spans="1:15" ht="18.75" x14ac:dyDescent="0.25">
      <c r="A31" s="41" t="s">
        <v>56</v>
      </c>
      <c r="B31" s="7">
        <f>+ENERO!AG31</f>
        <v>85</v>
      </c>
      <c r="C31" s="7">
        <f>+FEBRERO!AG31</f>
        <v>98</v>
      </c>
      <c r="D31" s="7">
        <f>+MARZO!AG31</f>
        <v>93</v>
      </c>
      <c r="E31" s="7">
        <f>+ABRIL!AG31</f>
        <v>97</v>
      </c>
      <c r="F31" s="7">
        <f>+MAYO!AG31</f>
        <v>126</v>
      </c>
      <c r="G31" s="7">
        <f>+JUNIO!AG31</f>
        <v>114</v>
      </c>
      <c r="H31" s="7">
        <f>+JULIO!AG31</f>
        <v>116</v>
      </c>
      <c r="I31" s="7">
        <f>+AGOSTO!AG31</f>
        <v>117</v>
      </c>
      <c r="J31" s="7">
        <f>+SEPTIEMBRE!AG31</f>
        <v>148</v>
      </c>
      <c r="K31" s="7">
        <f>+OCTUBRE!AG31</f>
        <v>99</v>
      </c>
      <c r="L31" s="7">
        <f>+NOVIEMBRE!AG31</f>
        <v>88</v>
      </c>
      <c r="M31" s="7">
        <f>+DICIEMBRE!AG31</f>
        <v>93</v>
      </c>
      <c r="N31" s="4">
        <f t="shared" si="0"/>
        <v>1274</v>
      </c>
    </row>
    <row r="32" spans="1:15" ht="18.75" x14ac:dyDescent="0.25">
      <c r="A32" s="41" t="s">
        <v>38</v>
      </c>
      <c r="B32" s="7">
        <f>+ENERO!AG32</f>
        <v>210</v>
      </c>
      <c r="C32" s="7">
        <f>+FEBRERO!AG32</f>
        <v>215</v>
      </c>
      <c r="D32" s="7">
        <f>+MARZO!AG32</f>
        <v>211</v>
      </c>
      <c r="E32" s="7">
        <f>+ABRIL!AG32</f>
        <v>167</v>
      </c>
      <c r="F32" s="7">
        <f>+MAYO!AG32</f>
        <v>147</v>
      </c>
      <c r="G32" s="7">
        <f>+JUNIO!AG32</f>
        <v>155</v>
      </c>
      <c r="H32" s="7">
        <f>+JULIO!AG32</f>
        <v>114</v>
      </c>
      <c r="I32" s="7">
        <f>+AGOSTO!AG32</f>
        <v>164</v>
      </c>
      <c r="J32" s="7">
        <f>+SEPTIEMBRE!AG32</f>
        <v>207</v>
      </c>
      <c r="K32" s="7">
        <f>+OCTUBRE!AG32</f>
        <v>117</v>
      </c>
      <c r="L32" s="7">
        <f>+NOVIEMBRE!AG32</f>
        <v>109</v>
      </c>
      <c r="M32" s="7">
        <f>+DICIEMBRE!AG32</f>
        <v>105</v>
      </c>
      <c r="N32" s="4">
        <f t="shared" si="0"/>
        <v>1921</v>
      </c>
    </row>
    <row r="33" spans="1:14" ht="18.75" x14ac:dyDescent="0.25">
      <c r="A33" s="41" t="s">
        <v>39</v>
      </c>
      <c r="B33" s="7">
        <f>+ENERO!AG33</f>
        <v>231</v>
      </c>
      <c r="C33" s="7">
        <f>+FEBRERO!AG33</f>
        <v>213</v>
      </c>
      <c r="D33" s="7">
        <f>+MARZO!AG33</f>
        <v>266</v>
      </c>
      <c r="E33" s="7">
        <f>+ABRIL!AG33</f>
        <v>136</v>
      </c>
      <c r="F33" s="7">
        <f>+MAYO!AG33</f>
        <v>155</v>
      </c>
      <c r="G33" s="7">
        <f>+JUNIO!AG33</f>
        <v>119</v>
      </c>
      <c r="H33" s="7">
        <f>+JULIO!AG33</f>
        <v>117</v>
      </c>
      <c r="I33" s="7">
        <f>+AGOSTO!AG33</f>
        <v>142</v>
      </c>
      <c r="J33" s="7">
        <f>+SEPTIEMBRE!AG33</f>
        <v>181</v>
      </c>
      <c r="K33" s="7">
        <f>+OCTUBRE!AG33</f>
        <v>116</v>
      </c>
      <c r="L33" s="7">
        <f>+NOVIEMBRE!AG33</f>
        <v>88</v>
      </c>
      <c r="M33" s="7">
        <f>+DICIEMBRE!AG33</f>
        <v>103</v>
      </c>
      <c r="N33" s="4">
        <f t="shared" si="0"/>
        <v>1867</v>
      </c>
    </row>
    <row r="34" spans="1:14" ht="18.75" x14ac:dyDescent="0.25">
      <c r="A34" s="41" t="s">
        <v>40</v>
      </c>
      <c r="B34" s="7">
        <f>+ENERO!AG34</f>
        <v>185</v>
      </c>
      <c r="C34" s="7">
        <f>+FEBRERO!AG34</f>
        <v>143</v>
      </c>
      <c r="D34" s="7">
        <f>+MARZO!AG34</f>
        <v>144</v>
      </c>
      <c r="E34" s="7">
        <f>+ABRIL!AG34</f>
        <v>110</v>
      </c>
      <c r="F34" s="7">
        <f>+MAYO!AG34</f>
        <v>114</v>
      </c>
      <c r="G34" s="7">
        <f>+JUNIO!AG34</f>
        <v>112</v>
      </c>
      <c r="H34" s="7">
        <f>+JULIO!AG34</f>
        <v>106</v>
      </c>
      <c r="I34" s="7">
        <f>+AGOSTO!AG34</f>
        <v>137</v>
      </c>
      <c r="J34" s="7">
        <f>+SEPTIEMBRE!AG34</f>
        <v>151</v>
      </c>
      <c r="K34" s="7">
        <f>+OCTUBRE!AG34</f>
        <v>116</v>
      </c>
      <c r="L34" s="7">
        <f>+NOVIEMBRE!AG34</f>
        <v>94</v>
      </c>
      <c r="M34" s="7">
        <f>+DICIEMBRE!AG34</f>
        <v>104</v>
      </c>
      <c r="N34" s="4">
        <f t="shared" si="0"/>
        <v>1516</v>
      </c>
    </row>
    <row r="35" spans="1:14" ht="18.75" x14ac:dyDescent="0.25">
      <c r="A35" s="41" t="s">
        <v>41</v>
      </c>
      <c r="B35" s="7">
        <f>+ENERO!AG35</f>
        <v>205</v>
      </c>
      <c r="C35" s="7">
        <f>+FEBRERO!AG35</f>
        <v>164</v>
      </c>
      <c r="D35" s="7">
        <f>+MARZO!AG35</f>
        <v>216</v>
      </c>
      <c r="E35" s="7">
        <f>+ABRIL!AG35</f>
        <v>144</v>
      </c>
      <c r="F35" s="7">
        <f>+MAYO!AG35</f>
        <v>147</v>
      </c>
      <c r="G35" s="7">
        <f>+JUNIO!AG35</f>
        <v>119</v>
      </c>
      <c r="H35" s="7">
        <f>+JULIO!AG35</f>
        <v>111</v>
      </c>
      <c r="I35" s="7">
        <f>+AGOSTO!AG35</f>
        <v>138</v>
      </c>
      <c r="J35" s="7">
        <f>+SEPTIEMBRE!AG35</f>
        <v>167</v>
      </c>
      <c r="K35" s="7">
        <f>+OCTUBRE!AG35</f>
        <v>107</v>
      </c>
      <c r="L35" s="7">
        <f>+NOVIEMBRE!AG35</f>
        <v>119</v>
      </c>
      <c r="M35" s="7">
        <f>+DICIEMBRE!AG35</f>
        <v>124</v>
      </c>
      <c r="N35" s="4">
        <f t="shared" ref="N35:N66" si="1">SUM(B35:M35)</f>
        <v>1761</v>
      </c>
    </row>
    <row r="36" spans="1:14" ht="18.75" x14ac:dyDescent="0.25">
      <c r="A36" s="41" t="s">
        <v>42</v>
      </c>
      <c r="B36" s="7">
        <f>+ENERO!AG36</f>
        <v>229</v>
      </c>
      <c r="C36" s="7">
        <f>+FEBRERO!AG36</f>
        <v>178</v>
      </c>
      <c r="D36" s="7">
        <f>+MARZO!AG36</f>
        <v>257</v>
      </c>
      <c r="E36" s="7">
        <f>+ABRIL!AG36</f>
        <v>165</v>
      </c>
      <c r="F36" s="7">
        <f>+MAYO!AG36</f>
        <v>164</v>
      </c>
      <c r="G36" s="7">
        <f>+JUNIO!AG36</f>
        <v>147</v>
      </c>
      <c r="H36" s="7">
        <f>+JULIO!AG36</f>
        <v>148</v>
      </c>
      <c r="I36" s="7">
        <f>+AGOSTO!AG36</f>
        <v>142</v>
      </c>
      <c r="J36" s="7">
        <f>+SEPTIEMBRE!AG36</f>
        <v>189</v>
      </c>
      <c r="K36" s="7">
        <f>+OCTUBRE!AG36</f>
        <v>121</v>
      </c>
      <c r="L36" s="7">
        <f>+NOVIEMBRE!AG36</f>
        <v>126</v>
      </c>
      <c r="M36" s="7">
        <f>+DICIEMBRE!AG36</f>
        <v>129</v>
      </c>
      <c r="N36" s="4">
        <f t="shared" si="1"/>
        <v>1995</v>
      </c>
    </row>
    <row r="37" spans="1:14" ht="18.75" x14ac:dyDescent="0.25">
      <c r="A37" s="41" t="s">
        <v>43</v>
      </c>
      <c r="B37" s="7">
        <f>+ENERO!AG37</f>
        <v>233</v>
      </c>
      <c r="C37" s="7">
        <f>+FEBRERO!AG37</f>
        <v>215</v>
      </c>
      <c r="D37" s="7">
        <f>+MARZO!AG37</f>
        <v>211</v>
      </c>
      <c r="E37" s="7">
        <f>+ABRIL!AG37</f>
        <v>150</v>
      </c>
      <c r="F37" s="7">
        <f>+MAYO!AG37</f>
        <v>179</v>
      </c>
      <c r="G37" s="7">
        <f>+JUNIO!AG37</f>
        <v>157</v>
      </c>
      <c r="H37" s="7">
        <f>+JULIO!AG37</f>
        <v>161</v>
      </c>
      <c r="I37" s="7">
        <f>+AGOSTO!AG37</f>
        <v>176</v>
      </c>
      <c r="J37" s="7">
        <f>+SEPTIEMBRE!AG37</f>
        <v>196</v>
      </c>
      <c r="K37" s="7">
        <f>+OCTUBRE!AG37</f>
        <v>127</v>
      </c>
      <c r="L37" s="7">
        <f>+NOVIEMBRE!AG37</f>
        <v>137</v>
      </c>
      <c r="M37" s="7">
        <f>+DICIEMBRE!AG37</f>
        <v>140</v>
      </c>
      <c r="N37" s="4">
        <f t="shared" si="1"/>
        <v>2082</v>
      </c>
    </row>
    <row r="38" spans="1:14" ht="18.75" x14ac:dyDescent="0.25">
      <c r="A38" s="41" t="s">
        <v>44</v>
      </c>
      <c r="B38" s="7">
        <f>+ENERO!AG38</f>
        <v>454</v>
      </c>
      <c r="C38" s="7">
        <f>+FEBRERO!AG38</f>
        <v>445</v>
      </c>
      <c r="D38" s="7">
        <f>+MARZO!AG38</f>
        <v>374</v>
      </c>
      <c r="E38" s="7">
        <f>+ABRIL!AG38</f>
        <v>330</v>
      </c>
      <c r="F38" s="7">
        <f>+MAYO!AG38</f>
        <v>357</v>
      </c>
      <c r="G38" s="7">
        <f>+JUNIO!AG38</f>
        <v>329</v>
      </c>
      <c r="H38" s="7">
        <f>+JULIO!AG38</f>
        <v>365</v>
      </c>
      <c r="I38" s="7">
        <f>+AGOSTO!AG38</f>
        <v>396</v>
      </c>
      <c r="J38" s="7">
        <f>+SEPTIEMBRE!AG38</f>
        <v>360</v>
      </c>
      <c r="K38" s="7">
        <f>+OCTUBRE!AG38</f>
        <v>286</v>
      </c>
      <c r="L38" s="7">
        <f>+NOVIEMBRE!AG38</f>
        <v>288</v>
      </c>
      <c r="M38" s="7">
        <f>+DICIEMBRE!AG38</f>
        <v>300</v>
      </c>
      <c r="N38" s="4">
        <f t="shared" si="1"/>
        <v>4284</v>
      </c>
    </row>
    <row r="39" spans="1:14" ht="18.75" x14ac:dyDescent="0.25">
      <c r="A39" s="41" t="s">
        <v>45</v>
      </c>
      <c r="B39" s="7">
        <f>+ENERO!AG39</f>
        <v>577</v>
      </c>
      <c r="C39" s="7">
        <f>+FEBRERO!AG39</f>
        <v>507</v>
      </c>
      <c r="D39" s="7">
        <f>+MARZO!AG39</f>
        <v>556</v>
      </c>
      <c r="E39" s="7">
        <f>+ABRIL!AG39</f>
        <v>569</v>
      </c>
      <c r="F39" s="7">
        <f>+MAYO!AG39</f>
        <v>646</v>
      </c>
      <c r="G39" s="7">
        <f>+JUNIO!AG39</f>
        <v>650</v>
      </c>
      <c r="H39" s="7">
        <f>+JULIO!AG39</f>
        <v>700</v>
      </c>
      <c r="I39" s="7">
        <f>+AGOSTO!AG39</f>
        <v>705</v>
      </c>
      <c r="J39" s="7">
        <f>+SEPTIEMBRE!AG39</f>
        <v>644</v>
      </c>
      <c r="K39" s="7">
        <f>+OCTUBRE!AG39</f>
        <v>625</v>
      </c>
      <c r="L39" s="7">
        <f>+NOVIEMBRE!AG39</f>
        <v>541</v>
      </c>
      <c r="M39" s="7">
        <f>+DICIEMBRE!AG39</f>
        <v>485</v>
      </c>
      <c r="N39" s="4">
        <f t="shared" si="1"/>
        <v>7205</v>
      </c>
    </row>
    <row r="40" spans="1:14" ht="18.75" x14ac:dyDescent="0.25">
      <c r="A40" s="41" t="s">
        <v>46</v>
      </c>
      <c r="B40" s="7">
        <f>+ENERO!AG40</f>
        <v>572</v>
      </c>
      <c r="C40" s="7">
        <f>+FEBRERO!AG40</f>
        <v>522</v>
      </c>
      <c r="D40" s="7">
        <f>+MARZO!AG40</f>
        <v>592</v>
      </c>
      <c r="E40" s="7">
        <f>+ABRIL!AG40</f>
        <v>648</v>
      </c>
      <c r="F40" s="7">
        <f>+MAYO!AG40</f>
        <v>652</v>
      </c>
      <c r="G40" s="7">
        <f>+JUNIO!AG40</f>
        <v>699</v>
      </c>
      <c r="H40" s="7">
        <f>+JULIO!AG40</f>
        <v>783</v>
      </c>
      <c r="I40" s="7">
        <f>+AGOSTO!AG40</f>
        <v>809</v>
      </c>
      <c r="J40" s="7">
        <f>+SEPTIEMBRE!AG40</f>
        <v>701</v>
      </c>
      <c r="K40" s="7">
        <f>+OCTUBRE!AG40</f>
        <v>737</v>
      </c>
      <c r="L40" s="7">
        <f>+NOVIEMBRE!AG40</f>
        <v>599</v>
      </c>
      <c r="M40" s="7">
        <f>+DICIEMBRE!AG40</f>
        <v>527</v>
      </c>
      <c r="N40" s="4">
        <f t="shared" si="1"/>
        <v>7841</v>
      </c>
    </row>
    <row r="41" spans="1:14" ht="18.75" x14ac:dyDescent="0.25">
      <c r="A41" s="41" t="s">
        <v>47</v>
      </c>
      <c r="B41" s="7">
        <f>+ENERO!AG41</f>
        <v>579</v>
      </c>
      <c r="C41" s="7">
        <f>+FEBRERO!AG41</f>
        <v>523</v>
      </c>
      <c r="D41" s="7">
        <f>+MARZO!AG41</f>
        <v>581</v>
      </c>
      <c r="E41" s="7">
        <f>+ABRIL!AG41</f>
        <v>610</v>
      </c>
      <c r="F41" s="7">
        <f>+MAYO!AG41</f>
        <v>656</v>
      </c>
      <c r="G41" s="7">
        <f>+JUNIO!AG41</f>
        <v>692</v>
      </c>
      <c r="H41" s="7">
        <f>+JULIO!AG41</f>
        <v>759</v>
      </c>
      <c r="I41" s="7">
        <f>+AGOSTO!AG41</f>
        <v>760</v>
      </c>
      <c r="J41" s="7">
        <f>+SEPTIEMBRE!AG41</f>
        <v>708</v>
      </c>
      <c r="K41" s="7">
        <f>+OCTUBRE!AG41</f>
        <v>687</v>
      </c>
      <c r="L41" s="7">
        <f>+NOVIEMBRE!AG41</f>
        <v>545</v>
      </c>
      <c r="M41" s="7">
        <f>+DICIEMBRE!AG41</f>
        <v>501</v>
      </c>
      <c r="N41" s="4">
        <f t="shared" si="1"/>
        <v>7601</v>
      </c>
    </row>
    <row r="42" spans="1:14" ht="18.75" x14ac:dyDescent="0.25">
      <c r="A42" s="41" t="s">
        <v>48</v>
      </c>
      <c r="B42" s="7">
        <f>+ENERO!AG42</f>
        <v>564</v>
      </c>
      <c r="C42" s="7">
        <f>+FEBRERO!AG42</f>
        <v>500</v>
      </c>
      <c r="D42" s="7">
        <f>+MARZO!AG42</f>
        <v>590</v>
      </c>
      <c r="E42" s="7">
        <f>+ABRIL!AG42</f>
        <v>528</v>
      </c>
      <c r="F42" s="7">
        <f>+MAYO!AG42</f>
        <v>589</v>
      </c>
      <c r="G42" s="7">
        <f>+JUNIO!AG42</f>
        <v>597</v>
      </c>
      <c r="H42" s="7">
        <f>+JULIO!AG42</f>
        <v>516</v>
      </c>
      <c r="I42" s="7">
        <f>+AGOSTO!AG42</f>
        <v>638</v>
      </c>
      <c r="J42" s="7">
        <f>+SEPTIEMBRE!AG42</f>
        <v>665</v>
      </c>
      <c r="K42" s="7">
        <f>+OCTUBRE!AG42</f>
        <v>570</v>
      </c>
      <c r="L42" s="7">
        <f>+NOVIEMBRE!AG42</f>
        <v>494</v>
      </c>
      <c r="M42" s="7">
        <f>+DICIEMBRE!AG42</f>
        <v>475</v>
      </c>
      <c r="N42" s="4">
        <f t="shared" si="1"/>
        <v>6726</v>
      </c>
    </row>
    <row r="43" spans="1:14" ht="18.75" x14ac:dyDescent="0.25">
      <c r="A43" s="41" t="s">
        <v>49</v>
      </c>
      <c r="B43" s="7">
        <f>+ENERO!AG43</f>
        <v>421</v>
      </c>
      <c r="C43" s="7">
        <f>+FEBRERO!AG43</f>
        <v>411</v>
      </c>
      <c r="D43" s="7">
        <f>+MARZO!AG43</f>
        <v>427</v>
      </c>
      <c r="E43" s="7">
        <f>+ABRIL!AG43</f>
        <v>448</v>
      </c>
      <c r="F43" s="7">
        <f>+MAYO!AG43</f>
        <v>405</v>
      </c>
      <c r="G43" s="7">
        <f>+JUNIO!AG43</f>
        <v>495</v>
      </c>
      <c r="H43" s="7">
        <f>+JULIO!AG43</f>
        <v>361</v>
      </c>
      <c r="I43" s="7">
        <f>+AGOSTO!AG43</f>
        <v>420</v>
      </c>
      <c r="J43" s="7">
        <f>+SEPTIEMBRE!AG43</f>
        <v>495</v>
      </c>
      <c r="K43" s="7">
        <f>+OCTUBRE!AG43</f>
        <v>474</v>
      </c>
      <c r="L43" s="7">
        <f>+NOVIEMBRE!AG43</f>
        <v>395</v>
      </c>
      <c r="M43" s="7">
        <f>+DICIEMBRE!AG43</f>
        <v>436</v>
      </c>
      <c r="N43" s="4">
        <f t="shared" si="1"/>
        <v>5188</v>
      </c>
    </row>
    <row r="44" spans="1:14" ht="18.75" x14ac:dyDescent="0.25">
      <c r="A44" s="41" t="s">
        <v>50</v>
      </c>
      <c r="B44" s="7">
        <f>+ENERO!AG44</f>
        <v>375</v>
      </c>
      <c r="C44" s="7">
        <f>+FEBRERO!AG44</f>
        <v>351</v>
      </c>
      <c r="D44" s="7">
        <f>+MARZO!AG44</f>
        <v>348</v>
      </c>
      <c r="E44" s="7">
        <f>+ABRIL!AG44</f>
        <v>332</v>
      </c>
      <c r="F44" s="7">
        <f>+MAYO!AG44</f>
        <v>341</v>
      </c>
      <c r="G44" s="7">
        <f>+JUNIO!AG44</f>
        <v>380</v>
      </c>
      <c r="H44" s="7">
        <f>+JULIO!AG44</f>
        <v>261</v>
      </c>
      <c r="I44" s="7">
        <f>+AGOSTO!AG44</f>
        <v>318</v>
      </c>
      <c r="J44" s="7">
        <f>+SEPTIEMBRE!AG44</f>
        <v>396</v>
      </c>
      <c r="K44" s="7">
        <f>+OCTUBRE!AG44</f>
        <v>301</v>
      </c>
      <c r="L44" s="7">
        <f>+NOVIEMBRE!AG44</f>
        <v>323</v>
      </c>
      <c r="M44" s="7">
        <f>+DICIEMBRE!AG44</f>
        <v>357</v>
      </c>
      <c r="N44" s="4">
        <f t="shared" si="1"/>
        <v>4083</v>
      </c>
    </row>
    <row r="45" spans="1:14" ht="18.75" x14ac:dyDescent="0.25">
      <c r="A45" s="41" t="s">
        <v>33</v>
      </c>
      <c r="B45" s="7">
        <f>+ENERO!AG45</f>
        <v>257</v>
      </c>
      <c r="C45" s="7">
        <f>+FEBRERO!AG45</f>
        <v>203</v>
      </c>
      <c r="D45" s="7">
        <f>+MARZO!AG45</f>
        <v>262</v>
      </c>
      <c r="E45" s="7">
        <f>+ABRIL!AG45</f>
        <v>213</v>
      </c>
      <c r="F45" s="7">
        <f>+MAYO!AG45</f>
        <v>243</v>
      </c>
      <c r="G45" s="7">
        <f>+JUNIO!AG45</f>
        <v>234</v>
      </c>
      <c r="H45" s="7">
        <f>+JULIO!AG45</f>
        <v>145</v>
      </c>
      <c r="I45" s="7">
        <f>+AGOSTO!AG45</f>
        <v>235</v>
      </c>
      <c r="J45" s="7">
        <f>+SEPTIEMBRE!AG45</f>
        <v>249</v>
      </c>
      <c r="K45" s="7">
        <f>+OCTUBRE!AG45</f>
        <v>259</v>
      </c>
      <c r="L45" s="7">
        <f>+NOVIEMBRE!AG45</f>
        <v>250</v>
      </c>
      <c r="M45" s="7">
        <f>+DICIEMBRE!AG45</f>
        <v>255</v>
      </c>
      <c r="N45" s="4">
        <f t="shared" si="1"/>
        <v>2805</v>
      </c>
    </row>
    <row r="46" spans="1:14" ht="18.75" x14ac:dyDescent="0.25">
      <c r="A46" s="41" t="s">
        <v>34</v>
      </c>
      <c r="B46" s="7">
        <f>+ENERO!AG46</f>
        <v>231</v>
      </c>
      <c r="C46" s="7">
        <f>+FEBRERO!AG46</f>
        <v>178</v>
      </c>
      <c r="D46" s="7">
        <f>+MARZO!AG46</f>
        <v>176</v>
      </c>
      <c r="E46" s="7">
        <f>+ABRIL!AG46</f>
        <v>140</v>
      </c>
      <c r="F46" s="7">
        <f>+MAYO!AG46</f>
        <v>183</v>
      </c>
      <c r="G46" s="7">
        <f>+JUNIO!AG46</f>
        <v>183</v>
      </c>
      <c r="H46" s="7">
        <f>+JULIO!AG46</f>
        <v>118</v>
      </c>
      <c r="I46" s="7">
        <f>+AGOSTO!AG46</f>
        <v>166</v>
      </c>
      <c r="J46" s="7">
        <f>+SEPTIEMBRE!AG46</f>
        <v>170</v>
      </c>
      <c r="K46" s="7">
        <f>+OCTUBRE!AG46</f>
        <v>173</v>
      </c>
      <c r="L46" s="7">
        <f>+NOVIEMBRE!AG46</f>
        <v>169</v>
      </c>
      <c r="M46" s="7">
        <f>+DICIEMBRE!AG46</f>
        <v>212</v>
      </c>
      <c r="N46" s="4">
        <f t="shared" si="1"/>
        <v>2099</v>
      </c>
    </row>
    <row r="47" spans="1:14" ht="18.75" x14ac:dyDescent="0.25">
      <c r="A47" s="41" t="s">
        <v>35</v>
      </c>
      <c r="B47" s="7">
        <f>+ENERO!AG47</f>
        <v>164</v>
      </c>
      <c r="C47" s="7">
        <f>+FEBRERO!AG47</f>
        <v>114</v>
      </c>
      <c r="D47" s="7">
        <f>+MARZO!AG47</f>
        <v>116</v>
      </c>
      <c r="E47" s="7">
        <f>+ABRIL!AG47</f>
        <v>88</v>
      </c>
      <c r="F47" s="7">
        <f>+MAYO!AG47</f>
        <v>108</v>
      </c>
      <c r="G47" s="7">
        <f>+JUNIO!AG47</f>
        <v>121</v>
      </c>
      <c r="H47" s="7">
        <f>+JULIO!AG47</f>
        <v>88</v>
      </c>
      <c r="I47" s="7">
        <f>+AGOSTO!AG47</f>
        <v>121</v>
      </c>
      <c r="J47" s="7">
        <f>+SEPTIEMBRE!AG47</f>
        <v>171</v>
      </c>
      <c r="K47" s="7">
        <f>+OCTUBRE!AG47</f>
        <v>134</v>
      </c>
      <c r="L47" s="7">
        <f>+NOVIEMBRE!AG47</f>
        <v>132</v>
      </c>
      <c r="M47" s="7">
        <f>+DICIEMBRE!AG47</f>
        <v>141</v>
      </c>
      <c r="N47" s="4">
        <f t="shared" si="1"/>
        <v>1498</v>
      </c>
    </row>
    <row r="48" spans="1:14" ht="18.75" x14ac:dyDescent="0.25">
      <c r="A48" s="41" t="s">
        <v>36</v>
      </c>
      <c r="B48" s="7">
        <f>+ENERO!AG48</f>
        <v>109</v>
      </c>
      <c r="C48" s="7">
        <f>+FEBRERO!AG48</f>
        <v>67</v>
      </c>
      <c r="D48" s="7">
        <f>+MARZO!AG48</f>
        <v>65</v>
      </c>
      <c r="E48" s="7">
        <f>+ABRIL!AG48</f>
        <v>57</v>
      </c>
      <c r="F48" s="7">
        <f>+MAYO!AG48</f>
        <v>59</v>
      </c>
      <c r="G48" s="7">
        <f>+JUNIO!AG48</f>
        <v>73</v>
      </c>
      <c r="H48" s="7">
        <f>+JULIO!AG48</f>
        <v>48</v>
      </c>
      <c r="I48" s="7">
        <f>+AGOSTO!AG48</f>
        <v>53</v>
      </c>
      <c r="J48" s="7">
        <f>+SEPTIEMBRE!AG48</f>
        <v>117</v>
      </c>
      <c r="K48" s="7">
        <f>+OCTUBRE!AG48</f>
        <v>93</v>
      </c>
      <c r="L48" s="7">
        <f>+NOVIEMBRE!AG48</f>
        <v>100</v>
      </c>
      <c r="M48" s="7">
        <f>+DICIEMBRE!AG48</f>
        <v>84</v>
      </c>
      <c r="N48" s="4">
        <f t="shared" si="1"/>
        <v>925</v>
      </c>
    </row>
    <row r="49" spans="1:14" ht="18.75" x14ac:dyDescent="0.25">
      <c r="A49" s="41" t="s">
        <v>51</v>
      </c>
      <c r="B49" s="7">
        <f>+ENERO!AG49</f>
        <v>45</v>
      </c>
      <c r="C49" s="7">
        <f>+FEBRERO!AG49</f>
        <v>50</v>
      </c>
      <c r="D49" s="7">
        <f>+MARZO!AG49</f>
        <v>54</v>
      </c>
      <c r="E49" s="7">
        <f>+ABRIL!AG49</f>
        <v>34</v>
      </c>
      <c r="F49" s="7">
        <f>+MAYO!AG49</f>
        <v>35</v>
      </c>
      <c r="G49" s="7">
        <f>+JUNIO!AG49</f>
        <v>33</v>
      </c>
      <c r="H49" s="7">
        <f>+JULIO!AG49</f>
        <v>38</v>
      </c>
      <c r="I49" s="7">
        <f>+AGOSTO!AG49</f>
        <v>36</v>
      </c>
      <c r="J49" s="7">
        <f>+SEPTIEMBRE!AG49</f>
        <v>50</v>
      </c>
      <c r="K49" s="7">
        <f>+OCTUBRE!AG49</f>
        <v>36</v>
      </c>
      <c r="L49" s="7">
        <f>+NOVIEMBRE!AG49</f>
        <v>38</v>
      </c>
      <c r="M49" s="7">
        <f>+DICIEMBRE!AG49</f>
        <v>49</v>
      </c>
      <c r="N49" s="4">
        <f t="shared" si="1"/>
        <v>498</v>
      </c>
    </row>
    <row r="50" spans="1:14" ht="18.75" x14ac:dyDescent="0.25">
      <c r="A50" s="41" t="s">
        <v>52</v>
      </c>
      <c r="B50" s="7">
        <f>+ENERO!AG50</f>
        <v>34</v>
      </c>
      <c r="C50" s="7">
        <f>+FEBRERO!AG50</f>
        <v>48</v>
      </c>
      <c r="D50" s="7">
        <f>+MARZO!AG50</f>
        <v>52</v>
      </c>
      <c r="E50" s="7">
        <f>+ABRIL!AG50</f>
        <v>26</v>
      </c>
      <c r="F50" s="7">
        <f>+MAYO!AG50</f>
        <v>30</v>
      </c>
      <c r="G50" s="7">
        <f>+JUNIO!AG50</f>
        <v>37</v>
      </c>
      <c r="H50" s="7">
        <f>+JULIO!AG50</f>
        <v>29</v>
      </c>
      <c r="I50" s="7">
        <f>+AGOSTO!AG50</f>
        <v>19</v>
      </c>
      <c r="J50" s="7">
        <f>+SEPTIEMBRE!AG50</f>
        <v>30</v>
      </c>
      <c r="K50" s="7">
        <f>+OCTUBRE!AG50</f>
        <v>24</v>
      </c>
      <c r="L50" s="7">
        <f>+NOVIEMBRE!AG50</f>
        <v>28</v>
      </c>
      <c r="M50" s="7">
        <f>+DICIEMBRE!AG50</f>
        <v>30</v>
      </c>
      <c r="N50" s="4">
        <f t="shared" si="1"/>
        <v>387</v>
      </c>
    </row>
    <row r="51" spans="1:14" ht="18.75" x14ac:dyDescent="0.25">
      <c r="A51" s="41" t="s">
        <v>37</v>
      </c>
      <c r="B51" s="7">
        <f>+ENERO!AG51</f>
        <v>40</v>
      </c>
      <c r="C51" s="7">
        <f>+FEBRERO!AG51</f>
        <v>26</v>
      </c>
      <c r="D51" s="7">
        <f>+MARZO!AG51</f>
        <v>32</v>
      </c>
      <c r="E51" s="7">
        <f>+ABRIL!AG51</f>
        <v>23</v>
      </c>
      <c r="F51" s="7">
        <f>+MAYO!AG51</f>
        <v>35</v>
      </c>
      <c r="G51" s="7">
        <f>+JUNIO!AG51</f>
        <v>15</v>
      </c>
      <c r="H51" s="7">
        <f>+JULIO!AG51</f>
        <v>26</v>
      </c>
      <c r="I51" s="7">
        <f>+AGOSTO!AG51</f>
        <v>18</v>
      </c>
      <c r="J51" s="7">
        <f>+SEPTIEMBRE!AG51</f>
        <v>29</v>
      </c>
      <c r="K51" s="7">
        <f>+OCTUBRE!AG51</f>
        <v>17</v>
      </c>
      <c r="L51" s="7">
        <f>+NOVIEMBRE!AG51</f>
        <v>31</v>
      </c>
      <c r="M51" s="7">
        <f>+DICIEMBRE!AG51</f>
        <v>24</v>
      </c>
      <c r="N51" s="4">
        <f t="shared" si="1"/>
        <v>316</v>
      </c>
    </row>
    <row r="52" spans="1:14" ht="19.5" thickBot="1" x14ac:dyDescent="0.3">
      <c r="A52" s="77" t="s">
        <v>53</v>
      </c>
      <c r="B52" s="9">
        <f>+ENERO!AG52</f>
        <v>39</v>
      </c>
      <c r="C52" s="9">
        <f>+FEBRERO!AG52</f>
        <v>42</v>
      </c>
      <c r="D52" s="9">
        <f>+MARZO!AG52</f>
        <v>29</v>
      </c>
      <c r="E52" s="9">
        <f>+ABRIL!AG52</f>
        <v>24</v>
      </c>
      <c r="F52" s="9">
        <f>+MAYO!AG52</f>
        <v>43</v>
      </c>
      <c r="G52" s="9">
        <f>+JUNIO!AG52</f>
        <v>32</v>
      </c>
      <c r="H52" s="9">
        <f>+JULIO!AG52</f>
        <v>28</v>
      </c>
      <c r="I52" s="9">
        <f>+AGOSTO!AG52</f>
        <v>34</v>
      </c>
      <c r="J52" s="9">
        <f>+SEPTIEMBRE!AG52</f>
        <v>11</v>
      </c>
      <c r="K52" s="9">
        <f>+OCTUBRE!AG52</f>
        <v>28</v>
      </c>
      <c r="L52" s="9">
        <f>+NOVIEMBRE!AG52</f>
        <v>21</v>
      </c>
      <c r="M52" s="9">
        <f>+DICIEMBRE!AG52</f>
        <v>14</v>
      </c>
      <c r="N52" s="108">
        <f t="shared" si="1"/>
        <v>345</v>
      </c>
    </row>
    <row r="53" spans="1:14" ht="19.5" thickBot="1" x14ac:dyDescent="0.3">
      <c r="A53" s="136" t="s">
        <v>108</v>
      </c>
      <c r="B53" s="135">
        <f>+ENERO!AG53</f>
        <v>559</v>
      </c>
      <c r="C53" s="135">
        <f>+FEBRERO!AG53</f>
        <v>369</v>
      </c>
      <c r="D53" s="135">
        <f>+MARZO!AG53</f>
        <v>714</v>
      </c>
      <c r="E53" s="135">
        <f>+ABRIL!AG53</f>
        <v>548</v>
      </c>
      <c r="F53" s="135">
        <f>+MAYO!AG53</f>
        <v>694</v>
      </c>
      <c r="G53" s="135">
        <f>+JUNIO!AG53</f>
        <v>772</v>
      </c>
      <c r="H53" s="135">
        <f>+JULIO!AG53</f>
        <v>267</v>
      </c>
      <c r="I53" s="135">
        <f>+AGOSTO!AG53</f>
        <v>495</v>
      </c>
      <c r="J53" s="135">
        <f>+SEPTIEMBRE!AG53</f>
        <v>596</v>
      </c>
      <c r="K53" s="135">
        <f>+OCTUBRE!AG53</f>
        <v>502</v>
      </c>
      <c r="L53" s="135">
        <f>+NOVIEMBRE!AG53</f>
        <v>450</v>
      </c>
      <c r="M53" s="135">
        <f>+DICIEMBRE!AG53</f>
        <v>411</v>
      </c>
      <c r="N53" s="116">
        <f t="shared" si="1"/>
        <v>6377</v>
      </c>
    </row>
    <row r="54" spans="1:14" ht="18.75" x14ac:dyDescent="0.25">
      <c r="A54" s="113" t="s">
        <v>54</v>
      </c>
      <c r="B54" s="114">
        <f>+ENERO!AG54</f>
        <v>1</v>
      </c>
      <c r="C54" s="114">
        <f>+FEBRERO!AG54</f>
        <v>1</v>
      </c>
      <c r="D54" s="7">
        <f>+MARZO!AG54</f>
        <v>1</v>
      </c>
      <c r="E54" s="7">
        <f>+ABRIL!AG54</f>
        <v>0</v>
      </c>
      <c r="F54" s="7">
        <f>+MAYO!AG54</f>
        <v>0</v>
      </c>
      <c r="G54" s="7">
        <f>+JUNIO!AG54</f>
        <v>2</v>
      </c>
      <c r="H54" s="7">
        <f>+JULIO!AG54</f>
        <v>0</v>
      </c>
      <c r="I54" s="7">
        <f>+AGOSTO!AG54</f>
        <v>0</v>
      </c>
      <c r="J54" s="7">
        <f>+SEPTIEMBRE!AG54</f>
        <v>0</v>
      </c>
      <c r="K54" s="7">
        <f>+OCTUBRE!AG54</f>
        <v>0</v>
      </c>
      <c r="L54" s="7">
        <f>+NOVIEMBRE!AG54</f>
        <v>1</v>
      </c>
      <c r="M54" s="7">
        <f>+DICIEMBRE!AG54</f>
        <v>0</v>
      </c>
      <c r="N54" s="132">
        <f t="shared" si="1"/>
        <v>6</v>
      </c>
    </row>
    <row r="55" spans="1:14" ht="18.75" x14ac:dyDescent="0.25">
      <c r="A55" s="41" t="s">
        <v>55</v>
      </c>
      <c r="B55" s="7">
        <f>+ENERO!AG55</f>
        <v>0</v>
      </c>
      <c r="C55" s="7">
        <f>+FEBRERO!AG55</f>
        <v>1</v>
      </c>
      <c r="D55" s="7">
        <f>+MARZO!AG55</f>
        <v>1</v>
      </c>
      <c r="E55" s="7">
        <f>+ABRIL!AG55</f>
        <v>1</v>
      </c>
      <c r="F55" s="7">
        <f>+MAYO!AG55</f>
        <v>2</v>
      </c>
      <c r="G55" s="7">
        <f>+JUNIO!AG55</f>
        <v>2</v>
      </c>
      <c r="H55" s="7">
        <f>+JULIO!AG55</f>
        <v>1</v>
      </c>
      <c r="I55" s="7">
        <f>+AGOSTO!AG55</f>
        <v>0</v>
      </c>
      <c r="J55" s="7">
        <f>+SEPTIEMBRE!AG55</f>
        <v>1</v>
      </c>
      <c r="K55" s="7">
        <f>+OCTUBRE!AG55</f>
        <v>1</v>
      </c>
      <c r="L55" s="7">
        <f>+NOVIEMBRE!AG55</f>
        <v>1</v>
      </c>
      <c r="M55" s="7">
        <f>+DICIEMBRE!AG55</f>
        <v>2</v>
      </c>
      <c r="N55" s="4">
        <f t="shared" si="1"/>
        <v>13</v>
      </c>
    </row>
    <row r="56" spans="1:14" ht="18.75" x14ac:dyDescent="0.25">
      <c r="A56" s="41" t="s">
        <v>56</v>
      </c>
      <c r="B56" s="7">
        <f>+ENERO!AG56</f>
        <v>3</v>
      </c>
      <c r="C56" s="7">
        <f>+FEBRERO!AG56</f>
        <v>1</v>
      </c>
      <c r="D56" s="7">
        <f>+MARZO!AG56</f>
        <v>1</v>
      </c>
      <c r="E56" s="7">
        <f>+ABRIL!AG56</f>
        <v>5</v>
      </c>
      <c r="F56" s="7">
        <f>+MAYO!AG56</f>
        <v>3</v>
      </c>
      <c r="G56" s="7">
        <f>+JUNIO!AG56</f>
        <v>5</v>
      </c>
      <c r="H56" s="7">
        <f>+JULIO!AG56</f>
        <v>0</v>
      </c>
      <c r="I56" s="7">
        <f>+AGOSTO!AG56</f>
        <v>4</v>
      </c>
      <c r="J56" s="7">
        <f>+SEPTIEMBRE!AG56</f>
        <v>2</v>
      </c>
      <c r="K56" s="7">
        <f>+OCTUBRE!AG56</f>
        <v>0</v>
      </c>
      <c r="L56" s="7">
        <f>+NOVIEMBRE!AG56</f>
        <v>1</v>
      </c>
      <c r="M56" s="7">
        <f>+DICIEMBRE!AG56</f>
        <v>2</v>
      </c>
      <c r="N56" s="4">
        <f t="shared" si="1"/>
        <v>27</v>
      </c>
    </row>
    <row r="57" spans="1:14" ht="18.75" x14ac:dyDescent="0.25">
      <c r="A57" s="41" t="s">
        <v>38</v>
      </c>
      <c r="B57" s="7">
        <f>+ENERO!AG57</f>
        <v>5</v>
      </c>
      <c r="C57" s="7">
        <f>+FEBRERO!AG57</f>
        <v>7</v>
      </c>
      <c r="D57" s="7">
        <f>+MARZO!AG57</f>
        <v>3</v>
      </c>
      <c r="E57" s="7">
        <f>+ABRIL!AG57</f>
        <v>4</v>
      </c>
      <c r="F57" s="7">
        <f>+MAYO!AG57</f>
        <v>3</v>
      </c>
      <c r="G57" s="7">
        <f>+JUNIO!AG57</f>
        <v>3</v>
      </c>
      <c r="H57" s="7">
        <f>+JULIO!AG57</f>
        <v>0</v>
      </c>
      <c r="I57" s="7">
        <f>+AGOSTO!AG57</f>
        <v>2</v>
      </c>
      <c r="J57" s="7">
        <f>+SEPTIEMBRE!AG57</f>
        <v>5</v>
      </c>
      <c r="K57" s="7">
        <f>+OCTUBRE!AG57</f>
        <v>3</v>
      </c>
      <c r="L57" s="7">
        <f>+NOVIEMBRE!AG57</f>
        <v>4</v>
      </c>
      <c r="M57" s="7">
        <f>+DICIEMBRE!AG57</f>
        <v>3</v>
      </c>
      <c r="N57" s="4">
        <f t="shared" si="1"/>
        <v>42</v>
      </c>
    </row>
    <row r="58" spans="1:14" ht="18.75" x14ac:dyDescent="0.25">
      <c r="A58" s="41" t="s">
        <v>39</v>
      </c>
      <c r="B58" s="7">
        <f>+ENERO!AG58</f>
        <v>5</v>
      </c>
      <c r="C58" s="7">
        <f>+FEBRERO!AG58</f>
        <v>3</v>
      </c>
      <c r="D58" s="7">
        <f>+MARZO!AG58</f>
        <v>8</v>
      </c>
      <c r="E58" s="7">
        <f>+ABRIL!AG58</f>
        <v>3</v>
      </c>
      <c r="F58" s="7">
        <f>+MAYO!AG58</f>
        <v>7</v>
      </c>
      <c r="G58" s="7">
        <f>+JUNIO!AG58</f>
        <v>6</v>
      </c>
      <c r="H58" s="7">
        <f>+JULIO!AG58</f>
        <v>4</v>
      </c>
      <c r="I58" s="7">
        <f>+AGOSTO!AG58</f>
        <v>3</v>
      </c>
      <c r="J58" s="7">
        <f>+SEPTIEMBRE!AG58</f>
        <v>6</v>
      </c>
      <c r="K58" s="7">
        <f>+OCTUBRE!AG58</f>
        <v>2</v>
      </c>
      <c r="L58" s="7">
        <f>+NOVIEMBRE!AG58</f>
        <v>4</v>
      </c>
      <c r="M58" s="7">
        <f>+DICIEMBRE!AG58</f>
        <v>3</v>
      </c>
      <c r="N58" s="4">
        <f t="shared" si="1"/>
        <v>54</v>
      </c>
    </row>
    <row r="59" spans="1:14" ht="18.75" x14ac:dyDescent="0.25">
      <c r="A59" s="41" t="s">
        <v>40</v>
      </c>
      <c r="B59" s="7">
        <f>+ENERO!AG59</f>
        <v>15</v>
      </c>
      <c r="C59" s="7">
        <f>+FEBRERO!AG59</f>
        <v>9</v>
      </c>
      <c r="D59" s="7">
        <f>+MARZO!AG59</f>
        <v>11</v>
      </c>
      <c r="E59" s="7">
        <f>+ABRIL!AG59</f>
        <v>10</v>
      </c>
      <c r="F59" s="7">
        <f>+MAYO!AG59</f>
        <v>4</v>
      </c>
      <c r="G59" s="7">
        <f>+JUNIO!AG59</f>
        <v>21</v>
      </c>
      <c r="H59" s="7">
        <f>+JULIO!AG59</f>
        <v>4</v>
      </c>
      <c r="I59" s="7">
        <f>+AGOSTO!AG59</f>
        <v>8</v>
      </c>
      <c r="J59" s="7">
        <f>+SEPTIEMBRE!AG59</f>
        <v>5</v>
      </c>
      <c r="K59" s="7">
        <f>+OCTUBRE!AG59</f>
        <v>5</v>
      </c>
      <c r="L59" s="7">
        <f>+NOVIEMBRE!AG59</f>
        <v>7</v>
      </c>
      <c r="M59" s="7">
        <f>+DICIEMBRE!AG59</f>
        <v>3</v>
      </c>
      <c r="N59" s="4">
        <f t="shared" si="1"/>
        <v>102</v>
      </c>
    </row>
    <row r="60" spans="1:14" ht="18.75" x14ac:dyDescent="0.25">
      <c r="A60" s="41" t="s">
        <v>41</v>
      </c>
      <c r="B60" s="7">
        <f>+ENERO!AG60</f>
        <v>15</v>
      </c>
      <c r="C60" s="7">
        <f>+FEBRERO!AG60</f>
        <v>6</v>
      </c>
      <c r="D60" s="7">
        <f>+MARZO!AG60</f>
        <v>18</v>
      </c>
      <c r="E60" s="7">
        <f>+ABRIL!AG60</f>
        <v>12</v>
      </c>
      <c r="F60" s="7">
        <f>+MAYO!AG60</f>
        <v>16</v>
      </c>
      <c r="G60" s="7">
        <f>+JUNIO!AG60</f>
        <v>14</v>
      </c>
      <c r="H60" s="7">
        <f>+JULIO!AG60</f>
        <v>3</v>
      </c>
      <c r="I60" s="7">
        <f>+AGOSTO!AG60</f>
        <v>2</v>
      </c>
      <c r="J60" s="7">
        <f>+SEPTIEMBRE!AG60</f>
        <v>12</v>
      </c>
      <c r="K60" s="7">
        <f>+OCTUBRE!AG60</f>
        <v>8</v>
      </c>
      <c r="L60" s="7">
        <f>+NOVIEMBRE!AG60</f>
        <v>19</v>
      </c>
      <c r="M60" s="7">
        <f>+DICIEMBRE!AG60</f>
        <v>4</v>
      </c>
      <c r="N60" s="4">
        <f t="shared" si="1"/>
        <v>129</v>
      </c>
    </row>
    <row r="61" spans="1:14" ht="18.75" x14ac:dyDescent="0.25">
      <c r="A61" s="41" t="s">
        <v>42</v>
      </c>
      <c r="B61" s="7">
        <f>+ENERO!AG61</f>
        <v>19</v>
      </c>
      <c r="C61" s="7">
        <f>+FEBRERO!AG61</f>
        <v>4</v>
      </c>
      <c r="D61" s="7">
        <f>+MARZO!AG61</f>
        <v>23</v>
      </c>
      <c r="E61" s="7">
        <f>+ABRIL!AG61</f>
        <v>17</v>
      </c>
      <c r="F61" s="7">
        <f>+MAYO!AG61</f>
        <v>14</v>
      </c>
      <c r="G61" s="7">
        <f>+JUNIO!AG61</f>
        <v>42</v>
      </c>
      <c r="H61" s="7">
        <f>+JULIO!AG61</f>
        <v>10</v>
      </c>
      <c r="I61" s="7">
        <f>+AGOSTO!AG61</f>
        <v>5</v>
      </c>
      <c r="J61" s="7">
        <f>+SEPTIEMBRE!AG61</f>
        <v>14</v>
      </c>
      <c r="K61" s="7">
        <f>+OCTUBRE!AG61</f>
        <v>11</v>
      </c>
      <c r="L61" s="7">
        <f>+NOVIEMBRE!AG61</f>
        <v>8</v>
      </c>
      <c r="M61" s="7">
        <f>+DICIEMBRE!AG61</f>
        <v>16</v>
      </c>
      <c r="N61" s="4">
        <f t="shared" si="1"/>
        <v>183</v>
      </c>
    </row>
    <row r="62" spans="1:14" ht="18.75" x14ac:dyDescent="0.25">
      <c r="A62" s="41" t="s">
        <v>43</v>
      </c>
      <c r="B62" s="7">
        <f>+ENERO!AG62</f>
        <v>12</v>
      </c>
      <c r="C62" s="7">
        <f>+FEBRERO!AG62</f>
        <v>7</v>
      </c>
      <c r="D62" s="7">
        <f>+MARZO!AG62</f>
        <v>25</v>
      </c>
      <c r="E62" s="7">
        <f>+ABRIL!AG62</f>
        <v>14</v>
      </c>
      <c r="F62" s="7">
        <f>+MAYO!AG62</f>
        <v>11</v>
      </c>
      <c r="G62" s="7">
        <f>+JUNIO!AG62</f>
        <v>25</v>
      </c>
      <c r="H62" s="7">
        <f>+JULIO!AG62</f>
        <v>3</v>
      </c>
      <c r="I62" s="7">
        <f>+AGOSTO!AG62</f>
        <v>16</v>
      </c>
      <c r="J62" s="7">
        <f>+SEPTIEMBRE!AG62</f>
        <v>11</v>
      </c>
      <c r="K62" s="7">
        <f>+OCTUBRE!AG62</f>
        <v>6</v>
      </c>
      <c r="L62" s="7">
        <f>+NOVIEMBRE!AG62</f>
        <v>5</v>
      </c>
      <c r="M62" s="7">
        <f>+DICIEMBRE!AG62</f>
        <v>3</v>
      </c>
      <c r="N62" s="4">
        <f t="shared" si="1"/>
        <v>138</v>
      </c>
    </row>
    <row r="63" spans="1:14" ht="18.75" x14ac:dyDescent="0.25">
      <c r="A63" s="41" t="s">
        <v>44</v>
      </c>
      <c r="B63" s="7">
        <f>+ENERO!AG63</f>
        <v>15</v>
      </c>
      <c r="C63" s="7">
        <f>+FEBRERO!AG63</f>
        <v>34</v>
      </c>
      <c r="D63" s="7">
        <f>+MARZO!AG63</f>
        <v>40</v>
      </c>
      <c r="E63" s="7">
        <f>+ABRIL!AG63</f>
        <v>24</v>
      </c>
      <c r="F63" s="7">
        <f>+MAYO!AG63</f>
        <v>20</v>
      </c>
      <c r="G63" s="7">
        <f>+JUNIO!AG63</f>
        <v>56</v>
      </c>
      <c r="H63" s="7">
        <f>+JULIO!AG63</f>
        <v>4</v>
      </c>
      <c r="I63" s="7">
        <f>+AGOSTO!AG63</f>
        <v>17</v>
      </c>
      <c r="J63" s="7">
        <f>+SEPTIEMBRE!AG63</f>
        <v>21</v>
      </c>
      <c r="K63" s="7">
        <f>+OCTUBRE!AG63</f>
        <v>17</v>
      </c>
      <c r="L63" s="7">
        <f>+NOVIEMBRE!AG63</f>
        <v>11</v>
      </c>
      <c r="M63" s="7">
        <f>+DICIEMBRE!AG63</f>
        <v>6</v>
      </c>
      <c r="N63" s="4">
        <f t="shared" si="1"/>
        <v>265</v>
      </c>
    </row>
    <row r="64" spans="1:14" ht="18.75" x14ac:dyDescent="0.25">
      <c r="A64" s="41" t="s">
        <v>45</v>
      </c>
      <c r="B64" s="7">
        <f>+ENERO!AG64</f>
        <v>30</v>
      </c>
      <c r="C64" s="7">
        <f>+FEBRERO!AG64</f>
        <v>33</v>
      </c>
      <c r="D64" s="7">
        <f>+MARZO!AG64</f>
        <v>46</v>
      </c>
      <c r="E64" s="7">
        <f>+ABRIL!AG64</f>
        <v>69</v>
      </c>
      <c r="F64" s="7">
        <f>+MAYO!AG64</f>
        <v>55</v>
      </c>
      <c r="G64" s="7">
        <f>+JUNIO!AG64</f>
        <v>79</v>
      </c>
      <c r="H64" s="7">
        <f>+JULIO!AG64</f>
        <v>66</v>
      </c>
      <c r="I64" s="7">
        <f>+AGOSTO!AG64</f>
        <v>61</v>
      </c>
      <c r="J64" s="7">
        <f>+SEPTIEMBRE!AG64</f>
        <v>42</v>
      </c>
      <c r="K64" s="7">
        <f>+OCTUBRE!AG64</f>
        <v>54</v>
      </c>
      <c r="L64" s="7">
        <f>+NOVIEMBRE!AG64</f>
        <v>26</v>
      </c>
      <c r="M64" s="7">
        <f>+DICIEMBRE!AG64</f>
        <v>25</v>
      </c>
      <c r="N64" s="4">
        <f t="shared" si="1"/>
        <v>586</v>
      </c>
    </row>
    <row r="65" spans="1:14" ht="18.75" x14ac:dyDescent="0.25">
      <c r="A65" s="41" t="s">
        <v>46</v>
      </c>
      <c r="B65" s="7">
        <f>+ENERO!AG65</f>
        <v>50</v>
      </c>
      <c r="C65" s="7">
        <f>+FEBRERO!AG65</f>
        <v>33</v>
      </c>
      <c r="D65" s="7">
        <f>+MARZO!AG65</f>
        <v>75</v>
      </c>
      <c r="E65" s="7">
        <f>+ABRIL!AG65</f>
        <v>72</v>
      </c>
      <c r="F65" s="7">
        <f>+MAYO!AG65</f>
        <v>115</v>
      </c>
      <c r="G65" s="7">
        <f>+JUNIO!AG65</f>
        <v>101</v>
      </c>
      <c r="H65" s="7">
        <f>+JULIO!AG65</f>
        <v>70</v>
      </c>
      <c r="I65" s="7">
        <f>+AGOSTO!AG65</f>
        <v>81</v>
      </c>
      <c r="J65" s="7">
        <f>+SEPTIEMBRE!AG65</f>
        <v>77</v>
      </c>
      <c r="K65" s="7">
        <f>+OCTUBRE!AG65</f>
        <v>78</v>
      </c>
      <c r="L65" s="7">
        <f>+NOVIEMBRE!AG65</f>
        <v>45</v>
      </c>
      <c r="M65" s="7">
        <f>+DICIEMBRE!AG65</f>
        <v>45</v>
      </c>
      <c r="N65" s="4">
        <f t="shared" si="1"/>
        <v>842</v>
      </c>
    </row>
    <row r="66" spans="1:14" ht="18.75" x14ac:dyDescent="0.25">
      <c r="A66" s="41" t="s">
        <v>47</v>
      </c>
      <c r="B66" s="7">
        <f>+ENERO!AG66</f>
        <v>62</v>
      </c>
      <c r="C66" s="7">
        <f>+FEBRERO!AG66</f>
        <v>67</v>
      </c>
      <c r="D66" s="7">
        <f>+MARZO!AG66</f>
        <v>98</v>
      </c>
      <c r="E66" s="7">
        <f>+ABRIL!AG66</f>
        <v>65</v>
      </c>
      <c r="F66" s="7">
        <f>+MAYO!AG66</f>
        <v>139</v>
      </c>
      <c r="G66" s="7">
        <f>+JUNIO!AG66</f>
        <v>117</v>
      </c>
      <c r="H66" s="7">
        <f>+JULIO!AG66</f>
        <v>56</v>
      </c>
      <c r="I66" s="7">
        <f>+AGOSTO!AG66</f>
        <v>94</v>
      </c>
      <c r="J66" s="7">
        <f>+SEPTIEMBRE!AG66</f>
        <v>86</v>
      </c>
      <c r="K66" s="7">
        <f>+OCTUBRE!AG66</f>
        <v>84</v>
      </c>
      <c r="L66" s="7">
        <f>+NOVIEMBRE!AG66</f>
        <v>49</v>
      </c>
      <c r="M66" s="7">
        <f>+DICIEMBRE!AG66</f>
        <v>63</v>
      </c>
      <c r="N66" s="4">
        <f t="shared" si="1"/>
        <v>980</v>
      </c>
    </row>
    <row r="67" spans="1:14" ht="18.75" x14ac:dyDescent="0.25">
      <c r="A67" s="41" t="s">
        <v>48</v>
      </c>
      <c r="B67" s="7">
        <f>+ENERO!AG67</f>
        <v>53</v>
      </c>
      <c r="C67" s="7">
        <f>+FEBRERO!AG67</f>
        <v>51</v>
      </c>
      <c r="D67" s="7">
        <f>+MARZO!AG67</f>
        <v>93</v>
      </c>
      <c r="E67" s="7">
        <f>+ABRIL!AG67</f>
        <v>84</v>
      </c>
      <c r="F67" s="7">
        <f>+MAYO!AG67</f>
        <v>92</v>
      </c>
      <c r="G67" s="7">
        <f>+JUNIO!AG67</f>
        <v>91</v>
      </c>
      <c r="H67" s="7">
        <f>+JULIO!AG67</f>
        <v>13</v>
      </c>
      <c r="I67" s="7">
        <f>+AGOSTO!AG67</f>
        <v>44</v>
      </c>
      <c r="J67" s="7">
        <f>+SEPTIEMBRE!AG67</f>
        <v>77</v>
      </c>
      <c r="K67" s="7">
        <f>+OCTUBRE!AG67</f>
        <v>49</v>
      </c>
      <c r="L67" s="7">
        <f>+NOVIEMBRE!AG67</f>
        <v>40</v>
      </c>
      <c r="M67" s="7">
        <f>+DICIEMBRE!AG67</f>
        <v>51</v>
      </c>
      <c r="N67" s="4">
        <f t="shared" ref="N67:N98" si="2">SUM(B67:M67)</f>
        <v>738</v>
      </c>
    </row>
    <row r="68" spans="1:14" ht="18.75" x14ac:dyDescent="0.25">
      <c r="A68" s="41" t="s">
        <v>49</v>
      </c>
      <c r="B68" s="7">
        <f>+ENERO!AG68</f>
        <v>64</v>
      </c>
      <c r="C68" s="7">
        <f>+FEBRERO!AG68</f>
        <v>39</v>
      </c>
      <c r="D68" s="7">
        <f>+MARZO!AG68</f>
        <v>74</v>
      </c>
      <c r="E68" s="7">
        <f>+ABRIL!AG68</f>
        <v>58</v>
      </c>
      <c r="F68" s="7">
        <f>+MAYO!AG68</f>
        <v>57</v>
      </c>
      <c r="G68" s="7">
        <f>+JUNIO!AG68</f>
        <v>65</v>
      </c>
      <c r="H68" s="7">
        <f>+JULIO!AG68</f>
        <v>6</v>
      </c>
      <c r="I68" s="7">
        <f>+AGOSTO!AG68</f>
        <v>22</v>
      </c>
      <c r="J68" s="7">
        <f>+SEPTIEMBRE!AG68</f>
        <v>53</v>
      </c>
      <c r="K68" s="7">
        <f>+OCTUBRE!AG68</f>
        <v>27</v>
      </c>
      <c r="L68" s="7">
        <f>+NOVIEMBRE!AG68</f>
        <v>34</v>
      </c>
      <c r="M68" s="7">
        <f>+DICIEMBRE!AG68</f>
        <v>36</v>
      </c>
      <c r="N68" s="4">
        <f t="shared" si="2"/>
        <v>535</v>
      </c>
    </row>
    <row r="69" spans="1:14" ht="18.75" x14ac:dyDescent="0.25">
      <c r="A69" s="41" t="s">
        <v>50</v>
      </c>
      <c r="B69" s="7">
        <f>+ENERO!AG69</f>
        <v>41</v>
      </c>
      <c r="C69" s="7">
        <f>+FEBRERO!AG69</f>
        <v>20</v>
      </c>
      <c r="D69" s="7">
        <f>+MARZO!AG69</f>
        <v>69</v>
      </c>
      <c r="E69" s="7">
        <f>+ABRIL!AG69</f>
        <v>31</v>
      </c>
      <c r="F69" s="7">
        <f>+MAYO!AG69</f>
        <v>31</v>
      </c>
      <c r="G69" s="7">
        <f>+JUNIO!AG69</f>
        <v>37</v>
      </c>
      <c r="H69" s="7">
        <f>+JULIO!AG69</f>
        <v>4</v>
      </c>
      <c r="I69" s="7">
        <f>+AGOSTO!AG69</f>
        <v>42</v>
      </c>
      <c r="J69" s="7">
        <f>+SEPTIEMBRE!AG69</f>
        <v>43</v>
      </c>
      <c r="K69" s="7">
        <f>+OCTUBRE!AG69</f>
        <v>38</v>
      </c>
      <c r="L69" s="7">
        <f>+NOVIEMBRE!AG69</f>
        <v>32</v>
      </c>
      <c r="M69" s="7">
        <f>+DICIEMBRE!AG69</f>
        <v>22</v>
      </c>
      <c r="N69" s="4">
        <f t="shared" si="2"/>
        <v>410</v>
      </c>
    </row>
    <row r="70" spans="1:14" ht="18.75" x14ac:dyDescent="0.25">
      <c r="A70" s="41" t="s">
        <v>33</v>
      </c>
      <c r="B70" s="114">
        <f>+ENERO!AG70</f>
        <v>28</v>
      </c>
      <c r="C70" s="114">
        <f>+FEBRERO!AG70</f>
        <v>13</v>
      </c>
      <c r="D70" s="7">
        <f>+MARZO!AG70</f>
        <v>38</v>
      </c>
      <c r="E70" s="7">
        <f>+ABRIL!AG70</f>
        <v>21</v>
      </c>
      <c r="F70" s="7">
        <f>+MAYO!AG70</f>
        <v>27</v>
      </c>
      <c r="G70" s="7">
        <f>+JUNIO!AG70</f>
        <v>50</v>
      </c>
      <c r="H70" s="7">
        <f>+JULIO!AG70</f>
        <v>4</v>
      </c>
      <c r="I70" s="7">
        <f>+AGOSTO!AG70</f>
        <v>47</v>
      </c>
      <c r="J70" s="7">
        <f>+SEPTIEMBRE!AG70</f>
        <v>21</v>
      </c>
      <c r="K70" s="7">
        <f>+OCTUBRE!AG70</f>
        <v>49</v>
      </c>
      <c r="L70" s="7">
        <f>+NOVIEMBRE!AG70</f>
        <v>26</v>
      </c>
      <c r="M70" s="7">
        <f>+DICIEMBRE!AG70</f>
        <v>25</v>
      </c>
      <c r="N70" s="4">
        <f t="shared" si="2"/>
        <v>349</v>
      </c>
    </row>
    <row r="71" spans="1:14" ht="18.75" x14ac:dyDescent="0.25">
      <c r="A71" s="41" t="s">
        <v>34</v>
      </c>
      <c r="B71" s="114">
        <f>+ENERO!AG71</f>
        <v>51</v>
      </c>
      <c r="C71" s="114">
        <f>+FEBRERO!AG71</f>
        <v>17</v>
      </c>
      <c r="D71" s="7">
        <f>+MARZO!AG71</f>
        <v>27</v>
      </c>
      <c r="E71" s="7">
        <f>+ABRIL!AG71</f>
        <v>26</v>
      </c>
      <c r="F71" s="7">
        <f>+MAYO!AG71</f>
        <v>45</v>
      </c>
      <c r="G71" s="7">
        <f>+JUNIO!AG71</f>
        <v>33</v>
      </c>
      <c r="H71" s="7">
        <f>+JULIO!AG71</f>
        <v>8</v>
      </c>
      <c r="I71" s="7">
        <f>+AGOSTO!AG71</f>
        <v>33</v>
      </c>
      <c r="J71" s="7">
        <f>+SEPTIEMBRE!AG71</f>
        <v>35</v>
      </c>
      <c r="K71" s="7">
        <f>+OCTUBRE!AG71</f>
        <v>20</v>
      </c>
      <c r="L71" s="7">
        <f>+NOVIEMBRE!AG71</f>
        <v>35</v>
      </c>
      <c r="M71" s="7">
        <f>+DICIEMBRE!AG71</f>
        <v>22</v>
      </c>
      <c r="N71" s="4">
        <f t="shared" si="2"/>
        <v>352</v>
      </c>
    </row>
    <row r="72" spans="1:14" ht="18.75" x14ac:dyDescent="0.25">
      <c r="A72" s="41" t="s">
        <v>35</v>
      </c>
      <c r="B72" s="114">
        <f>+ENERO!AG72</f>
        <v>52</v>
      </c>
      <c r="C72" s="114">
        <f>+FEBRERO!AG72</f>
        <v>14</v>
      </c>
      <c r="D72" s="7">
        <f>+MARZO!AG72</f>
        <v>25</v>
      </c>
      <c r="E72" s="7">
        <f>+ABRIL!AG72</f>
        <v>19</v>
      </c>
      <c r="F72" s="7">
        <f>+MAYO!AG72</f>
        <v>35</v>
      </c>
      <c r="G72" s="7">
        <f>+JUNIO!AG72</f>
        <v>9</v>
      </c>
      <c r="H72" s="7">
        <f>+JULIO!AG72</f>
        <v>4</v>
      </c>
      <c r="I72" s="7">
        <f>+AGOSTO!AG72</f>
        <v>14</v>
      </c>
      <c r="J72" s="7">
        <f>+SEPTIEMBRE!AG72</f>
        <v>36</v>
      </c>
      <c r="K72" s="7">
        <f>+OCTUBRE!AG72</f>
        <v>37</v>
      </c>
      <c r="L72" s="7">
        <f>+NOVIEMBRE!AG72</f>
        <v>46</v>
      </c>
      <c r="M72" s="7">
        <f>+DICIEMBRE!AG72</f>
        <v>34</v>
      </c>
      <c r="N72" s="4">
        <f t="shared" si="2"/>
        <v>325</v>
      </c>
    </row>
    <row r="73" spans="1:14" ht="18.75" x14ac:dyDescent="0.25">
      <c r="A73" s="41" t="s">
        <v>36</v>
      </c>
      <c r="B73" s="114">
        <f>+ENERO!AG73</f>
        <v>21</v>
      </c>
      <c r="C73" s="114">
        <f>+FEBRERO!AG73</f>
        <v>3</v>
      </c>
      <c r="D73" s="7">
        <f>+MARZO!AG73</f>
        <v>14</v>
      </c>
      <c r="E73" s="7">
        <f>+ABRIL!AG73</f>
        <v>9</v>
      </c>
      <c r="F73" s="7">
        <f>+MAYO!AG73</f>
        <v>14</v>
      </c>
      <c r="G73" s="7">
        <f>+JUNIO!AG73</f>
        <v>6</v>
      </c>
      <c r="H73" s="7">
        <f>+JULIO!AG73</f>
        <v>3</v>
      </c>
      <c r="I73" s="7">
        <f>+AGOSTO!AG73</f>
        <v>0</v>
      </c>
      <c r="J73" s="7">
        <f>+SEPTIEMBRE!AG73</f>
        <v>28</v>
      </c>
      <c r="K73" s="7">
        <f>+OCTUBRE!AG73</f>
        <v>13</v>
      </c>
      <c r="L73" s="7">
        <f>+NOVIEMBRE!AG73</f>
        <v>30</v>
      </c>
      <c r="M73" s="7">
        <f>+DICIEMBRE!AG73</f>
        <v>32</v>
      </c>
      <c r="N73" s="4">
        <f t="shared" si="2"/>
        <v>173</v>
      </c>
    </row>
    <row r="74" spans="1:14" ht="18.75" x14ac:dyDescent="0.25">
      <c r="A74" s="41" t="s">
        <v>51</v>
      </c>
      <c r="B74" s="114">
        <f>+ENERO!AG74</f>
        <v>5</v>
      </c>
      <c r="C74" s="114">
        <f>+FEBRERO!AG74</f>
        <v>2</v>
      </c>
      <c r="D74" s="7">
        <f>+MARZO!AG74</f>
        <v>11</v>
      </c>
      <c r="E74" s="7">
        <f>+ABRIL!AG74</f>
        <v>3</v>
      </c>
      <c r="F74" s="7">
        <f>+MAYO!AG74</f>
        <v>1</v>
      </c>
      <c r="G74" s="7">
        <f>+JUNIO!AG74</f>
        <v>3</v>
      </c>
      <c r="H74" s="7">
        <f>+JULIO!AG74</f>
        <v>0</v>
      </c>
      <c r="I74" s="7">
        <f>+AGOSTO!AG74</f>
        <v>0</v>
      </c>
      <c r="J74" s="7">
        <f>+SEPTIEMBRE!AG74</f>
        <v>19</v>
      </c>
      <c r="K74" s="7">
        <f>+OCTUBRE!AG74</f>
        <v>0</v>
      </c>
      <c r="L74" s="7">
        <f>+NOVIEMBRE!AG74</f>
        <v>14</v>
      </c>
      <c r="M74" s="7">
        <f>+DICIEMBRE!AG74</f>
        <v>9</v>
      </c>
      <c r="N74" s="4">
        <f t="shared" si="2"/>
        <v>67</v>
      </c>
    </row>
    <row r="75" spans="1:14" ht="18.75" x14ac:dyDescent="0.25">
      <c r="A75" s="41" t="s">
        <v>52</v>
      </c>
      <c r="B75" s="114">
        <f>+ENERO!AG75</f>
        <v>5</v>
      </c>
      <c r="C75" s="114">
        <f>+FEBRERO!AG75</f>
        <v>2</v>
      </c>
      <c r="D75" s="7">
        <f>+MARZO!AG75</f>
        <v>9</v>
      </c>
      <c r="E75" s="7">
        <f>+ABRIL!AG75</f>
        <v>0</v>
      </c>
      <c r="F75" s="7">
        <f>+MAYO!AG75</f>
        <v>0</v>
      </c>
      <c r="G75" s="7">
        <f>+JUNIO!AG75</f>
        <v>2</v>
      </c>
      <c r="H75" s="7">
        <f>+JULIO!AG75</f>
        <v>1</v>
      </c>
      <c r="I75" s="7">
        <f>+AGOSTO!AG75</f>
        <v>0</v>
      </c>
      <c r="J75" s="7">
        <f>+SEPTIEMBRE!AG75</f>
        <v>2</v>
      </c>
      <c r="K75" s="7">
        <f>+OCTUBRE!AG75</f>
        <v>0</v>
      </c>
      <c r="L75" s="7">
        <f>+NOVIEMBRE!AG75</f>
        <v>2</v>
      </c>
      <c r="M75" s="7">
        <f>+DICIEMBRE!AG75</f>
        <v>0</v>
      </c>
      <c r="N75" s="4">
        <f t="shared" si="2"/>
        <v>23</v>
      </c>
    </row>
    <row r="76" spans="1:14" ht="18.75" x14ac:dyDescent="0.25">
      <c r="A76" s="41" t="s">
        <v>37</v>
      </c>
      <c r="B76" s="114">
        <f>+ENERO!AG76</f>
        <v>2</v>
      </c>
      <c r="C76" s="114">
        <f>+FEBRERO!AG76</f>
        <v>1</v>
      </c>
      <c r="D76" s="7">
        <f>+MARZO!AG76</f>
        <v>1</v>
      </c>
      <c r="E76" s="7">
        <f>+ABRIL!AG76</f>
        <v>1</v>
      </c>
      <c r="F76" s="7">
        <f>+MAYO!AG76</f>
        <v>1</v>
      </c>
      <c r="G76" s="7">
        <f>+JUNIO!AG76</f>
        <v>1</v>
      </c>
      <c r="H76" s="7">
        <f>+JULIO!AG76</f>
        <v>1</v>
      </c>
      <c r="I76" s="7">
        <f>+AGOSTO!AG76</f>
        <v>0</v>
      </c>
      <c r="J76" s="7">
        <f>+SEPTIEMBRE!AG76</f>
        <v>0</v>
      </c>
      <c r="K76" s="7">
        <f>+OCTUBRE!AG76</f>
        <v>0</v>
      </c>
      <c r="L76" s="7">
        <f>+NOVIEMBRE!AG76</f>
        <v>9</v>
      </c>
      <c r="M76" s="7">
        <f>+DICIEMBRE!AG76</f>
        <v>5</v>
      </c>
      <c r="N76" s="4">
        <f t="shared" si="2"/>
        <v>22</v>
      </c>
    </row>
    <row r="77" spans="1:14" ht="19.5" thickBot="1" x14ac:dyDescent="0.3">
      <c r="A77" s="134" t="s">
        <v>53</v>
      </c>
      <c r="B77" s="166">
        <f>+ENERO!AG77</f>
        <v>5</v>
      </c>
      <c r="C77" s="166">
        <f>+FEBRERO!AG77</f>
        <v>1</v>
      </c>
      <c r="D77" s="9">
        <f>+MARZO!AG77</f>
        <v>3</v>
      </c>
      <c r="E77" s="9">
        <f>+ABRIL!AG77</f>
        <v>0</v>
      </c>
      <c r="F77" s="9">
        <f>+MAYO!AG77</f>
        <v>2</v>
      </c>
      <c r="G77" s="9">
        <f>+JUNIO!AG77</f>
        <v>2</v>
      </c>
      <c r="H77" s="9">
        <f>+JULIO!AG77</f>
        <v>2</v>
      </c>
      <c r="I77" s="9">
        <f>+AGOSTO!AG77</f>
        <v>0</v>
      </c>
      <c r="J77" s="9">
        <f>+SEPTIEMBRE!AG77</f>
        <v>0</v>
      </c>
      <c r="K77" s="9">
        <f>+OCTUBRE!AG77</f>
        <v>0</v>
      </c>
      <c r="L77" s="9">
        <f>+NOVIEMBRE!AG77</f>
        <v>1</v>
      </c>
      <c r="M77" s="9">
        <f>+DICIEMBRE!AG77</f>
        <v>0</v>
      </c>
      <c r="N77" s="108">
        <f t="shared" si="2"/>
        <v>16</v>
      </c>
    </row>
    <row r="78" spans="1:14" ht="19.5" hidden="1" customHeight="1" thickBot="1" x14ac:dyDescent="0.3">
      <c r="A78" s="183" t="s">
        <v>99</v>
      </c>
      <c r="B78" s="185">
        <f>+ENERO!AG78</f>
        <v>6497</v>
      </c>
      <c r="C78" s="185">
        <f>+FEBRERO!AG78</f>
        <v>5688</v>
      </c>
      <c r="D78" s="185">
        <f>+MARZO!AG78</f>
        <v>6448</v>
      </c>
      <c r="E78" s="185">
        <f>+ABRIL!AG78</f>
        <v>5662</v>
      </c>
      <c r="F78" s="185">
        <f>+MAYO!AG78</f>
        <v>6212</v>
      </c>
      <c r="G78" s="185">
        <f>+JUNIO!AG78</f>
        <v>6358</v>
      </c>
      <c r="H78" s="185">
        <f>+JULIO!AG78</f>
        <v>5478</v>
      </c>
      <c r="I78" s="185">
        <f>+AGOSTO!AG78</f>
        <v>6354</v>
      </c>
      <c r="J78" s="185">
        <f>+SEPTIEMBRE!AG78</f>
        <v>6735</v>
      </c>
      <c r="K78" s="185">
        <f>+OCTUBRE!AG78</f>
        <v>5836</v>
      </c>
      <c r="L78" s="185">
        <f>+NOVIEMBRE!AG78</f>
        <v>5266</v>
      </c>
      <c r="M78" s="185">
        <f>+DICIEMBRE!AG78</f>
        <v>5179</v>
      </c>
      <c r="N78" s="116">
        <f t="shared" si="2"/>
        <v>71713</v>
      </c>
    </row>
    <row r="79" spans="1:14" ht="19.5" hidden="1" customHeight="1" thickBot="1" x14ac:dyDescent="0.3">
      <c r="A79" s="181" t="s">
        <v>58</v>
      </c>
      <c r="B79" s="114">
        <f>+ENERO!AG79</f>
        <v>5367</v>
      </c>
      <c r="C79" s="114">
        <f>+FEBRERO!AG79</f>
        <v>5069</v>
      </c>
      <c r="D79" s="114">
        <f>+MARZO!AG79</f>
        <v>5639</v>
      </c>
      <c r="E79" s="114">
        <f>+ABRIL!AG79</f>
        <v>4494</v>
      </c>
      <c r="F79" s="114">
        <f>+MAYO!AG79</f>
        <v>5354</v>
      </c>
      <c r="G79" s="114">
        <f>+JUNIO!AG79</f>
        <v>6355</v>
      </c>
      <c r="H79" s="114">
        <f>+JULIO!AG79</f>
        <v>4450</v>
      </c>
      <c r="I79" s="114">
        <f>+AGOSTO!AG79</f>
        <v>5628</v>
      </c>
      <c r="J79" s="114">
        <f>+SEPTIEMBRE!AG79</f>
        <v>5702</v>
      </c>
      <c r="K79" s="114">
        <f>+OCTUBRE!AG79</f>
        <v>4731</v>
      </c>
      <c r="L79" s="114">
        <f>+NOVIEMBRE!AG79</f>
        <v>5019</v>
      </c>
      <c r="M79" s="114">
        <f>+DICIEMBRE!AG79</f>
        <v>4695</v>
      </c>
      <c r="N79" s="132">
        <f t="shared" si="2"/>
        <v>62503</v>
      </c>
    </row>
    <row r="80" spans="1:14" ht="19.5" hidden="1" customHeight="1" thickBot="1" x14ac:dyDescent="0.3">
      <c r="A80" s="107" t="s">
        <v>57</v>
      </c>
      <c r="B80" s="11">
        <f>+ENERO!AG80</f>
        <v>1130</v>
      </c>
      <c r="C80" s="11">
        <f>+FEBRERO!AG80</f>
        <v>619</v>
      </c>
      <c r="D80" s="9">
        <f>+MARZO!AG80</f>
        <v>809</v>
      </c>
      <c r="E80" s="9">
        <f>+ABRIL!AG80</f>
        <v>1168</v>
      </c>
      <c r="F80" s="9">
        <f>+MAYO!AG80</f>
        <v>858</v>
      </c>
      <c r="G80" s="9">
        <f>+JUNIO!AG80</f>
        <v>3</v>
      </c>
      <c r="H80" s="9">
        <f>+JULIO!AG80</f>
        <v>1028</v>
      </c>
      <c r="I80" s="9">
        <f>+AGOSTO!AG80</f>
        <v>726</v>
      </c>
      <c r="J80" s="9">
        <f>+SEPTIEMBRE!AG80</f>
        <v>1033</v>
      </c>
      <c r="K80" s="9">
        <f>+OCTUBRE!AG80</f>
        <v>1105</v>
      </c>
      <c r="L80" s="9">
        <f>+NOVIEMBRE!AG80</f>
        <v>247</v>
      </c>
      <c r="M80" s="9">
        <f>+DICIEMBRE!AG80</f>
        <v>484</v>
      </c>
      <c r="N80" s="108">
        <f t="shared" si="2"/>
        <v>9210</v>
      </c>
    </row>
    <row r="81" spans="1:16" ht="19.5" thickBot="1" x14ac:dyDescent="0.3">
      <c r="A81" s="183" t="s">
        <v>98</v>
      </c>
      <c r="B81" s="184">
        <f>+ENERO!AG81</f>
        <v>559</v>
      </c>
      <c r="C81" s="184">
        <f>+FEBRERO!AG81</f>
        <v>369</v>
      </c>
      <c r="D81" s="184">
        <f>+MARZO!AG81</f>
        <v>714</v>
      </c>
      <c r="E81" s="184">
        <f>+ABRIL!AG81</f>
        <v>548</v>
      </c>
      <c r="F81" s="184">
        <f>+MAYO!AG81</f>
        <v>694</v>
      </c>
      <c r="G81" s="184">
        <f>+JUNIO!AG81</f>
        <v>772</v>
      </c>
      <c r="H81" s="184">
        <f>+JULIO!AG81</f>
        <v>267</v>
      </c>
      <c r="I81" s="184">
        <f>+AGOSTO!AG81</f>
        <v>495</v>
      </c>
      <c r="J81" s="184">
        <f>+SEPTIEMBRE!AG81</f>
        <v>596</v>
      </c>
      <c r="K81" s="184">
        <f>+OCTUBRE!AG81</f>
        <v>502</v>
      </c>
      <c r="L81" s="184">
        <f>+NOVIEMBRE!AG81</f>
        <v>450</v>
      </c>
      <c r="M81" s="184">
        <f>+DICIEMBRE!AG81</f>
        <v>411</v>
      </c>
      <c r="N81" s="116">
        <f t="shared" si="2"/>
        <v>6377</v>
      </c>
      <c r="O81" s="180" t="str">
        <f>IF(N81&lt;&gt;N53,"*","")</f>
        <v/>
      </c>
    </row>
    <row r="82" spans="1:16" ht="18.75" x14ac:dyDescent="0.25">
      <c r="A82" s="181" t="s">
        <v>57</v>
      </c>
      <c r="B82" s="114">
        <f>+ENERO!AG82</f>
        <v>35</v>
      </c>
      <c r="C82" s="114">
        <f>+FEBRERO!AG82</f>
        <v>4</v>
      </c>
      <c r="D82" s="114">
        <f>+MARZO!AG82</f>
        <v>24</v>
      </c>
      <c r="E82" s="114">
        <f>+ABRIL!AG82</f>
        <v>4</v>
      </c>
      <c r="F82" s="114">
        <f>+MAYO!AG82</f>
        <v>0</v>
      </c>
      <c r="G82" s="114">
        <f>+JUNIO!AG82</f>
        <v>0</v>
      </c>
      <c r="H82" s="114">
        <f>+JULIO!AG82</f>
        <v>0</v>
      </c>
      <c r="I82" s="114">
        <f>+AGOSTO!AG82</f>
        <v>0</v>
      </c>
      <c r="J82" s="114">
        <f>+SEPTIEMBRE!AG82</f>
        <v>0</v>
      </c>
      <c r="K82" s="114">
        <f>+OCTUBRE!AG82</f>
        <v>4</v>
      </c>
      <c r="L82" s="114">
        <f>+NOVIEMBRE!AG82</f>
        <v>0</v>
      </c>
      <c r="M82" s="114">
        <f>+DICIEMBRE!AG82</f>
        <v>0</v>
      </c>
      <c r="N82" s="132">
        <f t="shared" si="2"/>
        <v>71</v>
      </c>
    </row>
    <row r="83" spans="1:16" ht="19.5" thickBot="1" x14ac:dyDescent="0.3">
      <c r="A83" s="107" t="s">
        <v>58</v>
      </c>
      <c r="B83" s="9">
        <f>+ENERO!AG83</f>
        <v>524</v>
      </c>
      <c r="C83" s="9">
        <f>+FEBRERO!AG83</f>
        <v>365</v>
      </c>
      <c r="D83" s="9">
        <f>+MARZO!AG83</f>
        <v>690</v>
      </c>
      <c r="E83" s="9">
        <f>+ABRIL!AG83</f>
        <v>544</v>
      </c>
      <c r="F83" s="9">
        <f>+MAYO!AG83</f>
        <v>694</v>
      </c>
      <c r="G83" s="9">
        <f>+JUNIO!AG83</f>
        <v>772</v>
      </c>
      <c r="H83" s="9">
        <f>+JULIO!AG83</f>
        <v>267</v>
      </c>
      <c r="I83" s="9">
        <f>+AGOSTO!AG83</f>
        <v>495</v>
      </c>
      <c r="J83" s="9">
        <f>+SEPTIEMBRE!AG83</f>
        <v>596</v>
      </c>
      <c r="K83" s="9">
        <f>+OCTUBRE!AG83</f>
        <v>498</v>
      </c>
      <c r="L83" s="9">
        <f>+NOVIEMBRE!AG83</f>
        <v>450</v>
      </c>
      <c r="M83" s="9">
        <f>+DICIEMBRE!AG83</f>
        <v>411</v>
      </c>
      <c r="N83" s="4">
        <f t="shared" si="2"/>
        <v>6306</v>
      </c>
    </row>
    <row r="84" spans="1:16" ht="19.5" thickBot="1" x14ac:dyDescent="0.3">
      <c r="A84" s="164" t="s">
        <v>146</v>
      </c>
      <c r="B84" s="165">
        <f>+ENERO!AG84</f>
        <v>559</v>
      </c>
      <c r="C84" s="165">
        <f>+FEBRERO!AG84</f>
        <v>369</v>
      </c>
      <c r="D84" s="165">
        <f>+MARZO!AG84</f>
        <v>714</v>
      </c>
      <c r="E84" s="165">
        <f>+ABRIL!AG84</f>
        <v>548</v>
      </c>
      <c r="F84" s="165">
        <f>+MAYO!AG84</f>
        <v>694</v>
      </c>
      <c r="G84" s="165">
        <f>+JUNIO!AG84</f>
        <v>772</v>
      </c>
      <c r="H84" s="165">
        <f>+JULIO!AG84</f>
        <v>267</v>
      </c>
      <c r="I84" s="165">
        <f>+AGOSTO!AG84</f>
        <v>495</v>
      </c>
      <c r="J84" s="165">
        <f>+SEPTIEMBRE!AG84</f>
        <v>596</v>
      </c>
      <c r="K84" s="165">
        <f>+OCTUBRE!AG84</f>
        <v>502</v>
      </c>
      <c r="L84" s="165">
        <f>+NOVIEMBRE!AG84</f>
        <v>450</v>
      </c>
      <c r="M84" s="165">
        <f>+DICIEMBRE!AG84</f>
        <v>411</v>
      </c>
      <c r="N84" s="171">
        <f t="shared" si="2"/>
        <v>6377</v>
      </c>
      <c r="O84" s="180" t="str">
        <f>IF(N84&lt;&gt;N82+N83,"*","")</f>
        <v/>
      </c>
      <c r="P84" s="373" t="s">
        <v>1</v>
      </c>
    </row>
    <row r="85" spans="1:16" ht="18.75" x14ac:dyDescent="0.25">
      <c r="A85" s="72" t="s">
        <v>144</v>
      </c>
      <c r="B85" s="169">
        <f>+ENERO!AG85</f>
        <v>108</v>
      </c>
      <c r="C85" s="169">
        <f>+FEBRERO!AG85</f>
        <v>55</v>
      </c>
      <c r="D85" s="169">
        <f>+MARZO!AG85</f>
        <v>162</v>
      </c>
      <c r="E85" s="169">
        <f>+ABRIL!AG85</f>
        <v>120</v>
      </c>
      <c r="F85" s="169">
        <f>+MAYO!AG85</f>
        <v>145</v>
      </c>
      <c r="G85" s="169">
        <f>+JUNIO!AG85</f>
        <v>178</v>
      </c>
      <c r="H85" s="169">
        <f>+JULIO!AG85</f>
        <v>37</v>
      </c>
      <c r="I85" s="169">
        <f>+AGOSTO!AG85</f>
        <v>122</v>
      </c>
      <c r="J85" s="169">
        <f>+SEPTIEMBRE!AG85</f>
        <v>108</v>
      </c>
      <c r="K85" s="169">
        <f>+OCTUBRE!AG85</f>
        <v>116</v>
      </c>
      <c r="L85" s="169">
        <f>+NOVIEMBRE!AG85</f>
        <v>89</v>
      </c>
      <c r="M85" s="169">
        <f>+DICIEMBRE!AG85</f>
        <v>81</v>
      </c>
      <c r="N85" s="168">
        <f t="shared" si="2"/>
        <v>1321</v>
      </c>
      <c r="P85" s="374"/>
    </row>
    <row r="86" spans="1:16" ht="19.5" thickBot="1" x14ac:dyDescent="0.3">
      <c r="A86" s="172" t="s">
        <v>145</v>
      </c>
      <c r="B86" s="173">
        <f>+ENERO!AG86</f>
        <v>451</v>
      </c>
      <c r="C86" s="173">
        <f>+FEBRERO!AG86</f>
        <v>314</v>
      </c>
      <c r="D86" s="173">
        <f>+MARZO!AG86</f>
        <v>552</v>
      </c>
      <c r="E86" s="173">
        <f>+ABRIL!AG86</f>
        <v>428</v>
      </c>
      <c r="F86" s="173">
        <f>+MAYO!AG86</f>
        <v>549</v>
      </c>
      <c r="G86" s="173">
        <f>+JUNIO!AG86</f>
        <v>594</v>
      </c>
      <c r="H86" s="173">
        <f>+JULIO!AG86</f>
        <v>230</v>
      </c>
      <c r="I86" s="173">
        <f>+AGOSTO!AG86</f>
        <v>373</v>
      </c>
      <c r="J86" s="173">
        <f>+SEPTIEMBRE!AG86</f>
        <v>488</v>
      </c>
      <c r="K86" s="173">
        <f>+OCTUBRE!AG86</f>
        <v>386</v>
      </c>
      <c r="L86" s="173">
        <f>+NOVIEMBRE!AG86</f>
        <v>361</v>
      </c>
      <c r="M86" s="173">
        <f>+DICIEMBRE!AG86</f>
        <v>330</v>
      </c>
      <c r="N86" s="176">
        <f t="shared" si="2"/>
        <v>5056</v>
      </c>
      <c r="P86" s="375"/>
    </row>
    <row r="87" spans="1:16" ht="19.5" thickBot="1" x14ac:dyDescent="0.3">
      <c r="A87" s="177" t="s">
        <v>147</v>
      </c>
      <c r="B87" s="178">
        <f>+ENERO!AG87</f>
        <v>559</v>
      </c>
      <c r="C87" s="178">
        <f>+FEBRERO!AG87</f>
        <v>369</v>
      </c>
      <c r="D87" s="178">
        <f>+MARZO!AG87</f>
        <v>714</v>
      </c>
      <c r="E87" s="178">
        <f>+ABRIL!AG87</f>
        <v>548</v>
      </c>
      <c r="F87" s="178">
        <f>+MAYO!AG87</f>
        <v>694</v>
      </c>
      <c r="G87" s="178">
        <f>+JUNIO!AG87</f>
        <v>772</v>
      </c>
      <c r="H87" s="178">
        <f>+JULIO!AG87</f>
        <v>267</v>
      </c>
      <c r="I87" s="178">
        <f>+AGOSTO!AG87</f>
        <v>495</v>
      </c>
      <c r="J87" s="178">
        <f>+SEPTIEMBRE!AG87</f>
        <v>596</v>
      </c>
      <c r="K87" s="178">
        <f>+OCTUBRE!AG87</f>
        <v>502</v>
      </c>
      <c r="L87" s="178">
        <f>+NOVIEMBRE!AG87</f>
        <v>450</v>
      </c>
      <c r="M87" s="178">
        <f>+DICIEMBRE!AG87</f>
        <v>411</v>
      </c>
      <c r="N87" s="179">
        <f t="shared" si="2"/>
        <v>6377</v>
      </c>
      <c r="O87" s="175" t="str">
        <f>IF(N87&lt;&gt;N84,"*","")</f>
        <v/>
      </c>
    </row>
    <row r="88" spans="1:16" ht="18.75" x14ac:dyDescent="0.25">
      <c r="A88" s="104" t="s">
        <v>127</v>
      </c>
      <c r="B88" s="166">
        <f>+ENERO!AG88</f>
        <v>142</v>
      </c>
      <c r="C88" s="166">
        <f>+FEBRERO!AG88</f>
        <v>84</v>
      </c>
      <c r="D88" s="166">
        <f>+MARZO!AG88</f>
        <v>152</v>
      </c>
      <c r="E88" s="166">
        <f>+ABRIL!AG88</f>
        <v>173</v>
      </c>
      <c r="F88" s="166">
        <f>+MAYO!AG88</f>
        <v>280</v>
      </c>
      <c r="G88" s="166">
        <f>+JUNIO!AG88</f>
        <v>245</v>
      </c>
      <c r="H88" s="166">
        <f>+JULIO!AG88</f>
        <v>122</v>
      </c>
      <c r="I88" s="166">
        <f>+AGOSTO!AG88</f>
        <v>182</v>
      </c>
      <c r="J88" s="166">
        <f>+SEPTIEMBRE!AG88</f>
        <v>194</v>
      </c>
      <c r="K88" s="166">
        <f>+OCTUBRE!AG88</f>
        <v>183</v>
      </c>
      <c r="L88" s="166">
        <f>+NOVIEMBRE!AG88</f>
        <v>121</v>
      </c>
      <c r="M88" s="166">
        <f>+DICIEMBRE!AG88</f>
        <v>122</v>
      </c>
      <c r="N88" s="132">
        <f t="shared" si="2"/>
        <v>2000</v>
      </c>
    </row>
    <row r="89" spans="1:16" ht="18.75" x14ac:dyDescent="0.25">
      <c r="A89" s="105" t="s">
        <v>73</v>
      </c>
      <c r="B89" s="9">
        <f>+ENERO!AG89</f>
        <v>0</v>
      </c>
      <c r="C89" s="9">
        <f>+FEBRERO!AG89</f>
        <v>0</v>
      </c>
      <c r="D89" s="9">
        <f>+MARZO!AG89</f>
        <v>0</v>
      </c>
      <c r="E89" s="9">
        <f>+ABRIL!AG89</f>
        <v>0</v>
      </c>
      <c r="F89" s="9">
        <f>+MAYO!AG89</f>
        <v>0</v>
      </c>
      <c r="G89" s="9">
        <f>+JUNIO!AG89</f>
        <v>0</v>
      </c>
      <c r="H89" s="9">
        <f>+JULIO!AG89</f>
        <v>0</v>
      </c>
      <c r="I89" s="9">
        <f>+AGOSTO!AG89</f>
        <v>0</v>
      </c>
      <c r="J89" s="9">
        <f>+SEPTIEMBRE!AG89</f>
        <v>0</v>
      </c>
      <c r="K89" s="9">
        <f>+OCTUBRE!AG89</f>
        <v>0</v>
      </c>
      <c r="L89" s="9">
        <f>+NOVIEMBRE!AG89</f>
        <v>0</v>
      </c>
      <c r="M89" s="9">
        <f>+DICIEMBRE!AG89</f>
        <v>0</v>
      </c>
      <c r="N89" s="4">
        <f t="shared" si="2"/>
        <v>0</v>
      </c>
    </row>
    <row r="90" spans="1:16" ht="18.75" x14ac:dyDescent="0.25">
      <c r="A90" s="105" t="s">
        <v>74</v>
      </c>
      <c r="B90" s="9">
        <f>+ENERO!AG90</f>
        <v>1</v>
      </c>
      <c r="C90" s="9">
        <f>+FEBRERO!AG90</f>
        <v>2</v>
      </c>
      <c r="D90" s="9">
        <f>+MARZO!AG90</f>
        <v>3</v>
      </c>
      <c r="E90" s="9">
        <f>+ABRIL!AG90</f>
        <v>0</v>
      </c>
      <c r="F90" s="9">
        <f>+MAYO!AG90</f>
        <v>4</v>
      </c>
      <c r="G90" s="9">
        <f>+JUNIO!AG90</f>
        <v>3</v>
      </c>
      <c r="H90" s="9">
        <f>+JULIO!AG90</f>
        <v>1</v>
      </c>
      <c r="I90" s="9">
        <f>+AGOSTO!AG90</f>
        <v>2</v>
      </c>
      <c r="J90" s="9">
        <f>+SEPTIEMBRE!AG90</f>
        <v>2</v>
      </c>
      <c r="K90" s="9">
        <f>+OCTUBRE!AG90</f>
        <v>2</v>
      </c>
      <c r="L90" s="9">
        <f>+NOVIEMBRE!AG90</f>
        <v>6</v>
      </c>
      <c r="M90" s="9">
        <f>+DICIEMBRE!AG90</f>
        <v>3</v>
      </c>
      <c r="N90" s="4">
        <f t="shared" si="2"/>
        <v>29</v>
      </c>
    </row>
    <row r="91" spans="1:16" ht="18.75" x14ac:dyDescent="0.25">
      <c r="A91" s="105" t="s">
        <v>75</v>
      </c>
      <c r="B91" s="9">
        <f>+ENERO!AG91</f>
        <v>204</v>
      </c>
      <c r="C91" s="9">
        <f>+FEBRERO!AG91</f>
        <v>102</v>
      </c>
      <c r="D91" s="9">
        <f>+MARZO!AG91</f>
        <v>257</v>
      </c>
      <c r="E91" s="9">
        <f>+ABRIL!AG91</f>
        <v>156</v>
      </c>
      <c r="F91" s="9">
        <f>+MAYO!AG91</f>
        <v>120</v>
      </c>
      <c r="G91" s="9">
        <f>+JUNIO!AG91</f>
        <v>159</v>
      </c>
      <c r="H91" s="9">
        <f>+JULIO!AG91</f>
        <v>39</v>
      </c>
      <c r="I91" s="9">
        <f>+AGOSTO!AG91</f>
        <v>125</v>
      </c>
      <c r="J91" s="9">
        <f>+SEPTIEMBRE!AG91</f>
        <v>153</v>
      </c>
      <c r="K91" s="9">
        <f>+OCTUBRE!AG91</f>
        <v>141</v>
      </c>
      <c r="L91" s="9">
        <f>+NOVIEMBRE!AG91</f>
        <v>177</v>
      </c>
      <c r="M91" s="9">
        <f>+DICIEMBRE!AG91</f>
        <v>144</v>
      </c>
      <c r="N91" s="4">
        <f t="shared" si="2"/>
        <v>1777</v>
      </c>
    </row>
    <row r="92" spans="1:16" ht="19.5" thickBot="1" x14ac:dyDescent="0.3">
      <c r="A92" s="105" t="s">
        <v>76</v>
      </c>
      <c r="B92" s="9">
        <f>+ENERO!AG92</f>
        <v>212</v>
      </c>
      <c r="C92" s="9">
        <f>+FEBRERO!AG92</f>
        <v>181</v>
      </c>
      <c r="D92" s="9">
        <f>+MARZO!AG92</f>
        <v>302</v>
      </c>
      <c r="E92" s="9">
        <f>+ABRIL!AG92</f>
        <v>219</v>
      </c>
      <c r="F92" s="9">
        <f>+MAYO!AG92</f>
        <v>290</v>
      </c>
      <c r="G92" s="9">
        <f>+JUNIO!AG92</f>
        <v>365</v>
      </c>
      <c r="H92" s="9">
        <f>+JULIO!AG92</f>
        <v>105</v>
      </c>
      <c r="I92" s="9">
        <f>+AGOSTO!AG92</f>
        <v>186</v>
      </c>
      <c r="J92" s="9">
        <f>+SEPTIEMBRE!AG92</f>
        <v>247</v>
      </c>
      <c r="K92" s="9">
        <f>+OCTUBRE!AG92</f>
        <v>176</v>
      </c>
      <c r="L92" s="9">
        <f>+NOVIEMBRE!AG92</f>
        <v>146</v>
      </c>
      <c r="M92" s="9">
        <f>+DICIEMBRE!AG92</f>
        <v>142</v>
      </c>
      <c r="N92" s="4">
        <f t="shared" si="2"/>
        <v>2571</v>
      </c>
    </row>
    <row r="93" spans="1:16" ht="18.75" x14ac:dyDescent="0.25">
      <c r="A93" s="73" t="s">
        <v>616</v>
      </c>
      <c r="B93" s="74">
        <f>+ENERO!AG93</f>
        <v>5938</v>
      </c>
      <c r="C93" s="74">
        <f>+FEBRERO!AG93</f>
        <v>5319</v>
      </c>
      <c r="D93" s="74">
        <f>+MARZO!AG93</f>
        <v>5734</v>
      </c>
      <c r="E93" s="74">
        <f>+ABRIL!AG93</f>
        <v>5114</v>
      </c>
      <c r="F93" s="74">
        <f>+MAYO!AG93</f>
        <v>5518</v>
      </c>
      <c r="G93" s="74">
        <f>+JUNIO!AG93</f>
        <v>5586</v>
      </c>
      <c r="H93" s="74">
        <f>+JULIO!AG93</f>
        <v>5211</v>
      </c>
      <c r="I93" s="74">
        <f>+AGOSTO!AG93</f>
        <v>5859</v>
      </c>
      <c r="J93" s="74">
        <f>+SEPTIEMBRE!AG93</f>
        <v>6140</v>
      </c>
      <c r="K93" s="74">
        <f>+OCTUBRE!AG93</f>
        <v>5334</v>
      </c>
      <c r="L93" s="74">
        <f>+NOVIEMBRE!AG93</f>
        <v>4817</v>
      </c>
      <c r="M93" s="74">
        <f>+DICIEMBRE!AG93</f>
        <v>4768</v>
      </c>
      <c r="N93" s="150">
        <f t="shared" si="2"/>
        <v>65338</v>
      </c>
      <c r="O93" s="37" t="str">
        <f>IF(N93&lt;&gt;N28,"*","")</f>
        <v/>
      </c>
    </row>
    <row r="94" spans="1:16" ht="18.75" x14ac:dyDescent="0.25">
      <c r="A94" s="42" t="s">
        <v>65</v>
      </c>
      <c r="B94" s="17">
        <f>+ENERO!AG94</f>
        <v>870</v>
      </c>
      <c r="C94" s="17">
        <f>+FEBRERO!AG94</f>
        <v>651</v>
      </c>
      <c r="D94" s="17">
        <f>+MARZO!AG94</f>
        <v>856</v>
      </c>
      <c r="E94" s="17">
        <f>+ABRIL!AG94</f>
        <v>1117</v>
      </c>
      <c r="F94" s="17">
        <f>+MAYO!AG94</f>
        <v>1267</v>
      </c>
      <c r="G94" s="17">
        <f>+JUNIO!AG94</f>
        <v>1274</v>
      </c>
      <c r="H94" s="17">
        <f>+JULIO!AG94</f>
        <v>889</v>
      </c>
      <c r="I94" s="17">
        <f>+AGOSTO!AG94</f>
        <v>1272</v>
      </c>
      <c r="J94" s="17">
        <f>+SEPTIEMBRE!AG94</f>
        <v>1347</v>
      </c>
      <c r="K94" s="17">
        <f>+OCTUBRE!AG94</f>
        <v>1065</v>
      </c>
      <c r="L94" s="17">
        <f>+NOVIEMBRE!AG94</f>
        <v>822</v>
      </c>
      <c r="M94" s="17">
        <f>+DICIEMBRE!AG94</f>
        <v>759</v>
      </c>
      <c r="N94" s="4">
        <f t="shared" si="2"/>
        <v>12189</v>
      </c>
    </row>
    <row r="95" spans="1:16" ht="18.75" x14ac:dyDescent="0.25">
      <c r="A95" s="44" t="s">
        <v>81</v>
      </c>
      <c r="B95" s="7">
        <f>+ENERO!AG95</f>
        <v>38</v>
      </c>
      <c r="C95" s="7">
        <f>+FEBRERO!AG95</f>
        <v>22</v>
      </c>
      <c r="D95" s="7">
        <f>+MARZO!AG95</f>
        <v>33</v>
      </c>
      <c r="E95" s="7">
        <f>+ABRIL!AG95</f>
        <v>57</v>
      </c>
      <c r="F95" s="7">
        <f>+MAYO!AG95</f>
        <v>51</v>
      </c>
      <c r="G95" s="7">
        <f>+JUNIO!AG95</f>
        <v>41</v>
      </c>
      <c r="H95" s="7">
        <f>+JULIO!AG95</f>
        <v>52</v>
      </c>
      <c r="I95" s="7">
        <f>+AGOSTO!AG95</f>
        <v>72</v>
      </c>
      <c r="J95" s="7">
        <f>+SEPTIEMBRE!AG95</f>
        <v>73</v>
      </c>
      <c r="K95" s="7">
        <f>+OCTUBRE!AG95</f>
        <v>42</v>
      </c>
      <c r="L95" s="7">
        <f>+NOVIEMBRE!AG95</f>
        <v>38</v>
      </c>
      <c r="M95" s="7">
        <f>+DICIEMBRE!AG95</f>
        <v>35</v>
      </c>
      <c r="N95" s="4">
        <f t="shared" si="2"/>
        <v>554</v>
      </c>
    </row>
    <row r="96" spans="1:16" ht="18.75" x14ac:dyDescent="0.25">
      <c r="A96" s="45" t="s">
        <v>82</v>
      </c>
      <c r="B96" s="7">
        <f>+ENERO!AG96</f>
        <v>63</v>
      </c>
      <c r="C96" s="7">
        <f>+FEBRERO!AG96</f>
        <v>43</v>
      </c>
      <c r="D96" s="7">
        <f>+MARZO!AG96</f>
        <v>46</v>
      </c>
      <c r="E96" s="7">
        <f>+ABRIL!AG96</f>
        <v>83</v>
      </c>
      <c r="F96" s="7">
        <f>+MAYO!AG96</f>
        <v>99</v>
      </c>
      <c r="G96" s="7">
        <f>+JUNIO!AG96</f>
        <v>66</v>
      </c>
      <c r="H96" s="7">
        <f>+JULIO!AG96</f>
        <v>79</v>
      </c>
      <c r="I96" s="7">
        <f>+AGOSTO!AG96</f>
        <v>107</v>
      </c>
      <c r="J96" s="7">
        <f>+SEPTIEMBRE!AG96</f>
        <v>115</v>
      </c>
      <c r="K96" s="7">
        <f>+OCTUBRE!AG96</f>
        <v>80</v>
      </c>
      <c r="L96" s="7">
        <f>+NOVIEMBRE!AG96</f>
        <v>72</v>
      </c>
      <c r="M96" s="7">
        <f>+DICIEMBRE!AG96</f>
        <v>53</v>
      </c>
      <c r="N96" s="4">
        <f t="shared" si="2"/>
        <v>906</v>
      </c>
    </row>
    <row r="97" spans="1:14" ht="18.75" x14ac:dyDescent="0.25">
      <c r="A97" s="46" t="s">
        <v>70</v>
      </c>
      <c r="B97" s="7">
        <f>+ENERO!AG97</f>
        <v>186</v>
      </c>
      <c r="C97" s="7">
        <f>+FEBRERO!AG97</f>
        <v>137</v>
      </c>
      <c r="D97" s="7">
        <f>+MARZO!AG97</f>
        <v>178</v>
      </c>
      <c r="E97" s="7">
        <f>+ABRIL!AG97</f>
        <v>300</v>
      </c>
      <c r="F97" s="7">
        <f>+MAYO!AG97</f>
        <v>311</v>
      </c>
      <c r="G97" s="7">
        <f>+JUNIO!AG97</f>
        <v>271</v>
      </c>
      <c r="H97" s="7">
        <f>+JULIO!AG97</f>
        <v>237</v>
      </c>
      <c r="I97" s="7">
        <f>+AGOSTO!AG97</f>
        <v>302</v>
      </c>
      <c r="J97" s="7">
        <f>+SEPTIEMBRE!AG97</f>
        <v>284</v>
      </c>
      <c r="K97" s="7">
        <f>+OCTUBRE!AG97</f>
        <v>250</v>
      </c>
      <c r="L97" s="7">
        <f>+NOVIEMBRE!AG97</f>
        <v>196</v>
      </c>
      <c r="M97" s="7">
        <f>+DICIEMBRE!AG97</f>
        <v>196</v>
      </c>
      <c r="N97" s="4">
        <f t="shared" si="2"/>
        <v>2848</v>
      </c>
    </row>
    <row r="98" spans="1:14" ht="18.75" x14ac:dyDescent="0.25">
      <c r="A98" s="47" t="s">
        <v>6</v>
      </c>
      <c r="B98" s="7">
        <f>+ENERO!AG98</f>
        <v>338</v>
      </c>
      <c r="C98" s="7">
        <f>+FEBRERO!AG98</f>
        <v>231</v>
      </c>
      <c r="D98" s="7">
        <f>+MARZO!AG98</f>
        <v>315</v>
      </c>
      <c r="E98" s="7">
        <f>+ABRIL!AG98</f>
        <v>384</v>
      </c>
      <c r="F98" s="7">
        <f>+MAYO!AG98</f>
        <v>501</v>
      </c>
      <c r="G98" s="7">
        <f>+JUNIO!AG98</f>
        <v>506</v>
      </c>
      <c r="H98" s="7">
        <f>+JULIO!AG98</f>
        <v>280</v>
      </c>
      <c r="I98" s="7">
        <f>+AGOSTO!AG98</f>
        <v>404</v>
      </c>
      <c r="J98" s="7">
        <f>+SEPTIEMBRE!AG98</f>
        <v>466</v>
      </c>
      <c r="K98" s="7">
        <f>+OCTUBRE!AG98</f>
        <v>386</v>
      </c>
      <c r="L98" s="7">
        <f>+NOVIEMBRE!AG98</f>
        <v>276</v>
      </c>
      <c r="M98" s="7">
        <f>+DICIEMBRE!AG98</f>
        <v>263</v>
      </c>
      <c r="N98" s="4">
        <f t="shared" si="2"/>
        <v>4350</v>
      </c>
    </row>
    <row r="99" spans="1:14" ht="18.75" x14ac:dyDescent="0.25">
      <c r="A99" s="48" t="s">
        <v>7</v>
      </c>
      <c r="B99" s="7">
        <f>+ENERO!AG99</f>
        <v>245</v>
      </c>
      <c r="C99" s="7">
        <f>+FEBRERO!AG99</f>
        <v>218</v>
      </c>
      <c r="D99" s="7">
        <f>+MARZO!AG99</f>
        <v>284</v>
      </c>
      <c r="E99" s="7">
        <f>+ABRIL!AG99</f>
        <v>293</v>
      </c>
      <c r="F99" s="7">
        <f>+MAYO!AG99</f>
        <v>305</v>
      </c>
      <c r="G99" s="7">
        <f>+JUNIO!AG99</f>
        <v>390</v>
      </c>
      <c r="H99" s="7">
        <f>+JULIO!AG99</f>
        <v>241</v>
      </c>
      <c r="I99" s="7">
        <f>+AGOSTO!AG99</f>
        <v>387</v>
      </c>
      <c r="J99" s="7">
        <f>+SEPTIEMBRE!AG99</f>
        <v>409</v>
      </c>
      <c r="K99" s="7">
        <f>+OCTUBRE!AG99</f>
        <v>307</v>
      </c>
      <c r="L99" s="7">
        <f>+NOVIEMBRE!AG99</f>
        <v>240</v>
      </c>
      <c r="M99" s="7">
        <f>+DICIEMBRE!AG99</f>
        <v>212</v>
      </c>
      <c r="N99" s="4">
        <f t="shared" ref="N99:N130" si="3">SUM(B99:M99)</f>
        <v>3531</v>
      </c>
    </row>
    <row r="100" spans="1:14" ht="18.75" x14ac:dyDescent="0.25">
      <c r="A100" s="42" t="s">
        <v>66</v>
      </c>
      <c r="B100" s="17">
        <f>+ENERO!AG100</f>
        <v>5068</v>
      </c>
      <c r="C100" s="17">
        <f>+FEBRERO!AG100</f>
        <v>4668</v>
      </c>
      <c r="D100" s="17">
        <f>+MARZO!AG100</f>
        <v>4878</v>
      </c>
      <c r="E100" s="17">
        <f>+ABRIL!AG100</f>
        <v>3997</v>
      </c>
      <c r="F100" s="17">
        <f>+MAYO!AG100</f>
        <v>4251</v>
      </c>
      <c r="G100" s="17">
        <f>+JUNIO!AG100</f>
        <v>4312</v>
      </c>
      <c r="H100" s="17">
        <f>+JULIO!AG100</f>
        <v>4322</v>
      </c>
      <c r="I100" s="17">
        <f>+AGOSTO!AG100</f>
        <v>4587</v>
      </c>
      <c r="J100" s="17">
        <f>+SEPTIEMBRE!AG100</f>
        <v>4793</v>
      </c>
      <c r="K100" s="17">
        <f>+OCTUBRE!AG100</f>
        <v>4269</v>
      </c>
      <c r="L100" s="17">
        <f>+NOVIEMBRE!AG100</f>
        <v>3995</v>
      </c>
      <c r="M100" s="17">
        <f>+DICIEMBRE!AG100</f>
        <v>4009</v>
      </c>
      <c r="N100" s="4">
        <f t="shared" si="3"/>
        <v>53149</v>
      </c>
    </row>
    <row r="101" spans="1:14" ht="18.75" x14ac:dyDescent="0.25">
      <c r="A101" s="48" t="s">
        <v>8</v>
      </c>
      <c r="B101" s="7">
        <f>+ENERO!AG101</f>
        <v>459</v>
      </c>
      <c r="C101" s="7">
        <f>+FEBRERO!AG101</f>
        <v>411</v>
      </c>
      <c r="D101" s="7">
        <f>+MARZO!AG101</f>
        <v>527</v>
      </c>
      <c r="E101" s="7">
        <f>+ABRIL!AG101</f>
        <v>442</v>
      </c>
      <c r="F101" s="7">
        <f>+MAYO!AG101</f>
        <v>407</v>
      </c>
      <c r="G101" s="7">
        <f>+JUNIO!AG101</f>
        <v>428</v>
      </c>
      <c r="H101" s="7">
        <f>+JULIO!AG101</f>
        <v>349</v>
      </c>
      <c r="I101" s="7">
        <f>+AGOSTO!AG101</f>
        <v>423</v>
      </c>
      <c r="J101" s="7">
        <f>+SEPTIEMBRE!AG101</f>
        <v>472</v>
      </c>
      <c r="K101" s="7">
        <f>+OCTUBRE!AG101</f>
        <v>403</v>
      </c>
      <c r="L101" s="7">
        <f>+NOVIEMBRE!AG101</f>
        <v>312</v>
      </c>
      <c r="M101" s="7">
        <f>+DICIEMBRE!AG101</f>
        <v>296</v>
      </c>
      <c r="N101" s="4">
        <f t="shared" si="3"/>
        <v>4929</v>
      </c>
    </row>
    <row r="102" spans="1:14" ht="18.75" x14ac:dyDescent="0.25">
      <c r="A102" s="48" t="s">
        <v>9</v>
      </c>
      <c r="B102" s="7">
        <f>+ENERO!AG102</f>
        <v>643</v>
      </c>
      <c r="C102" s="7">
        <f>+FEBRERO!AG102</f>
        <v>542</v>
      </c>
      <c r="D102" s="7">
        <f>+MARZO!AG102</f>
        <v>545</v>
      </c>
      <c r="E102" s="7">
        <f>+ABRIL!AG102</f>
        <v>484</v>
      </c>
      <c r="F102" s="7">
        <f>+MAYO!AG102</f>
        <v>543</v>
      </c>
      <c r="G102" s="7">
        <f>+JUNIO!AG102</f>
        <v>488</v>
      </c>
      <c r="H102" s="7">
        <f>+JULIO!AG102</f>
        <v>508</v>
      </c>
      <c r="I102" s="7">
        <f>+AGOSTO!AG102</f>
        <v>502</v>
      </c>
      <c r="J102" s="7">
        <f>+SEPTIEMBRE!AG102</f>
        <v>502</v>
      </c>
      <c r="K102" s="7">
        <f>+OCTUBRE!AG102</f>
        <v>474</v>
      </c>
      <c r="L102" s="7">
        <f>+NOVIEMBRE!AG102</f>
        <v>443</v>
      </c>
      <c r="M102" s="7">
        <f>+DICIEMBRE!AG102</f>
        <v>458</v>
      </c>
      <c r="N102" s="4">
        <f t="shared" si="3"/>
        <v>6132</v>
      </c>
    </row>
    <row r="103" spans="1:14" ht="18.75" x14ac:dyDescent="0.25">
      <c r="A103" s="49" t="s">
        <v>10</v>
      </c>
      <c r="B103" s="7">
        <f>+ENERO!AG103</f>
        <v>511</v>
      </c>
      <c r="C103" s="7">
        <f>+FEBRERO!AG103</f>
        <v>500</v>
      </c>
      <c r="D103" s="7">
        <f>+MARZO!AG103</f>
        <v>459</v>
      </c>
      <c r="E103" s="7">
        <f>+ABRIL!AG103</f>
        <v>360</v>
      </c>
      <c r="F103" s="7">
        <f>+MAYO!AG103</f>
        <v>405</v>
      </c>
      <c r="G103" s="7">
        <f>+JUNIO!AG103</f>
        <v>437</v>
      </c>
      <c r="H103" s="7">
        <f>+JULIO!AG103</f>
        <v>421</v>
      </c>
      <c r="I103" s="7">
        <f>+AGOSTO!AG103</f>
        <v>396</v>
      </c>
      <c r="J103" s="7">
        <f>+SEPTIEMBRE!AG103</f>
        <v>445</v>
      </c>
      <c r="K103" s="7">
        <f>+OCTUBRE!AG103</f>
        <v>391</v>
      </c>
      <c r="L103" s="7">
        <f>+NOVIEMBRE!AG103</f>
        <v>371</v>
      </c>
      <c r="M103" s="7">
        <f>+DICIEMBRE!AG103</f>
        <v>411</v>
      </c>
      <c r="N103" s="4">
        <f t="shared" si="3"/>
        <v>5107</v>
      </c>
    </row>
    <row r="104" spans="1:14" ht="18.75" x14ac:dyDescent="0.25">
      <c r="A104" s="49" t="s">
        <v>11</v>
      </c>
      <c r="B104" s="7">
        <f>+ENERO!AG104</f>
        <v>404</v>
      </c>
      <c r="C104" s="7">
        <f>+FEBRERO!AG104</f>
        <v>402</v>
      </c>
      <c r="D104" s="7">
        <f>+MARZO!AG104</f>
        <v>381</v>
      </c>
      <c r="E104" s="7">
        <f>+ABRIL!AG104</f>
        <v>337</v>
      </c>
      <c r="F104" s="7">
        <f>+MAYO!AG104</f>
        <v>352</v>
      </c>
      <c r="G104" s="7">
        <f>+JUNIO!AG104</f>
        <v>344</v>
      </c>
      <c r="H104" s="7">
        <f>+JULIO!AG104</f>
        <v>367</v>
      </c>
      <c r="I104" s="7">
        <f>+AGOSTO!AG104</f>
        <v>350</v>
      </c>
      <c r="J104" s="7">
        <f>+SEPTIEMBRE!AG104</f>
        <v>356</v>
      </c>
      <c r="K104" s="7">
        <f>+OCTUBRE!AG104</f>
        <v>308</v>
      </c>
      <c r="L104" s="7">
        <f>+NOVIEMBRE!AG104</f>
        <v>314</v>
      </c>
      <c r="M104" s="7">
        <f>+DICIEMBRE!AG104</f>
        <v>307</v>
      </c>
      <c r="N104" s="4">
        <f t="shared" si="3"/>
        <v>4222</v>
      </c>
    </row>
    <row r="105" spans="1:14" ht="18.75" x14ac:dyDescent="0.25">
      <c r="A105" s="49" t="s">
        <v>12</v>
      </c>
      <c r="B105" s="7">
        <f>+ENERO!AG105</f>
        <v>374</v>
      </c>
      <c r="C105" s="7">
        <f>+FEBRERO!AG105</f>
        <v>359</v>
      </c>
      <c r="D105" s="7">
        <f>+MARZO!AG105</f>
        <v>356</v>
      </c>
      <c r="E105" s="7">
        <f>+ABRIL!AG105</f>
        <v>282</v>
      </c>
      <c r="F105" s="7">
        <f>+MAYO!AG105</f>
        <v>336</v>
      </c>
      <c r="G105" s="7">
        <f>+JUNIO!AG105</f>
        <v>356</v>
      </c>
      <c r="H105" s="7">
        <f>+JULIO!AG105</f>
        <v>323</v>
      </c>
      <c r="I105" s="7">
        <f>+AGOSTO!AG105</f>
        <v>297</v>
      </c>
      <c r="J105" s="7">
        <f>+SEPTIEMBRE!AG105</f>
        <v>359</v>
      </c>
      <c r="K105" s="7">
        <f>+OCTUBRE!AG105</f>
        <v>279</v>
      </c>
      <c r="L105" s="7">
        <f>+NOVIEMBRE!AG105</f>
        <v>277</v>
      </c>
      <c r="M105" s="7">
        <f>+DICIEMBRE!AG105</f>
        <v>275</v>
      </c>
      <c r="N105" s="4">
        <f t="shared" si="3"/>
        <v>3873</v>
      </c>
    </row>
    <row r="106" spans="1:14" ht="18.75" x14ac:dyDescent="0.25">
      <c r="A106" s="49" t="s">
        <v>13</v>
      </c>
      <c r="B106" s="7">
        <f>+ENERO!AG106</f>
        <v>375</v>
      </c>
      <c r="C106" s="7">
        <f>+FEBRERO!AG106</f>
        <v>328</v>
      </c>
      <c r="D106" s="7">
        <f>+MARZO!AG106</f>
        <v>328</v>
      </c>
      <c r="E106" s="7">
        <f>+ABRIL!AG106</f>
        <v>242</v>
      </c>
      <c r="F106" s="7">
        <f>+MAYO!AG106</f>
        <v>298</v>
      </c>
      <c r="G106" s="7">
        <f>+JUNIO!AG106</f>
        <v>310</v>
      </c>
      <c r="H106" s="7">
        <f>+JULIO!AG106</f>
        <v>277</v>
      </c>
      <c r="I106" s="7">
        <f>+AGOSTO!AG106</f>
        <v>319</v>
      </c>
      <c r="J106" s="7">
        <f>+SEPTIEMBRE!AG106</f>
        <v>292</v>
      </c>
      <c r="K106" s="7">
        <f>+OCTUBRE!AG106</f>
        <v>287</v>
      </c>
      <c r="L106" s="7">
        <f>+NOVIEMBRE!AG106</f>
        <v>243</v>
      </c>
      <c r="M106" s="7">
        <f>+DICIEMBRE!AG106</f>
        <v>234</v>
      </c>
      <c r="N106" s="4">
        <f t="shared" si="3"/>
        <v>3533</v>
      </c>
    </row>
    <row r="107" spans="1:14" ht="18.75" x14ac:dyDescent="0.25">
      <c r="A107" s="49" t="s">
        <v>14</v>
      </c>
      <c r="B107" s="7">
        <f>+ENERO!AG107</f>
        <v>393</v>
      </c>
      <c r="C107" s="7">
        <f>+FEBRERO!AG107</f>
        <v>389</v>
      </c>
      <c r="D107" s="7">
        <f>+MARZO!AG107</f>
        <v>396</v>
      </c>
      <c r="E107" s="7">
        <f>+ABRIL!AG107</f>
        <v>299</v>
      </c>
      <c r="F107" s="7">
        <f>+MAYO!AG107</f>
        <v>356</v>
      </c>
      <c r="G107" s="7">
        <f>+JUNIO!AG107</f>
        <v>377</v>
      </c>
      <c r="H107" s="7">
        <f>+JULIO!AG107</f>
        <v>366</v>
      </c>
      <c r="I107" s="7">
        <f>+AGOSTO!AG107</f>
        <v>352</v>
      </c>
      <c r="J107" s="7">
        <f>+SEPTIEMBRE!AG107</f>
        <v>418</v>
      </c>
      <c r="K107" s="7">
        <f>+OCTUBRE!AG107</f>
        <v>352</v>
      </c>
      <c r="L107" s="7">
        <f>+NOVIEMBRE!AG107</f>
        <v>298</v>
      </c>
      <c r="M107" s="7">
        <f>+DICIEMBRE!AG107</f>
        <v>339</v>
      </c>
      <c r="N107" s="4">
        <f t="shared" si="3"/>
        <v>4335</v>
      </c>
    </row>
    <row r="108" spans="1:14" ht="18.75" x14ac:dyDescent="0.25">
      <c r="A108" s="49" t="s">
        <v>15</v>
      </c>
      <c r="B108" s="7">
        <f>+ENERO!AG108</f>
        <v>388</v>
      </c>
      <c r="C108" s="7">
        <f>+FEBRERO!AG108</f>
        <v>379</v>
      </c>
      <c r="D108" s="7">
        <f>+MARZO!AG108</f>
        <v>365</v>
      </c>
      <c r="E108" s="7">
        <f>+ABRIL!AG108</f>
        <v>319</v>
      </c>
      <c r="F108" s="7">
        <f>+MAYO!AG108</f>
        <v>324</v>
      </c>
      <c r="G108" s="7">
        <f>+JUNIO!AG108</f>
        <v>366</v>
      </c>
      <c r="H108" s="7">
        <f>+JULIO!AG108</f>
        <v>379</v>
      </c>
      <c r="I108" s="7">
        <f>+AGOSTO!AG108</f>
        <v>377</v>
      </c>
      <c r="J108" s="7">
        <f>+SEPTIEMBRE!AG108</f>
        <v>425</v>
      </c>
      <c r="K108" s="7">
        <f>+OCTUBRE!AG108</f>
        <v>360</v>
      </c>
      <c r="L108" s="7">
        <f>+NOVIEMBRE!AG108</f>
        <v>357</v>
      </c>
      <c r="M108" s="7">
        <f>+DICIEMBRE!AG108</f>
        <v>342</v>
      </c>
      <c r="N108" s="4">
        <f t="shared" si="3"/>
        <v>4381</v>
      </c>
    </row>
    <row r="109" spans="1:14" ht="18.75" x14ac:dyDescent="0.25">
      <c r="A109" s="49" t="s">
        <v>16</v>
      </c>
      <c r="B109" s="7">
        <f>+ENERO!AG109</f>
        <v>336</v>
      </c>
      <c r="C109" s="7">
        <f>+FEBRERO!AG109</f>
        <v>327</v>
      </c>
      <c r="D109" s="7">
        <f>+MARZO!AG109</f>
        <v>357</v>
      </c>
      <c r="E109" s="7">
        <f>+ABRIL!AG109</f>
        <v>302</v>
      </c>
      <c r="F109" s="7">
        <f>+MAYO!AG109</f>
        <v>310</v>
      </c>
      <c r="G109" s="7">
        <f>+JUNIO!AG109</f>
        <v>300</v>
      </c>
      <c r="H109" s="7">
        <f>+JULIO!AG109</f>
        <v>341</v>
      </c>
      <c r="I109" s="7">
        <f>+AGOSTO!AG109</f>
        <v>361</v>
      </c>
      <c r="J109" s="7">
        <f>+SEPTIEMBRE!AG109</f>
        <v>334</v>
      </c>
      <c r="K109" s="7">
        <f>+OCTUBRE!AG109</f>
        <v>321</v>
      </c>
      <c r="L109" s="7">
        <f>+NOVIEMBRE!AG109</f>
        <v>315</v>
      </c>
      <c r="M109" s="7">
        <f>+DICIEMBRE!AG109</f>
        <v>306</v>
      </c>
      <c r="N109" s="4">
        <f t="shared" si="3"/>
        <v>3910</v>
      </c>
    </row>
    <row r="110" spans="1:14" ht="18.75" x14ac:dyDescent="0.25">
      <c r="A110" s="49" t="s">
        <v>17</v>
      </c>
      <c r="B110" s="7">
        <f>+ENERO!AG110</f>
        <v>299</v>
      </c>
      <c r="C110" s="7">
        <f>+FEBRERO!AG110</f>
        <v>282</v>
      </c>
      <c r="D110" s="7">
        <f>+MARZO!AG110</f>
        <v>314</v>
      </c>
      <c r="E110" s="7">
        <f>+ABRIL!AG110</f>
        <v>228</v>
      </c>
      <c r="F110" s="7">
        <f>+MAYO!AG110</f>
        <v>250</v>
      </c>
      <c r="G110" s="7">
        <f>+JUNIO!AG110</f>
        <v>254</v>
      </c>
      <c r="H110" s="7">
        <f>+JULIO!AG110</f>
        <v>277</v>
      </c>
      <c r="I110" s="7">
        <f>+AGOSTO!AG110</f>
        <v>290</v>
      </c>
      <c r="J110" s="7">
        <f>+SEPTIEMBRE!AG110</f>
        <v>298</v>
      </c>
      <c r="K110" s="7">
        <f>+OCTUBRE!AG110</f>
        <v>286</v>
      </c>
      <c r="L110" s="7">
        <f>+NOVIEMBRE!AG110</f>
        <v>285</v>
      </c>
      <c r="M110" s="7">
        <f>+DICIEMBRE!AG110</f>
        <v>284</v>
      </c>
      <c r="N110" s="4">
        <f t="shared" si="3"/>
        <v>3347</v>
      </c>
    </row>
    <row r="111" spans="1:14" ht="18.75" x14ac:dyDescent="0.25">
      <c r="A111" s="49" t="s">
        <v>18</v>
      </c>
      <c r="B111" s="7">
        <f>+ENERO!AG111</f>
        <v>266</v>
      </c>
      <c r="C111" s="7">
        <f>+FEBRERO!AG111</f>
        <v>207</v>
      </c>
      <c r="D111" s="7">
        <f>+MARZO!AG111</f>
        <v>254</v>
      </c>
      <c r="E111" s="7">
        <f>+ABRIL!AG111</f>
        <v>226</v>
      </c>
      <c r="F111" s="7">
        <f>+MAYO!AG111</f>
        <v>212</v>
      </c>
      <c r="G111" s="7">
        <f>+JUNIO!AG111</f>
        <v>215</v>
      </c>
      <c r="H111" s="7">
        <f>+JULIO!AG111</f>
        <v>228</v>
      </c>
      <c r="I111" s="7">
        <f>+AGOSTO!AG111</f>
        <v>268</v>
      </c>
      <c r="J111" s="7">
        <f>+SEPTIEMBRE!AG111</f>
        <v>262</v>
      </c>
      <c r="K111" s="7">
        <f>+OCTUBRE!AG111</f>
        <v>246</v>
      </c>
      <c r="L111" s="7">
        <f>+NOVIEMBRE!AG111</f>
        <v>225</v>
      </c>
      <c r="M111" s="7">
        <f>+DICIEMBRE!AG111</f>
        <v>221</v>
      </c>
      <c r="N111" s="4">
        <f t="shared" si="3"/>
        <v>2830</v>
      </c>
    </row>
    <row r="112" spans="1:14" ht="18.75" x14ac:dyDescent="0.25">
      <c r="A112" s="49" t="s">
        <v>19</v>
      </c>
      <c r="B112" s="7">
        <f>+ENERO!AG112</f>
        <v>214</v>
      </c>
      <c r="C112" s="7">
        <f>+FEBRERO!AG112</f>
        <v>187</v>
      </c>
      <c r="D112" s="7">
        <f>+MARZO!AG112</f>
        <v>216</v>
      </c>
      <c r="E112" s="7">
        <f>+ABRIL!AG112</f>
        <v>138</v>
      </c>
      <c r="F112" s="7">
        <f>+MAYO!AG112</f>
        <v>159</v>
      </c>
      <c r="G112" s="7">
        <f>+JUNIO!AG112</f>
        <v>170</v>
      </c>
      <c r="H112" s="7">
        <f>+JULIO!AG112</f>
        <v>185</v>
      </c>
      <c r="I112" s="7">
        <f>+AGOSTO!AG112</f>
        <v>212</v>
      </c>
      <c r="J112" s="7">
        <f>+SEPTIEMBRE!AG112</f>
        <v>198</v>
      </c>
      <c r="K112" s="7">
        <f>+OCTUBRE!AG112</f>
        <v>206</v>
      </c>
      <c r="L112" s="7">
        <f>+NOVIEMBRE!AG112</f>
        <v>180</v>
      </c>
      <c r="M112" s="7">
        <f>+DICIEMBRE!AG112</f>
        <v>163</v>
      </c>
      <c r="N112" s="4">
        <f t="shared" si="3"/>
        <v>2228</v>
      </c>
    </row>
    <row r="113" spans="1:14" ht="39.75" customHeight="1" x14ac:dyDescent="0.25">
      <c r="A113" s="49" t="s">
        <v>20</v>
      </c>
      <c r="B113" s="7">
        <f>+ENERO!AG113</f>
        <v>183</v>
      </c>
      <c r="C113" s="7">
        <f>+FEBRERO!AG113</f>
        <v>176</v>
      </c>
      <c r="D113" s="7">
        <f>+MARZO!AG113</f>
        <v>164</v>
      </c>
      <c r="E113" s="7">
        <f>+ABRIL!AG113</f>
        <v>169</v>
      </c>
      <c r="F113" s="7">
        <f>+MAYO!AG113</f>
        <v>130</v>
      </c>
      <c r="G113" s="7">
        <f>+JUNIO!AG113</f>
        <v>121</v>
      </c>
      <c r="H113" s="7">
        <f>+JULIO!AG113</f>
        <v>150</v>
      </c>
      <c r="I113" s="7">
        <f>+AGOSTO!AG113</f>
        <v>197</v>
      </c>
      <c r="J113" s="7">
        <f>+SEPTIEMBRE!AG113</f>
        <v>192</v>
      </c>
      <c r="K113" s="7">
        <f>+OCTUBRE!AG113</f>
        <v>145</v>
      </c>
      <c r="L113" s="7">
        <f>+NOVIEMBRE!AG113</f>
        <v>157</v>
      </c>
      <c r="M113" s="7">
        <f>+DICIEMBRE!AG113</f>
        <v>204</v>
      </c>
      <c r="N113" s="4">
        <f t="shared" si="3"/>
        <v>1988</v>
      </c>
    </row>
    <row r="114" spans="1:14" ht="18.75" x14ac:dyDescent="0.25">
      <c r="A114" s="49" t="s">
        <v>21</v>
      </c>
      <c r="B114" s="7">
        <f>+ENERO!AG114</f>
        <v>223</v>
      </c>
      <c r="C114" s="7">
        <f>+FEBRERO!AG114</f>
        <v>179</v>
      </c>
      <c r="D114" s="7">
        <f>+MARZO!AG114</f>
        <v>216</v>
      </c>
      <c r="E114" s="7">
        <f>+ABRIL!AG114</f>
        <v>169</v>
      </c>
      <c r="F114" s="7">
        <f>+MAYO!AG114</f>
        <v>169</v>
      </c>
      <c r="G114" s="7">
        <f>+JUNIO!AG114</f>
        <v>146</v>
      </c>
      <c r="H114" s="7">
        <f>+JULIO!AG114</f>
        <v>151</v>
      </c>
      <c r="I114" s="7">
        <f>+AGOSTO!AG114</f>
        <v>243</v>
      </c>
      <c r="J114" s="7">
        <f>+SEPTIEMBRE!AG114</f>
        <v>240</v>
      </c>
      <c r="K114" s="7">
        <f>+OCTUBRE!AG114</f>
        <v>205</v>
      </c>
      <c r="L114" s="7">
        <f>+NOVIEMBRE!AG114</f>
        <v>218</v>
      </c>
      <c r="M114" s="7">
        <f>+DICIEMBRE!AG114</f>
        <v>167</v>
      </c>
      <c r="N114" s="4">
        <f t="shared" si="3"/>
        <v>2326</v>
      </c>
    </row>
    <row r="115" spans="1:14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4">
        <f t="shared" si="3"/>
        <v>0</v>
      </c>
    </row>
    <row r="116" spans="1:14" ht="18.75" x14ac:dyDescent="0.25">
      <c r="A116" s="73" t="s">
        <v>61</v>
      </c>
      <c r="B116" s="74">
        <f t="shared" ref="B116:D116" si="4">SUM(B117:B129)</f>
        <v>2700</v>
      </c>
      <c r="C116" s="74">
        <f t="shared" si="4"/>
        <v>2338</v>
      </c>
      <c r="D116" s="74">
        <f t="shared" si="4"/>
        <v>2819</v>
      </c>
      <c r="E116" s="74">
        <f>+ABRIL!$AG116</f>
        <v>2567</v>
      </c>
      <c r="F116" s="74">
        <f>+MAYO!$AG116</f>
        <v>2698</v>
      </c>
      <c r="G116" s="74">
        <f>+JUNIO!$AG116</f>
        <v>2641</v>
      </c>
      <c r="H116" s="74">
        <f>+JULIO!$AG116</f>
        <v>2402</v>
      </c>
      <c r="I116" s="74">
        <f>+AGOSTO!$AG116</f>
        <v>2776</v>
      </c>
      <c r="J116" s="74">
        <f>+SEPTIEMBRE!$AG116</f>
        <v>2912</v>
      </c>
      <c r="K116" s="74">
        <f>+OCTUBRE!$AG116</f>
        <v>2559</v>
      </c>
      <c r="L116" s="74">
        <f>+NOVIEMBRE!$AG116</f>
        <v>2287</v>
      </c>
      <c r="M116" s="74">
        <f>+DICIEMBRE!$AG116</f>
        <v>2241</v>
      </c>
      <c r="N116" s="4">
        <f t="shared" si="3"/>
        <v>30940</v>
      </c>
    </row>
    <row r="117" spans="1:14" ht="18.75" x14ac:dyDescent="0.25">
      <c r="A117" s="43" t="s">
        <v>59</v>
      </c>
      <c r="B117" s="7">
        <f>+ENERO!$AG117</f>
        <v>1767</v>
      </c>
      <c r="C117" s="7">
        <f>+FEBRERO!$AG117</f>
        <v>1465</v>
      </c>
      <c r="D117" s="7">
        <f>+MARZO!$AG117</f>
        <v>1867</v>
      </c>
      <c r="E117" s="7">
        <f>+ABRIL!$AG117</f>
        <v>1792</v>
      </c>
      <c r="F117" s="7">
        <f>+MAYO!$AG117</f>
        <v>1921</v>
      </c>
      <c r="G117" s="7">
        <f>+JUNIO!$AG117</f>
        <v>1830</v>
      </c>
      <c r="H117" s="7">
        <f>+JULIO!$AG117</f>
        <v>1703</v>
      </c>
      <c r="I117" s="7">
        <f>+AGOSTO!$AG117</f>
        <v>2020</v>
      </c>
      <c r="J117" s="7">
        <f>+SEPTIEMBRE!$AG117</f>
        <v>2120</v>
      </c>
      <c r="K117" s="7">
        <f>+OCTUBRE!$AG117</f>
        <v>1889</v>
      </c>
      <c r="L117" s="7">
        <f>+NOVIEMBRE!$AG117</f>
        <v>1620</v>
      </c>
      <c r="M117" s="7">
        <f>+DICIEMBRE!$AG117</f>
        <v>1640</v>
      </c>
      <c r="N117" s="4">
        <f t="shared" si="3"/>
        <v>21634</v>
      </c>
    </row>
    <row r="118" spans="1:14" ht="19.5" customHeight="1" x14ac:dyDescent="0.25">
      <c r="A118" s="43" t="s">
        <v>23</v>
      </c>
      <c r="B118" s="7"/>
      <c r="C118" s="7"/>
      <c r="D118" s="7"/>
      <c r="E118" s="7">
        <f>+ABRIL!$AG118</f>
        <v>0</v>
      </c>
      <c r="F118" s="7">
        <f>+MAYO!$AG118</f>
        <v>0</v>
      </c>
      <c r="G118" s="7">
        <f>+JUNIO!$AG118</f>
        <v>0</v>
      </c>
      <c r="H118" s="7">
        <f>+JULIO!$AG118</f>
        <v>0</v>
      </c>
      <c r="I118" s="7">
        <f>+AGOSTO!$AG118</f>
        <v>0</v>
      </c>
      <c r="J118" s="7">
        <f>+SEPTIEMBRE!$AG118</f>
        <v>0</v>
      </c>
      <c r="K118" s="7">
        <f>+OCTUBRE!$AG118</f>
        <v>0</v>
      </c>
      <c r="L118" s="7">
        <f>+NOVIEMBRE!$AG118</f>
        <v>0</v>
      </c>
      <c r="M118" s="7">
        <f>+DICIEMBRE!$AG118</f>
        <v>0</v>
      </c>
      <c r="N118" s="4">
        <f t="shared" si="3"/>
        <v>0</v>
      </c>
    </row>
    <row r="119" spans="1:14" ht="19.5" customHeight="1" x14ac:dyDescent="0.25">
      <c r="A119" s="43" t="s">
        <v>24</v>
      </c>
      <c r="B119" s="7"/>
      <c r="C119" s="7"/>
      <c r="D119" s="7"/>
      <c r="E119" s="7">
        <f>+ABRIL!$AG119</f>
        <v>0</v>
      </c>
      <c r="F119" s="7">
        <f>+MAYO!$AG119</f>
        <v>0</v>
      </c>
      <c r="G119" s="7">
        <f>+JUNIO!$AG119</f>
        <v>0</v>
      </c>
      <c r="H119" s="7">
        <f>+JULIO!$AG119</f>
        <v>0</v>
      </c>
      <c r="I119" s="7">
        <f>+AGOSTO!$AG119</f>
        <v>0</v>
      </c>
      <c r="J119" s="7">
        <f>+SEPTIEMBRE!$AG119</f>
        <v>0</v>
      </c>
      <c r="K119" s="7">
        <f>+OCTUBRE!$AG119</f>
        <v>0</v>
      </c>
      <c r="L119" s="7">
        <f>+NOVIEMBRE!$AG119</f>
        <v>0</v>
      </c>
      <c r="M119" s="7">
        <f>+DICIEMBRE!$AG119</f>
        <v>0</v>
      </c>
      <c r="N119" s="4">
        <f t="shared" si="3"/>
        <v>0</v>
      </c>
    </row>
    <row r="120" spans="1:14" ht="19.5" customHeight="1" x14ac:dyDescent="0.25">
      <c r="A120" s="43" t="s">
        <v>25</v>
      </c>
      <c r="B120" s="7"/>
      <c r="C120" s="7"/>
      <c r="D120" s="7"/>
      <c r="E120" s="7">
        <f>+ABRIL!$AG120</f>
        <v>0</v>
      </c>
      <c r="F120" s="7">
        <f>+MAYO!$AG120</f>
        <v>0</v>
      </c>
      <c r="G120" s="7">
        <f>+JUNIO!$AG120</f>
        <v>0</v>
      </c>
      <c r="H120" s="7">
        <f>+JULIO!$AG120</f>
        <v>0</v>
      </c>
      <c r="I120" s="7">
        <f>+AGOSTO!$AG120</f>
        <v>0</v>
      </c>
      <c r="J120" s="7">
        <f>+SEPTIEMBRE!$AG120</f>
        <v>0</v>
      </c>
      <c r="K120" s="7">
        <f>+OCTUBRE!$AG120</f>
        <v>0</v>
      </c>
      <c r="L120" s="7">
        <f>+NOVIEMBRE!$AG120</f>
        <v>0</v>
      </c>
      <c r="M120" s="7">
        <f>+DICIEMBRE!$AG120</f>
        <v>0</v>
      </c>
      <c r="N120" s="4">
        <f t="shared" si="3"/>
        <v>0</v>
      </c>
    </row>
    <row r="121" spans="1:14" ht="19.5" customHeight="1" x14ac:dyDescent="0.25">
      <c r="A121" s="43" t="s">
        <v>26</v>
      </c>
      <c r="B121" s="7"/>
      <c r="C121" s="7"/>
      <c r="D121" s="7"/>
      <c r="E121" s="7">
        <f>+ABRIL!$AG121</f>
        <v>0</v>
      </c>
      <c r="F121" s="7">
        <f>+MAYO!$AG121</f>
        <v>0</v>
      </c>
      <c r="G121" s="7">
        <f>+JUNIO!$AG121</f>
        <v>0</v>
      </c>
      <c r="H121" s="7">
        <f>+JULIO!$AG121</f>
        <v>0</v>
      </c>
      <c r="I121" s="7">
        <f>+AGOSTO!$AG121</f>
        <v>0</v>
      </c>
      <c r="J121" s="7">
        <f>+SEPTIEMBRE!$AG121</f>
        <v>0</v>
      </c>
      <c r="K121" s="7">
        <f>+OCTUBRE!$AG121</f>
        <v>0</v>
      </c>
      <c r="L121" s="7">
        <f>+NOVIEMBRE!$AG121</f>
        <v>0</v>
      </c>
      <c r="M121" s="7">
        <f>+DICIEMBRE!$AG121</f>
        <v>0</v>
      </c>
      <c r="N121" s="4">
        <f t="shared" si="3"/>
        <v>0</v>
      </c>
    </row>
    <row r="122" spans="1:14" ht="19.5" customHeight="1" x14ac:dyDescent="0.25">
      <c r="A122" s="43" t="s">
        <v>27</v>
      </c>
      <c r="B122" s="7"/>
      <c r="C122" s="7"/>
      <c r="D122" s="7"/>
      <c r="E122" s="7">
        <f>+ABRIL!$AG122</f>
        <v>0</v>
      </c>
      <c r="F122" s="7">
        <f>+MAYO!$AG122</f>
        <v>0</v>
      </c>
      <c r="G122" s="7">
        <f>+JUNIO!$AG122</f>
        <v>0</v>
      </c>
      <c r="H122" s="7">
        <f>+JULIO!$AG122</f>
        <v>0</v>
      </c>
      <c r="I122" s="7">
        <f>+AGOSTO!$AG122</f>
        <v>0</v>
      </c>
      <c r="J122" s="7">
        <f>+SEPTIEMBRE!$AG122</f>
        <v>0</v>
      </c>
      <c r="K122" s="7">
        <f>+OCTUBRE!$AG122</f>
        <v>0</v>
      </c>
      <c r="L122" s="7">
        <f>+NOVIEMBRE!$AG122</f>
        <v>0</v>
      </c>
      <c r="M122" s="7">
        <f>+DICIEMBRE!$AG122</f>
        <v>0</v>
      </c>
      <c r="N122" s="4">
        <f t="shared" si="3"/>
        <v>0</v>
      </c>
    </row>
    <row r="123" spans="1:14" ht="19.5" customHeight="1" x14ac:dyDescent="0.25">
      <c r="A123" s="43" t="s">
        <v>28</v>
      </c>
      <c r="B123" s="7"/>
      <c r="C123" s="7"/>
      <c r="D123" s="7"/>
      <c r="E123" s="7">
        <f>+ABRIL!$AG123</f>
        <v>0</v>
      </c>
      <c r="F123" s="7">
        <f>+MAYO!$AG123</f>
        <v>0</v>
      </c>
      <c r="G123" s="7">
        <f>+JUNIO!$AG123</f>
        <v>0</v>
      </c>
      <c r="H123" s="7">
        <f>+JULIO!$AG123</f>
        <v>0</v>
      </c>
      <c r="I123" s="7">
        <f>+AGOSTO!$AG123</f>
        <v>0</v>
      </c>
      <c r="J123" s="7">
        <f>+SEPTIEMBRE!$AG123</f>
        <v>0</v>
      </c>
      <c r="K123" s="7">
        <f>+OCTUBRE!$AG123</f>
        <v>0</v>
      </c>
      <c r="L123" s="7">
        <f>+NOVIEMBRE!$AG123</f>
        <v>0</v>
      </c>
      <c r="M123" s="7">
        <f>+DICIEMBRE!$AG123</f>
        <v>0</v>
      </c>
      <c r="N123" s="4">
        <f t="shared" si="3"/>
        <v>0</v>
      </c>
    </row>
    <row r="124" spans="1:14" ht="19.5" customHeight="1" x14ac:dyDescent="0.25">
      <c r="A124" s="43" t="s">
        <v>29</v>
      </c>
      <c r="B124" s="7"/>
      <c r="C124" s="7"/>
      <c r="D124" s="7"/>
      <c r="E124" s="7">
        <f>+ABRIL!$AG124</f>
        <v>0</v>
      </c>
      <c r="F124" s="7">
        <f>+MAYO!$AG124</f>
        <v>0</v>
      </c>
      <c r="G124" s="7">
        <f>+JUNIO!$AG124</f>
        <v>0</v>
      </c>
      <c r="H124" s="7">
        <f>+JULIO!$AG124</f>
        <v>0</v>
      </c>
      <c r="I124" s="7">
        <f>+AGOSTO!$AG124</f>
        <v>0</v>
      </c>
      <c r="J124" s="7">
        <f>+SEPTIEMBRE!$AG124</f>
        <v>0</v>
      </c>
      <c r="K124" s="7">
        <f>+OCTUBRE!$AG124</f>
        <v>0</v>
      </c>
      <c r="L124" s="7">
        <f>+NOVIEMBRE!$AG124</f>
        <v>0</v>
      </c>
      <c r="M124" s="7">
        <f>+DICIEMBRE!$AG124</f>
        <v>0</v>
      </c>
      <c r="N124" s="4">
        <f t="shared" si="3"/>
        <v>0</v>
      </c>
    </row>
    <row r="125" spans="1:14" ht="19.5" customHeight="1" x14ac:dyDescent="0.25">
      <c r="A125" s="41" t="s">
        <v>30</v>
      </c>
      <c r="B125" s="7"/>
      <c r="C125" s="7"/>
      <c r="D125" s="7"/>
      <c r="E125" s="7">
        <f>+ABRIL!$AG125</f>
        <v>0</v>
      </c>
      <c r="F125" s="7">
        <f>+MAYO!$AG125</f>
        <v>0</v>
      </c>
      <c r="G125" s="7">
        <f>+JUNIO!$AG125</f>
        <v>0</v>
      </c>
      <c r="H125" s="7">
        <f>+JULIO!$AG125</f>
        <v>0</v>
      </c>
      <c r="I125" s="7">
        <f>+AGOSTO!$AG125</f>
        <v>0</v>
      </c>
      <c r="J125" s="7">
        <f>+SEPTIEMBRE!$AG125</f>
        <v>0</v>
      </c>
      <c r="K125" s="7">
        <f>+OCTUBRE!$AG125</f>
        <v>0</v>
      </c>
      <c r="L125" s="7">
        <f>+NOVIEMBRE!$AG125</f>
        <v>0</v>
      </c>
      <c r="M125" s="7">
        <f>+DICIEMBRE!$AG125</f>
        <v>0</v>
      </c>
      <c r="N125" s="4">
        <f t="shared" si="3"/>
        <v>0</v>
      </c>
    </row>
    <row r="126" spans="1:14" ht="19.5" customHeight="1" x14ac:dyDescent="0.25">
      <c r="A126" s="41" t="s">
        <v>31</v>
      </c>
      <c r="B126" s="7"/>
      <c r="C126" s="7"/>
      <c r="D126" s="7"/>
      <c r="E126" s="7">
        <f>+ABRIL!$AG126</f>
        <v>0</v>
      </c>
      <c r="F126" s="7">
        <f>+MAYO!$AG126</f>
        <v>0</v>
      </c>
      <c r="G126" s="7">
        <f>+JUNIO!$AG126</f>
        <v>0</v>
      </c>
      <c r="H126" s="7">
        <f>+JULIO!$AG126</f>
        <v>0</v>
      </c>
      <c r="I126" s="7">
        <f>+AGOSTO!$AG126</f>
        <v>0</v>
      </c>
      <c r="J126" s="7">
        <f>+SEPTIEMBRE!$AG126</f>
        <v>0</v>
      </c>
      <c r="K126" s="7">
        <f>+OCTUBRE!$AG126</f>
        <v>0</v>
      </c>
      <c r="L126" s="7">
        <f>+NOVIEMBRE!$AG126</f>
        <v>0</v>
      </c>
      <c r="M126" s="7">
        <f>+DICIEMBRE!$AG126</f>
        <v>0</v>
      </c>
      <c r="N126" s="4">
        <f t="shared" si="3"/>
        <v>0</v>
      </c>
    </row>
    <row r="127" spans="1:14" ht="19.5" customHeight="1" x14ac:dyDescent="0.25">
      <c r="A127" s="41" t="s">
        <v>32</v>
      </c>
      <c r="B127" s="7"/>
      <c r="C127" s="7"/>
      <c r="D127" s="7"/>
      <c r="E127" s="7">
        <f>+ABRIL!$AG127</f>
        <v>0</v>
      </c>
      <c r="F127" s="7">
        <f>+MAYO!$AG127</f>
        <v>0</v>
      </c>
      <c r="G127" s="7">
        <f>+JUNIO!$AG127</f>
        <v>0</v>
      </c>
      <c r="H127" s="7">
        <f>+JULIO!$AG127</f>
        <v>0</v>
      </c>
      <c r="I127" s="7">
        <f>+AGOSTO!$AG127</f>
        <v>0</v>
      </c>
      <c r="J127" s="7">
        <f>+SEPTIEMBRE!$AG127</f>
        <v>0</v>
      </c>
      <c r="K127" s="7">
        <f>+OCTUBRE!$AG127</f>
        <v>0</v>
      </c>
      <c r="L127" s="7">
        <f>+NOVIEMBRE!$AG127</f>
        <v>0</v>
      </c>
      <c r="M127" s="7">
        <f>+DICIEMBRE!$AG127</f>
        <v>0</v>
      </c>
      <c r="N127" s="4">
        <f t="shared" si="3"/>
        <v>0</v>
      </c>
    </row>
    <row r="128" spans="1:14" ht="19.5" customHeight="1" x14ac:dyDescent="0.25">
      <c r="A128" s="43" t="s">
        <v>60</v>
      </c>
      <c r="B128" s="7"/>
      <c r="C128" s="7"/>
      <c r="D128" s="7"/>
      <c r="E128" s="7">
        <f>+ABRIL!$AG128</f>
        <v>0</v>
      </c>
      <c r="F128" s="7">
        <f>+MAYO!$AG128</f>
        <v>0</v>
      </c>
      <c r="G128" s="7">
        <f>+JUNIO!$AG128</f>
        <v>0</v>
      </c>
      <c r="H128" s="7">
        <f>+JULIO!$AG128</f>
        <v>0</v>
      </c>
      <c r="I128" s="7">
        <f>+AGOSTO!$AG128</f>
        <v>0</v>
      </c>
      <c r="J128" s="7">
        <f>+SEPTIEMBRE!$AG128</f>
        <v>0</v>
      </c>
      <c r="K128" s="7">
        <f>+OCTUBRE!$AG128</f>
        <v>0</v>
      </c>
      <c r="L128" s="7">
        <f>+NOVIEMBRE!$AG128</f>
        <v>0</v>
      </c>
      <c r="M128" s="7">
        <f>+DICIEMBRE!$AG128</f>
        <v>0</v>
      </c>
      <c r="N128" s="4">
        <f t="shared" si="3"/>
        <v>0</v>
      </c>
    </row>
    <row r="129" spans="1:16" ht="19.5" thickBot="1" x14ac:dyDescent="0.3">
      <c r="A129" s="75" t="s">
        <v>86</v>
      </c>
      <c r="B129" s="13">
        <f>+ENERO!$AG129</f>
        <v>933</v>
      </c>
      <c r="C129" s="13">
        <f>+FEBRERO!$AG129</f>
        <v>873</v>
      </c>
      <c r="D129" s="13">
        <f>+MARZO!$AG129</f>
        <v>952</v>
      </c>
      <c r="E129" s="13">
        <f>+ABRIL!$AG129</f>
        <v>775</v>
      </c>
      <c r="F129" s="13">
        <f>+MAYO!$AG129</f>
        <v>777</v>
      </c>
      <c r="G129" s="13">
        <f>+JUNIO!$AG129</f>
        <v>811</v>
      </c>
      <c r="H129" s="13">
        <f>+JULIO!$AG129</f>
        <v>699</v>
      </c>
      <c r="I129" s="13">
        <f>+AGOSTO!$AG129</f>
        <v>756</v>
      </c>
      <c r="J129" s="13">
        <f>+SEPTIEMBRE!$AG129</f>
        <v>792</v>
      </c>
      <c r="K129" s="13">
        <f>+OCTUBRE!$AG129</f>
        <v>670</v>
      </c>
      <c r="L129" s="13">
        <f>+NOVIEMBRE!$AG129</f>
        <v>667</v>
      </c>
      <c r="M129" s="13">
        <f>+DICIEMBRE!$AG129</f>
        <v>601</v>
      </c>
      <c r="N129" s="4">
        <f t="shared" si="3"/>
        <v>9306</v>
      </c>
    </row>
    <row r="130" spans="1:16" ht="18.75" x14ac:dyDescent="0.25">
      <c r="A130" s="73" t="s">
        <v>109</v>
      </c>
      <c r="B130" s="74">
        <f t="shared" ref="B130:D130" si="5">SUM(B131:B143)</f>
        <v>5938</v>
      </c>
      <c r="C130" s="74">
        <f t="shared" si="5"/>
        <v>5319</v>
      </c>
      <c r="D130" s="74">
        <f t="shared" si="5"/>
        <v>5734</v>
      </c>
      <c r="E130" s="74">
        <f>+ABRIL!$AG130</f>
        <v>5114</v>
      </c>
      <c r="F130" s="74">
        <f>+MAYO!$AG130</f>
        <v>5518</v>
      </c>
      <c r="G130" s="74">
        <f>+JUNIO!$AG130</f>
        <v>5586</v>
      </c>
      <c r="H130" s="74">
        <f>+JULIO!$AG130</f>
        <v>5211</v>
      </c>
      <c r="I130" s="74">
        <f>+AGOSTO!$AG130</f>
        <v>5859</v>
      </c>
      <c r="J130" s="74">
        <f>+SEPTIEMBRE!$AG130</f>
        <v>6140</v>
      </c>
      <c r="K130" s="74">
        <f>+OCTUBRE!$AG130</f>
        <v>5334</v>
      </c>
      <c r="L130" s="74">
        <f>+NOVIEMBRE!$AG130</f>
        <v>4817</v>
      </c>
      <c r="M130" s="74">
        <f>+DICIEMBRE!$AG130</f>
        <v>4768</v>
      </c>
      <c r="N130" s="150">
        <f t="shared" si="3"/>
        <v>65338</v>
      </c>
      <c r="O130" s="1" t="str">
        <f>IF(N130&lt;&gt;N93,"*","")</f>
        <v/>
      </c>
    </row>
    <row r="131" spans="1:16" ht="18.75" x14ac:dyDescent="0.25">
      <c r="A131" s="43" t="s">
        <v>59</v>
      </c>
      <c r="B131" s="7">
        <f>+ENERO!$AG131</f>
        <v>1668</v>
      </c>
      <c r="C131" s="7">
        <f>+FEBRERO!$AG131</f>
        <v>1544</v>
      </c>
      <c r="D131" s="7">
        <f>+MARZO!$AG131</f>
        <v>1691</v>
      </c>
      <c r="E131" s="7">
        <f>+ABRIL!$AG131</f>
        <v>1619</v>
      </c>
      <c r="F131" s="7">
        <f>+MAYO!$AG131</f>
        <v>1707</v>
      </c>
      <c r="G131" s="7">
        <f>+JUNIO!$AG131</f>
        <v>1610</v>
      </c>
      <c r="H131" s="7">
        <f>+JULIO!$AG131</f>
        <v>1605</v>
      </c>
      <c r="I131" s="7">
        <f>+AGOSTO!$AG131</f>
        <v>1859</v>
      </c>
      <c r="J131" s="7">
        <f>+SEPTIEMBRE!$AG131</f>
        <v>1904</v>
      </c>
      <c r="K131" s="7">
        <f>+OCTUBRE!$AG131</f>
        <v>1737</v>
      </c>
      <c r="L131" s="7">
        <f>+NOVIEMBRE!$AG131</f>
        <v>1530</v>
      </c>
      <c r="M131" s="7">
        <f>+DICIEMBRE!$AG131</f>
        <v>1520</v>
      </c>
      <c r="N131" s="4">
        <f t="shared" ref="N131:N145" si="6">SUM(B131:M131)</f>
        <v>19994</v>
      </c>
    </row>
    <row r="132" spans="1:16" ht="18.75" x14ac:dyDescent="0.25">
      <c r="A132" s="43" t="s">
        <v>23</v>
      </c>
      <c r="B132" s="7">
        <f>+ENERO!$AG132</f>
        <v>396</v>
      </c>
      <c r="C132" s="7">
        <f>+FEBRERO!$AG132</f>
        <v>282</v>
      </c>
      <c r="D132" s="7">
        <f>+MARZO!$AG132</f>
        <v>316</v>
      </c>
      <c r="E132" s="7">
        <f>+ABRIL!$AG132</f>
        <v>271</v>
      </c>
      <c r="F132" s="7">
        <f>+MAYO!$AG132</f>
        <v>294</v>
      </c>
      <c r="G132" s="7">
        <f>+JUNIO!$AG132</f>
        <v>284</v>
      </c>
      <c r="H132" s="7">
        <f>+JULIO!$AG132</f>
        <v>311</v>
      </c>
      <c r="I132" s="7">
        <f>+AGOSTO!$AG132</f>
        <v>312</v>
      </c>
      <c r="J132" s="7">
        <f>+SEPTIEMBRE!$AG132</f>
        <v>359</v>
      </c>
      <c r="K132" s="7">
        <f>+OCTUBRE!$AG132</f>
        <v>309</v>
      </c>
      <c r="L132" s="7">
        <f>+NOVIEMBRE!$AG132</f>
        <v>289</v>
      </c>
      <c r="M132" s="7">
        <f>+DICIEMBRE!$AG132</f>
        <v>289</v>
      </c>
      <c r="N132" s="4">
        <f t="shared" si="6"/>
        <v>3712</v>
      </c>
    </row>
    <row r="133" spans="1:16" ht="18.75" x14ac:dyDescent="0.25">
      <c r="A133" s="43" t="s">
        <v>24</v>
      </c>
      <c r="B133" s="7">
        <f>+ENERO!$AG133</f>
        <v>412</v>
      </c>
      <c r="C133" s="7">
        <f>+FEBRERO!$AG133</f>
        <v>367</v>
      </c>
      <c r="D133" s="7">
        <f>+MARZO!$AG133</f>
        <v>381</v>
      </c>
      <c r="E133" s="7">
        <f>+ABRIL!$AG133</f>
        <v>309</v>
      </c>
      <c r="F133" s="7">
        <f>+MAYO!$AG133</f>
        <v>414</v>
      </c>
      <c r="G133" s="7">
        <f>+JUNIO!$AG133</f>
        <v>394</v>
      </c>
      <c r="H133" s="7">
        <f>+JULIO!$AG133</f>
        <v>346</v>
      </c>
      <c r="I133" s="7">
        <f>+AGOSTO!$AG133</f>
        <v>344</v>
      </c>
      <c r="J133" s="7">
        <f>+SEPTIEMBRE!$AG133</f>
        <v>445</v>
      </c>
      <c r="K133" s="7">
        <f>+OCTUBRE!$AG133</f>
        <v>364</v>
      </c>
      <c r="L133" s="7">
        <f>+NOVIEMBRE!$AG133</f>
        <v>328</v>
      </c>
      <c r="M133" s="7">
        <f>+DICIEMBRE!$AG133</f>
        <v>309</v>
      </c>
      <c r="N133" s="4">
        <f t="shared" si="6"/>
        <v>4413</v>
      </c>
    </row>
    <row r="134" spans="1:16" ht="18.75" x14ac:dyDescent="0.25">
      <c r="A134" s="43" t="s">
        <v>25</v>
      </c>
      <c r="B134" s="7">
        <f>+ENERO!$AG134</f>
        <v>329</v>
      </c>
      <c r="C134" s="7">
        <f>+FEBRERO!$AG134</f>
        <v>309</v>
      </c>
      <c r="D134" s="7">
        <f>+MARZO!$AG134</f>
        <v>321</v>
      </c>
      <c r="E134" s="7">
        <f>+ABRIL!$AG134</f>
        <v>280</v>
      </c>
      <c r="F134" s="7">
        <f>+MAYO!$AG134</f>
        <v>317</v>
      </c>
      <c r="G134" s="7">
        <f>+JUNIO!$AG134</f>
        <v>307</v>
      </c>
      <c r="H134" s="7">
        <f>+JULIO!$AG134</f>
        <v>312</v>
      </c>
      <c r="I134" s="7">
        <f>+AGOSTO!$AG134</f>
        <v>362</v>
      </c>
      <c r="J134" s="7">
        <f>+SEPTIEMBRE!$AG134</f>
        <v>360</v>
      </c>
      <c r="K134" s="7">
        <f>+OCTUBRE!$AG134</f>
        <v>291</v>
      </c>
      <c r="L134" s="7">
        <f>+NOVIEMBRE!$AG134</f>
        <v>261</v>
      </c>
      <c r="M134" s="7">
        <f>+DICIEMBRE!$AG134</f>
        <v>299</v>
      </c>
      <c r="N134" s="4">
        <f t="shared" si="6"/>
        <v>3748</v>
      </c>
    </row>
    <row r="135" spans="1:16" ht="18.75" x14ac:dyDescent="0.25">
      <c r="A135" s="43" t="s">
        <v>26</v>
      </c>
      <c r="B135" s="7">
        <f>+ENERO!$AG135</f>
        <v>373</v>
      </c>
      <c r="C135" s="7">
        <f>+FEBRERO!$AG135</f>
        <v>290</v>
      </c>
      <c r="D135" s="7">
        <f>+MARZO!$AG135</f>
        <v>337</v>
      </c>
      <c r="E135" s="7">
        <f>+ABRIL!$AG135</f>
        <v>319</v>
      </c>
      <c r="F135" s="7">
        <f>+MAYO!$AG135</f>
        <v>333</v>
      </c>
      <c r="G135" s="7">
        <f>+JUNIO!$AG135</f>
        <v>386</v>
      </c>
      <c r="H135" s="7">
        <f>+JULIO!$AG135</f>
        <v>343</v>
      </c>
      <c r="I135" s="7">
        <f>+AGOSTO!$AG135</f>
        <v>342</v>
      </c>
      <c r="J135" s="7">
        <f>+SEPTIEMBRE!$AG135</f>
        <v>419</v>
      </c>
      <c r="K135" s="7">
        <f>+OCTUBRE!$AG135</f>
        <v>327</v>
      </c>
      <c r="L135" s="7">
        <f>+NOVIEMBRE!$AG135</f>
        <v>310</v>
      </c>
      <c r="M135" s="7">
        <f>+DICIEMBRE!$AG135</f>
        <v>306</v>
      </c>
      <c r="N135" s="4">
        <f t="shared" si="6"/>
        <v>4085</v>
      </c>
    </row>
    <row r="136" spans="1:16" ht="18.75" x14ac:dyDescent="0.25">
      <c r="A136" s="43" t="s">
        <v>27</v>
      </c>
      <c r="B136" s="7">
        <f>+ENERO!$AG136</f>
        <v>1054</v>
      </c>
      <c r="C136" s="7">
        <f>+FEBRERO!$AG136</f>
        <v>916</v>
      </c>
      <c r="D136" s="7">
        <f>+MARZO!$AG136</f>
        <v>1033</v>
      </c>
      <c r="E136" s="7">
        <f>+ABRIL!$AG136</f>
        <v>938</v>
      </c>
      <c r="F136" s="7">
        <f>+MAYO!$AG136</f>
        <v>1074</v>
      </c>
      <c r="G136" s="7">
        <f>+JUNIO!$AG136</f>
        <v>1144</v>
      </c>
      <c r="H136" s="7">
        <f>+JULIO!$AG136</f>
        <v>944</v>
      </c>
      <c r="I136" s="7">
        <f>+AGOSTO!$AG136</f>
        <v>1180</v>
      </c>
      <c r="J136" s="7">
        <f>+SEPTIEMBRE!$AG136</f>
        <v>1126</v>
      </c>
      <c r="K136" s="7">
        <f>+OCTUBRE!$AG136</f>
        <v>989</v>
      </c>
      <c r="L136" s="7">
        <f>+NOVIEMBRE!$AG136</f>
        <v>881</v>
      </c>
      <c r="M136" s="7">
        <f>+DICIEMBRE!$AG136</f>
        <v>837</v>
      </c>
      <c r="N136" s="4">
        <f t="shared" si="6"/>
        <v>12116</v>
      </c>
    </row>
    <row r="137" spans="1:16" ht="18.75" x14ac:dyDescent="0.25">
      <c r="A137" s="43" t="s">
        <v>28</v>
      </c>
      <c r="B137" s="7">
        <f>+ENERO!$AG137</f>
        <v>246</v>
      </c>
      <c r="C137" s="7">
        <f>+FEBRERO!$AG137</f>
        <v>210</v>
      </c>
      <c r="D137" s="7">
        <f>+MARZO!$AG137</f>
        <v>249</v>
      </c>
      <c r="E137" s="7">
        <f>+ABRIL!$AG137</f>
        <v>226</v>
      </c>
      <c r="F137" s="7">
        <f>+MAYO!$AG137</f>
        <v>261</v>
      </c>
      <c r="G137" s="7">
        <f>+JUNIO!$AG137</f>
        <v>259</v>
      </c>
      <c r="H137" s="7">
        <f>+JULIO!$AG137</f>
        <v>227</v>
      </c>
      <c r="I137" s="7">
        <f>+AGOSTO!$AG137</f>
        <v>266</v>
      </c>
      <c r="J137" s="7">
        <f>+SEPTIEMBRE!$AG137</f>
        <v>272</v>
      </c>
      <c r="K137" s="7">
        <f>+OCTUBRE!$AG137</f>
        <v>248</v>
      </c>
      <c r="L137" s="7">
        <f>+NOVIEMBRE!$AG137</f>
        <v>242</v>
      </c>
      <c r="M137" s="7">
        <f>+DICIEMBRE!$AG137</f>
        <v>205</v>
      </c>
      <c r="N137" s="4">
        <f t="shared" si="6"/>
        <v>2911</v>
      </c>
    </row>
    <row r="138" spans="1:16" ht="18.75" x14ac:dyDescent="0.25">
      <c r="A138" s="43" t="s">
        <v>29</v>
      </c>
      <c r="B138" s="7">
        <f>+ENERO!$AG138</f>
        <v>171</v>
      </c>
      <c r="C138" s="7">
        <f>+FEBRERO!$AG138</f>
        <v>159</v>
      </c>
      <c r="D138" s="7">
        <f>+MARZO!$AG138</f>
        <v>180</v>
      </c>
      <c r="E138" s="7">
        <f>+ABRIL!$AG138</f>
        <v>169</v>
      </c>
      <c r="F138" s="7">
        <f>+MAYO!$AG138</f>
        <v>197</v>
      </c>
      <c r="G138" s="7">
        <f>+JUNIO!$AG138</f>
        <v>209</v>
      </c>
      <c r="H138" s="7">
        <f>+JULIO!$AG138</f>
        <v>170</v>
      </c>
      <c r="I138" s="7">
        <f>+AGOSTO!$AG138</f>
        <v>170</v>
      </c>
      <c r="J138" s="7">
        <f>+SEPTIEMBRE!$AG138</f>
        <v>215</v>
      </c>
      <c r="K138" s="7">
        <f>+OCTUBRE!$AG138</f>
        <v>203</v>
      </c>
      <c r="L138" s="7">
        <f>+NOVIEMBRE!$AG138</f>
        <v>161</v>
      </c>
      <c r="M138" s="7">
        <f>+DICIEMBRE!$AG138</f>
        <v>176</v>
      </c>
      <c r="N138" s="4">
        <f t="shared" si="6"/>
        <v>2180</v>
      </c>
    </row>
    <row r="139" spans="1:16" ht="18.75" x14ac:dyDescent="0.25">
      <c r="A139" s="41" t="s">
        <v>30</v>
      </c>
      <c r="B139" s="7">
        <f>+ENERO!$AG139</f>
        <v>111</v>
      </c>
      <c r="C139" s="7">
        <f>+FEBRERO!$AG139</f>
        <v>80</v>
      </c>
      <c r="D139" s="7">
        <f>+MARZO!$AG139</f>
        <v>100</v>
      </c>
      <c r="E139" s="7">
        <f>+ABRIL!$AG139</f>
        <v>97</v>
      </c>
      <c r="F139" s="7">
        <f>+MAYO!$AG139</f>
        <v>63</v>
      </c>
      <c r="G139" s="7">
        <f>+JUNIO!$AG139</f>
        <v>79</v>
      </c>
      <c r="H139" s="7">
        <f>+JULIO!$AG139</f>
        <v>87</v>
      </c>
      <c r="I139" s="7">
        <f>+AGOSTO!$AG139</f>
        <v>91</v>
      </c>
      <c r="J139" s="7">
        <f>+SEPTIEMBRE!$AG139</f>
        <v>86</v>
      </c>
      <c r="K139" s="7">
        <f>+OCTUBRE!$AG139</f>
        <v>60</v>
      </c>
      <c r="L139" s="7">
        <f>+NOVIEMBRE!$AG139</f>
        <v>67</v>
      </c>
      <c r="M139" s="7">
        <f>+DICIEMBRE!$AG139</f>
        <v>64</v>
      </c>
      <c r="N139" s="4">
        <f t="shared" si="6"/>
        <v>985</v>
      </c>
    </row>
    <row r="140" spans="1:16" ht="18.75" x14ac:dyDescent="0.25">
      <c r="A140" s="41" t="s">
        <v>31</v>
      </c>
      <c r="B140" s="7">
        <f>+ENERO!$AG140</f>
        <v>84</v>
      </c>
      <c r="C140" s="7">
        <f>+FEBRERO!$AG140</f>
        <v>94</v>
      </c>
      <c r="D140" s="7">
        <f>+MARZO!$AG140</f>
        <v>58</v>
      </c>
      <c r="E140" s="7">
        <f>+ABRIL!$AG140</f>
        <v>50</v>
      </c>
      <c r="F140" s="7">
        <f>+MAYO!$AG140</f>
        <v>57</v>
      </c>
      <c r="G140" s="7">
        <f>+JUNIO!$AG140</f>
        <v>43</v>
      </c>
      <c r="H140" s="7">
        <f>+JULIO!$AG140</f>
        <v>52</v>
      </c>
      <c r="I140" s="7">
        <f>+AGOSTO!$AG140</f>
        <v>68</v>
      </c>
      <c r="J140" s="7">
        <f>+SEPTIEMBRE!$AG140</f>
        <v>73</v>
      </c>
      <c r="K140" s="7">
        <f>+OCTUBRE!$AG140</f>
        <v>46</v>
      </c>
      <c r="L140" s="7">
        <f>+NOVIEMBRE!$AG140</f>
        <v>49</v>
      </c>
      <c r="M140" s="7">
        <f>+DICIEMBRE!$AG140</f>
        <v>45</v>
      </c>
      <c r="N140" s="4">
        <f t="shared" si="6"/>
        <v>719</v>
      </c>
    </row>
    <row r="141" spans="1:16" ht="18.75" x14ac:dyDescent="0.25">
      <c r="A141" s="41" t="s">
        <v>32</v>
      </c>
      <c r="B141" s="7">
        <f>+ENERO!$AG141</f>
        <v>18</v>
      </c>
      <c r="C141" s="7">
        <f>+FEBRERO!$AG141</f>
        <v>13</v>
      </c>
      <c r="D141" s="7">
        <f>+MARZO!$AG141</f>
        <v>25</v>
      </c>
      <c r="E141" s="7">
        <f>+ABRIL!$AG141</f>
        <v>13</v>
      </c>
      <c r="F141" s="7">
        <f>+MAYO!$AG141</f>
        <v>10</v>
      </c>
      <c r="G141" s="7">
        <f>+JUNIO!$AG141</f>
        <v>11</v>
      </c>
      <c r="H141" s="7">
        <f>+JULIO!$AG141</f>
        <v>7</v>
      </c>
      <c r="I141" s="7">
        <f>+AGOSTO!$AG141</f>
        <v>5</v>
      </c>
      <c r="J141" s="7">
        <f>+SEPTIEMBRE!$AG141</f>
        <v>8</v>
      </c>
      <c r="K141" s="7">
        <f>+OCTUBRE!$AG141</f>
        <v>4</v>
      </c>
      <c r="L141" s="7">
        <f>+NOVIEMBRE!$AG141</f>
        <v>4</v>
      </c>
      <c r="M141" s="7">
        <f>+DICIEMBRE!$AG141</f>
        <v>5</v>
      </c>
      <c r="N141" s="4">
        <f t="shared" si="6"/>
        <v>123</v>
      </c>
    </row>
    <row r="142" spans="1:16" ht="18.75" x14ac:dyDescent="0.25">
      <c r="A142" s="43" t="s">
        <v>60</v>
      </c>
      <c r="B142" s="7">
        <f>+ENERO!$AG142</f>
        <v>221</v>
      </c>
      <c r="C142" s="7">
        <f>+FEBRERO!$AG142</f>
        <v>174</v>
      </c>
      <c r="D142" s="7">
        <f>+MARZO!$AG142</f>
        <v>252</v>
      </c>
      <c r="E142" s="7">
        <f>+ABRIL!$AG142</f>
        <v>175</v>
      </c>
      <c r="F142" s="7">
        <f>+MAYO!$AG142</f>
        <v>168</v>
      </c>
      <c r="G142" s="7">
        <f>+JUNIO!$AG142</f>
        <v>155</v>
      </c>
      <c r="H142" s="7">
        <f>+JULIO!$AG142</f>
        <v>170</v>
      </c>
      <c r="I142" s="7">
        <f>+AGOSTO!$AG142</f>
        <v>179</v>
      </c>
      <c r="J142" s="7">
        <f>+SEPTIEMBRE!$AG142</f>
        <v>161</v>
      </c>
      <c r="K142" s="7">
        <f>+OCTUBRE!$AG142</f>
        <v>170</v>
      </c>
      <c r="L142" s="7">
        <f>+NOVIEMBRE!$AG142</f>
        <v>137</v>
      </c>
      <c r="M142" s="7">
        <f>+DICIEMBRE!$AG142</f>
        <v>161</v>
      </c>
      <c r="N142" s="4">
        <f t="shared" si="6"/>
        <v>2123</v>
      </c>
    </row>
    <row r="143" spans="1:16" ht="19.5" thickBot="1" x14ac:dyDescent="0.3">
      <c r="A143" s="75" t="s">
        <v>86</v>
      </c>
      <c r="B143" s="13">
        <f>+ENERO!$AG143</f>
        <v>855</v>
      </c>
      <c r="C143" s="13">
        <f>+FEBRERO!$AG143</f>
        <v>881</v>
      </c>
      <c r="D143" s="13">
        <f>+MARZO!$AG143</f>
        <v>791</v>
      </c>
      <c r="E143" s="13">
        <f>+ABRIL!$AG143</f>
        <v>648</v>
      </c>
      <c r="F143" s="13">
        <f>+MAYO!$AG143</f>
        <v>623</v>
      </c>
      <c r="G143" s="13">
        <f>+JUNIO!$AG143</f>
        <v>705</v>
      </c>
      <c r="H143" s="13">
        <f>+JULIO!$AG143</f>
        <v>637</v>
      </c>
      <c r="I143" s="13">
        <f>+AGOSTO!$AG143</f>
        <v>681</v>
      </c>
      <c r="J143" s="13">
        <f>+SEPTIEMBRE!$AG143</f>
        <v>712</v>
      </c>
      <c r="K143" s="13">
        <f>+OCTUBRE!$AG143</f>
        <v>586</v>
      </c>
      <c r="L143" s="13">
        <f>+NOVIEMBRE!$AG143</f>
        <v>558</v>
      </c>
      <c r="M143" s="13">
        <f>+DICIEMBRE!$AG143</f>
        <v>552</v>
      </c>
      <c r="N143" s="108">
        <f t="shared" si="6"/>
        <v>8229</v>
      </c>
    </row>
    <row r="144" spans="1:16" ht="19.5" thickBot="1" x14ac:dyDescent="0.3">
      <c r="A144" s="164" t="s">
        <v>89</v>
      </c>
      <c r="B144" s="165">
        <f t="shared" ref="B144:D144" si="7">+B146+B156+B158+B167</f>
        <v>5938</v>
      </c>
      <c r="C144" s="165">
        <f t="shared" si="7"/>
        <v>5319</v>
      </c>
      <c r="D144" s="165">
        <f t="shared" si="7"/>
        <v>5734</v>
      </c>
      <c r="E144" s="165">
        <f>+ABRIL!$AG144</f>
        <v>5114</v>
      </c>
      <c r="F144" s="165">
        <f>+MAYO!$AG144</f>
        <v>5520</v>
      </c>
      <c r="G144" s="165">
        <f>+JUNIO!$AG144</f>
        <v>5586</v>
      </c>
      <c r="H144" s="165">
        <f>+JULIO!$AG144</f>
        <v>5211</v>
      </c>
      <c r="I144" s="165">
        <f>+AGOSTO!$AG144</f>
        <v>5859</v>
      </c>
      <c r="J144" s="165">
        <f>+SEPTIEMBRE!$AG144</f>
        <v>6140</v>
      </c>
      <c r="K144" s="165">
        <f>+OCTUBRE!$AG144</f>
        <v>5334</v>
      </c>
      <c r="L144" s="165">
        <f>+NOVIEMBRE!$AG144</f>
        <v>4817</v>
      </c>
      <c r="M144" s="165">
        <f>+DICIEMBRE!$AG144</f>
        <v>4768</v>
      </c>
      <c r="N144" s="116">
        <f t="shared" si="6"/>
        <v>65340</v>
      </c>
      <c r="O144" s="38" t="str">
        <f>IF(N144&lt;&gt;N93,"*","")</f>
        <v>*</v>
      </c>
      <c r="P144" t="s">
        <v>140</v>
      </c>
    </row>
    <row r="145" spans="1:15" ht="19.5" thickBot="1" x14ac:dyDescent="0.3">
      <c r="A145" s="160" t="s">
        <v>98</v>
      </c>
      <c r="B145" s="161">
        <f t="shared" ref="B145:D145" si="8">+B149+B155+B157+B172</f>
        <v>559</v>
      </c>
      <c r="C145" s="161">
        <f t="shared" si="8"/>
        <v>369</v>
      </c>
      <c r="D145" s="161">
        <f t="shared" si="8"/>
        <v>714</v>
      </c>
      <c r="E145" s="161">
        <f>+ABRIL!$AG145</f>
        <v>548</v>
      </c>
      <c r="F145" s="161">
        <f>+MAYO!$AG145</f>
        <v>692</v>
      </c>
      <c r="G145" s="161">
        <f>+JUNIO!$AG145</f>
        <v>772</v>
      </c>
      <c r="H145" s="161">
        <f>+JULIO!$AG145</f>
        <v>267</v>
      </c>
      <c r="I145" s="161">
        <f>+AGOSTO!$AG145</f>
        <v>472</v>
      </c>
      <c r="J145" s="161">
        <f>+SEPTIEMBRE!$AG145</f>
        <v>596</v>
      </c>
      <c r="K145" s="161">
        <f>+OCTUBRE!$AG145</f>
        <v>502</v>
      </c>
      <c r="L145" s="161">
        <f>+NOVIEMBRE!$AG145</f>
        <v>450</v>
      </c>
      <c r="M145" s="161">
        <f>+DICIEMBRE!$AG145</f>
        <v>411</v>
      </c>
      <c r="N145" s="163">
        <f t="shared" si="6"/>
        <v>6352</v>
      </c>
      <c r="O145" s="1"/>
    </row>
    <row r="146" spans="1:15" ht="19.5" thickBot="1" x14ac:dyDescent="0.3">
      <c r="A146" s="117" t="s">
        <v>69</v>
      </c>
      <c r="B146" s="118">
        <f t="shared" ref="B146:N147" si="9">+B148+B154</f>
        <v>1338</v>
      </c>
      <c r="C146" s="118">
        <f t="shared" si="9"/>
        <v>1077</v>
      </c>
      <c r="D146" s="118">
        <f t="shared" si="9"/>
        <v>1162</v>
      </c>
      <c r="E146" s="118">
        <f>+ABRIL!$AG146</f>
        <v>155</v>
      </c>
      <c r="F146" s="118">
        <f>+MAYO!$AG146</f>
        <v>5</v>
      </c>
      <c r="G146" s="118">
        <f>+JUNIO!$AG146</f>
        <v>10</v>
      </c>
      <c r="H146" s="118">
        <f>+JULIO!$AG146</f>
        <v>5</v>
      </c>
      <c r="I146" s="118">
        <f>+AGOSTO!$AG146</f>
        <v>23</v>
      </c>
      <c r="J146" s="118">
        <f>+SEPTIEMBRE!$AG146</f>
        <v>8</v>
      </c>
      <c r="K146" s="118">
        <f>+OCTUBRE!$AG146</f>
        <v>5</v>
      </c>
      <c r="L146" s="118">
        <f>+NOVIEMBRE!$AG146</f>
        <v>1</v>
      </c>
      <c r="M146" s="118">
        <f>+DICIEMBRE!$AG146</f>
        <v>1</v>
      </c>
      <c r="N146" s="120">
        <f t="shared" si="9"/>
        <v>3790</v>
      </c>
    </row>
    <row r="147" spans="1:15" ht="19.5" thickBot="1" x14ac:dyDescent="0.3">
      <c r="A147" s="153" t="s">
        <v>130</v>
      </c>
      <c r="B147" s="154">
        <f t="shared" si="9"/>
        <v>90</v>
      </c>
      <c r="C147" s="154">
        <f t="shared" si="9"/>
        <v>58</v>
      </c>
      <c r="D147" s="154">
        <f t="shared" si="9"/>
        <v>71</v>
      </c>
      <c r="E147" s="154">
        <f>+ABRIL!$AG147</f>
        <v>19</v>
      </c>
      <c r="F147" s="154">
        <f>+MAYO!$AG147</f>
        <v>1</v>
      </c>
      <c r="G147" s="154">
        <f>+JUNIO!$AG147</f>
        <v>2</v>
      </c>
      <c r="H147" s="154">
        <f>+JULIO!$AG147</f>
        <v>0</v>
      </c>
      <c r="I147" s="154">
        <f>+AGOSTO!$AG147</f>
        <v>0</v>
      </c>
      <c r="J147" s="154">
        <f>+SEPTIEMBRE!$AG147</f>
        <v>0</v>
      </c>
      <c r="K147" s="154">
        <f>+OCTUBRE!$AG147</f>
        <v>0</v>
      </c>
      <c r="L147" s="154">
        <f>+NOVIEMBRE!$AG147</f>
        <v>0</v>
      </c>
      <c r="M147" s="154">
        <f>+DICIEMBRE!$AG147</f>
        <v>0</v>
      </c>
      <c r="N147" s="156">
        <f t="shared" ref="N147:N178" si="10">SUM(B147:M147)</f>
        <v>241</v>
      </c>
    </row>
    <row r="148" spans="1:15" ht="19.5" thickBot="1" x14ac:dyDescent="0.3">
      <c r="A148" s="125" t="s">
        <v>68</v>
      </c>
      <c r="B148" s="126">
        <f>SUM(B150:B153)</f>
        <v>149</v>
      </c>
      <c r="C148" s="126">
        <f t="shared" ref="C148:D148" si="11">SUM(C150:C153)</f>
        <v>65</v>
      </c>
      <c r="D148" s="126">
        <f t="shared" si="11"/>
        <v>101</v>
      </c>
      <c r="E148" s="126">
        <f>+ABRIL!$AG148</f>
        <v>25</v>
      </c>
      <c r="F148" s="126">
        <f>+MAYO!$AG148</f>
        <v>0</v>
      </c>
      <c r="G148" s="126">
        <f>+JUNIO!$AG148</f>
        <v>0</v>
      </c>
      <c r="H148" s="126">
        <f>+JULIO!$AG148</f>
        <v>1</v>
      </c>
      <c r="I148" s="126">
        <f>+AGOSTO!$AG148</f>
        <v>5</v>
      </c>
      <c r="J148" s="126">
        <f>+SEPTIEMBRE!$AG148</f>
        <v>2</v>
      </c>
      <c r="K148" s="126">
        <f>+OCTUBRE!$AG148</f>
        <v>1</v>
      </c>
      <c r="L148" s="126">
        <f>+NOVIEMBRE!$AG148</f>
        <v>0</v>
      </c>
      <c r="M148" s="126">
        <f>+DICIEMBRE!$AG148</f>
        <v>0</v>
      </c>
      <c r="N148" s="128">
        <f t="shared" si="10"/>
        <v>349</v>
      </c>
    </row>
    <row r="149" spans="1:15" ht="19.5" thickBot="1" x14ac:dyDescent="0.3">
      <c r="A149" s="153" t="s">
        <v>131</v>
      </c>
      <c r="B149" s="154">
        <f>+ENERO!$AG149</f>
        <v>14</v>
      </c>
      <c r="C149" s="154">
        <f>+FEBRERO!$AG149</f>
        <v>7</v>
      </c>
      <c r="D149" s="154">
        <f>+MARZO!$AG149</f>
        <v>13</v>
      </c>
      <c r="E149" s="154">
        <f>+ABRIL!$AG149</f>
        <v>6</v>
      </c>
      <c r="F149" s="154">
        <f>+MAYO!$AG149</f>
        <v>0</v>
      </c>
      <c r="G149" s="154">
        <f>+JUNIO!$AG149</f>
        <v>0</v>
      </c>
      <c r="H149" s="154">
        <f>+JULIO!$AG149</f>
        <v>0</v>
      </c>
      <c r="I149" s="154">
        <f>+AGOSTO!$AG149</f>
        <v>0</v>
      </c>
      <c r="J149" s="154">
        <f>+SEPTIEMBRE!$AG149</f>
        <v>0</v>
      </c>
      <c r="K149" s="154">
        <f>+OCTUBRE!$AG149</f>
        <v>0</v>
      </c>
      <c r="L149" s="154">
        <f>+NOVIEMBRE!$AG149</f>
        <v>0</v>
      </c>
      <c r="M149" s="154">
        <f>+DICIEMBRE!$AG149</f>
        <v>0</v>
      </c>
      <c r="N149" s="156">
        <f t="shared" si="10"/>
        <v>40</v>
      </c>
    </row>
    <row r="150" spans="1:15" ht="18.75" x14ac:dyDescent="0.25">
      <c r="A150" s="129" t="s">
        <v>100</v>
      </c>
      <c r="B150" s="130">
        <f>+ENERO!$AG150</f>
        <v>0</v>
      </c>
      <c r="C150" s="130">
        <f>+FEBRERO!$AG150</f>
        <v>0</v>
      </c>
      <c r="D150" s="130">
        <f>+MARZO!$AG150</f>
        <v>0</v>
      </c>
      <c r="E150" s="130">
        <f>+ABRIL!$AG150</f>
        <v>0</v>
      </c>
      <c r="F150" s="130">
        <f>+MAYO!$AG150</f>
        <v>0</v>
      </c>
      <c r="G150" s="130">
        <f>+JUNIO!$AG150</f>
        <v>0</v>
      </c>
      <c r="H150" s="130">
        <f>+JULIO!$AG150</f>
        <v>0</v>
      </c>
      <c r="I150" s="130">
        <f>+AGOSTO!$AG150</f>
        <v>1</v>
      </c>
      <c r="J150" s="130">
        <f>+SEPTIEMBRE!$AG150</f>
        <v>0</v>
      </c>
      <c r="K150" s="130">
        <f>+OCTUBRE!$AG150</f>
        <v>0</v>
      </c>
      <c r="L150" s="130">
        <f>+NOVIEMBRE!$AG150</f>
        <v>0</v>
      </c>
      <c r="M150" s="130">
        <f>+DICIEMBRE!$AG150</f>
        <v>0</v>
      </c>
      <c r="N150" s="132">
        <f t="shared" si="10"/>
        <v>1</v>
      </c>
    </row>
    <row r="151" spans="1:15" ht="18.75" x14ac:dyDescent="0.25">
      <c r="A151" s="50" t="s">
        <v>101</v>
      </c>
      <c r="B151" s="29">
        <f>+ENERO!$AG151</f>
        <v>2</v>
      </c>
      <c r="C151" s="29">
        <f>+FEBRERO!$AG151</f>
        <v>2</v>
      </c>
      <c r="D151" s="29">
        <f>+MARZO!$AG151</f>
        <v>1</v>
      </c>
      <c r="E151" s="29">
        <f>+ABRIL!$AG151</f>
        <v>1</v>
      </c>
      <c r="F151" s="29">
        <f>+MAYO!$AG151</f>
        <v>0</v>
      </c>
      <c r="G151" s="29">
        <f>+JUNIO!$AG151</f>
        <v>0</v>
      </c>
      <c r="H151" s="29">
        <f>+JULIO!$AG151</f>
        <v>1</v>
      </c>
      <c r="I151" s="29">
        <f>+AGOSTO!$AG151</f>
        <v>2</v>
      </c>
      <c r="J151" s="29">
        <f>+SEPTIEMBRE!$AG151</f>
        <v>1</v>
      </c>
      <c r="K151" s="29">
        <f>+OCTUBRE!$AG151</f>
        <v>0</v>
      </c>
      <c r="L151" s="29">
        <f>+NOVIEMBRE!$AG151</f>
        <v>0</v>
      </c>
      <c r="M151" s="29">
        <f>+DICIEMBRE!$AG151</f>
        <v>0</v>
      </c>
      <c r="N151" s="4">
        <f t="shared" si="10"/>
        <v>10</v>
      </c>
    </row>
    <row r="152" spans="1:15" ht="18.75" x14ac:dyDescent="0.25">
      <c r="A152" s="50" t="s">
        <v>102</v>
      </c>
      <c r="B152" s="29">
        <f>+ENERO!$AG152</f>
        <v>89</v>
      </c>
      <c r="C152" s="29">
        <f>+FEBRERO!$AG152</f>
        <v>34</v>
      </c>
      <c r="D152" s="29">
        <f>+MARZO!$AG152</f>
        <v>52</v>
      </c>
      <c r="E152" s="29">
        <f>+ABRIL!$AG152</f>
        <v>17</v>
      </c>
      <c r="F152" s="29">
        <f>+MAYO!$AG152</f>
        <v>0</v>
      </c>
      <c r="G152" s="29">
        <f>+JUNIO!$AG152</f>
        <v>0</v>
      </c>
      <c r="H152" s="29">
        <f>+JULIO!$AG152</f>
        <v>0</v>
      </c>
      <c r="I152" s="29">
        <f>+AGOSTO!$AG152</f>
        <v>1</v>
      </c>
      <c r="J152" s="29">
        <f>+SEPTIEMBRE!$AG152</f>
        <v>0</v>
      </c>
      <c r="K152" s="29">
        <f>+OCTUBRE!$AG152</f>
        <v>1</v>
      </c>
      <c r="L152" s="29">
        <f>+NOVIEMBRE!$AG152</f>
        <v>0</v>
      </c>
      <c r="M152" s="29">
        <f>+DICIEMBRE!$AG152</f>
        <v>0</v>
      </c>
      <c r="N152" s="4">
        <f t="shared" si="10"/>
        <v>194</v>
      </c>
    </row>
    <row r="153" spans="1:15" ht="19.5" thickBot="1" x14ac:dyDescent="0.3">
      <c r="A153" s="71" t="s">
        <v>103</v>
      </c>
      <c r="B153" s="30">
        <f>+ENERO!$AG153</f>
        <v>58</v>
      </c>
      <c r="C153" s="30">
        <f>+FEBRERO!$AG153</f>
        <v>29</v>
      </c>
      <c r="D153" s="30">
        <f>+MARZO!$AG153</f>
        <v>48</v>
      </c>
      <c r="E153" s="30">
        <f>+ABRIL!$AG153</f>
        <v>7</v>
      </c>
      <c r="F153" s="30">
        <f>+MAYO!$AG153</f>
        <v>0</v>
      </c>
      <c r="G153" s="30">
        <f>+JUNIO!$AG153</f>
        <v>0</v>
      </c>
      <c r="H153" s="30">
        <f>+JULIO!$AG153</f>
        <v>0</v>
      </c>
      <c r="I153" s="30">
        <f>+AGOSTO!$AG153</f>
        <v>1</v>
      </c>
      <c r="J153" s="30">
        <f>+SEPTIEMBRE!$AG153</f>
        <v>1</v>
      </c>
      <c r="K153" s="30">
        <f>+OCTUBRE!$AG153</f>
        <v>0</v>
      </c>
      <c r="L153" s="30">
        <f>+NOVIEMBRE!$AG153</f>
        <v>0</v>
      </c>
      <c r="M153" s="30">
        <f>+DICIEMBRE!$AG153</f>
        <v>0</v>
      </c>
      <c r="N153" s="28">
        <f t="shared" si="10"/>
        <v>144</v>
      </c>
    </row>
    <row r="154" spans="1:15" ht="19.5" thickBot="1" x14ac:dyDescent="0.3">
      <c r="A154" s="125" t="s">
        <v>67</v>
      </c>
      <c r="B154" s="126">
        <f>+ENERO!$AG154</f>
        <v>1189</v>
      </c>
      <c r="C154" s="126">
        <f>+FEBRERO!$AG154</f>
        <v>1012</v>
      </c>
      <c r="D154" s="126">
        <f>+MARZO!$AG154</f>
        <v>1061</v>
      </c>
      <c r="E154" s="126">
        <f>+ABRIL!$AG154</f>
        <v>130</v>
      </c>
      <c r="F154" s="126">
        <f>+MAYO!$AG154</f>
        <v>5</v>
      </c>
      <c r="G154" s="126">
        <f>+JUNIO!$AG154</f>
        <v>10</v>
      </c>
      <c r="H154" s="126">
        <f>+JULIO!$AG154</f>
        <v>4</v>
      </c>
      <c r="I154" s="126">
        <f>+AGOSTO!$AG154</f>
        <v>18</v>
      </c>
      <c r="J154" s="126">
        <f>+SEPTIEMBRE!$AG154</f>
        <v>6</v>
      </c>
      <c r="K154" s="126">
        <f>+OCTUBRE!$AG154</f>
        <v>4</v>
      </c>
      <c r="L154" s="126">
        <f>+NOVIEMBRE!$AG154</f>
        <v>1</v>
      </c>
      <c r="M154" s="126">
        <f>+DICIEMBRE!$AG154</f>
        <v>1</v>
      </c>
      <c r="N154" s="128">
        <f t="shared" si="10"/>
        <v>3441</v>
      </c>
    </row>
    <row r="155" spans="1:15" ht="19.5" thickBot="1" x14ac:dyDescent="0.3">
      <c r="A155" s="153" t="s">
        <v>132</v>
      </c>
      <c r="B155" s="154">
        <f>+ENERO!$AG155</f>
        <v>76</v>
      </c>
      <c r="C155" s="154">
        <f>+FEBRERO!$AG155</f>
        <v>51</v>
      </c>
      <c r="D155" s="154">
        <f>+MARZO!$AG155</f>
        <v>58</v>
      </c>
      <c r="E155" s="154">
        <f>+ABRIL!$AG155</f>
        <v>13</v>
      </c>
      <c r="F155" s="154">
        <f>+MAYO!$AG155</f>
        <v>1</v>
      </c>
      <c r="G155" s="154">
        <f>+JUNIO!$AG155</f>
        <v>2</v>
      </c>
      <c r="H155" s="154">
        <f>+JULIO!$AG155</f>
        <v>0</v>
      </c>
      <c r="I155" s="154">
        <f>+AGOSTO!$AG155</f>
        <v>0</v>
      </c>
      <c r="J155" s="154">
        <f>+SEPTIEMBRE!$AG155</f>
        <v>0</v>
      </c>
      <c r="K155" s="154">
        <f>+OCTUBRE!$AG155</f>
        <v>0</v>
      </c>
      <c r="L155" s="154">
        <f>+NOVIEMBRE!$AG155</f>
        <v>0</v>
      </c>
      <c r="M155" s="154">
        <f>+DICIEMBRE!$AG155</f>
        <v>0</v>
      </c>
      <c r="N155" s="156">
        <f t="shared" si="10"/>
        <v>201</v>
      </c>
    </row>
    <row r="156" spans="1:15" ht="18.75" x14ac:dyDescent="0.25">
      <c r="A156" s="69" t="s">
        <v>62</v>
      </c>
      <c r="B156" s="56">
        <f>+ENERO!$AG156</f>
        <v>4543</v>
      </c>
      <c r="C156" s="56">
        <f>+FEBRERO!$AG156</f>
        <v>4171</v>
      </c>
      <c r="D156" s="56">
        <f>+MARZO!$AG156</f>
        <v>4539</v>
      </c>
      <c r="E156" s="56">
        <f>+ABRIL!$AG156</f>
        <v>4912</v>
      </c>
      <c r="F156" s="56">
        <f>+MAYO!$AG156</f>
        <v>5483</v>
      </c>
      <c r="G156" s="56">
        <f>+JUNIO!$AG156</f>
        <v>5550</v>
      </c>
      <c r="H156" s="56">
        <f>+JULIO!$AG156</f>
        <v>5178</v>
      </c>
      <c r="I156" s="56">
        <f>+AGOSTO!$AG156</f>
        <v>5802</v>
      </c>
      <c r="J156" s="56">
        <f>+SEPTIEMBRE!$AG156</f>
        <v>6088</v>
      </c>
      <c r="K156" s="56">
        <f>+OCTUBRE!$AG156</f>
        <v>5300</v>
      </c>
      <c r="L156" s="56">
        <f>+NOVIEMBRE!$AG156</f>
        <v>4797</v>
      </c>
      <c r="M156" s="56">
        <f>+DICIEMBRE!$AG156</f>
        <v>4743</v>
      </c>
      <c r="N156" s="95">
        <f t="shared" si="10"/>
        <v>61106</v>
      </c>
      <c r="O156" s="2" t="s">
        <v>84</v>
      </c>
    </row>
    <row r="157" spans="1:15" ht="19.5" thickBot="1" x14ac:dyDescent="0.3">
      <c r="A157" s="75" t="s">
        <v>1</v>
      </c>
      <c r="B157" s="13">
        <f>+ENERO!$AG157</f>
        <v>462</v>
      </c>
      <c r="C157" s="13">
        <f>+FEBRERO!$AG157</f>
        <v>310</v>
      </c>
      <c r="D157" s="13">
        <f>+MARZO!$AG157</f>
        <v>639</v>
      </c>
      <c r="E157" s="13">
        <f>+ABRIL!$AG157</f>
        <v>526</v>
      </c>
      <c r="F157" s="13">
        <f>+MAYO!$AG157</f>
        <v>690</v>
      </c>
      <c r="G157" s="13">
        <f>+JUNIO!$AG157</f>
        <v>770</v>
      </c>
      <c r="H157" s="13">
        <f>+JULIO!$AG157</f>
        <v>266</v>
      </c>
      <c r="I157" s="13">
        <f>+AGOSTO!$AG157</f>
        <v>468</v>
      </c>
      <c r="J157" s="13">
        <f>+SEPTIEMBRE!$AG157</f>
        <v>592</v>
      </c>
      <c r="K157" s="13">
        <f>+OCTUBRE!$AG157</f>
        <v>499</v>
      </c>
      <c r="L157" s="13">
        <f>+NOVIEMBRE!$AG157</f>
        <v>447</v>
      </c>
      <c r="M157" s="13">
        <f>+DICIEMBRE!$AG157</f>
        <v>410</v>
      </c>
      <c r="N157" s="157">
        <f t="shared" si="10"/>
        <v>6079</v>
      </c>
      <c r="O157" s="2"/>
    </row>
    <row r="158" spans="1:15" ht="19.5" thickBot="1" x14ac:dyDescent="0.3">
      <c r="A158" s="121" t="s">
        <v>22</v>
      </c>
      <c r="B158" s="122">
        <f t="shared" ref="B158:D158" si="12">SUM(B159:B166)</f>
        <v>27</v>
      </c>
      <c r="C158" s="122">
        <f t="shared" si="12"/>
        <v>35</v>
      </c>
      <c r="D158" s="122">
        <f t="shared" si="12"/>
        <v>14</v>
      </c>
      <c r="E158" s="122">
        <f>+ABRIL!$AG158</f>
        <v>31</v>
      </c>
      <c r="F158" s="122">
        <f>+MAYO!$AG158</f>
        <v>27</v>
      </c>
      <c r="G158" s="122">
        <f>+JUNIO!$AG158</f>
        <v>17</v>
      </c>
      <c r="H158" s="122">
        <f>+JULIO!$AG158</f>
        <v>18</v>
      </c>
      <c r="I158" s="122">
        <f>+AGOSTO!$AG158</f>
        <v>18</v>
      </c>
      <c r="J158" s="122">
        <f>+SEPTIEMBRE!$AG158</f>
        <v>20</v>
      </c>
      <c r="K158" s="122">
        <f>+OCTUBRE!$AG158</f>
        <v>17</v>
      </c>
      <c r="L158" s="122">
        <f>+NOVIEMBRE!$AG158</f>
        <v>14</v>
      </c>
      <c r="M158" s="122">
        <f>+DICIEMBRE!$AG158</f>
        <v>16</v>
      </c>
      <c r="N158" s="124">
        <f t="shared" si="10"/>
        <v>254</v>
      </c>
    </row>
    <row r="159" spans="1:15" ht="18.75" x14ac:dyDescent="0.25">
      <c r="A159" s="129" t="s">
        <v>23</v>
      </c>
      <c r="B159" s="130">
        <f>+ENERO!$AG159</f>
        <v>4</v>
      </c>
      <c r="C159" s="130">
        <f>+FEBRERO!$AG159</f>
        <v>5</v>
      </c>
      <c r="D159" s="130">
        <f>+MARZO!$AG159</f>
        <v>2</v>
      </c>
      <c r="E159" s="130">
        <f>+ABRIL!$AG159</f>
        <v>4</v>
      </c>
      <c r="F159" s="130">
        <f>+MAYO!$AG159</f>
        <v>1</v>
      </c>
      <c r="G159" s="130">
        <f>+JUNIO!$AG159</f>
        <v>0</v>
      </c>
      <c r="H159" s="130">
        <f>+JULIO!$AG159</f>
        <v>2</v>
      </c>
      <c r="I159" s="130">
        <f>+AGOSTO!$AG159</f>
        <v>3</v>
      </c>
      <c r="J159" s="130">
        <f>+SEPTIEMBRE!$AG159</f>
        <v>2</v>
      </c>
      <c r="K159" s="130">
        <f>+OCTUBRE!$AG159</f>
        <v>1</v>
      </c>
      <c r="L159" s="130">
        <f>+NOVIEMBRE!$AG159</f>
        <v>3</v>
      </c>
      <c r="M159" s="130">
        <f>+DICIEMBRE!$AG159</f>
        <v>1</v>
      </c>
      <c r="N159" s="132">
        <f t="shared" si="10"/>
        <v>28</v>
      </c>
    </row>
    <row r="160" spans="1:15" ht="18.75" x14ac:dyDescent="0.25">
      <c r="A160" s="50" t="s">
        <v>24</v>
      </c>
      <c r="B160" s="29">
        <f>+ENERO!$AG160</f>
        <v>7</v>
      </c>
      <c r="C160" s="29">
        <f>+FEBRERO!$AG160</f>
        <v>4</v>
      </c>
      <c r="D160" s="29">
        <f>+MARZO!$AG160</f>
        <v>4</v>
      </c>
      <c r="E160" s="29">
        <f>+ABRIL!$AG160</f>
        <v>12</v>
      </c>
      <c r="F160" s="29">
        <f>+MAYO!$AG160</f>
        <v>6</v>
      </c>
      <c r="G160" s="29">
        <f>+JUNIO!$AG160</f>
        <v>3</v>
      </c>
      <c r="H160" s="29">
        <f>+JULIO!$AG160</f>
        <v>5</v>
      </c>
      <c r="I160" s="29">
        <f>+AGOSTO!$AG160</f>
        <v>5</v>
      </c>
      <c r="J160" s="29">
        <f>+SEPTIEMBRE!$AG160</f>
        <v>5</v>
      </c>
      <c r="K160" s="29">
        <f>+OCTUBRE!$AG160</f>
        <v>5</v>
      </c>
      <c r="L160" s="29">
        <f>+NOVIEMBRE!$AG160</f>
        <v>1</v>
      </c>
      <c r="M160" s="29">
        <f>+DICIEMBRE!$AG160</f>
        <v>4</v>
      </c>
      <c r="N160" s="4">
        <f t="shared" si="10"/>
        <v>61</v>
      </c>
    </row>
    <row r="161" spans="1:15" ht="18.75" x14ac:dyDescent="0.25">
      <c r="A161" s="50" t="s">
        <v>59</v>
      </c>
      <c r="B161" s="29">
        <f>+ENERO!$AG161</f>
        <v>3</v>
      </c>
      <c r="C161" s="29">
        <f>+FEBRERO!$AG161</f>
        <v>1</v>
      </c>
      <c r="D161" s="29">
        <f>+MARZO!$AG161</f>
        <v>0</v>
      </c>
      <c r="E161" s="29">
        <f>+ABRIL!$AG161</f>
        <v>3</v>
      </c>
      <c r="F161" s="29">
        <f>+MAYO!$AG161</f>
        <v>3</v>
      </c>
      <c r="G161" s="29">
        <f>+JUNIO!$AG161</f>
        <v>0</v>
      </c>
      <c r="H161" s="29">
        <f>+JULIO!$AG161</f>
        <v>0</v>
      </c>
      <c r="I161" s="29">
        <f>+AGOSTO!$AG161</f>
        <v>2</v>
      </c>
      <c r="J161" s="29">
        <f>+SEPTIEMBRE!$AG161</f>
        <v>2</v>
      </c>
      <c r="K161" s="29">
        <f>+OCTUBRE!$AG161</f>
        <v>1</v>
      </c>
      <c r="L161" s="29">
        <f>+NOVIEMBRE!$AG161</f>
        <v>1</v>
      </c>
      <c r="M161" s="29">
        <f>+DICIEMBRE!$AG161</f>
        <v>0</v>
      </c>
      <c r="N161" s="4">
        <f t="shared" si="10"/>
        <v>16</v>
      </c>
    </row>
    <row r="162" spans="1:15" ht="18.75" x14ac:dyDescent="0.25">
      <c r="A162" s="50" t="s">
        <v>25</v>
      </c>
      <c r="B162" s="29">
        <f>+ENERO!$AG162</f>
        <v>9</v>
      </c>
      <c r="C162" s="29">
        <f>+FEBRERO!$AG162</f>
        <v>16</v>
      </c>
      <c r="D162" s="29">
        <f>+MARZO!$AG162</f>
        <v>5</v>
      </c>
      <c r="E162" s="29">
        <f>+ABRIL!$AG162</f>
        <v>7</v>
      </c>
      <c r="F162" s="29">
        <f>+MAYO!$AG162</f>
        <v>8</v>
      </c>
      <c r="G162" s="29">
        <f>+JUNIO!$AG162</f>
        <v>7</v>
      </c>
      <c r="H162" s="29">
        <f>+JULIO!$AG162</f>
        <v>5</v>
      </c>
      <c r="I162" s="29">
        <f>+AGOSTO!$AG162</f>
        <v>4</v>
      </c>
      <c r="J162" s="29">
        <f>+SEPTIEMBRE!$AG162</f>
        <v>7</v>
      </c>
      <c r="K162" s="29">
        <f>+OCTUBRE!$AG162</f>
        <v>7</v>
      </c>
      <c r="L162" s="29">
        <f>+NOVIEMBRE!$AG162</f>
        <v>6</v>
      </c>
      <c r="M162" s="29">
        <f>+DICIEMBRE!$AG162</f>
        <v>4</v>
      </c>
      <c r="N162" s="4">
        <f t="shared" si="10"/>
        <v>85</v>
      </c>
    </row>
    <row r="163" spans="1:15" ht="18.75" x14ac:dyDescent="0.25">
      <c r="A163" s="50" t="s">
        <v>26</v>
      </c>
      <c r="B163" s="29">
        <f>+ENERO!$AG163</f>
        <v>0</v>
      </c>
      <c r="C163" s="29">
        <f>+FEBRERO!$AG163</f>
        <v>0</v>
      </c>
      <c r="D163" s="29">
        <f>+MARZO!$AG163</f>
        <v>0</v>
      </c>
      <c r="E163" s="29">
        <f>+ABRIL!$AG163</f>
        <v>0</v>
      </c>
      <c r="F163" s="29">
        <f>+MAYO!$AG163</f>
        <v>0</v>
      </c>
      <c r="G163" s="29">
        <f>+JUNIO!$AG163</f>
        <v>0</v>
      </c>
      <c r="H163" s="29">
        <f>+JULIO!$AG163</f>
        <v>0</v>
      </c>
      <c r="I163" s="29">
        <f>+AGOSTO!$AG163</f>
        <v>0</v>
      </c>
      <c r="J163" s="29">
        <f>+SEPTIEMBRE!$AG163</f>
        <v>0</v>
      </c>
      <c r="K163" s="29">
        <f>+OCTUBRE!$AG163</f>
        <v>0</v>
      </c>
      <c r="L163" s="29">
        <f>+NOVIEMBRE!$AG163</f>
        <v>0</v>
      </c>
      <c r="M163" s="29">
        <f>+DICIEMBRE!$AG163</f>
        <v>0</v>
      </c>
      <c r="N163" s="4">
        <f t="shared" si="10"/>
        <v>0</v>
      </c>
    </row>
    <row r="164" spans="1:15" ht="18.75" x14ac:dyDescent="0.25">
      <c r="A164" s="50" t="s">
        <v>27</v>
      </c>
      <c r="B164" s="29">
        <f>+ENERO!$AG164</f>
        <v>1</v>
      </c>
      <c r="C164" s="29">
        <f>+FEBRERO!$AG164</f>
        <v>0</v>
      </c>
      <c r="D164" s="29">
        <f>+MARZO!$AG164</f>
        <v>2</v>
      </c>
      <c r="E164" s="29">
        <f>+ABRIL!$AG164</f>
        <v>2</v>
      </c>
      <c r="F164" s="29">
        <f>+MAYO!$AG164</f>
        <v>0</v>
      </c>
      <c r="G164" s="29">
        <f>+JUNIO!$AG164</f>
        <v>2</v>
      </c>
      <c r="H164" s="29">
        <f>+JULIO!$AG164</f>
        <v>2</v>
      </c>
      <c r="I164" s="29">
        <f>+AGOSTO!$AG164</f>
        <v>1</v>
      </c>
      <c r="J164" s="29">
        <f>+SEPTIEMBRE!$AG164</f>
        <v>0</v>
      </c>
      <c r="K164" s="29">
        <f>+OCTUBRE!$AG164</f>
        <v>1</v>
      </c>
      <c r="L164" s="29">
        <f>+NOVIEMBRE!$AG164</f>
        <v>0</v>
      </c>
      <c r="M164" s="29">
        <f>+DICIEMBRE!$AG164</f>
        <v>0</v>
      </c>
      <c r="N164" s="4">
        <f t="shared" si="10"/>
        <v>11</v>
      </c>
    </row>
    <row r="165" spans="1:15" ht="18.75" x14ac:dyDescent="0.25">
      <c r="A165" s="50" t="s">
        <v>28</v>
      </c>
      <c r="B165" s="29">
        <f>+ENERO!$AG165</f>
        <v>3</v>
      </c>
      <c r="C165" s="29">
        <f>+FEBRERO!$AG165</f>
        <v>9</v>
      </c>
      <c r="D165" s="29">
        <f>+MARZO!$AG165</f>
        <v>1</v>
      </c>
      <c r="E165" s="29">
        <f>+ABRIL!$AG165</f>
        <v>3</v>
      </c>
      <c r="F165" s="29">
        <f>+MAYO!$AG165</f>
        <v>9</v>
      </c>
      <c r="G165" s="29">
        <f>+JUNIO!$AG165</f>
        <v>5</v>
      </c>
      <c r="H165" s="29">
        <f>+JULIO!$AG165</f>
        <v>4</v>
      </c>
      <c r="I165" s="29">
        <f>+AGOSTO!$AG165</f>
        <v>3</v>
      </c>
      <c r="J165" s="29">
        <f>+SEPTIEMBRE!$AG165</f>
        <v>4</v>
      </c>
      <c r="K165" s="29">
        <f>+OCTUBRE!$AG165</f>
        <v>2</v>
      </c>
      <c r="L165" s="29">
        <f>+NOVIEMBRE!$AG165</f>
        <v>3</v>
      </c>
      <c r="M165" s="29">
        <f>+DICIEMBRE!$AG165</f>
        <v>7</v>
      </c>
      <c r="N165" s="4">
        <f t="shared" si="10"/>
        <v>53</v>
      </c>
    </row>
    <row r="166" spans="1:15" ht="19.5" thickBot="1" x14ac:dyDescent="0.3">
      <c r="A166" s="71" t="s">
        <v>29</v>
      </c>
      <c r="B166" s="30">
        <f>+ENERO!$AG166</f>
        <v>0</v>
      </c>
      <c r="C166" s="30">
        <f>+FEBRERO!$AG166</f>
        <v>0</v>
      </c>
      <c r="D166" s="30">
        <f>+MARZO!$AG166</f>
        <v>0</v>
      </c>
      <c r="E166" s="30">
        <f>+ABRIL!$AG166</f>
        <v>0</v>
      </c>
      <c r="F166" s="30">
        <f>+MAYO!$AG166</f>
        <v>0</v>
      </c>
      <c r="G166" s="30">
        <f>+JUNIO!$AG166</f>
        <v>0</v>
      </c>
      <c r="H166" s="30">
        <f>+JULIO!$AG166</f>
        <v>0</v>
      </c>
      <c r="I166" s="30">
        <f>+AGOSTO!$AG166</f>
        <v>0</v>
      </c>
      <c r="J166" s="30">
        <f>+SEPTIEMBRE!$AG166</f>
        <v>0</v>
      </c>
      <c r="K166" s="30">
        <f>+OCTUBRE!$AG166</f>
        <v>0</v>
      </c>
      <c r="L166" s="30">
        <f>+NOVIEMBRE!$AG166</f>
        <v>0</v>
      </c>
      <c r="M166" s="30">
        <f>+DICIEMBRE!$AG166</f>
        <v>0</v>
      </c>
      <c r="N166" s="28">
        <f t="shared" si="10"/>
        <v>0</v>
      </c>
    </row>
    <row r="167" spans="1:15" ht="18.75" x14ac:dyDescent="0.25">
      <c r="A167" s="69" t="s">
        <v>71</v>
      </c>
      <c r="B167" s="56">
        <f t="shared" ref="B167:D167" si="13">SUM(B168:B171)</f>
        <v>30</v>
      </c>
      <c r="C167" s="56">
        <f t="shared" si="13"/>
        <v>36</v>
      </c>
      <c r="D167" s="56">
        <f t="shared" si="13"/>
        <v>19</v>
      </c>
      <c r="E167" s="56">
        <f>+ABRIL!$AG167</f>
        <v>16</v>
      </c>
      <c r="F167" s="56">
        <f>+MAYO!$AG167</f>
        <v>5</v>
      </c>
      <c r="G167" s="56">
        <f>+JUNIO!$AG167</f>
        <v>9</v>
      </c>
      <c r="H167" s="56">
        <f>+JULIO!$AG167</f>
        <v>10</v>
      </c>
      <c r="I167" s="56">
        <f>+AGOSTO!$AG167</f>
        <v>16</v>
      </c>
      <c r="J167" s="56">
        <f>+SEPTIEMBRE!$AG167</f>
        <v>24</v>
      </c>
      <c r="K167" s="56">
        <f>+OCTUBRE!$AG167</f>
        <v>12</v>
      </c>
      <c r="L167" s="56">
        <f>+NOVIEMBRE!$AG167</f>
        <v>5</v>
      </c>
      <c r="M167" s="56">
        <f>+DICIEMBRE!$AG167</f>
        <v>8</v>
      </c>
      <c r="N167" s="95">
        <f t="shared" si="10"/>
        <v>190</v>
      </c>
    </row>
    <row r="168" spans="1:15" ht="18.75" x14ac:dyDescent="0.25">
      <c r="A168" s="51" t="s">
        <v>30</v>
      </c>
      <c r="B168" s="29">
        <f>+ENERO!$AG168</f>
        <v>7</v>
      </c>
      <c r="C168" s="29">
        <f>+FEBRERO!$AG168</f>
        <v>7</v>
      </c>
      <c r="D168" s="29">
        <f>+MARZO!$AG168</f>
        <v>2</v>
      </c>
      <c r="E168" s="29">
        <f>+ABRIL!$AG168</f>
        <v>8</v>
      </c>
      <c r="F168" s="29">
        <f>+MAYO!$AG168</f>
        <v>3</v>
      </c>
      <c r="G168" s="29">
        <f>+JUNIO!$AG168</f>
        <v>3</v>
      </c>
      <c r="H168" s="29">
        <f>+JULIO!$AG168</f>
        <v>6</v>
      </c>
      <c r="I168" s="29">
        <f>+AGOSTO!$AG168</f>
        <v>11</v>
      </c>
      <c r="J168" s="29">
        <f>+SEPTIEMBRE!$AG168</f>
        <v>6</v>
      </c>
      <c r="K168" s="29">
        <f>+OCTUBRE!$AG168</f>
        <v>3</v>
      </c>
      <c r="L168" s="29">
        <f>+NOVIEMBRE!$AG168</f>
        <v>0</v>
      </c>
      <c r="M168" s="29">
        <f>+DICIEMBRE!$AG168</f>
        <v>3</v>
      </c>
      <c r="N168" s="4">
        <f t="shared" si="10"/>
        <v>59</v>
      </c>
    </row>
    <row r="169" spans="1:15" ht="18.75" x14ac:dyDescent="0.25">
      <c r="A169" s="51" t="s">
        <v>31</v>
      </c>
      <c r="B169" s="29">
        <f>+ENERO!$AG169</f>
        <v>18</v>
      </c>
      <c r="C169" s="29">
        <f>+FEBRERO!$AG169</f>
        <v>24</v>
      </c>
      <c r="D169" s="29">
        <f>+MARZO!$AG169</f>
        <v>6</v>
      </c>
      <c r="E169" s="29">
        <f>+ABRIL!$AG169</f>
        <v>4</v>
      </c>
      <c r="F169" s="29">
        <f>+MAYO!$AG169</f>
        <v>1</v>
      </c>
      <c r="G169" s="29">
        <f>+JUNIO!$AG169</f>
        <v>3</v>
      </c>
      <c r="H169" s="29">
        <f>+JULIO!$AG169</f>
        <v>2</v>
      </c>
      <c r="I169" s="29">
        <f>+AGOSTO!$AG169</f>
        <v>3</v>
      </c>
      <c r="J169" s="29">
        <f>+SEPTIEMBRE!$AG169</f>
        <v>4</v>
      </c>
      <c r="K169" s="29">
        <f>+OCTUBRE!$AG169</f>
        <v>3</v>
      </c>
      <c r="L169" s="29">
        <f>+NOVIEMBRE!$AG169</f>
        <v>2</v>
      </c>
      <c r="M169" s="29">
        <f>+DICIEMBRE!$AG169</f>
        <v>1</v>
      </c>
      <c r="N169" s="4">
        <f t="shared" si="10"/>
        <v>71</v>
      </c>
    </row>
    <row r="170" spans="1:15" ht="18.75" x14ac:dyDescent="0.25">
      <c r="A170" s="51" t="s">
        <v>32</v>
      </c>
      <c r="B170" s="29">
        <f>+ENERO!$AG170</f>
        <v>0</v>
      </c>
      <c r="C170" s="29">
        <f>+FEBRERO!$AG170</f>
        <v>0</v>
      </c>
      <c r="D170" s="29">
        <f>+MARZO!$AG170</f>
        <v>0</v>
      </c>
      <c r="E170" s="29">
        <f>+ABRIL!$AG170</f>
        <v>1</v>
      </c>
      <c r="F170" s="29">
        <f>+MAYO!$AG170</f>
        <v>0</v>
      </c>
      <c r="G170" s="29">
        <f>+JUNIO!$AG170</f>
        <v>0</v>
      </c>
      <c r="H170" s="29">
        <f>+JULIO!$AG170</f>
        <v>0</v>
      </c>
      <c r="I170" s="29">
        <f>+AGOSTO!$AG170</f>
        <v>0</v>
      </c>
      <c r="J170" s="29">
        <f>+SEPTIEMBRE!$AG170</f>
        <v>0</v>
      </c>
      <c r="K170" s="29">
        <f>+OCTUBRE!$AG170</f>
        <v>0</v>
      </c>
      <c r="L170" s="29">
        <f>+NOVIEMBRE!$AG170</f>
        <v>0</v>
      </c>
      <c r="M170" s="29">
        <f>+DICIEMBRE!$AG170</f>
        <v>0</v>
      </c>
      <c r="N170" s="4">
        <f t="shared" si="10"/>
        <v>1</v>
      </c>
    </row>
    <row r="171" spans="1:15" ht="19.5" thickBot="1" x14ac:dyDescent="0.3">
      <c r="A171" s="70" t="s">
        <v>87</v>
      </c>
      <c r="B171" s="30">
        <f>+ENERO!$AG171</f>
        <v>5</v>
      </c>
      <c r="C171" s="30">
        <f>+FEBRERO!$AG171</f>
        <v>5</v>
      </c>
      <c r="D171" s="30">
        <f>+MARZO!$AG171</f>
        <v>11</v>
      </c>
      <c r="E171" s="30">
        <f>+ABRIL!$AG171</f>
        <v>3</v>
      </c>
      <c r="F171" s="30">
        <f>+MAYO!$AG171</f>
        <v>1</v>
      </c>
      <c r="G171" s="30">
        <f>+JUNIO!$AG171</f>
        <v>3</v>
      </c>
      <c r="H171" s="30">
        <f>+JULIO!$AG171</f>
        <v>2</v>
      </c>
      <c r="I171" s="30">
        <f>+AGOSTO!$AG171</f>
        <v>2</v>
      </c>
      <c r="J171" s="30">
        <f>+SEPTIEMBRE!$AG171</f>
        <v>14</v>
      </c>
      <c r="K171" s="30">
        <f>+OCTUBRE!$AG171</f>
        <v>6</v>
      </c>
      <c r="L171" s="30">
        <f>+NOVIEMBRE!$AG171</f>
        <v>3</v>
      </c>
      <c r="M171" s="30">
        <f>+DICIEMBRE!$AG171</f>
        <v>4</v>
      </c>
      <c r="N171" s="28">
        <f t="shared" si="10"/>
        <v>59</v>
      </c>
    </row>
    <row r="172" spans="1:15" ht="19.5" thickBot="1" x14ac:dyDescent="0.3">
      <c r="A172" s="158" t="s">
        <v>128</v>
      </c>
      <c r="B172" s="151">
        <f>+ENERO!$AG172</f>
        <v>7</v>
      </c>
      <c r="C172" s="151">
        <f>+FEBRERO!$AG172</f>
        <v>1</v>
      </c>
      <c r="D172" s="151">
        <f>+MARZO!$AG172</f>
        <v>4</v>
      </c>
      <c r="E172" s="151">
        <f>+ABRIL!$AG172</f>
        <v>3</v>
      </c>
      <c r="F172" s="151">
        <f>+MAYO!$AG172</f>
        <v>1</v>
      </c>
      <c r="G172" s="151">
        <f>+JUNIO!$AG172</f>
        <v>0</v>
      </c>
      <c r="H172" s="151">
        <f>+JULIO!$AG172</f>
        <v>1</v>
      </c>
      <c r="I172" s="151">
        <f>+AGOSTO!$AG172</f>
        <v>4</v>
      </c>
      <c r="J172" s="151">
        <f>+SEPTIEMBRE!$AG172</f>
        <v>4</v>
      </c>
      <c r="K172" s="151">
        <f>+OCTUBRE!$AG172</f>
        <v>3</v>
      </c>
      <c r="L172" s="151">
        <f>+NOVIEMBRE!$AG172</f>
        <v>3</v>
      </c>
      <c r="M172" s="151">
        <f>+DICIEMBRE!$AG172</f>
        <v>1</v>
      </c>
      <c r="N172" s="159">
        <f t="shared" si="10"/>
        <v>32</v>
      </c>
    </row>
    <row r="173" spans="1:15" ht="18.75" x14ac:dyDescent="0.25">
      <c r="A173" s="68" t="s">
        <v>2</v>
      </c>
      <c r="B173" s="15">
        <f>+ENERO!$AG173</f>
        <v>33</v>
      </c>
      <c r="C173" s="15">
        <f>+FEBRERO!$AG173</f>
        <v>22</v>
      </c>
      <c r="D173" s="15">
        <f>+MARZO!$AG173</f>
        <v>19</v>
      </c>
      <c r="E173" s="15">
        <f>+ABRIL!$AG173</f>
        <v>21</v>
      </c>
      <c r="F173" s="15">
        <f>+MAYO!$AG173</f>
        <v>21</v>
      </c>
      <c r="G173" s="15">
        <f>+JUNIO!$AG173</f>
        <v>18</v>
      </c>
      <c r="H173" s="15">
        <f>+JULIO!$AG173</f>
        <v>18</v>
      </c>
      <c r="I173" s="15">
        <f>+AGOSTO!$AG173</f>
        <v>23</v>
      </c>
      <c r="J173" s="15">
        <f>+SEPTIEMBRE!$AG173</f>
        <v>19</v>
      </c>
      <c r="K173" s="15">
        <f>+OCTUBRE!$AG173</f>
        <v>9</v>
      </c>
      <c r="L173" s="15">
        <f>+NOVIEMBRE!$AG173</f>
        <v>10</v>
      </c>
      <c r="M173" s="15">
        <f>+DICIEMBRE!$AG173</f>
        <v>7</v>
      </c>
      <c r="N173" s="5">
        <f t="shared" si="10"/>
        <v>220</v>
      </c>
      <c r="O173" s="2" t="s">
        <v>137</v>
      </c>
    </row>
    <row r="174" spans="1:15" ht="19.5" thickBot="1" x14ac:dyDescent="0.3">
      <c r="A174" s="146" t="s">
        <v>3</v>
      </c>
      <c r="B174" s="16">
        <f>SUM(B175:B176)</f>
        <v>193</v>
      </c>
      <c r="C174" s="16">
        <f t="shared" ref="C174:D174" si="14">SUM(C175:C176)</f>
        <v>179</v>
      </c>
      <c r="D174" s="16">
        <f t="shared" si="14"/>
        <v>218</v>
      </c>
      <c r="E174" s="16">
        <f>+ABRIL!$AG174</f>
        <v>190</v>
      </c>
      <c r="F174" s="16">
        <f>+MAYO!$AG174</f>
        <v>157</v>
      </c>
      <c r="G174" s="16">
        <f>+JUNIO!$AG174</f>
        <v>150</v>
      </c>
      <c r="H174" s="16">
        <f>+JULIO!$AG174</f>
        <v>175</v>
      </c>
      <c r="I174" s="16">
        <f>+AGOSTO!$AG174</f>
        <v>191</v>
      </c>
      <c r="J174" s="16">
        <f>+SEPTIEMBRE!$AG174</f>
        <v>173</v>
      </c>
      <c r="K174" s="16">
        <f>+OCTUBRE!$AG174</f>
        <v>186</v>
      </c>
      <c r="L174" s="16">
        <f>+NOVIEMBRE!$AG174</f>
        <v>152</v>
      </c>
      <c r="M174" s="16">
        <f>+DICIEMBRE!$AG174</f>
        <v>151</v>
      </c>
      <c r="N174" s="6">
        <f t="shared" si="10"/>
        <v>2115</v>
      </c>
      <c r="O174" s="2" t="s">
        <v>138</v>
      </c>
    </row>
    <row r="175" spans="1:15" ht="18.75" x14ac:dyDescent="0.25">
      <c r="A175" s="133" t="s">
        <v>120</v>
      </c>
      <c r="B175" s="15">
        <f>+ENERO!$AG175</f>
        <v>17</v>
      </c>
      <c r="C175" s="15">
        <f>+FEBRERO!$AG175</f>
        <v>10</v>
      </c>
      <c r="D175" s="15">
        <f>+MARZO!$AG175</f>
        <v>29</v>
      </c>
      <c r="E175" s="15">
        <f>+ABRIL!$AG175</f>
        <v>23</v>
      </c>
      <c r="F175" s="15">
        <f>+MAYO!$AG175</f>
        <v>19</v>
      </c>
      <c r="G175" s="15">
        <f>+JUNIO!$AG175</f>
        <v>17</v>
      </c>
      <c r="H175" s="15">
        <f>+JULIO!$AG175</f>
        <v>13</v>
      </c>
      <c r="I175" s="15">
        <f>+AGOSTO!$AG175</f>
        <v>17</v>
      </c>
      <c r="J175" s="15">
        <f>+SEPTIEMBRE!$AG175</f>
        <v>19</v>
      </c>
      <c r="K175" s="15">
        <f>+OCTUBRE!$AG175</f>
        <v>21</v>
      </c>
      <c r="L175" s="15">
        <f>+NOVIEMBRE!$AG175</f>
        <v>13</v>
      </c>
      <c r="M175" s="15">
        <f>+DICIEMBRE!$AG175</f>
        <v>22</v>
      </c>
      <c r="N175" s="5">
        <f t="shared" si="10"/>
        <v>220</v>
      </c>
      <c r="O175" s="2" t="s">
        <v>138</v>
      </c>
    </row>
    <row r="176" spans="1:15" ht="19.5" thickBot="1" x14ac:dyDescent="0.3">
      <c r="A176" s="104" t="s">
        <v>119</v>
      </c>
      <c r="B176" s="101">
        <f>+ENERO!$AG176</f>
        <v>176</v>
      </c>
      <c r="C176" s="101">
        <f>+FEBRERO!$AG176</f>
        <v>169</v>
      </c>
      <c r="D176" s="101">
        <f>+MARZO!$AG176</f>
        <v>189</v>
      </c>
      <c r="E176" s="101">
        <f>+ABRIL!$AG176</f>
        <v>167</v>
      </c>
      <c r="F176" s="101">
        <f>+MAYO!$AG176</f>
        <v>138</v>
      </c>
      <c r="G176" s="101">
        <f>+JUNIO!$AG176</f>
        <v>133</v>
      </c>
      <c r="H176" s="101">
        <f>+JULIO!$AG176</f>
        <v>162</v>
      </c>
      <c r="I176" s="101">
        <f>+AGOSTO!$AG176</f>
        <v>174</v>
      </c>
      <c r="J176" s="101">
        <f>+SEPTIEMBRE!$AG176</f>
        <v>154</v>
      </c>
      <c r="K176" s="101">
        <f>+OCTUBRE!$AG176</f>
        <v>165</v>
      </c>
      <c r="L176" s="101">
        <f>+NOVIEMBRE!$AG176</f>
        <v>139</v>
      </c>
      <c r="M176" s="101">
        <f>+DICIEMBRE!$AG176</f>
        <v>129</v>
      </c>
      <c r="N176" s="103">
        <f t="shared" si="10"/>
        <v>1895</v>
      </c>
      <c r="O176" s="2" t="s">
        <v>138</v>
      </c>
    </row>
    <row r="177" spans="1:15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96">
        <f t="shared" si="10"/>
        <v>0</v>
      </c>
    </row>
    <row r="178" spans="1:15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2">
        <f t="shared" si="10"/>
        <v>0</v>
      </c>
    </row>
    <row r="179" spans="1:15" ht="19.5" thickBot="1" x14ac:dyDescent="0.3">
      <c r="A179" s="219" t="s">
        <v>149</v>
      </c>
      <c r="B179" s="220">
        <f t="shared" ref="B179:D179" si="15">SUM(B180:B204)</f>
        <v>529</v>
      </c>
      <c r="C179" s="220">
        <f t="shared" si="15"/>
        <v>485</v>
      </c>
      <c r="D179" s="220">
        <f t="shared" si="15"/>
        <v>506</v>
      </c>
      <c r="E179" s="220">
        <f>+ABRIL!$AG179</f>
        <v>408</v>
      </c>
      <c r="F179" s="220">
        <f>+MAYO!$AG179</f>
        <v>448</v>
      </c>
      <c r="G179" s="220">
        <f>+JUNIO!$AG179</f>
        <v>379</v>
      </c>
      <c r="H179" s="220">
        <f>+JULIO!$AG179</f>
        <v>402</v>
      </c>
      <c r="I179" s="220">
        <f>+AGOSTO!$AG179</f>
        <v>440</v>
      </c>
      <c r="J179" s="220">
        <f>+SEPTIEMBRE!$AG179</f>
        <v>545</v>
      </c>
      <c r="K179" s="220">
        <f>+OCTUBRE!$AG179</f>
        <v>457</v>
      </c>
      <c r="L179" s="220">
        <f>+NOVIEMBRE!$AG179</f>
        <v>521</v>
      </c>
      <c r="M179" s="220">
        <f>+DICIEMBRE!$AG179</f>
        <v>532</v>
      </c>
      <c r="N179" s="156">
        <f t="shared" ref="N179:N210" si="16">SUM(B179:M179)</f>
        <v>5652</v>
      </c>
      <c r="O179" s="38"/>
    </row>
    <row r="180" spans="1:15" ht="18.75" x14ac:dyDescent="0.25">
      <c r="A180" s="109" t="s">
        <v>4</v>
      </c>
      <c r="B180" s="216">
        <f>+ENERO!$AG180</f>
        <v>172</v>
      </c>
      <c r="C180" s="216">
        <f>+FEBRERO!$AG180</f>
        <v>139</v>
      </c>
      <c r="D180" s="216">
        <f>+MARZO!$AG180</f>
        <v>182</v>
      </c>
      <c r="E180" s="216">
        <f>+ABRIL!$AG180</f>
        <v>127</v>
      </c>
      <c r="F180" s="216">
        <f>+MAYO!$AG180</f>
        <v>149</v>
      </c>
      <c r="G180" s="216">
        <f>+JUNIO!$AG180</f>
        <v>134</v>
      </c>
      <c r="H180" s="216">
        <f>+JULIO!$AG180</f>
        <v>128</v>
      </c>
      <c r="I180" s="216">
        <f>+AGOSTO!$AG180</f>
        <v>143</v>
      </c>
      <c r="J180" s="216">
        <f>+SEPTIEMBRE!$AG180</f>
        <v>194</v>
      </c>
      <c r="K180" s="216">
        <f>+OCTUBRE!$AG180</f>
        <v>148</v>
      </c>
      <c r="L180" s="216">
        <f>+NOVIEMBRE!$AG180</f>
        <v>193</v>
      </c>
      <c r="M180" s="216">
        <f>+DICIEMBRE!$AG180</f>
        <v>180</v>
      </c>
      <c r="N180" s="31">
        <f t="shared" si="16"/>
        <v>1889</v>
      </c>
    </row>
    <row r="181" spans="1:15" ht="18.75" x14ac:dyDescent="0.25">
      <c r="A181" s="109" t="s">
        <v>122</v>
      </c>
      <c r="B181" s="147">
        <f>+ENERO!$AG181</f>
        <v>3</v>
      </c>
      <c r="C181" s="147">
        <f>+FEBRERO!$AG181</f>
        <v>6</v>
      </c>
      <c r="D181" s="147">
        <f>+MARZO!$AG181</f>
        <v>4</v>
      </c>
      <c r="E181" s="147">
        <f>+ABRIL!$AG181</f>
        <v>7</v>
      </c>
      <c r="F181" s="147">
        <f>+MAYO!$AG181</f>
        <v>11</v>
      </c>
      <c r="G181" s="147">
        <f>+JUNIO!$AG181</f>
        <v>9</v>
      </c>
      <c r="H181" s="147">
        <f>+JULIO!$AG181</f>
        <v>7</v>
      </c>
      <c r="I181" s="147">
        <f>+AGOSTO!$AG181</f>
        <v>6</v>
      </c>
      <c r="J181" s="147">
        <f>+SEPTIEMBRE!$AG181</f>
        <v>4</v>
      </c>
      <c r="K181" s="147">
        <f>+OCTUBRE!$AG181</f>
        <v>6</v>
      </c>
      <c r="L181" s="147">
        <f>+NOVIEMBRE!$AG181</f>
        <v>4</v>
      </c>
      <c r="M181" s="147">
        <f>+DICIEMBRE!$AG181</f>
        <v>1</v>
      </c>
      <c r="N181" s="4">
        <f t="shared" si="16"/>
        <v>68</v>
      </c>
    </row>
    <row r="182" spans="1:15" ht="18.75" x14ac:dyDescent="0.25">
      <c r="A182" s="109" t="s">
        <v>123</v>
      </c>
      <c r="B182" s="147">
        <f>+ENERO!$AG182</f>
        <v>225</v>
      </c>
      <c r="C182" s="147">
        <f>+FEBRERO!$AG182</f>
        <v>211</v>
      </c>
      <c r="D182" s="147">
        <f>+MARZO!$AG182</f>
        <v>191</v>
      </c>
      <c r="E182" s="147">
        <f>+ABRIL!$AG182</f>
        <v>146</v>
      </c>
      <c r="F182" s="147">
        <f>+MAYO!$AG182</f>
        <v>181</v>
      </c>
      <c r="G182" s="147">
        <f>+JUNIO!$AG182</f>
        <v>121</v>
      </c>
      <c r="H182" s="147">
        <f>+JULIO!$AG182</f>
        <v>186</v>
      </c>
      <c r="I182" s="147">
        <f>+AGOSTO!$AG182</f>
        <v>153</v>
      </c>
      <c r="J182" s="147">
        <f>+SEPTIEMBRE!$AG182</f>
        <v>177</v>
      </c>
      <c r="K182" s="147">
        <f>+OCTUBRE!$AG182</f>
        <v>180</v>
      </c>
      <c r="L182" s="147">
        <f>+NOVIEMBRE!$AG182</f>
        <v>213</v>
      </c>
      <c r="M182" s="147">
        <f>+DICIEMBRE!$AG182</f>
        <v>238</v>
      </c>
      <c r="N182" s="4">
        <f t="shared" si="16"/>
        <v>2222</v>
      </c>
    </row>
    <row r="183" spans="1:15" ht="18.75" x14ac:dyDescent="0.25">
      <c r="A183" s="109" t="s">
        <v>615</v>
      </c>
      <c r="B183" s="236"/>
      <c r="C183" s="236"/>
      <c r="D183" s="236"/>
      <c r="E183" s="147">
        <f>+ABRIL!$AG183</f>
        <v>1</v>
      </c>
      <c r="F183" s="147">
        <f>+MAYO!$AG183</f>
        <v>0</v>
      </c>
      <c r="G183" s="147">
        <f>+JUNIO!$AG183</f>
        <v>1</v>
      </c>
      <c r="H183" s="147">
        <f>+JULIO!$AG183</f>
        <v>0</v>
      </c>
      <c r="I183" s="147">
        <f>+AGOSTO!$AG183</f>
        <v>0</v>
      </c>
      <c r="J183" s="147">
        <f>+SEPTIEMBRE!$AG183</f>
        <v>13</v>
      </c>
      <c r="K183" s="147">
        <f>+OCTUBRE!$AG183</f>
        <v>0</v>
      </c>
      <c r="L183" s="147">
        <f>+NOVIEMBRE!$AG183</f>
        <v>0</v>
      </c>
      <c r="M183" s="147">
        <f>+DICIEMBRE!$AG183</f>
        <v>3</v>
      </c>
      <c r="N183" s="4">
        <f t="shared" si="16"/>
        <v>18</v>
      </c>
    </row>
    <row r="184" spans="1:15" ht="18.75" x14ac:dyDescent="0.25">
      <c r="A184" s="109" t="s">
        <v>165</v>
      </c>
      <c r="B184" s="147">
        <f>+ENERO!$AG184</f>
        <v>1</v>
      </c>
      <c r="C184" s="147">
        <f>+FEBRERO!$AG184</f>
        <v>0</v>
      </c>
      <c r="D184" s="147">
        <f>+MARZO!$AG184</f>
        <v>0</v>
      </c>
      <c r="E184" s="147">
        <f>+ABRIL!$AG184</f>
        <v>0</v>
      </c>
      <c r="F184" s="147">
        <f>+MAYO!$AG184</f>
        <v>0</v>
      </c>
      <c r="G184" s="147">
        <f>+JUNIO!$AG184</f>
        <v>0</v>
      </c>
      <c r="H184" s="147">
        <f>+JULIO!$AG184</f>
        <v>0</v>
      </c>
      <c r="I184" s="147">
        <f>+AGOSTO!$AG184</f>
        <v>0</v>
      </c>
      <c r="J184" s="147">
        <f>+SEPTIEMBRE!$AG184</f>
        <v>0</v>
      </c>
      <c r="K184" s="147">
        <f>+OCTUBRE!$AG184</f>
        <v>1</v>
      </c>
      <c r="L184" s="147">
        <f>+NOVIEMBRE!$AG184</f>
        <v>1</v>
      </c>
      <c r="M184" s="147">
        <f>+DICIEMBRE!$AG184</f>
        <v>1</v>
      </c>
      <c r="N184" s="4">
        <f t="shared" si="16"/>
        <v>4</v>
      </c>
    </row>
    <row r="185" spans="1:15" ht="18.75" x14ac:dyDescent="0.25">
      <c r="A185" s="109" t="s">
        <v>141</v>
      </c>
      <c r="B185" s="147">
        <f>+ENERO!$AG185</f>
        <v>0</v>
      </c>
      <c r="C185" s="147">
        <f>+FEBRERO!$AG185</f>
        <v>0</v>
      </c>
      <c r="D185" s="147">
        <f>+MARZO!$AG185</f>
        <v>1</v>
      </c>
      <c r="E185" s="147">
        <f>+ABRIL!$AG185</f>
        <v>1</v>
      </c>
      <c r="F185" s="147">
        <f>+MAYO!$AG185</f>
        <v>4</v>
      </c>
      <c r="G185" s="147">
        <f>+JUNIO!$AG185</f>
        <v>2</v>
      </c>
      <c r="H185" s="147">
        <f>+JULIO!$AG185</f>
        <v>0</v>
      </c>
      <c r="I185" s="147">
        <f>+AGOSTO!$AG185</f>
        <v>5</v>
      </c>
      <c r="J185" s="147">
        <f>+SEPTIEMBRE!$AG185</f>
        <v>0</v>
      </c>
      <c r="K185" s="147">
        <f>+OCTUBRE!$AG185</f>
        <v>0</v>
      </c>
      <c r="L185" s="147">
        <f>+NOVIEMBRE!$AG185</f>
        <v>2</v>
      </c>
      <c r="M185" s="147">
        <f>+DICIEMBRE!$AG185</f>
        <v>3</v>
      </c>
      <c r="N185" s="4">
        <f t="shared" si="16"/>
        <v>18</v>
      </c>
    </row>
    <row r="186" spans="1:15" ht="18.75" x14ac:dyDescent="0.25">
      <c r="A186" s="109" t="s">
        <v>614</v>
      </c>
      <c r="B186" s="236"/>
      <c r="C186" s="236"/>
      <c r="D186" s="236"/>
      <c r="E186" s="147">
        <f>+ABRIL!$AG186</f>
        <v>4</v>
      </c>
      <c r="F186" s="147">
        <f>+MAYO!$AG186</f>
        <v>0</v>
      </c>
      <c r="G186" s="147">
        <f>+JUNIO!$AG186</f>
        <v>0</v>
      </c>
      <c r="H186" s="147">
        <f>+JULIO!$AG186</f>
        <v>0</v>
      </c>
      <c r="I186" s="147">
        <f>+AGOSTO!$AG186</f>
        <v>2</v>
      </c>
      <c r="J186" s="147">
        <f>+SEPTIEMBRE!$AG186</f>
        <v>1</v>
      </c>
      <c r="K186" s="147">
        <f>+OCTUBRE!$AG186</f>
        <v>0</v>
      </c>
      <c r="L186" s="147">
        <f>+NOVIEMBRE!$AG186</f>
        <v>0</v>
      </c>
      <c r="M186" s="147">
        <f>+DICIEMBRE!$AG186</f>
        <v>1</v>
      </c>
      <c r="N186" s="4">
        <f t="shared" si="16"/>
        <v>8</v>
      </c>
    </row>
    <row r="187" spans="1:15" ht="18.75" x14ac:dyDescent="0.25">
      <c r="A187" s="248" t="s">
        <v>618</v>
      </c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147">
        <f>+DICIEMBRE!$AG187</f>
        <v>1</v>
      </c>
      <c r="N187" s="4">
        <f t="shared" si="16"/>
        <v>1</v>
      </c>
    </row>
    <row r="188" spans="1:15" ht="18.75" x14ac:dyDescent="0.25">
      <c r="A188" s="109" t="s">
        <v>139</v>
      </c>
      <c r="B188" s="147">
        <f>+ENERO!$AG187</f>
        <v>47</v>
      </c>
      <c r="C188" s="147">
        <f>+FEBRERO!$AG187</f>
        <v>33</v>
      </c>
      <c r="D188" s="147">
        <f>+MARZO!$AG187</f>
        <v>31</v>
      </c>
      <c r="E188" s="147">
        <f>+ABRIL!$AG187</f>
        <v>27</v>
      </c>
      <c r="F188" s="147">
        <f>+MAYO!$AG187</f>
        <v>24</v>
      </c>
      <c r="G188" s="147">
        <f>+JUNIO!$AG187</f>
        <v>40</v>
      </c>
      <c r="H188" s="147">
        <f>+JULIO!$AG187</f>
        <v>15</v>
      </c>
      <c r="I188" s="147">
        <f>+AGOSTO!$AG187</f>
        <v>42</v>
      </c>
      <c r="J188" s="147">
        <f>+SEPTIEMBRE!$AG187</f>
        <v>33</v>
      </c>
      <c r="K188" s="147">
        <f>+OCTUBRE!$AG187</f>
        <v>36</v>
      </c>
      <c r="L188" s="147">
        <f>+NOVIEMBRE!$AG187</f>
        <v>24</v>
      </c>
      <c r="M188" s="147">
        <f>+DICIEMBRE!$AG188</f>
        <v>39</v>
      </c>
      <c r="N188" s="4">
        <f t="shared" si="16"/>
        <v>391</v>
      </c>
    </row>
    <row r="189" spans="1:15" ht="18.75" x14ac:dyDescent="0.25">
      <c r="A189" s="110" t="s">
        <v>63</v>
      </c>
      <c r="B189" s="147">
        <f>+ENERO!$AG188</f>
        <v>0</v>
      </c>
      <c r="C189" s="147">
        <f>+FEBRERO!$AG188</f>
        <v>2</v>
      </c>
      <c r="D189" s="147">
        <f>+MARZO!$AG188</f>
        <v>5</v>
      </c>
      <c r="E189" s="147">
        <f>+ABRIL!$AG188</f>
        <v>20</v>
      </c>
      <c r="F189" s="147">
        <f>+MAYO!$AG188</f>
        <v>11</v>
      </c>
      <c r="G189" s="147">
        <f>+JUNIO!$AG188</f>
        <v>14</v>
      </c>
      <c r="H189" s="147">
        <f>+JULIO!$AG188</f>
        <v>1</v>
      </c>
      <c r="I189" s="147">
        <f>+AGOSTO!$AG188</f>
        <v>16</v>
      </c>
      <c r="J189" s="147">
        <f>+SEPTIEMBRE!$AG188</f>
        <v>12</v>
      </c>
      <c r="K189" s="147">
        <f>+OCTUBRE!$AG188</f>
        <v>13</v>
      </c>
      <c r="L189" s="147">
        <f>+NOVIEMBRE!$AG188</f>
        <v>10</v>
      </c>
      <c r="M189" s="147">
        <f>+DICIEMBRE!$AG189</f>
        <v>1</v>
      </c>
      <c r="N189" s="4">
        <f t="shared" si="16"/>
        <v>105</v>
      </c>
    </row>
    <row r="190" spans="1:15" ht="18.75" x14ac:dyDescent="0.25">
      <c r="A190" s="110" t="s">
        <v>142</v>
      </c>
      <c r="B190" s="147">
        <f>+ENERO!$AG189</f>
        <v>3</v>
      </c>
      <c r="C190" s="147">
        <f>+FEBRERO!$AG189</f>
        <v>1</v>
      </c>
      <c r="D190" s="147">
        <f>+MARZO!$AG189</f>
        <v>1</v>
      </c>
      <c r="E190" s="147">
        <f>+ABRIL!$AG189</f>
        <v>0</v>
      </c>
      <c r="F190" s="147">
        <f>+MAYO!$AG189</f>
        <v>0</v>
      </c>
      <c r="G190" s="147">
        <f>+JUNIO!$AG189</f>
        <v>0</v>
      </c>
      <c r="H190" s="147">
        <f>+JULIO!$AG189</f>
        <v>0</v>
      </c>
      <c r="I190" s="147">
        <f>+AGOSTO!$AG189</f>
        <v>0</v>
      </c>
      <c r="J190" s="147">
        <f>+SEPTIEMBRE!$AG189</f>
        <v>2</v>
      </c>
      <c r="K190" s="147">
        <f>+OCTUBRE!$AG189</f>
        <v>3</v>
      </c>
      <c r="L190" s="147">
        <f>+NOVIEMBRE!$AG189</f>
        <v>1</v>
      </c>
      <c r="M190" s="147">
        <f>+DICIEMBRE!$AG190</f>
        <v>0</v>
      </c>
      <c r="N190" s="4">
        <f t="shared" si="16"/>
        <v>11</v>
      </c>
    </row>
    <row r="191" spans="1:15" ht="18.75" x14ac:dyDescent="0.25">
      <c r="A191" s="110" t="s">
        <v>168</v>
      </c>
      <c r="B191" s="236"/>
      <c r="C191" s="147">
        <f>+FEBRERO!$AG190</f>
        <v>1</v>
      </c>
      <c r="D191" s="147">
        <f>+MARZO!$AG190</f>
        <v>0</v>
      </c>
      <c r="E191" s="147">
        <f>+ABRIL!$AG190</f>
        <v>0</v>
      </c>
      <c r="F191" s="147">
        <f>+MAYO!$AG190</f>
        <v>2</v>
      </c>
      <c r="G191" s="147">
        <f>+JUNIO!$AG190</f>
        <v>0</v>
      </c>
      <c r="H191" s="147">
        <f>+JULIO!$AG190</f>
        <v>0</v>
      </c>
      <c r="I191" s="147">
        <f>+AGOSTO!$AG190</f>
        <v>1</v>
      </c>
      <c r="J191" s="147">
        <f>+SEPTIEMBRE!$AG190</f>
        <v>0</v>
      </c>
      <c r="K191" s="147">
        <f>+OCTUBRE!$AG190</f>
        <v>0</v>
      </c>
      <c r="L191" s="147">
        <f>+NOVIEMBRE!$AG190</f>
        <v>0</v>
      </c>
      <c r="M191" s="147">
        <f>+DICIEMBRE!$AG191</f>
        <v>0</v>
      </c>
      <c r="N191" s="4">
        <f t="shared" si="16"/>
        <v>4</v>
      </c>
    </row>
    <row r="192" spans="1:15" ht="18.75" x14ac:dyDescent="0.25">
      <c r="A192" s="110" t="s">
        <v>169</v>
      </c>
      <c r="B192" s="236"/>
      <c r="C192" s="147">
        <f>+FEBRERO!$AG191</f>
        <v>1</v>
      </c>
      <c r="D192" s="147">
        <f>+MARZO!$AG191</f>
        <v>0</v>
      </c>
      <c r="E192" s="147">
        <f>+ABRIL!$AG191</f>
        <v>0</v>
      </c>
      <c r="F192" s="147">
        <f>+MAYO!$AG191</f>
        <v>0</v>
      </c>
      <c r="G192" s="147">
        <f>+JUNIO!$AG191</f>
        <v>0</v>
      </c>
      <c r="H192" s="147">
        <f>+JULIO!$AG191</f>
        <v>0</v>
      </c>
      <c r="I192" s="147">
        <f>+AGOSTO!$AG191</f>
        <v>0</v>
      </c>
      <c r="J192" s="147">
        <f>+SEPTIEMBRE!$AG191</f>
        <v>1</v>
      </c>
      <c r="K192" s="147">
        <f>+OCTUBRE!$AG191</f>
        <v>0</v>
      </c>
      <c r="L192" s="147">
        <f>+NOVIEMBRE!$AG191</f>
        <v>1</v>
      </c>
      <c r="M192" s="147">
        <f>+DICIEMBRE!$AG192</f>
        <v>0</v>
      </c>
      <c r="N192" s="4">
        <f t="shared" si="16"/>
        <v>3</v>
      </c>
    </row>
    <row r="193" spans="1:15" ht="18.75" x14ac:dyDescent="0.25">
      <c r="A193" s="243" t="s">
        <v>5</v>
      </c>
      <c r="B193" s="244">
        <f>+ENERO!$AG192</f>
        <v>20</v>
      </c>
      <c r="C193" s="244">
        <f>+FEBRERO!$AG192</f>
        <v>12</v>
      </c>
      <c r="D193" s="244">
        <f>+MARZO!$AG192</f>
        <v>34</v>
      </c>
      <c r="E193" s="244">
        <f>+ABRIL!$AG192</f>
        <v>26</v>
      </c>
      <c r="F193" s="244">
        <f>+MAYO!$AG192</f>
        <v>18</v>
      </c>
      <c r="G193" s="244">
        <f>+JUNIO!$AG192</f>
        <v>36</v>
      </c>
      <c r="H193" s="244">
        <f>+JULIO!$AG192</f>
        <v>26</v>
      </c>
      <c r="I193" s="244">
        <f>+AGOSTO!$AG192</f>
        <v>28</v>
      </c>
      <c r="J193" s="244">
        <f>+SEPTIEMBRE!$AG192</f>
        <v>34</v>
      </c>
      <c r="K193" s="244">
        <f>+OCTUBRE!$AG192</f>
        <v>21</v>
      </c>
      <c r="L193" s="244">
        <f>+NOVIEMBRE!$AG192</f>
        <v>28</v>
      </c>
      <c r="M193" s="244">
        <f>+DICIEMBRE!$AG193</f>
        <v>19</v>
      </c>
      <c r="N193" s="247">
        <f t="shared" si="16"/>
        <v>302</v>
      </c>
    </row>
    <row r="194" spans="1:15" ht="18.75" x14ac:dyDescent="0.25">
      <c r="A194" s="111" t="s">
        <v>175</v>
      </c>
      <c r="B194" s="236"/>
      <c r="C194" s="236"/>
      <c r="D194" s="147">
        <f>+MARZO!$AG193</f>
        <v>1</v>
      </c>
      <c r="E194" s="147">
        <f>+ABRIL!$AG193</f>
        <v>0</v>
      </c>
      <c r="F194" s="147">
        <f>+MAYO!$AG193</f>
        <v>0</v>
      </c>
      <c r="G194" s="147">
        <f>+JUNIO!$AG193</f>
        <v>0</v>
      </c>
      <c r="H194" s="147">
        <f>+JULIO!$AG193</f>
        <v>0</v>
      </c>
      <c r="I194" s="147">
        <f>+AGOSTO!$AG193</f>
        <v>0</v>
      </c>
      <c r="J194" s="147">
        <f>+SEPTIEMBRE!$AG193</f>
        <v>0</v>
      </c>
      <c r="K194" s="147">
        <f>+OCTUBRE!$AG193</f>
        <v>0</v>
      </c>
      <c r="L194" s="147">
        <f>+NOVIEMBRE!$AG193</f>
        <v>0</v>
      </c>
      <c r="M194" s="147">
        <f>+DICIEMBRE!$AG194</f>
        <v>0</v>
      </c>
      <c r="N194" s="4">
        <f t="shared" si="16"/>
        <v>1</v>
      </c>
    </row>
    <row r="195" spans="1:15" ht="18.75" x14ac:dyDescent="0.25">
      <c r="A195" s="111" t="s">
        <v>172</v>
      </c>
      <c r="B195" s="236"/>
      <c r="C195" s="147">
        <f>+FEBRERO!$AG194</f>
        <v>1</v>
      </c>
      <c r="D195" s="147">
        <f>+MARZO!$AG194</f>
        <v>1</v>
      </c>
      <c r="E195" s="147">
        <f>+ABRIL!$AG194</f>
        <v>1</v>
      </c>
      <c r="F195" s="147">
        <f>+MAYO!$AG194</f>
        <v>0</v>
      </c>
      <c r="G195" s="147">
        <f>+JUNIO!$AG194</f>
        <v>0</v>
      </c>
      <c r="H195" s="147">
        <f>+JULIO!$AG194</f>
        <v>0</v>
      </c>
      <c r="I195" s="147">
        <f>+AGOSTO!$AG194</f>
        <v>0</v>
      </c>
      <c r="J195" s="147">
        <f>+SEPTIEMBRE!$AG194</f>
        <v>0</v>
      </c>
      <c r="K195" s="147">
        <f>+OCTUBRE!$AG194</f>
        <v>0</v>
      </c>
      <c r="L195" s="147">
        <f>+NOVIEMBRE!$AG194</f>
        <v>0</v>
      </c>
      <c r="M195" s="147">
        <f>+DICIEMBRE!$AG195</f>
        <v>0</v>
      </c>
      <c r="N195" s="4">
        <f t="shared" si="16"/>
        <v>3</v>
      </c>
    </row>
    <row r="196" spans="1:15" ht="18.75" x14ac:dyDescent="0.25">
      <c r="A196" s="111" t="s">
        <v>174</v>
      </c>
      <c r="B196" s="236"/>
      <c r="C196" s="236"/>
      <c r="D196" s="147">
        <f>+MARZO!$AG195</f>
        <v>1</v>
      </c>
      <c r="E196" s="147">
        <f>+ABRIL!$AG195</f>
        <v>1</v>
      </c>
      <c r="F196" s="147">
        <f>+MAYO!$AG195</f>
        <v>0</v>
      </c>
      <c r="G196" s="147">
        <f>+JUNIO!$AG195</f>
        <v>0</v>
      </c>
      <c r="H196" s="147">
        <f>+JULIO!$AG195</f>
        <v>0</v>
      </c>
      <c r="I196" s="147">
        <f>+AGOSTO!$AG195</f>
        <v>0</v>
      </c>
      <c r="J196" s="147">
        <f>+SEPTIEMBRE!$AG195</f>
        <v>0</v>
      </c>
      <c r="K196" s="147">
        <f>+OCTUBRE!$AG195</f>
        <v>0</v>
      </c>
      <c r="L196" s="147">
        <f>+NOVIEMBRE!$AG195</f>
        <v>0</v>
      </c>
      <c r="M196" s="147">
        <f>+DICIEMBRE!$AG196</f>
        <v>1</v>
      </c>
      <c r="N196" s="4">
        <f t="shared" si="16"/>
        <v>3</v>
      </c>
    </row>
    <row r="197" spans="1:15" ht="18.75" x14ac:dyDescent="0.25">
      <c r="A197" s="111" t="s">
        <v>88</v>
      </c>
      <c r="B197" s="147">
        <f>+ENERO!$AG196</f>
        <v>5</v>
      </c>
      <c r="C197" s="147">
        <f>+FEBRERO!$AG196</f>
        <v>14</v>
      </c>
      <c r="D197" s="147">
        <f>+MARZO!$AG196</f>
        <v>6</v>
      </c>
      <c r="E197" s="147">
        <f>+ABRIL!$AG196</f>
        <v>2</v>
      </c>
      <c r="F197" s="147">
        <f>+MAYO!$AG196</f>
        <v>2</v>
      </c>
      <c r="G197" s="147">
        <f>+JUNIO!$AG196</f>
        <v>4</v>
      </c>
      <c r="H197" s="147">
        <f>+JULIO!$AG196</f>
        <v>2</v>
      </c>
      <c r="I197" s="147">
        <f>+AGOSTO!$AG196</f>
        <v>5</v>
      </c>
      <c r="J197" s="147">
        <f>+SEPTIEMBRE!$AG196</f>
        <v>2</v>
      </c>
      <c r="K197" s="147">
        <f>+OCTUBRE!$AG196</f>
        <v>0</v>
      </c>
      <c r="L197" s="147">
        <f>+NOVIEMBRE!$AG196</f>
        <v>1</v>
      </c>
      <c r="M197" s="147">
        <f>+DICIEMBRE!$AG197</f>
        <v>1</v>
      </c>
      <c r="N197" s="4">
        <f t="shared" si="16"/>
        <v>44</v>
      </c>
    </row>
    <row r="198" spans="1:15" ht="18.75" x14ac:dyDescent="0.25">
      <c r="A198" s="111" t="s">
        <v>143</v>
      </c>
      <c r="B198" s="147">
        <f>+ENERO!$AG197</f>
        <v>4</v>
      </c>
      <c r="C198" s="147">
        <f>+FEBRERO!$AG197</f>
        <v>2</v>
      </c>
      <c r="D198" s="147">
        <f>+MARZO!$AG197</f>
        <v>3</v>
      </c>
      <c r="E198" s="147">
        <f>+ABRIL!$AG197</f>
        <v>1</v>
      </c>
      <c r="F198" s="147">
        <f>+MAYO!$AG197</f>
        <v>4</v>
      </c>
      <c r="G198" s="147">
        <f>+JUNIO!$AG197</f>
        <v>1</v>
      </c>
      <c r="H198" s="147">
        <f>+JULIO!$AG197</f>
        <v>3</v>
      </c>
      <c r="I198" s="147">
        <f>+AGOSTO!$AG197</f>
        <v>3</v>
      </c>
      <c r="J198" s="147">
        <f>+SEPTIEMBRE!$AG197</f>
        <v>4</v>
      </c>
      <c r="K198" s="147">
        <f>+OCTUBRE!$AG197</f>
        <v>3</v>
      </c>
      <c r="L198" s="147">
        <f>+NOVIEMBRE!$AG197</f>
        <v>1</v>
      </c>
      <c r="M198" s="147">
        <f>+DICIEMBRE!$AG198</f>
        <v>3</v>
      </c>
      <c r="N198" s="4">
        <f t="shared" si="16"/>
        <v>32</v>
      </c>
    </row>
    <row r="199" spans="1:15" ht="18.75" x14ac:dyDescent="0.25">
      <c r="A199" s="110" t="s">
        <v>124</v>
      </c>
      <c r="B199" s="147">
        <f>+ENERO!$AG198</f>
        <v>11</v>
      </c>
      <c r="C199" s="147">
        <f>+FEBRERO!$AG198</f>
        <v>23</v>
      </c>
      <c r="D199" s="147">
        <f>+MARZO!$AG198</f>
        <v>16</v>
      </c>
      <c r="E199" s="147">
        <f>+ABRIL!$AG198</f>
        <v>21</v>
      </c>
      <c r="F199" s="147">
        <f>+MAYO!$AG198</f>
        <v>15</v>
      </c>
      <c r="G199" s="147">
        <f>+JUNIO!$AG198</f>
        <v>5</v>
      </c>
      <c r="H199" s="147">
        <f>+JULIO!$AG198</f>
        <v>9</v>
      </c>
      <c r="I199" s="147">
        <f>+AGOSTO!$AG198</f>
        <v>14</v>
      </c>
      <c r="J199" s="147">
        <f>+SEPTIEMBRE!$AG198</f>
        <v>30</v>
      </c>
      <c r="K199" s="147">
        <f>+OCTUBRE!$AG198</f>
        <v>20</v>
      </c>
      <c r="L199" s="147">
        <f>+NOVIEMBRE!$AG198</f>
        <v>5</v>
      </c>
      <c r="M199" s="147">
        <f>+DICIEMBRE!$AG199</f>
        <v>7</v>
      </c>
      <c r="N199" s="4">
        <f t="shared" si="16"/>
        <v>176</v>
      </c>
    </row>
    <row r="200" spans="1:15" ht="18.75" x14ac:dyDescent="0.25">
      <c r="A200" s="110" t="s">
        <v>167</v>
      </c>
      <c r="B200" s="236"/>
      <c r="C200" s="147">
        <f>+FEBRERO!$AG199</f>
        <v>1</v>
      </c>
      <c r="D200" s="147">
        <f>+MARZO!$AG199</f>
        <v>0</v>
      </c>
      <c r="E200" s="147">
        <f>+ABRIL!$AG199</f>
        <v>0</v>
      </c>
      <c r="F200" s="147">
        <f>+MAYO!$AG199</f>
        <v>1</v>
      </c>
      <c r="G200" s="147">
        <f>+JUNIO!$AG199</f>
        <v>0</v>
      </c>
      <c r="H200" s="147">
        <f>+JULIO!$AG199</f>
        <v>0</v>
      </c>
      <c r="I200" s="147">
        <f>+AGOSTO!$AG199</f>
        <v>1</v>
      </c>
      <c r="J200" s="147">
        <f>+SEPTIEMBRE!$AG199</f>
        <v>1</v>
      </c>
      <c r="K200" s="147">
        <f>+OCTUBRE!$AG199</f>
        <v>1</v>
      </c>
      <c r="L200" s="147">
        <f>+NOVIEMBRE!$AG199</f>
        <v>0</v>
      </c>
      <c r="M200" s="147">
        <f>+DICIEMBRE!$AG200</f>
        <v>0</v>
      </c>
      <c r="N200" s="4">
        <f t="shared" si="16"/>
        <v>5</v>
      </c>
    </row>
    <row r="201" spans="1:15" ht="18.75" x14ac:dyDescent="0.25">
      <c r="A201" s="110" t="s">
        <v>125</v>
      </c>
      <c r="B201" s="147">
        <f>+ENERO!$AG200</f>
        <v>8</v>
      </c>
      <c r="C201" s="147">
        <f>+FEBRERO!$AG200</f>
        <v>7</v>
      </c>
      <c r="D201" s="147">
        <f>+MARZO!$AG200</f>
        <v>1</v>
      </c>
      <c r="E201" s="147">
        <f>+ABRIL!$AG200</f>
        <v>4</v>
      </c>
      <c r="F201" s="147">
        <f>+MAYO!$AG200</f>
        <v>4</v>
      </c>
      <c r="G201" s="147">
        <f>+JUNIO!$AG200</f>
        <v>1</v>
      </c>
      <c r="H201" s="147">
        <f>+JULIO!$AG200</f>
        <v>9</v>
      </c>
      <c r="I201" s="147">
        <f>+AGOSTO!$AG200</f>
        <v>1</v>
      </c>
      <c r="J201" s="147">
        <f>+SEPTIEMBRE!$AG200</f>
        <v>7</v>
      </c>
      <c r="K201" s="147">
        <f>+OCTUBRE!$AG200</f>
        <v>1</v>
      </c>
      <c r="L201" s="147">
        <f>+NOVIEMBRE!$AG200</f>
        <v>3</v>
      </c>
      <c r="M201" s="147">
        <f>+DICIEMBRE!$AG201</f>
        <v>4</v>
      </c>
      <c r="N201" s="4">
        <f t="shared" si="16"/>
        <v>50</v>
      </c>
    </row>
    <row r="202" spans="1:15" ht="18.75" x14ac:dyDescent="0.25">
      <c r="A202" s="110" t="s">
        <v>126</v>
      </c>
      <c r="B202" s="202">
        <f>+ENERO!$AG201</f>
        <v>29</v>
      </c>
      <c r="C202" s="202">
        <f>+FEBRERO!$AG201</f>
        <v>22</v>
      </c>
      <c r="D202" s="202">
        <f>+MARZO!$AG201</f>
        <v>16</v>
      </c>
      <c r="E202" s="202">
        <f>+ABRIL!$AG201</f>
        <v>13</v>
      </c>
      <c r="F202" s="202">
        <f>+MAYO!$AG201</f>
        <v>15</v>
      </c>
      <c r="G202" s="202">
        <f>+JUNIO!$AG201</f>
        <v>9</v>
      </c>
      <c r="H202" s="202">
        <f>+JULIO!$AG201</f>
        <v>11</v>
      </c>
      <c r="I202" s="202">
        <f>+AGOSTO!$AG201</f>
        <v>17</v>
      </c>
      <c r="J202" s="202">
        <f>+SEPTIEMBRE!$AG201</f>
        <v>24</v>
      </c>
      <c r="K202" s="202">
        <f>+OCTUBRE!$AG201</f>
        <v>20</v>
      </c>
      <c r="L202" s="202">
        <f>+NOVIEMBRE!$AG201</f>
        <v>30</v>
      </c>
      <c r="M202" s="202">
        <f>+DICIEMBRE!$AG202</f>
        <v>21</v>
      </c>
      <c r="N202" s="4">
        <f t="shared" si="16"/>
        <v>227</v>
      </c>
    </row>
    <row r="203" spans="1:15" ht="18.75" x14ac:dyDescent="0.25">
      <c r="A203" s="112" t="s">
        <v>170</v>
      </c>
      <c r="B203" s="237"/>
      <c r="C203" s="202">
        <f>+FEBRERO!$AG202</f>
        <v>9</v>
      </c>
      <c r="D203" s="202">
        <f>+MARZO!$AG202</f>
        <v>10</v>
      </c>
      <c r="E203" s="202">
        <f>+ABRIL!$AG202</f>
        <v>4</v>
      </c>
      <c r="F203" s="202">
        <f>+MAYO!$AG202</f>
        <v>6</v>
      </c>
      <c r="G203" s="202">
        <f>+JUNIO!$AG202</f>
        <v>2</v>
      </c>
      <c r="H203" s="202">
        <f>+JULIO!$AG202</f>
        <v>5</v>
      </c>
      <c r="I203" s="202">
        <f>+AGOSTO!$AG202</f>
        <v>3</v>
      </c>
      <c r="J203" s="202">
        <f>+SEPTIEMBRE!$AG202</f>
        <v>5</v>
      </c>
      <c r="K203" s="202">
        <f>+OCTUBRE!$AG202</f>
        <v>4</v>
      </c>
      <c r="L203" s="202">
        <f>+NOVIEMBRE!$AG202</f>
        <v>4</v>
      </c>
      <c r="M203" s="202">
        <f>+DICIEMBRE!$AG203</f>
        <v>8</v>
      </c>
      <c r="N203" s="4">
        <f t="shared" si="16"/>
        <v>60</v>
      </c>
    </row>
    <row r="204" spans="1:15" ht="19.5" thickBot="1" x14ac:dyDescent="0.3">
      <c r="A204" s="235" t="s">
        <v>166</v>
      </c>
      <c r="B204" s="202">
        <f>+ENERO!$AG203</f>
        <v>1</v>
      </c>
      <c r="C204" s="202">
        <f>+FEBRERO!$AG203</f>
        <v>0</v>
      </c>
      <c r="D204" s="202">
        <f>+MARZO!$AG203</f>
        <v>2</v>
      </c>
      <c r="E204" s="202">
        <f>+ABRIL!$AG203</f>
        <v>2</v>
      </c>
      <c r="F204" s="202">
        <f>+MAYO!$AG203</f>
        <v>1</v>
      </c>
      <c r="G204" s="202">
        <f>+JUNIO!$AG203</f>
        <v>0</v>
      </c>
      <c r="H204" s="202">
        <f>+JULIO!$AG203</f>
        <v>0</v>
      </c>
      <c r="I204" s="202">
        <f>+AGOSTO!$AG203</f>
        <v>0</v>
      </c>
      <c r="J204" s="202">
        <f>+SEPTIEMBRE!$AG203</f>
        <v>1</v>
      </c>
      <c r="K204" s="202">
        <f>+OCTUBRE!$AG203</f>
        <v>0</v>
      </c>
      <c r="L204" s="202">
        <f>+NOVIEMBRE!$AG203</f>
        <v>0</v>
      </c>
      <c r="M204" s="202">
        <f>+DICIEMBRE!$AG204</f>
        <v>0</v>
      </c>
      <c r="N204" s="28">
        <f t="shared" si="16"/>
        <v>7</v>
      </c>
    </row>
    <row r="205" spans="1:15" ht="19.5" thickBot="1" x14ac:dyDescent="0.3">
      <c r="A205" s="215" t="s">
        <v>83</v>
      </c>
      <c r="B205" s="209">
        <f>SUM(B206:B210)</f>
        <v>5938</v>
      </c>
      <c r="C205" s="210">
        <f t="shared" ref="C205:D205" si="17">SUM(C206:C210)</f>
        <v>5319</v>
      </c>
      <c r="D205" s="210">
        <f t="shared" si="17"/>
        <v>5734</v>
      </c>
      <c r="E205" s="210">
        <f>+ABRIL!$AG204</f>
        <v>5114</v>
      </c>
      <c r="F205" s="210">
        <f>+MAYO!$AG204</f>
        <v>5523</v>
      </c>
      <c r="G205" s="210">
        <f>+JUNIO!$AG204</f>
        <v>5586</v>
      </c>
      <c r="H205" s="210">
        <f>+JULIO!$AG204</f>
        <v>5211</v>
      </c>
      <c r="I205" s="210">
        <f>+AGOSTO!$AG204</f>
        <v>5859</v>
      </c>
      <c r="J205" s="210">
        <f>+SEPTIEMBRE!$AG204</f>
        <v>6140</v>
      </c>
      <c r="K205" s="210">
        <f>+OCTUBRE!$AG204</f>
        <v>5334</v>
      </c>
      <c r="L205" s="210">
        <f>+NOVIEMBRE!$AG204</f>
        <v>4817</v>
      </c>
      <c r="M205" s="210">
        <f>+DICIEMBRE!$AG205</f>
        <v>4768</v>
      </c>
      <c r="N205" s="213">
        <f t="shared" si="16"/>
        <v>65343</v>
      </c>
      <c r="O205" s="180" t="str">
        <f>IF(N205&lt;&gt;N93,"X","")</f>
        <v>X</v>
      </c>
    </row>
    <row r="206" spans="1:15" ht="18.75" x14ac:dyDescent="0.25">
      <c r="A206" s="214" t="s">
        <v>72</v>
      </c>
      <c r="B206" s="205">
        <f>+ENERO!$AG205</f>
        <v>1</v>
      </c>
      <c r="C206" s="205">
        <f>+FEBRERO!$AG205</f>
        <v>3</v>
      </c>
      <c r="D206" s="205">
        <f>+MARZO!$AG205</f>
        <v>5</v>
      </c>
      <c r="E206" s="205">
        <f>+ABRIL!$AG205</f>
        <v>2</v>
      </c>
      <c r="F206" s="205">
        <f>+MAYO!$AG205</f>
        <v>1</v>
      </c>
      <c r="G206" s="205">
        <f>+JUNIO!$AG205</f>
        <v>1</v>
      </c>
      <c r="H206" s="205">
        <f>+JULIO!$AG205</f>
        <v>3</v>
      </c>
      <c r="I206" s="205">
        <f>+AGOSTO!$AG205</f>
        <v>1</v>
      </c>
      <c r="J206" s="205">
        <f>+SEPTIEMBRE!$AG205</f>
        <v>3</v>
      </c>
      <c r="K206" s="205">
        <f>+OCTUBRE!$AG205</f>
        <v>5</v>
      </c>
      <c r="L206" s="205">
        <f>+NOVIEMBRE!$AG205</f>
        <v>1</v>
      </c>
      <c r="M206" s="205">
        <f>+DICIEMBRE!$AG206</f>
        <v>0</v>
      </c>
      <c r="N206" s="208">
        <f t="shared" si="16"/>
        <v>26</v>
      </c>
    </row>
    <row r="207" spans="1:15" ht="18.75" x14ac:dyDescent="0.25">
      <c r="A207" s="52" t="s">
        <v>73</v>
      </c>
      <c r="B207" s="148">
        <f>+ENERO!$AG206</f>
        <v>52</v>
      </c>
      <c r="C207" s="148">
        <f>+FEBRERO!$AG206</f>
        <v>29</v>
      </c>
      <c r="D207" s="148">
        <f>+MARZO!$AG206</f>
        <v>49</v>
      </c>
      <c r="E207" s="148">
        <f>+ABRIL!$AG206</f>
        <v>39</v>
      </c>
      <c r="F207" s="148">
        <f>+MAYO!$AG206</f>
        <v>37</v>
      </c>
      <c r="G207" s="148">
        <f>+JUNIO!$AG206</f>
        <v>38</v>
      </c>
      <c r="H207" s="148">
        <f>+JULIO!$AG206</f>
        <v>37</v>
      </c>
      <c r="I207" s="148">
        <f>+AGOSTO!$AG206</f>
        <v>36</v>
      </c>
      <c r="J207" s="148">
        <f>+SEPTIEMBRE!$AG206</f>
        <v>32</v>
      </c>
      <c r="K207" s="148">
        <f>+OCTUBRE!$AG206</f>
        <v>38</v>
      </c>
      <c r="L207" s="148">
        <f>+NOVIEMBRE!$AG206</f>
        <v>41</v>
      </c>
      <c r="M207" s="148">
        <f>+DICIEMBRE!$AG207</f>
        <v>37</v>
      </c>
      <c r="N207" s="97">
        <f t="shared" si="16"/>
        <v>465</v>
      </c>
    </row>
    <row r="208" spans="1:15" ht="18.75" x14ac:dyDescent="0.25">
      <c r="A208" s="52" t="s">
        <v>74</v>
      </c>
      <c r="B208" s="148">
        <f>+ENERO!$AG207</f>
        <v>491</v>
      </c>
      <c r="C208" s="148">
        <f>+FEBRERO!$AG207</f>
        <v>410</v>
      </c>
      <c r="D208" s="148">
        <f>+MARZO!$AG207</f>
        <v>567</v>
      </c>
      <c r="E208" s="148">
        <f>+ABRIL!$AG207</f>
        <v>527</v>
      </c>
      <c r="F208" s="148">
        <f>+MAYO!$AG207</f>
        <v>510</v>
      </c>
      <c r="G208" s="148">
        <f>+JUNIO!$AG207</f>
        <v>570</v>
      </c>
      <c r="H208" s="148">
        <f>+JULIO!$AG207</f>
        <v>466</v>
      </c>
      <c r="I208" s="148">
        <f>+AGOSTO!$AG207</f>
        <v>497</v>
      </c>
      <c r="J208" s="148">
        <f>+SEPTIEMBRE!$AG207</f>
        <v>541</v>
      </c>
      <c r="K208" s="148">
        <f>+OCTUBRE!$AG207</f>
        <v>546</v>
      </c>
      <c r="L208" s="148">
        <f>+NOVIEMBRE!$AG207</f>
        <v>560</v>
      </c>
      <c r="M208" s="148">
        <f>+DICIEMBRE!$AG208</f>
        <v>464</v>
      </c>
      <c r="N208" s="97">
        <f t="shared" si="16"/>
        <v>6149</v>
      </c>
    </row>
    <row r="209" spans="1:15" ht="18.75" x14ac:dyDescent="0.25">
      <c r="A209" s="52" t="s">
        <v>75</v>
      </c>
      <c r="B209" s="148">
        <f>+ENERO!$AG208</f>
        <v>4687</v>
      </c>
      <c r="C209" s="148">
        <f>+FEBRERO!$AG208</f>
        <v>4102</v>
      </c>
      <c r="D209" s="148">
        <f>+MARZO!$AG208</f>
        <v>4376</v>
      </c>
      <c r="E209" s="148">
        <f>+ABRIL!$AG208</f>
        <v>3715</v>
      </c>
      <c r="F209" s="148">
        <f>+MAYO!$AG208</f>
        <v>3763</v>
      </c>
      <c r="G209" s="148">
        <f>+JUNIO!$AG208</f>
        <v>3616</v>
      </c>
      <c r="H209" s="148">
        <f>+JULIO!$AG208</f>
        <v>3458</v>
      </c>
      <c r="I209" s="148">
        <f>+AGOSTO!$AG208</f>
        <v>4173</v>
      </c>
      <c r="J209" s="148">
        <f>+SEPTIEMBRE!$AG208</f>
        <v>4097</v>
      </c>
      <c r="K209" s="148">
        <f>+OCTUBRE!$AG208</f>
        <v>3550</v>
      </c>
      <c r="L209" s="148">
        <f>+NOVIEMBRE!$AG208</f>
        <v>3358</v>
      </c>
      <c r="M209" s="148">
        <f>+DICIEMBRE!$AG209</f>
        <v>3259</v>
      </c>
      <c r="N209" s="97">
        <f t="shared" si="16"/>
        <v>46154</v>
      </c>
    </row>
    <row r="210" spans="1:15" ht="19.5" thickBot="1" x14ac:dyDescent="0.3">
      <c r="A210" s="63" t="s">
        <v>76</v>
      </c>
      <c r="B210" s="149">
        <f>+ENERO!$AG209</f>
        <v>707</v>
      </c>
      <c r="C210" s="149">
        <f>+FEBRERO!$AG209</f>
        <v>775</v>
      </c>
      <c r="D210" s="149">
        <f>+MARZO!$AG209</f>
        <v>737</v>
      </c>
      <c r="E210" s="149">
        <f>+ABRIL!$AG209</f>
        <v>831</v>
      </c>
      <c r="F210" s="149">
        <f>+MAYO!$AG209</f>
        <v>1212</v>
      </c>
      <c r="G210" s="149">
        <f>+JUNIO!$AG209</f>
        <v>1361</v>
      </c>
      <c r="H210" s="149">
        <f>+JULIO!$AG209</f>
        <v>1247</v>
      </c>
      <c r="I210" s="149">
        <f>+AGOSTO!$AG209</f>
        <v>1152</v>
      </c>
      <c r="J210" s="149">
        <f>+SEPTIEMBRE!$AG209</f>
        <v>1467</v>
      </c>
      <c r="K210" s="149">
        <f>+OCTUBRE!$AG209</f>
        <v>1195</v>
      </c>
      <c r="L210" s="149">
        <f>+NOVIEMBRE!$AG209</f>
        <v>857</v>
      </c>
      <c r="M210" s="149">
        <f>+DICIEMBRE!$AG210</f>
        <v>1008</v>
      </c>
      <c r="N210" s="35">
        <f t="shared" si="16"/>
        <v>12549</v>
      </c>
    </row>
    <row r="211" spans="1:15" ht="19.5" thickBot="1" x14ac:dyDescent="0.3">
      <c r="A211" s="60" t="s">
        <v>64</v>
      </c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98"/>
    </row>
    <row r="212" spans="1:15" ht="18.75" x14ac:dyDescent="0.25">
      <c r="A212" s="43" t="s">
        <v>77</v>
      </c>
      <c r="B212" s="19">
        <f>+ENERO!AG211</f>
        <v>0.34493055555555552</v>
      </c>
      <c r="C212" s="19">
        <f>+FEBRERO!AG211</f>
        <v>0.27939814814814817</v>
      </c>
      <c r="D212" s="19">
        <f>+MARZO!AG211</f>
        <v>0.36861111111111117</v>
      </c>
      <c r="E212" s="19">
        <f>+ABRIL!AG211</f>
        <v>0.46521990740740743</v>
      </c>
      <c r="F212" s="19">
        <f>+MAYO!AG211</f>
        <v>2.1488768861454042E-2</v>
      </c>
      <c r="G212" s="19">
        <f>+JUNIO!AG211</f>
        <v>0</v>
      </c>
      <c r="H212" s="19">
        <f>+JULIO!AG211</f>
        <v>0</v>
      </c>
      <c r="I212" s="19">
        <f>+AGOSTO!AG211</f>
        <v>0</v>
      </c>
      <c r="J212" s="19">
        <f>+SEPTIEMBRE!AG211</f>
        <v>0.61219907407407403</v>
      </c>
      <c r="K212" s="19">
        <f>+OCTUBRE!AG211</f>
        <v>0.61041666666666683</v>
      </c>
      <c r="L212" s="19">
        <f>+NOVIEMBRE!AG211</f>
        <v>0.48749999999999993</v>
      </c>
      <c r="M212" s="19">
        <f>+DICIEMBRE!AG212</f>
        <v>0.44305555555555559</v>
      </c>
      <c r="N212" s="99">
        <f t="shared" ref="N212:N233" si="18">SUM(B212:M212)</f>
        <v>3.6328197873799724</v>
      </c>
      <c r="O212" s="376" t="s">
        <v>85</v>
      </c>
    </row>
    <row r="213" spans="1:15" ht="18.75" x14ac:dyDescent="0.25">
      <c r="A213" s="53" t="s">
        <v>110</v>
      </c>
      <c r="B213" s="39">
        <f>+ENERO!AG212</f>
        <v>0.48973379629629621</v>
      </c>
      <c r="C213" s="39">
        <f>+FEBRERO!AG212</f>
        <v>0.40255787037037033</v>
      </c>
      <c r="D213" s="39">
        <f>+MARZO!AG212</f>
        <v>0.4837731481481482</v>
      </c>
      <c r="E213" s="39">
        <f>+ABRIL!AG212</f>
        <v>0.60719907407407403</v>
      </c>
      <c r="F213" s="39">
        <f>+MAYO!AG212</f>
        <v>2.594693072702332E-2</v>
      </c>
      <c r="G213" s="39">
        <f>+JUNIO!AG212</f>
        <v>0</v>
      </c>
      <c r="H213" s="39">
        <f>+JULIO!AG212</f>
        <v>0</v>
      </c>
      <c r="I213" s="39">
        <f>+AGOSTO!AG212</f>
        <v>0</v>
      </c>
      <c r="J213" s="39">
        <f>+SEPTIEMBRE!AG212</f>
        <v>0.78571759259259266</v>
      </c>
      <c r="K213" s="39">
        <f>+OCTUBRE!AG212</f>
        <v>0.7965277777777775</v>
      </c>
      <c r="L213" s="39">
        <f>+NOVIEMBRE!AG212</f>
        <v>0.62986111111111109</v>
      </c>
      <c r="M213" s="39">
        <f>+DICIEMBRE!AG213</f>
        <v>0.63541666666666652</v>
      </c>
      <c r="N213" s="100">
        <f t="shared" si="18"/>
        <v>4.8567339677640593</v>
      </c>
      <c r="O213" s="377"/>
    </row>
    <row r="214" spans="1:15" ht="18.75" x14ac:dyDescent="0.25">
      <c r="A214" s="53" t="s">
        <v>111</v>
      </c>
      <c r="B214" s="39">
        <f>+ENERO!AG213</f>
        <v>0.43743055555555554</v>
      </c>
      <c r="C214" s="39">
        <f>+FEBRERO!AG213</f>
        <v>0.33260416666666665</v>
      </c>
      <c r="D214" s="39">
        <f>+MARZO!AG213</f>
        <v>0.47692129629629626</v>
      </c>
      <c r="E214" s="39">
        <f>+ABRIL!AG213</f>
        <v>0.65908564814814807</v>
      </c>
      <c r="F214" s="39">
        <f>+MAYO!AG213</f>
        <v>3.5285493827160501E-2</v>
      </c>
      <c r="G214" s="39">
        <f>+JUNIO!AG213</f>
        <v>0</v>
      </c>
      <c r="H214" s="39">
        <f>+JULIO!AG213</f>
        <v>0</v>
      </c>
      <c r="I214" s="39">
        <f>+AGOSTO!AG213</f>
        <v>0</v>
      </c>
      <c r="J214" s="39">
        <f>+SEPTIEMBRE!AG213</f>
        <v>0.88093749999999993</v>
      </c>
      <c r="K214" s="39">
        <f>+OCTUBRE!AG213</f>
        <v>0.94374999999999976</v>
      </c>
      <c r="L214" s="39">
        <f>+NOVIEMBRE!AG213</f>
        <v>0.77083333333333337</v>
      </c>
      <c r="M214" s="39">
        <f>+DICIEMBRE!AG214</f>
        <v>0.70555555555555527</v>
      </c>
      <c r="N214" s="100">
        <f t="shared" si="18"/>
        <v>5.2424035493827148</v>
      </c>
      <c r="O214" s="377"/>
    </row>
    <row r="215" spans="1:15" ht="18.75" x14ac:dyDescent="0.25">
      <c r="A215" s="53" t="s">
        <v>112</v>
      </c>
      <c r="B215" s="39">
        <f>+ENERO!AG214</f>
        <v>0.31939814814814815</v>
      </c>
      <c r="C215" s="39">
        <f>+FEBRERO!AG214</f>
        <v>0.32427083333333323</v>
      </c>
      <c r="D215" s="39">
        <f>+MARZO!AG214</f>
        <v>0.41423611111111103</v>
      </c>
      <c r="E215" s="39">
        <f>+ABRIL!AG214</f>
        <v>0.48615740740740743</v>
      </c>
      <c r="F215" s="39">
        <f>+MAYO!AG214</f>
        <v>2.7718621399176954E-2</v>
      </c>
      <c r="G215" s="39">
        <f>+JUNIO!AG214</f>
        <v>0</v>
      </c>
      <c r="H215" s="39">
        <f>+JULIO!AG214</f>
        <v>0</v>
      </c>
      <c r="I215" s="39">
        <f>+AGOSTO!AG214</f>
        <v>0</v>
      </c>
      <c r="J215" s="39">
        <f>+SEPTIEMBRE!AG214</f>
        <v>0.6615509259259259</v>
      </c>
      <c r="K215" s="39">
        <f>+OCTUBRE!AG214</f>
        <v>0.62083333333333313</v>
      </c>
      <c r="L215" s="39">
        <f>+NOVIEMBRE!AG214</f>
        <v>0.55486111111111103</v>
      </c>
      <c r="M215" s="39">
        <f>+DICIEMBRE!AG215</f>
        <v>0.47777777777777775</v>
      </c>
      <c r="N215" s="100">
        <f t="shared" si="18"/>
        <v>3.8868042695473246</v>
      </c>
      <c r="O215" s="377"/>
    </row>
    <row r="216" spans="1:15" ht="18.75" x14ac:dyDescent="0.25">
      <c r="A216" s="53" t="s">
        <v>113</v>
      </c>
      <c r="B216" s="39">
        <f>+ENERO!AG215</f>
        <v>0.30046296296296299</v>
      </c>
      <c r="C216" s="39">
        <f>+FEBRERO!AG215</f>
        <v>0.25283564814814813</v>
      </c>
      <c r="D216" s="39">
        <f>+MARZO!AG215</f>
        <v>0.33295138888888887</v>
      </c>
      <c r="E216" s="39">
        <f>+ABRIL!AG215</f>
        <v>0.33429398148148143</v>
      </c>
      <c r="F216" s="39">
        <f>+MAYO!AG215</f>
        <v>2.1637945816186558E-2</v>
      </c>
      <c r="G216" s="39">
        <f>+JUNIO!AG215</f>
        <v>0</v>
      </c>
      <c r="H216" s="39">
        <f>+JULIO!AG215</f>
        <v>0</v>
      </c>
      <c r="I216" s="39">
        <f>+AGOSTO!AG215</f>
        <v>0</v>
      </c>
      <c r="J216" s="39">
        <f>+SEPTIEMBRE!AG215</f>
        <v>0.54762731481481486</v>
      </c>
      <c r="K216" s="39">
        <f>+OCTUBRE!AG215</f>
        <v>0.51041666666666663</v>
      </c>
      <c r="L216" s="39">
        <f>+NOVIEMBRE!AG215</f>
        <v>0.43749999999999989</v>
      </c>
      <c r="M216" s="39">
        <f>+DICIEMBRE!AG216</f>
        <v>0.35694444444444434</v>
      </c>
      <c r="N216" s="100">
        <f t="shared" si="18"/>
        <v>3.0946703532235937</v>
      </c>
      <c r="O216" s="377"/>
    </row>
    <row r="217" spans="1:15" ht="18.75" x14ac:dyDescent="0.25">
      <c r="A217" s="53" t="s">
        <v>114</v>
      </c>
      <c r="B217" s="39">
        <f>+ENERO!AG216</f>
        <v>0.25673611111111111</v>
      </c>
      <c r="C217" s="39">
        <f>+FEBRERO!AG216</f>
        <v>0.24892361111111114</v>
      </c>
      <c r="D217" s="39">
        <f>+MARZO!AG216</f>
        <v>0.27292824074074068</v>
      </c>
      <c r="E217" s="39">
        <f>+ABRIL!AG216</f>
        <v>0.30879629629629624</v>
      </c>
      <c r="F217" s="39">
        <f>+MAYO!AG216</f>
        <v>1.5680727023319616E-2</v>
      </c>
      <c r="G217" s="39">
        <f>+JUNIO!AG216</f>
        <v>0</v>
      </c>
      <c r="H217" s="39">
        <f>+JULIO!AG216</f>
        <v>0</v>
      </c>
      <c r="I217" s="39">
        <f>+AGOSTO!AG216</f>
        <v>0</v>
      </c>
      <c r="J217" s="39">
        <f>+SEPTIEMBRE!AG216</f>
        <v>0.53489583333333335</v>
      </c>
      <c r="K217" s="39">
        <f>+OCTUBRE!AG216</f>
        <v>0.36180555555555538</v>
      </c>
      <c r="L217" s="39">
        <f>+NOVIEMBRE!AG216</f>
        <v>0.33124999999999993</v>
      </c>
      <c r="M217" s="39">
        <f>+DICIEMBRE!AG217</f>
        <v>0.29236111111111113</v>
      </c>
      <c r="N217" s="100">
        <f t="shared" si="18"/>
        <v>2.6233774862825783</v>
      </c>
      <c r="O217" s="377"/>
    </row>
    <row r="218" spans="1:15" ht="18.75" x14ac:dyDescent="0.25">
      <c r="A218" s="53" t="s">
        <v>115</v>
      </c>
      <c r="B218" s="39">
        <f>+ENERO!AG217</f>
        <v>0.26780092592592603</v>
      </c>
      <c r="C218" s="39">
        <f>+FEBRERO!AG217</f>
        <v>0.20987268518518518</v>
      </c>
      <c r="D218" s="39">
        <f>+MARZO!AG217</f>
        <v>0.26031249999999995</v>
      </c>
      <c r="E218" s="39">
        <f>+ABRIL!AG217</f>
        <v>0.25807870370370367</v>
      </c>
      <c r="F218" s="39">
        <f>+MAYO!AG217</f>
        <v>1.2046896433470507E-2</v>
      </c>
      <c r="G218" s="39">
        <f>+JUNIO!AG217</f>
        <v>0</v>
      </c>
      <c r="H218" s="39">
        <f>+JULIO!AG217</f>
        <v>0</v>
      </c>
      <c r="I218" s="39">
        <f>+AGOSTO!AG217</f>
        <v>0</v>
      </c>
      <c r="J218" s="39">
        <f>+SEPTIEMBRE!AG217</f>
        <v>0.46756944444444448</v>
      </c>
      <c r="K218" s="39">
        <f>+OCTUBRE!AG217</f>
        <v>0.35</v>
      </c>
      <c r="L218" s="39">
        <f>+NOVIEMBRE!AG217</f>
        <v>0.30763888888888896</v>
      </c>
      <c r="M218" s="39">
        <f>+DICIEMBRE!AG218</f>
        <v>0.27777777777777773</v>
      </c>
      <c r="N218" s="100">
        <f t="shared" si="18"/>
        <v>2.4110978223593964</v>
      </c>
      <c r="O218" s="377"/>
    </row>
    <row r="219" spans="1:15" ht="18.75" x14ac:dyDescent="0.25">
      <c r="A219" s="53" t="s">
        <v>116</v>
      </c>
      <c r="B219" s="39">
        <f>+ENERO!AG218</f>
        <v>0.21802083333333339</v>
      </c>
      <c r="C219" s="39">
        <f>+FEBRERO!AG218</f>
        <v>0.15465277777777781</v>
      </c>
      <c r="D219" s="39">
        <f>+MARZO!AG218</f>
        <v>0.20731481481481484</v>
      </c>
      <c r="E219" s="39">
        <f>+ABRIL!AG218</f>
        <v>0.16312500000000005</v>
      </c>
      <c r="F219" s="39">
        <f>+MAYO!AG218</f>
        <v>6.8908607681755826E-3</v>
      </c>
      <c r="G219" s="39">
        <f>+JUNIO!AG218</f>
        <v>0</v>
      </c>
      <c r="H219" s="39">
        <f>+JULIO!AG218</f>
        <v>0</v>
      </c>
      <c r="I219" s="39">
        <f>+AGOSTO!AG218</f>
        <v>0</v>
      </c>
      <c r="J219" s="39">
        <f>+SEPTIEMBRE!AG218</f>
        <v>0.37541666666666668</v>
      </c>
      <c r="K219" s="39">
        <f>+OCTUBRE!AG218</f>
        <v>0.2</v>
      </c>
      <c r="L219" s="39">
        <f>+NOVIEMBRE!AG218</f>
        <v>0.22291666666666665</v>
      </c>
      <c r="M219" s="39">
        <f>+DICIEMBRE!AG219</f>
        <v>0.21180555555555555</v>
      </c>
      <c r="N219" s="100">
        <f t="shared" si="18"/>
        <v>1.7601431755829906</v>
      </c>
      <c r="O219" s="377"/>
    </row>
    <row r="220" spans="1:15" ht="18.75" x14ac:dyDescent="0.25">
      <c r="A220" s="53" t="s">
        <v>117</v>
      </c>
      <c r="B220" s="39">
        <f>+ENERO!AG219</f>
        <v>0.73829861111111073</v>
      </c>
      <c r="C220" s="39">
        <f>+FEBRERO!AG219</f>
        <v>0.22473379629629633</v>
      </c>
      <c r="D220" s="39">
        <f>+MARZO!AG219</f>
        <v>0.2650347222222223</v>
      </c>
      <c r="E220" s="39">
        <f>+ABRIL!AG219</f>
        <v>0.23070601851851852</v>
      </c>
      <c r="F220" s="39">
        <f>+MAYO!AG219</f>
        <v>1.0063014403292179E-2</v>
      </c>
      <c r="G220" s="39">
        <f>+JUNIO!AG219</f>
        <v>0</v>
      </c>
      <c r="H220" s="39">
        <f>+JULIO!AG219</f>
        <v>0</v>
      </c>
      <c r="I220" s="39">
        <f>+AGOSTO!AG219</f>
        <v>0</v>
      </c>
      <c r="J220" s="39">
        <f>+SEPTIEMBRE!AG219</f>
        <v>0.320162037037037</v>
      </c>
      <c r="K220" s="39">
        <f>+OCTUBRE!AG219</f>
        <v>7.2777777777777777</v>
      </c>
      <c r="L220" s="39">
        <f>+NOVIEMBRE!AG219</f>
        <v>0.24722222222222226</v>
      </c>
      <c r="M220" s="39">
        <f>+DICIEMBRE!AG220</f>
        <v>0.1986111111111111</v>
      </c>
      <c r="N220" s="100">
        <f t="shared" si="18"/>
        <v>9.5126093106995881</v>
      </c>
      <c r="O220" s="377"/>
    </row>
    <row r="221" spans="1:15" ht="18.75" x14ac:dyDescent="0.25">
      <c r="A221" s="43" t="s">
        <v>150</v>
      </c>
      <c r="B221" s="19">
        <f>+ENERO!AG220</f>
        <v>1.8991782407407409</v>
      </c>
      <c r="C221" s="19">
        <f>+FEBRERO!AG220</f>
        <v>0.7817939814814816</v>
      </c>
      <c r="D221" s="19">
        <f>+MARZO!AG220</f>
        <v>1.1629050925925923</v>
      </c>
      <c r="E221" s="19">
        <f>+ABRIL!AG220</f>
        <v>1.0298611111111111</v>
      </c>
      <c r="F221" s="19">
        <f>+MAYO!AG220</f>
        <v>3.1675240054869692E-2</v>
      </c>
      <c r="G221" s="19">
        <f>+JUNIO!AG220</f>
        <v>0</v>
      </c>
      <c r="H221" s="19">
        <f>+JULIO!AG220</f>
        <v>0</v>
      </c>
      <c r="I221" s="19">
        <f>+AGOSTO!AG220</f>
        <v>0</v>
      </c>
      <c r="J221" s="19">
        <f>+SEPTIEMBRE!AG220</f>
        <v>0.90506944444444448</v>
      </c>
      <c r="K221" s="19">
        <f>+OCTUBRE!AG220</f>
        <v>0.84722222222222221</v>
      </c>
      <c r="L221" s="19">
        <f>+NOVIEMBRE!AG220</f>
        <v>0.85624999999999984</v>
      </c>
      <c r="M221" s="19">
        <f>+DICIEMBRE!AG221</f>
        <v>0.84375</v>
      </c>
      <c r="N221" s="99">
        <f t="shared" si="18"/>
        <v>8.3577053326474626</v>
      </c>
      <c r="O221" s="377"/>
    </row>
    <row r="222" spans="1:15" ht="18.75" x14ac:dyDescent="0.25">
      <c r="A222" s="43" t="s">
        <v>78</v>
      </c>
      <c r="B222" s="19">
        <f>+ENERO!AG221</f>
        <v>1.1498263888888891</v>
      </c>
      <c r="C222" s="19">
        <f>+FEBRERO!AG221</f>
        <v>0.89812499999999984</v>
      </c>
      <c r="D222" s="19">
        <f>+MARZO!AG221</f>
        <v>1.3242245370370371</v>
      </c>
      <c r="E222" s="19">
        <f>+ABRIL!AG221</f>
        <v>1.2131944444444445</v>
      </c>
      <c r="F222" s="19">
        <f>+MAYO!AG221</f>
        <v>3.9693501371742108E-2</v>
      </c>
      <c r="G222" s="19">
        <f>+JUNIO!AG221</f>
        <v>0</v>
      </c>
      <c r="H222" s="19">
        <f>+JULIO!AG221</f>
        <v>0</v>
      </c>
      <c r="I222" s="19">
        <f>+AGOSTO!AG221</f>
        <v>0</v>
      </c>
      <c r="J222" s="19">
        <f>+SEPTIEMBRE!AG221</f>
        <v>1.2378587962962961</v>
      </c>
      <c r="K222" s="19">
        <f>+OCTUBRE!AG221</f>
        <v>1.1729166666666666</v>
      </c>
      <c r="L222" s="19">
        <f>+NOVIEMBRE!AG221</f>
        <v>1.2131944444444445</v>
      </c>
      <c r="M222" s="19">
        <f>+DICIEMBRE!AG222</f>
        <v>1.1708333333333334</v>
      </c>
      <c r="N222" s="99">
        <f t="shared" si="18"/>
        <v>9.4198671124828515</v>
      </c>
      <c r="O222" s="377"/>
    </row>
    <row r="223" spans="1:15" ht="19.5" thickBot="1" x14ac:dyDescent="0.3">
      <c r="A223" s="43" t="s">
        <v>79</v>
      </c>
      <c r="B223" s="19">
        <f>+ENERO!AG222</f>
        <v>0.74855324074074103</v>
      </c>
      <c r="C223" s="19">
        <f>+FEBRERO!AG222</f>
        <v>0.67768518518518539</v>
      </c>
      <c r="D223" s="19">
        <f>+MARZO!AG222</f>
        <v>0.82500000000000029</v>
      </c>
      <c r="E223" s="19">
        <f>+ABRIL!AG222</f>
        <v>0.90902777777777788</v>
      </c>
      <c r="F223" s="19">
        <f>+MAYO!AG222</f>
        <v>2.9879972565157748E-2</v>
      </c>
      <c r="G223" s="19">
        <f>+JUNIO!AG222</f>
        <v>0</v>
      </c>
      <c r="H223" s="19">
        <f>+JULIO!AG222</f>
        <v>0</v>
      </c>
      <c r="I223" s="19">
        <f>+AGOSTO!AG222</f>
        <v>0</v>
      </c>
      <c r="J223" s="19">
        <f>+SEPTIEMBRE!AG222</f>
        <v>1.0374999999999999</v>
      </c>
      <c r="K223" s="19">
        <f>+OCTUBRE!AG222</f>
        <v>1.0736111111111111</v>
      </c>
      <c r="L223" s="19">
        <f>+NOVIEMBRE!AG222</f>
        <v>1.0687499999999999</v>
      </c>
      <c r="M223" s="19">
        <f>+DICIEMBRE!AG223</f>
        <v>1.0472222222222223</v>
      </c>
      <c r="N223" s="99">
        <f t="shared" si="18"/>
        <v>7.4172295096021958</v>
      </c>
      <c r="O223" s="378"/>
    </row>
    <row r="224" spans="1:15" ht="24" thickBot="1" x14ac:dyDescent="0.3">
      <c r="A224" s="62" t="s">
        <v>118</v>
      </c>
      <c r="B224" s="20">
        <f>+ENERO!AG223</f>
        <v>4.1424884259259258</v>
      </c>
      <c r="C224" s="20">
        <f>+FEBRERO!AG223</f>
        <v>2.6370023148148154</v>
      </c>
      <c r="D224" s="20">
        <f>+MARZO!AG223</f>
        <v>3.6807407407407404</v>
      </c>
      <c r="E224" s="20">
        <f>+ABRIL!AG223</f>
        <v>3.6173032407407404</v>
      </c>
      <c r="F224" s="20">
        <f>+MAYO!AG223</f>
        <v>0.1227374828532236</v>
      </c>
      <c r="G224" s="20">
        <f>+JUNIO!AG223</f>
        <v>0</v>
      </c>
      <c r="H224" s="20">
        <f>+JULIO!AG223</f>
        <v>0</v>
      </c>
      <c r="I224" s="20">
        <f>+AGOSTO!AG223</f>
        <v>0</v>
      </c>
      <c r="J224" s="20">
        <f>+SEPTIEMBRE!AG223</f>
        <v>3.7926273148148151</v>
      </c>
      <c r="K224" s="20">
        <f>+OCTUBRE!AG223</f>
        <v>3.7041666666666657</v>
      </c>
      <c r="L224" s="20">
        <f>+NOVIEMBRE!AG223</f>
        <v>3.6256944444444437</v>
      </c>
      <c r="M224" s="20">
        <f>+DICIEMBRE!AG224</f>
        <v>3.5048611111111114</v>
      </c>
      <c r="N224" s="99">
        <f t="shared" si="18"/>
        <v>28.827621742112481</v>
      </c>
      <c r="O224" s="36"/>
    </row>
    <row r="225" spans="1:15" ht="18.75" x14ac:dyDescent="0.25">
      <c r="A225" s="57" t="s">
        <v>90</v>
      </c>
      <c r="B225" s="27">
        <f>+ENERO!AG224</f>
        <v>679</v>
      </c>
      <c r="C225" s="27">
        <f>+FEBRERO!AG224</f>
        <v>633</v>
      </c>
      <c r="D225" s="27">
        <f>+MARZO!AG224</f>
        <v>714</v>
      </c>
      <c r="E225" s="27">
        <f>+ABRIL!AG224</f>
        <v>719</v>
      </c>
      <c r="F225" s="27">
        <f>+MAYO!AG224</f>
        <v>26.25925925925926</v>
      </c>
      <c r="G225" s="27">
        <f>+JUNIO!AG224</f>
        <v>732</v>
      </c>
      <c r="H225" s="27">
        <f>+JULIO!AG224</f>
        <v>807</v>
      </c>
      <c r="I225" s="27">
        <f>+AGOSTO!AG224</f>
        <v>0</v>
      </c>
      <c r="J225" s="27">
        <f>+SEPTIEMBRE!AG224</f>
        <v>806</v>
      </c>
      <c r="K225" s="27">
        <f>+OCTUBRE!AG224</f>
        <v>892</v>
      </c>
      <c r="L225" s="27">
        <f>+NOVIEMBRE!AG224</f>
        <v>736</v>
      </c>
      <c r="M225" s="27">
        <f>+DICIEMBRE!AG225</f>
        <v>728</v>
      </c>
      <c r="N225" s="369">
        <f t="shared" si="18"/>
        <v>7472.2592592592591</v>
      </c>
      <c r="O225" s="379" t="s">
        <v>96</v>
      </c>
    </row>
    <row r="226" spans="1:15" ht="18.75" x14ac:dyDescent="0.25">
      <c r="A226" s="54" t="s">
        <v>91</v>
      </c>
      <c r="B226" s="40">
        <f>+ENERO!AG225</f>
        <v>6.9833333333333316</v>
      </c>
      <c r="C226" s="40">
        <f>+FEBRERO!AG225</f>
        <v>6.6666666666666643</v>
      </c>
      <c r="D226" s="40">
        <f>+MARZO!AG225</f>
        <v>6.9916666666666645</v>
      </c>
      <c r="E226" s="40">
        <f>+ABRIL!AG225</f>
        <v>6.6666666666666643</v>
      </c>
      <c r="F226" s="40">
        <f>+MAYO!AG225</f>
        <v>0.3333333333333332</v>
      </c>
      <c r="G226" s="40">
        <f>+JUNIO!AG225</f>
        <v>6.9999999999999973</v>
      </c>
      <c r="H226" s="40">
        <f>+JULIO!AG225</f>
        <v>7.6666666666666634</v>
      </c>
      <c r="I226" s="40">
        <f>+AGOSTO!AG225</f>
        <v>0</v>
      </c>
      <c r="J226" s="40">
        <f>+SEPTIEMBRE!AG225</f>
        <v>6.3333333333333313</v>
      </c>
      <c r="K226" s="40">
        <f>+OCTUBRE!AG225</f>
        <v>6.9999999999999973</v>
      </c>
      <c r="L226" s="40">
        <f>+NOVIEMBRE!AG225</f>
        <v>6.6666666666666643</v>
      </c>
      <c r="M226" s="40">
        <f>+DICIEMBRE!AG226</f>
        <v>6.6666666666666643</v>
      </c>
      <c r="N226" s="99">
        <f t="shared" si="18"/>
        <v>68.974999999999966</v>
      </c>
      <c r="O226" s="380"/>
    </row>
    <row r="227" spans="1:15" ht="19.5" thickBot="1" x14ac:dyDescent="0.3">
      <c r="A227" s="58" t="s">
        <v>97</v>
      </c>
      <c r="B227" s="59">
        <f>+ENERO!AG226</f>
        <v>3</v>
      </c>
      <c r="C227" s="59">
        <f>+FEBRERO!AG226</f>
        <v>0</v>
      </c>
      <c r="D227" s="59">
        <f>+MARZO!AG226</f>
        <v>1</v>
      </c>
      <c r="E227" s="59">
        <f>+ABRIL!AG226</f>
        <v>0</v>
      </c>
      <c r="F227" s="59">
        <f>+MAYO!AG226</f>
        <v>0</v>
      </c>
      <c r="G227" s="59">
        <f>+JUNIO!AG226</f>
        <v>0</v>
      </c>
      <c r="H227" s="59">
        <f>+JULIO!AG226</f>
        <v>0</v>
      </c>
      <c r="I227" s="59">
        <f>+AGOSTO!AG226</f>
        <v>0</v>
      </c>
      <c r="J227" s="59">
        <f>+SEPTIEMBRE!AG226</f>
        <v>0</v>
      </c>
      <c r="K227" s="59">
        <f>+OCTUBRE!AG226</f>
        <v>0</v>
      </c>
      <c r="L227" s="59">
        <f>+NOVIEMBRE!AG226</f>
        <v>0</v>
      </c>
      <c r="M227" s="59">
        <f>+DICIEMBRE!AG227</f>
        <v>0</v>
      </c>
      <c r="N227" s="28">
        <f t="shared" si="18"/>
        <v>4</v>
      </c>
      <c r="O227" s="381"/>
    </row>
    <row r="228" spans="1:15" ht="18.75" x14ac:dyDescent="0.25">
      <c r="A228" s="55" t="s">
        <v>92</v>
      </c>
      <c r="B228" s="118">
        <f>+ENERO!AG227</f>
        <v>138</v>
      </c>
      <c r="C228" s="118">
        <f>+FEBRERO!AG227</f>
        <v>130</v>
      </c>
      <c r="D228" s="118">
        <f>+MARZO!AG227</f>
        <v>162</v>
      </c>
      <c r="E228" s="118">
        <f>+ABRIL!AG227</f>
        <v>174</v>
      </c>
      <c r="F228" s="118">
        <f>+MAYO!AG227</f>
        <v>132</v>
      </c>
      <c r="G228" s="118">
        <f>+JUNIO!AG227</f>
        <v>130</v>
      </c>
      <c r="H228" s="118">
        <f>+JULIO!AG227</f>
        <v>139</v>
      </c>
      <c r="I228" s="118">
        <f>+AGOSTO!AG227</f>
        <v>154</v>
      </c>
      <c r="J228" s="118">
        <f>+SEPTIEMBRE!AG227</f>
        <v>121</v>
      </c>
      <c r="K228" s="118">
        <f>+OCTUBRE!AG227</f>
        <v>136</v>
      </c>
      <c r="L228" s="118">
        <f>+NOVIEMBRE!AG227</f>
        <v>142</v>
      </c>
      <c r="M228" s="118">
        <f>+DICIEMBRE!AG228</f>
        <v>121</v>
      </c>
      <c r="N228" s="95">
        <f t="shared" si="18"/>
        <v>1679</v>
      </c>
      <c r="O228" s="379" t="s">
        <v>93</v>
      </c>
    </row>
    <row r="229" spans="1:15" ht="18.75" x14ac:dyDescent="0.25">
      <c r="A229" s="139" t="s">
        <v>94</v>
      </c>
      <c r="B229" s="140">
        <f>+ENERO!AG228</f>
        <v>30</v>
      </c>
      <c r="C229" s="140">
        <f>+FEBRERO!AG228</f>
        <v>35</v>
      </c>
      <c r="D229" s="140">
        <f>+MARZO!AG228</f>
        <v>43</v>
      </c>
      <c r="E229" s="140">
        <f>+ABRIL!AG228</f>
        <v>57</v>
      </c>
      <c r="F229" s="140">
        <f>+MAYO!AG228</f>
        <v>40</v>
      </c>
      <c r="G229" s="140">
        <f>+JUNIO!AG228</f>
        <v>50</v>
      </c>
      <c r="H229" s="140">
        <f>+JULIO!AG228</f>
        <v>37</v>
      </c>
      <c r="I229" s="140">
        <f>+AGOSTO!AG228</f>
        <v>43</v>
      </c>
      <c r="J229" s="140">
        <f>+SEPTIEMBRE!AG228</f>
        <v>29</v>
      </c>
      <c r="K229" s="140">
        <f>+OCTUBRE!AG228</f>
        <v>47</v>
      </c>
      <c r="L229" s="140">
        <f>+NOVIEMBRE!AG228</f>
        <v>37</v>
      </c>
      <c r="M229" s="140">
        <f>+DICIEMBRE!AG229</f>
        <v>24</v>
      </c>
      <c r="N229" s="143">
        <f t="shared" si="18"/>
        <v>472</v>
      </c>
      <c r="O229" s="380"/>
    </row>
    <row r="230" spans="1:15" ht="18.75" x14ac:dyDescent="0.25">
      <c r="A230" s="139" t="s">
        <v>95</v>
      </c>
      <c r="B230" s="140">
        <f>+ENERO!AG229</f>
        <v>108</v>
      </c>
      <c r="C230" s="140">
        <f>+FEBRERO!AG229</f>
        <v>95</v>
      </c>
      <c r="D230" s="140">
        <f>+MARZO!AG229</f>
        <v>119</v>
      </c>
      <c r="E230" s="140">
        <f>+ABRIL!AG229</f>
        <v>117</v>
      </c>
      <c r="F230" s="140">
        <f>+MAYO!AG229</f>
        <v>92</v>
      </c>
      <c r="G230" s="140">
        <f>+JUNIO!AG229</f>
        <v>81</v>
      </c>
      <c r="H230" s="140">
        <f>+JULIO!AG229</f>
        <v>102</v>
      </c>
      <c r="I230" s="140">
        <f>+AGOSTO!AG229</f>
        <v>111</v>
      </c>
      <c r="J230" s="140">
        <f>+SEPTIEMBRE!AG229</f>
        <v>92</v>
      </c>
      <c r="K230" s="140">
        <f>+OCTUBRE!AG229</f>
        <v>89</v>
      </c>
      <c r="L230" s="140">
        <f>+NOVIEMBRE!AG229</f>
        <v>105</v>
      </c>
      <c r="M230" s="140">
        <f>+DICIEMBRE!AG230</f>
        <v>97</v>
      </c>
      <c r="N230" s="143">
        <f t="shared" si="18"/>
        <v>1208</v>
      </c>
      <c r="O230" s="380"/>
    </row>
    <row r="231" spans="1:15" ht="19.5" thickBot="1" x14ac:dyDescent="0.3">
      <c r="A231" s="190" t="s">
        <v>106</v>
      </c>
      <c r="B231" s="191">
        <f>+ENERO!AG230</f>
        <v>0</v>
      </c>
      <c r="C231" s="191">
        <f>+FEBRERO!AG230</f>
        <v>0</v>
      </c>
      <c r="D231" s="191">
        <f>+MARZO!AG230</f>
        <v>0</v>
      </c>
      <c r="E231" s="191">
        <f>+ABRIL!AG230</f>
        <v>0</v>
      </c>
      <c r="F231" s="191">
        <f>+MAYO!AG230</f>
        <v>0</v>
      </c>
      <c r="G231" s="191">
        <f>+JUNIO!AG230</f>
        <v>0</v>
      </c>
      <c r="H231" s="191">
        <f>+JULIO!AG230</f>
        <v>0</v>
      </c>
      <c r="I231" s="191">
        <f>+AGOSTO!AG230</f>
        <v>0</v>
      </c>
      <c r="J231" s="191">
        <f>+SEPTIEMBRE!AG230</f>
        <v>0</v>
      </c>
      <c r="K231" s="191">
        <f>+OCTUBRE!AG230</f>
        <v>0</v>
      </c>
      <c r="L231" s="191">
        <f>+NOVIEMBRE!AG230</f>
        <v>0</v>
      </c>
      <c r="M231" s="191">
        <f>+DICIEMBRE!AG231</f>
        <v>0</v>
      </c>
      <c r="N231" s="108">
        <f t="shared" si="18"/>
        <v>0</v>
      </c>
      <c r="O231" s="381"/>
    </row>
    <row r="232" spans="1:15" ht="24" hidden="1" thickBot="1" x14ac:dyDescent="0.3">
      <c r="A232" s="198" t="s">
        <v>148</v>
      </c>
      <c r="B232" s="199">
        <f>+ENERO!AG231</f>
        <v>0</v>
      </c>
      <c r="C232" s="199">
        <f>+FEBRERO!AG231</f>
        <v>696</v>
      </c>
      <c r="D232" s="199">
        <f>+MARZO!AG231</f>
        <v>1056</v>
      </c>
      <c r="E232" s="199">
        <f>+ABRIL!AG231</f>
        <v>1333</v>
      </c>
      <c r="F232" s="199">
        <f>+MAYO!AG231</f>
        <v>0</v>
      </c>
      <c r="G232" s="199">
        <f>+JUNIO!AG231</f>
        <v>0</v>
      </c>
      <c r="H232" s="199">
        <f>+JULIO!AG231</f>
        <v>0</v>
      </c>
      <c r="I232" s="199">
        <f>+AGOSTO!AG231</f>
        <v>0</v>
      </c>
      <c r="J232" s="199">
        <f>+SEPTIEMBRE!AG231</f>
        <v>0</v>
      </c>
      <c r="K232" s="199">
        <f>+OCTUBRE!AG231</f>
        <v>0</v>
      </c>
      <c r="L232" s="199">
        <f>+NOVIEMBRE!AG231</f>
        <v>0</v>
      </c>
      <c r="M232" s="199">
        <f>+DICIEMBRE!AG232</f>
        <v>0</v>
      </c>
      <c r="N232" s="201">
        <f t="shared" si="18"/>
        <v>3085</v>
      </c>
    </row>
    <row r="233" spans="1:15" ht="38.25" hidden="1" customHeight="1" x14ac:dyDescent="0.25">
      <c r="A233" s="231" t="s">
        <v>159</v>
      </c>
      <c r="B233" s="189">
        <f>+ENERO!AG232</f>
        <v>0</v>
      </c>
      <c r="C233" s="189">
        <f>+FEBRERO!AG232</f>
        <v>490</v>
      </c>
      <c r="D233" s="189">
        <f>+MARZO!AG232</f>
        <v>727</v>
      </c>
      <c r="E233" s="189">
        <f>+ABRIL!AG232</f>
        <v>942</v>
      </c>
      <c r="F233" s="189" t="e">
        <f>+MAYO!AG232</f>
        <v>#DIV/0!</v>
      </c>
      <c r="G233" s="189">
        <f>+JUNIO!AG232</f>
        <v>0</v>
      </c>
      <c r="H233" s="189">
        <f>+JULIO!AG232</f>
        <v>0</v>
      </c>
      <c r="I233" s="189">
        <f>+AGOSTO!AG232</f>
        <v>0</v>
      </c>
      <c r="J233" s="189">
        <f>+SEPTIEMBRE!AG232</f>
        <v>0</v>
      </c>
      <c r="K233" s="189">
        <f>+OCTUBRE!AG232</f>
        <v>0</v>
      </c>
      <c r="L233" s="189">
        <f>+NOVIEMBRE!AG232</f>
        <v>0</v>
      </c>
      <c r="M233" s="189">
        <f>+DICIEMBRE!AG233</f>
        <v>0</v>
      </c>
      <c r="N233" s="197" t="e">
        <f t="shared" si="18"/>
        <v>#DIV/0!</v>
      </c>
    </row>
    <row r="234" spans="1:15" ht="40.5" hidden="1" customHeight="1" x14ac:dyDescent="0.25">
      <c r="A234" s="231" t="s">
        <v>160</v>
      </c>
      <c r="B234" s="189">
        <f>+ENERO!AG233</f>
        <v>0</v>
      </c>
      <c r="C234" s="189">
        <f>+FEBRERO!AG233</f>
        <v>13</v>
      </c>
      <c r="D234" s="189">
        <f>+MARZO!AG233</f>
        <v>14</v>
      </c>
      <c r="E234" s="189">
        <f>+ABRIL!AG233</f>
        <v>42</v>
      </c>
      <c r="F234" s="189" t="e">
        <f>+MAYO!AG233</f>
        <v>#DIV/0!</v>
      </c>
      <c r="G234" s="189">
        <f>+JUNIO!AG233</f>
        <v>0</v>
      </c>
      <c r="H234" s="189">
        <f>+JULIO!AG233</f>
        <v>0</v>
      </c>
      <c r="I234" s="189">
        <f>+AGOSTO!AG233</f>
        <v>0</v>
      </c>
      <c r="J234" s="189">
        <f>+SEPTIEMBRE!AG233</f>
        <v>0</v>
      </c>
      <c r="K234" s="189">
        <f>+OCTUBRE!AG233</f>
        <v>0</v>
      </c>
      <c r="L234" s="189">
        <f>+NOVIEMBRE!AG233</f>
        <v>0</v>
      </c>
      <c r="M234" s="189">
        <f>+DICIEMBRE!AG234</f>
        <v>0</v>
      </c>
      <c r="N234" s="197"/>
    </row>
    <row r="235" spans="1:15" ht="40.5" hidden="1" customHeight="1" x14ac:dyDescent="0.25">
      <c r="A235" s="231" t="s">
        <v>161</v>
      </c>
      <c r="B235" s="189">
        <f>+ENERO!AG234</f>
        <v>0</v>
      </c>
      <c r="C235" s="189">
        <f>+FEBRERO!AG234</f>
        <v>20</v>
      </c>
      <c r="D235" s="189">
        <f>+MARZO!AG234</f>
        <v>34</v>
      </c>
      <c r="E235" s="189">
        <f>+ABRIL!AG234</f>
        <v>37</v>
      </c>
      <c r="F235" s="189" t="e">
        <f>+MAYO!AG234</f>
        <v>#DIV/0!</v>
      </c>
      <c r="G235" s="189">
        <f>+JUNIO!AG234</f>
        <v>0</v>
      </c>
      <c r="H235" s="189">
        <f>+JULIO!AG234</f>
        <v>0</v>
      </c>
      <c r="I235" s="189">
        <f>+AGOSTO!AG234</f>
        <v>0</v>
      </c>
      <c r="J235" s="189">
        <f>+SEPTIEMBRE!AG234</f>
        <v>0</v>
      </c>
      <c r="K235" s="189">
        <f>+OCTUBRE!AG234</f>
        <v>0</v>
      </c>
      <c r="L235" s="189">
        <f>+NOVIEMBRE!AG234</f>
        <v>0</v>
      </c>
      <c r="M235" s="189">
        <f>+DICIEMBRE!AG235</f>
        <v>0</v>
      </c>
      <c r="N235" s="197"/>
    </row>
    <row r="236" spans="1:15" ht="40.5" hidden="1" customHeight="1" x14ac:dyDescent="0.25">
      <c r="A236" s="231" t="s">
        <v>162</v>
      </c>
      <c r="B236" s="189">
        <f>+ENERO!AG235</f>
        <v>0</v>
      </c>
      <c r="C236" s="189">
        <f>+FEBRERO!AG235</f>
        <v>108</v>
      </c>
      <c r="D236" s="189">
        <f>+MARZO!AG235</f>
        <v>201</v>
      </c>
      <c r="E236" s="189">
        <f>+ABRIL!AG235</f>
        <v>206</v>
      </c>
      <c r="F236" s="189" t="e">
        <f>+MAYO!AG235</f>
        <v>#DIV/0!</v>
      </c>
      <c r="G236" s="189">
        <f>+JUNIO!AG235</f>
        <v>0</v>
      </c>
      <c r="H236" s="189">
        <f>+JULIO!AG235</f>
        <v>0</v>
      </c>
      <c r="I236" s="189">
        <f>+AGOSTO!AG235</f>
        <v>0</v>
      </c>
      <c r="J236" s="189">
        <f>+SEPTIEMBRE!AG235</f>
        <v>0</v>
      </c>
      <c r="K236" s="189">
        <f>+OCTUBRE!AG235</f>
        <v>0</v>
      </c>
      <c r="L236" s="189">
        <f>+NOVIEMBRE!AG235</f>
        <v>0</v>
      </c>
      <c r="M236" s="189">
        <f>+DICIEMBRE!AG236</f>
        <v>0</v>
      </c>
      <c r="N236" s="197"/>
    </row>
    <row r="237" spans="1:15" ht="40.5" hidden="1" customHeight="1" x14ac:dyDescent="0.25">
      <c r="A237" s="232" t="s">
        <v>163</v>
      </c>
      <c r="B237" s="137">
        <f>+ENERO!AG236</f>
        <v>0</v>
      </c>
      <c r="C237" s="137">
        <f>+FEBRERO!AG236</f>
        <v>49</v>
      </c>
      <c r="D237" s="137">
        <f>+MARZO!AG236</f>
        <v>47</v>
      </c>
      <c r="E237" s="137">
        <f>+ABRIL!AG236</f>
        <v>76</v>
      </c>
      <c r="F237" s="137" t="e">
        <f>+MAYO!AG236</f>
        <v>#DIV/0!</v>
      </c>
      <c r="G237" s="137">
        <f>+JUNIO!AG236</f>
        <v>0</v>
      </c>
      <c r="H237" s="137">
        <f>+JULIO!AG236</f>
        <v>0</v>
      </c>
      <c r="I237" s="137">
        <f>+AGOSTO!AG236</f>
        <v>0</v>
      </c>
      <c r="J237" s="137">
        <f>+SEPTIEMBRE!AG236</f>
        <v>0</v>
      </c>
      <c r="K237" s="137">
        <f>+OCTUBRE!AG236</f>
        <v>0</v>
      </c>
      <c r="L237" s="137">
        <f>+NOVIEMBRE!AG236</f>
        <v>0</v>
      </c>
      <c r="M237" s="137">
        <f>+DICIEMBRE!AG237</f>
        <v>0</v>
      </c>
      <c r="N237" s="138" t="e">
        <f>SUM(B237:M237)</f>
        <v>#DIV/0!</v>
      </c>
    </row>
    <row r="238" spans="1:15" ht="39.75" hidden="1" customHeight="1" thickBot="1" x14ac:dyDescent="0.3">
      <c r="A238" s="233" t="s">
        <v>164</v>
      </c>
      <c r="B238" s="222">
        <f>+ENERO!AG237</f>
        <v>0</v>
      </c>
      <c r="C238" s="222">
        <f>+FEBRERO!AG237</f>
        <v>16</v>
      </c>
      <c r="D238" s="222">
        <f>+MARZO!AG237</f>
        <v>33</v>
      </c>
      <c r="E238" s="222">
        <f>+ABRIL!AG237</f>
        <v>30</v>
      </c>
      <c r="F238" s="222" t="e">
        <f>+MAYO!AG237</f>
        <v>#DIV/0!</v>
      </c>
      <c r="G238" s="222">
        <f>+JUNIO!AG237</f>
        <v>0</v>
      </c>
      <c r="H238" s="222">
        <f>+JULIO!AG237</f>
        <v>0</v>
      </c>
      <c r="I238" s="222">
        <f>+AGOSTO!AG237</f>
        <v>0</v>
      </c>
      <c r="J238" s="222">
        <f>+SEPTIEMBRE!AG237</f>
        <v>0</v>
      </c>
      <c r="K238" s="222">
        <f>+OCTUBRE!AG237</f>
        <v>0</v>
      </c>
      <c r="L238" s="222">
        <f>+NOVIEMBRE!AG237</f>
        <v>0</v>
      </c>
      <c r="M238" s="222">
        <f>+DICIEMBRE!AG238</f>
        <v>0</v>
      </c>
      <c r="N238" s="224" t="e">
        <f>SUM(B238:M238)</f>
        <v>#DIV/0!</v>
      </c>
    </row>
    <row r="239" spans="1:15" ht="21.75" x14ac:dyDescent="0.25">
      <c r="A239" s="225" t="s">
        <v>151</v>
      </c>
      <c r="B239" s="251">
        <f>+ENERO!AG238</f>
        <v>1.8206365740740742</v>
      </c>
      <c r="C239" s="251">
        <f>+FEBRERO!AG238</f>
        <v>1.5781828703703704</v>
      </c>
      <c r="D239" s="251">
        <f>+MARZO!AG238</f>
        <v>2.1138888888888889</v>
      </c>
      <c r="E239" s="251">
        <f>+ABRIL!AG238</f>
        <v>0</v>
      </c>
      <c r="F239" s="251">
        <f>+MAYO!AG238</f>
        <v>0.32128300754458167</v>
      </c>
      <c r="G239" s="251">
        <f>+JUNIO!AG238</f>
        <v>0</v>
      </c>
      <c r="H239" s="251">
        <f>+JULIO!AG238</f>
        <v>0</v>
      </c>
      <c r="I239" s="251">
        <f>+AGOSTO!AG238</f>
        <v>0</v>
      </c>
      <c r="J239" s="251">
        <f>+SEPTIEMBRE!AG238</f>
        <v>6.6944444444444445E-2</v>
      </c>
      <c r="K239" s="251">
        <f>+OCTUBRE!AG238</f>
        <v>6.4852150537634407E-2</v>
      </c>
      <c r="L239" s="251">
        <f>+NOVIEMBRE!AG238</f>
        <v>2.0166666666666666</v>
      </c>
      <c r="M239" s="251">
        <f>+DICIEMBRE!AG239</f>
        <v>1.9666666666666663</v>
      </c>
      <c r="N239" s="227"/>
    </row>
    <row r="240" spans="1:15" ht="22.5" thickBot="1" x14ac:dyDescent="0.3">
      <c r="A240" s="228" t="s">
        <v>152</v>
      </c>
      <c r="B240" s="252">
        <f>+ENERO!AG239</f>
        <v>2.0724999999999998</v>
      </c>
      <c r="C240" s="252">
        <f>+FEBRERO!AG239</f>
        <v>1.7675578703703705</v>
      </c>
      <c r="D240" s="252">
        <f>+MARZO!AG239</f>
        <v>2.4652777777777777</v>
      </c>
      <c r="E240" s="252">
        <f>+ABRIL!AG239</f>
        <v>0</v>
      </c>
      <c r="F240" s="252">
        <f>+MAYO!AG239</f>
        <v>7.1013374485596706E-2</v>
      </c>
      <c r="G240" s="252">
        <f>+JUNIO!AG239</f>
        <v>0</v>
      </c>
      <c r="H240" s="252">
        <f>+JULIO!AG239</f>
        <v>0</v>
      </c>
      <c r="I240" s="252">
        <f>+AGOSTO!AG239</f>
        <v>0</v>
      </c>
      <c r="J240" s="252">
        <f>+SEPTIEMBRE!AG239</f>
        <v>8.0532407407407428E-2</v>
      </c>
      <c r="K240" s="252">
        <f>+OCTUBRE!AG239</f>
        <v>6.5188172043010764E-2</v>
      </c>
      <c r="L240" s="252">
        <f>+NOVIEMBRE!AG239</f>
        <v>2.0597222222222222</v>
      </c>
      <c r="M240" s="252">
        <f>+DICIEMBRE!AG240</f>
        <v>1.9993055555555559</v>
      </c>
      <c r="N240" s="230"/>
    </row>
    <row r="241" spans="1:33" ht="15.75" thickBot="1" x14ac:dyDescent="0.3">
      <c r="A241" s="363" t="s">
        <v>619</v>
      </c>
      <c r="B241" s="358">
        <f>+ENERO!AG240</f>
        <v>0</v>
      </c>
      <c r="C241" s="358">
        <f>+FEBRERO!AG240</f>
        <v>0</v>
      </c>
      <c r="D241" s="358">
        <f>+MARZO!AG240</f>
        <v>0</v>
      </c>
      <c r="E241" s="358">
        <f>+ABRIL!AG240</f>
        <v>0</v>
      </c>
      <c r="F241" s="358">
        <f>+MAYO!AG240</f>
        <v>0</v>
      </c>
      <c r="G241" s="358">
        <f>+JUNIO!AG240</f>
        <v>0</v>
      </c>
      <c r="H241" s="358">
        <f>+JULIO!AG240</f>
        <v>0</v>
      </c>
      <c r="I241" s="358">
        <f>+AGOSTO!AG240</f>
        <v>0</v>
      </c>
      <c r="J241" s="358">
        <f>+SEPTIEMBRE!AG240</f>
        <v>0</v>
      </c>
      <c r="K241" s="358">
        <f>+OCTUBRE!AG240</f>
        <v>0</v>
      </c>
      <c r="L241" s="358">
        <f>+NOVIEMBRE!AG240</f>
        <v>0</v>
      </c>
      <c r="M241" s="358">
        <f>+DICIEMBRE!AG241</f>
        <v>0</v>
      </c>
      <c r="N241" s="359"/>
      <c r="O241" s="361"/>
      <c r="P241" s="361"/>
      <c r="Q241" s="361"/>
      <c r="R241" s="361"/>
      <c r="S241" s="361"/>
      <c r="T241" s="361"/>
      <c r="U241" s="361"/>
      <c r="V241" s="361"/>
      <c r="W241" s="361"/>
      <c r="X241" s="361"/>
      <c r="Y241" s="361"/>
      <c r="Z241" s="361"/>
      <c r="AA241" s="361"/>
      <c r="AB241" s="361"/>
      <c r="AC241" s="361"/>
      <c r="AD241" s="361"/>
      <c r="AE241" s="361"/>
      <c r="AF241" s="361"/>
      <c r="AG241" s="361"/>
    </row>
    <row r="242" spans="1:33" ht="23.25" x14ac:dyDescent="0.35">
      <c r="A242" s="362" t="s">
        <v>72</v>
      </c>
      <c r="B242" s="254">
        <f>+ENERO!AG241</f>
        <v>5.1388888888888894E-2</v>
      </c>
      <c r="C242" s="255">
        <f>+FEBRERO!AG241</f>
        <v>7.4652777777777781E-3</v>
      </c>
      <c r="D242" s="255">
        <f>+MARZO!AG241</f>
        <v>8.6245519713261647E-3</v>
      </c>
      <c r="E242" s="255">
        <f>+ABRIL!AG241</f>
        <v>5.5324074074074078E-3</v>
      </c>
      <c r="F242" s="255">
        <f>+MAYO!AG241</f>
        <v>3.6008230452674899E-4</v>
      </c>
      <c r="G242" s="255" t="e">
        <f>+JUNIO!AG241</f>
        <v>#DIV/0!</v>
      </c>
      <c r="H242" s="255" t="e">
        <f>+JULIO!AG241</f>
        <v>#DIV/0!</v>
      </c>
      <c r="I242" s="255" t="e">
        <f>+AGOSTO!AG241</f>
        <v>#DIV/0!</v>
      </c>
      <c r="J242" s="255">
        <f>+SEPTIEMBRE!AG241</f>
        <v>2.8935185185185184E-3</v>
      </c>
      <c r="K242" s="255">
        <f>+OCTUBRE!AG241</f>
        <v>2.1953405017921144E-3</v>
      </c>
      <c r="L242" s="255">
        <f>+NOVIEMBRE!AG241</f>
        <v>2.0833333333333332E-4</v>
      </c>
      <c r="M242" s="360">
        <f>+DICIEMBRE!AG242</f>
        <v>0</v>
      </c>
      <c r="N242" s="366"/>
    </row>
    <row r="243" spans="1:33" ht="23.25" x14ac:dyDescent="0.35">
      <c r="A243" s="253" t="s">
        <v>73</v>
      </c>
      <c r="B243" s="258">
        <f>+ENERO!AG242</f>
        <v>0.57853009259259258</v>
      </c>
      <c r="C243" s="259">
        <f>+FEBRERO!AG242</f>
        <v>1.6941550925925926E-2</v>
      </c>
      <c r="D243" s="259">
        <f>+MARZO!AG242</f>
        <v>2.244810334528077E-2</v>
      </c>
      <c r="E243" s="259">
        <f>+ABRIL!AG242</f>
        <v>2.0949074074074071E-2</v>
      </c>
      <c r="F243" s="259">
        <f>+MAYO!AG242</f>
        <v>8.1018518518518531E-3</v>
      </c>
      <c r="G243" s="259" t="e">
        <f>+JUNIO!AG242</f>
        <v>#DIV/0!</v>
      </c>
      <c r="H243" s="259" t="e">
        <f>+JULIO!AG242</f>
        <v>#DIV/0!</v>
      </c>
      <c r="I243" s="259" t="e">
        <f>+AGOSTO!AG242</f>
        <v>#DIV/0!</v>
      </c>
      <c r="J243" s="259">
        <f>+SEPTIEMBRE!AG242</f>
        <v>9.5370370370370366E-3</v>
      </c>
      <c r="K243" s="259">
        <f>+OCTUBRE!AG242</f>
        <v>9.3413978494623663E-3</v>
      </c>
      <c r="L243" s="259">
        <f>+NOVIEMBRE!AG242</f>
        <v>8.726851851851852E-3</v>
      </c>
      <c r="M243" s="364">
        <f>+DICIEMBRE!AG243</f>
        <v>7.9077060931899631E-3</v>
      </c>
      <c r="N243" s="367"/>
    </row>
    <row r="244" spans="1:33" ht="23.25" x14ac:dyDescent="0.35">
      <c r="A244" s="253" t="s">
        <v>74</v>
      </c>
      <c r="B244" s="258">
        <f>+ENERO!AG243</f>
        <v>0.90972222222222232</v>
      </c>
      <c r="C244" s="259">
        <f>+FEBRERO!AG243</f>
        <v>3.1178075396825402E-2</v>
      </c>
      <c r="D244" s="259">
        <f>+MARZO!AG243</f>
        <v>3.5024268219832733E-2</v>
      </c>
      <c r="E244" s="259">
        <f>+ABRIL!AG243</f>
        <v>3.4675925925925929E-2</v>
      </c>
      <c r="F244" s="259">
        <f>+MAYO!AG243</f>
        <v>1.437971536351166E-2</v>
      </c>
      <c r="G244" s="259" t="e">
        <f>+JUNIO!AG243</f>
        <v>#DIV/0!</v>
      </c>
      <c r="H244" s="259" t="e">
        <f>+JULIO!AG243</f>
        <v>#DIV/0!</v>
      </c>
      <c r="I244" s="259" t="e">
        <f>+AGOSTO!AG243</f>
        <v>#DIV/0!</v>
      </c>
      <c r="J244" s="259">
        <f>+SEPTIEMBRE!AG243</f>
        <v>1.5219135802469134E-2</v>
      </c>
      <c r="K244" s="259">
        <f>+OCTUBRE!AG243</f>
        <v>1.5860215053763446E-2</v>
      </c>
      <c r="L244" s="259">
        <f>+NOVIEMBRE!AG243</f>
        <v>1.8101851851851852E-2</v>
      </c>
      <c r="M244" s="364">
        <f>+DICIEMBRE!AG244</f>
        <v>1.5905017921146958E-2</v>
      </c>
      <c r="N244" s="367"/>
    </row>
    <row r="245" spans="1:33" ht="23.25" x14ac:dyDescent="0.35">
      <c r="A245" s="253" t="s">
        <v>75</v>
      </c>
      <c r="B245" s="258">
        <f>+ENERO!AG244</f>
        <v>2.2833333333333337</v>
      </c>
      <c r="C245" s="259">
        <f>+FEBRERO!AG244</f>
        <v>6.7351810515873009E-2</v>
      </c>
      <c r="D245" s="259">
        <f>+MARZO!AG244</f>
        <v>9.4937275985663053E-2</v>
      </c>
      <c r="E245" s="259">
        <f>+ABRIL!AG244</f>
        <v>9.3657407407407425E-2</v>
      </c>
      <c r="F245" s="259">
        <f>+MAYO!AG244</f>
        <v>3.8162294238683135E-2</v>
      </c>
      <c r="G245" s="259" t="e">
        <f>+JUNIO!AG244</f>
        <v>#DIV/0!</v>
      </c>
      <c r="H245" s="259" t="e">
        <f>+JULIO!AG244</f>
        <v>#DIV/0!</v>
      </c>
      <c r="I245" s="259" t="e">
        <f>+AGOSTO!AG244</f>
        <v>#DIV/0!</v>
      </c>
      <c r="J245" s="259">
        <f>+SEPTIEMBRE!AG244</f>
        <v>3.9675925925925934E-2</v>
      </c>
      <c r="K245" s="259">
        <f>+OCTUBRE!AG244</f>
        <v>3.8620071684587823E-2</v>
      </c>
      <c r="L245" s="259">
        <f>+NOVIEMBRE!AG244</f>
        <v>4.3310185185185188E-2</v>
      </c>
      <c r="M245" s="364">
        <f>+DICIEMBRE!AG245</f>
        <v>3.870967741935484E-2</v>
      </c>
      <c r="N245" s="367"/>
    </row>
    <row r="246" spans="1:33" ht="24" thickBot="1" x14ac:dyDescent="0.4">
      <c r="A246" s="262" t="s">
        <v>76</v>
      </c>
      <c r="B246" s="263">
        <f>+ENERO!AG245</f>
        <v>2.9854166666666666</v>
      </c>
      <c r="C246" s="264">
        <f>+FEBRERO!AG245</f>
        <v>9.6685681216931219E-2</v>
      </c>
      <c r="D246" s="264">
        <f>+MARZO!AG245</f>
        <v>0.12251344086021508</v>
      </c>
      <c r="E246" s="264">
        <f>+ABRIL!AG245</f>
        <v>0.10608796296296298</v>
      </c>
      <c r="F246" s="264">
        <f>+MAYO!AG245</f>
        <v>5.5757458847736634E-2</v>
      </c>
      <c r="G246" s="264" t="e">
        <f>+JUNIO!AG245</f>
        <v>#DIV/0!</v>
      </c>
      <c r="H246" s="264" t="e">
        <f>+JULIO!AG245</f>
        <v>#DIV/0!</v>
      </c>
      <c r="I246" s="264" t="e">
        <f>+AGOSTO!AG245</f>
        <v>#DIV/0!</v>
      </c>
      <c r="J246" s="264">
        <f>+SEPTIEMBRE!AG245</f>
        <v>5.6273148148148142E-2</v>
      </c>
      <c r="K246" s="264">
        <f>+OCTUBRE!AG245</f>
        <v>4.8051075268817203E-2</v>
      </c>
      <c r="L246" s="264">
        <f>+NOVIEMBRE!AG245</f>
        <v>4.3703703703703696E-2</v>
      </c>
      <c r="M246" s="365">
        <f>+DICIEMBRE!AG246</f>
        <v>4.7379032258064516E-2</v>
      </c>
      <c r="N246" s="368"/>
    </row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9.5" customHeight="1" x14ac:dyDescent="0.25"/>
    <row r="273" ht="18.75" customHeight="1" x14ac:dyDescent="0.25"/>
    <row r="276" ht="18.75" customHeight="1" x14ac:dyDescent="0.25"/>
  </sheetData>
  <dataConsolidate/>
  <mergeCells count="5">
    <mergeCell ref="A1:N1"/>
    <mergeCell ref="P84:P86"/>
    <mergeCell ref="O212:O223"/>
    <mergeCell ref="O225:O227"/>
    <mergeCell ref="O228:O231"/>
  </mergeCells>
  <conditionalFormatting sqref="B29:M52">
    <cfRule type="cellIs" dxfId="133" priority="2" operator="lessThan">
      <formula>0</formula>
    </cfRule>
  </conditionalFormatting>
  <conditionalFormatting sqref="D54:M77">
    <cfRule type="cellIs" dxfId="132" priority="1" operator="lessThan">
      <formula>0</formula>
    </cfRule>
  </conditionalFormatting>
  <conditionalFormatting sqref="O81">
    <cfRule type="cellIs" dxfId="131" priority="22" operator="equal">
      <formula>"*"</formula>
    </cfRule>
  </conditionalFormatting>
  <conditionalFormatting sqref="O84 O87">
    <cfRule type="cellIs" dxfId="130" priority="23" operator="equal">
      <formula>"*"</formula>
    </cfRule>
  </conditionalFormatting>
  <conditionalFormatting sqref="O93">
    <cfRule type="cellIs" dxfId="129" priority="28" operator="equal">
      <formula>"*"</formula>
    </cfRule>
  </conditionalFormatting>
  <conditionalFormatting sqref="O130">
    <cfRule type="cellIs" dxfId="128" priority="26" operator="equal">
      <formula>"*"</formula>
    </cfRule>
  </conditionalFormatting>
  <conditionalFormatting sqref="O144:O145">
    <cfRule type="cellIs" dxfId="127" priority="27" operator="equal">
      <formula>"*"</formula>
    </cfRule>
  </conditionalFormatting>
  <conditionalFormatting sqref="O179">
    <cfRule type="cellIs" dxfId="126" priority="25" operator="equal">
      <formula>"*"</formula>
    </cfRule>
  </conditionalFormatting>
  <conditionalFormatting sqref="O205">
    <cfRule type="cellIs" dxfId="125" priority="21" operator="equal">
      <formula>"X"</formula>
    </cfRule>
  </conditionalFormatting>
  <dataValidations count="1">
    <dataValidation type="whole" allowBlank="1" showInputMessage="1" showErrorMessage="1" errorTitle="ERROR" error="Por favor ingrese solo Números" sqref="A98:A99 A101:A115" xr:uid="{00000000-0002-0000-02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75"/>
  <sheetViews>
    <sheetView zoomScale="80" zoomScaleNormal="80" workbookViewId="0">
      <pane xSplit="1" ySplit="3" topLeftCell="I22" activePane="bottomRight" state="frozen"/>
      <selection sqref="A1:AG1"/>
      <selection pane="topRight" sqref="A1:AG1"/>
      <selection pane="bottomLeft" sqref="A1:AG1"/>
      <selection pane="bottomRight" activeCell="AG93" sqref="AG93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153</v>
      </c>
      <c r="B2" s="106">
        <v>1</v>
      </c>
      <c r="C2" s="234">
        <f t="shared" ref="C2:AA2" si="0">+B2+1</f>
        <v>2</v>
      </c>
      <c r="D2" s="234">
        <f t="shared" si="0"/>
        <v>3</v>
      </c>
      <c r="E2" s="234">
        <f t="shared" si="0"/>
        <v>4</v>
      </c>
      <c r="F2" s="106">
        <f t="shared" si="0"/>
        <v>5</v>
      </c>
      <c r="G2" s="106">
        <f t="shared" si="0"/>
        <v>6</v>
      </c>
      <c r="H2" s="234">
        <f t="shared" si="0"/>
        <v>7</v>
      </c>
      <c r="I2" s="234">
        <f t="shared" si="0"/>
        <v>8</v>
      </c>
      <c r="J2" s="234">
        <f t="shared" si="0"/>
        <v>9</v>
      </c>
      <c r="K2" s="234">
        <f t="shared" si="0"/>
        <v>10</v>
      </c>
      <c r="L2" s="234">
        <f t="shared" si="0"/>
        <v>11</v>
      </c>
      <c r="M2" s="106">
        <f t="shared" si="0"/>
        <v>12</v>
      </c>
      <c r="N2" s="106">
        <f t="shared" si="0"/>
        <v>13</v>
      </c>
      <c r="O2" s="234">
        <f t="shared" si="0"/>
        <v>14</v>
      </c>
      <c r="P2" s="234">
        <f t="shared" si="0"/>
        <v>15</v>
      </c>
      <c r="Q2" s="234">
        <f t="shared" si="0"/>
        <v>16</v>
      </c>
      <c r="R2" s="234">
        <f t="shared" si="0"/>
        <v>17</v>
      </c>
      <c r="S2" s="234">
        <f t="shared" si="0"/>
        <v>18</v>
      </c>
      <c r="T2" s="106">
        <f t="shared" si="0"/>
        <v>19</v>
      </c>
      <c r="U2" s="106">
        <f t="shared" si="0"/>
        <v>20</v>
      </c>
      <c r="V2" s="234">
        <f t="shared" si="0"/>
        <v>21</v>
      </c>
      <c r="W2" s="234">
        <f t="shared" si="0"/>
        <v>22</v>
      </c>
      <c r="X2" s="234">
        <f t="shared" si="0"/>
        <v>23</v>
      </c>
      <c r="Y2" s="234">
        <f t="shared" si="0"/>
        <v>24</v>
      </c>
      <c r="Z2" s="234">
        <f t="shared" si="0"/>
        <v>25</v>
      </c>
      <c r="AA2" s="106">
        <f t="shared" si="0"/>
        <v>26</v>
      </c>
      <c r="AB2" s="106">
        <v>27</v>
      </c>
      <c r="AC2" s="234">
        <f>+AB2+1</f>
        <v>28</v>
      </c>
      <c r="AD2" s="234">
        <f>+AC2+1</f>
        <v>29</v>
      </c>
      <c r="AE2" s="234">
        <f>+AD2+1</f>
        <v>30</v>
      </c>
      <c r="AF2" s="234">
        <f>+AE2+1</f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215</v>
      </c>
      <c r="C3" s="135">
        <f t="shared" si="1"/>
        <v>245</v>
      </c>
      <c r="D3" s="135">
        <f t="shared" si="1"/>
        <v>233</v>
      </c>
      <c r="E3" s="135">
        <f t="shared" si="1"/>
        <v>212</v>
      </c>
      <c r="F3" s="135">
        <f t="shared" si="1"/>
        <v>264</v>
      </c>
      <c r="G3" s="135">
        <f t="shared" si="1"/>
        <v>243</v>
      </c>
      <c r="H3" s="135">
        <f t="shared" si="1"/>
        <v>236</v>
      </c>
      <c r="I3" s="135">
        <f t="shared" si="1"/>
        <v>167</v>
      </c>
      <c r="J3" s="135">
        <f t="shared" si="1"/>
        <v>184</v>
      </c>
      <c r="K3" s="135">
        <f t="shared" si="1"/>
        <v>199</v>
      </c>
      <c r="L3" s="135">
        <f t="shared" si="1"/>
        <v>189</v>
      </c>
      <c r="M3" s="135">
        <f t="shared" si="1"/>
        <v>246</v>
      </c>
      <c r="N3" s="135">
        <f t="shared" si="1"/>
        <v>244</v>
      </c>
      <c r="O3" s="135">
        <f t="shared" si="1"/>
        <v>216</v>
      </c>
      <c r="P3" s="135">
        <f t="shared" si="1"/>
        <v>178</v>
      </c>
      <c r="Q3" s="135">
        <f t="shared" si="1"/>
        <v>188</v>
      </c>
      <c r="R3" s="135">
        <f t="shared" si="1"/>
        <v>194</v>
      </c>
      <c r="S3" s="135">
        <f t="shared" si="1"/>
        <v>135</v>
      </c>
      <c r="T3" s="135">
        <f t="shared" si="1"/>
        <v>223</v>
      </c>
      <c r="U3" s="135">
        <f t="shared" si="1"/>
        <v>207</v>
      </c>
      <c r="V3" s="135">
        <f t="shared" si="1"/>
        <v>227</v>
      </c>
      <c r="W3" s="135">
        <f t="shared" si="1"/>
        <v>201</v>
      </c>
      <c r="X3" s="135">
        <f t="shared" si="1"/>
        <v>200</v>
      </c>
      <c r="Y3" s="135">
        <f t="shared" si="1"/>
        <v>197</v>
      </c>
      <c r="Z3" s="135">
        <f t="shared" si="1"/>
        <v>198</v>
      </c>
      <c r="AA3" s="135">
        <f t="shared" si="1"/>
        <v>254</v>
      </c>
      <c r="AB3" s="135">
        <f t="shared" si="1"/>
        <v>207</v>
      </c>
      <c r="AC3" s="135">
        <f t="shared" si="1"/>
        <v>235</v>
      </c>
      <c r="AD3" s="135">
        <f t="shared" si="1"/>
        <v>168</v>
      </c>
      <c r="AE3" s="135">
        <f t="shared" si="1"/>
        <v>224</v>
      </c>
      <c r="AF3" s="135">
        <f t="shared" si="1"/>
        <v>168</v>
      </c>
      <c r="AG3" s="187">
        <f>SUM(B3:AF3)</f>
        <v>6497</v>
      </c>
    </row>
    <row r="4" spans="1:33" ht="18.75" x14ac:dyDescent="0.25">
      <c r="A4" s="113" t="s">
        <v>54</v>
      </c>
      <c r="B4" s="114">
        <v>8</v>
      </c>
      <c r="C4" s="114"/>
      <c r="D4" s="114"/>
      <c r="E4" s="114"/>
      <c r="F4" s="114">
        <v>12</v>
      </c>
      <c r="G4" s="114">
        <v>2</v>
      </c>
      <c r="H4" s="114"/>
      <c r="I4" s="114"/>
      <c r="J4" s="114"/>
      <c r="K4" s="114"/>
      <c r="L4" s="114"/>
      <c r="M4" s="114">
        <v>3</v>
      </c>
      <c r="N4" s="114">
        <v>5</v>
      </c>
      <c r="O4" s="114"/>
      <c r="P4" s="114"/>
      <c r="Q4" s="114"/>
      <c r="R4" s="114"/>
      <c r="S4" s="114"/>
      <c r="T4" s="114">
        <v>4</v>
      </c>
      <c r="U4" s="114">
        <v>4</v>
      </c>
      <c r="V4" s="114"/>
      <c r="W4" s="114"/>
      <c r="X4" s="114"/>
      <c r="Y4" s="114"/>
      <c r="Z4" s="114"/>
      <c r="AA4" s="114">
        <v>6</v>
      </c>
      <c r="AB4" s="114">
        <v>8</v>
      </c>
      <c r="AC4" s="114"/>
      <c r="AD4" s="114"/>
      <c r="AE4" s="114"/>
      <c r="AF4" s="115"/>
      <c r="AG4" s="132">
        <f t="shared" ref="AG4:AG83" si="2">SUM(B4:AF4)</f>
        <v>52</v>
      </c>
    </row>
    <row r="5" spans="1:33" ht="18.75" x14ac:dyDescent="0.25">
      <c r="A5" s="41" t="s">
        <v>55</v>
      </c>
      <c r="B5" s="7">
        <v>3</v>
      </c>
      <c r="C5" s="7"/>
      <c r="D5" s="7"/>
      <c r="E5" s="7"/>
      <c r="F5" s="7">
        <v>10</v>
      </c>
      <c r="G5" s="7">
        <v>11</v>
      </c>
      <c r="H5" s="7"/>
      <c r="I5" s="7"/>
      <c r="J5" s="7"/>
      <c r="K5" s="7"/>
      <c r="L5" s="7"/>
      <c r="M5" s="7">
        <v>11</v>
      </c>
      <c r="N5" s="7">
        <v>9</v>
      </c>
      <c r="O5" s="7"/>
      <c r="P5" s="7"/>
      <c r="Q5" s="7"/>
      <c r="R5" s="7"/>
      <c r="S5" s="7"/>
      <c r="T5" s="7">
        <v>12</v>
      </c>
      <c r="U5" s="7">
        <v>8</v>
      </c>
      <c r="V5" s="7"/>
      <c r="W5" s="7"/>
      <c r="X5" s="7"/>
      <c r="Y5" s="7"/>
      <c r="Z5" s="7"/>
      <c r="AA5" s="7">
        <v>12</v>
      </c>
      <c r="AB5" s="7">
        <v>5</v>
      </c>
      <c r="AC5" s="7"/>
      <c r="AD5" s="7"/>
      <c r="AE5" s="7"/>
      <c r="AF5" s="8"/>
      <c r="AG5" s="4">
        <f t="shared" si="2"/>
        <v>81</v>
      </c>
    </row>
    <row r="6" spans="1:33" ht="18.75" x14ac:dyDescent="0.25">
      <c r="A6" s="41" t="s">
        <v>56</v>
      </c>
      <c r="B6" s="7">
        <v>13</v>
      </c>
      <c r="C6" s="7"/>
      <c r="D6" s="7"/>
      <c r="E6" s="7"/>
      <c r="F6" s="7">
        <v>16</v>
      </c>
      <c r="G6" s="7">
        <v>18</v>
      </c>
      <c r="H6" s="7"/>
      <c r="I6" s="7"/>
      <c r="J6" s="7"/>
      <c r="K6" s="7"/>
      <c r="L6" s="7"/>
      <c r="M6" s="7">
        <v>4</v>
      </c>
      <c r="N6" s="7">
        <v>13</v>
      </c>
      <c r="O6" s="7"/>
      <c r="P6" s="7"/>
      <c r="Q6" s="7"/>
      <c r="R6" s="7"/>
      <c r="S6" s="7"/>
      <c r="T6" s="7">
        <v>14</v>
      </c>
      <c r="U6" s="7">
        <v>12</v>
      </c>
      <c r="V6" s="7"/>
      <c r="W6" s="7"/>
      <c r="X6" s="7"/>
      <c r="Y6" s="7"/>
      <c r="Z6" s="7"/>
      <c r="AA6" s="7">
        <v>11</v>
      </c>
      <c r="AB6" s="7">
        <v>7</v>
      </c>
      <c r="AC6" s="7"/>
      <c r="AD6" s="7"/>
      <c r="AE6" s="7"/>
      <c r="AF6" s="8"/>
      <c r="AG6" s="4">
        <f t="shared" si="2"/>
        <v>108</v>
      </c>
    </row>
    <row r="7" spans="1:33" ht="18.75" x14ac:dyDescent="0.25">
      <c r="A7" s="41" t="s">
        <v>38</v>
      </c>
      <c r="B7" s="7">
        <v>9</v>
      </c>
      <c r="C7" s="7">
        <v>17</v>
      </c>
      <c r="D7" s="7">
        <v>12</v>
      </c>
      <c r="E7" s="7">
        <v>18</v>
      </c>
      <c r="F7" s="7">
        <v>18</v>
      </c>
      <c r="G7" s="7">
        <v>18</v>
      </c>
      <c r="H7" s="7">
        <v>8</v>
      </c>
      <c r="I7" s="7">
        <v>12</v>
      </c>
      <c r="J7" s="7">
        <v>13</v>
      </c>
      <c r="K7" s="7">
        <v>20</v>
      </c>
      <c r="L7" s="7">
        <v>12</v>
      </c>
      <c r="M7" s="7">
        <v>23</v>
      </c>
      <c r="N7" s="7">
        <v>20</v>
      </c>
      <c r="O7" s="7">
        <v>23</v>
      </c>
      <c r="P7" s="7">
        <v>5</v>
      </c>
      <c r="Q7" s="7">
        <v>9</v>
      </c>
      <c r="R7" s="7">
        <v>9</v>
      </c>
      <c r="S7" s="7">
        <v>11</v>
      </c>
      <c r="T7" s="7">
        <v>13</v>
      </c>
      <c r="U7" s="7">
        <v>13</v>
      </c>
      <c r="V7" s="7">
        <v>9</v>
      </c>
      <c r="W7" s="7">
        <v>5</v>
      </c>
      <c r="X7" s="7">
        <v>13</v>
      </c>
      <c r="Y7" s="7">
        <v>9</v>
      </c>
      <c r="Z7" s="7">
        <v>9</v>
      </c>
      <c r="AA7" s="7">
        <v>20</v>
      </c>
      <c r="AB7" s="7">
        <v>12</v>
      </c>
      <c r="AC7" s="7">
        <v>11</v>
      </c>
      <c r="AD7" s="7">
        <v>8</v>
      </c>
      <c r="AE7" s="7">
        <v>30</v>
      </c>
      <c r="AF7" s="8">
        <v>7</v>
      </c>
      <c r="AG7" s="4">
        <f t="shared" si="2"/>
        <v>416</v>
      </c>
    </row>
    <row r="8" spans="1:33" ht="18.75" x14ac:dyDescent="0.25">
      <c r="A8" s="41" t="s">
        <v>39</v>
      </c>
      <c r="B8" s="7">
        <v>9</v>
      </c>
      <c r="C8" s="7">
        <v>5</v>
      </c>
      <c r="D8" s="7">
        <v>7</v>
      </c>
      <c r="E8" s="7">
        <v>2</v>
      </c>
      <c r="F8" s="7">
        <v>22</v>
      </c>
      <c r="G8" s="7">
        <v>19</v>
      </c>
      <c r="H8" s="7">
        <v>6</v>
      </c>
      <c r="I8" s="7">
        <v>2</v>
      </c>
      <c r="J8" s="7">
        <v>7</v>
      </c>
      <c r="K8" s="7">
        <v>2</v>
      </c>
      <c r="L8" s="7">
        <v>5</v>
      </c>
      <c r="M8" s="7">
        <v>11</v>
      </c>
      <c r="N8" s="7">
        <v>18</v>
      </c>
      <c r="O8" s="7">
        <v>6</v>
      </c>
      <c r="P8" s="7">
        <v>6</v>
      </c>
      <c r="Q8" s="7">
        <v>9</v>
      </c>
      <c r="R8" s="7">
        <v>5</v>
      </c>
      <c r="S8" s="7">
        <v>3</v>
      </c>
      <c r="T8" s="7">
        <v>10</v>
      </c>
      <c r="U8" s="7">
        <v>8</v>
      </c>
      <c r="V8" s="7">
        <v>4</v>
      </c>
      <c r="W8" s="7">
        <v>3</v>
      </c>
      <c r="X8" s="7">
        <v>5</v>
      </c>
      <c r="Y8" s="7">
        <v>1</v>
      </c>
      <c r="Z8" s="7">
        <v>5</v>
      </c>
      <c r="AA8" s="7">
        <v>11</v>
      </c>
      <c r="AB8" s="7">
        <v>9</v>
      </c>
      <c r="AC8" s="7">
        <v>4</v>
      </c>
      <c r="AD8" s="7">
        <v>3</v>
      </c>
      <c r="AE8" s="7">
        <v>2</v>
      </c>
      <c r="AF8" s="8">
        <v>2</v>
      </c>
      <c r="AG8" s="4">
        <f t="shared" si="2"/>
        <v>211</v>
      </c>
    </row>
    <row r="9" spans="1:33" ht="18.75" x14ac:dyDescent="0.25">
      <c r="A9" s="41" t="s">
        <v>40</v>
      </c>
      <c r="B9" s="7">
        <v>14</v>
      </c>
      <c r="C9" s="7">
        <v>9</v>
      </c>
      <c r="D9" s="7">
        <v>5</v>
      </c>
      <c r="E9" s="7">
        <v>5</v>
      </c>
      <c r="F9" s="7">
        <v>7</v>
      </c>
      <c r="G9" s="7">
        <v>10</v>
      </c>
      <c r="H9" s="7">
        <v>10</v>
      </c>
      <c r="I9" s="7">
        <v>10</v>
      </c>
      <c r="J9" s="7">
        <v>7</v>
      </c>
      <c r="K9" s="7">
        <v>2</v>
      </c>
      <c r="L9" s="7">
        <v>4</v>
      </c>
      <c r="M9" s="7">
        <v>14</v>
      </c>
      <c r="N9" s="7">
        <v>10</v>
      </c>
      <c r="O9" s="7">
        <v>6</v>
      </c>
      <c r="P9" s="7">
        <v>5</v>
      </c>
      <c r="Q9" s="7">
        <v>6</v>
      </c>
      <c r="R9" s="7">
        <v>1</v>
      </c>
      <c r="S9" s="7">
        <v>2</v>
      </c>
      <c r="T9" s="7">
        <v>11</v>
      </c>
      <c r="U9" s="7">
        <v>13</v>
      </c>
      <c r="V9" s="7">
        <v>3</v>
      </c>
      <c r="W9" s="7">
        <v>1</v>
      </c>
      <c r="X9" s="7">
        <v>5</v>
      </c>
      <c r="Y9" s="7">
        <v>2</v>
      </c>
      <c r="Z9" s="7">
        <v>1</v>
      </c>
      <c r="AA9" s="7">
        <v>11</v>
      </c>
      <c r="AB9" s="7">
        <v>16</v>
      </c>
      <c r="AC9" s="7">
        <v>9</v>
      </c>
      <c r="AD9" s="7">
        <v>3</v>
      </c>
      <c r="AE9" s="7">
        <v>3</v>
      </c>
      <c r="AF9" s="8">
        <v>1</v>
      </c>
      <c r="AG9" s="4">
        <f t="shared" si="2"/>
        <v>206</v>
      </c>
    </row>
    <row r="10" spans="1:33" ht="18.75" x14ac:dyDescent="0.25">
      <c r="A10" s="41" t="s">
        <v>41</v>
      </c>
      <c r="B10" s="7">
        <v>8</v>
      </c>
      <c r="C10" s="7">
        <v>5</v>
      </c>
      <c r="D10" s="7">
        <v>2</v>
      </c>
      <c r="E10" s="7">
        <v>3</v>
      </c>
      <c r="F10" s="7">
        <v>11</v>
      </c>
      <c r="G10" s="7">
        <v>15</v>
      </c>
      <c r="H10" s="7">
        <v>7</v>
      </c>
      <c r="I10" s="7">
        <v>7</v>
      </c>
      <c r="J10" s="7">
        <v>3</v>
      </c>
      <c r="K10" s="7">
        <v>6</v>
      </c>
      <c r="L10" s="7">
        <v>4</v>
      </c>
      <c r="M10" s="7">
        <v>17</v>
      </c>
      <c r="N10" s="7">
        <v>13</v>
      </c>
      <c r="O10" s="7">
        <v>2</v>
      </c>
      <c r="P10" s="7">
        <v>1</v>
      </c>
      <c r="Q10" s="7">
        <v>5</v>
      </c>
      <c r="R10" s="7">
        <v>4</v>
      </c>
      <c r="S10" s="7">
        <v>2</v>
      </c>
      <c r="T10" s="7">
        <v>11</v>
      </c>
      <c r="U10" s="7">
        <v>23</v>
      </c>
      <c r="V10" s="7">
        <v>7</v>
      </c>
      <c r="W10" s="7">
        <v>5</v>
      </c>
      <c r="X10" s="7">
        <v>6</v>
      </c>
      <c r="Y10" s="7">
        <v>4</v>
      </c>
      <c r="Z10" s="7">
        <v>4</v>
      </c>
      <c r="AA10" s="7">
        <v>9</v>
      </c>
      <c r="AB10" s="7">
        <v>7</v>
      </c>
      <c r="AC10" s="7">
        <v>3</v>
      </c>
      <c r="AD10" s="7">
        <v>2</v>
      </c>
      <c r="AE10" s="7">
        <v>5</v>
      </c>
      <c r="AF10" s="8">
        <v>3</v>
      </c>
      <c r="AG10" s="4">
        <f t="shared" si="2"/>
        <v>204</v>
      </c>
    </row>
    <row r="11" spans="1:33" ht="18.75" x14ac:dyDescent="0.25">
      <c r="A11" s="41" t="s">
        <v>42</v>
      </c>
      <c r="B11" s="7">
        <v>11</v>
      </c>
      <c r="C11" s="7">
        <v>7</v>
      </c>
      <c r="D11" s="7">
        <v>4</v>
      </c>
      <c r="E11" s="7">
        <v>4</v>
      </c>
      <c r="F11" s="7">
        <v>23</v>
      </c>
      <c r="G11" s="7">
        <v>10</v>
      </c>
      <c r="H11" s="7">
        <v>4</v>
      </c>
      <c r="I11" s="7">
        <v>11</v>
      </c>
      <c r="J11" s="7">
        <v>9</v>
      </c>
      <c r="K11" s="7">
        <v>8</v>
      </c>
      <c r="L11" s="7">
        <v>2</v>
      </c>
      <c r="M11" s="7">
        <v>25</v>
      </c>
      <c r="N11" s="7">
        <v>14</v>
      </c>
      <c r="O11" s="7"/>
      <c r="P11" s="7"/>
      <c r="Q11" s="7">
        <v>4</v>
      </c>
      <c r="R11" s="7">
        <v>5</v>
      </c>
      <c r="S11" s="7">
        <v>2</v>
      </c>
      <c r="T11" s="7">
        <v>11</v>
      </c>
      <c r="U11" s="7">
        <v>11</v>
      </c>
      <c r="V11" s="7">
        <v>3</v>
      </c>
      <c r="W11" s="7">
        <v>1</v>
      </c>
      <c r="X11" s="7"/>
      <c r="Y11" s="7">
        <v>5</v>
      </c>
      <c r="Z11" s="7">
        <v>3</v>
      </c>
      <c r="AA11" s="7">
        <v>8</v>
      </c>
      <c r="AB11" s="7">
        <v>15</v>
      </c>
      <c r="AC11" s="7">
        <v>5</v>
      </c>
      <c r="AD11" s="7">
        <v>3</v>
      </c>
      <c r="AE11" s="7">
        <v>6</v>
      </c>
      <c r="AF11" s="8">
        <v>1</v>
      </c>
      <c r="AG11" s="4">
        <f t="shared" si="2"/>
        <v>215</v>
      </c>
    </row>
    <row r="12" spans="1:33" ht="18.75" x14ac:dyDescent="0.25">
      <c r="A12" s="41" t="s">
        <v>43</v>
      </c>
      <c r="B12" s="7">
        <v>9</v>
      </c>
      <c r="C12" s="7">
        <v>7</v>
      </c>
      <c r="D12" s="7">
        <v>1</v>
      </c>
      <c r="E12" s="7">
        <v>7</v>
      </c>
      <c r="F12" s="7">
        <v>11</v>
      </c>
      <c r="G12" s="7">
        <v>15</v>
      </c>
      <c r="H12" s="7"/>
      <c r="I12" s="7">
        <v>3</v>
      </c>
      <c r="J12" s="7">
        <v>3</v>
      </c>
      <c r="K12" s="7">
        <v>10</v>
      </c>
      <c r="L12" s="7"/>
      <c r="M12" s="7">
        <v>17</v>
      </c>
      <c r="N12" s="7">
        <v>14</v>
      </c>
      <c r="O12" s="7">
        <v>4</v>
      </c>
      <c r="P12" s="7">
        <v>4</v>
      </c>
      <c r="Q12" s="7">
        <v>2</v>
      </c>
      <c r="R12" s="7">
        <v>5</v>
      </c>
      <c r="S12" s="7">
        <v>8</v>
      </c>
      <c r="T12" s="7">
        <v>13</v>
      </c>
      <c r="U12" s="7">
        <v>8</v>
      </c>
      <c r="V12" s="7">
        <v>5</v>
      </c>
      <c r="W12" s="7">
        <v>3</v>
      </c>
      <c r="X12" s="7">
        <v>1</v>
      </c>
      <c r="Y12" s="7">
        <v>8</v>
      </c>
      <c r="Z12" s="7">
        <v>2</v>
      </c>
      <c r="AA12" s="7">
        <v>18</v>
      </c>
      <c r="AB12" s="7">
        <v>14</v>
      </c>
      <c r="AC12" s="7">
        <v>3</v>
      </c>
      <c r="AD12" s="7">
        <v>1</v>
      </c>
      <c r="AE12" s="7">
        <v>8</v>
      </c>
      <c r="AF12" s="8">
        <v>1</v>
      </c>
      <c r="AG12" s="4">
        <f t="shared" si="2"/>
        <v>205</v>
      </c>
    </row>
    <row r="13" spans="1:33" ht="18.75" x14ac:dyDescent="0.25">
      <c r="A13" s="41" t="s">
        <v>44</v>
      </c>
      <c r="B13" s="7">
        <v>19</v>
      </c>
      <c r="C13" s="7">
        <v>67</v>
      </c>
      <c r="D13" s="7">
        <v>63</v>
      </c>
      <c r="E13" s="7">
        <v>48</v>
      </c>
      <c r="F13" s="7">
        <v>24</v>
      </c>
      <c r="G13" s="7">
        <v>11</v>
      </c>
      <c r="H13" s="7">
        <v>56</v>
      </c>
      <c r="I13" s="7">
        <v>27</v>
      </c>
      <c r="J13" s="7">
        <v>40</v>
      </c>
      <c r="K13" s="7">
        <v>36</v>
      </c>
      <c r="L13" s="7">
        <v>49</v>
      </c>
      <c r="M13" s="7">
        <v>17</v>
      </c>
      <c r="N13" s="7">
        <v>22</v>
      </c>
      <c r="O13" s="7">
        <v>49</v>
      </c>
      <c r="P13" s="7">
        <v>34</v>
      </c>
      <c r="Q13" s="7">
        <v>33</v>
      </c>
      <c r="R13" s="7">
        <v>34</v>
      </c>
      <c r="S13" s="7">
        <v>31</v>
      </c>
      <c r="T13" s="7">
        <v>14</v>
      </c>
      <c r="U13" s="7">
        <v>13</v>
      </c>
      <c r="V13" s="7">
        <v>55</v>
      </c>
      <c r="W13" s="7">
        <v>38</v>
      </c>
      <c r="X13" s="7">
        <v>43</v>
      </c>
      <c r="Y13" s="7">
        <v>55</v>
      </c>
      <c r="Z13" s="7">
        <v>44</v>
      </c>
      <c r="AA13" s="7">
        <v>19</v>
      </c>
      <c r="AB13" s="7">
        <v>15</v>
      </c>
      <c r="AC13" s="7">
        <v>58</v>
      </c>
      <c r="AD13" s="7">
        <v>35</v>
      </c>
      <c r="AE13" s="7">
        <v>50</v>
      </c>
      <c r="AF13" s="8">
        <v>37</v>
      </c>
      <c r="AG13" s="4">
        <f t="shared" si="2"/>
        <v>1136</v>
      </c>
    </row>
    <row r="14" spans="1:33" ht="18.75" x14ac:dyDescent="0.25">
      <c r="A14" s="41" t="s">
        <v>45</v>
      </c>
      <c r="B14" s="7">
        <v>17</v>
      </c>
      <c r="C14" s="7">
        <v>25</v>
      </c>
      <c r="D14" s="7">
        <v>26</v>
      </c>
      <c r="E14" s="7">
        <v>14</v>
      </c>
      <c r="F14" s="7">
        <v>15</v>
      </c>
      <c r="G14" s="7">
        <v>17</v>
      </c>
      <c r="H14" s="7">
        <v>21</v>
      </c>
      <c r="I14" s="7">
        <v>17</v>
      </c>
      <c r="J14" s="7">
        <v>15</v>
      </c>
      <c r="K14" s="7">
        <v>19</v>
      </c>
      <c r="L14" s="7">
        <v>10</v>
      </c>
      <c r="M14" s="7">
        <v>20</v>
      </c>
      <c r="N14" s="7">
        <v>12</v>
      </c>
      <c r="O14" s="7">
        <v>21</v>
      </c>
      <c r="P14" s="7">
        <v>15</v>
      </c>
      <c r="Q14" s="7">
        <v>28</v>
      </c>
      <c r="R14" s="7">
        <v>24</v>
      </c>
      <c r="S14" s="7">
        <v>18</v>
      </c>
      <c r="T14" s="7">
        <v>10</v>
      </c>
      <c r="U14" s="7">
        <v>10</v>
      </c>
      <c r="V14" s="7">
        <v>20</v>
      </c>
      <c r="W14" s="7">
        <v>28</v>
      </c>
      <c r="X14" s="7">
        <v>29</v>
      </c>
      <c r="Y14" s="7">
        <v>17</v>
      </c>
      <c r="Z14" s="7">
        <v>19</v>
      </c>
      <c r="AA14" s="7">
        <v>16</v>
      </c>
      <c r="AB14" s="7">
        <v>16</v>
      </c>
      <c r="AC14" s="7">
        <v>26</v>
      </c>
      <c r="AD14" s="7">
        <v>19</v>
      </c>
      <c r="AE14" s="7">
        <v>22</v>
      </c>
      <c r="AF14" s="8">
        <v>15</v>
      </c>
      <c r="AG14" s="4">
        <f t="shared" si="2"/>
        <v>581</v>
      </c>
    </row>
    <row r="15" spans="1:33" ht="18.75" x14ac:dyDescent="0.25">
      <c r="A15" s="41" t="s">
        <v>46</v>
      </c>
      <c r="B15" s="7">
        <v>8</v>
      </c>
      <c r="C15" s="7">
        <v>24</v>
      </c>
      <c r="D15" s="7">
        <v>21</v>
      </c>
      <c r="E15" s="7">
        <v>10</v>
      </c>
      <c r="F15" s="7">
        <v>15</v>
      </c>
      <c r="G15" s="7">
        <v>19</v>
      </c>
      <c r="H15" s="7">
        <v>32</v>
      </c>
      <c r="I15" s="7">
        <v>16</v>
      </c>
      <c r="J15" s="7">
        <v>16</v>
      </c>
      <c r="K15" s="7">
        <v>14</v>
      </c>
      <c r="L15" s="7">
        <v>11</v>
      </c>
      <c r="M15" s="7">
        <v>14</v>
      </c>
      <c r="N15" s="7">
        <v>9</v>
      </c>
      <c r="O15" s="7">
        <v>13</v>
      </c>
      <c r="P15" s="7">
        <v>21</v>
      </c>
      <c r="Q15" s="7">
        <v>16</v>
      </c>
      <c r="R15" s="7">
        <v>23</v>
      </c>
      <c r="S15" s="7">
        <v>2</v>
      </c>
      <c r="T15" s="7">
        <v>16</v>
      </c>
      <c r="U15" s="7">
        <v>10</v>
      </c>
      <c r="V15" s="7">
        <v>27</v>
      </c>
      <c r="W15" s="7">
        <v>25</v>
      </c>
      <c r="X15" s="7">
        <v>20</v>
      </c>
      <c r="Y15" s="7">
        <v>16</v>
      </c>
      <c r="Z15" s="7">
        <v>18</v>
      </c>
      <c r="AA15" s="7">
        <v>21</v>
      </c>
      <c r="AB15" s="7">
        <v>16</v>
      </c>
      <c r="AC15" s="7">
        <v>19</v>
      </c>
      <c r="AD15" s="7">
        <v>22</v>
      </c>
      <c r="AE15" s="7">
        <v>10</v>
      </c>
      <c r="AF15" s="8">
        <v>8</v>
      </c>
      <c r="AG15" s="4">
        <f t="shared" si="2"/>
        <v>512</v>
      </c>
    </row>
    <row r="16" spans="1:33" ht="18.75" x14ac:dyDescent="0.25">
      <c r="A16" s="41" t="s">
        <v>47</v>
      </c>
      <c r="B16" s="7">
        <v>23</v>
      </c>
      <c r="C16" s="7">
        <v>23</v>
      </c>
      <c r="D16" s="7">
        <v>17</v>
      </c>
      <c r="E16" s="7">
        <v>17</v>
      </c>
      <c r="F16" s="7">
        <v>17</v>
      </c>
      <c r="G16" s="7">
        <v>17</v>
      </c>
      <c r="H16" s="7">
        <v>28</v>
      </c>
      <c r="I16" s="7">
        <v>19</v>
      </c>
      <c r="J16" s="7">
        <v>18</v>
      </c>
      <c r="K16" s="7">
        <v>19</v>
      </c>
      <c r="L16" s="7">
        <v>23</v>
      </c>
      <c r="M16" s="7">
        <v>7</v>
      </c>
      <c r="N16" s="7">
        <v>17</v>
      </c>
      <c r="O16" s="7">
        <v>17</v>
      </c>
      <c r="P16" s="7">
        <v>20</v>
      </c>
      <c r="Q16" s="7">
        <v>16</v>
      </c>
      <c r="R16" s="7">
        <v>14</v>
      </c>
      <c r="S16" s="7"/>
      <c r="T16" s="7">
        <v>20</v>
      </c>
      <c r="U16" s="7">
        <v>11</v>
      </c>
      <c r="V16" s="7">
        <v>23</v>
      </c>
      <c r="W16" s="7">
        <v>26</v>
      </c>
      <c r="X16" s="7">
        <v>14</v>
      </c>
      <c r="Y16" s="7">
        <v>7</v>
      </c>
      <c r="Z16" s="7">
        <v>16</v>
      </c>
      <c r="AA16" s="7">
        <v>11</v>
      </c>
      <c r="AB16" s="7">
        <v>7</v>
      </c>
      <c r="AC16" s="7">
        <v>22</v>
      </c>
      <c r="AD16" s="7">
        <v>17</v>
      </c>
      <c r="AE16" s="7">
        <v>18</v>
      </c>
      <c r="AF16" s="8">
        <v>11</v>
      </c>
      <c r="AG16" s="4">
        <f t="shared" si="2"/>
        <v>515</v>
      </c>
    </row>
    <row r="17" spans="1:33" ht="18.75" x14ac:dyDescent="0.25">
      <c r="A17" s="41" t="s">
        <v>48</v>
      </c>
      <c r="B17" s="7">
        <v>16</v>
      </c>
      <c r="C17" s="7">
        <v>17</v>
      </c>
      <c r="D17" s="7">
        <v>15</v>
      </c>
      <c r="E17" s="7">
        <v>22</v>
      </c>
      <c r="F17" s="7">
        <v>11</v>
      </c>
      <c r="G17" s="7">
        <v>16</v>
      </c>
      <c r="H17" s="7">
        <v>20</v>
      </c>
      <c r="I17" s="7">
        <v>10</v>
      </c>
      <c r="J17" s="7">
        <v>11</v>
      </c>
      <c r="K17" s="7">
        <v>16</v>
      </c>
      <c r="L17" s="7">
        <v>20</v>
      </c>
      <c r="M17" s="7">
        <v>15</v>
      </c>
      <c r="N17" s="7">
        <v>9</v>
      </c>
      <c r="O17" s="7">
        <v>23</v>
      </c>
      <c r="P17" s="7">
        <v>18</v>
      </c>
      <c r="Q17" s="7">
        <v>14</v>
      </c>
      <c r="R17" s="7">
        <v>18</v>
      </c>
      <c r="S17" s="7"/>
      <c r="T17" s="7">
        <v>10</v>
      </c>
      <c r="U17" s="7">
        <v>19</v>
      </c>
      <c r="V17" s="7">
        <v>21</v>
      </c>
      <c r="W17" s="7">
        <v>20</v>
      </c>
      <c r="X17" s="7">
        <v>17</v>
      </c>
      <c r="Y17" s="7">
        <v>18</v>
      </c>
      <c r="Z17" s="7">
        <v>15</v>
      </c>
      <c r="AA17" s="7">
        <v>18</v>
      </c>
      <c r="AB17" s="7">
        <v>15</v>
      </c>
      <c r="AC17" s="7">
        <v>22</v>
      </c>
      <c r="AD17" s="7">
        <v>11</v>
      </c>
      <c r="AE17" s="7">
        <v>22</v>
      </c>
      <c r="AF17" s="8">
        <v>22</v>
      </c>
      <c r="AG17" s="4">
        <f t="shared" si="2"/>
        <v>501</v>
      </c>
    </row>
    <row r="18" spans="1:33" ht="18.75" x14ac:dyDescent="0.25">
      <c r="A18" s="41" t="s">
        <v>49</v>
      </c>
      <c r="B18" s="7">
        <v>11</v>
      </c>
      <c r="C18" s="7">
        <v>11</v>
      </c>
      <c r="D18" s="7">
        <v>22</v>
      </c>
      <c r="E18" s="7">
        <v>19</v>
      </c>
      <c r="F18" s="7">
        <v>16</v>
      </c>
      <c r="G18" s="7">
        <v>12</v>
      </c>
      <c r="H18" s="7">
        <v>12</v>
      </c>
      <c r="I18" s="7">
        <v>10</v>
      </c>
      <c r="J18" s="7">
        <v>17</v>
      </c>
      <c r="K18" s="7">
        <v>14</v>
      </c>
      <c r="L18" s="7">
        <v>16</v>
      </c>
      <c r="M18" s="7">
        <v>11</v>
      </c>
      <c r="N18" s="7">
        <v>16</v>
      </c>
      <c r="O18" s="7">
        <v>20</v>
      </c>
      <c r="P18" s="7">
        <v>13</v>
      </c>
      <c r="Q18" s="7">
        <v>15</v>
      </c>
      <c r="R18" s="7">
        <v>18</v>
      </c>
      <c r="S18" s="7">
        <v>4</v>
      </c>
      <c r="T18" s="7">
        <v>13</v>
      </c>
      <c r="U18" s="7">
        <v>15</v>
      </c>
      <c r="V18" s="7">
        <v>18</v>
      </c>
      <c r="W18" s="7">
        <v>20</v>
      </c>
      <c r="X18" s="7">
        <v>23</v>
      </c>
      <c r="Y18" s="7">
        <v>21</v>
      </c>
      <c r="Z18" s="7">
        <v>20</v>
      </c>
      <c r="AA18" s="7">
        <v>22</v>
      </c>
      <c r="AB18" s="7">
        <v>17</v>
      </c>
      <c r="AC18" s="7">
        <v>20</v>
      </c>
      <c r="AD18" s="7">
        <v>19</v>
      </c>
      <c r="AE18" s="7">
        <v>16</v>
      </c>
      <c r="AF18" s="8">
        <v>8</v>
      </c>
      <c r="AG18" s="4">
        <f t="shared" si="2"/>
        <v>489</v>
      </c>
    </row>
    <row r="19" spans="1:33" ht="18.75" x14ac:dyDescent="0.25">
      <c r="A19" s="41" t="s">
        <v>50</v>
      </c>
      <c r="B19" s="7">
        <v>14</v>
      </c>
      <c r="C19" s="7">
        <v>8</v>
      </c>
      <c r="D19" s="7">
        <v>11</v>
      </c>
      <c r="E19" s="7">
        <v>14</v>
      </c>
      <c r="F19" s="7">
        <v>11</v>
      </c>
      <c r="G19" s="7">
        <v>13</v>
      </c>
      <c r="H19" s="7">
        <v>12</v>
      </c>
      <c r="I19" s="7">
        <v>7</v>
      </c>
      <c r="J19" s="7">
        <v>8</v>
      </c>
      <c r="K19" s="7">
        <v>15</v>
      </c>
      <c r="L19" s="7">
        <v>9</v>
      </c>
      <c r="M19" s="7">
        <v>10</v>
      </c>
      <c r="N19" s="7">
        <v>18</v>
      </c>
      <c r="O19" s="7">
        <v>14</v>
      </c>
      <c r="P19" s="7">
        <v>20</v>
      </c>
      <c r="Q19" s="7">
        <v>12</v>
      </c>
      <c r="R19" s="7">
        <v>9</v>
      </c>
      <c r="S19" s="7">
        <v>17</v>
      </c>
      <c r="T19" s="7">
        <v>9</v>
      </c>
      <c r="U19" s="7">
        <v>9</v>
      </c>
      <c r="V19" s="7">
        <v>13</v>
      </c>
      <c r="W19" s="7">
        <v>10</v>
      </c>
      <c r="X19" s="7">
        <v>9</v>
      </c>
      <c r="Y19" s="7">
        <v>13</v>
      </c>
      <c r="Z19" s="7">
        <v>19</v>
      </c>
      <c r="AA19" s="7">
        <v>17</v>
      </c>
      <c r="AB19" s="7">
        <v>10</v>
      </c>
      <c r="AC19" s="7">
        <v>16</v>
      </c>
      <c r="AD19" s="7">
        <v>11</v>
      </c>
      <c r="AE19" s="7">
        <v>14</v>
      </c>
      <c r="AF19" s="8">
        <v>17</v>
      </c>
      <c r="AG19" s="4">
        <f t="shared" si="2"/>
        <v>389</v>
      </c>
    </row>
    <row r="20" spans="1:33" ht="18.75" x14ac:dyDescent="0.25">
      <c r="A20" s="41" t="s">
        <v>33</v>
      </c>
      <c r="B20" s="7">
        <v>8</v>
      </c>
      <c r="C20" s="7">
        <v>1</v>
      </c>
      <c r="D20" s="7">
        <v>13</v>
      </c>
      <c r="E20" s="7">
        <v>5</v>
      </c>
      <c r="F20" s="7">
        <v>3</v>
      </c>
      <c r="G20" s="7">
        <v>2</v>
      </c>
      <c r="H20" s="7">
        <v>7</v>
      </c>
      <c r="I20" s="7">
        <v>4</v>
      </c>
      <c r="J20" s="7">
        <v>2</v>
      </c>
      <c r="K20" s="7">
        <v>5</v>
      </c>
      <c r="L20" s="7">
        <v>8</v>
      </c>
      <c r="M20" s="7">
        <v>8</v>
      </c>
      <c r="N20" s="7">
        <v>9</v>
      </c>
      <c r="O20" s="7">
        <v>6</v>
      </c>
      <c r="P20" s="7">
        <v>5</v>
      </c>
      <c r="Q20" s="7">
        <v>9</v>
      </c>
      <c r="R20" s="7">
        <v>6</v>
      </c>
      <c r="S20" s="7">
        <v>16</v>
      </c>
      <c r="T20" s="7">
        <v>12</v>
      </c>
      <c r="U20" s="7">
        <v>7</v>
      </c>
      <c r="V20" s="7">
        <v>6</v>
      </c>
      <c r="W20" s="7">
        <v>6</v>
      </c>
      <c r="X20" s="7">
        <v>7</v>
      </c>
      <c r="Y20" s="7">
        <v>11</v>
      </c>
      <c r="Z20" s="7">
        <v>8</v>
      </c>
      <c r="AA20" s="7">
        <v>6</v>
      </c>
      <c r="AB20" s="7">
        <v>6</v>
      </c>
      <c r="AC20" s="7">
        <v>7</v>
      </c>
      <c r="AD20" s="7">
        <v>7</v>
      </c>
      <c r="AE20" s="7">
        <v>6</v>
      </c>
      <c r="AF20" s="8">
        <v>18</v>
      </c>
      <c r="AG20" s="4">
        <f t="shared" si="2"/>
        <v>224</v>
      </c>
    </row>
    <row r="21" spans="1:33" ht="18.75" x14ac:dyDescent="0.25">
      <c r="A21" s="41" t="s">
        <v>34</v>
      </c>
      <c r="B21" s="7">
        <v>3</v>
      </c>
      <c r="C21" s="7">
        <v>5</v>
      </c>
      <c r="D21" s="7">
        <v>4</v>
      </c>
      <c r="E21" s="7">
        <v>9</v>
      </c>
      <c r="F21" s="7">
        <v>8</v>
      </c>
      <c r="G21" s="7">
        <v>6</v>
      </c>
      <c r="H21" s="7">
        <v>2</v>
      </c>
      <c r="I21" s="7">
        <v>3</v>
      </c>
      <c r="J21" s="7">
        <v>3</v>
      </c>
      <c r="K21" s="7">
        <v>4</v>
      </c>
      <c r="L21" s="7">
        <v>7</v>
      </c>
      <c r="M21" s="7">
        <v>4</v>
      </c>
      <c r="N21" s="7">
        <v>2</v>
      </c>
      <c r="O21" s="7">
        <v>5</v>
      </c>
      <c r="P21" s="7">
        <v>7</v>
      </c>
      <c r="Q21" s="7">
        <v>3</v>
      </c>
      <c r="R21" s="7">
        <v>5</v>
      </c>
      <c r="S21" s="7">
        <v>11</v>
      </c>
      <c r="T21" s="7">
        <v>4</v>
      </c>
      <c r="U21" s="7">
        <v>1</v>
      </c>
      <c r="V21" s="7">
        <v>9</v>
      </c>
      <c r="W21" s="7"/>
      <c r="X21" s="7">
        <v>3</v>
      </c>
      <c r="Y21" s="7">
        <v>4</v>
      </c>
      <c r="Z21" s="7">
        <v>6</v>
      </c>
      <c r="AA21" s="7">
        <v>7</v>
      </c>
      <c r="AB21" s="7">
        <v>4</v>
      </c>
      <c r="AC21" s="7">
        <v>2</v>
      </c>
      <c r="AD21" s="7">
        <v>2</v>
      </c>
      <c r="AE21" s="7">
        <v>5</v>
      </c>
      <c r="AF21" s="8">
        <v>9</v>
      </c>
      <c r="AG21" s="4">
        <f t="shared" si="2"/>
        <v>147</v>
      </c>
    </row>
    <row r="22" spans="1:33" ht="18.75" x14ac:dyDescent="0.25">
      <c r="A22" s="41" t="s">
        <v>35</v>
      </c>
      <c r="B22" s="7">
        <v>4</v>
      </c>
      <c r="C22" s="7">
        <v>10</v>
      </c>
      <c r="D22" s="7">
        <v>2</v>
      </c>
      <c r="E22" s="7">
        <v>3</v>
      </c>
      <c r="F22" s="7">
        <v>2</v>
      </c>
      <c r="G22" s="7"/>
      <c r="H22" s="7">
        <v>4</v>
      </c>
      <c r="I22" s="7">
        <v>2</v>
      </c>
      <c r="J22" s="7">
        <v>1</v>
      </c>
      <c r="K22" s="7">
        <v>3</v>
      </c>
      <c r="L22" s="7">
        <v>2</v>
      </c>
      <c r="M22" s="7">
        <v>3</v>
      </c>
      <c r="N22" s="7">
        <v>3</v>
      </c>
      <c r="O22" s="7">
        <v>2</v>
      </c>
      <c r="P22" s="7"/>
      <c r="Q22" s="7">
        <v>1</v>
      </c>
      <c r="R22" s="7">
        <v>5</v>
      </c>
      <c r="S22" s="7">
        <v>2</v>
      </c>
      <c r="T22" s="7">
        <v>6</v>
      </c>
      <c r="U22" s="7">
        <v>1</v>
      </c>
      <c r="V22" s="7">
        <v>1</v>
      </c>
      <c r="W22" s="7">
        <v>3</v>
      </c>
      <c r="X22" s="7">
        <v>2</v>
      </c>
      <c r="Y22" s="7">
        <v>2</v>
      </c>
      <c r="Z22" s="7"/>
      <c r="AA22" s="7">
        <v>2</v>
      </c>
      <c r="AB22" s="7">
        <v>1</v>
      </c>
      <c r="AC22" s="7">
        <v>3</v>
      </c>
      <c r="AD22" s="7">
        <v>5</v>
      </c>
      <c r="AE22" s="7">
        <v>3</v>
      </c>
      <c r="AF22" s="8">
        <v>1</v>
      </c>
      <c r="AG22" s="4">
        <f t="shared" si="2"/>
        <v>79</v>
      </c>
    </row>
    <row r="23" spans="1:33" ht="18.75" x14ac:dyDescent="0.25">
      <c r="A23" s="41" t="s">
        <v>36</v>
      </c>
      <c r="B23" s="7"/>
      <c r="C23" s="7">
        <v>2</v>
      </c>
      <c r="D23" s="7">
        <v>2</v>
      </c>
      <c r="E23" s="7">
        <v>1</v>
      </c>
      <c r="F23" s="7">
        <v>3</v>
      </c>
      <c r="G23" s="7">
        <v>3</v>
      </c>
      <c r="H23" s="7">
        <v>3</v>
      </c>
      <c r="I23" s="7">
        <v>1</v>
      </c>
      <c r="J23" s="7">
        <v>6</v>
      </c>
      <c r="K23" s="7">
        <v>2</v>
      </c>
      <c r="L23" s="7">
        <v>2</v>
      </c>
      <c r="M23" s="7">
        <v>2</v>
      </c>
      <c r="N23" s="7">
        <v>5</v>
      </c>
      <c r="O23" s="7">
        <v>2</v>
      </c>
      <c r="P23" s="7">
        <v>1</v>
      </c>
      <c r="Q23" s="7">
        <v>2</v>
      </c>
      <c r="R23" s="7">
        <v>2</v>
      </c>
      <c r="S23" s="7">
        <v>1</v>
      </c>
      <c r="T23" s="7"/>
      <c r="U23" s="7"/>
      <c r="V23" s="7">
        <v>1</v>
      </c>
      <c r="W23" s="7">
        <v>3</v>
      </c>
      <c r="X23" s="7">
        <v>1</v>
      </c>
      <c r="Y23" s="7">
        <v>1</v>
      </c>
      <c r="Z23" s="7">
        <v>2</v>
      </c>
      <c r="AA23" s="7"/>
      <c r="AB23" s="7">
        <v>1</v>
      </c>
      <c r="AC23" s="7">
        <v>1</v>
      </c>
      <c r="AD23" s="7"/>
      <c r="AE23" s="7"/>
      <c r="AF23" s="8">
        <v>3</v>
      </c>
      <c r="AG23" s="4">
        <f t="shared" si="2"/>
        <v>53</v>
      </c>
    </row>
    <row r="24" spans="1:33" ht="18.75" x14ac:dyDescent="0.25">
      <c r="A24" s="41" t="s">
        <v>51</v>
      </c>
      <c r="B24" s="7">
        <v>3</v>
      </c>
      <c r="C24" s="7">
        <v>1</v>
      </c>
      <c r="D24" s="7">
        <v>1</v>
      </c>
      <c r="E24" s="7">
        <v>2</v>
      </c>
      <c r="F24" s="7">
        <v>2</v>
      </c>
      <c r="G24" s="7"/>
      <c r="H24" s="7">
        <v>3</v>
      </c>
      <c r="I24" s="7">
        <v>2</v>
      </c>
      <c r="J24" s="7">
        <v>1</v>
      </c>
      <c r="K24" s="7">
        <v>1</v>
      </c>
      <c r="L24" s="7"/>
      <c r="M24" s="7"/>
      <c r="N24" s="7">
        <v>2</v>
      </c>
      <c r="O24" s="7"/>
      <c r="P24" s="7"/>
      <c r="Q24" s="7">
        <v>1</v>
      </c>
      <c r="R24" s="7">
        <v>2</v>
      </c>
      <c r="S24" s="7">
        <v>2</v>
      </c>
      <c r="T24" s="7">
        <v>5</v>
      </c>
      <c r="U24" s="7">
        <v>5</v>
      </c>
      <c r="V24" s="7"/>
      <c r="W24" s="7">
        <v>1</v>
      </c>
      <c r="X24" s="7"/>
      <c r="Y24" s="7"/>
      <c r="Z24" s="7">
        <v>2</v>
      </c>
      <c r="AA24" s="7">
        <v>2</v>
      </c>
      <c r="AB24" s="7">
        <v>3</v>
      </c>
      <c r="AC24" s="7">
        <v>1</v>
      </c>
      <c r="AD24" s="7"/>
      <c r="AE24" s="7"/>
      <c r="AF24" s="8">
        <v>3</v>
      </c>
      <c r="AG24" s="4">
        <f t="shared" si="2"/>
        <v>45</v>
      </c>
    </row>
    <row r="25" spans="1:33" ht="18.75" x14ac:dyDescent="0.25">
      <c r="A25" s="41" t="s">
        <v>52</v>
      </c>
      <c r="B25" s="7"/>
      <c r="C25" s="7"/>
      <c r="D25" s="7">
        <v>1</v>
      </c>
      <c r="E25" s="7">
        <v>3</v>
      </c>
      <c r="F25" s="7">
        <v>2</v>
      </c>
      <c r="G25" s="7">
        <v>1</v>
      </c>
      <c r="H25" s="7"/>
      <c r="I25" s="7">
        <v>1</v>
      </c>
      <c r="J25" s="7">
        <v>3</v>
      </c>
      <c r="K25" s="7">
        <v>1</v>
      </c>
      <c r="L25" s="7">
        <v>1</v>
      </c>
      <c r="M25" s="7">
        <v>2</v>
      </c>
      <c r="N25" s="7">
        <v>3</v>
      </c>
      <c r="O25" s="7">
        <v>2</v>
      </c>
      <c r="P25" s="7">
        <v>2</v>
      </c>
      <c r="Q25" s="7"/>
      <c r="R25" s="7">
        <v>4</v>
      </c>
      <c r="S25" s="7"/>
      <c r="T25" s="7"/>
      <c r="U25" s="7">
        <v>3</v>
      </c>
      <c r="V25" s="7">
        <v>1</v>
      </c>
      <c r="W25" s="7">
        <v>2</v>
      </c>
      <c r="X25" s="7">
        <v>1</v>
      </c>
      <c r="Y25" s="7"/>
      <c r="Z25" s="7">
        <v>1</v>
      </c>
      <c r="AA25" s="7">
        <v>3</v>
      </c>
      <c r="AB25" s="7">
        <v>1</v>
      </c>
      <c r="AC25" s="7">
        <v>1</v>
      </c>
      <c r="AD25" s="7"/>
      <c r="AE25" s="7">
        <v>1</v>
      </c>
      <c r="AF25" s="8"/>
      <c r="AG25" s="4">
        <f t="shared" si="2"/>
        <v>40</v>
      </c>
    </row>
    <row r="26" spans="1:33" ht="18.75" x14ac:dyDescent="0.25">
      <c r="A26" s="41" t="s">
        <v>37</v>
      </c>
      <c r="B26" s="7">
        <v>3</v>
      </c>
      <c r="C26" s="7">
        <v>1</v>
      </c>
      <c r="D26" s="7">
        <v>2</v>
      </c>
      <c r="E26" s="7">
        <v>2</v>
      </c>
      <c r="F26" s="7">
        <v>1</v>
      </c>
      <c r="G26" s="7">
        <v>2</v>
      </c>
      <c r="H26" s="7">
        <v>1</v>
      </c>
      <c r="I26" s="7">
        <v>1</v>
      </c>
      <c r="J26" s="7">
        <v>1</v>
      </c>
      <c r="K26" s="7"/>
      <c r="L26" s="7"/>
      <c r="M26" s="7">
        <v>2</v>
      </c>
      <c r="N26" s="7">
        <v>1</v>
      </c>
      <c r="O26" s="7">
        <v>1</v>
      </c>
      <c r="P26" s="7"/>
      <c r="Q26" s="7">
        <v>3</v>
      </c>
      <c r="R26" s="7">
        <v>1</v>
      </c>
      <c r="S26" s="7"/>
      <c r="T26" s="7"/>
      <c r="U26" s="7">
        <v>1</v>
      </c>
      <c r="V26" s="7">
        <v>1</v>
      </c>
      <c r="W26" s="7">
        <v>1</v>
      </c>
      <c r="X26" s="7">
        <v>1</v>
      </c>
      <c r="Y26" s="7">
        <v>3</v>
      </c>
      <c r="Z26" s="7">
        <v>1</v>
      </c>
      <c r="AA26" s="7">
        <v>3</v>
      </c>
      <c r="AB26" s="7">
        <v>2</v>
      </c>
      <c r="AC26" s="7">
        <v>1</v>
      </c>
      <c r="AD26" s="7"/>
      <c r="AE26" s="7">
        <v>2</v>
      </c>
      <c r="AF26" s="8">
        <v>1</v>
      </c>
      <c r="AG26" s="4">
        <f t="shared" si="2"/>
        <v>39</v>
      </c>
    </row>
    <row r="27" spans="1:33" ht="19.5" thickBot="1" x14ac:dyDescent="0.3">
      <c r="A27" s="81" t="s">
        <v>53</v>
      </c>
      <c r="B27" s="78">
        <v>2</v>
      </c>
      <c r="C27" s="78"/>
      <c r="D27" s="78">
        <v>2</v>
      </c>
      <c r="E27" s="78">
        <v>4</v>
      </c>
      <c r="F27" s="78">
        <v>4</v>
      </c>
      <c r="G27" s="78">
        <v>6</v>
      </c>
      <c r="H27" s="78"/>
      <c r="I27" s="78">
        <v>2</v>
      </c>
      <c r="J27" s="78"/>
      <c r="K27" s="78">
        <v>2</v>
      </c>
      <c r="L27" s="78">
        <v>4</v>
      </c>
      <c r="M27" s="78">
        <v>6</v>
      </c>
      <c r="N27" s="78"/>
      <c r="O27" s="78"/>
      <c r="P27" s="78">
        <v>1</v>
      </c>
      <c r="Q27" s="78"/>
      <c r="R27" s="78"/>
      <c r="S27" s="78">
        <v>3</v>
      </c>
      <c r="T27" s="78">
        <v>5</v>
      </c>
      <c r="U27" s="78">
        <v>2</v>
      </c>
      <c r="V27" s="78"/>
      <c r="W27" s="78"/>
      <c r="X27" s="78"/>
      <c r="Y27" s="78"/>
      <c r="Z27" s="78">
        <v>3</v>
      </c>
      <c r="AA27" s="78">
        <v>1</v>
      </c>
      <c r="AB27" s="78"/>
      <c r="AC27" s="78">
        <v>1</v>
      </c>
      <c r="AD27" s="78"/>
      <c r="AE27" s="78">
        <v>1</v>
      </c>
      <c r="AF27" s="83"/>
      <c r="AG27" s="4">
        <f t="shared" si="2"/>
        <v>49</v>
      </c>
    </row>
    <row r="28" spans="1:33" ht="18.75" x14ac:dyDescent="0.25">
      <c r="A28" s="79" t="s">
        <v>107</v>
      </c>
      <c r="B28" s="80">
        <f>SUM(B29:B52)</f>
        <v>207</v>
      </c>
      <c r="C28" s="80">
        <f t="shared" ref="C28:AF28" si="3">SUM(C29:C52)</f>
        <v>196</v>
      </c>
      <c r="D28" s="80">
        <f t="shared" si="3"/>
        <v>201</v>
      </c>
      <c r="E28" s="80">
        <f t="shared" si="3"/>
        <v>200</v>
      </c>
      <c r="F28" s="80">
        <f t="shared" si="3"/>
        <v>252</v>
      </c>
      <c r="G28" s="80">
        <f t="shared" si="3"/>
        <v>227</v>
      </c>
      <c r="H28" s="80">
        <f t="shared" si="3"/>
        <v>206</v>
      </c>
      <c r="I28" s="80">
        <f t="shared" si="3"/>
        <v>159</v>
      </c>
      <c r="J28" s="80">
        <f t="shared" si="3"/>
        <v>177</v>
      </c>
      <c r="K28" s="80">
        <f t="shared" si="3"/>
        <v>190</v>
      </c>
      <c r="L28" s="80">
        <f t="shared" si="3"/>
        <v>180</v>
      </c>
      <c r="M28" s="80">
        <f t="shared" si="3"/>
        <v>241</v>
      </c>
      <c r="N28" s="80">
        <f t="shared" si="3"/>
        <v>224</v>
      </c>
      <c r="O28" s="80">
        <f t="shared" si="3"/>
        <v>196</v>
      </c>
      <c r="P28" s="80">
        <f t="shared" si="3"/>
        <v>163</v>
      </c>
      <c r="Q28" s="80">
        <f t="shared" si="3"/>
        <v>177</v>
      </c>
      <c r="R28" s="80">
        <f t="shared" si="3"/>
        <v>176</v>
      </c>
      <c r="S28" s="80">
        <f t="shared" si="3"/>
        <v>106</v>
      </c>
      <c r="T28" s="80">
        <f t="shared" si="3"/>
        <v>209</v>
      </c>
      <c r="U28" s="80">
        <f t="shared" si="3"/>
        <v>198</v>
      </c>
      <c r="V28" s="80">
        <f t="shared" si="3"/>
        <v>203</v>
      </c>
      <c r="W28" s="80">
        <f t="shared" si="3"/>
        <v>190</v>
      </c>
      <c r="X28" s="80">
        <f t="shared" si="3"/>
        <v>164</v>
      </c>
      <c r="Y28" s="80">
        <f t="shared" si="3"/>
        <v>164</v>
      </c>
      <c r="Z28" s="80">
        <f t="shared" si="3"/>
        <v>183</v>
      </c>
      <c r="AA28" s="80">
        <f t="shared" si="3"/>
        <v>222</v>
      </c>
      <c r="AB28" s="80">
        <f t="shared" si="3"/>
        <v>198</v>
      </c>
      <c r="AC28" s="80">
        <f t="shared" si="3"/>
        <v>213</v>
      </c>
      <c r="AD28" s="80">
        <f t="shared" si="3"/>
        <v>161</v>
      </c>
      <c r="AE28" s="80">
        <f>SUM(AE29:AE52)</f>
        <v>192</v>
      </c>
      <c r="AF28" s="80">
        <f t="shared" si="3"/>
        <v>163</v>
      </c>
      <c r="AG28" s="150">
        <f t="shared" si="2"/>
        <v>5938</v>
      </c>
    </row>
    <row r="29" spans="1:33" ht="18.75" x14ac:dyDescent="0.25">
      <c r="A29" s="41" t="s">
        <v>54</v>
      </c>
      <c r="B29" s="7">
        <v>2</v>
      </c>
      <c r="C29" s="7"/>
      <c r="D29" s="7"/>
      <c r="E29" s="7">
        <v>2</v>
      </c>
      <c r="F29" s="7">
        <v>5</v>
      </c>
      <c r="G29" s="7">
        <v>1</v>
      </c>
      <c r="H29" s="7"/>
      <c r="I29" s="7"/>
      <c r="J29" s="7"/>
      <c r="K29" s="7"/>
      <c r="L29" s="7">
        <v>2</v>
      </c>
      <c r="M29" s="7">
        <v>4</v>
      </c>
      <c r="N29" s="7"/>
      <c r="O29" s="7"/>
      <c r="P29" s="7"/>
      <c r="Q29" s="7"/>
      <c r="R29" s="7"/>
      <c r="S29" s="7">
        <v>2</v>
      </c>
      <c r="T29" s="7">
        <v>6</v>
      </c>
      <c r="U29" s="7">
        <v>2</v>
      </c>
      <c r="V29" s="7"/>
      <c r="W29" s="7"/>
      <c r="X29" s="7"/>
      <c r="Y29" s="7"/>
      <c r="Z29" s="7">
        <v>3</v>
      </c>
      <c r="AA29" s="7">
        <v>3</v>
      </c>
      <c r="AB29" s="7">
        <v>5</v>
      </c>
      <c r="AC29" s="7"/>
      <c r="AD29" s="7"/>
      <c r="AE29" s="7"/>
      <c r="AF29" s="8"/>
      <c r="AG29" s="4">
        <f t="shared" si="2"/>
        <v>37</v>
      </c>
    </row>
    <row r="30" spans="1:33" ht="18.75" x14ac:dyDescent="0.25">
      <c r="A30" s="41" t="s">
        <v>55</v>
      </c>
      <c r="B30" s="7">
        <v>8</v>
      </c>
      <c r="C30" s="7"/>
      <c r="D30" s="7"/>
      <c r="E30" s="7">
        <v>1</v>
      </c>
      <c r="F30" s="7">
        <v>16</v>
      </c>
      <c r="G30" s="7">
        <v>5</v>
      </c>
      <c r="H30" s="7"/>
      <c r="I30" s="7"/>
      <c r="J30" s="7"/>
      <c r="K30" s="7"/>
      <c r="L30" s="7"/>
      <c r="M30" s="7">
        <v>5</v>
      </c>
      <c r="N30" s="7">
        <v>5</v>
      </c>
      <c r="O30" s="7"/>
      <c r="P30" s="7"/>
      <c r="Q30" s="7"/>
      <c r="R30" s="7"/>
      <c r="S30" s="7"/>
      <c r="T30" s="7">
        <v>6</v>
      </c>
      <c r="U30" s="7">
        <v>3</v>
      </c>
      <c r="V30" s="7"/>
      <c r="W30" s="7"/>
      <c r="X30" s="7"/>
      <c r="Y30" s="7"/>
      <c r="Z30" s="7"/>
      <c r="AA30" s="7">
        <v>8</v>
      </c>
      <c r="AB30" s="7">
        <v>5</v>
      </c>
      <c r="AC30" s="7"/>
      <c r="AD30" s="7"/>
      <c r="AE30" s="7"/>
      <c r="AF30" s="8"/>
      <c r="AG30" s="4">
        <f t="shared" si="2"/>
        <v>62</v>
      </c>
    </row>
    <row r="31" spans="1:33" ht="18.75" x14ac:dyDescent="0.25">
      <c r="A31" s="41" t="s">
        <v>56</v>
      </c>
      <c r="B31" s="7">
        <v>7</v>
      </c>
      <c r="C31" s="7"/>
      <c r="D31" s="7"/>
      <c r="E31" s="7"/>
      <c r="F31" s="7">
        <v>13</v>
      </c>
      <c r="G31" s="7">
        <v>11</v>
      </c>
      <c r="H31" s="7"/>
      <c r="I31" s="7"/>
      <c r="J31" s="7"/>
      <c r="K31" s="7"/>
      <c r="L31" s="7"/>
      <c r="M31" s="7">
        <v>11</v>
      </c>
      <c r="N31" s="7">
        <v>5</v>
      </c>
      <c r="O31" s="7"/>
      <c r="P31" s="7"/>
      <c r="Q31" s="7"/>
      <c r="R31" s="7"/>
      <c r="S31" s="7"/>
      <c r="T31" s="7">
        <v>10</v>
      </c>
      <c r="U31" s="7">
        <v>13</v>
      </c>
      <c r="V31" s="7"/>
      <c r="W31" s="7"/>
      <c r="X31" s="7"/>
      <c r="Y31" s="7"/>
      <c r="Z31" s="7"/>
      <c r="AA31" s="7">
        <v>8</v>
      </c>
      <c r="AB31" s="7">
        <v>7</v>
      </c>
      <c r="AC31" s="7"/>
      <c r="AD31" s="7"/>
      <c r="AE31" s="7"/>
      <c r="AF31" s="8"/>
      <c r="AG31" s="4">
        <f t="shared" si="2"/>
        <v>85</v>
      </c>
    </row>
    <row r="32" spans="1:33" ht="18.75" x14ac:dyDescent="0.25">
      <c r="A32" s="41" t="s">
        <v>38</v>
      </c>
      <c r="B32" s="7">
        <v>7</v>
      </c>
      <c r="C32" s="7">
        <v>16</v>
      </c>
      <c r="D32" s="7">
        <v>12</v>
      </c>
      <c r="E32" s="7">
        <v>4</v>
      </c>
      <c r="F32" s="7">
        <v>15</v>
      </c>
      <c r="G32" s="7">
        <v>10</v>
      </c>
      <c r="H32" s="7">
        <v>3</v>
      </c>
      <c r="I32" s="7">
        <v>3</v>
      </c>
      <c r="J32" s="7">
        <v>3</v>
      </c>
      <c r="K32" s="7">
        <v>2</v>
      </c>
      <c r="L32" s="7">
        <v>7</v>
      </c>
      <c r="M32" s="7">
        <v>8</v>
      </c>
      <c r="N32" s="7">
        <v>10</v>
      </c>
      <c r="O32" s="7">
        <v>3</v>
      </c>
      <c r="P32" s="7">
        <v>2</v>
      </c>
      <c r="Q32" s="7">
        <v>6</v>
      </c>
      <c r="R32" s="7">
        <v>3</v>
      </c>
      <c r="S32" s="7">
        <v>3</v>
      </c>
      <c r="T32" s="7">
        <v>13</v>
      </c>
      <c r="U32" s="7">
        <v>10</v>
      </c>
      <c r="V32" s="7">
        <v>3</v>
      </c>
      <c r="W32" s="7"/>
      <c r="X32" s="7">
        <v>9</v>
      </c>
      <c r="Y32" s="7">
        <v>7</v>
      </c>
      <c r="Z32" s="7">
        <v>6</v>
      </c>
      <c r="AA32" s="7">
        <v>10</v>
      </c>
      <c r="AB32" s="7">
        <v>9</v>
      </c>
      <c r="AC32" s="7">
        <v>9</v>
      </c>
      <c r="AD32" s="7">
        <v>7</v>
      </c>
      <c r="AE32" s="7">
        <v>6</v>
      </c>
      <c r="AF32" s="8">
        <v>4</v>
      </c>
      <c r="AG32" s="4">
        <f t="shared" si="2"/>
        <v>210</v>
      </c>
    </row>
    <row r="33" spans="1:33" ht="18.75" x14ac:dyDescent="0.25">
      <c r="A33" s="41" t="s">
        <v>39</v>
      </c>
      <c r="B33" s="7">
        <v>7</v>
      </c>
      <c r="C33" s="7">
        <v>5</v>
      </c>
      <c r="D33" s="7">
        <v>7</v>
      </c>
      <c r="E33" s="7">
        <v>4</v>
      </c>
      <c r="F33" s="7">
        <v>14</v>
      </c>
      <c r="G33" s="7">
        <v>10</v>
      </c>
      <c r="H33" s="7">
        <v>5</v>
      </c>
      <c r="I33" s="7">
        <v>7</v>
      </c>
      <c r="J33" s="7">
        <v>7</v>
      </c>
      <c r="K33" s="7">
        <v>7</v>
      </c>
      <c r="L33" s="7">
        <v>6</v>
      </c>
      <c r="M33" s="7">
        <v>15</v>
      </c>
      <c r="N33" s="7">
        <v>10</v>
      </c>
      <c r="O33" s="7">
        <v>4</v>
      </c>
      <c r="P33" s="7">
        <v>4</v>
      </c>
      <c r="Q33" s="7">
        <v>5</v>
      </c>
      <c r="R33" s="7">
        <v>5</v>
      </c>
      <c r="S33" s="7">
        <v>3</v>
      </c>
      <c r="T33" s="7">
        <v>13</v>
      </c>
      <c r="U33" s="7">
        <v>11</v>
      </c>
      <c r="V33" s="7">
        <v>7</v>
      </c>
      <c r="W33" s="7">
        <v>8</v>
      </c>
      <c r="X33" s="7">
        <v>8</v>
      </c>
      <c r="Y33" s="7">
        <v>3</v>
      </c>
      <c r="Z33" s="7">
        <v>8</v>
      </c>
      <c r="AA33" s="7">
        <v>14</v>
      </c>
      <c r="AB33" s="7">
        <v>9</v>
      </c>
      <c r="AC33" s="7">
        <v>5</v>
      </c>
      <c r="AD33" s="7">
        <v>4</v>
      </c>
      <c r="AE33" s="7">
        <v>11</v>
      </c>
      <c r="AF33" s="8">
        <v>5</v>
      </c>
      <c r="AG33" s="4">
        <f t="shared" si="2"/>
        <v>231</v>
      </c>
    </row>
    <row r="34" spans="1:33" ht="18.75" x14ac:dyDescent="0.25">
      <c r="A34" s="41" t="s">
        <v>40</v>
      </c>
      <c r="B34" s="7">
        <v>10</v>
      </c>
      <c r="C34" s="7">
        <v>6</v>
      </c>
      <c r="D34" s="7">
        <v>4</v>
      </c>
      <c r="E34" s="7">
        <v>1</v>
      </c>
      <c r="F34" s="7">
        <v>18</v>
      </c>
      <c r="G34" s="7">
        <v>16</v>
      </c>
      <c r="H34" s="7">
        <v>5</v>
      </c>
      <c r="I34" s="7"/>
      <c r="J34" s="7">
        <v>3</v>
      </c>
      <c r="K34" s="7">
        <v>4</v>
      </c>
      <c r="L34" s="7">
        <v>7</v>
      </c>
      <c r="M34" s="7">
        <v>13</v>
      </c>
      <c r="N34" s="7">
        <v>9</v>
      </c>
      <c r="O34" s="7">
        <v>3</v>
      </c>
      <c r="P34" s="7">
        <v>4</v>
      </c>
      <c r="Q34" s="7">
        <v>3</v>
      </c>
      <c r="R34" s="7">
        <v>6</v>
      </c>
      <c r="S34" s="7">
        <v>6</v>
      </c>
      <c r="T34" s="7">
        <v>9</v>
      </c>
      <c r="U34" s="7">
        <v>13</v>
      </c>
      <c r="V34" s="7">
        <v>3</v>
      </c>
      <c r="W34" s="7"/>
      <c r="X34" s="7">
        <v>5</v>
      </c>
      <c r="Y34" s="7"/>
      <c r="Z34" s="7">
        <v>1</v>
      </c>
      <c r="AA34" s="7">
        <v>17</v>
      </c>
      <c r="AB34" s="7">
        <v>8</v>
      </c>
      <c r="AC34" s="7">
        <v>3</v>
      </c>
      <c r="AD34" s="7">
        <v>1</v>
      </c>
      <c r="AE34" s="7">
        <v>6</v>
      </c>
      <c r="AF34" s="8">
        <v>1</v>
      </c>
      <c r="AG34" s="4">
        <f t="shared" si="2"/>
        <v>185</v>
      </c>
    </row>
    <row r="35" spans="1:33" ht="18.75" x14ac:dyDescent="0.25">
      <c r="A35" s="41" t="s">
        <v>41</v>
      </c>
      <c r="B35" s="7">
        <v>17</v>
      </c>
      <c r="C35" s="7">
        <v>4</v>
      </c>
      <c r="D35" s="7">
        <v>1</v>
      </c>
      <c r="E35" s="7">
        <v>2</v>
      </c>
      <c r="F35" s="7">
        <v>14</v>
      </c>
      <c r="G35" s="7">
        <v>15</v>
      </c>
      <c r="H35" s="7">
        <v>3</v>
      </c>
      <c r="I35" s="7">
        <v>4</v>
      </c>
      <c r="J35" s="7">
        <v>8</v>
      </c>
      <c r="K35" s="7">
        <v>5</v>
      </c>
      <c r="L35" s="7">
        <v>3</v>
      </c>
      <c r="M35" s="7">
        <v>12</v>
      </c>
      <c r="N35" s="7">
        <v>10</v>
      </c>
      <c r="O35" s="7">
        <v>6</v>
      </c>
      <c r="P35" s="7">
        <v>7</v>
      </c>
      <c r="Q35" s="7">
        <v>6</v>
      </c>
      <c r="R35" s="7">
        <v>2</v>
      </c>
      <c r="S35" s="7"/>
      <c r="T35" s="7">
        <v>9</v>
      </c>
      <c r="U35" s="7">
        <v>11</v>
      </c>
      <c r="V35" s="7">
        <v>4</v>
      </c>
      <c r="W35" s="7">
        <v>3</v>
      </c>
      <c r="X35" s="7">
        <v>7</v>
      </c>
      <c r="Y35" s="7">
        <v>5</v>
      </c>
      <c r="Z35" s="7">
        <v>3</v>
      </c>
      <c r="AA35" s="7">
        <v>7</v>
      </c>
      <c r="AB35" s="7">
        <v>10</v>
      </c>
      <c r="AC35" s="7">
        <v>9</v>
      </c>
      <c r="AD35" s="7">
        <v>3</v>
      </c>
      <c r="AE35" s="7">
        <v>12</v>
      </c>
      <c r="AF35" s="8">
        <v>3</v>
      </c>
      <c r="AG35" s="4">
        <f t="shared" si="2"/>
        <v>205</v>
      </c>
    </row>
    <row r="36" spans="1:33" ht="18.75" x14ac:dyDescent="0.25">
      <c r="A36" s="41" t="s">
        <v>42</v>
      </c>
      <c r="B36" s="7">
        <v>12</v>
      </c>
      <c r="C36" s="7">
        <v>3</v>
      </c>
      <c r="D36" s="7">
        <v>4</v>
      </c>
      <c r="E36" s="7">
        <v>5</v>
      </c>
      <c r="F36" s="7">
        <v>12</v>
      </c>
      <c r="G36" s="7">
        <v>13</v>
      </c>
      <c r="H36" s="7">
        <v>8</v>
      </c>
      <c r="I36" s="7">
        <v>6</v>
      </c>
      <c r="J36" s="7">
        <v>8</v>
      </c>
      <c r="K36" s="7">
        <v>5</v>
      </c>
      <c r="L36" s="7">
        <v>8</v>
      </c>
      <c r="M36" s="7">
        <v>22</v>
      </c>
      <c r="N36" s="7">
        <v>20</v>
      </c>
      <c r="O36" s="7">
        <v>7</v>
      </c>
      <c r="P36" s="7"/>
      <c r="Q36" s="7">
        <v>3</v>
      </c>
      <c r="R36" s="7">
        <v>3</v>
      </c>
      <c r="S36" s="7">
        <v>5</v>
      </c>
      <c r="T36" s="7">
        <v>14</v>
      </c>
      <c r="U36" s="7">
        <v>15</v>
      </c>
      <c r="V36" s="7">
        <v>5</v>
      </c>
      <c r="W36" s="7">
        <v>4</v>
      </c>
      <c r="X36" s="7"/>
      <c r="Y36" s="7">
        <v>4</v>
      </c>
      <c r="Z36" s="7">
        <v>2</v>
      </c>
      <c r="AA36" s="7">
        <v>14</v>
      </c>
      <c r="AB36" s="7">
        <v>11</v>
      </c>
      <c r="AC36" s="7">
        <v>5</v>
      </c>
      <c r="AD36" s="7">
        <v>3</v>
      </c>
      <c r="AE36" s="7">
        <v>7</v>
      </c>
      <c r="AF36" s="8">
        <v>1</v>
      </c>
      <c r="AG36" s="4">
        <f t="shared" si="2"/>
        <v>229</v>
      </c>
    </row>
    <row r="37" spans="1:33" ht="18.75" x14ac:dyDescent="0.25">
      <c r="A37" s="41" t="s">
        <v>43</v>
      </c>
      <c r="B37" s="7">
        <v>9</v>
      </c>
      <c r="C37" s="7">
        <v>7</v>
      </c>
      <c r="D37" s="7">
        <v>1</v>
      </c>
      <c r="E37" s="7">
        <v>4</v>
      </c>
      <c r="F37" s="7">
        <v>20</v>
      </c>
      <c r="G37" s="7">
        <v>11</v>
      </c>
      <c r="H37" s="7">
        <v>6</v>
      </c>
      <c r="I37" s="7">
        <v>5</v>
      </c>
      <c r="J37" s="7">
        <v>8</v>
      </c>
      <c r="K37" s="7">
        <v>8</v>
      </c>
      <c r="L37" s="7"/>
      <c r="M37" s="7">
        <v>30</v>
      </c>
      <c r="N37" s="7">
        <v>12</v>
      </c>
      <c r="O37" s="7">
        <v>6</v>
      </c>
      <c r="P37" s="7">
        <v>4</v>
      </c>
      <c r="Q37" s="7">
        <v>7</v>
      </c>
      <c r="R37" s="7">
        <v>7</v>
      </c>
      <c r="S37" s="7">
        <v>3</v>
      </c>
      <c r="T37" s="7">
        <v>15</v>
      </c>
      <c r="U37" s="7">
        <v>15</v>
      </c>
      <c r="V37" s="7">
        <v>6</v>
      </c>
      <c r="W37" s="7">
        <v>3</v>
      </c>
      <c r="X37" s="7">
        <v>1</v>
      </c>
      <c r="Y37" s="7">
        <v>5</v>
      </c>
      <c r="Z37" s="7">
        <v>3</v>
      </c>
      <c r="AA37" s="7">
        <v>14</v>
      </c>
      <c r="AB37" s="7">
        <v>15</v>
      </c>
      <c r="AC37" s="7">
        <v>3</v>
      </c>
      <c r="AD37" s="7">
        <v>2</v>
      </c>
      <c r="AE37" s="7">
        <v>2</v>
      </c>
      <c r="AF37" s="8">
        <v>1</v>
      </c>
      <c r="AG37" s="4">
        <f t="shared" si="2"/>
        <v>233</v>
      </c>
    </row>
    <row r="38" spans="1:33" ht="18.75" x14ac:dyDescent="0.25">
      <c r="A38" s="41" t="s">
        <v>44</v>
      </c>
      <c r="B38" s="7">
        <v>11</v>
      </c>
      <c r="C38" s="7">
        <v>59</v>
      </c>
      <c r="D38" s="7">
        <v>55</v>
      </c>
      <c r="E38" s="7">
        <v>12</v>
      </c>
      <c r="F38" s="7">
        <v>8</v>
      </c>
      <c r="G38" s="7">
        <v>17</v>
      </c>
      <c r="H38" s="7">
        <v>8</v>
      </c>
      <c r="I38" s="7">
        <v>9</v>
      </c>
      <c r="J38" s="7">
        <v>12</v>
      </c>
      <c r="K38" s="7">
        <v>13</v>
      </c>
      <c r="L38" s="7">
        <v>5</v>
      </c>
      <c r="M38" s="7">
        <v>17</v>
      </c>
      <c r="N38" s="7">
        <v>17</v>
      </c>
      <c r="O38" s="7">
        <v>8</v>
      </c>
      <c r="P38" s="7">
        <v>13</v>
      </c>
      <c r="Q38" s="7">
        <v>11</v>
      </c>
      <c r="R38" s="7">
        <v>12</v>
      </c>
      <c r="S38" s="7">
        <v>10</v>
      </c>
      <c r="T38" s="7">
        <v>11</v>
      </c>
      <c r="U38" s="7">
        <v>11</v>
      </c>
      <c r="V38" s="7">
        <v>13</v>
      </c>
      <c r="W38" s="7">
        <v>13</v>
      </c>
      <c r="X38" s="7">
        <v>8</v>
      </c>
      <c r="Y38" s="7">
        <v>16</v>
      </c>
      <c r="Z38" s="7">
        <v>16</v>
      </c>
      <c r="AA38" s="7">
        <v>17</v>
      </c>
      <c r="AB38" s="7">
        <v>16</v>
      </c>
      <c r="AC38" s="7">
        <v>10</v>
      </c>
      <c r="AD38" s="7">
        <v>9</v>
      </c>
      <c r="AE38" s="7">
        <v>12</v>
      </c>
      <c r="AF38" s="8">
        <v>5</v>
      </c>
      <c r="AG38" s="4">
        <f t="shared" si="2"/>
        <v>454</v>
      </c>
    </row>
    <row r="39" spans="1:33" ht="18.75" x14ac:dyDescent="0.25">
      <c r="A39" s="41" t="s">
        <v>45</v>
      </c>
      <c r="B39" s="7">
        <v>17</v>
      </c>
      <c r="C39" s="7">
        <v>15</v>
      </c>
      <c r="D39" s="7">
        <v>17</v>
      </c>
      <c r="E39" s="7">
        <v>19</v>
      </c>
      <c r="F39" s="7">
        <v>18</v>
      </c>
      <c r="G39" s="7">
        <v>21</v>
      </c>
      <c r="H39" s="7">
        <v>18</v>
      </c>
      <c r="I39" s="7">
        <v>23</v>
      </c>
      <c r="J39" s="7">
        <v>19</v>
      </c>
      <c r="K39" s="7">
        <v>21</v>
      </c>
      <c r="L39" s="7">
        <v>14</v>
      </c>
      <c r="M39" s="7">
        <v>15</v>
      </c>
      <c r="N39" s="7">
        <v>22</v>
      </c>
      <c r="O39" s="7">
        <v>16</v>
      </c>
      <c r="P39" s="7">
        <v>28</v>
      </c>
      <c r="Q39" s="7">
        <v>18</v>
      </c>
      <c r="R39" s="7">
        <v>16</v>
      </c>
      <c r="S39" s="7">
        <v>17</v>
      </c>
      <c r="T39" s="7">
        <v>11</v>
      </c>
      <c r="U39" s="7">
        <v>7</v>
      </c>
      <c r="V39" s="7">
        <v>27</v>
      </c>
      <c r="W39" s="7">
        <v>30</v>
      </c>
      <c r="X39" s="7">
        <v>18</v>
      </c>
      <c r="Y39" s="7">
        <v>18</v>
      </c>
      <c r="Z39" s="7">
        <v>23</v>
      </c>
      <c r="AA39" s="7">
        <v>11</v>
      </c>
      <c r="AB39" s="7">
        <v>14</v>
      </c>
      <c r="AC39" s="7">
        <v>20</v>
      </c>
      <c r="AD39" s="7">
        <v>22</v>
      </c>
      <c r="AE39" s="7">
        <v>24</v>
      </c>
      <c r="AF39" s="8">
        <v>18</v>
      </c>
      <c r="AG39" s="4">
        <f t="shared" si="2"/>
        <v>577</v>
      </c>
    </row>
    <row r="40" spans="1:33" ht="18.75" x14ac:dyDescent="0.25">
      <c r="A40" s="41" t="s">
        <v>46</v>
      </c>
      <c r="B40" s="7">
        <v>14</v>
      </c>
      <c r="C40" s="7">
        <v>17</v>
      </c>
      <c r="D40" s="7">
        <v>16</v>
      </c>
      <c r="E40" s="7">
        <v>27</v>
      </c>
      <c r="F40" s="7">
        <v>17</v>
      </c>
      <c r="G40" s="7">
        <v>11</v>
      </c>
      <c r="H40" s="7">
        <v>19</v>
      </c>
      <c r="I40" s="7">
        <v>27</v>
      </c>
      <c r="J40" s="7">
        <v>20</v>
      </c>
      <c r="K40" s="7">
        <v>19</v>
      </c>
      <c r="L40" s="7">
        <v>22</v>
      </c>
      <c r="M40" s="7">
        <v>13</v>
      </c>
      <c r="N40" s="7">
        <v>12</v>
      </c>
      <c r="O40" s="7">
        <v>22</v>
      </c>
      <c r="P40" s="7">
        <v>20</v>
      </c>
      <c r="Q40" s="7">
        <v>26</v>
      </c>
      <c r="R40" s="7">
        <v>20</v>
      </c>
      <c r="S40" s="7">
        <v>4</v>
      </c>
      <c r="T40" s="7">
        <v>12</v>
      </c>
      <c r="U40" s="7">
        <v>16</v>
      </c>
      <c r="V40" s="7">
        <v>31</v>
      </c>
      <c r="W40" s="7">
        <v>25</v>
      </c>
      <c r="X40" s="7">
        <v>18</v>
      </c>
      <c r="Y40" s="7">
        <v>17</v>
      </c>
      <c r="Z40" s="7">
        <v>26</v>
      </c>
      <c r="AA40" s="7">
        <v>13</v>
      </c>
      <c r="AB40" s="7">
        <v>14</v>
      </c>
      <c r="AC40" s="7">
        <v>19</v>
      </c>
      <c r="AD40" s="7">
        <v>18</v>
      </c>
      <c r="AE40" s="7">
        <v>15</v>
      </c>
      <c r="AF40" s="8">
        <v>22</v>
      </c>
      <c r="AG40" s="4">
        <f t="shared" si="2"/>
        <v>572</v>
      </c>
    </row>
    <row r="41" spans="1:33" ht="18.75" x14ac:dyDescent="0.25">
      <c r="A41" s="41" t="s">
        <v>47</v>
      </c>
      <c r="B41" s="7">
        <v>16</v>
      </c>
      <c r="C41" s="7">
        <v>15</v>
      </c>
      <c r="D41" s="7">
        <v>15</v>
      </c>
      <c r="E41" s="7">
        <v>27</v>
      </c>
      <c r="F41" s="7">
        <v>13</v>
      </c>
      <c r="G41" s="7">
        <v>13</v>
      </c>
      <c r="H41" s="7">
        <v>37</v>
      </c>
      <c r="I41" s="7">
        <v>21</v>
      </c>
      <c r="J41" s="7">
        <v>18</v>
      </c>
      <c r="K41" s="7">
        <v>28</v>
      </c>
      <c r="L41" s="7">
        <v>25</v>
      </c>
      <c r="M41" s="7">
        <v>11</v>
      </c>
      <c r="N41" s="7">
        <v>15</v>
      </c>
      <c r="O41" s="7">
        <v>32</v>
      </c>
      <c r="P41" s="7">
        <v>21</v>
      </c>
      <c r="Q41" s="7">
        <v>24</v>
      </c>
      <c r="R41" s="7">
        <v>17</v>
      </c>
      <c r="S41" s="7"/>
      <c r="T41" s="7">
        <v>14</v>
      </c>
      <c r="U41" s="7">
        <v>7</v>
      </c>
      <c r="V41" s="7">
        <v>33</v>
      </c>
      <c r="W41" s="7">
        <v>26</v>
      </c>
      <c r="X41" s="7">
        <v>15</v>
      </c>
      <c r="Y41" s="7">
        <v>17</v>
      </c>
      <c r="Z41" s="7">
        <v>9</v>
      </c>
      <c r="AA41" s="7">
        <v>15</v>
      </c>
      <c r="AB41" s="7">
        <v>9</v>
      </c>
      <c r="AC41" s="7">
        <v>32</v>
      </c>
      <c r="AD41" s="7">
        <v>22</v>
      </c>
      <c r="AE41" s="7">
        <v>17</v>
      </c>
      <c r="AF41" s="8">
        <v>15</v>
      </c>
      <c r="AG41" s="4">
        <f t="shared" si="2"/>
        <v>579</v>
      </c>
    </row>
    <row r="42" spans="1:33" ht="18.75" x14ac:dyDescent="0.25">
      <c r="A42" s="41" t="s">
        <v>48</v>
      </c>
      <c r="B42" s="7">
        <v>19</v>
      </c>
      <c r="C42" s="7">
        <v>12</v>
      </c>
      <c r="D42" s="7">
        <v>15</v>
      </c>
      <c r="E42" s="7">
        <v>19</v>
      </c>
      <c r="F42" s="7">
        <v>11</v>
      </c>
      <c r="G42" s="7">
        <v>15</v>
      </c>
      <c r="H42" s="7">
        <v>30</v>
      </c>
      <c r="I42" s="7">
        <v>19</v>
      </c>
      <c r="J42" s="7">
        <v>25</v>
      </c>
      <c r="K42" s="7">
        <v>21</v>
      </c>
      <c r="L42" s="7">
        <v>20</v>
      </c>
      <c r="M42" s="7">
        <v>13</v>
      </c>
      <c r="N42" s="7">
        <v>20</v>
      </c>
      <c r="O42" s="7">
        <v>24</v>
      </c>
      <c r="P42" s="7">
        <v>23</v>
      </c>
      <c r="Q42" s="7">
        <v>17</v>
      </c>
      <c r="R42" s="7">
        <v>20</v>
      </c>
      <c r="S42" s="7"/>
      <c r="T42" s="7">
        <v>13</v>
      </c>
      <c r="U42" s="7">
        <v>18</v>
      </c>
      <c r="V42" s="7">
        <v>25</v>
      </c>
      <c r="W42" s="7">
        <v>23</v>
      </c>
      <c r="X42" s="7">
        <v>15</v>
      </c>
      <c r="Y42" s="7">
        <v>15</v>
      </c>
      <c r="Z42" s="7">
        <v>17</v>
      </c>
      <c r="AA42" s="7">
        <v>11</v>
      </c>
      <c r="AB42" s="7">
        <v>18</v>
      </c>
      <c r="AC42" s="7">
        <v>36</v>
      </c>
      <c r="AD42" s="7">
        <v>21</v>
      </c>
      <c r="AE42" s="7">
        <v>18</v>
      </c>
      <c r="AF42" s="8">
        <v>11</v>
      </c>
      <c r="AG42" s="4">
        <f t="shared" si="2"/>
        <v>564</v>
      </c>
    </row>
    <row r="43" spans="1:33" ht="18.75" x14ac:dyDescent="0.25">
      <c r="A43" s="41" t="s">
        <v>49</v>
      </c>
      <c r="B43" s="7">
        <v>11</v>
      </c>
      <c r="C43" s="7">
        <v>10</v>
      </c>
      <c r="D43" s="7">
        <v>18</v>
      </c>
      <c r="E43" s="7">
        <v>18</v>
      </c>
      <c r="F43" s="7">
        <v>10</v>
      </c>
      <c r="G43" s="7">
        <v>10</v>
      </c>
      <c r="H43" s="7">
        <v>20</v>
      </c>
      <c r="I43" s="7">
        <v>9</v>
      </c>
      <c r="J43" s="7">
        <v>10</v>
      </c>
      <c r="K43" s="7">
        <v>14</v>
      </c>
      <c r="L43" s="7">
        <v>23</v>
      </c>
      <c r="M43" s="7">
        <v>7</v>
      </c>
      <c r="N43" s="7">
        <v>9</v>
      </c>
      <c r="O43" s="7">
        <v>23</v>
      </c>
      <c r="P43" s="7">
        <v>6</v>
      </c>
      <c r="Q43" s="7">
        <v>12</v>
      </c>
      <c r="R43" s="7">
        <v>19</v>
      </c>
      <c r="S43" s="7">
        <v>4</v>
      </c>
      <c r="T43" s="7">
        <v>10</v>
      </c>
      <c r="U43" s="7">
        <v>10</v>
      </c>
      <c r="V43" s="7">
        <v>15</v>
      </c>
      <c r="W43" s="7">
        <v>15</v>
      </c>
      <c r="X43" s="7">
        <v>23</v>
      </c>
      <c r="Y43" s="7">
        <v>15</v>
      </c>
      <c r="Z43" s="7">
        <v>12</v>
      </c>
      <c r="AA43" s="7">
        <v>7</v>
      </c>
      <c r="AB43" s="7">
        <v>9</v>
      </c>
      <c r="AC43" s="7">
        <v>13</v>
      </c>
      <c r="AD43" s="7">
        <v>20</v>
      </c>
      <c r="AE43" s="7">
        <v>17</v>
      </c>
      <c r="AF43" s="8">
        <v>22</v>
      </c>
      <c r="AG43" s="4">
        <f t="shared" si="2"/>
        <v>421</v>
      </c>
    </row>
    <row r="44" spans="1:33" ht="18.75" x14ac:dyDescent="0.25">
      <c r="A44" s="41" t="s">
        <v>50</v>
      </c>
      <c r="B44" s="7">
        <v>14</v>
      </c>
      <c r="C44" s="7">
        <v>8</v>
      </c>
      <c r="D44" s="7">
        <v>9</v>
      </c>
      <c r="E44" s="7">
        <v>16</v>
      </c>
      <c r="F44" s="7">
        <v>13</v>
      </c>
      <c r="G44" s="7">
        <v>13</v>
      </c>
      <c r="H44" s="7">
        <v>20</v>
      </c>
      <c r="I44" s="7">
        <v>8</v>
      </c>
      <c r="J44" s="7">
        <v>13</v>
      </c>
      <c r="K44" s="7">
        <v>16</v>
      </c>
      <c r="L44" s="7">
        <v>12</v>
      </c>
      <c r="M44" s="7">
        <v>11</v>
      </c>
      <c r="N44" s="7">
        <v>19</v>
      </c>
      <c r="O44" s="7">
        <v>19</v>
      </c>
      <c r="P44" s="7">
        <v>7</v>
      </c>
      <c r="Q44" s="7">
        <v>11</v>
      </c>
      <c r="R44" s="7">
        <v>15</v>
      </c>
      <c r="S44" s="7">
        <v>10</v>
      </c>
      <c r="T44" s="7">
        <v>9</v>
      </c>
      <c r="U44" s="7">
        <v>12</v>
      </c>
      <c r="V44" s="7">
        <v>9</v>
      </c>
      <c r="W44" s="7">
        <v>6</v>
      </c>
      <c r="X44" s="7">
        <v>8</v>
      </c>
      <c r="Y44" s="7">
        <v>13</v>
      </c>
      <c r="Z44" s="7">
        <v>16</v>
      </c>
      <c r="AA44" s="7">
        <v>14</v>
      </c>
      <c r="AB44" s="7">
        <v>8</v>
      </c>
      <c r="AC44" s="7">
        <v>14</v>
      </c>
      <c r="AD44" s="7">
        <v>6</v>
      </c>
      <c r="AE44" s="7">
        <v>10</v>
      </c>
      <c r="AF44" s="8">
        <v>16</v>
      </c>
      <c r="AG44" s="4">
        <f t="shared" si="2"/>
        <v>375</v>
      </c>
    </row>
    <row r="45" spans="1:33" ht="18.75" x14ac:dyDescent="0.25">
      <c r="A45" s="41" t="s">
        <v>33</v>
      </c>
      <c r="B45" s="7">
        <v>11</v>
      </c>
      <c r="C45" s="7">
        <v>1</v>
      </c>
      <c r="D45" s="7">
        <v>13</v>
      </c>
      <c r="E45" s="7">
        <v>13</v>
      </c>
      <c r="F45" s="7">
        <v>10</v>
      </c>
      <c r="G45" s="7">
        <v>11</v>
      </c>
      <c r="H45" s="7">
        <v>7</v>
      </c>
      <c r="I45" s="7">
        <v>4</v>
      </c>
      <c r="J45" s="7">
        <v>8</v>
      </c>
      <c r="K45" s="7">
        <v>9</v>
      </c>
      <c r="L45" s="7">
        <v>6</v>
      </c>
      <c r="M45" s="7">
        <v>11</v>
      </c>
      <c r="N45" s="7">
        <v>12</v>
      </c>
      <c r="O45" s="7">
        <v>10</v>
      </c>
      <c r="P45" s="7">
        <v>1</v>
      </c>
      <c r="Q45" s="7">
        <v>11</v>
      </c>
      <c r="R45" s="7">
        <v>10</v>
      </c>
      <c r="S45" s="7">
        <v>8</v>
      </c>
      <c r="T45" s="7">
        <v>11</v>
      </c>
      <c r="U45" s="7">
        <v>9</v>
      </c>
      <c r="V45" s="7">
        <v>4</v>
      </c>
      <c r="W45" s="7">
        <v>6</v>
      </c>
      <c r="X45" s="7">
        <v>8</v>
      </c>
      <c r="Y45" s="7">
        <v>10</v>
      </c>
      <c r="Z45" s="7">
        <v>9</v>
      </c>
      <c r="AA45" s="7">
        <v>8</v>
      </c>
      <c r="AB45" s="7">
        <v>10</v>
      </c>
      <c r="AC45" s="7">
        <v>6</v>
      </c>
      <c r="AD45" s="7">
        <v>3</v>
      </c>
      <c r="AE45" s="7">
        <v>9</v>
      </c>
      <c r="AF45" s="8">
        <v>8</v>
      </c>
      <c r="AG45" s="4">
        <f t="shared" si="2"/>
        <v>257</v>
      </c>
    </row>
    <row r="46" spans="1:33" ht="18.75" x14ac:dyDescent="0.25">
      <c r="A46" s="41" t="s">
        <v>34</v>
      </c>
      <c r="B46" s="7">
        <v>6</v>
      </c>
      <c r="C46" s="7">
        <v>5</v>
      </c>
      <c r="D46" s="7">
        <v>4</v>
      </c>
      <c r="E46" s="7">
        <v>10</v>
      </c>
      <c r="F46" s="7">
        <v>8</v>
      </c>
      <c r="G46" s="7">
        <v>4</v>
      </c>
      <c r="H46" s="7">
        <v>6</v>
      </c>
      <c r="I46" s="7">
        <v>4</v>
      </c>
      <c r="J46" s="7">
        <v>3</v>
      </c>
      <c r="K46" s="7">
        <v>7</v>
      </c>
      <c r="L46" s="7">
        <v>10</v>
      </c>
      <c r="M46" s="7">
        <v>7</v>
      </c>
      <c r="N46" s="7">
        <v>3</v>
      </c>
      <c r="O46" s="7">
        <v>6</v>
      </c>
      <c r="P46" s="7">
        <v>6</v>
      </c>
      <c r="Q46" s="7">
        <v>9</v>
      </c>
      <c r="R46" s="7">
        <v>6</v>
      </c>
      <c r="S46" s="7">
        <v>14</v>
      </c>
      <c r="T46" s="7">
        <v>12</v>
      </c>
      <c r="U46" s="7">
        <v>5</v>
      </c>
      <c r="V46" s="7">
        <v>4</v>
      </c>
      <c r="W46" s="7">
        <v>9</v>
      </c>
      <c r="X46" s="7">
        <v>7</v>
      </c>
      <c r="Y46" s="7">
        <v>9</v>
      </c>
      <c r="Z46" s="7">
        <v>9</v>
      </c>
      <c r="AA46" s="7">
        <v>7</v>
      </c>
      <c r="AB46" s="7">
        <v>6</v>
      </c>
      <c r="AC46" s="7">
        <v>19</v>
      </c>
      <c r="AD46" s="7">
        <v>7</v>
      </c>
      <c r="AE46" s="7">
        <v>9</v>
      </c>
      <c r="AF46" s="8">
        <v>10</v>
      </c>
      <c r="AG46" s="4">
        <f t="shared" si="2"/>
        <v>231</v>
      </c>
    </row>
    <row r="47" spans="1:33" ht="18.75" x14ac:dyDescent="0.25">
      <c r="A47" s="41" t="s">
        <v>35</v>
      </c>
      <c r="B47" s="7">
        <v>2</v>
      </c>
      <c r="C47" s="7">
        <v>10</v>
      </c>
      <c r="D47" s="7">
        <v>2</v>
      </c>
      <c r="E47" s="7">
        <v>6</v>
      </c>
      <c r="F47" s="7">
        <v>7</v>
      </c>
      <c r="G47" s="7">
        <v>6</v>
      </c>
      <c r="H47" s="7">
        <v>1</v>
      </c>
      <c r="I47" s="7">
        <v>2</v>
      </c>
      <c r="J47" s="7">
        <v>1</v>
      </c>
      <c r="K47" s="7">
        <v>5</v>
      </c>
      <c r="L47" s="7">
        <v>4</v>
      </c>
      <c r="M47" s="7">
        <v>6</v>
      </c>
      <c r="N47" s="7">
        <v>1</v>
      </c>
      <c r="O47" s="7">
        <v>1</v>
      </c>
      <c r="P47" s="7">
        <v>7</v>
      </c>
      <c r="Q47" s="7">
        <v>2</v>
      </c>
      <c r="R47" s="7">
        <v>3</v>
      </c>
      <c r="S47" s="7">
        <v>10</v>
      </c>
      <c r="T47" s="7">
        <v>4</v>
      </c>
      <c r="U47" s="7"/>
      <c r="V47" s="7">
        <v>6</v>
      </c>
      <c r="W47" s="7">
        <v>7</v>
      </c>
      <c r="X47" s="7">
        <v>10</v>
      </c>
      <c r="Y47" s="7">
        <v>6</v>
      </c>
      <c r="Z47" s="7">
        <v>11</v>
      </c>
      <c r="AA47" s="7">
        <v>7</v>
      </c>
      <c r="AB47" s="7">
        <v>5</v>
      </c>
      <c r="AC47" s="7">
        <v>3</v>
      </c>
      <c r="AD47" s="7">
        <v>8</v>
      </c>
      <c r="AE47" s="7">
        <v>10</v>
      </c>
      <c r="AF47" s="8">
        <v>11</v>
      </c>
      <c r="AG47" s="4">
        <f t="shared" si="2"/>
        <v>164</v>
      </c>
    </row>
    <row r="48" spans="1:33" ht="18.75" x14ac:dyDescent="0.25">
      <c r="A48" s="41" t="s">
        <v>36</v>
      </c>
      <c r="B48" s="7">
        <v>2</v>
      </c>
      <c r="C48" s="7">
        <v>2</v>
      </c>
      <c r="D48" s="7">
        <v>2</v>
      </c>
      <c r="E48" s="7">
        <v>2</v>
      </c>
      <c r="F48" s="7">
        <v>3</v>
      </c>
      <c r="G48" s="7">
        <v>5</v>
      </c>
      <c r="H48" s="7">
        <v>4</v>
      </c>
      <c r="I48" s="7">
        <v>2</v>
      </c>
      <c r="J48" s="7">
        <v>4</v>
      </c>
      <c r="K48" s="7">
        <v>2</v>
      </c>
      <c r="L48" s="7">
        <v>3</v>
      </c>
      <c r="M48" s="7">
        <v>3</v>
      </c>
      <c r="N48" s="7">
        <v>4</v>
      </c>
      <c r="O48" s="7">
        <v>3</v>
      </c>
      <c r="P48" s="7">
        <v>7</v>
      </c>
      <c r="Q48" s="7">
        <v>2</v>
      </c>
      <c r="R48" s="7">
        <v>5</v>
      </c>
      <c r="S48" s="7">
        <v>4</v>
      </c>
      <c r="T48" s="7">
        <v>3</v>
      </c>
      <c r="U48" s="7">
        <v>1</v>
      </c>
      <c r="V48" s="7">
        <v>5</v>
      </c>
      <c r="W48" s="7">
        <v>7</v>
      </c>
      <c r="X48" s="7">
        <v>1</v>
      </c>
      <c r="Y48" s="7">
        <v>1</v>
      </c>
      <c r="Z48" s="7">
        <v>5</v>
      </c>
      <c r="AA48" s="7">
        <v>6</v>
      </c>
      <c r="AB48" s="7">
        <v>4</v>
      </c>
      <c r="AC48" s="7">
        <v>3</v>
      </c>
      <c r="AD48" s="7">
        <v>5</v>
      </c>
      <c r="AE48" s="7">
        <v>3</v>
      </c>
      <c r="AF48" s="8">
        <v>6</v>
      </c>
      <c r="AG48" s="4">
        <f t="shared" si="2"/>
        <v>109</v>
      </c>
    </row>
    <row r="49" spans="1:33" ht="18.75" x14ac:dyDescent="0.25">
      <c r="A49" s="41" t="s">
        <v>51</v>
      </c>
      <c r="B49" s="7">
        <v>3</v>
      </c>
      <c r="C49" s="7"/>
      <c r="D49" s="7">
        <v>1</v>
      </c>
      <c r="E49" s="7"/>
      <c r="F49" s="7">
        <v>3</v>
      </c>
      <c r="G49" s="7">
        <v>1</v>
      </c>
      <c r="H49" s="7">
        <v>4</v>
      </c>
      <c r="I49" s="7"/>
      <c r="J49" s="7">
        <v>3</v>
      </c>
      <c r="K49" s="7">
        <v>1</v>
      </c>
      <c r="L49" s="7"/>
      <c r="M49" s="7"/>
      <c r="N49" s="7">
        <v>5</v>
      </c>
      <c r="O49" s="7"/>
      <c r="P49" s="7"/>
      <c r="Q49" s="7">
        <v>1</v>
      </c>
      <c r="R49" s="7">
        <v>1</v>
      </c>
      <c r="S49" s="7">
        <v>2</v>
      </c>
      <c r="T49" s="7">
        <v>3</v>
      </c>
      <c r="U49" s="7">
        <v>3</v>
      </c>
      <c r="V49" s="7">
        <v>1</v>
      </c>
      <c r="W49" s="7">
        <v>2</v>
      </c>
      <c r="X49" s="7">
        <v>1</v>
      </c>
      <c r="Y49" s="7"/>
      <c r="Z49" s="7"/>
      <c r="AA49" s="7">
        <v>4</v>
      </c>
      <c r="AB49" s="7">
        <v>4</v>
      </c>
      <c r="AC49" s="7"/>
      <c r="AD49" s="7"/>
      <c r="AE49" s="7"/>
      <c r="AF49" s="8">
        <v>2</v>
      </c>
      <c r="AG49" s="4">
        <f t="shared" si="2"/>
        <v>45</v>
      </c>
    </row>
    <row r="50" spans="1:33" ht="18.75" x14ac:dyDescent="0.25">
      <c r="A50" s="41" t="s">
        <v>52</v>
      </c>
      <c r="B50" s="7"/>
      <c r="C50" s="7"/>
      <c r="D50" s="7">
        <v>1</v>
      </c>
      <c r="E50" s="7">
        <v>4</v>
      </c>
      <c r="F50" s="7">
        <v>1</v>
      </c>
      <c r="G50" s="7"/>
      <c r="H50" s="7">
        <v>1</v>
      </c>
      <c r="I50" s="7">
        <v>2</v>
      </c>
      <c r="J50" s="7">
        <v>2</v>
      </c>
      <c r="K50" s="7">
        <v>1</v>
      </c>
      <c r="L50" s="7">
        <v>1</v>
      </c>
      <c r="M50" s="7">
        <v>1</v>
      </c>
      <c r="N50" s="7">
        <v>3</v>
      </c>
      <c r="O50" s="7">
        <v>1</v>
      </c>
      <c r="P50" s="7">
        <v>2</v>
      </c>
      <c r="Q50" s="7"/>
      <c r="R50" s="7">
        <v>2</v>
      </c>
      <c r="S50" s="7"/>
      <c r="T50" s="7"/>
      <c r="U50" s="7">
        <v>2</v>
      </c>
      <c r="V50" s="7">
        <v>1</v>
      </c>
      <c r="W50" s="7"/>
      <c r="X50" s="7"/>
      <c r="Y50" s="7"/>
      <c r="Z50" s="7">
        <v>3</v>
      </c>
      <c r="AA50" s="7">
        <v>2</v>
      </c>
      <c r="AB50" s="7"/>
      <c r="AC50" s="7">
        <v>2</v>
      </c>
      <c r="AD50" s="7"/>
      <c r="AE50" s="7">
        <v>1</v>
      </c>
      <c r="AF50" s="8">
        <v>1</v>
      </c>
      <c r="AG50" s="4">
        <f t="shared" si="2"/>
        <v>34</v>
      </c>
    </row>
    <row r="51" spans="1:33" ht="18.75" x14ac:dyDescent="0.25">
      <c r="A51" s="41" t="s">
        <v>37</v>
      </c>
      <c r="B51" s="7">
        <v>1</v>
      </c>
      <c r="C51" s="7">
        <v>1</v>
      </c>
      <c r="D51" s="7">
        <v>2</v>
      </c>
      <c r="E51" s="7">
        <v>3</v>
      </c>
      <c r="F51" s="7"/>
      <c r="G51" s="7">
        <v>2</v>
      </c>
      <c r="H51" s="7"/>
      <c r="I51" s="7">
        <v>2</v>
      </c>
      <c r="J51" s="7">
        <v>1</v>
      </c>
      <c r="K51" s="7"/>
      <c r="L51" s="7"/>
      <c r="M51" s="7">
        <v>3</v>
      </c>
      <c r="N51" s="7">
        <v>1</v>
      </c>
      <c r="O51" s="7">
        <v>2</v>
      </c>
      <c r="P51" s="7"/>
      <c r="Q51" s="7">
        <v>3</v>
      </c>
      <c r="R51" s="7">
        <v>3</v>
      </c>
      <c r="S51" s="7"/>
      <c r="T51" s="7"/>
      <c r="U51" s="7">
        <v>3</v>
      </c>
      <c r="V51" s="7"/>
      <c r="W51" s="7">
        <v>2</v>
      </c>
      <c r="X51" s="7">
        <v>2</v>
      </c>
      <c r="Y51" s="7">
        <v>3</v>
      </c>
      <c r="Z51" s="7">
        <v>1</v>
      </c>
      <c r="AA51" s="7">
        <v>4</v>
      </c>
      <c r="AB51" s="7"/>
      <c r="AC51" s="7">
        <v>1</v>
      </c>
      <c r="AD51" s="7"/>
      <c r="AE51" s="7"/>
      <c r="AF51" s="8"/>
      <c r="AG51" s="4">
        <f t="shared" si="2"/>
        <v>40</v>
      </c>
    </row>
    <row r="52" spans="1:33" ht="19.5" thickBot="1" x14ac:dyDescent="0.3">
      <c r="A52" s="77" t="s">
        <v>53</v>
      </c>
      <c r="B52" s="9">
        <v>1</v>
      </c>
      <c r="C52" s="9"/>
      <c r="D52" s="9">
        <v>2</v>
      </c>
      <c r="E52" s="9">
        <v>1</v>
      </c>
      <c r="F52" s="9">
        <v>3</v>
      </c>
      <c r="G52" s="9">
        <v>6</v>
      </c>
      <c r="H52" s="9">
        <v>1</v>
      </c>
      <c r="I52" s="9">
        <v>2</v>
      </c>
      <c r="J52" s="9">
        <v>1</v>
      </c>
      <c r="K52" s="9">
        <v>2</v>
      </c>
      <c r="L52" s="9">
        <v>2</v>
      </c>
      <c r="M52" s="9">
        <v>3</v>
      </c>
      <c r="N52" s="9"/>
      <c r="O52" s="9"/>
      <c r="P52" s="9">
        <v>1</v>
      </c>
      <c r="Q52" s="9"/>
      <c r="R52" s="9">
        <v>1</v>
      </c>
      <c r="S52" s="9">
        <v>1</v>
      </c>
      <c r="T52" s="9">
        <v>1</v>
      </c>
      <c r="U52" s="9">
        <v>1</v>
      </c>
      <c r="V52" s="9">
        <v>1</v>
      </c>
      <c r="W52" s="9">
        <v>1</v>
      </c>
      <c r="X52" s="9"/>
      <c r="Y52" s="9"/>
      <c r="Z52" s="9"/>
      <c r="AA52" s="9">
        <v>1</v>
      </c>
      <c r="AB52" s="9">
        <v>2</v>
      </c>
      <c r="AC52" s="9">
        <v>1</v>
      </c>
      <c r="AD52" s="9"/>
      <c r="AE52" s="9">
        <v>3</v>
      </c>
      <c r="AF52" s="10">
        <v>1</v>
      </c>
      <c r="AG52" s="108">
        <f t="shared" si="2"/>
        <v>39</v>
      </c>
    </row>
    <row r="53" spans="1:33" ht="19.5" thickBot="1" x14ac:dyDescent="0.3">
      <c r="A53" s="136" t="s">
        <v>108</v>
      </c>
      <c r="B53" s="135">
        <f t="shared" ref="B53:AF53" si="4">SUM(B54:B77)</f>
        <v>8</v>
      </c>
      <c r="C53" s="135">
        <f t="shared" si="4"/>
        <v>49</v>
      </c>
      <c r="D53" s="135">
        <f t="shared" si="4"/>
        <v>32</v>
      </c>
      <c r="E53" s="135">
        <f t="shared" si="4"/>
        <v>12</v>
      </c>
      <c r="F53" s="135">
        <f t="shared" si="4"/>
        <v>12</v>
      </c>
      <c r="G53" s="135">
        <f t="shared" si="4"/>
        <v>16</v>
      </c>
      <c r="H53" s="135">
        <f t="shared" si="4"/>
        <v>30</v>
      </c>
      <c r="I53" s="135">
        <f t="shared" si="4"/>
        <v>8</v>
      </c>
      <c r="J53" s="135">
        <f t="shared" si="4"/>
        <v>7</v>
      </c>
      <c r="K53" s="135">
        <f t="shared" si="4"/>
        <v>9</v>
      </c>
      <c r="L53" s="135">
        <f t="shared" si="4"/>
        <v>9</v>
      </c>
      <c r="M53" s="135">
        <f t="shared" si="4"/>
        <v>5</v>
      </c>
      <c r="N53" s="135">
        <f t="shared" si="4"/>
        <v>20</v>
      </c>
      <c r="O53" s="135">
        <f t="shared" si="4"/>
        <v>20</v>
      </c>
      <c r="P53" s="135">
        <f t="shared" si="4"/>
        <v>15</v>
      </c>
      <c r="Q53" s="135">
        <f t="shared" si="4"/>
        <v>11</v>
      </c>
      <c r="R53" s="135">
        <f t="shared" si="4"/>
        <v>18</v>
      </c>
      <c r="S53" s="135">
        <f t="shared" si="4"/>
        <v>29</v>
      </c>
      <c r="T53" s="135">
        <f t="shared" si="4"/>
        <v>14</v>
      </c>
      <c r="U53" s="135">
        <f t="shared" si="4"/>
        <v>9</v>
      </c>
      <c r="V53" s="135">
        <f t="shared" si="4"/>
        <v>24</v>
      </c>
      <c r="W53" s="135">
        <f t="shared" si="4"/>
        <v>11</v>
      </c>
      <c r="X53" s="135">
        <f t="shared" si="4"/>
        <v>36</v>
      </c>
      <c r="Y53" s="135">
        <f t="shared" si="4"/>
        <v>33</v>
      </c>
      <c r="Z53" s="135">
        <f t="shared" si="4"/>
        <v>15</v>
      </c>
      <c r="AA53" s="135">
        <f t="shared" si="4"/>
        <v>32</v>
      </c>
      <c r="AB53" s="135">
        <f t="shared" si="4"/>
        <v>9</v>
      </c>
      <c r="AC53" s="135">
        <f t="shared" si="4"/>
        <v>22</v>
      </c>
      <c r="AD53" s="135">
        <f t="shared" si="4"/>
        <v>7</v>
      </c>
      <c r="AE53" s="135">
        <f t="shared" si="4"/>
        <v>32</v>
      </c>
      <c r="AF53" s="135">
        <f t="shared" si="4"/>
        <v>5</v>
      </c>
      <c r="AG53" s="116">
        <f t="shared" si="2"/>
        <v>559</v>
      </c>
    </row>
    <row r="54" spans="1:33" ht="18.75" x14ac:dyDescent="0.25">
      <c r="A54" s="113" t="s">
        <v>54</v>
      </c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>
        <v>1</v>
      </c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1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0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>
        <v>1</v>
      </c>
      <c r="N56" s="7"/>
      <c r="O56" s="7"/>
      <c r="P56" s="7"/>
      <c r="Q56" s="7"/>
      <c r="R56" s="7"/>
      <c r="S56" s="7"/>
      <c r="T56" s="7">
        <v>1</v>
      </c>
      <c r="U56" s="7">
        <v>1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3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2</v>
      </c>
      <c r="O57" s="7"/>
      <c r="P57" s="7"/>
      <c r="Q57" s="7"/>
      <c r="R57" s="7"/>
      <c r="S57" s="7"/>
      <c r="T57" s="7">
        <v>1</v>
      </c>
      <c r="U57" s="7"/>
      <c r="V57" s="7"/>
      <c r="W57" s="7"/>
      <c r="X57" s="7"/>
      <c r="Y57" s="7"/>
      <c r="Z57" s="7"/>
      <c r="AA57" s="7">
        <v>2</v>
      </c>
      <c r="AB57" s="7"/>
      <c r="AC57" s="7"/>
      <c r="AD57" s="7"/>
      <c r="AE57" s="7"/>
      <c r="AF57" s="8"/>
      <c r="AG57" s="4">
        <f t="shared" si="2"/>
        <v>5</v>
      </c>
    </row>
    <row r="58" spans="1:33" ht="18.75" x14ac:dyDescent="0.25">
      <c r="A58" s="41" t="s">
        <v>39</v>
      </c>
      <c r="B58" s="7"/>
      <c r="C58" s="7">
        <v>1</v>
      </c>
      <c r="D58" s="7"/>
      <c r="E58" s="7"/>
      <c r="F58" s="7"/>
      <c r="G58" s="7">
        <v>1</v>
      </c>
      <c r="H58" s="7"/>
      <c r="I58" s="7"/>
      <c r="J58" s="7"/>
      <c r="K58" s="7"/>
      <c r="L58" s="7"/>
      <c r="M58" s="7"/>
      <c r="N58" s="7">
        <v>1</v>
      </c>
      <c r="O58" s="7">
        <v>1</v>
      </c>
      <c r="P58" s="7"/>
      <c r="Q58" s="7"/>
      <c r="R58" s="7"/>
      <c r="S58" s="7"/>
      <c r="T58" s="7"/>
      <c r="U58" s="7"/>
      <c r="V58" s="7">
        <v>1</v>
      </c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5</v>
      </c>
    </row>
    <row r="59" spans="1:33" ht="18.75" x14ac:dyDescent="0.25">
      <c r="A59" s="41" t="s">
        <v>40</v>
      </c>
      <c r="B59" s="7">
        <v>2</v>
      </c>
      <c r="C59" s="7"/>
      <c r="D59" s="7"/>
      <c r="E59" s="7"/>
      <c r="F59" s="7"/>
      <c r="G59" s="7">
        <v>1</v>
      </c>
      <c r="H59" s="7">
        <v>1</v>
      </c>
      <c r="I59" s="7"/>
      <c r="J59" s="7">
        <v>1</v>
      </c>
      <c r="K59" s="7"/>
      <c r="L59" s="7"/>
      <c r="M59" s="7">
        <v>1</v>
      </c>
      <c r="N59" s="7">
        <v>2</v>
      </c>
      <c r="O59" s="7">
        <v>1</v>
      </c>
      <c r="P59" s="7"/>
      <c r="Q59" s="7"/>
      <c r="R59" s="7">
        <v>1</v>
      </c>
      <c r="S59" s="7">
        <v>1</v>
      </c>
      <c r="T59" s="7"/>
      <c r="U59" s="7">
        <v>1</v>
      </c>
      <c r="V59" s="7"/>
      <c r="W59" s="7"/>
      <c r="X59" s="7"/>
      <c r="Y59" s="7"/>
      <c r="Z59" s="7"/>
      <c r="AA59" s="7">
        <v>1</v>
      </c>
      <c r="AB59" s="7"/>
      <c r="AC59" s="7">
        <v>1</v>
      </c>
      <c r="AD59" s="7"/>
      <c r="AE59" s="7">
        <v>1</v>
      </c>
      <c r="AF59" s="8"/>
      <c r="AG59" s="4">
        <f t="shared" si="2"/>
        <v>15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>
        <v>3</v>
      </c>
      <c r="H60" s="7">
        <v>1</v>
      </c>
      <c r="I60" s="7"/>
      <c r="J60" s="7"/>
      <c r="K60" s="7"/>
      <c r="L60" s="7"/>
      <c r="M60" s="7"/>
      <c r="N60" s="7">
        <v>3</v>
      </c>
      <c r="O60" s="7">
        <v>1</v>
      </c>
      <c r="P60" s="7"/>
      <c r="Q60" s="7">
        <v>1</v>
      </c>
      <c r="R60" s="7"/>
      <c r="S60" s="7"/>
      <c r="T60" s="7">
        <v>3</v>
      </c>
      <c r="U60" s="7">
        <v>1</v>
      </c>
      <c r="V60" s="7"/>
      <c r="W60" s="7"/>
      <c r="X60" s="7"/>
      <c r="Y60" s="7"/>
      <c r="Z60" s="7"/>
      <c r="AA60" s="7"/>
      <c r="AB60" s="7"/>
      <c r="AC60" s="7"/>
      <c r="AD60" s="7"/>
      <c r="AE60" s="7">
        <v>2</v>
      </c>
      <c r="AF60" s="8"/>
      <c r="AG60" s="4">
        <f t="shared" si="2"/>
        <v>15</v>
      </c>
    </row>
    <row r="61" spans="1:33" ht="18.75" x14ac:dyDescent="0.25">
      <c r="A61" s="41" t="s">
        <v>42</v>
      </c>
      <c r="B61" s="7"/>
      <c r="C61" s="7">
        <v>3</v>
      </c>
      <c r="D61" s="7">
        <v>2</v>
      </c>
      <c r="E61" s="7">
        <v>1</v>
      </c>
      <c r="F61" s="7"/>
      <c r="G61" s="7">
        <v>2</v>
      </c>
      <c r="H61" s="7">
        <v>1</v>
      </c>
      <c r="I61" s="7">
        <v>1</v>
      </c>
      <c r="J61" s="7">
        <v>1</v>
      </c>
      <c r="K61" s="7"/>
      <c r="L61" s="7"/>
      <c r="M61" s="7"/>
      <c r="N61" s="7">
        <v>4</v>
      </c>
      <c r="O61" s="7">
        <v>2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>
        <v>1</v>
      </c>
      <c r="AB61" s="7"/>
      <c r="AC61" s="7"/>
      <c r="AD61" s="7"/>
      <c r="AE61" s="7">
        <v>1</v>
      </c>
      <c r="AF61" s="8"/>
      <c r="AG61" s="4">
        <f t="shared" si="2"/>
        <v>19</v>
      </c>
    </row>
    <row r="62" spans="1:33" ht="18.75" x14ac:dyDescent="0.25">
      <c r="A62" s="41" t="s">
        <v>43</v>
      </c>
      <c r="B62" s="7"/>
      <c r="C62" s="7">
        <v>2</v>
      </c>
      <c r="D62" s="7"/>
      <c r="E62" s="7"/>
      <c r="F62" s="7">
        <v>1</v>
      </c>
      <c r="G62" s="7"/>
      <c r="H62" s="7"/>
      <c r="I62" s="7"/>
      <c r="J62" s="7">
        <v>1</v>
      </c>
      <c r="K62" s="7">
        <v>3</v>
      </c>
      <c r="L62" s="7"/>
      <c r="M62" s="7"/>
      <c r="N62" s="7">
        <v>1</v>
      </c>
      <c r="O62" s="7">
        <v>1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>
        <v>1</v>
      </c>
      <c r="AA62" s="7">
        <v>1</v>
      </c>
      <c r="AB62" s="7">
        <v>1</v>
      </c>
      <c r="AC62" s="7"/>
      <c r="AD62" s="7"/>
      <c r="AE62" s="7"/>
      <c r="AF62" s="8"/>
      <c r="AG62" s="4">
        <f t="shared" si="2"/>
        <v>12</v>
      </c>
    </row>
    <row r="63" spans="1:33" ht="18.75" x14ac:dyDescent="0.25">
      <c r="A63" s="41" t="s">
        <v>44</v>
      </c>
      <c r="B63" s="7"/>
      <c r="C63" s="7">
        <v>2</v>
      </c>
      <c r="D63" s="7">
        <v>1</v>
      </c>
      <c r="E63" s="7">
        <v>2</v>
      </c>
      <c r="F63" s="7"/>
      <c r="G63" s="7"/>
      <c r="H63" s="7"/>
      <c r="I63" s="7">
        <v>2</v>
      </c>
      <c r="J63" s="7"/>
      <c r="K63" s="7"/>
      <c r="L63" s="7">
        <v>1</v>
      </c>
      <c r="M63" s="7">
        <v>1</v>
      </c>
      <c r="N63" s="7">
        <v>2</v>
      </c>
      <c r="O63" s="7"/>
      <c r="P63" s="7"/>
      <c r="Q63" s="7"/>
      <c r="R63" s="7"/>
      <c r="S63" s="7">
        <v>1</v>
      </c>
      <c r="T63" s="7"/>
      <c r="U63" s="7"/>
      <c r="V63" s="7"/>
      <c r="W63" s="7">
        <v>1</v>
      </c>
      <c r="X63" s="7"/>
      <c r="Y63" s="7"/>
      <c r="Z63" s="7"/>
      <c r="AA63" s="7"/>
      <c r="AB63" s="7"/>
      <c r="AC63" s="7"/>
      <c r="AD63" s="7"/>
      <c r="AE63" s="7">
        <v>2</v>
      </c>
      <c r="AF63" s="8"/>
      <c r="AG63" s="4">
        <f t="shared" si="2"/>
        <v>15</v>
      </c>
    </row>
    <row r="64" spans="1:33" ht="18.75" x14ac:dyDescent="0.25">
      <c r="A64" s="41" t="s">
        <v>45</v>
      </c>
      <c r="B64" s="7">
        <v>1</v>
      </c>
      <c r="C64" s="7">
        <v>1</v>
      </c>
      <c r="D64" s="7">
        <v>3</v>
      </c>
      <c r="E64" s="7">
        <v>1</v>
      </c>
      <c r="F64" s="7">
        <v>1</v>
      </c>
      <c r="G64" s="7"/>
      <c r="H64" s="7">
        <v>1</v>
      </c>
      <c r="I64" s="7">
        <v>2</v>
      </c>
      <c r="J64" s="7">
        <v>1</v>
      </c>
      <c r="K64" s="7"/>
      <c r="L64" s="7"/>
      <c r="M64" s="7">
        <v>1</v>
      </c>
      <c r="N64" s="7">
        <v>1</v>
      </c>
      <c r="O64" s="7">
        <v>1</v>
      </c>
      <c r="P64" s="7"/>
      <c r="Q64" s="7">
        <v>2</v>
      </c>
      <c r="R64" s="7">
        <v>1</v>
      </c>
      <c r="S64" s="7">
        <v>1</v>
      </c>
      <c r="T64" s="7">
        <v>1</v>
      </c>
      <c r="U64" s="7"/>
      <c r="V64" s="7">
        <v>3</v>
      </c>
      <c r="W64" s="7"/>
      <c r="X64" s="7">
        <v>2</v>
      </c>
      <c r="Y64" s="7">
        <v>1</v>
      </c>
      <c r="Z64" s="7"/>
      <c r="AA64" s="7">
        <v>1</v>
      </c>
      <c r="AB64" s="7">
        <v>2</v>
      </c>
      <c r="AC64" s="7">
        <v>1</v>
      </c>
      <c r="AD64" s="7"/>
      <c r="AE64" s="7"/>
      <c r="AF64" s="8">
        <v>1</v>
      </c>
      <c r="AG64" s="4">
        <f t="shared" si="2"/>
        <v>30</v>
      </c>
    </row>
    <row r="65" spans="1:33" ht="18.75" x14ac:dyDescent="0.25">
      <c r="A65" s="41" t="s">
        <v>46</v>
      </c>
      <c r="B65" s="7"/>
      <c r="C65" s="7">
        <v>4</v>
      </c>
      <c r="D65" s="7">
        <v>3</v>
      </c>
      <c r="E65" s="7">
        <v>2</v>
      </c>
      <c r="F65" s="7">
        <v>2</v>
      </c>
      <c r="G65" s="7"/>
      <c r="H65" s="7">
        <v>4</v>
      </c>
      <c r="I65" s="7"/>
      <c r="J65" s="7">
        <v>2</v>
      </c>
      <c r="K65" s="7"/>
      <c r="L65" s="7">
        <v>3</v>
      </c>
      <c r="M65" s="7"/>
      <c r="N65" s="7"/>
      <c r="O65" s="7">
        <v>3</v>
      </c>
      <c r="P65" s="7"/>
      <c r="Q65" s="7">
        <v>3</v>
      </c>
      <c r="R65" s="7">
        <v>1</v>
      </c>
      <c r="S65" s="7"/>
      <c r="T65" s="7">
        <v>2</v>
      </c>
      <c r="U65" s="7"/>
      <c r="V65" s="7">
        <v>6</v>
      </c>
      <c r="W65" s="7"/>
      <c r="X65" s="7"/>
      <c r="Y65" s="7">
        <v>2</v>
      </c>
      <c r="Z65" s="7">
        <v>4</v>
      </c>
      <c r="AA65" s="7"/>
      <c r="AB65" s="7"/>
      <c r="AC65" s="7">
        <v>3</v>
      </c>
      <c r="AD65" s="7"/>
      <c r="AE65" s="7">
        <v>4</v>
      </c>
      <c r="AF65" s="8">
        <v>2</v>
      </c>
      <c r="AG65" s="4">
        <f t="shared" si="2"/>
        <v>50</v>
      </c>
    </row>
    <row r="66" spans="1:33" ht="18.75" x14ac:dyDescent="0.25">
      <c r="A66" s="41" t="s">
        <v>47</v>
      </c>
      <c r="B66" s="7"/>
      <c r="C66" s="7">
        <v>3</v>
      </c>
      <c r="D66" s="7"/>
      <c r="E66" s="7">
        <v>2</v>
      </c>
      <c r="F66" s="7"/>
      <c r="G66" s="7"/>
      <c r="H66" s="7">
        <v>9</v>
      </c>
      <c r="I66" s="7">
        <v>3</v>
      </c>
      <c r="J66" s="7">
        <v>1</v>
      </c>
      <c r="K66" s="7">
        <v>4</v>
      </c>
      <c r="L66" s="7">
        <v>4</v>
      </c>
      <c r="M66" s="7">
        <v>1</v>
      </c>
      <c r="N66" s="7"/>
      <c r="O66" s="7">
        <v>6</v>
      </c>
      <c r="P66" s="7"/>
      <c r="Q66" s="7">
        <v>1</v>
      </c>
      <c r="R66" s="7">
        <v>3</v>
      </c>
      <c r="S66" s="7"/>
      <c r="T66" s="7"/>
      <c r="U66" s="7"/>
      <c r="V66" s="7">
        <v>2</v>
      </c>
      <c r="W66" s="7">
        <v>2</v>
      </c>
      <c r="X66" s="7">
        <v>2</v>
      </c>
      <c r="Y66" s="7">
        <v>6</v>
      </c>
      <c r="Z66" s="7"/>
      <c r="AA66" s="7"/>
      <c r="AB66" s="7">
        <v>1</v>
      </c>
      <c r="AC66" s="7">
        <v>8</v>
      </c>
      <c r="AD66" s="7">
        <v>1</v>
      </c>
      <c r="AE66" s="7">
        <v>2</v>
      </c>
      <c r="AF66" s="8">
        <v>1</v>
      </c>
      <c r="AG66" s="4">
        <f t="shared" si="2"/>
        <v>62</v>
      </c>
    </row>
    <row r="67" spans="1:33" ht="18.75" x14ac:dyDescent="0.25">
      <c r="A67" s="41" t="s">
        <v>48</v>
      </c>
      <c r="B67" s="7"/>
      <c r="C67" s="7">
        <v>10</v>
      </c>
      <c r="D67" s="7">
        <v>5</v>
      </c>
      <c r="E67" s="7">
        <v>3</v>
      </c>
      <c r="F67" s="7">
        <v>1</v>
      </c>
      <c r="G67" s="7"/>
      <c r="H67" s="7">
        <v>5</v>
      </c>
      <c r="I67" s="7"/>
      <c r="J67" s="7"/>
      <c r="K67" s="7">
        <v>1</v>
      </c>
      <c r="L67" s="7">
        <v>1</v>
      </c>
      <c r="M67" s="7"/>
      <c r="N67" s="7"/>
      <c r="O67" s="7">
        <v>3</v>
      </c>
      <c r="P67" s="7"/>
      <c r="Q67" s="7"/>
      <c r="R67" s="7">
        <v>5</v>
      </c>
      <c r="S67" s="7"/>
      <c r="T67" s="7">
        <v>2</v>
      </c>
      <c r="U67" s="7"/>
      <c r="V67" s="7"/>
      <c r="W67" s="7">
        <v>2</v>
      </c>
      <c r="X67" s="7">
        <v>3</v>
      </c>
      <c r="Y67" s="7">
        <v>3</v>
      </c>
      <c r="Z67" s="7"/>
      <c r="AA67" s="7">
        <v>2</v>
      </c>
      <c r="AB67" s="7">
        <v>1</v>
      </c>
      <c r="AC67" s="7">
        <v>3</v>
      </c>
      <c r="AD67" s="7">
        <v>1</v>
      </c>
      <c r="AE67" s="7">
        <v>2</v>
      </c>
      <c r="AF67" s="8"/>
      <c r="AG67" s="4">
        <f t="shared" si="2"/>
        <v>53</v>
      </c>
    </row>
    <row r="68" spans="1:33" ht="18.75" x14ac:dyDescent="0.25">
      <c r="A68" s="41" t="s">
        <v>49</v>
      </c>
      <c r="B68" s="7"/>
      <c r="C68" s="7">
        <v>12</v>
      </c>
      <c r="D68" s="7">
        <v>10</v>
      </c>
      <c r="E68" s="7">
        <v>1</v>
      </c>
      <c r="F68" s="7"/>
      <c r="G68" s="7"/>
      <c r="H68" s="7">
        <v>3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>
        <v>7</v>
      </c>
      <c r="S68" s="7">
        <v>4</v>
      </c>
      <c r="T68" s="7">
        <v>1</v>
      </c>
      <c r="U68" s="7"/>
      <c r="V68" s="7"/>
      <c r="W68" s="7"/>
      <c r="X68" s="7">
        <v>9</v>
      </c>
      <c r="Y68" s="7">
        <v>8</v>
      </c>
      <c r="Z68" s="7"/>
      <c r="AA68" s="7">
        <v>2</v>
      </c>
      <c r="AB68" s="7"/>
      <c r="AC68" s="7">
        <v>1</v>
      </c>
      <c r="AD68" s="7">
        <v>2</v>
      </c>
      <c r="AE68" s="7">
        <v>2</v>
      </c>
      <c r="AF68" s="8">
        <v>1</v>
      </c>
      <c r="AG68" s="4">
        <f t="shared" si="2"/>
        <v>64</v>
      </c>
    </row>
    <row r="69" spans="1:33" ht="18.75" x14ac:dyDescent="0.25">
      <c r="A69" s="41" t="s">
        <v>50</v>
      </c>
      <c r="B69" s="7">
        <v>1</v>
      </c>
      <c r="C69" s="7">
        <v>5</v>
      </c>
      <c r="D69" s="7"/>
      <c r="E69" s="7"/>
      <c r="F69" s="7">
        <v>1</v>
      </c>
      <c r="G69" s="7">
        <v>1</v>
      </c>
      <c r="H69" s="7">
        <v>4</v>
      </c>
      <c r="I69" s="7"/>
      <c r="J69" s="7"/>
      <c r="K69" s="7"/>
      <c r="L69" s="7"/>
      <c r="M69" s="7"/>
      <c r="N69" s="7"/>
      <c r="O69" s="7"/>
      <c r="P69" s="7">
        <v>1</v>
      </c>
      <c r="Q69" s="7">
        <v>1</v>
      </c>
      <c r="R69" s="7"/>
      <c r="S69" s="7">
        <v>17</v>
      </c>
      <c r="T69" s="7">
        <v>1</v>
      </c>
      <c r="U69" s="7">
        <v>1</v>
      </c>
      <c r="V69" s="7">
        <v>1</v>
      </c>
      <c r="W69" s="7"/>
      <c r="X69" s="7">
        <v>1</v>
      </c>
      <c r="Y69" s="7"/>
      <c r="Z69" s="7"/>
      <c r="AA69" s="7">
        <v>4</v>
      </c>
      <c r="AB69" s="7"/>
      <c r="AC69" s="7">
        <v>1</v>
      </c>
      <c r="AD69" s="7"/>
      <c r="AE69" s="7">
        <v>1</v>
      </c>
      <c r="AF69" s="8"/>
      <c r="AG69" s="4">
        <f t="shared" si="2"/>
        <v>41</v>
      </c>
    </row>
    <row r="70" spans="1:33" ht="18.75" x14ac:dyDescent="0.25">
      <c r="A70" s="41" t="s">
        <v>33</v>
      </c>
      <c r="B70" s="114"/>
      <c r="C70" s="114">
        <v>1</v>
      </c>
      <c r="D70" s="114">
        <v>4</v>
      </c>
      <c r="E70" s="114"/>
      <c r="F70" s="114">
        <v>1</v>
      </c>
      <c r="G70" s="114"/>
      <c r="H70" s="114"/>
      <c r="I70" s="7"/>
      <c r="J70" s="114"/>
      <c r="K70" s="114"/>
      <c r="L70" s="114"/>
      <c r="M70" s="114"/>
      <c r="N70" s="114">
        <v>1</v>
      </c>
      <c r="O70" s="114"/>
      <c r="P70" s="114"/>
      <c r="Q70" s="114"/>
      <c r="R70" s="114"/>
      <c r="S70" s="114"/>
      <c r="T70" s="114"/>
      <c r="U70" s="114">
        <v>2</v>
      </c>
      <c r="V70" s="114"/>
      <c r="W70" s="114"/>
      <c r="X70" s="114">
        <v>3</v>
      </c>
      <c r="Y70" s="114">
        <v>5</v>
      </c>
      <c r="Z70" s="114">
        <v>1</v>
      </c>
      <c r="AA70" s="114">
        <v>5</v>
      </c>
      <c r="AB70" s="114">
        <v>3</v>
      </c>
      <c r="AC70" s="114"/>
      <c r="AD70" s="114">
        <v>2</v>
      </c>
      <c r="AE70" s="114"/>
      <c r="AF70" s="115"/>
      <c r="AG70" s="4">
        <f t="shared" si="2"/>
        <v>28</v>
      </c>
    </row>
    <row r="71" spans="1:33" ht="18.75" x14ac:dyDescent="0.25">
      <c r="A71" s="41" t="s">
        <v>34</v>
      </c>
      <c r="B71" s="114"/>
      <c r="C71" s="114">
        <v>4</v>
      </c>
      <c r="D71" s="114">
        <v>2</v>
      </c>
      <c r="E71" s="114"/>
      <c r="F71" s="114">
        <v>2</v>
      </c>
      <c r="G71" s="114">
        <v>5</v>
      </c>
      <c r="H71" s="114">
        <v>1</v>
      </c>
      <c r="I71" s="7"/>
      <c r="J71" s="114"/>
      <c r="K71" s="114"/>
      <c r="L71" s="114"/>
      <c r="M71" s="114"/>
      <c r="N71" s="114">
        <v>3</v>
      </c>
      <c r="O71" s="114"/>
      <c r="P71" s="114"/>
      <c r="Q71" s="114">
        <v>3</v>
      </c>
      <c r="R71" s="114"/>
      <c r="S71" s="114">
        <v>1</v>
      </c>
      <c r="T71" s="114"/>
      <c r="U71" s="114"/>
      <c r="V71" s="114"/>
      <c r="W71" s="114"/>
      <c r="X71" s="114">
        <v>13</v>
      </c>
      <c r="Y71" s="114">
        <v>7</v>
      </c>
      <c r="Z71" s="114">
        <v>3</v>
      </c>
      <c r="AA71" s="114">
        <v>1</v>
      </c>
      <c r="AB71" s="114"/>
      <c r="AC71" s="114">
        <v>3</v>
      </c>
      <c r="AD71" s="114"/>
      <c r="AE71" s="114">
        <v>3</v>
      </c>
      <c r="AF71" s="115"/>
      <c r="AG71" s="4">
        <f t="shared" si="2"/>
        <v>51</v>
      </c>
    </row>
    <row r="72" spans="1:33" ht="18.75" x14ac:dyDescent="0.25">
      <c r="A72" s="41" t="s">
        <v>35</v>
      </c>
      <c r="B72" s="114">
        <v>1</v>
      </c>
      <c r="C72" s="114"/>
      <c r="D72" s="114">
        <v>2</v>
      </c>
      <c r="E72" s="114"/>
      <c r="F72" s="114">
        <v>2</v>
      </c>
      <c r="G72" s="114"/>
      <c r="H72" s="114"/>
      <c r="I72" s="7"/>
      <c r="J72" s="114"/>
      <c r="K72" s="114"/>
      <c r="L72" s="114"/>
      <c r="M72" s="114"/>
      <c r="N72" s="114"/>
      <c r="O72" s="114"/>
      <c r="P72" s="114">
        <v>13</v>
      </c>
      <c r="Q72" s="114"/>
      <c r="R72" s="114"/>
      <c r="S72" s="114">
        <v>4</v>
      </c>
      <c r="T72" s="114"/>
      <c r="U72" s="114"/>
      <c r="V72" s="114">
        <v>4</v>
      </c>
      <c r="W72" s="114">
        <v>4</v>
      </c>
      <c r="X72" s="114">
        <v>3</v>
      </c>
      <c r="Y72" s="114">
        <v>1</v>
      </c>
      <c r="Z72" s="114">
        <v>1</v>
      </c>
      <c r="AA72" s="114">
        <v>5</v>
      </c>
      <c r="AB72" s="114"/>
      <c r="AC72" s="114">
        <v>1</v>
      </c>
      <c r="AD72" s="114"/>
      <c r="AE72" s="114">
        <v>11</v>
      </c>
      <c r="AF72" s="115"/>
      <c r="AG72" s="4">
        <f t="shared" si="2"/>
        <v>52</v>
      </c>
    </row>
    <row r="73" spans="1:33" ht="18.75" x14ac:dyDescent="0.25">
      <c r="A73" s="41" t="s">
        <v>36</v>
      </c>
      <c r="B73" s="114"/>
      <c r="C73" s="114"/>
      <c r="D73" s="114"/>
      <c r="E73" s="114"/>
      <c r="F73" s="114"/>
      <c r="G73" s="114">
        <v>3</v>
      </c>
      <c r="H73" s="114"/>
      <c r="I73" s="7"/>
      <c r="J73" s="114"/>
      <c r="K73" s="114"/>
      <c r="L73" s="114"/>
      <c r="M73" s="114"/>
      <c r="N73" s="114"/>
      <c r="O73" s="114"/>
      <c r="P73" s="114">
        <v>1</v>
      </c>
      <c r="Q73" s="114"/>
      <c r="R73" s="114"/>
      <c r="S73" s="114"/>
      <c r="T73" s="114"/>
      <c r="U73" s="114"/>
      <c r="V73" s="114">
        <v>5</v>
      </c>
      <c r="W73" s="114">
        <v>1</v>
      </c>
      <c r="X73" s="114"/>
      <c r="Y73" s="114"/>
      <c r="Z73" s="114">
        <v>5</v>
      </c>
      <c r="AA73" s="114">
        <v>4</v>
      </c>
      <c r="AB73" s="114"/>
      <c r="AC73" s="114"/>
      <c r="AD73" s="114">
        <v>1</v>
      </c>
      <c r="AE73" s="114">
        <v>1</v>
      </c>
      <c r="AF73" s="115"/>
      <c r="AG73" s="4">
        <f t="shared" si="2"/>
        <v>21</v>
      </c>
    </row>
    <row r="74" spans="1:33" ht="18.75" x14ac:dyDescent="0.25">
      <c r="A74" s="41" t="s">
        <v>51</v>
      </c>
      <c r="B74" s="114"/>
      <c r="C74" s="114"/>
      <c r="D74" s="114"/>
      <c r="E74" s="114"/>
      <c r="F74" s="114"/>
      <c r="G74" s="114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>
        <v>2</v>
      </c>
      <c r="W74" s="114"/>
      <c r="X74" s="114"/>
      <c r="Y74" s="114"/>
      <c r="Z74" s="114"/>
      <c r="AA74" s="114">
        <v>3</v>
      </c>
      <c r="AB74" s="114"/>
      <c r="AC74" s="114"/>
      <c r="AD74" s="114"/>
      <c r="AE74" s="114"/>
      <c r="AF74" s="115"/>
      <c r="AG74" s="4">
        <f t="shared" si="2"/>
        <v>5</v>
      </c>
    </row>
    <row r="75" spans="1:33" ht="18.75" x14ac:dyDescent="0.25">
      <c r="A75" s="41" t="s">
        <v>52</v>
      </c>
      <c r="B75" s="114"/>
      <c r="C75" s="114"/>
      <c r="D75" s="114"/>
      <c r="E75" s="114"/>
      <c r="F75" s="114">
        <v>1</v>
      </c>
      <c r="G75" s="114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>
        <v>2</v>
      </c>
      <c r="U75" s="114">
        <v>1</v>
      </c>
      <c r="V75" s="114"/>
      <c r="W75" s="114">
        <v>1</v>
      </c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5</v>
      </c>
    </row>
    <row r="76" spans="1:33" ht="18.75" x14ac:dyDescent="0.25">
      <c r="A76" s="41" t="s">
        <v>37</v>
      </c>
      <c r="B76" s="114"/>
      <c r="C76" s="114">
        <v>1</v>
      </c>
      <c r="D76" s="114"/>
      <c r="E76" s="114"/>
      <c r="F76" s="114"/>
      <c r="G76" s="114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>
        <v>1</v>
      </c>
      <c r="AC76" s="114"/>
      <c r="AD76" s="114"/>
      <c r="AE76" s="114"/>
      <c r="AF76" s="115"/>
      <c r="AG76" s="4">
        <f t="shared" si="2"/>
        <v>2</v>
      </c>
    </row>
    <row r="77" spans="1:33" ht="19.5" thickBot="1" x14ac:dyDescent="0.3">
      <c r="A77" s="134" t="s">
        <v>53</v>
      </c>
      <c r="B77" s="166">
        <v>3</v>
      </c>
      <c r="C77" s="166"/>
      <c r="D77" s="166"/>
      <c r="E77" s="166"/>
      <c r="F77" s="166"/>
      <c r="G77" s="166"/>
      <c r="H77" s="166"/>
      <c r="I77" s="9"/>
      <c r="J77" s="166"/>
      <c r="K77" s="166"/>
      <c r="L77" s="166"/>
      <c r="M77" s="166"/>
      <c r="N77" s="166"/>
      <c r="O77" s="166">
        <v>1</v>
      </c>
      <c r="P77" s="166"/>
      <c r="Q77" s="166"/>
      <c r="R77" s="166"/>
      <c r="S77" s="166"/>
      <c r="T77" s="166"/>
      <c r="U77" s="166">
        <v>1</v>
      </c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5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215</v>
      </c>
      <c r="C78" s="185">
        <f t="shared" si="5"/>
        <v>245</v>
      </c>
      <c r="D78" s="185">
        <f t="shared" si="5"/>
        <v>233</v>
      </c>
      <c r="E78" s="184">
        <f t="shared" si="5"/>
        <v>212</v>
      </c>
      <c r="F78" s="184">
        <f t="shared" si="5"/>
        <v>264</v>
      </c>
      <c r="G78" s="184">
        <f t="shared" si="5"/>
        <v>243</v>
      </c>
      <c r="H78" s="184">
        <f t="shared" si="5"/>
        <v>236</v>
      </c>
      <c r="I78" s="184">
        <f t="shared" si="5"/>
        <v>167</v>
      </c>
      <c r="J78" s="184">
        <f t="shared" si="5"/>
        <v>184</v>
      </c>
      <c r="K78" s="184">
        <f t="shared" si="5"/>
        <v>199</v>
      </c>
      <c r="L78" s="184">
        <f t="shared" si="5"/>
        <v>189</v>
      </c>
      <c r="M78" s="184">
        <f t="shared" si="5"/>
        <v>246</v>
      </c>
      <c r="N78" s="184">
        <f t="shared" si="5"/>
        <v>244</v>
      </c>
      <c r="O78" s="184">
        <f>SUM(O79:O80)</f>
        <v>216</v>
      </c>
      <c r="P78" s="184">
        <f t="shared" si="5"/>
        <v>178</v>
      </c>
      <c r="Q78" s="184">
        <f t="shared" si="5"/>
        <v>188</v>
      </c>
      <c r="R78" s="184">
        <f t="shared" si="5"/>
        <v>194</v>
      </c>
      <c r="S78" s="184">
        <f t="shared" si="5"/>
        <v>135</v>
      </c>
      <c r="T78" s="184">
        <f t="shared" si="5"/>
        <v>223</v>
      </c>
      <c r="U78" s="184">
        <f t="shared" si="5"/>
        <v>207</v>
      </c>
      <c r="V78" s="184">
        <f t="shared" si="5"/>
        <v>227</v>
      </c>
      <c r="W78" s="184">
        <f t="shared" si="5"/>
        <v>201</v>
      </c>
      <c r="X78" s="184">
        <f t="shared" si="5"/>
        <v>200</v>
      </c>
      <c r="Y78" s="184">
        <f t="shared" si="5"/>
        <v>197</v>
      </c>
      <c r="Z78" s="184">
        <f t="shared" si="5"/>
        <v>198</v>
      </c>
      <c r="AA78" s="184">
        <f t="shared" si="5"/>
        <v>254</v>
      </c>
      <c r="AB78" s="184">
        <f t="shared" si="5"/>
        <v>207</v>
      </c>
      <c r="AC78" s="184">
        <f t="shared" si="5"/>
        <v>235</v>
      </c>
      <c r="AD78" s="184">
        <f t="shared" si="5"/>
        <v>168</v>
      </c>
      <c r="AE78" s="184">
        <f t="shared" si="5"/>
        <v>224</v>
      </c>
      <c r="AF78" s="186">
        <f t="shared" si="5"/>
        <v>168</v>
      </c>
      <c r="AG78" s="116">
        <f t="shared" si="2"/>
        <v>6497</v>
      </c>
    </row>
    <row r="79" spans="1:33" ht="19.5" hidden="1" customHeight="1" x14ac:dyDescent="0.25">
      <c r="A79" s="181" t="s">
        <v>58</v>
      </c>
      <c r="B79" s="114">
        <f t="shared" ref="B79:AF79" si="6">SUM(B4:B27)-B80</f>
        <v>215</v>
      </c>
      <c r="C79" s="114">
        <f t="shared" si="6"/>
        <v>245</v>
      </c>
      <c r="D79" s="114">
        <f t="shared" si="6"/>
        <v>233</v>
      </c>
      <c r="E79" s="114">
        <f t="shared" si="6"/>
        <v>212</v>
      </c>
      <c r="F79" s="114">
        <f t="shared" si="6"/>
        <v>134</v>
      </c>
      <c r="G79" s="114">
        <f t="shared" si="6"/>
        <v>125</v>
      </c>
      <c r="H79" s="114">
        <f t="shared" si="6"/>
        <v>201</v>
      </c>
      <c r="I79" s="114">
        <f t="shared" si="6"/>
        <v>167</v>
      </c>
      <c r="J79" s="114">
        <f t="shared" si="6"/>
        <v>184</v>
      </c>
      <c r="K79" s="114">
        <f t="shared" si="6"/>
        <v>199</v>
      </c>
      <c r="L79" s="114">
        <f t="shared" si="6"/>
        <v>189</v>
      </c>
      <c r="M79" s="114">
        <f t="shared" si="6"/>
        <v>121</v>
      </c>
      <c r="N79" s="114">
        <f t="shared" si="6"/>
        <v>128</v>
      </c>
      <c r="O79" s="114">
        <f t="shared" si="6"/>
        <v>175</v>
      </c>
      <c r="P79" s="114">
        <f t="shared" si="6"/>
        <v>178</v>
      </c>
      <c r="Q79" s="114">
        <f t="shared" si="6"/>
        <v>188</v>
      </c>
      <c r="R79" s="114">
        <f t="shared" si="6"/>
        <v>165</v>
      </c>
      <c r="S79" s="114">
        <f t="shared" si="6"/>
        <v>107</v>
      </c>
      <c r="T79" s="114">
        <f t="shared" si="6"/>
        <v>124</v>
      </c>
      <c r="U79" s="114">
        <f t="shared" si="6"/>
        <v>107</v>
      </c>
      <c r="V79" s="114">
        <f t="shared" si="6"/>
        <v>196</v>
      </c>
      <c r="W79" s="114">
        <f t="shared" si="6"/>
        <v>201</v>
      </c>
      <c r="X79" s="114">
        <f t="shared" si="6"/>
        <v>200</v>
      </c>
      <c r="Y79" s="114">
        <f t="shared" si="6"/>
        <v>168</v>
      </c>
      <c r="Z79" s="114">
        <f t="shared" si="6"/>
        <v>198</v>
      </c>
      <c r="AA79" s="114">
        <f t="shared" si="6"/>
        <v>148</v>
      </c>
      <c r="AB79" s="114">
        <f t="shared" si="6"/>
        <v>114</v>
      </c>
      <c r="AC79" s="114">
        <f t="shared" si="6"/>
        <v>200</v>
      </c>
      <c r="AD79" s="114">
        <f t="shared" si="6"/>
        <v>168</v>
      </c>
      <c r="AE79" s="114">
        <f t="shared" si="6"/>
        <v>224</v>
      </c>
      <c r="AF79" s="114">
        <f t="shared" si="6"/>
        <v>153</v>
      </c>
      <c r="AG79" s="132">
        <f t="shared" si="2"/>
        <v>5367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130</v>
      </c>
      <c r="G80" s="9">
        <f>SUM(G4:G12)</f>
        <v>118</v>
      </c>
      <c r="H80" s="9">
        <f>SUM(H4:H12)</f>
        <v>35</v>
      </c>
      <c r="I80" s="11"/>
      <c r="J80" s="11"/>
      <c r="K80" s="9">
        <v>0</v>
      </c>
      <c r="L80" s="9">
        <v>0</v>
      </c>
      <c r="M80" s="9">
        <f>SUM(M4:M12)</f>
        <v>125</v>
      </c>
      <c r="N80" s="9">
        <f>SUM(N4:N12)</f>
        <v>116</v>
      </c>
      <c r="O80" s="9">
        <f>SUM(O4:O12)</f>
        <v>41</v>
      </c>
      <c r="P80" s="11"/>
      <c r="Q80" s="11"/>
      <c r="R80" s="9">
        <f>SUM(R4:R12)</f>
        <v>29</v>
      </c>
      <c r="S80" s="9">
        <f>SUM(S4:S12)</f>
        <v>28</v>
      </c>
      <c r="T80" s="9">
        <f>SUM(T4:T12)</f>
        <v>99</v>
      </c>
      <c r="U80" s="9">
        <f>SUM(U4:U12)</f>
        <v>100</v>
      </c>
      <c r="V80" s="9">
        <f>SUM(V4:V12)</f>
        <v>31</v>
      </c>
      <c r="W80" s="11"/>
      <c r="X80" s="11"/>
      <c r="Y80" s="9">
        <f>SUM(Y4:Y12)</f>
        <v>29</v>
      </c>
      <c r="Z80" s="11"/>
      <c r="AA80" s="9">
        <f>SUM(AA4:AA12)</f>
        <v>106</v>
      </c>
      <c r="AB80" s="9">
        <f>SUM(AB4:AB12)</f>
        <v>93</v>
      </c>
      <c r="AC80" s="9">
        <f>SUM(AC4:AC12)</f>
        <v>35</v>
      </c>
      <c r="AD80" s="11"/>
      <c r="AE80" s="11"/>
      <c r="AF80" s="9">
        <f>SUM(AF4:AF12)</f>
        <v>15</v>
      </c>
      <c r="AG80" s="108">
        <f t="shared" si="2"/>
        <v>1130</v>
      </c>
    </row>
    <row r="81" spans="1:35" ht="19.5" thickBot="1" x14ac:dyDescent="0.3">
      <c r="A81" s="183" t="s">
        <v>98</v>
      </c>
      <c r="B81" s="184">
        <f t="shared" ref="B81:AF81" si="7">SUM(B82:B83)</f>
        <v>8</v>
      </c>
      <c r="C81" s="184">
        <f t="shared" si="7"/>
        <v>49</v>
      </c>
      <c r="D81" s="184">
        <f t="shared" si="7"/>
        <v>32</v>
      </c>
      <c r="E81" s="184">
        <f t="shared" si="7"/>
        <v>12</v>
      </c>
      <c r="F81" s="184">
        <f t="shared" si="7"/>
        <v>12</v>
      </c>
      <c r="G81" s="184">
        <f t="shared" si="7"/>
        <v>16</v>
      </c>
      <c r="H81" s="184">
        <f t="shared" si="7"/>
        <v>30</v>
      </c>
      <c r="I81" s="184">
        <f t="shared" si="7"/>
        <v>8</v>
      </c>
      <c r="J81" s="184">
        <f t="shared" si="7"/>
        <v>7</v>
      </c>
      <c r="K81" s="184">
        <f t="shared" si="7"/>
        <v>9</v>
      </c>
      <c r="L81" s="184">
        <f t="shared" si="7"/>
        <v>9</v>
      </c>
      <c r="M81" s="184">
        <f t="shared" si="7"/>
        <v>5</v>
      </c>
      <c r="N81" s="184">
        <f t="shared" si="7"/>
        <v>20</v>
      </c>
      <c r="O81" s="184">
        <f t="shared" si="7"/>
        <v>20</v>
      </c>
      <c r="P81" s="184">
        <f t="shared" si="7"/>
        <v>15</v>
      </c>
      <c r="Q81" s="184">
        <f t="shared" si="7"/>
        <v>11</v>
      </c>
      <c r="R81" s="184">
        <f t="shared" si="7"/>
        <v>18</v>
      </c>
      <c r="S81" s="184">
        <f t="shared" si="7"/>
        <v>29</v>
      </c>
      <c r="T81" s="184">
        <f t="shared" si="7"/>
        <v>14</v>
      </c>
      <c r="U81" s="184">
        <f t="shared" si="7"/>
        <v>9</v>
      </c>
      <c r="V81" s="184">
        <f t="shared" si="7"/>
        <v>24</v>
      </c>
      <c r="W81" s="184">
        <f t="shared" si="7"/>
        <v>11</v>
      </c>
      <c r="X81" s="184">
        <f t="shared" si="7"/>
        <v>36</v>
      </c>
      <c r="Y81" s="184">
        <f t="shared" si="7"/>
        <v>33</v>
      </c>
      <c r="Z81" s="184">
        <f>SUM(Z82:Z83)</f>
        <v>15</v>
      </c>
      <c r="AA81" s="184">
        <f t="shared" si="7"/>
        <v>32</v>
      </c>
      <c r="AB81" s="184">
        <f t="shared" si="7"/>
        <v>9</v>
      </c>
      <c r="AC81" s="184">
        <f t="shared" si="7"/>
        <v>22</v>
      </c>
      <c r="AD81" s="184">
        <f t="shared" si="7"/>
        <v>7</v>
      </c>
      <c r="AE81" s="184">
        <f t="shared" si="7"/>
        <v>32</v>
      </c>
      <c r="AF81" s="184">
        <f t="shared" si="7"/>
        <v>5</v>
      </c>
      <c r="AG81" s="116">
        <f t="shared" si="2"/>
        <v>559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14">
        <f>SUM(C54:C62)</f>
        <v>6</v>
      </c>
      <c r="D82" s="114">
        <f t="shared" ref="D82:E82" si="8">SUM(D54:D62)</f>
        <v>2</v>
      </c>
      <c r="E82" s="114">
        <f t="shared" si="8"/>
        <v>1</v>
      </c>
      <c r="F82" s="182"/>
      <c r="G82" s="182"/>
      <c r="H82" s="114">
        <f t="shared" ref="H82:L82" si="9">SUM(H54:H62)</f>
        <v>3</v>
      </c>
      <c r="I82" s="114">
        <f t="shared" si="9"/>
        <v>1</v>
      </c>
      <c r="J82" s="114">
        <f t="shared" si="9"/>
        <v>3</v>
      </c>
      <c r="K82" s="114">
        <f t="shared" si="9"/>
        <v>3</v>
      </c>
      <c r="L82" s="114">
        <f t="shared" si="9"/>
        <v>0</v>
      </c>
      <c r="M82" s="182"/>
      <c r="N82" s="182"/>
      <c r="O82" s="114">
        <f t="shared" ref="O82:S82" si="10">SUM(O54:O62)</f>
        <v>6</v>
      </c>
      <c r="P82" s="114">
        <f t="shared" si="10"/>
        <v>0</v>
      </c>
      <c r="Q82" s="114">
        <f t="shared" si="10"/>
        <v>1</v>
      </c>
      <c r="R82" s="114">
        <f t="shared" si="10"/>
        <v>1</v>
      </c>
      <c r="S82" s="114">
        <f t="shared" si="10"/>
        <v>1</v>
      </c>
      <c r="T82" s="182"/>
      <c r="U82" s="182"/>
      <c r="V82" s="114">
        <f t="shared" ref="V82:Z82" si="11">SUM(V54:V62)</f>
        <v>1</v>
      </c>
      <c r="W82" s="114">
        <f t="shared" si="11"/>
        <v>0</v>
      </c>
      <c r="X82" s="114">
        <f t="shared" si="11"/>
        <v>0</v>
      </c>
      <c r="Y82" s="114">
        <f t="shared" si="11"/>
        <v>0</v>
      </c>
      <c r="Z82" s="114">
        <f t="shared" si="11"/>
        <v>1</v>
      </c>
      <c r="AA82" s="182"/>
      <c r="AB82" s="182"/>
      <c r="AC82" s="114">
        <f t="shared" ref="AC82:AF82" si="12">SUM(AC54:AC62)</f>
        <v>1</v>
      </c>
      <c r="AD82" s="114">
        <f t="shared" si="12"/>
        <v>0</v>
      </c>
      <c r="AE82" s="114">
        <f t="shared" si="12"/>
        <v>4</v>
      </c>
      <c r="AF82" s="115">
        <f t="shared" si="12"/>
        <v>0</v>
      </c>
      <c r="AG82" s="132">
        <f t="shared" si="2"/>
        <v>35</v>
      </c>
    </row>
    <row r="83" spans="1:35" ht="19.5" thickBot="1" x14ac:dyDescent="0.3">
      <c r="A83" s="107" t="s">
        <v>58</v>
      </c>
      <c r="B83" s="9">
        <f t="shared" ref="B83" si="13">SUM(B54:B77)-B82</f>
        <v>8</v>
      </c>
      <c r="C83" s="9">
        <f>SUM(C54:C77)-C82</f>
        <v>43</v>
      </c>
      <c r="D83" s="9">
        <f t="shared" ref="D83:AF83" si="14">SUM(D54:D77)-D82</f>
        <v>30</v>
      </c>
      <c r="E83" s="9">
        <f t="shared" si="14"/>
        <v>11</v>
      </c>
      <c r="F83" s="9">
        <f t="shared" si="14"/>
        <v>12</v>
      </c>
      <c r="G83" s="9">
        <f t="shared" si="14"/>
        <v>16</v>
      </c>
      <c r="H83" s="9">
        <f t="shared" si="14"/>
        <v>27</v>
      </c>
      <c r="I83" s="9">
        <f t="shared" si="14"/>
        <v>7</v>
      </c>
      <c r="J83" s="9">
        <f t="shared" si="14"/>
        <v>4</v>
      </c>
      <c r="K83" s="9">
        <f t="shared" si="14"/>
        <v>6</v>
      </c>
      <c r="L83" s="9">
        <f t="shared" si="14"/>
        <v>9</v>
      </c>
      <c r="M83" s="9">
        <f t="shared" si="14"/>
        <v>5</v>
      </c>
      <c r="N83" s="9">
        <f t="shared" si="14"/>
        <v>20</v>
      </c>
      <c r="O83" s="9">
        <f t="shared" si="14"/>
        <v>14</v>
      </c>
      <c r="P83" s="9">
        <f t="shared" si="14"/>
        <v>15</v>
      </c>
      <c r="Q83" s="9">
        <f t="shared" si="14"/>
        <v>10</v>
      </c>
      <c r="R83" s="9">
        <f t="shared" si="14"/>
        <v>17</v>
      </c>
      <c r="S83" s="9">
        <f t="shared" si="14"/>
        <v>28</v>
      </c>
      <c r="T83" s="9">
        <f t="shared" si="14"/>
        <v>14</v>
      </c>
      <c r="U83" s="9">
        <f t="shared" si="14"/>
        <v>9</v>
      </c>
      <c r="V83" s="9">
        <f t="shared" si="14"/>
        <v>23</v>
      </c>
      <c r="W83" s="9">
        <f t="shared" si="14"/>
        <v>11</v>
      </c>
      <c r="X83" s="9">
        <f t="shared" si="14"/>
        <v>36</v>
      </c>
      <c r="Y83" s="9">
        <f t="shared" si="14"/>
        <v>33</v>
      </c>
      <c r="Z83" s="9">
        <f t="shared" si="14"/>
        <v>14</v>
      </c>
      <c r="AA83" s="9">
        <f t="shared" si="14"/>
        <v>32</v>
      </c>
      <c r="AB83" s="9">
        <f t="shared" si="14"/>
        <v>9</v>
      </c>
      <c r="AC83" s="9">
        <f t="shared" si="14"/>
        <v>21</v>
      </c>
      <c r="AD83" s="9">
        <f t="shared" si="14"/>
        <v>7</v>
      </c>
      <c r="AE83" s="9">
        <f t="shared" si="14"/>
        <v>28</v>
      </c>
      <c r="AF83" s="9">
        <f t="shared" si="14"/>
        <v>5</v>
      </c>
      <c r="AG83" s="4">
        <f t="shared" si="2"/>
        <v>524</v>
      </c>
    </row>
    <row r="84" spans="1:35" ht="19.5" thickBot="1" x14ac:dyDescent="0.3">
      <c r="A84" s="164" t="s">
        <v>146</v>
      </c>
      <c r="B84" s="165">
        <f>SUM(B85:B86)</f>
        <v>8</v>
      </c>
      <c r="C84" s="165">
        <f t="shared" ref="C84:AF84" si="15">SUM(C85:C86)</f>
        <v>49</v>
      </c>
      <c r="D84" s="165">
        <f t="shared" si="15"/>
        <v>32</v>
      </c>
      <c r="E84" s="165">
        <f t="shared" si="15"/>
        <v>12</v>
      </c>
      <c r="F84" s="165">
        <f t="shared" si="15"/>
        <v>12</v>
      </c>
      <c r="G84" s="165">
        <f t="shared" si="15"/>
        <v>16</v>
      </c>
      <c r="H84" s="165">
        <f t="shared" si="15"/>
        <v>30</v>
      </c>
      <c r="I84" s="165">
        <f t="shared" si="15"/>
        <v>8</v>
      </c>
      <c r="J84" s="165">
        <f t="shared" si="15"/>
        <v>7</v>
      </c>
      <c r="K84" s="165">
        <f t="shared" si="15"/>
        <v>9</v>
      </c>
      <c r="L84" s="165">
        <f t="shared" si="15"/>
        <v>9</v>
      </c>
      <c r="M84" s="165">
        <f t="shared" si="15"/>
        <v>5</v>
      </c>
      <c r="N84" s="165">
        <f t="shared" si="15"/>
        <v>20</v>
      </c>
      <c r="O84" s="165">
        <f t="shared" si="15"/>
        <v>20</v>
      </c>
      <c r="P84" s="165">
        <f t="shared" si="15"/>
        <v>15</v>
      </c>
      <c r="Q84" s="165">
        <f t="shared" si="15"/>
        <v>11</v>
      </c>
      <c r="R84" s="165">
        <f t="shared" si="15"/>
        <v>18</v>
      </c>
      <c r="S84" s="165">
        <f t="shared" si="15"/>
        <v>29</v>
      </c>
      <c r="T84" s="165">
        <f t="shared" si="15"/>
        <v>14</v>
      </c>
      <c r="U84" s="165">
        <f t="shared" si="15"/>
        <v>9</v>
      </c>
      <c r="V84" s="165">
        <f t="shared" si="15"/>
        <v>24</v>
      </c>
      <c r="W84" s="165">
        <f t="shared" si="15"/>
        <v>11</v>
      </c>
      <c r="X84" s="165">
        <f t="shared" si="15"/>
        <v>36</v>
      </c>
      <c r="Y84" s="165">
        <f t="shared" si="15"/>
        <v>33</v>
      </c>
      <c r="Z84" s="165">
        <f t="shared" si="15"/>
        <v>15</v>
      </c>
      <c r="AA84" s="165">
        <f t="shared" si="15"/>
        <v>32</v>
      </c>
      <c r="AB84" s="165">
        <f t="shared" si="15"/>
        <v>9</v>
      </c>
      <c r="AC84" s="165">
        <f t="shared" si="15"/>
        <v>22</v>
      </c>
      <c r="AD84" s="165">
        <f t="shared" si="15"/>
        <v>7</v>
      </c>
      <c r="AE84" s="165">
        <f t="shared" si="15"/>
        <v>32</v>
      </c>
      <c r="AF84" s="165">
        <f t="shared" si="15"/>
        <v>5</v>
      </c>
      <c r="AG84" s="171">
        <f t="shared" ref="AG84:AG126" si="16">SUM(B84:AF84)</f>
        <v>559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1</v>
      </c>
      <c r="C85" s="169">
        <v>10</v>
      </c>
      <c r="D85" s="169">
        <v>7</v>
      </c>
      <c r="E85" s="169">
        <v>1</v>
      </c>
      <c r="F85" s="169">
        <v>2</v>
      </c>
      <c r="G85" s="169">
        <v>1</v>
      </c>
      <c r="H85" s="169">
        <v>6</v>
      </c>
      <c r="I85" s="169">
        <v>0</v>
      </c>
      <c r="J85" s="169">
        <v>2</v>
      </c>
      <c r="K85" s="169">
        <v>2</v>
      </c>
      <c r="L85" s="169">
        <v>3</v>
      </c>
      <c r="M85" s="169">
        <v>1</v>
      </c>
      <c r="N85" s="169">
        <v>6</v>
      </c>
      <c r="O85" s="169">
        <v>3</v>
      </c>
      <c r="P85" s="169">
        <v>4</v>
      </c>
      <c r="Q85" s="169">
        <v>1</v>
      </c>
      <c r="R85" s="169">
        <v>3</v>
      </c>
      <c r="S85" s="169">
        <v>7</v>
      </c>
      <c r="T85" s="169">
        <v>1</v>
      </c>
      <c r="U85" s="169">
        <v>0</v>
      </c>
      <c r="V85" s="169">
        <v>5</v>
      </c>
      <c r="W85" s="169">
        <v>3</v>
      </c>
      <c r="X85" s="169">
        <v>6</v>
      </c>
      <c r="Y85" s="169">
        <v>7</v>
      </c>
      <c r="Z85" s="169">
        <v>2</v>
      </c>
      <c r="AA85" s="169">
        <v>9</v>
      </c>
      <c r="AB85" s="169">
        <v>2</v>
      </c>
      <c r="AC85" s="169">
        <v>6</v>
      </c>
      <c r="AD85" s="169">
        <v>2</v>
      </c>
      <c r="AE85" s="169">
        <v>5</v>
      </c>
      <c r="AF85" s="170">
        <v>0</v>
      </c>
      <c r="AG85" s="168">
        <f t="shared" si="16"/>
        <v>108</v>
      </c>
      <c r="AI85" s="374"/>
    </row>
    <row r="86" spans="1:35" ht="19.5" thickBot="1" x14ac:dyDescent="0.3">
      <c r="A86" s="172" t="s">
        <v>145</v>
      </c>
      <c r="B86" s="173">
        <v>7</v>
      </c>
      <c r="C86" s="173">
        <v>39</v>
      </c>
      <c r="D86" s="173">
        <v>25</v>
      </c>
      <c r="E86" s="173">
        <v>11</v>
      </c>
      <c r="F86" s="173">
        <v>10</v>
      </c>
      <c r="G86" s="173">
        <v>15</v>
      </c>
      <c r="H86" s="173">
        <v>24</v>
      </c>
      <c r="I86" s="173">
        <v>8</v>
      </c>
      <c r="J86" s="173">
        <v>5</v>
      </c>
      <c r="K86" s="173">
        <v>7</v>
      </c>
      <c r="L86" s="173">
        <v>6</v>
      </c>
      <c r="M86" s="173">
        <v>4</v>
      </c>
      <c r="N86" s="173">
        <v>14</v>
      </c>
      <c r="O86" s="173">
        <v>17</v>
      </c>
      <c r="P86" s="173">
        <v>11</v>
      </c>
      <c r="Q86" s="173">
        <v>10</v>
      </c>
      <c r="R86" s="173">
        <v>15</v>
      </c>
      <c r="S86" s="173">
        <v>22</v>
      </c>
      <c r="T86" s="173">
        <v>13</v>
      </c>
      <c r="U86" s="173">
        <v>9</v>
      </c>
      <c r="V86" s="173">
        <v>19</v>
      </c>
      <c r="W86" s="173">
        <v>8</v>
      </c>
      <c r="X86" s="173">
        <v>30</v>
      </c>
      <c r="Y86" s="173">
        <v>26</v>
      </c>
      <c r="Z86" s="173">
        <v>13</v>
      </c>
      <c r="AA86" s="173">
        <v>23</v>
      </c>
      <c r="AB86" s="173">
        <v>7</v>
      </c>
      <c r="AC86" s="173">
        <v>16</v>
      </c>
      <c r="AD86" s="173">
        <v>5</v>
      </c>
      <c r="AE86" s="173">
        <v>27</v>
      </c>
      <c r="AF86" s="174">
        <v>5</v>
      </c>
      <c r="AG86" s="176">
        <f t="shared" si="16"/>
        <v>451</v>
      </c>
      <c r="AI86" s="375"/>
    </row>
    <row r="87" spans="1:35" ht="19.5" thickBot="1" x14ac:dyDescent="0.3">
      <c r="A87" s="177" t="s">
        <v>147</v>
      </c>
      <c r="B87" s="178">
        <f>SUM(B88:B92)</f>
        <v>8</v>
      </c>
      <c r="C87" s="178">
        <f t="shared" ref="C87:AF87" si="17">SUM(C88:C92)</f>
        <v>49</v>
      </c>
      <c r="D87" s="178">
        <f t="shared" si="17"/>
        <v>32</v>
      </c>
      <c r="E87" s="178">
        <f t="shared" si="17"/>
        <v>12</v>
      </c>
      <c r="F87" s="178">
        <f t="shared" si="17"/>
        <v>12</v>
      </c>
      <c r="G87" s="178">
        <f t="shared" si="17"/>
        <v>16</v>
      </c>
      <c r="H87" s="178">
        <f t="shared" si="17"/>
        <v>30</v>
      </c>
      <c r="I87" s="178">
        <f t="shared" si="17"/>
        <v>8</v>
      </c>
      <c r="J87" s="178">
        <f t="shared" si="17"/>
        <v>7</v>
      </c>
      <c r="K87" s="178">
        <f t="shared" si="17"/>
        <v>9</v>
      </c>
      <c r="L87" s="178">
        <f t="shared" si="17"/>
        <v>9</v>
      </c>
      <c r="M87" s="178">
        <f t="shared" si="17"/>
        <v>5</v>
      </c>
      <c r="N87" s="178">
        <f t="shared" si="17"/>
        <v>20</v>
      </c>
      <c r="O87" s="178">
        <f t="shared" si="17"/>
        <v>20</v>
      </c>
      <c r="P87" s="178">
        <f t="shared" si="17"/>
        <v>15</v>
      </c>
      <c r="Q87" s="178">
        <f t="shared" si="17"/>
        <v>11</v>
      </c>
      <c r="R87" s="178">
        <f t="shared" si="17"/>
        <v>18</v>
      </c>
      <c r="S87" s="178">
        <f t="shared" si="17"/>
        <v>29</v>
      </c>
      <c r="T87" s="178">
        <f t="shared" si="17"/>
        <v>14</v>
      </c>
      <c r="U87" s="178">
        <f t="shared" si="17"/>
        <v>9</v>
      </c>
      <c r="V87" s="178">
        <f t="shared" si="17"/>
        <v>24</v>
      </c>
      <c r="W87" s="178">
        <f t="shared" si="17"/>
        <v>11</v>
      </c>
      <c r="X87" s="178">
        <f t="shared" si="17"/>
        <v>36</v>
      </c>
      <c r="Y87" s="178">
        <f t="shared" si="17"/>
        <v>33</v>
      </c>
      <c r="Z87" s="178">
        <f t="shared" si="17"/>
        <v>15</v>
      </c>
      <c r="AA87" s="178">
        <f t="shared" si="17"/>
        <v>32</v>
      </c>
      <c r="AB87" s="178">
        <f t="shared" si="17"/>
        <v>9</v>
      </c>
      <c r="AC87" s="178">
        <f t="shared" si="17"/>
        <v>22</v>
      </c>
      <c r="AD87" s="178">
        <f t="shared" si="17"/>
        <v>7</v>
      </c>
      <c r="AE87" s="178">
        <f t="shared" si="17"/>
        <v>32</v>
      </c>
      <c r="AF87" s="178">
        <f t="shared" si="17"/>
        <v>5</v>
      </c>
      <c r="AG87" s="179">
        <f t="shared" si="16"/>
        <v>559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6</v>
      </c>
      <c r="C88" s="166">
        <v>11</v>
      </c>
      <c r="D88" s="166">
        <v>7</v>
      </c>
      <c r="E88" s="166">
        <v>3</v>
      </c>
      <c r="F88" s="166">
        <v>2</v>
      </c>
      <c r="G88" s="166">
        <v>2</v>
      </c>
      <c r="H88" s="166">
        <v>9</v>
      </c>
      <c r="I88" s="166">
        <v>0</v>
      </c>
      <c r="J88" s="166">
        <v>1</v>
      </c>
      <c r="K88" s="166">
        <v>1</v>
      </c>
      <c r="L88" s="166">
        <v>2</v>
      </c>
      <c r="M88" s="166">
        <v>4</v>
      </c>
      <c r="N88" s="166">
        <v>9</v>
      </c>
      <c r="O88" s="166">
        <v>5</v>
      </c>
      <c r="P88" s="166">
        <v>3</v>
      </c>
      <c r="Q88" s="166">
        <v>4</v>
      </c>
      <c r="R88" s="166">
        <v>2</v>
      </c>
      <c r="S88" s="166">
        <v>5</v>
      </c>
      <c r="T88" s="166">
        <v>9</v>
      </c>
      <c r="U88" s="166">
        <v>3</v>
      </c>
      <c r="V88" s="166">
        <v>6</v>
      </c>
      <c r="W88" s="166">
        <v>3</v>
      </c>
      <c r="X88" s="166">
        <v>4</v>
      </c>
      <c r="Y88" s="166">
        <v>3</v>
      </c>
      <c r="Z88" s="166">
        <v>3</v>
      </c>
      <c r="AA88" s="166">
        <v>13</v>
      </c>
      <c r="AB88" s="166">
        <v>3</v>
      </c>
      <c r="AC88" s="166">
        <v>8</v>
      </c>
      <c r="AD88" s="166">
        <v>1</v>
      </c>
      <c r="AE88" s="166">
        <v>9</v>
      </c>
      <c r="AF88" s="167">
        <v>1</v>
      </c>
      <c r="AG88" s="132">
        <f t="shared" si="16"/>
        <v>142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6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>
        <v>1</v>
      </c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6"/>
        <v>1</v>
      </c>
    </row>
    <row r="91" spans="1:35" ht="18.75" x14ac:dyDescent="0.25">
      <c r="A91" s="105" t="s">
        <v>75</v>
      </c>
      <c r="B91" s="9"/>
      <c r="C91" s="9">
        <v>23</v>
      </c>
      <c r="D91" s="9">
        <v>10</v>
      </c>
      <c r="E91" s="9">
        <v>2</v>
      </c>
      <c r="F91" s="9">
        <v>3</v>
      </c>
      <c r="G91" s="9">
        <v>3</v>
      </c>
      <c r="H91" s="9">
        <v>8</v>
      </c>
      <c r="I91" s="9">
        <v>5</v>
      </c>
      <c r="J91" s="9">
        <v>5</v>
      </c>
      <c r="K91" s="9">
        <v>5</v>
      </c>
      <c r="L91" s="9">
        <v>1</v>
      </c>
      <c r="M91" s="9">
        <v>1</v>
      </c>
      <c r="N91" s="9">
        <v>5</v>
      </c>
      <c r="O91" s="9">
        <v>6</v>
      </c>
      <c r="P91" s="9">
        <v>12</v>
      </c>
      <c r="Q91" s="9">
        <v>3</v>
      </c>
      <c r="R91" s="9">
        <v>2</v>
      </c>
      <c r="S91" s="9">
        <v>18</v>
      </c>
      <c r="T91" s="9">
        <v>3</v>
      </c>
      <c r="U91" s="9">
        <v>2</v>
      </c>
      <c r="V91" s="9">
        <v>9</v>
      </c>
      <c r="W91" s="9">
        <v>3</v>
      </c>
      <c r="X91" s="9">
        <v>17</v>
      </c>
      <c r="Y91" s="9">
        <v>16</v>
      </c>
      <c r="Z91" s="9">
        <v>5</v>
      </c>
      <c r="AA91" s="9">
        <v>8</v>
      </c>
      <c r="AB91" s="9">
        <v>2</v>
      </c>
      <c r="AC91" s="9">
        <v>9</v>
      </c>
      <c r="AD91" s="9">
        <v>4</v>
      </c>
      <c r="AE91" s="9">
        <v>12</v>
      </c>
      <c r="AF91" s="10">
        <v>2</v>
      </c>
      <c r="AG91" s="4">
        <f t="shared" si="16"/>
        <v>204</v>
      </c>
    </row>
    <row r="92" spans="1:35" ht="19.5" thickBot="1" x14ac:dyDescent="0.3">
      <c r="A92" s="105" t="s">
        <v>76</v>
      </c>
      <c r="B92" s="9">
        <v>2</v>
      </c>
      <c r="C92" s="9">
        <v>15</v>
      </c>
      <c r="D92" s="9">
        <v>15</v>
      </c>
      <c r="E92" s="9">
        <v>7</v>
      </c>
      <c r="F92" s="9">
        <v>7</v>
      </c>
      <c r="G92" s="9">
        <v>11</v>
      </c>
      <c r="H92" s="9">
        <v>13</v>
      </c>
      <c r="I92" s="9">
        <v>3</v>
      </c>
      <c r="J92" s="9">
        <v>1</v>
      </c>
      <c r="K92" s="9">
        <v>3</v>
      </c>
      <c r="L92" s="9">
        <v>6</v>
      </c>
      <c r="M92" s="9">
        <v>0</v>
      </c>
      <c r="N92" s="9">
        <v>6</v>
      </c>
      <c r="O92" s="9">
        <v>9</v>
      </c>
      <c r="P92" s="9">
        <v>0</v>
      </c>
      <c r="Q92" s="9">
        <v>4</v>
      </c>
      <c r="R92" s="9">
        <v>14</v>
      </c>
      <c r="S92" s="9">
        <v>5</v>
      </c>
      <c r="T92" s="9">
        <v>2</v>
      </c>
      <c r="U92" s="9">
        <v>4</v>
      </c>
      <c r="V92" s="9">
        <v>9</v>
      </c>
      <c r="W92" s="9">
        <v>5</v>
      </c>
      <c r="X92" s="9">
        <v>15</v>
      </c>
      <c r="Y92" s="9">
        <v>14</v>
      </c>
      <c r="Z92" s="9">
        <v>7</v>
      </c>
      <c r="AA92" s="9">
        <v>11</v>
      </c>
      <c r="AB92" s="9">
        <v>4</v>
      </c>
      <c r="AC92" s="9">
        <v>5</v>
      </c>
      <c r="AD92" s="9">
        <v>2</v>
      </c>
      <c r="AE92" s="9">
        <v>11</v>
      </c>
      <c r="AF92" s="10">
        <v>2</v>
      </c>
      <c r="AG92" s="4">
        <f t="shared" si="16"/>
        <v>212</v>
      </c>
    </row>
    <row r="93" spans="1:35" ht="18.75" x14ac:dyDescent="0.25">
      <c r="A93" s="73" t="s">
        <v>616</v>
      </c>
      <c r="B93" s="74">
        <f t="shared" ref="B93:AF93" si="18">+B94+B100</f>
        <v>207</v>
      </c>
      <c r="C93" s="74">
        <f t="shared" si="18"/>
        <v>196</v>
      </c>
      <c r="D93" s="74">
        <f t="shared" si="18"/>
        <v>201</v>
      </c>
      <c r="E93" s="74">
        <f t="shared" si="18"/>
        <v>200</v>
      </c>
      <c r="F93" s="74">
        <f t="shared" si="18"/>
        <v>252</v>
      </c>
      <c r="G93" s="74">
        <f t="shared" si="18"/>
        <v>227</v>
      </c>
      <c r="H93" s="74">
        <f t="shared" si="18"/>
        <v>206</v>
      </c>
      <c r="I93" s="74">
        <f t="shared" si="18"/>
        <v>159</v>
      </c>
      <c r="J93" s="74">
        <f t="shared" si="18"/>
        <v>177</v>
      </c>
      <c r="K93" s="74">
        <f t="shared" si="18"/>
        <v>190</v>
      </c>
      <c r="L93" s="74">
        <f t="shared" si="18"/>
        <v>180</v>
      </c>
      <c r="M93" s="74">
        <f t="shared" si="18"/>
        <v>241</v>
      </c>
      <c r="N93" s="74">
        <f t="shared" si="18"/>
        <v>224</v>
      </c>
      <c r="O93" s="74">
        <f t="shared" si="18"/>
        <v>196</v>
      </c>
      <c r="P93" s="74">
        <f t="shared" si="18"/>
        <v>163</v>
      </c>
      <c r="Q93" s="74">
        <f t="shared" si="18"/>
        <v>177</v>
      </c>
      <c r="R93" s="74">
        <f t="shared" si="18"/>
        <v>176</v>
      </c>
      <c r="S93" s="74">
        <f t="shared" si="18"/>
        <v>106</v>
      </c>
      <c r="T93" s="74">
        <f t="shared" si="18"/>
        <v>209</v>
      </c>
      <c r="U93" s="74">
        <f t="shared" si="18"/>
        <v>198</v>
      </c>
      <c r="V93" s="74">
        <f t="shared" si="18"/>
        <v>203</v>
      </c>
      <c r="W93" s="74">
        <f t="shared" si="18"/>
        <v>190</v>
      </c>
      <c r="X93" s="74">
        <f t="shared" si="18"/>
        <v>164</v>
      </c>
      <c r="Y93" s="74">
        <f t="shared" si="18"/>
        <v>164</v>
      </c>
      <c r="Z93" s="74">
        <f t="shared" si="18"/>
        <v>183</v>
      </c>
      <c r="AA93" s="74">
        <f t="shared" si="18"/>
        <v>222</v>
      </c>
      <c r="AB93" s="74">
        <f t="shared" si="18"/>
        <v>198</v>
      </c>
      <c r="AC93" s="74">
        <f t="shared" si="18"/>
        <v>213</v>
      </c>
      <c r="AD93" s="74">
        <f t="shared" si="18"/>
        <v>161</v>
      </c>
      <c r="AE93" s="74">
        <f t="shared" si="18"/>
        <v>192</v>
      </c>
      <c r="AF93" s="84">
        <f t="shared" si="18"/>
        <v>163</v>
      </c>
      <c r="AG93" s="150">
        <f t="shared" si="16"/>
        <v>5938</v>
      </c>
      <c r="AH93" s="37" t="str">
        <f>IF(AG78&lt;&gt;AG81+AG93,"*","")</f>
        <v/>
      </c>
    </row>
    <row r="94" spans="1:35" ht="18.75" x14ac:dyDescent="0.25">
      <c r="A94" s="42" t="s">
        <v>65</v>
      </c>
      <c r="B94" s="17">
        <f t="shared" ref="B94:AF94" si="19">SUM(B95:B99)</f>
        <v>30</v>
      </c>
      <c r="C94" s="17">
        <f t="shared" si="19"/>
        <v>37</v>
      </c>
      <c r="D94" s="17">
        <f t="shared" si="19"/>
        <v>31</v>
      </c>
      <c r="E94" s="17">
        <f t="shared" si="19"/>
        <v>28</v>
      </c>
      <c r="F94" s="17">
        <f t="shared" si="19"/>
        <v>46</v>
      </c>
      <c r="G94" s="17">
        <f t="shared" si="19"/>
        <v>24</v>
      </c>
      <c r="H94" s="17">
        <f t="shared" si="19"/>
        <v>39</v>
      </c>
      <c r="I94" s="17">
        <f t="shared" si="19"/>
        <v>13</v>
      </c>
      <c r="J94" s="17">
        <f t="shared" si="19"/>
        <v>27</v>
      </c>
      <c r="K94" s="17">
        <f t="shared" si="19"/>
        <v>21</v>
      </c>
      <c r="L94" s="17">
        <f t="shared" si="19"/>
        <v>26</v>
      </c>
      <c r="M94" s="17">
        <f t="shared" si="19"/>
        <v>35</v>
      </c>
      <c r="N94" s="17">
        <f t="shared" si="19"/>
        <v>37</v>
      </c>
      <c r="O94" s="17">
        <f t="shared" si="19"/>
        <v>27</v>
      </c>
      <c r="P94" s="17">
        <f t="shared" si="19"/>
        <v>23</v>
      </c>
      <c r="Q94" s="17">
        <f t="shared" si="19"/>
        <v>23</v>
      </c>
      <c r="R94" s="17">
        <f t="shared" si="19"/>
        <v>22</v>
      </c>
      <c r="S94" s="17">
        <f t="shared" si="19"/>
        <v>14</v>
      </c>
      <c r="T94" s="17">
        <f t="shared" si="19"/>
        <v>37</v>
      </c>
      <c r="U94" s="17">
        <f t="shared" si="19"/>
        <v>37</v>
      </c>
      <c r="V94" s="17">
        <f t="shared" si="19"/>
        <v>33</v>
      </c>
      <c r="W94" s="17">
        <f t="shared" si="19"/>
        <v>34</v>
      </c>
      <c r="X94" s="17">
        <f t="shared" si="19"/>
        <v>14</v>
      </c>
      <c r="Y94" s="17">
        <f t="shared" si="19"/>
        <v>33</v>
      </c>
      <c r="Z94" s="17">
        <f t="shared" si="19"/>
        <v>26</v>
      </c>
      <c r="AA94" s="17">
        <f t="shared" si="19"/>
        <v>25</v>
      </c>
      <c r="AB94" s="17">
        <f t="shared" si="19"/>
        <v>29</v>
      </c>
      <c r="AC94" s="17">
        <f t="shared" si="19"/>
        <v>35</v>
      </c>
      <c r="AD94" s="17">
        <f t="shared" si="19"/>
        <v>19</v>
      </c>
      <c r="AE94" s="17">
        <f t="shared" si="19"/>
        <v>16</v>
      </c>
      <c r="AF94" s="18">
        <f t="shared" si="19"/>
        <v>29</v>
      </c>
      <c r="AG94" s="4">
        <f t="shared" si="16"/>
        <v>870</v>
      </c>
    </row>
    <row r="95" spans="1:35" ht="18.75" x14ac:dyDescent="0.25">
      <c r="A95" s="44" t="s">
        <v>81</v>
      </c>
      <c r="B95" s="7">
        <v>2</v>
      </c>
      <c r="C95" s="7">
        <v>1</v>
      </c>
      <c r="D95" s="7">
        <v>1</v>
      </c>
      <c r="E95" s="7">
        <v>1</v>
      </c>
      <c r="F95" s="7">
        <v>1</v>
      </c>
      <c r="G95" s="7">
        <v>1</v>
      </c>
      <c r="H95" s="7">
        <v>2</v>
      </c>
      <c r="I95" s="7">
        <v>2</v>
      </c>
      <c r="J95" s="7"/>
      <c r="K95" s="7">
        <v>1</v>
      </c>
      <c r="L95" s="7">
        <v>2</v>
      </c>
      <c r="M95" s="7">
        <v>2</v>
      </c>
      <c r="N95" s="7">
        <v>1</v>
      </c>
      <c r="O95" s="7">
        <v>1</v>
      </c>
      <c r="P95" s="7">
        <v>1</v>
      </c>
      <c r="Q95" s="7"/>
      <c r="R95" s="7">
        <v>2</v>
      </c>
      <c r="S95" s="7">
        <v>2</v>
      </c>
      <c r="T95" s="7">
        <v>3</v>
      </c>
      <c r="U95" s="7">
        <v>2</v>
      </c>
      <c r="V95" s="7">
        <v>1</v>
      </c>
      <c r="W95" s="7"/>
      <c r="X95" s="7"/>
      <c r="Y95" s="7"/>
      <c r="Z95" s="7">
        <v>2</v>
      </c>
      <c r="AA95" s="7">
        <v>1</v>
      </c>
      <c r="AB95" s="7">
        <v>1</v>
      </c>
      <c r="AC95" s="7">
        <v>3</v>
      </c>
      <c r="AD95" s="7">
        <v>1</v>
      </c>
      <c r="AE95" s="7">
        <v>1</v>
      </c>
      <c r="AF95" s="8"/>
      <c r="AG95" s="4">
        <f t="shared" si="16"/>
        <v>38</v>
      </c>
    </row>
    <row r="96" spans="1:35" ht="18.75" x14ac:dyDescent="0.25">
      <c r="A96" s="45" t="s">
        <v>82</v>
      </c>
      <c r="B96" s="7">
        <v>2</v>
      </c>
      <c r="C96" s="7">
        <v>3</v>
      </c>
      <c r="D96" s="7">
        <v>0</v>
      </c>
      <c r="E96" s="7">
        <v>3</v>
      </c>
      <c r="F96" s="7">
        <v>5</v>
      </c>
      <c r="G96" s="7">
        <v>1</v>
      </c>
      <c r="H96" s="7">
        <v>3</v>
      </c>
      <c r="I96" s="7"/>
      <c r="J96" s="7">
        <v>3</v>
      </c>
      <c r="K96" s="7">
        <v>1</v>
      </c>
      <c r="L96" s="7">
        <v>1</v>
      </c>
      <c r="M96" s="7">
        <v>3</v>
      </c>
      <c r="N96" s="7">
        <v>1</v>
      </c>
      <c r="O96" s="7">
        <v>2</v>
      </c>
      <c r="P96" s="7">
        <v>5</v>
      </c>
      <c r="Q96" s="7">
        <v>2</v>
      </c>
      <c r="R96" s="7">
        <v>2</v>
      </c>
      <c r="S96" s="141">
        <v>1</v>
      </c>
      <c r="T96" s="7">
        <v>2</v>
      </c>
      <c r="U96" s="7">
        <v>2</v>
      </c>
      <c r="V96" s="7">
        <v>1</v>
      </c>
      <c r="W96" s="7">
        <v>6</v>
      </c>
      <c r="X96" s="7">
        <v>1</v>
      </c>
      <c r="Y96" s="7"/>
      <c r="Z96" s="7">
        <v>1</v>
      </c>
      <c r="AA96" s="7">
        <v>4</v>
      </c>
      <c r="AB96" s="7">
        <v>4</v>
      </c>
      <c r="AC96" s="7">
        <v>2</v>
      </c>
      <c r="AD96" s="7">
        <v>1</v>
      </c>
      <c r="AE96" s="7"/>
      <c r="AF96" s="8">
        <v>1</v>
      </c>
      <c r="AG96" s="4">
        <f t="shared" si="16"/>
        <v>63</v>
      </c>
    </row>
    <row r="97" spans="1:33" ht="18.75" x14ac:dyDescent="0.25">
      <c r="A97" s="46" t="s">
        <v>70</v>
      </c>
      <c r="B97" s="7">
        <v>6</v>
      </c>
      <c r="C97" s="7">
        <v>9</v>
      </c>
      <c r="D97" s="7">
        <v>11</v>
      </c>
      <c r="E97" s="7">
        <v>5</v>
      </c>
      <c r="F97" s="7">
        <v>9</v>
      </c>
      <c r="G97" s="7">
        <v>10</v>
      </c>
      <c r="H97" s="7">
        <v>9</v>
      </c>
      <c r="I97" s="7">
        <v>2</v>
      </c>
      <c r="J97" s="7">
        <v>7</v>
      </c>
      <c r="K97" s="7">
        <v>6</v>
      </c>
      <c r="L97" s="7">
        <v>6</v>
      </c>
      <c r="M97" s="7">
        <v>10</v>
      </c>
      <c r="N97" s="7">
        <v>12</v>
      </c>
      <c r="O97" s="7">
        <v>3</v>
      </c>
      <c r="P97" s="7">
        <v>5</v>
      </c>
      <c r="Q97" s="7">
        <v>1</v>
      </c>
      <c r="R97" s="7">
        <v>4</v>
      </c>
      <c r="S97" s="7">
        <v>2</v>
      </c>
      <c r="T97" s="7">
        <v>7</v>
      </c>
      <c r="U97" s="7">
        <v>8</v>
      </c>
      <c r="V97" s="7">
        <v>7</v>
      </c>
      <c r="W97" s="7">
        <v>7</v>
      </c>
      <c r="X97" s="7">
        <v>5</v>
      </c>
      <c r="Y97" s="7">
        <v>6</v>
      </c>
      <c r="Z97" s="7">
        <v>5</v>
      </c>
      <c r="AA97" s="7">
        <v>4</v>
      </c>
      <c r="AB97" s="7">
        <v>5</v>
      </c>
      <c r="AC97" s="7">
        <v>4</v>
      </c>
      <c r="AD97" s="7">
        <v>5</v>
      </c>
      <c r="AE97" s="7">
        <v>2</v>
      </c>
      <c r="AF97" s="8">
        <v>4</v>
      </c>
      <c r="AG97" s="4">
        <f t="shared" si="16"/>
        <v>186</v>
      </c>
    </row>
    <row r="98" spans="1:33" ht="18.75" x14ac:dyDescent="0.25">
      <c r="A98" s="47" t="s">
        <v>6</v>
      </c>
      <c r="B98" s="7">
        <v>11</v>
      </c>
      <c r="C98" s="7">
        <v>12</v>
      </c>
      <c r="D98" s="7">
        <v>10</v>
      </c>
      <c r="E98" s="7">
        <v>9</v>
      </c>
      <c r="F98" s="7">
        <v>21</v>
      </c>
      <c r="G98" s="7">
        <v>8</v>
      </c>
      <c r="H98" s="7">
        <v>15</v>
      </c>
      <c r="I98" s="7">
        <v>4</v>
      </c>
      <c r="J98" s="7">
        <v>10</v>
      </c>
      <c r="K98" s="7">
        <v>8</v>
      </c>
      <c r="L98" s="7">
        <v>7</v>
      </c>
      <c r="M98" s="7">
        <v>15</v>
      </c>
      <c r="N98" s="7">
        <v>13</v>
      </c>
      <c r="O98" s="7">
        <v>9</v>
      </c>
      <c r="P98" s="7">
        <v>7</v>
      </c>
      <c r="Q98" s="7">
        <v>8</v>
      </c>
      <c r="R98" s="7">
        <v>7</v>
      </c>
      <c r="S98" s="7">
        <v>5</v>
      </c>
      <c r="T98" s="7">
        <v>18</v>
      </c>
      <c r="U98" s="7">
        <v>15</v>
      </c>
      <c r="V98" s="7">
        <v>14</v>
      </c>
      <c r="W98" s="7">
        <v>15</v>
      </c>
      <c r="X98" s="7">
        <v>5</v>
      </c>
      <c r="Y98" s="7">
        <v>19</v>
      </c>
      <c r="Z98" s="7">
        <v>11</v>
      </c>
      <c r="AA98" s="7">
        <v>8</v>
      </c>
      <c r="AB98" s="7">
        <v>12</v>
      </c>
      <c r="AC98" s="7">
        <v>14</v>
      </c>
      <c r="AD98" s="7">
        <v>8</v>
      </c>
      <c r="AE98" s="7">
        <v>8</v>
      </c>
      <c r="AF98" s="8">
        <v>12</v>
      </c>
      <c r="AG98" s="4">
        <f t="shared" si="16"/>
        <v>338</v>
      </c>
    </row>
    <row r="99" spans="1:33" ht="18.75" x14ac:dyDescent="0.25">
      <c r="A99" s="48" t="s">
        <v>7</v>
      </c>
      <c r="B99" s="7">
        <v>9</v>
      </c>
      <c r="C99" s="7">
        <v>12</v>
      </c>
      <c r="D99" s="7">
        <v>9</v>
      </c>
      <c r="E99" s="7">
        <v>10</v>
      </c>
      <c r="F99" s="7">
        <v>10</v>
      </c>
      <c r="G99" s="7">
        <v>4</v>
      </c>
      <c r="H99" s="7">
        <v>10</v>
      </c>
      <c r="I99" s="7">
        <v>5</v>
      </c>
      <c r="J99" s="7">
        <v>7</v>
      </c>
      <c r="K99" s="7">
        <v>5</v>
      </c>
      <c r="L99" s="7">
        <v>10</v>
      </c>
      <c r="M99" s="7">
        <v>5</v>
      </c>
      <c r="N99" s="7">
        <v>10</v>
      </c>
      <c r="O99" s="7">
        <v>12</v>
      </c>
      <c r="P99" s="7">
        <v>5</v>
      </c>
      <c r="Q99" s="7">
        <v>12</v>
      </c>
      <c r="R99" s="7">
        <v>7</v>
      </c>
      <c r="S99" s="7">
        <v>4</v>
      </c>
      <c r="T99" s="7">
        <v>7</v>
      </c>
      <c r="U99" s="7">
        <v>10</v>
      </c>
      <c r="V99" s="7">
        <v>10</v>
      </c>
      <c r="W99" s="7">
        <v>6</v>
      </c>
      <c r="X99" s="7">
        <v>3</v>
      </c>
      <c r="Y99" s="7">
        <v>8</v>
      </c>
      <c r="Z99" s="7">
        <v>7</v>
      </c>
      <c r="AA99" s="7">
        <v>8</v>
      </c>
      <c r="AB99" s="7">
        <v>7</v>
      </c>
      <c r="AC99" s="7">
        <v>12</v>
      </c>
      <c r="AD99" s="7">
        <v>4</v>
      </c>
      <c r="AE99" s="7">
        <v>5</v>
      </c>
      <c r="AF99" s="8">
        <v>12</v>
      </c>
      <c r="AG99" s="4">
        <f t="shared" si="16"/>
        <v>245</v>
      </c>
    </row>
    <row r="100" spans="1:33" ht="18.75" x14ac:dyDescent="0.25">
      <c r="A100" s="42" t="s">
        <v>66</v>
      </c>
      <c r="B100" s="17">
        <f t="shared" ref="B100:AF100" si="20">SUM(B101:B115)</f>
        <v>177</v>
      </c>
      <c r="C100" s="17">
        <f t="shared" si="20"/>
        <v>159</v>
      </c>
      <c r="D100" s="17">
        <f t="shared" si="20"/>
        <v>170</v>
      </c>
      <c r="E100" s="17">
        <f t="shared" si="20"/>
        <v>172</v>
      </c>
      <c r="F100" s="17">
        <f t="shared" si="20"/>
        <v>206</v>
      </c>
      <c r="G100" s="17">
        <f t="shared" si="20"/>
        <v>203</v>
      </c>
      <c r="H100" s="17">
        <f t="shared" si="20"/>
        <v>167</v>
      </c>
      <c r="I100" s="17">
        <f t="shared" si="20"/>
        <v>146</v>
      </c>
      <c r="J100" s="17">
        <f t="shared" si="20"/>
        <v>150</v>
      </c>
      <c r="K100" s="17">
        <f t="shared" si="20"/>
        <v>169</v>
      </c>
      <c r="L100" s="17">
        <f t="shared" si="20"/>
        <v>154</v>
      </c>
      <c r="M100" s="17">
        <f t="shared" si="20"/>
        <v>206</v>
      </c>
      <c r="N100" s="17">
        <f t="shared" si="20"/>
        <v>187</v>
      </c>
      <c r="O100" s="17">
        <f t="shared" si="20"/>
        <v>169</v>
      </c>
      <c r="P100" s="17">
        <f t="shared" si="20"/>
        <v>140</v>
      </c>
      <c r="Q100" s="17">
        <f t="shared" si="20"/>
        <v>154</v>
      </c>
      <c r="R100" s="17">
        <f t="shared" si="20"/>
        <v>154</v>
      </c>
      <c r="S100" s="17">
        <f t="shared" si="20"/>
        <v>92</v>
      </c>
      <c r="T100" s="17">
        <f t="shared" si="20"/>
        <v>172</v>
      </c>
      <c r="U100" s="17">
        <f t="shared" si="20"/>
        <v>161</v>
      </c>
      <c r="V100" s="17">
        <f t="shared" si="20"/>
        <v>170</v>
      </c>
      <c r="W100" s="17">
        <f t="shared" si="20"/>
        <v>156</v>
      </c>
      <c r="X100" s="17">
        <f t="shared" si="20"/>
        <v>150</v>
      </c>
      <c r="Y100" s="17">
        <f t="shared" si="20"/>
        <v>131</v>
      </c>
      <c r="Z100" s="17">
        <f t="shared" si="20"/>
        <v>157</v>
      </c>
      <c r="AA100" s="17">
        <f t="shared" si="20"/>
        <v>197</v>
      </c>
      <c r="AB100" s="17">
        <f t="shared" si="20"/>
        <v>169</v>
      </c>
      <c r="AC100" s="17">
        <f t="shared" si="20"/>
        <v>178</v>
      </c>
      <c r="AD100" s="17">
        <f t="shared" si="20"/>
        <v>142</v>
      </c>
      <c r="AE100" s="17">
        <f t="shared" si="20"/>
        <v>176</v>
      </c>
      <c r="AF100" s="18">
        <f t="shared" si="20"/>
        <v>134</v>
      </c>
      <c r="AG100" s="4">
        <f t="shared" si="16"/>
        <v>5068</v>
      </c>
    </row>
    <row r="101" spans="1:33" ht="18.75" x14ac:dyDescent="0.25">
      <c r="A101" s="48" t="s">
        <v>8</v>
      </c>
      <c r="B101" s="7">
        <v>16</v>
      </c>
      <c r="C101" s="7">
        <v>15</v>
      </c>
      <c r="D101" s="7">
        <v>12</v>
      </c>
      <c r="E101" s="7">
        <v>12</v>
      </c>
      <c r="F101" s="7">
        <v>17</v>
      </c>
      <c r="G101" s="7">
        <v>24</v>
      </c>
      <c r="H101" s="7">
        <v>12</v>
      </c>
      <c r="I101" s="7">
        <v>16</v>
      </c>
      <c r="J101" s="7">
        <v>10</v>
      </c>
      <c r="K101" s="7">
        <v>9</v>
      </c>
      <c r="L101" s="7">
        <v>18</v>
      </c>
      <c r="M101" s="7">
        <v>17</v>
      </c>
      <c r="N101" s="7">
        <v>17</v>
      </c>
      <c r="O101" s="7">
        <v>16</v>
      </c>
      <c r="P101" s="7">
        <v>19</v>
      </c>
      <c r="Q101" s="7">
        <v>20</v>
      </c>
      <c r="R101" s="7">
        <v>15</v>
      </c>
      <c r="S101" s="7">
        <v>10</v>
      </c>
      <c r="T101" s="7">
        <v>12</v>
      </c>
      <c r="U101" s="7">
        <v>15</v>
      </c>
      <c r="V101" s="7">
        <v>13</v>
      </c>
      <c r="W101" s="7">
        <v>13</v>
      </c>
      <c r="X101" s="7">
        <v>11</v>
      </c>
      <c r="Y101" s="7">
        <v>11</v>
      </c>
      <c r="Z101" s="7">
        <v>16</v>
      </c>
      <c r="AA101" s="7">
        <v>13</v>
      </c>
      <c r="AB101" s="7">
        <v>20</v>
      </c>
      <c r="AC101" s="7">
        <v>17</v>
      </c>
      <c r="AD101" s="7">
        <v>15</v>
      </c>
      <c r="AE101" s="7">
        <v>16</v>
      </c>
      <c r="AF101" s="8">
        <v>12</v>
      </c>
      <c r="AG101" s="4">
        <f t="shared" si="16"/>
        <v>459</v>
      </c>
    </row>
    <row r="102" spans="1:33" ht="18.75" x14ac:dyDescent="0.25">
      <c r="A102" s="48" t="s">
        <v>9</v>
      </c>
      <c r="B102" s="7">
        <v>29</v>
      </c>
      <c r="C102" s="7">
        <v>21</v>
      </c>
      <c r="D102" s="7">
        <v>21</v>
      </c>
      <c r="E102" s="7">
        <v>23</v>
      </c>
      <c r="F102" s="7">
        <v>21</v>
      </c>
      <c r="G102" s="7">
        <v>21</v>
      </c>
      <c r="H102" s="7">
        <v>24</v>
      </c>
      <c r="I102" s="7">
        <v>23</v>
      </c>
      <c r="J102" s="7">
        <v>22</v>
      </c>
      <c r="K102" s="7">
        <v>26</v>
      </c>
      <c r="L102" s="7">
        <v>23</v>
      </c>
      <c r="M102" s="7">
        <v>24</v>
      </c>
      <c r="N102" s="7">
        <v>24</v>
      </c>
      <c r="O102" s="7">
        <v>21</v>
      </c>
      <c r="P102" s="7">
        <v>17</v>
      </c>
      <c r="Q102" s="7">
        <v>16</v>
      </c>
      <c r="R102" s="7">
        <v>18</v>
      </c>
      <c r="S102" s="7">
        <v>16</v>
      </c>
      <c r="T102" s="7">
        <v>17</v>
      </c>
      <c r="U102" s="7">
        <v>20</v>
      </c>
      <c r="V102" s="7">
        <v>21</v>
      </c>
      <c r="W102" s="7">
        <v>24</v>
      </c>
      <c r="X102" s="7">
        <v>17</v>
      </c>
      <c r="Y102" s="7">
        <v>12</v>
      </c>
      <c r="Z102" s="7">
        <v>12</v>
      </c>
      <c r="AA102" s="7">
        <v>24</v>
      </c>
      <c r="AB102" s="7">
        <v>13</v>
      </c>
      <c r="AC102" s="7">
        <v>29</v>
      </c>
      <c r="AD102" s="7">
        <v>26</v>
      </c>
      <c r="AE102" s="7">
        <v>20</v>
      </c>
      <c r="AF102" s="8">
        <v>18</v>
      </c>
      <c r="AG102" s="4">
        <f t="shared" si="16"/>
        <v>643</v>
      </c>
    </row>
    <row r="103" spans="1:33" ht="18.75" x14ac:dyDescent="0.25">
      <c r="A103" s="49" t="s">
        <v>10</v>
      </c>
      <c r="B103" s="7">
        <v>23</v>
      </c>
      <c r="C103" s="7">
        <v>22</v>
      </c>
      <c r="D103" s="7">
        <v>10</v>
      </c>
      <c r="E103" s="7">
        <v>16</v>
      </c>
      <c r="F103" s="7">
        <v>22</v>
      </c>
      <c r="G103" s="7">
        <v>10</v>
      </c>
      <c r="H103" s="7">
        <v>15</v>
      </c>
      <c r="I103" s="7">
        <v>9</v>
      </c>
      <c r="J103" s="7">
        <v>14</v>
      </c>
      <c r="K103" s="7">
        <v>16</v>
      </c>
      <c r="L103" s="7">
        <v>12</v>
      </c>
      <c r="M103" s="7">
        <v>26</v>
      </c>
      <c r="N103" s="7">
        <v>12</v>
      </c>
      <c r="O103" s="7">
        <v>20</v>
      </c>
      <c r="P103" s="7">
        <v>20</v>
      </c>
      <c r="Q103" s="7">
        <v>14</v>
      </c>
      <c r="R103" s="7">
        <v>23</v>
      </c>
      <c r="S103" s="7">
        <v>11</v>
      </c>
      <c r="T103" s="7">
        <v>17</v>
      </c>
      <c r="U103" s="7">
        <v>18</v>
      </c>
      <c r="V103" s="7">
        <v>23</v>
      </c>
      <c r="W103" s="7">
        <v>13</v>
      </c>
      <c r="X103" s="7">
        <v>15</v>
      </c>
      <c r="Y103" s="7">
        <v>15</v>
      </c>
      <c r="Z103" s="7">
        <v>16</v>
      </c>
      <c r="AA103" s="7">
        <v>17</v>
      </c>
      <c r="AB103" s="7">
        <v>16</v>
      </c>
      <c r="AC103" s="7">
        <v>16</v>
      </c>
      <c r="AD103" s="7">
        <v>16</v>
      </c>
      <c r="AE103" s="7">
        <v>19</v>
      </c>
      <c r="AF103" s="8">
        <v>15</v>
      </c>
      <c r="AG103" s="4">
        <f t="shared" si="16"/>
        <v>511</v>
      </c>
    </row>
    <row r="104" spans="1:33" ht="18.75" x14ac:dyDescent="0.25">
      <c r="A104" s="49" t="s">
        <v>11</v>
      </c>
      <c r="B104" s="7">
        <v>10</v>
      </c>
      <c r="C104" s="7">
        <v>10</v>
      </c>
      <c r="D104" s="7">
        <v>19</v>
      </c>
      <c r="E104" s="7">
        <v>8</v>
      </c>
      <c r="F104" s="7">
        <v>17</v>
      </c>
      <c r="G104" s="7">
        <v>14</v>
      </c>
      <c r="H104" s="7">
        <v>8</v>
      </c>
      <c r="I104" s="7">
        <v>13</v>
      </c>
      <c r="J104" s="7">
        <v>11</v>
      </c>
      <c r="K104" s="7">
        <v>13</v>
      </c>
      <c r="L104" s="7">
        <v>8</v>
      </c>
      <c r="M104" s="7">
        <v>10</v>
      </c>
      <c r="N104" s="7">
        <v>15</v>
      </c>
      <c r="O104" s="7">
        <v>10</v>
      </c>
      <c r="P104" s="7">
        <v>18</v>
      </c>
      <c r="Q104" s="7">
        <v>18</v>
      </c>
      <c r="R104" s="7">
        <v>12</v>
      </c>
      <c r="S104" s="7">
        <v>5</v>
      </c>
      <c r="T104" s="7">
        <v>20</v>
      </c>
      <c r="U104" s="7">
        <v>14</v>
      </c>
      <c r="V104" s="7">
        <v>9</v>
      </c>
      <c r="W104" s="7">
        <v>16</v>
      </c>
      <c r="X104" s="7">
        <v>10</v>
      </c>
      <c r="Y104" s="7">
        <v>9</v>
      </c>
      <c r="Z104" s="7">
        <v>21</v>
      </c>
      <c r="AA104" s="7">
        <v>23</v>
      </c>
      <c r="AB104" s="7">
        <v>17</v>
      </c>
      <c r="AC104" s="7">
        <v>12</v>
      </c>
      <c r="AD104" s="7">
        <v>8</v>
      </c>
      <c r="AE104" s="7">
        <v>17</v>
      </c>
      <c r="AF104" s="8">
        <v>9</v>
      </c>
      <c r="AG104" s="4">
        <f t="shared" si="16"/>
        <v>404</v>
      </c>
    </row>
    <row r="105" spans="1:33" ht="18.75" x14ac:dyDescent="0.25">
      <c r="A105" s="49" t="s">
        <v>12</v>
      </c>
      <c r="B105" s="7">
        <v>12</v>
      </c>
      <c r="C105" s="7">
        <v>17</v>
      </c>
      <c r="D105" s="7">
        <v>13</v>
      </c>
      <c r="E105" s="7">
        <v>14</v>
      </c>
      <c r="F105" s="7">
        <v>8</v>
      </c>
      <c r="G105" s="7">
        <v>11</v>
      </c>
      <c r="H105" s="7">
        <v>24</v>
      </c>
      <c r="I105" s="7">
        <v>4</v>
      </c>
      <c r="J105" s="7">
        <v>9</v>
      </c>
      <c r="K105" s="7">
        <v>13</v>
      </c>
      <c r="L105" s="7">
        <v>15</v>
      </c>
      <c r="M105" s="7">
        <v>17</v>
      </c>
      <c r="N105" s="7">
        <v>17</v>
      </c>
      <c r="O105" s="7">
        <v>11</v>
      </c>
      <c r="P105" s="7">
        <v>9</v>
      </c>
      <c r="Q105" s="7">
        <v>7</v>
      </c>
      <c r="R105" s="7">
        <v>10</v>
      </c>
      <c r="S105" s="7">
        <v>7</v>
      </c>
      <c r="T105" s="7">
        <v>14</v>
      </c>
      <c r="U105" s="7">
        <v>5</v>
      </c>
      <c r="V105" s="7">
        <v>16</v>
      </c>
      <c r="W105" s="7">
        <v>13</v>
      </c>
      <c r="X105" s="7">
        <v>5</v>
      </c>
      <c r="Y105" s="7">
        <v>11</v>
      </c>
      <c r="Z105" s="7">
        <v>12</v>
      </c>
      <c r="AA105" s="7">
        <v>19</v>
      </c>
      <c r="AB105" s="7">
        <v>13</v>
      </c>
      <c r="AC105" s="7">
        <v>10</v>
      </c>
      <c r="AD105" s="7">
        <v>10</v>
      </c>
      <c r="AE105" s="7">
        <v>17</v>
      </c>
      <c r="AF105" s="8">
        <v>11</v>
      </c>
      <c r="AG105" s="4">
        <f t="shared" si="16"/>
        <v>374</v>
      </c>
    </row>
    <row r="106" spans="1:33" ht="18.75" x14ac:dyDescent="0.25">
      <c r="A106" s="49" t="s">
        <v>13</v>
      </c>
      <c r="B106" s="7">
        <v>14</v>
      </c>
      <c r="C106" s="7">
        <v>13</v>
      </c>
      <c r="D106" s="7">
        <v>14</v>
      </c>
      <c r="E106" s="7">
        <v>14</v>
      </c>
      <c r="F106" s="7">
        <v>18</v>
      </c>
      <c r="G106" s="7">
        <v>13</v>
      </c>
      <c r="H106" s="7">
        <v>17</v>
      </c>
      <c r="I106" s="7">
        <v>18</v>
      </c>
      <c r="J106" s="7">
        <v>14</v>
      </c>
      <c r="K106" s="7">
        <v>10</v>
      </c>
      <c r="L106" s="7">
        <v>6</v>
      </c>
      <c r="M106" s="7">
        <v>11</v>
      </c>
      <c r="N106" s="7">
        <v>10</v>
      </c>
      <c r="O106" s="7">
        <v>11</v>
      </c>
      <c r="P106" s="7">
        <v>10</v>
      </c>
      <c r="Q106" s="7">
        <v>9</v>
      </c>
      <c r="R106" s="7">
        <v>11</v>
      </c>
      <c r="S106" s="7">
        <v>6</v>
      </c>
      <c r="T106" s="7">
        <v>12</v>
      </c>
      <c r="U106" s="7">
        <v>13</v>
      </c>
      <c r="V106" s="7">
        <v>8</v>
      </c>
      <c r="W106" s="7">
        <v>8</v>
      </c>
      <c r="X106" s="7">
        <v>11</v>
      </c>
      <c r="Y106" s="7">
        <v>9</v>
      </c>
      <c r="Z106" s="7">
        <v>13</v>
      </c>
      <c r="AA106" s="7">
        <v>23</v>
      </c>
      <c r="AB106" s="7">
        <v>13</v>
      </c>
      <c r="AC106" s="7">
        <v>16</v>
      </c>
      <c r="AD106" s="7">
        <v>12</v>
      </c>
      <c r="AE106" s="7">
        <v>6</v>
      </c>
      <c r="AF106" s="8">
        <v>12</v>
      </c>
      <c r="AG106" s="4">
        <f t="shared" si="16"/>
        <v>375</v>
      </c>
    </row>
    <row r="107" spans="1:33" ht="18.75" x14ac:dyDescent="0.25">
      <c r="A107" s="49" t="s">
        <v>14</v>
      </c>
      <c r="B107" s="7">
        <v>18</v>
      </c>
      <c r="C107" s="7">
        <v>13</v>
      </c>
      <c r="D107" s="7">
        <v>14</v>
      </c>
      <c r="E107" s="7">
        <v>9</v>
      </c>
      <c r="F107" s="7">
        <v>12</v>
      </c>
      <c r="G107" s="7">
        <v>19</v>
      </c>
      <c r="H107" s="7">
        <v>12</v>
      </c>
      <c r="I107" s="7">
        <v>9</v>
      </c>
      <c r="J107" s="7">
        <v>6</v>
      </c>
      <c r="K107" s="7">
        <v>16</v>
      </c>
      <c r="L107" s="7">
        <v>13</v>
      </c>
      <c r="M107" s="7">
        <v>21</v>
      </c>
      <c r="N107" s="7">
        <v>27</v>
      </c>
      <c r="O107" s="7">
        <v>13</v>
      </c>
      <c r="P107" s="7">
        <v>10</v>
      </c>
      <c r="Q107" s="7">
        <v>8</v>
      </c>
      <c r="R107" s="7">
        <v>7</v>
      </c>
      <c r="S107" s="7">
        <v>4</v>
      </c>
      <c r="T107" s="7">
        <v>11</v>
      </c>
      <c r="U107" s="7">
        <v>15</v>
      </c>
      <c r="V107" s="7">
        <v>14</v>
      </c>
      <c r="W107" s="7">
        <v>10</v>
      </c>
      <c r="X107" s="7">
        <v>14</v>
      </c>
      <c r="Y107" s="7">
        <v>9</v>
      </c>
      <c r="Z107" s="7">
        <v>11</v>
      </c>
      <c r="AA107" s="7">
        <v>14</v>
      </c>
      <c r="AB107" s="7">
        <v>13</v>
      </c>
      <c r="AC107" s="7">
        <v>10</v>
      </c>
      <c r="AD107" s="7">
        <v>14</v>
      </c>
      <c r="AE107" s="7">
        <v>24</v>
      </c>
      <c r="AF107" s="8">
        <v>3</v>
      </c>
      <c r="AG107" s="4">
        <f t="shared" si="16"/>
        <v>393</v>
      </c>
    </row>
    <row r="108" spans="1:33" ht="18.75" x14ac:dyDescent="0.25">
      <c r="A108" s="49" t="s">
        <v>15</v>
      </c>
      <c r="B108" s="7">
        <v>10</v>
      </c>
      <c r="C108" s="7">
        <v>13</v>
      </c>
      <c r="D108" s="7">
        <v>11</v>
      </c>
      <c r="E108" s="7">
        <v>18</v>
      </c>
      <c r="F108" s="7">
        <v>16</v>
      </c>
      <c r="G108" s="7">
        <v>16</v>
      </c>
      <c r="H108" s="7">
        <v>14</v>
      </c>
      <c r="I108" s="7">
        <v>12</v>
      </c>
      <c r="J108" s="7">
        <v>17</v>
      </c>
      <c r="K108" s="7">
        <v>11</v>
      </c>
      <c r="L108" s="7">
        <v>10</v>
      </c>
      <c r="M108" s="7">
        <v>19</v>
      </c>
      <c r="N108" s="7">
        <v>9</v>
      </c>
      <c r="O108" s="7">
        <v>16</v>
      </c>
      <c r="P108" s="7">
        <v>7</v>
      </c>
      <c r="Q108" s="7">
        <v>18</v>
      </c>
      <c r="R108" s="7">
        <v>11</v>
      </c>
      <c r="S108" s="7">
        <v>5</v>
      </c>
      <c r="T108" s="7">
        <v>14</v>
      </c>
      <c r="U108" s="7">
        <v>16</v>
      </c>
      <c r="V108" s="7">
        <v>15</v>
      </c>
      <c r="W108" s="7">
        <v>8</v>
      </c>
      <c r="X108" s="7">
        <v>11</v>
      </c>
      <c r="Y108" s="7">
        <v>12</v>
      </c>
      <c r="Z108" s="7">
        <v>10</v>
      </c>
      <c r="AA108" s="7">
        <v>17</v>
      </c>
      <c r="AB108" s="7">
        <v>11</v>
      </c>
      <c r="AC108" s="7">
        <v>15</v>
      </c>
      <c r="AD108" s="7">
        <v>11</v>
      </c>
      <c r="AE108" s="7">
        <v>6</v>
      </c>
      <c r="AF108" s="8">
        <v>9</v>
      </c>
      <c r="AG108" s="4">
        <f t="shared" si="16"/>
        <v>388</v>
      </c>
    </row>
    <row r="109" spans="1:33" ht="18.75" x14ac:dyDescent="0.25">
      <c r="A109" s="49" t="s">
        <v>16</v>
      </c>
      <c r="B109" s="7">
        <v>8</v>
      </c>
      <c r="C109" s="7">
        <v>9</v>
      </c>
      <c r="D109" s="7">
        <v>7</v>
      </c>
      <c r="E109" s="7">
        <v>16</v>
      </c>
      <c r="F109" s="7">
        <v>13</v>
      </c>
      <c r="G109" s="7">
        <v>9</v>
      </c>
      <c r="H109" s="7">
        <v>11</v>
      </c>
      <c r="I109" s="7">
        <v>10</v>
      </c>
      <c r="J109" s="7">
        <v>10</v>
      </c>
      <c r="K109" s="7">
        <v>10</v>
      </c>
      <c r="L109" s="7">
        <v>9</v>
      </c>
      <c r="M109" s="7">
        <v>9</v>
      </c>
      <c r="N109" s="7">
        <v>12</v>
      </c>
      <c r="O109" s="7">
        <v>11</v>
      </c>
      <c r="P109" s="7">
        <v>9</v>
      </c>
      <c r="Q109" s="7">
        <v>15</v>
      </c>
      <c r="R109" s="7">
        <v>8</v>
      </c>
      <c r="S109" s="7">
        <v>8</v>
      </c>
      <c r="T109" s="7">
        <v>14</v>
      </c>
      <c r="U109" s="7">
        <v>16</v>
      </c>
      <c r="V109" s="7">
        <v>8</v>
      </c>
      <c r="W109" s="7">
        <v>14</v>
      </c>
      <c r="X109" s="7">
        <v>9</v>
      </c>
      <c r="Y109" s="7">
        <v>7</v>
      </c>
      <c r="Z109" s="7">
        <v>9</v>
      </c>
      <c r="AA109" s="7">
        <v>11</v>
      </c>
      <c r="AB109" s="7">
        <v>16</v>
      </c>
      <c r="AC109" s="7">
        <v>14</v>
      </c>
      <c r="AD109" s="7">
        <v>9</v>
      </c>
      <c r="AE109" s="7">
        <v>15</v>
      </c>
      <c r="AF109" s="8">
        <v>10</v>
      </c>
      <c r="AG109" s="4">
        <f t="shared" si="16"/>
        <v>336</v>
      </c>
    </row>
    <row r="110" spans="1:33" ht="18.75" x14ac:dyDescent="0.25">
      <c r="A110" s="49" t="s">
        <v>17</v>
      </c>
      <c r="B110" s="7">
        <v>11</v>
      </c>
      <c r="C110" s="7">
        <v>9</v>
      </c>
      <c r="D110" s="7">
        <v>10</v>
      </c>
      <c r="E110" s="7">
        <v>9</v>
      </c>
      <c r="F110" s="7">
        <v>16</v>
      </c>
      <c r="G110" s="7">
        <v>15</v>
      </c>
      <c r="H110" s="7">
        <v>8</v>
      </c>
      <c r="I110" s="7">
        <v>9</v>
      </c>
      <c r="J110" s="7">
        <v>15</v>
      </c>
      <c r="K110" s="7">
        <v>13</v>
      </c>
      <c r="L110" s="7">
        <v>9</v>
      </c>
      <c r="M110" s="7">
        <v>13</v>
      </c>
      <c r="N110" s="7">
        <v>10</v>
      </c>
      <c r="O110" s="7">
        <v>10</v>
      </c>
      <c r="P110" s="7">
        <v>6</v>
      </c>
      <c r="Q110" s="7">
        <v>8</v>
      </c>
      <c r="R110" s="7">
        <v>9</v>
      </c>
      <c r="S110" s="7">
        <v>7</v>
      </c>
      <c r="T110" s="7">
        <v>5</v>
      </c>
      <c r="U110" s="7">
        <v>8</v>
      </c>
      <c r="V110" s="7">
        <v>8</v>
      </c>
      <c r="W110" s="7">
        <v>11</v>
      </c>
      <c r="X110" s="7">
        <v>4</v>
      </c>
      <c r="Y110" s="7">
        <v>13</v>
      </c>
      <c r="Z110" s="7">
        <v>8</v>
      </c>
      <c r="AA110" s="7">
        <v>9</v>
      </c>
      <c r="AB110" s="7">
        <v>7</v>
      </c>
      <c r="AC110" s="7">
        <v>12</v>
      </c>
      <c r="AD110" s="7">
        <v>5</v>
      </c>
      <c r="AE110" s="7">
        <v>15</v>
      </c>
      <c r="AF110" s="8">
        <v>7</v>
      </c>
      <c r="AG110" s="4">
        <f t="shared" si="16"/>
        <v>299</v>
      </c>
    </row>
    <row r="111" spans="1:33" ht="18.75" x14ac:dyDescent="0.25">
      <c r="A111" s="49" t="s">
        <v>18</v>
      </c>
      <c r="B111" s="7">
        <v>7</v>
      </c>
      <c r="C111" s="7">
        <v>5</v>
      </c>
      <c r="D111" s="7">
        <v>11</v>
      </c>
      <c r="E111" s="7">
        <v>13</v>
      </c>
      <c r="F111" s="7">
        <v>13</v>
      </c>
      <c r="G111" s="7">
        <v>13</v>
      </c>
      <c r="H111" s="7">
        <v>4</v>
      </c>
      <c r="I111" s="7">
        <v>8</v>
      </c>
      <c r="J111" s="7">
        <v>6</v>
      </c>
      <c r="K111" s="7">
        <v>12</v>
      </c>
      <c r="L111" s="7">
        <v>12</v>
      </c>
      <c r="M111" s="7">
        <v>14</v>
      </c>
      <c r="N111" s="7">
        <v>9</v>
      </c>
      <c r="O111" s="7">
        <v>9</v>
      </c>
      <c r="P111" s="7">
        <v>2</v>
      </c>
      <c r="Q111" s="7">
        <v>6</v>
      </c>
      <c r="R111" s="7">
        <v>9</v>
      </c>
      <c r="S111" s="7">
        <v>3</v>
      </c>
      <c r="T111" s="7">
        <v>13</v>
      </c>
      <c r="U111" s="7">
        <v>5</v>
      </c>
      <c r="V111" s="7">
        <v>8</v>
      </c>
      <c r="W111" s="7">
        <v>7</v>
      </c>
      <c r="X111" s="7">
        <v>15</v>
      </c>
      <c r="Y111" s="7">
        <v>10</v>
      </c>
      <c r="Z111" s="7">
        <v>8</v>
      </c>
      <c r="AA111" s="7">
        <v>8</v>
      </c>
      <c r="AB111" s="7">
        <v>10</v>
      </c>
      <c r="AC111" s="7">
        <v>10</v>
      </c>
      <c r="AD111" s="7">
        <v>3</v>
      </c>
      <c r="AE111" s="7">
        <v>6</v>
      </c>
      <c r="AF111" s="8">
        <v>7</v>
      </c>
      <c r="AG111" s="4">
        <f t="shared" si="16"/>
        <v>266</v>
      </c>
    </row>
    <row r="112" spans="1:33" ht="18.75" x14ac:dyDescent="0.25">
      <c r="A112" s="49" t="s">
        <v>19</v>
      </c>
      <c r="B112" s="7">
        <v>9</v>
      </c>
      <c r="C112" s="7">
        <v>5</v>
      </c>
      <c r="D112" s="7">
        <v>8</v>
      </c>
      <c r="E112" s="7">
        <v>3</v>
      </c>
      <c r="F112" s="7">
        <v>13</v>
      </c>
      <c r="G112" s="7">
        <v>14</v>
      </c>
      <c r="H112" s="7">
        <v>6</v>
      </c>
      <c r="I112" s="7">
        <v>4</v>
      </c>
      <c r="J112" s="7">
        <v>5</v>
      </c>
      <c r="K112" s="7">
        <v>6</v>
      </c>
      <c r="L112" s="7">
        <v>8</v>
      </c>
      <c r="M112" s="7">
        <v>10</v>
      </c>
      <c r="N112" s="7">
        <v>8</v>
      </c>
      <c r="O112" s="7">
        <v>10</v>
      </c>
      <c r="P112" s="7">
        <v>5</v>
      </c>
      <c r="Q112" s="7">
        <v>4</v>
      </c>
      <c r="R112" s="7">
        <v>8</v>
      </c>
      <c r="S112" s="7">
        <v>2</v>
      </c>
      <c r="T112" s="7">
        <v>5</v>
      </c>
      <c r="U112" s="7">
        <v>5</v>
      </c>
      <c r="V112" s="7">
        <v>8</v>
      </c>
      <c r="W112" s="7">
        <v>4</v>
      </c>
      <c r="X112" s="7">
        <v>7</v>
      </c>
      <c r="Y112" s="7">
        <v>9</v>
      </c>
      <c r="Z112" s="7">
        <v>10</v>
      </c>
      <c r="AA112" s="7">
        <v>7</v>
      </c>
      <c r="AB112" s="7">
        <v>7</v>
      </c>
      <c r="AC112" s="7">
        <v>3</v>
      </c>
      <c r="AD112" s="7">
        <v>4</v>
      </c>
      <c r="AE112" s="7">
        <v>8</v>
      </c>
      <c r="AF112" s="8">
        <v>9</v>
      </c>
      <c r="AG112" s="4">
        <f>SUM(B112:AF112)</f>
        <v>214</v>
      </c>
    </row>
    <row r="113" spans="1:33" ht="18.75" x14ac:dyDescent="0.25">
      <c r="A113" s="49" t="s">
        <v>20</v>
      </c>
      <c r="B113" s="7">
        <v>4</v>
      </c>
      <c r="C113" s="7">
        <v>6</v>
      </c>
      <c r="D113" s="7">
        <v>8</v>
      </c>
      <c r="E113" s="7">
        <v>6</v>
      </c>
      <c r="F113" s="7">
        <v>11</v>
      </c>
      <c r="G113" s="7">
        <v>11</v>
      </c>
      <c r="H113" s="7">
        <v>4</v>
      </c>
      <c r="I113" s="7">
        <v>4</v>
      </c>
      <c r="J113" s="7">
        <v>5</v>
      </c>
      <c r="K113" s="7">
        <v>3</v>
      </c>
      <c r="L113" s="7">
        <v>4</v>
      </c>
      <c r="M113" s="7">
        <v>6</v>
      </c>
      <c r="N113" s="7">
        <v>7</v>
      </c>
      <c r="O113" s="7">
        <v>6</v>
      </c>
      <c r="P113" s="7">
        <v>1</v>
      </c>
      <c r="Q113" s="7">
        <v>8</v>
      </c>
      <c r="R113" s="7">
        <v>6</v>
      </c>
      <c r="S113" s="7">
        <v>3</v>
      </c>
      <c r="T113" s="7">
        <v>10</v>
      </c>
      <c r="U113" s="7">
        <v>4</v>
      </c>
      <c r="V113" s="7">
        <v>13</v>
      </c>
      <c r="W113" s="7">
        <v>11</v>
      </c>
      <c r="X113" s="7">
        <v>12</v>
      </c>
      <c r="Y113" s="7">
        <v>1</v>
      </c>
      <c r="Z113" s="7">
        <v>6</v>
      </c>
      <c r="AA113" s="7">
        <v>6</v>
      </c>
      <c r="AB113" s="7">
        <v>4</v>
      </c>
      <c r="AC113" s="7">
        <v>2</v>
      </c>
      <c r="AD113" s="7">
        <v>4</v>
      </c>
      <c r="AE113" s="7">
        <v>1</v>
      </c>
      <c r="AF113" s="8">
        <v>6</v>
      </c>
      <c r="AG113" s="4">
        <f t="shared" si="16"/>
        <v>183</v>
      </c>
    </row>
    <row r="114" spans="1:33" ht="18.75" x14ac:dyDescent="0.25">
      <c r="A114" s="49" t="s">
        <v>21</v>
      </c>
      <c r="B114" s="7">
        <v>6</v>
      </c>
      <c r="C114" s="7">
        <v>1</v>
      </c>
      <c r="D114" s="7">
        <v>12</v>
      </c>
      <c r="E114" s="7">
        <v>11</v>
      </c>
      <c r="F114" s="7">
        <v>9</v>
      </c>
      <c r="G114" s="7">
        <v>13</v>
      </c>
      <c r="H114" s="7">
        <v>8</v>
      </c>
      <c r="I114" s="7">
        <v>7</v>
      </c>
      <c r="J114" s="7">
        <v>6</v>
      </c>
      <c r="K114" s="7">
        <v>11</v>
      </c>
      <c r="L114" s="7">
        <v>7</v>
      </c>
      <c r="M114" s="7">
        <v>9</v>
      </c>
      <c r="N114" s="7">
        <v>10</v>
      </c>
      <c r="O114" s="7">
        <v>5</v>
      </c>
      <c r="P114" s="7">
        <v>7</v>
      </c>
      <c r="Q114" s="7">
        <v>3</v>
      </c>
      <c r="R114" s="7">
        <v>7</v>
      </c>
      <c r="S114" s="7">
        <v>5</v>
      </c>
      <c r="T114" s="7">
        <v>8</v>
      </c>
      <c r="U114" s="7">
        <v>7</v>
      </c>
      <c r="V114" s="7">
        <v>6</v>
      </c>
      <c r="W114" s="7">
        <v>4</v>
      </c>
      <c r="X114" s="7">
        <v>9</v>
      </c>
      <c r="Y114" s="7">
        <v>3</v>
      </c>
      <c r="Z114" s="7">
        <v>5</v>
      </c>
      <c r="AA114" s="7">
        <v>6</v>
      </c>
      <c r="AB114" s="7">
        <v>9</v>
      </c>
      <c r="AC114" s="7">
        <v>12</v>
      </c>
      <c r="AD114" s="7">
        <v>5</v>
      </c>
      <c r="AE114" s="7">
        <v>6</v>
      </c>
      <c r="AF114" s="8">
        <v>6</v>
      </c>
      <c r="AG114" s="4">
        <f t="shared" si="16"/>
        <v>223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6"/>
        <v>0</v>
      </c>
    </row>
    <row r="116" spans="1:33" ht="18.75" x14ac:dyDescent="0.25">
      <c r="A116" s="73" t="s">
        <v>61</v>
      </c>
      <c r="B116" s="74">
        <f t="shared" ref="B116:AF116" si="21">SUM(B117:B129)</f>
        <v>83</v>
      </c>
      <c r="C116" s="74">
        <f t="shared" si="21"/>
        <v>88</v>
      </c>
      <c r="D116" s="74">
        <f t="shared" si="21"/>
        <v>112</v>
      </c>
      <c r="E116" s="74">
        <f t="shared" si="21"/>
        <v>83</v>
      </c>
      <c r="F116" s="74">
        <f t="shared" si="21"/>
        <v>114</v>
      </c>
      <c r="G116" s="74">
        <f t="shared" si="21"/>
        <v>91</v>
      </c>
      <c r="H116" s="74">
        <f t="shared" si="21"/>
        <v>10</v>
      </c>
      <c r="I116" s="74">
        <f t="shared" si="21"/>
        <v>62</v>
      </c>
      <c r="J116" s="74">
        <f t="shared" si="21"/>
        <v>85</v>
      </c>
      <c r="K116" s="74">
        <f t="shared" si="21"/>
        <v>79</v>
      </c>
      <c r="L116" s="74">
        <f t="shared" si="21"/>
        <v>93</v>
      </c>
      <c r="M116" s="74">
        <f t="shared" si="21"/>
        <v>99</v>
      </c>
      <c r="N116" s="74">
        <f t="shared" si="21"/>
        <v>116</v>
      </c>
      <c r="O116" s="74">
        <f t="shared" si="21"/>
        <v>91</v>
      </c>
      <c r="P116" s="74">
        <f t="shared" si="21"/>
        <v>72</v>
      </c>
      <c r="Q116" s="74">
        <f t="shared" si="21"/>
        <v>67</v>
      </c>
      <c r="R116" s="74">
        <f t="shared" si="21"/>
        <v>90</v>
      </c>
      <c r="S116" s="74">
        <f t="shared" si="21"/>
        <v>51</v>
      </c>
      <c r="T116" s="74">
        <f t="shared" si="21"/>
        <v>102</v>
      </c>
      <c r="U116" s="74">
        <f t="shared" si="21"/>
        <v>84</v>
      </c>
      <c r="V116" s="74">
        <f t="shared" si="21"/>
        <v>96</v>
      </c>
      <c r="W116" s="74">
        <f t="shared" si="21"/>
        <v>87</v>
      </c>
      <c r="X116" s="74">
        <f t="shared" si="21"/>
        <v>98</v>
      </c>
      <c r="Y116" s="74">
        <f t="shared" si="21"/>
        <v>90</v>
      </c>
      <c r="Z116" s="74">
        <f t="shared" si="21"/>
        <v>83</v>
      </c>
      <c r="AA116" s="74">
        <f t="shared" si="21"/>
        <v>122</v>
      </c>
      <c r="AB116" s="74">
        <f t="shared" si="21"/>
        <v>89</v>
      </c>
      <c r="AC116" s="74">
        <f t="shared" si="21"/>
        <v>116</v>
      </c>
      <c r="AD116" s="74">
        <f t="shared" si="21"/>
        <v>71</v>
      </c>
      <c r="AE116" s="74">
        <f t="shared" si="21"/>
        <v>98</v>
      </c>
      <c r="AF116" s="84">
        <f t="shared" si="21"/>
        <v>78</v>
      </c>
      <c r="AG116" s="4">
        <f t="shared" si="16"/>
        <v>2700</v>
      </c>
    </row>
    <row r="117" spans="1:33" ht="18.75" x14ac:dyDescent="0.25">
      <c r="A117" s="43" t="s">
        <v>59</v>
      </c>
      <c r="B117" s="7">
        <v>46</v>
      </c>
      <c r="C117" s="7">
        <v>53</v>
      </c>
      <c r="D117" s="7">
        <v>72</v>
      </c>
      <c r="E117" s="7">
        <v>58</v>
      </c>
      <c r="F117" s="7">
        <v>77</v>
      </c>
      <c r="G117" s="7">
        <v>72</v>
      </c>
      <c r="H117" s="7">
        <v>7</v>
      </c>
      <c r="I117" s="7">
        <v>48</v>
      </c>
      <c r="J117" s="7">
        <v>60</v>
      </c>
      <c r="K117" s="7">
        <v>52</v>
      </c>
      <c r="L117" s="7">
        <v>66</v>
      </c>
      <c r="M117" s="7">
        <v>61</v>
      </c>
      <c r="N117" s="7">
        <v>77</v>
      </c>
      <c r="O117" s="7">
        <v>65</v>
      </c>
      <c r="P117" s="7">
        <v>47</v>
      </c>
      <c r="Q117" s="7">
        <v>46</v>
      </c>
      <c r="R117" s="7">
        <v>58</v>
      </c>
      <c r="S117" s="7">
        <v>31</v>
      </c>
      <c r="T117" s="7">
        <v>66</v>
      </c>
      <c r="U117" s="7">
        <v>55</v>
      </c>
      <c r="V117" s="7">
        <v>61</v>
      </c>
      <c r="W117" s="7">
        <v>57</v>
      </c>
      <c r="X117" s="7">
        <v>63</v>
      </c>
      <c r="Y117" s="7">
        <v>57</v>
      </c>
      <c r="Z117" s="7">
        <v>53</v>
      </c>
      <c r="AA117" s="7">
        <v>66</v>
      </c>
      <c r="AB117" s="7">
        <v>57</v>
      </c>
      <c r="AC117" s="7">
        <v>77</v>
      </c>
      <c r="AD117" s="7">
        <v>46</v>
      </c>
      <c r="AE117" s="7">
        <v>67</v>
      </c>
      <c r="AF117" s="8">
        <v>46</v>
      </c>
      <c r="AG117" s="4">
        <f t="shared" si="16"/>
        <v>1767</v>
      </c>
    </row>
    <row r="118" spans="1:33" ht="19.5" hidden="1" customHeigh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6"/>
        <v>0</v>
      </c>
    </row>
    <row r="119" spans="1:33" ht="19.5" hidden="1" customHeigh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6"/>
        <v>0</v>
      </c>
    </row>
    <row r="120" spans="1:33" ht="19.5" hidden="1" customHeigh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6"/>
        <v>0</v>
      </c>
    </row>
    <row r="121" spans="1:33" ht="19.5" hidden="1" customHeigh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6"/>
        <v>0</v>
      </c>
    </row>
    <row r="122" spans="1:33" ht="19.5" hidden="1" customHeigh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6"/>
        <v>0</v>
      </c>
    </row>
    <row r="123" spans="1:33" ht="19.5" hidden="1" customHeigh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6"/>
        <v>0</v>
      </c>
    </row>
    <row r="124" spans="1:33" ht="19.5" hidden="1" customHeigh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6"/>
        <v>0</v>
      </c>
    </row>
    <row r="125" spans="1:33" ht="19.5" hidden="1" customHeigh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6"/>
        <v>0</v>
      </c>
    </row>
    <row r="126" spans="1:33" ht="19.5" hidden="1" customHeigh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6"/>
        <v>0</v>
      </c>
    </row>
    <row r="127" spans="1:33" ht="19.5" hidden="1" customHeigh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22">SUM(B127:AF127)</f>
        <v>0</v>
      </c>
    </row>
    <row r="128" spans="1:33" ht="19.5" hidden="1" customHeigh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22"/>
        <v>0</v>
      </c>
    </row>
    <row r="129" spans="1:35" ht="19.5" thickBot="1" x14ac:dyDescent="0.3">
      <c r="A129" s="75" t="s">
        <v>86</v>
      </c>
      <c r="B129" s="13">
        <f>1+16+20</f>
        <v>37</v>
      </c>
      <c r="C129" s="13">
        <f>1+1+12+1+20</f>
        <v>35</v>
      </c>
      <c r="D129" s="13">
        <f>1+15+24</f>
        <v>40</v>
      </c>
      <c r="E129" s="13">
        <f>10+15</f>
        <v>25</v>
      </c>
      <c r="F129" s="13">
        <f>18+19</f>
        <v>37</v>
      </c>
      <c r="G129" s="13">
        <f>8+11</f>
        <v>19</v>
      </c>
      <c r="H129" s="13">
        <v>3</v>
      </c>
      <c r="I129" s="13">
        <f>7+7</f>
        <v>14</v>
      </c>
      <c r="J129" s="13">
        <f>7+18</f>
        <v>25</v>
      </c>
      <c r="K129" s="13">
        <f>10+17</f>
        <v>27</v>
      </c>
      <c r="L129" s="13">
        <f>8+1+18</f>
        <v>27</v>
      </c>
      <c r="M129" s="13">
        <f>18+20</f>
        <v>38</v>
      </c>
      <c r="N129" s="13">
        <f>18+21</f>
        <v>39</v>
      </c>
      <c r="O129" s="13">
        <f>6+20</f>
        <v>26</v>
      </c>
      <c r="P129" s="13">
        <f>15+1+9</f>
        <v>25</v>
      </c>
      <c r="Q129" s="13">
        <f>7+14</f>
        <v>21</v>
      </c>
      <c r="R129" s="13">
        <f>12+20</f>
        <v>32</v>
      </c>
      <c r="S129" s="13">
        <f>8+12</f>
        <v>20</v>
      </c>
      <c r="T129" s="13">
        <f>17+19</f>
        <v>36</v>
      </c>
      <c r="U129" s="13">
        <f>1+10+18</f>
        <v>29</v>
      </c>
      <c r="V129" s="13">
        <f>19+16</f>
        <v>35</v>
      </c>
      <c r="W129" s="13">
        <f>16+14</f>
        <v>30</v>
      </c>
      <c r="X129" s="13">
        <f>18+17</f>
        <v>35</v>
      </c>
      <c r="Y129" s="13">
        <f>19+14</f>
        <v>33</v>
      </c>
      <c r="Z129" s="13">
        <f>10+20</f>
        <v>30</v>
      </c>
      <c r="AA129" s="13">
        <f>28+28</f>
        <v>56</v>
      </c>
      <c r="AB129" s="13">
        <f>15+17</f>
        <v>32</v>
      </c>
      <c r="AC129" s="13">
        <f>22+17</f>
        <v>39</v>
      </c>
      <c r="AD129" s="13">
        <f>9+16</f>
        <v>25</v>
      </c>
      <c r="AE129" s="13">
        <f>16+15</f>
        <v>31</v>
      </c>
      <c r="AF129" s="14">
        <f>14+1+17</f>
        <v>32</v>
      </c>
      <c r="AG129" s="4">
        <f t="shared" si="22"/>
        <v>933</v>
      </c>
    </row>
    <row r="130" spans="1:35" ht="18.75" x14ac:dyDescent="0.25">
      <c r="A130" s="73" t="s">
        <v>109</v>
      </c>
      <c r="B130" s="74">
        <f t="shared" ref="B130:AF130" si="23">SUM(B131:B143)</f>
        <v>207</v>
      </c>
      <c r="C130" s="74">
        <f t="shared" si="23"/>
        <v>196</v>
      </c>
      <c r="D130" s="74">
        <f t="shared" si="23"/>
        <v>201</v>
      </c>
      <c r="E130" s="74">
        <f t="shared" si="23"/>
        <v>200</v>
      </c>
      <c r="F130" s="74">
        <f t="shared" si="23"/>
        <v>252</v>
      </c>
      <c r="G130" s="74">
        <f t="shared" si="23"/>
        <v>227</v>
      </c>
      <c r="H130" s="74">
        <f t="shared" si="23"/>
        <v>206</v>
      </c>
      <c r="I130" s="74">
        <f t="shared" si="23"/>
        <v>159</v>
      </c>
      <c r="J130" s="74">
        <f t="shared" si="23"/>
        <v>177</v>
      </c>
      <c r="K130" s="74">
        <f t="shared" si="23"/>
        <v>190</v>
      </c>
      <c r="L130" s="74">
        <f t="shared" si="23"/>
        <v>180</v>
      </c>
      <c r="M130" s="74">
        <f t="shared" si="23"/>
        <v>241</v>
      </c>
      <c r="N130" s="74">
        <f t="shared" si="23"/>
        <v>224</v>
      </c>
      <c r="O130" s="74">
        <f t="shared" si="23"/>
        <v>196</v>
      </c>
      <c r="P130" s="74">
        <f t="shared" si="23"/>
        <v>163</v>
      </c>
      <c r="Q130" s="74">
        <f t="shared" si="23"/>
        <v>177</v>
      </c>
      <c r="R130" s="74">
        <f t="shared" si="23"/>
        <v>176</v>
      </c>
      <c r="S130" s="74">
        <f t="shared" si="23"/>
        <v>106</v>
      </c>
      <c r="T130" s="74">
        <f t="shared" si="23"/>
        <v>209</v>
      </c>
      <c r="U130" s="74">
        <f t="shared" si="23"/>
        <v>198</v>
      </c>
      <c r="V130" s="74">
        <f t="shared" si="23"/>
        <v>203</v>
      </c>
      <c r="W130" s="74">
        <f t="shared" si="23"/>
        <v>190</v>
      </c>
      <c r="X130" s="74">
        <f t="shared" si="23"/>
        <v>164</v>
      </c>
      <c r="Y130" s="74">
        <f t="shared" si="23"/>
        <v>164</v>
      </c>
      <c r="Z130" s="74">
        <f t="shared" si="23"/>
        <v>183</v>
      </c>
      <c r="AA130" s="74">
        <f t="shared" si="23"/>
        <v>222</v>
      </c>
      <c r="AB130" s="74">
        <f t="shared" si="23"/>
        <v>198</v>
      </c>
      <c r="AC130" s="74">
        <f t="shared" si="23"/>
        <v>213</v>
      </c>
      <c r="AD130" s="74">
        <f t="shared" si="23"/>
        <v>161</v>
      </c>
      <c r="AE130" s="74">
        <f t="shared" si="23"/>
        <v>192</v>
      </c>
      <c r="AF130" s="84">
        <f t="shared" si="23"/>
        <v>163</v>
      </c>
      <c r="AG130" s="150">
        <f t="shared" si="22"/>
        <v>5938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45</v>
      </c>
      <c r="C131" s="7">
        <v>45</v>
      </c>
      <c r="D131" s="7">
        <v>61</v>
      </c>
      <c r="E131" s="7">
        <v>56</v>
      </c>
      <c r="F131" s="7">
        <v>74</v>
      </c>
      <c r="G131" s="7">
        <v>67</v>
      </c>
      <c r="H131" s="7">
        <v>56</v>
      </c>
      <c r="I131" s="7">
        <v>45</v>
      </c>
      <c r="J131" s="7">
        <v>59</v>
      </c>
      <c r="K131" s="7">
        <v>50</v>
      </c>
      <c r="L131" s="7">
        <v>61</v>
      </c>
      <c r="M131" s="7">
        <v>60</v>
      </c>
      <c r="N131" s="7">
        <v>72</v>
      </c>
      <c r="O131" s="7">
        <v>57</v>
      </c>
      <c r="P131" s="7">
        <v>45</v>
      </c>
      <c r="Q131" s="7">
        <v>43</v>
      </c>
      <c r="R131" s="7">
        <v>55</v>
      </c>
      <c r="S131" s="7">
        <v>22</v>
      </c>
      <c r="T131" s="7">
        <v>63</v>
      </c>
      <c r="U131" s="7">
        <v>52</v>
      </c>
      <c r="V131" s="7">
        <v>52</v>
      </c>
      <c r="W131" s="7">
        <v>51</v>
      </c>
      <c r="X131" s="7">
        <v>56</v>
      </c>
      <c r="Y131" s="7">
        <v>44</v>
      </c>
      <c r="Z131" s="7">
        <v>48</v>
      </c>
      <c r="AA131" s="7">
        <v>58</v>
      </c>
      <c r="AB131" s="7">
        <v>53</v>
      </c>
      <c r="AC131" s="7">
        <v>71</v>
      </c>
      <c r="AD131" s="7">
        <v>44</v>
      </c>
      <c r="AE131" s="7">
        <v>58</v>
      </c>
      <c r="AF131" s="8">
        <v>45</v>
      </c>
      <c r="AG131" s="4">
        <f t="shared" si="22"/>
        <v>1668</v>
      </c>
    </row>
    <row r="132" spans="1:35" ht="18.75" x14ac:dyDescent="0.25">
      <c r="A132" s="43" t="s">
        <v>23</v>
      </c>
      <c r="B132" s="7">
        <v>18</v>
      </c>
      <c r="C132" s="7">
        <v>19</v>
      </c>
      <c r="D132" s="7">
        <v>9</v>
      </c>
      <c r="E132" s="7">
        <v>12</v>
      </c>
      <c r="F132" s="7">
        <v>17</v>
      </c>
      <c r="G132" s="7">
        <v>15</v>
      </c>
      <c r="H132" s="7">
        <v>18</v>
      </c>
      <c r="I132" s="7">
        <v>12</v>
      </c>
      <c r="J132" s="7">
        <v>6</v>
      </c>
      <c r="K132" s="7">
        <v>21</v>
      </c>
      <c r="L132" s="7">
        <v>10</v>
      </c>
      <c r="M132" s="7">
        <v>20</v>
      </c>
      <c r="N132" s="7">
        <v>12</v>
      </c>
      <c r="O132" s="7">
        <v>14</v>
      </c>
      <c r="P132" s="7">
        <v>5</v>
      </c>
      <c r="Q132" s="7">
        <v>12</v>
      </c>
      <c r="R132" s="7">
        <v>14</v>
      </c>
      <c r="S132" s="7">
        <v>10</v>
      </c>
      <c r="T132" s="7">
        <v>12</v>
      </c>
      <c r="U132" s="7">
        <v>10</v>
      </c>
      <c r="V132" s="7">
        <v>13</v>
      </c>
      <c r="W132" s="7">
        <v>14</v>
      </c>
      <c r="X132" s="7">
        <v>12</v>
      </c>
      <c r="Y132" s="7">
        <v>12</v>
      </c>
      <c r="Z132" s="7">
        <v>11</v>
      </c>
      <c r="AA132" s="7">
        <v>15</v>
      </c>
      <c r="AB132" s="7">
        <v>13</v>
      </c>
      <c r="AC132" s="7">
        <v>13</v>
      </c>
      <c r="AD132" s="7">
        <v>11</v>
      </c>
      <c r="AE132" s="7">
        <v>9</v>
      </c>
      <c r="AF132" s="8">
        <v>7</v>
      </c>
      <c r="AG132" s="4">
        <f t="shared" si="22"/>
        <v>396</v>
      </c>
    </row>
    <row r="133" spans="1:35" ht="18.75" x14ac:dyDescent="0.25">
      <c r="A133" s="43" t="s">
        <v>24</v>
      </c>
      <c r="B133" s="7">
        <v>20</v>
      </c>
      <c r="C133" s="7">
        <v>12</v>
      </c>
      <c r="D133" s="7">
        <v>19</v>
      </c>
      <c r="E133" s="7">
        <v>10</v>
      </c>
      <c r="F133" s="7">
        <v>21</v>
      </c>
      <c r="G133" s="7">
        <v>24</v>
      </c>
      <c r="H133" s="7">
        <v>13</v>
      </c>
      <c r="I133" s="7">
        <v>10</v>
      </c>
      <c r="J133" s="7">
        <v>7</v>
      </c>
      <c r="K133" s="7">
        <v>12</v>
      </c>
      <c r="L133" s="7">
        <v>10</v>
      </c>
      <c r="M133" s="7">
        <v>16</v>
      </c>
      <c r="N133" s="7">
        <v>12</v>
      </c>
      <c r="O133" s="7">
        <v>10</v>
      </c>
      <c r="P133" s="7">
        <v>11</v>
      </c>
      <c r="Q133" s="7">
        <v>15</v>
      </c>
      <c r="R133" s="7">
        <v>13</v>
      </c>
      <c r="S133" s="7">
        <v>4</v>
      </c>
      <c r="T133" s="7">
        <v>17</v>
      </c>
      <c r="U133" s="7">
        <v>15</v>
      </c>
      <c r="V133" s="7">
        <v>19</v>
      </c>
      <c r="W133" s="7">
        <v>16</v>
      </c>
      <c r="X133" s="7">
        <v>7</v>
      </c>
      <c r="Y133" s="7">
        <v>9</v>
      </c>
      <c r="Z133" s="7">
        <v>13</v>
      </c>
      <c r="AA133" s="7">
        <v>10</v>
      </c>
      <c r="AB133" s="7">
        <v>10</v>
      </c>
      <c r="AC133" s="7">
        <v>12</v>
      </c>
      <c r="AD133" s="7">
        <v>19</v>
      </c>
      <c r="AE133" s="7">
        <v>17</v>
      </c>
      <c r="AF133" s="8">
        <v>9</v>
      </c>
      <c r="AG133" s="4">
        <f t="shared" si="22"/>
        <v>412</v>
      </c>
    </row>
    <row r="134" spans="1:35" ht="18.75" x14ac:dyDescent="0.25">
      <c r="A134" s="43" t="s">
        <v>25</v>
      </c>
      <c r="B134" s="7">
        <v>9</v>
      </c>
      <c r="C134" s="7">
        <v>15</v>
      </c>
      <c r="D134" s="7">
        <f>8+1</f>
        <v>9</v>
      </c>
      <c r="E134" s="7">
        <f>9+1</f>
        <v>10</v>
      </c>
      <c r="F134" s="7">
        <f>14+1</f>
        <v>15</v>
      </c>
      <c r="G134" s="7">
        <v>12</v>
      </c>
      <c r="H134" s="7">
        <v>12</v>
      </c>
      <c r="I134" s="7">
        <v>14</v>
      </c>
      <c r="J134" s="7">
        <f>10+1</f>
        <v>11</v>
      </c>
      <c r="K134" s="7">
        <v>10</v>
      </c>
      <c r="L134" s="7">
        <v>8</v>
      </c>
      <c r="M134" s="7">
        <v>13</v>
      </c>
      <c r="N134" s="7">
        <f>1+14</f>
        <v>15</v>
      </c>
      <c r="O134" s="7">
        <f>1+7</f>
        <v>8</v>
      </c>
      <c r="P134" s="7">
        <f>9+1</f>
        <v>10</v>
      </c>
      <c r="Q134" s="7">
        <v>9</v>
      </c>
      <c r="R134" s="7">
        <v>11</v>
      </c>
      <c r="S134" s="7">
        <v>10</v>
      </c>
      <c r="T134" s="7">
        <f>10+2</f>
        <v>12</v>
      </c>
      <c r="U134" s="7">
        <v>13</v>
      </c>
      <c r="V134" s="7">
        <v>6</v>
      </c>
      <c r="W134" s="7">
        <v>6</v>
      </c>
      <c r="X134" s="7">
        <v>11</v>
      </c>
      <c r="Y134" s="7">
        <v>7</v>
      </c>
      <c r="Z134" s="7">
        <v>12</v>
      </c>
      <c r="AA134" s="7">
        <v>15</v>
      </c>
      <c r="AB134" s="7">
        <v>9</v>
      </c>
      <c r="AC134" s="7">
        <v>11</v>
      </c>
      <c r="AD134" s="7">
        <v>8</v>
      </c>
      <c r="AE134" s="7">
        <v>7</v>
      </c>
      <c r="AF134" s="8">
        <v>11</v>
      </c>
      <c r="AG134" s="4">
        <f t="shared" ref="AG134:AG147" si="24">SUM(B134:AF134)</f>
        <v>329</v>
      </c>
    </row>
    <row r="135" spans="1:35" ht="18.75" x14ac:dyDescent="0.25">
      <c r="A135" s="43" t="s">
        <v>26</v>
      </c>
      <c r="B135" s="7">
        <v>16</v>
      </c>
      <c r="C135" s="7">
        <v>13</v>
      </c>
      <c r="D135" s="7">
        <v>9</v>
      </c>
      <c r="E135" s="7">
        <v>5</v>
      </c>
      <c r="F135" s="7">
        <v>13</v>
      </c>
      <c r="G135" s="7">
        <v>19</v>
      </c>
      <c r="H135" s="7">
        <v>22</v>
      </c>
      <c r="I135" s="7">
        <v>8</v>
      </c>
      <c r="J135" s="7">
        <v>13</v>
      </c>
      <c r="K135" s="7">
        <v>12</v>
      </c>
      <c r="L135" s="7">
        <v>7</v>
      </c>
      <c r="M135" s="7">
        <v>10</v>
      </c>
      <c r="N135" s="7">
        <v>17</v>
      </c>
      <c r="O135" s="7">
        <v>15</v>
      </c>
      <c r="P135" s="7">
        <v>7</v>
      </c>
      <c r="Q135" s="7">
        <v>17</v>
      </c>
      <c r="R135" s="7">
        <v>8</v>
      </c>
      <c r="S135" s="7">
        <v>7</v>
      </c>
      <c r="T135" s="7">
        <v>13</v>
      </c>
      <c r="U135" s="7">
        <v>10</v>
      </c>
      <c r="V135" s="7">
        <v>12</v>
      </c>
      <c r="W135" s="7">
        <v>15</v>
      </c>
      <c r="X135" s="7">
        <v>14</v>
      </c>
      <c r="Y135" s="7">
        <v>14</v>
      </c>
      <c r="Z135" s="7">
        <v>10</v>
      </c>
      <c r="AA135" s="7">
        <v>11</v>
      </c>
      <c r="AB135" s="7">
        <v>16</v>
      </c>
      <c r="AC135" s="7">
        <v>15</v>
      </c>
      <c r="AD135" s="7">
        <v>8</v>
      </c>
      <c r="AE135" s="7">
        <v>11</v>
      </c>
      <c r="AF135" s="8">
        <v>6</v>
      </c>
      <c r="AG135" s="4">
        <f t="shared" si="24"/>
        <v>373</v>
      </c>
    </row>
    <row r="136" spans="1:35" ht="18.75" x14ac:dyDescent="0.25">
      <c r="A136" s="43" t="s">
        <v>27</v>
      </c>
      <c r="B136" s="7">
        <v>37</v>
      </c>
      <c r="C136" s="7">
        <v>33</v>
      </c>
      <c r="D136" s="7">
        <v>38</v>
      </c>
      <c r="E136" s="7">
        <v>42</v>
      </c>
      <c r="F136" s="7">
        <v>46</v>
      </c>
      <c r="G136" s="7">
        <v>38</v>
      </c>
      <c r="H136" s="7">
        <v>31</v>
      </c>
      <c r="I136" s="7">
        <v>32</v>
      </c>
      <c r="J136" s="7">
        <v>29</v>
      </c>
      <c r="K136" s="7">
        <v>31</v>
      </c>
      <c r="L136" s="7">
        <v>24</v>
      </c>
      <c r="M136" s="7">
        <v>52</v>
      </c>
      <c r="N136" s="7">
        <v>35</v>
      </c>
      <c r="O136" s="7">
        <v>32</v>
      </c>
      <c r="P136" s="7">
        <v>32</v>
      </c>
      <c r="Q136" s="7">
        <v>32</v>
      </c>
      <c r="R136" s="7">
        <v>35</v>
      </c>
      <c r="S136" s="7">
        <v>21</v>
      </c>
      <c r="T136" s="7">
        <v>33</v>
      </c>
      <c r="U136" s="7">
        <v>39</v>
      </c>
      <c r="V136" s="7">
        <v>42</v>
      </c>
      <c r="W136" s="7">
        <v>33</v>
      </c>
      <c r="X136" s="7">
        <v>20</v>
      </c>
      <c r="Y136" s="7">
        <v>28</v>
      </c>
      <c r="Z136" s="7">
        <v>38</v>
      </c>
      <c r="AA136" s="7">
        <v>36</v>
      </c>
      <c r="AB136" s="7">
        <v>37</v>
      </c>
      <c r="AC136" s="7">
        <v>38</v>
      </c>
      <c r="AD136" s="7">
        <v>26</v>
      </c>
      <c r="AE136" s="7">
        <v>35</v>
      </c>
      <c r="AF136" s="8">
        <v>29</v>
      </c>
      <c r="AG136" s="4">
        <f t="shared" si="24"/>
        <v>1054</v>
      </c>
    </row>
    <row r="137" spans="1:35" ht="18.75" x14ac:dyDescent="0.25">
      <c r="A137" s="43" t="s">
        <v>28</v>
      </c>
      <c r="B137" s="7">
        <f>7+1</f>
        <v>8</v>
      </c>
      <c r="C137" s="7">
        <f>8+1</f>
        <v>9</v>
      </c>
      <c r="D137" s="7">
        <v>5</v>
      </c>
      <c r="E137" s="7">
        <f>12+2</f>
        <v>14</v>
      </c>
      <c r="F137" s="7">
        <v>5</v>
      </c>
      <c r="G137" s="7">
        <v>7</v>
      </c>
      <c r="H137" s="7">
        <f>12+2</f>
        <v>14</v>
      </c>
      <c r="I137" s="7">
        <v>7</v>
      </c>
      <c r="J137" s="7">
        <v>10</v>
      </c>
      <c r="K137" s="7">
        <v>7</v>
      </c>
      <c r="L137" s="7">
        <f>11+2</f>
        <v>13</v>
      </c>
      <c r="M137" s="7">
        <f>6+4</f>
        <v>10</v>
      </c>
      <c r="N137" s="7">
        <v>9</v>
      </c>
      <c r="O137" s="7">
        <v>14</v>
      </c>
      <c r="P137" s="7">
        <f>11+3</f>
        <v>14</v>
      </c>
      <c r="Q137" s="7">
        <f>2+1</f>
        <v>3</v>
      </c>
      <c r="R137" s="7">
        <v>5</v>
      </c>
      <c r="S137" s="7">
        <f>7+2</f>
        <v>9</v>
      </c>
      <c r="T137" s="7">
        <f>4+1</f>
        <v>5</v>
      </c>
      <c r="U137" s="7">
        <f>7+2</f>
        <v>9</v>
      </c>
      <c r="V137" s="7">
        <f>7+1</f>
        <v>8</v>
      </c>
      <c r="W137" s="7">
        <v>8</v>
      </c>
      <c r="X137" s="7">
        <v>5</v>
      </c>
      <c r="Y137" s="7">
        <f>4+2</f>
        <v>6</v>
      </c>
      <c r="Z137" s="7">
        <v>3</v>
      </c>
      <c r="AA137" s="7">
        <v>2</v>
      </c>
      <c r="AB137" s="7">
        <f>9+2</f>
        <v>11</v>
      </c>
      <c r="AC137" s="7">
        <f>4+2</f>
        <v>6</v>
      </c>
      <c r="AD137" s="7">
        <f>5+2</f>
        <v>7</v>
      </c>
      <c r="AE137" s="7">
        <f>4+2</f>
        <v>6</v>
      </c>
      <c r="AF137" s="8">
        <f>6+1</f>
        <v>7</v>
      </c>
      <c r="AG137" s="4">
        <f t="shared" si="24"/>
        <v>246</v>
      </c>
    </row>
    <row r="138" spans="1:35" ht="18.75" x14ac:dyDescent="0.25">
      <c r="A138" s="43" t="s">
        <v>29</v>
      </c>
      <c r="B138" s="7">
        <v>3</v>
      </c>
      <c r="C138" s="7">
        <v>5</v>
      </c>
      <c r="D138" s="7">
        <v>3</v>
      </c>
      <c r="E138" s="7">
        <v>11</v>
      </c>
      <c r="F138" s="7">
        <v>4</v>
      </c>
      <c r="G138" s="7">
        <v>9</v>
      </c>
      <c r="H138" s="7">
        <v>6</v>
      </c>
      <c r="I138" s="7">
        <v>2</v>
      </c>
      <c r="J138" s="7">
        <v>3</v>
      </c>
      <c r="K138" s="7">
        <v>3</v>
      </c>
      <c r="L138" s="7">
        <v>8</v>
      </c>
      <c r="M138" s="7">
        <v>9</v>
      </c>
      <c r="N138" s="7">
        <v>7</v>
      </c>
      <c r="O138" s="7">
        <v>6</v>
      </c>
      <c r="P138" s="7">
        <v>5</v>
      </c>
      <c r="Q138" s="7">
        <v>9</v>
      </c>
      <c r="R138" s="7">
        <v>3</v>
      </c>
      <c r="S138" s="7">
        <v>3</v>
      </c>
      <c r="T138" s="7">
        <v>7</v>
      </c>
      <c r="U138" s="7">
        <v>7</v>
      </c>
      <c r="V138" s="7">
        <v>4</v>
      </c>
      <c r="W138" s="7">
        <v>5</v>
      </c>
      <c r="X138" s="7">
        <v>5</v>
      </c>
      <c r="Y138" s="7">
        <v>3</v>
      </c>
      <c r="Z138" s="7">
        <v>8</v>
      </c>
      <c r="AA138" s="7">
        <v>9</v>
      </c>
      <c r="AB138" s="7">
        <v>3</v>
      </c>
      <c r="AC138" s="7">
        <v>6</v>
      </c>
      <c r="AD138" s="7">
        <v>5</v>
      </c>
      <c r="AE138" s="7">
        <v>6</v>
      </c>
      <c r="AF138" s="8">
        <v>4</v>
      </c>
      <c r="AG138" s="4">
        <f t="shared" si="24"/>
        <v>171</v>
      </c>
    </row>
    <row r="139" spans="1:35" ht="18.75" x14ac:dyDescent="0.25">
      <c r="A139" s="41" t="s">
        <v>30</v>
      </c>
      <c r="B139" s="7">
        <v>1</v>
      </c>
      <c r="C139" s="7">
        <f>5+1</f>
        <v>6</v>
      </c>
      <c r="D139" s="7">
        <v>2</v>
      </c>
      <c r="E139" s="7">
        <v>2</v>
      </c>
      <c r="F139" s="7">
        <v>3</v>
      </c>
      <c r="G139" s="7">
        <f>4+4</f>
        <v>8</v>
      </c>
      <c r="H139" s="7">
        <v>3</v>
      </c>
      <c r="I139" s="7">
        <f>2+2</f>
        <v>4</v>
      </c>
      <c r="J139" s="7">
        <f>6+2</f>
        <v>8</v>
      </c>
      <c r="K139" s="7">
        <f>4</f>
        <v>4</v>
      </c>
      <c r="L139" s="7">
        <f>2+1</f>
        <v>3</v>
      </c>
      <c r="M139" s="7">
        <v>3</v>
      </c>
      <c r="N139" s="7">
        <v>2</v>
      </c>
      <c r="O139" s="7">
        <v>2</v>
      </c>
      <c r="P139" s="7">
        <v>1</v>
      </c>
      <c r="Q139" s="7">
        <f>4+1</f>
        <v>5</v>
      </c>
      <c r="R139" s="7">
        <v>1</v>
      </c>
      <c r="S139" s="7">
        <v>1</v>
      </c>
      <c r="T139" s="7">
        <f>4+2</f>
        <v>6</v>
      </c>
      <c r="U139" s="7">
        <f>3+1</f>
        <v>4</v>
      </c>
      <c r="V139" s="7">
        <f>4+1</f>
        <v>5</v>
      </c>
      <c r="W139" s="7">
        <v>3</v>
      </c>
      <c r="X139" s="7">
        <v>2</v>
      </c>
      <c r="Y139" s="7">
        <f>5+1</f>
        <v>6</v>
      </c>
      <c r="Z139" s="7">
        <v>5</v>
      </c>
      <c r="AA139" s="7">
        <f>5+1</f>
        <v>6</v>
      </c>
      <c r="AB139" s="7">
        <v>2</v>
      </c>
      <c r="AC139" s="7">
        <f>3+1</f>
        <v>4</v>
      </c>
      <c r="AD139" s="7">
        <v>3</v>
      </c>
      <c r="AE139" s="7">
        <v>3</v>
      </c>
      <c r="AF139" s="8">
        <v>3</v>
      </c>
      <c r="AG139" s="4">
        <f t="shared" si="24"/>
        <v>111</v>
      </c>
    </row>
    <row r="140" spans="1:35" ht="18.75" x14ac:dyDescent="0.25">
      <c r="A140" s="41" t="s">
        <v>31</v>
      </c>
      <c r="B140" s="7">
        <v>1</v>
      </c>
      <c r="C140" s="7">
        <v>1</v>
      </c>
      <c r="D140" s="7">
        <v>2</v>
      </c>
      <c r="E140" s="7">
        <v>5</v>
      </c>
      <c r="F140" s="7">
        <v>4</v>
      </c>
      <c r="G140" s="7">
        <v>9</v>
      </c>
      <c r="H140" s="7">
        <v>4</v>
      </c>
      <c r="I140" s="7">
        <v>1</v>
      </c>
      <c r="J140" s="7">
        <v>1</v>
      </c>
      <c r="K140" s="7">
        <v>3</v>
      </c>
      <c r="L140" s="7">
        <v>3</v>
      </c>
      <c r="M140" s="7"/>
      <c r="N140" s="7">
        <v>1</v>
      </c>
      <c r="O140" s="7">
        <v>3</v>
      </c>
      <c r="P140" s="7">
        <v>1</v>
      </c>
      <c r="Q140" s="7">
        <v>3</v>
      </c>
      <c r="R140" s="7"/>
      <c r="S140" s="7"/>
      <c r="T140" s="7">
        <v>2</v>
      </c>
      <c r="U140" s="7">
        <v>4</v>
      </c>
      <c r="V140" s="7">
        <v>2</v>
      </c>
      <c r="W140" s="7">
        <v>3</v>
      </c>
      <c r="X140" s="7">
        <v>1</v>
      </c>
      <c r="Y140" s="7">
        <v>1</v>
      </c>
      <c r="Z140" s="7">
        <v>6</v>
      </c>
      <c r="AA140" s="7">
        <v>5</v>
      </c>
      <c r="AB140" s="7">
        <v>3</v>
      </c>
      <c r="AC140" s="7">
        <v>2</v>
      </c>
      <c r="AD140" s="7">
        <v>3</v>
      </c>
      <c r="AE140" s="7">
        <v>8</v>
      </c>
      <c r="AF140" s="8">
        <v>2</v>
      </c>
      <c r="AG140" s="4">
        <f t="shared" si="24"/>
        <v>84</v>
      </c>
    </row>
    <row r="141" spans="1:35" ht="18.75" x14ac:dyDescent="0.25">
      <c r="A141" s="41" t="s">
        <v>32</v>
      </c>
      <c r="B141" s="7"/>
      <c r="C141" s="7">
        <v>1</v>
      </c>
      <c r="D141" s="7">
        <v>1</v>
      </c>
      <c r="E141" s="7">
        <v>1</v>
      </c>
      <c r="F141" s="7">
        <v>1</v>
      </c>
      <c r="G141" s="7"/>
      <c r="H141" s="7"/>
      <c r="I141" s="7">
        <v>3</v>
      </c>
      <c r="J141" s="7">
        <v>1</v>
      </c>
      <c r="K141" s="7">
        <v>1</v>
      </c>
      <c r="L141" s="7">
        <v>1</v>
      </c>
      <c r="M141" s="7">
        <v>1</v>
      </c>
      <c r="N141" s="7">
        <v>1</v>
      </c>
      <c r="O141" s="7">
        <v>1</v>
      </c>
      <c r="P141" s="7">
        <v>1</v>
      </c>
      <c r="Q141" s="7">
        <v>1</v>
      </c>
      <c r="R141" s="7"/>
      <c r="S141" s="7"/>
      <c r="T141" s="7"/>
      <c r="U141" s="7"/>
      <c r="V141" s="7"/>
      <c r="W141" s="7">
        <v>1</v>
      </c>
      <c r="X141" s="7"/>
      <c r="Y141" s="7"/>
      <c r="Z141" s="7"/>
      <c r="AA141" s="7">
        <v>1</v>
      </c>
      <c r="AB141" s="7"/>
      <c r="AC141" s="7"/>
      <c r="AD141" s="7"/>
      <c r="AE141" s="7"/>
      <c r="AF141" s="8">
        <v>1</v>
      </c>
      <c r="AG141" s="4">
        <f t="shared" si="24"/>
        <v>18</v>
      </c>
    </row>
    <row r="142" spans="1:35" ht="18.75" x14ac:dyDescent="0.25">
      <c r="A142" s="43" t="s">
        <v>60</v>
      </c>
      <c r="B142" s="7">
        <f>2+3+1+1+1+2+1+1</f>
        <v>12</v>
      </c>
      <c r="C142" s="7">
        <f>1+1+1+1+1+1+1</f>
        <v>7</v>
      </c>
      <c r="D142" s="7">
        <f>3+1+1+1+2+1</f>
        <v>9</v>
      </c>
      <c r="E142" s="7">
        <f>1+1+3+1+1</f>
        <v>7</v>
      </c>
      <c r="F142" s="7">
        <f>3+1+1+1+1+1+1+1+2+1+1</f>
        <v>14</v>
      </c>
      <c r="G142" s="7">
        <f>1+1+1+2</f>
        <v>5</v>
      </c>
      <c r="H142" s="7">
        <f>1+1+1+1+1+1+3</f>
        <v>9</v>
      </c>
      <c r="I142" s="7">
        <f>1+1+2+1+2</f>
        <v>7</v>
      </c>
      <c r="J142" s="7">
        <f>1+1+1+1</f>
        <v>4</v>
      </c>
      <c r="K142" s="7">
        <f>2+1+1+1+1+1+2+1+1</f>
        <v>11</v>
      </c>
      <c r="L142" s="7">
        <f>1+2+1+1</f>
        <v>5</v>
      </c>
      <c r="M142" s="7">
        <f>1+3+1+1+1+1+1</f>
        <v>9</v>
      </c>
      <c r="N142" s="7">
        <f>1+2+2+1+1</f>
        <v>7</v>
      </c>
      <c r="O142" s="7">
        <f>2+1+1+1+1+1+1+1+1</f>
        <v>10</v>
      </c>
      <c r="P142" s="7">
        <f>1+1+1+2+2+1+1</f>
        <v>9</v>
      </c>
      <c r="Q142" s="7">
        <f>1+2+1+1+1+1</f>
        <v>7</v>
      </c>
      <c r="R142" s="7">
        <f>2+1+1</f>
        <v>4</v>
      </c>
      <c r="S142" s="7">
        <f>1+1+1+1</f>
        <v>4</v>
      </c>
      <c r="T142" s="7">
        <f>2+1+1+1+1</f>
        <v>6</v>
      </c>
      <c r="U142" s="7">
        <f>3+1+2+1+1+1</f>
        <v>9</v>
      </c>
      <c r="V142" s="7">
        <f>2+1+1+1+1+1</f>
        <v>7</v>
      </c>
      <c r="W142" s="7">
        <f>1+1+1+1+1+3</f>
        <v>8</v>
      </c>
      <c r="X142" s="7">
        <f>1+1+1+1+1</f>
        <v>5</v>
      </c>
      <c r="Y142" s="7">
        <f>1+1+1+1+1+1+1+1+1+1+1</f>
        <v>11</v>
      </c>
      <c r="Z142" s="7">
        <f>1+2</f>
        <v>3</v>
      </c>
      <c r="AA142" s="7">
        <f>1+1+1+1+1+1</f>
        <v>6</v>
      </c>
      <c r="AB142" s="7">
        <f>1+1+1+1+2+2+1+1</f>
        <v>10</v>
      </c>
      <c r="AC142" s="7">
        <v>1</v>
      </c>
      <c r="AD142" s="7">
        <f>1+1+1</f>
        <v>3</v>
      </c>
      <c r="AE142" s="7">
        <f>1+1+1+1+1</f>
        <v>5</v>
      </c>
      <c r="AF142" s="8">
        <f>1+3+1+2</f>
        <v>7</v>
      </c>
      <c r="AG142" s="4">
        <f t="shared" si="24"/>
        <v>221</v>
      </c>
    </row>
    <row r="143" spans="1:35" ht="19.5" thickBot="1" x14ac:dyDescent="0.3">
      <c r="A143" s="75" t="s">
        <v>86</v>
      </c>
      <c r="B143" s="13">
        <f>1+16+20</f>
        <v>37</v>
      </c>
      <c r="C143" s="13">
        <f>1+1+10+1+17</f>
        <v>30</v>
      </c>
      <c r="D143" s="13">
        <f>1+14+19</f>
        <v>34</v>
      </c>
      <c r="E143" s="13">
        <f>10+15</f>
        <v>25</v>
      </c>
      <c r="F143" s="13">
        <f>16+19</f>
        <v>35</v>
      </c>
      <c r="G143" s="13">
        <f>6+8</f>
        <v>14</v>
      </c>
      <c r="H143" s="13">
        <f>6+12</f>
        <v>18</v>
      </c>
      <c r="I143" s="13">
        <f>7+7</f>
        <v>14</v>
      </c>
      <c r="J143" s="13">
        <f>7+18</f>
        <v>25</v>
      </c>
      <c r="K143" s="13">
        <f>10+15</f>
        <v>25</v>
      </c>
      <c r="L143" s="13">
        <f>8+1+18</f>
        <v>27</v>
      </c>
      <c r="M143" s="13">
        <f>18+20</f>
        <v>38</v>
      </c>
      <c r="N143" s="13">
        <f>14+20</f>
        <v>34</v>
      </c>
      <c r="O143" s="13">
        <f>5+19</f>
        <v>24</v>
      </c>
      <c r="P143" s="13">
        <f>12+1+9</f>
        <v>22</v>
      </c>
      <c r="Q143" s="13">
        <f>7+14</f>
        <v>21</v>
      </c>
      <c r="R143" s="13">
        <f>9+18</f>
        <v>27</v>
      </c>
      <c r="S143" s="13">
        <f>5+10</f>
        <v>15</v>
      </c>
      <c r="T143" s="13">
        <f>14+19</f>
        <v>33</v>
      </c>
      <c r="U143" s="13">
        <f>1+10+15</f>
        <v>26</v>
      </c>
      <c r="V143" s="13">
        <f>18+15</f>
        <v>33</v>
      </c>
      <c r="W143" s="13">
        <f>15+12</f>
        <v>27</v>
      </c>
      <c r="X143" s="13">
        <f>12+14</f>
        <v>26</v>
      </c>
      <c r="Y143" s="13">
        <f>12+11</f>
        <v>23</v>
      </c>
      <c r="Z143" s="13">
        <f>8+18</f>
        <v>26</v>
      </c>
      <c r="AA143" s="13">
        <f>24+24</f>
        <v>48</v>
      </c>
      <c r="AB143" s="13">
        <f>15+16</f>
        <v>31</v>
      </c>
      <c r="AC143" s="13">
        <f>17+17</f>
        <v>34</v>
      </c>
      <c r="AD143" s="13">
        <f>8+16</f>
        <v>24</v>
      </c>
      <c r="AE143" s="13">
        <f>15+12</f>
        <v>27</v>
      </c>
      <c r="AF143" s="14">
        <f>14+1+17</f>
        <v>32</v>
      </c>
      <c r="AG143" s="108">
        <f t="shared" si="24"/>
        <v>855</v>
      </c>
    </row>
    <row r="144" spans="1:35" ht="19.5" thickBot="1" x14ac:dyDescent="0.3">
      <c r="A144" s="164" t="s">
        <v>89</v>
      </c>
      <c r="B144" s="165">
        <f t="shared" ref="B144:AD144" si="25">+B146+B156+B158+B167</f>
        <v>207</v>
      </c>
      <c r="C144" s="165">
        <f t="shared" si="25"/>
        <v>196</v>
      </c>
      <c r="D144" s="165">
        <f t="shared" si="25"/>
        <v>201</v>
      </c>
      <c r="E144" s="165">
        <f t="shared" si="25"/>
        <v>200</v>
      </c>
      <c r="F144" s="165">
        <f t="shared" si="25"/>
        <v>252</v>
      </c>
      <c r="G144" s="165">
        <f t="shared" si="25"/>
        <v>227</v>
      </c>
      <c r="H144" s="165">
        <f t="shared" si="25"/>
        <v>206</v>
      </c>
      <c r="I144" s="165">
        <f t="shared" si="25"/>
        <v>159</v>
      </c>
      <c r="J144" s="165">
        <f t="shared" si="25"/>
        <v>177</v>
      </c>
      <c r="K144" s="165">
        <f t="shared" si="25"/>
        <v>190</v>
      </c>
      <c r="L144" s="165">
        <f t="shared" si="25"/>
        <v>180</v>
      </c>
      <c r="M144" s="165">
        <f t="shared" si="25"/>
        <v>241</v>
      </c>
      <c r="N144" s="165">
        <f t="shared" si="25"/>
        <v>224</v>
      </c>
      <c r="O144" s="165">
        <f t="shared" si="25"/>
        <v>196</v>
      </c>
      <c r="P144" s="165">
        <f t="shared" si="25"/>
        <v>163</v>
      </c>
      <c r="Q144" s="165">
        <f t="shared" si="25"/>
        <v>177</v>
      </c>
      <c r="R144" s="165">
        <f t="shared" si="25"/>
        <v>176</v>
      </c>
      <c r="S144" s="165">
        <f t="shared" si="25"/>
        <v>106</v>
      </c>
      <c r="T144" s="165">
        <f t="shared" si="25"/>
        <v>209</v>
      </c>
      <c r="U144" s="165">
        <f t="shared" si="25"/>
        <v>198</v>
      </c>
      <c r="V144" s="165">
        <f t="shared" si="25"/>
        <v>203</v>
      </c>
      <c r="W144" s="165">
        <f t="shared" si="25"/>
        <v>190</v>
      </c>
      <c r="X144" s="165">
        <f t="shared" si="25"/>
        <v>164</v>
      </c>
      <c r="Y144" s="165">
        <f t="shared" si="25"/>
        <v>164</v>
      </c>
      <c r="Z144" s="165">
        <f t="shared" si="25"/>
        <v>183</v>
      </c>
      <c r="AA144" s="165">
        <f t="shared" si="25"/>
        <v>222</v>
      </c>
      <c r="AB144" s="165">
        <f t="shared" si="25"/>
        <v>198</v>
      </c>
      <c r="AC144" s="165">
        <f t="shared" si="25"/>
        <v>213</v>
      </c>
      <c r="AD144" s="165">
        <f t="shared" si="25"/>
        <v>161</v>
      </c>
      <c r="AE144" s="165">
        <f>+AE146+AE156+AE158+AE167</f>
        <v>192</v>
      </c>
      <c r="AF144" s="165">
        <f t="shared" ref="AF144" si="26">+AF146+AF156+AF158+AF167</f>
        <v>163</v>
      </c>
      <c r="AG144" s="116">
        <f t="shared" si="24"/>
        <v>5938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7">+B149+B155+B157+B172</f>
        <v>8</v>
      </c>
      <c r="C145" s="161">
        <f t="shared" si="27"/>
        <v>49</v>
      </c>
      <c r="D145" s="161">
        <f t="shared" si="27"/>
        <v>32</v>
      </c>
      <c r="E145" s="161">
        <f t="shared" si="27"/>
        <v>12</v>
      </c>
      <c r="F145" s="161">
        <f t="shared" si="27"/>
        <v>12</v>
      </c>
      <c r="G145" s="161">
        <f t="shared" si="27"/>
        <v>16</v>
      </c>
      <c r="H145" s="161">
        <f t="shared" si="27"/>
        <v>30</v>
      </c>
      <c r="I145" s="161">
        <f t="shared" si="27"/>
        <v>8</v>
      </c>
      <c r="J145" s="161">
        <f t="shared" si="27"/>
        <v>7</v>
      </c>
      <c r="K145" s="161">
        <f t="shared" si="27"/>
        <v>9</v>
      </c>
      <c r="L145" s="161">
        <f t="shared" si="27"/>
        <v>9</v>
      </c>
      <c r="M145" s="161">
        <f t="shared" si="27"/>
        <v>5</v>
      </c>
      <c r="N145" s="161">
        <f t="shared" si="27"/>
        <v>20</v>
      </c>
      <c r="O145" s="161">
        <f t="shared" si="27"/>
        <v>20</v>
      </c>
      <c r="P145" s="161">
        <f t="shared" si="27"/>
        <v>15</v>
      </c>
      <c r="Q145" s="161">
        <f t="shared" si="27"/>
        <v>11</v>
      </c>
      <c r="R145" s="161">
        <f t="shared" si="27"/>
        <v>18</v>
      </c>
      <c r="S145" s="161">
        <f t="shared" si="27"/>
        <v>29</v>
      </c>
      <c r="T145" s="161">
        <f t="shared" si="27"/>
        <v>14</v>
      </c>
      <c r="U145" s="161">
        <f t="shared" si="27"/>
        <v>9</v>
      </c>
      <c r="V145" s="161">
        <f t="shared" si="27"/>
        <v>24</v>
      </c>
      <c r="W145" s="161">
        <f t="shared" si="27"/>
        <v>11</v>
      </c>
      <c r="X145" s="161">
        <f t="shared" si="27"/>
        <v>36</v>
      </c>
      <c r="Y145" s="161">
        <f t="shared" si="27"/>
        <v>33</v>
      </c>
      <c r="Z145" s="161">
        <f t="shared" si="27"/>
        <v>15</v>
      </c>
      <c r="AA145" s="161">
        <f t="shared" si="27"/>
        <v>32</v>
      </c>
      <c r="AB145" s="161">
        <f t="shared" si="27"/>
        <v>9</v>
      </c>
      <c r="AC145" s="161">
        <f t="shared" si="27"/>
        <v>22</v>
      </c>
      <c r="AD145" s="161">
        <f t="shared" si="27"/>
        <v>7</v>
      </c>
      <c r="AE145" s="161">
        <f>+AE149+AE155+AE157+AE172</f>
        <v>32</v>
      </c>
      <c r="AF145" s="162">
        <f t="shared" ref="AF145" si="28">+AF149+AF155+AF157+AF172</f>
        <v>5</v>
      </c>
      <c r="AG145" s="163">
        <f t="shared" si="24"/>
        <v>559</v>
      </c>
      <c r="AH145" s="1"/>
    </row>
    <row r="146" spans="1:34" ht="19.5" thickBot="1" x14ac:dyDescent="0.3">
      <c r="A146" s="117" t="s">
        <v>69</v>
      </c>
      <c r="B146" s="118">
        <f t="shared" ref="B146:AG147" si="29">+B148+B154</f>
        <v>37</v>
      </c>
      <c r="C146" s="118">
        <f t="shared" si="29"/>
        <v>54</v>
      </c>
      <c r="D146" s="118">
        <f t="shared" si="29"/>
        <v>46</v>
      </c>
      <c r="E146" s="118">
        <f t="shared" si="29"/>
        <v>53</v>
      </c>
      <c r="F146" s="118">
        <f t="shared" si="29"/>
        <v>45</v>
      </c>
      <c r="G146" s="118">
        <f t="shared" si="29"/>
        <v>41</v>
      </c>
      <c r="H146" s="118">
        <f t="shared" si="29"/>
        <v>60</v>
      </c>
      <c r="I146" s="118">
        <f t="shared" si="29"/>
        <v>48</v>
      </c>
      <c r="J146" s="118">
        <f t="shared" si="29"/>
        <v>56</v>
      </c>
      <c r="K146" s="118">
        <f t="shared" si="29"/>
        <v>65</v>
      </c>
      <c r="L146" s="118">
        <f t="shared" si="29"/>
        <v>38</v>
      </c>
      <c r="M146" s="118">
        <f t="shared" si="29"/>
        <v>29</v>
      </c>
      <c r="N146" s="118">
        <f t="shared" si="29"/>
        <v>23</v>
      </c>
      <c r="O146" s="118">
        <f t="shared" si="29"/>
        <v>52</v>
      </c>
      <c r="P146" s="118">
        <f t="shared" si="29"/>
        <v>36</v>
      </c>
      <c r="Q146" s="118">
        <f t="shared" si="29"/>
        <v>46</v>
      </c>
      <c r="R146" s="118">
        <f t="shared" si="29"/>
        <v>43</v>
      </c>
      <c r="S146" s="118">
        <f t="shared" si="29"/>
        <v>33</v>
      </c>
      <c r="T146" s="118">
        <f t="shared" si="29"/>
        <v>40</v>
      </c>
      <c r="U146" s="118">
        <f t="shared" si="29"/>
        <v>32</v>
      </c>
      <c r="V146" s="118">
        <f t="shared" si="29"/>
        <v>54</v>
      </c>
      <c r="W146" s="118">
        <f t="shared" si="29"/>
        <v>29</v>
      </c>
      <c r="X146" s="118">
        <f t="shared" si="29"/>
        <v>44</v>
      </c>
      <c r="Y146" s="118">
        <f t="shared" si="29"/>
        <v>40</v>
      </c>
      <c r="Z146" s="118">
        <f t="shared" si="29"/>
        <v>35</v>
      </c>
      <c r="AA146" s="118">
        <f t="shared" si="29"/>
        <v>22</v>
      </c>
      <c r="AB146" s="118">
        <f t="shared" si="29"/>
        <v>39</v>
      </c>
      <c r="AC146" s="118">
        <f t="shared" si="29"/>
        <v>57</v>
      </c>
      <c r="AD146" s="118">
        <f t="shared" si="29"/>
        <v>36</v>
      </c>
      <c r="AE146" s="118">
        <f t="shared" si="29"/>
        <v>67</v>
      </c>
      <c r="AF146" s="119">
        <f t="shared" si="29"/>
        <v>38</v>
      </c>
      <c r="AG146" s="120">
        <f t="shared" si="29"/>
        <v>1338</v>
      </c>
    </row>
    <row r="147" spans="1:34" ht="19.5" thickBot="1" x14ac:dyDescent="0.3">
      <c r="A147" s="153" t="s">
        <v>130</v>
      </c>
      <c r="B147" s="154">
        <f t="shared" si="29"/>
        <v>0</v>
      </c>
      <c r="C147" s="154">
        <f t="shared" si="29"/>
        <v>15</v>
      </c>
      <c r="D147" s="154">
        <f t="shared" si="29"/>
        <v>5</v>
      </c>
      <c r="E147" s="154">
        <f t="shared" si="29"/>
        <v>2</v>
      </c>
      <c r="F147" s="154">
        <f t="shared" si="29"/>
        <v>1</v>
      </c>
      <c r="G147" s="154">
        <f t="shared" si="29"/>
        <v>2</v>
      </c>
      <c r="H147" s="154">
        <f t="shared" si="29"/>
        <v>5</v>
      </c>
      <c r="I147" s="154">
        <f t="shared" si="29"/>
        <v>4</v>
      </c>
      <c r="J147" s="154">
        <f t="shared" si="29"/>
        <v>5</v>
      </c>
      <c r="K147" s="154">
        <f t="shared" si="29"/>
        <v>3</v>
      </c>
      <c r="L147" s="154">
        <f t="shared" si="29"/>
        <v>0</v>
      </c>
      <c r="M147" s="154">
        <f t="shared" si="29"/>
        <v>0</v>
      </c>
      <c r="N147" s="154">
        <f t="shared" si="29"/>
        <v>1</v>
      </c>
      <c r="O147" s="154">
        <f t="shared" si="29"/>
        <v>8</v>
      </c>
      <c r="P147" s="154">
        <f t="shared" si="29"/>
        <v>1</v>
      </c>
      <c r="Q147" s="154">
        <f t="shared" si="29"/>
        <v>0</v>
      </c>
      <c r="R147" s="154">
        <f t="shared" si="29"/>
        <v>2</v>
      </c>
      <c r="S147" s="154">
        <f t="shared" si="29"/>
        <v>5</v>
      </c>
      <c r="T147" s="154">
        <f t="shared" si="29"/>
        <v>1</v>
      </c>
      <c r="U147" s="154">
        <f t="shared" si="29"/>
        <v>0</v>
      </c>
      <c r="V147" s="154">
        <f t="shared" si="29"/>
        <v>5</v>
      </c>
      <c r="W147" s="154">
        <f t="shared" si="29"/>
        <v>1</v>
      </c>
      <c r="X147" s="154">
        <f t="shared" si="29"/>
        <v>2</v>
      </c>
      <c r="Y147" s="154">
        <f t="shared" si="29"/>
        <v>0</v>
      </c>
      <c r="Z147" s="154">
        <f t="shared" si="29"/>
        <v>3</v>
      </c>
      <c r="AA147" s="154">
        <f t="shared" si="29"/>
        <v>5</v>
      </c>
      <c r="AB147" s="154">
        <f>+AB149+AB155</f>
        <v>0</v>
      </c>
      <c r="AC147" s="154">
        <f t="shared" si="29"/>
        <v>4</v>
      </c>
      <c r="AD147" s="154">
        <f t="shared" si="29"/>
        <v>0</v>
      </c>
      <c r="AE147" s="154">
        <f t="shared" si="29"/>
        <v>8</v>
      </c>
      <c r="AF147" s="155"/>
      <c r="AG147" s="156">
        <f t="shared" si="24"/>
        <v>88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30">SUM(C150:C153)</f>
        <v>7</v>
      </c>
      <c r="D148" s="126">
        <f t="shared" si="30"/>
        <v>4</v>
      </c>
      <c r="E148" s="126">
        <f t="shared" si="30"/>
        <v>6</v>
      </c>
      <c r="F148" s="126">
        <f t="shared" si="30"/>
        <v>7</v>
      </c>
      <c r="G148" s="126">
        <f t="shared" si="30"/>
        <v>0</v>
      </c>
      <c r="H148" s="126">
        <f t="shared" si="30"/>
        <v>11</v>
      </c>
      <c r="I148" s="126">
        <f t="shared" si="30"/>
        <v>1</v>
      </c>
      <c r="J148" s="126">
        <f t="shared" si="30"/>
        <v>8</v>
      </c>
      <c r="K148" s="126">
        <f t="shared" si="30"/>
        <v>3</v>
      </c>
      <c r="L148" s="126">
        <f t="shared" si="30"/>
        <v>5</v>
      </c>
      <c r="M148" s="126">
        <f t="shared" si="30"/>
        <v>5</v>
      </c>
      <c r="N148" s="126">
        <f t="shared" si="30"/>
        <v>4</v>
      </c>
      <c r="O148" s="126">
        <f t="shared" si="30"/>
        <v>2</v>
      </c>
      <c r="P148" s="126">
        <f t="shared" si="30"/>
        <v>5</v>
      </c>
      <c r="Q148" s="126">
        <f t="shared" si="30"/>
        <v>6</v>
      </c>
      <c r="R148" s="126">
        <f t="shared" si="30"/>
        <v>0</v>
      </c>
      <c r="S148" s="126">
        <f t="shared" si="30"/>
        <v>2</v>
      </c>
      <c r="T148" s="126">
        <f t="shared" si="30"/>
        <v>5</v>
      </c>
      <c r="U148" s="126">
        <f t="shared" si="30"/>
        <v>8</v>
      </c>
      <c r="V148" s="126">
        <f t="shared" si="30"/>
        <v>8</v>
      </c>
      <c r="W148" s="126">
        <f t="shared" si="30"/>
        <v>5</v>
      </c>
      <c r="X148" s="126">
        <f t="shared" si="30"/>
        <v>2</v>
      </c>
      <c r="Y148" s="126">
        <f t="shared" si="30"/>
        <v>11</v>
      </c>
      <c r="Z148" s="126">
        <f t="shared" si="30"/>
        <v>3</v>
      </c>
      <c r="AA148" s="126">
        <f t="shared" si="30"/>
        <v>1</v>
      </c>
      <c r="AB148" s="126">
        <f t="shared" si="30"/>
        <v>11</v>
      </c>
      <c r="AC148" s="126">
        <f t="shared" si="30"/>
        <v>6</v>
      </c>
      <c r="AD148" s="126">
        <f t="shared" si="30"/>
        <v>1</v>
      </c>
      <c r="AE148" s="126">
        <f t="shared" si="30"/>
        <v>5</v>
      </c>
      <c r="AF148" s="127">
        <f t="shared" si="30"/>
        <v>7</v>
      </c>
      <c r="AG148" s="128">
        <f t="shared" ref="AG148:AG223" si="31">SUM(B148:AF148)</f>
        <v>149</v>
      </c>
    </row>
    <row r="149" spans="1:34" ht="19.5" thickBot="1" x14ac:dyDescent="0.3">
      <c r="A149" s="153" t="s">
        <v>131</v>
      </c>
      <c r="B149" s="154">
        <v>0</v>
      </c>
      <c r="C149" s="154">
        <v>4</v>
      </c>
      <c r="D149" s="154">
        <v>1</v>
      </c>
      <c r="E149" s="154">
        <v>0</v>
      </c>
      <c r="F149" s="154">
        <v>0</v>
      </c>
      <c r="G149" s="154">
        <v>0</v>
      </c>
      <c r="H149" s="154">
        <v>0</v>
      </c>
      <c r="I149" s="154">
        <v>0</v>
      </c>
      <c r="J149" s="154">
        <v>2</v>
      </c>
      <c r="K149" s="154">
        <v>1</v>
      </c>
      <c r="L149" s="154">
        <v>0</v>
      </c>
      <c r="M149" s="154">
        <v>0</v>
      </c>
      <c r="N149" s="154">
        <v>0</v>
      </c>
      <c r="O149" s="154">
        <v>1</v>
      </c>
      <c r="P149" s="154">
        <v>0</v>
      </c>
      <c r="Q149" s="154">
        <v>0</v>
      </c>
      <c r="R149" s="154">
        <v>0</v>
      </c>
      <c r="S149" s="154">
        <v>1</v>
      </c>
      <c r="T149" s="154">
        <v>0</v>
      </c>
      <c r="U149" s="154">
        <v>0</v>
      </c>
      <c r="V149" s="154">
        <v>0</v>
      </c>
      <c r="W149" s="154">
        <v>0</v>
      </c>
      <c r="X149" s="154">
        <v>0</v>
      </c>
      <c r="Y149" s="154">
        <v>0</v>
      </c>
      <c r="Z149" s="154">
        <v>0</v>
      </c>
      <c r="AA149" s="154">
        <v>1</v>
      </c>
      <c r="AB149" s="154">
        <v>0</v>
      </c>
      <c r="AC149" s="154">
        <v>1</v>
      </c>
      <c r="AD149" s="154">
        <v>0</v>
      </c>
      <c r="AE149" s="154">
        <v>2</v>
      </c>
      <c r="AF149" s="155"/>
      <c r="AG149" s="156">
        <f t="shared" si="31"/>
        <v>14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31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>
        <v>2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31"/>
        <v>2</v>
      </c>
    </row>
    <row r="152" spans="1:34" ht="18.75" x14ac:dyDescent="0.25">
      <c r="A152" s="50" t="s">
        <v>102</v>
      </c>
      <c r="B152" s="29"/>
      <c r="C152" s="29">
        <v>3</v>
      </c>
      <c r="D152" s="29">
        <v>2</v>
      </c>
      <c r="E152" s="29">
        <v>2</v>
      </c>
      <c r="F152" s="29">
        <v>6</v>
      </c>
      <c r="G152" s="29"/>
      <c r="H152" s="29">
        <v>7</v>
      </c>
      <c r="I152" s="29"/>
      <c r="J152" s="29">
        <v>5</v>
      </c>
      <c r="K152" s="29">
        <v>1</v>
      </c>
      <c r="L152" s="29">
        <v>3</v>
      </c>
      <c r="M152" s="29">
        <v>4</v>
      </c>
      <c r="N152" s="29">
        <v>3</v>
      </c>
      <c r="O152" s="29"/>
      <c r="P152" s="29">
        <v>2</v>
      </c>
      <c r="Q152" s="29">
        <v>3</v>
      </c>
      <c r="R152" s="29"/>
      <c r="S152" s="29">
        <v>1</v>
      </c>
      <c r="T152" s="29">
        <v>4</v>
      </c>
      <c r="U152" s="29">
        <v>5</v>
      </c>
      <c r="V152" s="29">
        <v>7</v>
      </c>
      <c r="W152" s="29">
        <v>3</v>
      </c>
      <c r="X152" s="29">
        <v>1</v>
      </c>
      <c r="Y152" s="29">
        <v>8</v>
      </c>
      <c r="Z152" s="29"/>
      <c r="AA152" s="29">
        <v>1</v>
      </c>
      <c r="AB152" s="29">
        <v>7</v>
      </c>
      <c r="AC152" s="29">
        <v>2</v>
      </c>
      <c r="AD152" s="29">
        <v>1</v>
      </c>
      <c r="AE152" s="29">
        <v>5</v>
      </c>
      <c r="AF152" s="21">
        <v>3</v>
      </c>
      <c r="AG152" s="4">
        <f t="shared" si="31"/>
        <v>89</v>
      </c>
    </row>
    <row r="153" spans="1:34" ht="19.5" thickBot="1" x14ac:dyDescent="0.3">
      <c r="A153" s="71" t="s">
        <v>103</v>
      </c>
      <c r="B153" s="30"/>
      <c r="C153" s="30">
        <v>4</v>
      </c>
      <c r="D153" s="30">
        <v>2</v>
      </c>
      <c r="E153" s="30">
        <v>4</v>
      </c>
      <c r="F153" s="30">
        <v>1</v>
      </c>
      <c r="G153" s="30"/>
      <c r="H153" s="30">
        <v>2</v>
      </c>
      <c r="I153" s="30">
        <v>1</v>
      </c>
      <c r="J153" s="30">
        <v>3</v>
      </c>
      <c r="K153" s="30">
        <v>2</v>
      </c>
      <c r="L153" s="30">
        <v>2</v>
      </c>
      <c r="M153" s="30">
        <v>1</v>
      </c>
      <c r="N153" s="30">
        <v>1</v>
      </c>
      <c r="O153" s="30">
        <v>2</v>
      </c>
      <c r="P153" s="30">
        <v>3</v>
      </c>
      <c r="Q153" s="30">
        <v>3</v>
      </c>
      <c r="R153" s="30"/>
      <c r="S153" s="30">
        <v>1</v>
      </c>
      <c r="T153" s="30">
        <v>1</v>
      </c>
      <c r="U153" s="30">
        <v>3</v>
      </c>
      <c r="V153" s="30">
        <v>1</v>
      </c>
      <c r="W153" s="30">
        <v>2</v>
      </c>
      <c r="X153" s="30">
        <v>1</v>
      </c>
      <c r="Y153" s="30">
        <v>3</v>
      </c>
      <c r="Z153" s="30">
        <v>3</v>
      </c>
      <c r="AA153" s="30"/>
      <c r="AB153" s="30">
        <v>4</v>
      </c>
      <c r="AC153" s="30">
        <v>4</v>
      </c>
      <c r="AD153" s="30"/>
      <c r="AE153" s="30"/>
      <c r="AF153" s="22">
        <v>4</v>
      </c>
      <c r="AG153" s="28">
        <f t="shared" si="31"/>
        <v>58</v>
      </c>
    </row>
    <row r="154" spans="1:34" ht="19.5" thickBot="1" x14ac:dyDescent="0.3">
      <c r="A154" s="125" t="s">
        <v>67</v>
      </c>
      <c r="B154" s="126">
        <v>37</v>
      </c>
      <c r="C154" s="126">
        <v>47</v>
      </c>
      <c r="D154" s="126">
        <v>42</v>
      </c>
      <c r="E154" s="126">
        <v>47</v>
      </c>
      <c r="F154" s="126">
        <v>38</v>
      </c>
      <c r="G154" s="126">
        <v>41</v>
      </c>
      <c r="H154" s="126">
        <v>49</v>
      </c>
      <c r="I154" s="126">
        <v>47</v>
      </c>
      <c r="J154" s="126">
        <v>48</v>
      </c>
      <c r="K154" s="126">
        <v>62</v>
      </c>
      <c r="L154" s="126">
        <v>33</v>
      </c>
      <c r="M154" s="126">
        <v>24</v>
      </c>
      <c r="N154" s="126">
        <v>19</v>
      </c>
      <c r="O154" s="126">
        <v>50</v>
      </c>
      <c r="P154" s="126">
        <v>31</v>
      </c>
      <c r="Q154" s="126">
        <v>40</v>
      </c>
      <c r="R154" s="126">
        <v>43</v>
      </c>
      <c r="S154" s="126">
        <v>31</v>
      </c>
      <c r="T154" s="126">
        <v>35</v>
      </c>
      <c r="U154" s="126">
        <v>24</v>
      </c>
      <c r="V154" s="126">
        <v>46</v>
      </c>
      <c r="W154" s="126">
        <v>24</v>
      </c>
      <c r="X154" s="126">
        <v>42</v>
      </c>
      <c r="Y154" s="126">
        <v>29</v>
      </c>
      <c r="Z154" s="126">
        <v>32</v>
      </c>
      <c r="AA154" s="126">
        <v>21</v>
      </c>
      <c r="AB154" s="126">
        <v>28</v>
      </c>
      <c r="AC154" s="126">
        <v>51</v>
      </c>
      <c r="AD154" s="126">
        <v>35</v>
      </c>
      <c r="AE154" s="126">
        <v>62</v>
      </c>
      <c r="AF154" s="127">
        <f>38-4-3</f>
        <v>31</v>
      </c>
      <c r="AG154" s="128">
        <f t="shared" si="31"/>
        <v>1189</v>
      </c>
    </row>
    <row r="155" spans="1:34" ht="19.5" thickBot="1" x14ac:dyDescent="0.3">
      <c r="A155" s="153" t="s">
        <v>132</v>
      </c>
      <c r="B155" s="154">
        <v>0</v>
      </c>
      <c r="C155" s="154">
        <v>11</v>
      </c>
      <c r="D155" s="154">
        <v>4</v>
      </c>
      <c r="E155" s="154">
        <v>2</v>
      </c>
      <c r="F155" s="154">
        <v>1</v>
      </c>
      <c r="G155" s="154">
        <v>2</v>
      </c>
      <c r="H155" s="154">
        <v>5</v>
      </c>
      <c r="I155" s="154">
        <v>4</v>
      </c>
      <c r="J155" s="154">
        <v>3</v>
      </c>
      <c r="K155" s="154">
        <v>2</v>
      </c>
      <c r="L155" s="154">
        <v>0</v>
      </c>
      <c r="M155" s="154">
        <v>0</v>
      </c>
      <c r="N155" s="154">
        <v>1</v>
      </c>
      <c r="O155" s="154">
        <v>7</v>
      </c>
      <c r="P155" s="154">
        <v>1</v>
      </c>
      <c r="Q155" s="154">
        <v>0</v>
      </c>
      <c r="R155" s="154">
        <v>2</v>
      </c>
      <c r="S155" s="154">
        <v>4</v>
      </c>
      <c r="T155" s="154">
        <v>1</v>
      </c>
      <c r="U155" s="154">
        <v>0</v>
      </c>
      <c r="V155" s="154">
        <v>5</v>
      </c>
      <c r="W155" s="154">
        <v>1</v>
      </c>
      <c r="X155" s="154">
        <v>2</v>
      </c>
      <c r="Y155" s="154">
        <v>0</v>
      </c>
      <c r="Z155" s="154">
        <v>3</v>
      </c>
      <c r="AA155" s="154">
        <v>4</v>
      </c>
      <c r="AB155" s="154">
        <v>0</v>
      </c>
      <c r="AC155" s="154">
        <v>3</v>
      </c>
      <c r="AD155" s="154">
        <v>0</v>
      </c>
      <c r="AE155" s="154">
        <v>6</v>
      </c>
      <c r="AF155" s="155">
        <v>2</v>
      </c>
      <c r="AG155" s="156">
        <f t="shared" si="31"/>
        <v>76</v>
      </c>
    </row>
    <row r="156" spans="1:34" ht="18.75" x14ac:dyDescent="0.25">
      <c r="A156" s="69" t="s">
        <v>62</v>
      </c>
      <c r="B156" s="56">
        <v>170</v>
      </c>
      <c r="C156" s="56">
        <v>142</v>
      </c>
      <c r="D156" s="56">
        <v>154</v>
      </c>
      <c r="E156" s="56">
        <v>146</v>
      </c>
      <c r="F156" s="56">
        <v>202</v>
      </c>
      <c r="G156" s="56">
        <v>181</v>
      </c>
      <c r="H156" s="56">
        <v>144</v>
      </c>
      <c r="I156" s="56">
        <v>110</v>
      </c>
      <c r="J156" s="56">
        <v>121</v>
      </c>
      <c r="K156" s="56">
        <v>123</v>
      </c>
      <c r="L156" s="56">
        <v>141</v>
      </c>
      <c r="M156" s="56">
        <v>210</v>
      </c>
      <c r="N156" s="56">
        <v>198</v>
      </c>
      <c r="O156" s="56">
        <v>144</v>
      </c>
      <c r="P156" s="56">
        <v>126</v>
      </c>
      <c r="Q156" s="56">
        <v>128</v>
      </c>
      <c r="R156" s="56">
        <v>131</v>
      </c>
      <c r="S156" s="56">
        <v>72</v>
      </c>
      <c r="T156" s="56">
        <v>168</v>
      </c>
      <c r="U156" s="56">
        <v>164</v>
      </c>
      <c r="V156" s="56">
        <v>149</v>
      </c>
      <c r="W156" s="56">
        <v>160</v>
      </c>
      <c r="X156" s="56">
        <v>119</v>
      </c>
      <c r="Y156" s="56">
        <v>121</v>
      </c>
      <c r="Z156" s="56">
        <v>144</v>
      </c>
      <c r="AA156" s="56">
        <v>195</v>
      </c>
      <c r="AB156" s="56">
        <v>157</v>
      </c>
      <c r="AC156" s="56">
        <v>155</v>
      </c>
      <c r="AD156" s="56">
        <v>123</v>
      </c>
      <c r="AE156" s="56">
        <v>122</v>
      </c>
      <c r="AF156" s="85">
        <v>123</v>
      </c>
      <c r="AG156" s="95">
        <f t="shared" si="31"/>
        <v>4543</v>
      </c>
      <c r="AH156" s="2" t="s">
        <v>84</v>
      </c>
    </row>
    <row r="157" spans="1:34" ht="19.5" thickBot="1" x14ac:dyDescent="0.3">
      <c r="A157" s="75" t="s">
        <v>1</v>
      </c>
      <c r="B157" s="13">
        <v>8</v>
      </c>
      <c r="C157" s="13">
        <v>34</v>
      </c>
      <c r="D157" s="13">
        <v>26</v>
      </c>
      <c r="E157" s="13">
        <v>10</v>
      </c>
      <c r="F157" s="13">
        <v>10</v>
      </c>
      <c r="G157" s="13">
        <v>14</v>
      </c>
      <c r="H157" s="13">
        <v>25</v>
      </c>
      <c r="I157" s="13">
        <v>4</v>
      </c>
      <c r="J157" s="13">
        <v>2</v>
      </c>
      <c r="K157" s="13">
        <v>6</v>
      </c>
      <c r="L157" s="13">
        <v>9</v>
      </c>
      <c r="M157" s="13">
        <v>5</v>
      </c>
      <c r="N157" s="13">
        <v>18</v>
      </c>
      <c r="O157" s="13">
        <v>12</v>
      </c>
      <c r="P157" s="13">
        <v>14</v>
      </c>
      <c r="Q157" s="13">
        <v>11</v>
      </c>
      <c r="R157" s="13">
        <v>16</v>
      </c>
      <c r="S157" s="13">
        <v>24</v>
      </c>
      <c r="T157" s="13">
        <v>13</v>
      </c>
      <c r="U157" s="13">
        <v>8</v>
      </c>
      <c r="V157" s="13">
        <v>19</v>
      </c>
      <c r="W157" s="13">
        <v>10</v>
      </c>
      <c r="X157" s="13">
        <v>34</v>
      </c>
      <c r="Y157" s="13">
        <v>30</v>
      </c>
      <c r="Z157" s="13">
        <v>12</v>
      </c>
      <c r="AA157" s="13">
        <v>27</v>
      </c>
      <c r="AB157" s="13">
        <v>9</v>
      </c>
      <c r="AC157" s="13">
        <v>18</v>
      </c>
      <c r="AD157" s="13">
        <v>7</v>
      </c>
      <c r="AE157" s="13">
        <v>24</v>
      </c>
      <c r="AF157" s="14">
        <v>3</v>
      </c>
      <c r="AG157" s="157">
        <f t="shared" si="31"/>
        <v>462</v>
      </c>
      <c r="AH157" s="2"/>
    </row>
    <row r="158" spans="1:34" ht="19.5" thickBot="1" x14ac:dyDescent="0.3">
      <c r="A158" s="121" t="s">
        <v>22</v>
      </c>
      <c r="B158" s="122">
        <f t="shared" ref="B158:AF158" si="32">SUM(B159:B166)</f>
        <v>0</v>
      </c>
      <c r="C158" s="122">
        <f t="shared" si="32"/>
        <v>0</v>
      </c>
      <c r="D158" s="122">
        <f t="shared" si="32"/>
        <v>1</v>
      </c>
      <c r="E158" s="122">
        <f t="shared" si="32"/>
        <v>1</v>
      </c>
      <c r="F158" s="122">
        <f t="shared" si="32"/>
        <v>2</v>
      </c>
      <c r="G158" s="122">
        <f t="shared" si="32"/>
        <v>3</v>
      </c>
      <c r="H158" s="122">
        <f t="shared" si="32"/>
        <v>1</v>
      </c>
      <c r="I158" s="122">
        <f t="shared" si="32"/>
        <v>0</v>
      </c>
      <c r="J158" s="122">
        <f t="shared" si="32"/>
        <v>0</v>
      </c>
      <c r="K158" s="122">
        <f t="shared" si="32"/>
        <v>2</v>
      </c>
      <c r="L158" s="122">
        <f t="shared" si="32"/>
        <v>1</v>
      </c>
      <c r="M158" s="122">
        <f t="shared" si="32"/>
        <v>0</v>
      </c>
      <c r="N158" s="122">
        <f t="shared" si="32"/>
        <v>3</v>
      </c>
      <c r="O158" s="122">
        <f t="shared" si="32"/>
        <v>0</v>
      </c>
      <c r="P158" s="122">
        <f t="shared" si="32"/>
        <v>1</v>
      </c>
      <c r="Q158" s="122">
        <f t="shared" si="32"/>
        <v>0</v>
      </c>
      <c r="R158" s="122">
        <f t="shared" si="32"/>
        <v>1</v>
      </c>
      <c r="S158" s="122">
        <f t="shared" si="32"/>
        <v>1</v>
      </c>
      <c r="T158" s="122">
        <f t="shared" si="32"/>
        <v>1</v>
      </c>
      <c r="U158" s="122">
        <f t="shared" si="32"/>
        <v>1</v>
      </c>
      <c r="V158" s="122">
        <f t="shared" si="32"/>
        <v>0</v>
      </c>
      <c r="W158" s="122">
        <f t="shared" si="32"/>
        <v>1</v>
      </c>
      <c r="X158" s="122">
        <f t="shared" si="32"/>
        <v>1</v>
      </c>
      <c r="Y158" s="122">
        <f t="shared" si="32"/>
        <v>1</v>
      </c>
      <c r="Z158" s="122">
        <f t="shared" si="32"/>
        <v>2</v>
      </c>
      <c r="AA158" s="122">
        <f t="shared" si="32"/>
        <v>0</v>
      </c>
      <c r="AB158" s="122">
        <f t="shared" si="32"/>
        <v>0</v>
      </c>
      <c r="AC158" s="122">
        <f t="shared" si="32"/>
        <v>1</v>
      </c>
      <c r="AD158" s="122">
        <f t="shared" si="32"/>
        <v>1</v>
      </c>
      <c r="AE158" s="122">
        <f t="shared" si="32"/>
        <v>0</v>
      </c>
      <c r="AF158" s="123">
        <f t="shared" si="32"/>
        <v>1</v>
      </c>
      <c r="AG158" s="124">
        <f t="shared" si="31"/>
        <v>27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>
        <v>1</v>
      </c>
      <c r="H159" s="130"/>
      <c r="I159" s="130"/>
      <c r="J159" s="130"/>
      <c r="K159" s="130"/>
      <c r="L159" s="130"/>
      <c r="M159" s="130"/>
      <c r="N159" s="130">
        <v>1</v>
      </c>
      <c r="O159" s="130"/>
      <c r="P159" s="130">
        <v>1</v>
      </c>
      <c r="Q159" s="130"/>
      <c r="R159" s="130"/>
      <c r="S159" s="130"/>
      <c r="T159" s="130"/>
      <c r="U159" s="130">
        <v>1</v>
      </c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31"/>
        <v>4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>
        <v>1</v>
      </c>
      <c r="G160" s="29"/>
      <c r="H160" s="29">
        <v>1</v>
      </c>
      <c r="I160" s="29"/>
      <c r="J160" s="29"/>
      <c r="K160" s="29"/>
      <c r="L160" s="29"/>
      <c r="M160" s="29"/>
      <c r="N160" s="29">
        <v>1</v>
      </c>
      <c r="O160" s="29"/>
      <c r="P160" s="29"/>
      <c r="Q160" s="29"/>
      <c r="R160" s="29"/>
      <c r="S160" s="29"/>
      <c r="T160" s="29"/>
      <c r="U160" s="29"/>
      <c r="V160" s="29"/>
      <c r="W160" s="29">
        <v>1</v>
      </c>
      <c r="X160" s="29">
        <v>1</v>
      </c>
      <c r="Y160" s="29"/>
      <c r="Z160" s="29">
        <v>1</v>
      </c>
      <c r="AA160" s="29"/>
      <c r="AB160" s="29"/>
      <c r="AC160" s="29"/>
      <c r="AD160" s="29">
        <v>1</v>
      </c>
      <c r="AE160" s="29"/>
      <c r="AF160" s="21"/>
      <c r="AG160" s="4">
        <f t="shared" si="31"/>
        <v>7</v>
      </c>
    </row>
    <row r="161" spans="1:34" ht="18.75" x14ac:dyDescent="0.25">
      <c r="A161" s="50" t="s">
        <v>59</v>
      </c>
      <c r="B161" s="29"/>
      <c r="C161" s="29"/>
      <c r="D161" s="29"/>
      <c r="E161" s="29">
        <v>1</v>
      </c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>
        <v>1</v>
      </c>
      <c r="T161" s="29"/>
      <c r="U161" s="29"/>
      <c r="V161" s="29"/>
      <c r="W161" s="29"/>
      <c r="X161" s="29"/>
      <c r="Y161" s="29">
        <v>1</v>
      </c>
      <c r="Z161" s="29"/>
      <c r="AA161" s="29"/>
      <c r="AB161" s="29"/>
      <c r="AC161" s="29"/>
      <c r="AD161" s="29"/>
      <c r="AE161" s="29"/>
      <c r="AF161" s="21"/>
      <c r="AG161" s="4">
        <f t="shared" si="31"/>
        <v>3</v>
      </c>
    </row>
    <row r="162" spans="1:34" ht="18.75" x14ac:dyDescent="0.25">
      <c r="A162" s="50" t="s">
        <v>25</v>
      </c>
      <c r="B162" s="29"/>
      <c r="C162" s="29"/>
      <c r="D162" s="29">
        <v>1</v>
      </c>
      <c r="E162" s="29"/>
      <c r="F162" s="29"/>
      <c r="G162" s="29">
        <v>2</v>
      </c>
      <c r="H162" s="29"/>
      <c r="I162" s="29"/>
      <c r="J162" s="29"/>
      <c r="K162" s="29"/>
      <c r="L162" s="29">
        <v>1</v>
      </c>
      <c r="M162" s="29"/>
      <c r="N162" s="29"/>
      <c r="O162" s="29"/>
      <c r="P162" s="29"/>
      <c r="Q162" s="29"/>
      <c r="R162" s="29">
        <v>1</v>
      </c>
      <c r="S162" s="29"/>
      <c r="T162" s="29">
        <v>1</v>
      </c>
      <c r="U162" s="29"/>
      <c r="V162" s="29"/>
      <c r="W162" s="29"/>
      <c r="X162" s="29"/>
      <c r="Y162" s="29"/>
      <c r="Z162" s="29">
        <v>1</v>
      </c>
      <c r="AA162" s="29"/>
      <c r="AB162" s="29"/>
      <c r="AC162" s="29">
        <v>1</v>
      </c>
      <c r="AD162" s="29"/>
      <c r="AE162" s="29"/>
      <c r="AF162" s="21">
        <v>1</v>
      </c>
      <c r="AG162" s="4">
        <f t="shared" si="31"/>
        <v>9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31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>
        <v>1</v>
      </c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31"/>
        <v>1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>
        <v>1</v>
      </c>
      <c r="G165" s="29"/>
      <c r="H165" s="29"/>
      <c r="I165" s="29"/>
      <c r="J165" s="29"/>
      <c r="K165" s="29">
        <v>1</v>
      </c>
      <c r="L165" s="29"/>
      <c r="M165" s="29"/>
      <c r="N165" s="29">
        <v>1</v>
      </c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31"/>
        <v>3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31"/>
        <v>0</v>
      </c>
    </row>
    <row r="167" spans="1:34" ht="18.75" x14ac:dyDescent="0.25">
      <c r="A167" s="69" t="s">
        <v>71</v>
      </c>
      <c r="B167" s="56">
        <f t="shared" ref="B167:AF167" si="33">SUM(B168:B171)</f>
        <v>0</v>
      </c>
      <c r="C167" s="56">
        <f t="shared" si="33"/>
        <v>0</v>
      </c>
      <c r="D167" s="56">
        <f t="shared" si="33"/>
        <v>0</v>
      </c>
      <c r="E167" s="56">
        <f t="shared" si="33"/>
        <v>0</v>
      </c>
      <c r="F167" s="56">
        <f t="shared" si="33"/>
        <v>3</v>
      </c>
      <c r="G167" s="56">
        <f t="shared" si="33"/>
        <v>2</v>
      </c>
      <c r="H167" s="56">
        <f t="shared" si="33"/>
        <v>1</v>
      </c>
      <c r="I167" s="56">
        <f t="shared" si="33"/>
        <v>1</v>
      </c>
      <c r="J167" s="56">
        <f t="shared" si="33"/>
        <v>0</v>
      </c>
      <c r="K167" s="56">
        <f t="shared" si="33"/>
        <v>0</v>
      </c>
      <c r="L167" s="56">
        <f t="shared" si="33"/>
        <v>0</v>
      </c>
      <c r="M167" s="56">
        <f t="shared" si="33"/>
        <v>2</v>
      </c>
      <c r="N167" s="56">
        <f t="shared" si="33"/>
        <v>0</v>
      </c>
      <c r="O167" s="56">
        <f t="shared" si="33"/>
        <v>0</v>
      </c>
      <c r="P167" s="56">
        <f t="shared" si="33"/>
        <v>0</v>
      </c>
      <c r="Q167" s="56">
        <f t="shared" si="33"/>
        <v>3</v>
      </c>
      <c r="R167" s="56">
        <f t="shared" si="33"/>
        <v>1</v>
      </c>
      <c r="S167" s="56">
        <f t="shared" si="33"/>
        <v>0</v>
      </c>
      <c r="T167" s="56">
        <f t="shared" si="33"/>
        <v>0</v>
      </c>
      <c r="U167" s="56">
        <f t="shared" si="33"/>
        <v>1</v>
      </c>
      <c r="V167" s="56">
        <f t="shared" si="33"/>
        <v>0</v>
      </c>
      <c r="W167" s="56">
        <f t="shared" si="33"/>
        <v>0</v>
      </c>
      <c r="X167" s="56">
        <f t="shared" si="33"/>
        <v>0</v>
      </c>
      <c r="Y167" s="56">
        <f t="shared" si="33"/>
        <v>2</v>
      </c>
      <c r="Z167" s="56">
        <f t="shared" si="33"/>
        <v>2</v>
      </c>
      <c r="AA167" s="56">
        <f t="shared" si="33"/>
        <v>5</v>
      </c>
      <c r="AB167" s="56">
        <f t="shared" si="33"/>
        <v>2</v>
      </c>
      <c r="AC167" s="56">
        <f t="shared" si="33"/>
        <v>0</v>
      </c>
      <c r="AD167" s="56">
        <f t="shared" si="33"/>
        <v>1</v>
      </c>
      <c r="AE167" s="56">
        <f t="shared" si="33"/>
        <v>3</v>
      </c>
      <c r="AF167" s="85">
        <f t="shared" si="33"/>
        <v>1</v>
      </c>
      <c r="AG167" s="95">
        <f t="shared" si="31"/>
        <v>30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2</v>
      </c>
      <c r="N168" s="29"/>
      <c r="O168" s="29"/>
      <c r="P168" s="29"/>
      <c r="Q168" s="29">
        <v>1</v>
      </c>
      <c r="R168" s="29"/>
      <c r="S168" s="29"/>
      <c r="T168" s="29"/>
      <c r="U168" s="29"/>
      <c r="V168" s="29"/>
      <c r="W168" s="29"/>
      <c r="X168" s="29"/>
      <c r="Y168" s="29">
        <v>2</v>
      </c>
      <c r="Z168" s="29">
        <v>1</v>
      </c>
      <c r="AA168" s="29"/>
      <c r="AB168" s="29">
        <v>1</v>
      </c>
      <c r="AC168" s="29"/>
      <c r="AD168" s="29"/>
      <c r="AE168" s="29"/>
      <c r="AF168" s="21"/>
      <c r="AG168" s="4">
        <f t="shared" si="31"/>
        <v>7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>
        <v>2</v>
      </c>
      <c r="H169" s="29">
        <v>1</v>
      </c>
      <c r="I169" s="29"/>
      <c r="J169" s="29"/>
      <c r="K169" s="29"/>
      <c r="L169" s="29"/>
      <c r="M169" s="29"/>
      <c r="N169" s="29"/>
      <c r="O169" s="29"/>
      <c r="P169" s="29"/>
      <c r="Q169" s="29">
        <v>2</v>
      </c>
      <c r="R169" s="29">
        <v>1</v>
      </c>
      <c r="S169" s="29"/>
      <c r="T169" s="29"/>
      <c r="U169" s="29">
        <v>1</v>
      </c>
      <c r="V169" s="29"/>
      <c r="W169" s="29"/>
      <c r="X169" s="29"/>
      <c r="Y169" s="29"/>
      <c r="Z169" s="29">
        <v>1</v>
      </c>
      <c r="AA169" s="29">
        <v>5</v>
      </c>
      <c r="AB169" s="29">
        <v>1</v>
      </c>
      <c r="AC169" s="29"/>
      <c r="AD169" s="29">
        <v>1</v>
      </c>
      <c r="AE169" s="29">
        <v>2</v>
      </c>
      <c r="AF169" s="21">
        <v>1</v>
      </c>
      <c r="AG169" s="4">
        <f t="shared" si="31"/>
        <v>18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31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>
        <v>3</v>
      </c>
      <c r="G171" s="30"/>
      <c r="H171" s="30"/>
      <c r="I171" s="30">
        <v>1</v>
      </c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>
        <v>1</v>
      </c>
      <c r="AF171" s="22"/>
      <c r="AG171" s="28">
        <f t="shared" si="31"/>
        <v>5</v>
      </c>
    </row>
    <row r="172" spans="1:34" ht="19.5" thickBot="1" x14ac:dyDescent="0.3">
      <c r="A172" s="158" t="s">
        <v>128</v>
      </c>
      <c r="B172" s="151"/>
      <c r="C172" s="151"/>
      <c r="D172" s="151">
        <v>1</v>
      </c>
      <c r="E172" s="151"/>
      <c r="F172" s="151">
        <v>1</v>
      </c>
      <c r="G172" s="151"/>
      <c r="H172" s="151"/>
      <c r="I172" s="151"/>
      <c r="J172" s="151"/>
      <c r="K172" s="151"/>
      <c r="L172" s="151"/>
      <c r="M172" s="151"/>
      <c r="N172" s="151">
        <v>1</v>
      </c>
      <c r="O172" s="151"/>
      <c r="P172" s="151"/>
      <c r="Q172" s="151"/>
      <c r="R172" s="151"/>
      <c r="S172" s="151"/>
      <c r="T172" s="151"/>
      <c r="U172" s="151">
        <v>1</v>
      </c>
      <c r="V172" s="151"/>
      <c r="W172" s="151"/>
      <c r="X172" s="151"/>
      <c r="Y172" s="151">
        <v>3</v>
      </c>
      <c r="Z172" s="151"/>
      <c r="AA172" s="151"/>
      <c r="AB172" s="151"/>
      <c r="AC172" s="151"/>
      <c r="AD172" s="151"/>
      <c r="AE172" s="151"/>
      <c r="AF172" s="152"/>
      <c r="AG172" s="159">
        <f t="shared" si="31"/>
        <v>7</v>
      </c>
    </row>
    <row r="173" spans="1:34" ht="18.75" x14ac:dyDescent="0.25">
      <c r="A173" s="68" t="s">
        <v>2</v>
      </c>
      <c r="B173" s="15">
        <v>3</v>
      </c>
      <c r="C173" s="15">
        <v>0</v>
      </c>
      <c r="D173" s="15">
        <v>2</v>
      </c>
      <c r="E173" s="15">
        <v>1</v>
      </c>
      <c r="F173" s="15">
        <v>2</v>
      </c>
      <c r="G173" s="15">
        <v>4</v>
      </c>
      <c r="H173" s="15">
        <v>3</v>
      </c>
      <c r="I173" s="15">
        <v>0</v>
      </c>
      <c r="J173" s="15">
        <v>0</v>
      </c>
      <c r="K173" s="15">
        <v>1</v>
      </c>
      <c r="L173" s="15">
        <v>1</v>
      </c>
      <c r="M173" s="15">
        <v>3</v>
      </c>
      <c r="N173" s="15">
        <v>1</v>
      </c>
      <c r="O173" s="15">
        <v>1</v>
      </c>
      <c r="P173" s="15">
        <v>0</v>
      </c>
      <c r="Q173" s="15">
        <v>0</v>
      </c>
      <c r="R173" s="15">
        <v>2</v>
      </c>
      <c r="S173" s="15">
        <v>0</v>
      </c>
      <c r="T173" s="15">
        <v>1</v>
      </c>
      <c r="U173" s="15">
        <v>0</v>
      </c>
      <c r="V173" s="15">
        <v>0</v>
      </c>
      <c r="W173" s="15">
        <v>1</v>
      </c>
      <c r="X173" s="15">
        <f>1+1</f>
        <v>2</v>
      </c>
      <c r="Y173" s="15">
        <v>2</v>
      </c>
      <c r="Z173" s="15">
        <v>0</v>
      </c>
      <c r="AA173" s="15">
        <v>0</v>
      </c>
      <c r="AB173" s="15">
        <v>1</v>
      </c>
      <c r="AC173" s="15">
        <v>0</v>
      </c>
      <c r="AD173" s="15">
        <v>1</v>
      </c>
      <c r="AE173" s="15">
        <v>1</v>
      </c>
      <c r="AF173" s="23">
        <v>0</v>
      </c>
      <c r="AG173" s="5">
        <f t="shared" si="31"/>
        <v>33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4</v>
      </c>
      <c r="C174" s="16">
        <f t="shared" ref="C174:AF174" si="34">SUM(C175:C176)</f>
        <v>6</v>
      </c>
      <c r="D174" s="16">
        <f t="shared" si="34"/>
        <v>11</v>
      </c>
      <c r="E174" s="16">
        <f t="shared" si="34"/>
        <v>4</v>
      </c>
      <c r="F174" s="16">
        <f t="shared" si="34"/>
        <v>7</v>
      </c>
      <c r="G174" s="16">
        <f t="shared" si="34"/>
        <v>8</v>
      </c>
      <c r="H174" s="16">
        <f t="shared" si="34"/>
        <v>5</v>
      </c>
      <c r="I174" s="16">
        <f t="shared" si="34"/>
        <v>3</v>
      </c>
      <c r="J174" s="16">
        <f t="shared" si="34"/>
        <v>1</v>
      </c>
      <c r="K174" s="16">
        <f t="shared" si="34"/>
        <v>8</v>
      </c>
      <c r="L174" s="16">
        <f t="shared" si="34"/>
        <v>10</v>
      </c>
      <c r="M174" s="16">
        <f t="shared" si="34"/>
        <v>11</v>
      </c>
      <c r="N174" s="16">
        <f t="shared" si="34"/>
        <v>6</v>
      </c>
      <c r="O174" s="16">
        <f t="shared" si="34"/>
        <v>7</v>
      </c>
      <c r="P174" s="16">
        <f t="shared" si="34"/>
        <v>0</v>
      </c>
      <c r="Q174" s="16">
        <f t="shared" si="34"/>
        <v>1</v>
      </c>
      <c r="R174" s="16">
        <f t="shared" si="34"/>
        <v>8</v>
      </c>
      <c r="S174" s="16">
        <f t="shared" si="34"/>
        <v>4</v>
      </c>
      <c r="T174" s="16">
        <f t="shared" si="34"/>
        <v>8</v>
      </c>
      <c r="U174" s="16">
        <f t="shared" si="34"/>
        <v>2</v>
      </c>
      <c r="V174" s="16">
        <f t="shared" si="34"/>
        <v>7</v>
      </c>
      <c r="W174" s="16">
        <f t="shared" si="34"/>
        <v>5</v>
      </c>
      <c r="X174" s="16">
        <f t="shared" si="34"/>
        <v>8</v>
      </c>
      <c r="Y174" s="16">
        <f t="shared" si="34"/>
        <v>7</v>
      </c>
      <c r="Z174" s="16">
        <f t="shared" si="34"/>
        <v>12</v>
      </c>
      <c r="AA174" s="16">
        <f t="shared" si="34"/>
        <v>11</v>
      </c>
      <c r="AB174" s="16">
        <f t="shared" si="34"/>
        <v>7</v>
      </c>
      <c r="AC174" s="16">
        <f t="shared" si="34"/>
        <v>7</v>
      </c>
      <c r="AD174" s="16">
        <f t="shared" si="34"/>
        <v>2</v>
      </c>
      <c r="AE174" s="16">
        <f t="shared" si="34"/>
        <v>8</v>
      </c>
      <c r="AF174" s="24">
        <f t="shared" si="34"/>
        <v>5</v>
      </c>
      <c r="AG174" s="6">
        <f t="shared" si="31"/>
        <v>193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1</v>
      </c>
      <c r="D175" s="15">
        <v>1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1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0</v>
      </c>
      <c r="T175" s="15">
        <v>1</v>
      </c>
      <c r="U175" s="15">
        <v>0</v>
      </c>
      <c r="V175" s="15">
        <v>2</v>
      </c>
      <c r="W175" s="15">
        <v>3</v>
      </c>
      <c r="X175" s="15">
        <v>1</v>
      </c>
      <c r="Y175" s="15">
        <v>1</v>
      </c>
      <c r="Z175" s="15">
        <v>0</v>
      </c>
      <c r="AA175" s="15">
        <v>0</v>
      </c>
      <c r="AB175" s="15">
        <v>1</v>
      </c>
      <c r="AC175" s="15">
        <v>0</v>
      </c>
      <c r="AD175" s="15">
        <v>0</v>
      </c>
      <c r="AE175" s="15">
        <v>0</v>
      </c>
      <c r="AF175" s="23">
        <v>3</v>
      </c>
      <c r="AG175" s="5">
        <f t="shared" si="31"/>
        <v>17</v>
      </c>
      <c r="AH175" s="2" t="s">
        <v>138</v>
      </c>
    </row>
    <row r="176" spans="1:34" ht="19.5" thickBot="1" x14ac:dyDescent="0.3">
      <c r="A176" s="104" t="s">
        <v>119</v>
      </c>
      <c r="B176" s="101">
        <v>3</v>
      </c>
      <c r="C176" s="101">
        <v>5</v>
      </c>
      <c r="D176" s="101">
        <v>10</v>
      </c>
      <c r="E176" s="101">
        <v>4</v>
      </c>
      <c r="F176" s="101">
        <v>7</v>
      </c>
      <c r="G176" s="101">
        <v>8</v>
      </c>
      <c r="H176" s="101">
        <v>5</v>
      </c>
      <c r="I176" s="101">
        <v>3</v>
      </c>
      <c r="J176" s="101">
        <v>1</v>
      </c>
      <c r="K176" s="101">
        <v>8</v>
      </c>
      <c r="L176" s="101">
        <v>10</v>
      </c>
      <c r="M176" s="101">
        <v>10</v>
      </c>
      <c r="N176" s="101">
        <v>6</v>
      </c>
      <c r="O176" s="101">
        <v>7</v>
      </c>
      <c r="P176" s="101">
        <v>0</v>
      </c>
      <c r="Q176" s="101">
        <v>1</v>
      </c>
      <c r="R176" s="101">
        <v>7</v>
      </c>
      <c r="S176" s="101">
        <v>4</v>
      </c>
      <c r="T176" s="101">
        <v>7</v>
      </c>
      <c r="U176" s="101">
        <v>2</v>
      </c>
      <c r="V176" s="101">
        <v>5</v>
      </c>
      <c r="W176" s="101">
        <v>2</v>
      </c>
      <c r="X176" s="101">
        <v>7</v>
      </c>
      <c r="Y176" s="101">
        <v>6</v>
      </c>
      <c r="Z176" s="101">
        <v>12</v>
      </c>
      <c r="AA176" s="101">
        <v>11</v>
      </c>
      <c r="AB176" s="101">
        <v>6</v>
      </c>
      <c r="AC176" s="101">
        <v>7</v>
      </c>
      <c r="AD176" s="101">
        <v>2</v>
      </c>
      <c r="AE176" s="101">
        <v>8</v>
      </c>
      <c r="AF176" s="102">
        <v>2</v>
      </c>
      <c r="AG176" s="103">
        <f t="shared" si="31"/>
        <v>176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31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31"/>
        <v>0</v>
      </c>
    </row>
    <row r="179" spans="1:34" ht="19.5" thickBot="1" x14ac:dyDescent="0.3">
      <c r="A179" s="219" t="s">
        <v>149</v>
      </c>
      <c r="B179" s="220">
        <f t="shared" ref="B179:AF179" si="35">SUM(B180:B203)</f>
        <v>20</v>
      </c>
      <c r="C179" s="220">
        <f t="shared" si="35"/>
        <v>9</v>
      </c>
      <c r="D179" s="220">
        <f t="shared" si="35"/>
        <v>32</v>
      </c>
      <c r="E179" s="220">
        <f t="shared" si="35"/>
        <v>10</v>
      </c>
      <c r="F179" s="220">
        <f t="shared" si="35"/>
        <v>12</v>
      </c>
      <c r="G179" s="220">
        <f t="shared" si="35"/>
        <v>27</v>
      </c>
      <c r="H179" s="220">
        <f t="shared" si="35"/>
        <v>18</v>
      </c>
      <c r="I179" s="220">
        <f t="shared" si="35"/>
        <v>8</v>
      </c>
      <c r="J179" s="220">
        <f t="shared" si="35"/>
        <v>7</v>
      </c>
      <c r="K179" s="220">
        <f t="shared" si="35"/>
        <v>17</v>
      </c>
      <c r="L179" s="220">
        <f t="shared" si="35"/>
        <v>7</v>
      </c>
      <c r="M179" s="220">
        <f t="shared" si="35"/>
        <v>15</v>
      </c>
      <c r="N179" s="220">
        <f t="shared" si="35"/>
        <v>11</v>
      </c>
      <c r="O179" s="220">
        <f t="shared" si="35"/>
        <v>24</v>
      </c>
      <c r="P179" s="220">
        <f t="shared" si="35"/>
        <v>14</v>
      </c>
      <c r="Q179" s="220">
        <f t="shared" si="35"/>
        <v>16</v>
      </c>
      <c r="R179" s="220">
        <f t="shared" si="35"/>
        <v>24</v>
      </c>
      <c r="S179" s="220">
        <f t="shared" si="35"/>
        <v>11</v>
      </c>
      <c r="T179" s="220">
        <f t="shared" si="35"/>
        <v>16</v>
      </c>
      <c r="U179" s="220">
        <f t="shared" si="35"/>
        <v>18</v>
      </c>
      <c r="V179" s="220">
        <f t="shared" si="35"/>
        <v>25</v>
      </c>
      <c r="W179" s="220">
        <f t="shared" si="35"/>
        <v>25</v>
      </c>
      <c r="X179" s="220">
        <f t="shared" si="35"/>
        <v>14</v>
      </c>
      <c r="Y179" s="220">
        <f t="shared" si="35"/>
        <v>7</v>
      </c>
      <c r="Z179" s="220">
        <f t="shared" si="35"/>
        <v>10</v>
      </c>
      <c r="AA179" s="220">
        <f t="shared" si="35"/>
        <v>29</v>
      </c>
      <c r="AB179" s="220">
        <f t="shared" si="35"/>
        <v>21</v>
      </c>
      <c r="AC179" s="220">
        <f t="shared" si="35"/>
        <v>19</v>
      </c>
      <c r="AD179" s="220">
        <f t="shared" si="35"/>
        <v>21</v>
      </c>
      <c r="AE179" s="220">
        <f t="shared" si="35"/>
        <v>20</v>
      </c>
      <c r="AF179" s="221">
        <f t="shared" si="35"/>
        <v>22</v>
      </c>
      <c r="AG179" s="156">
        <f t="shared" si="31"/>
        <v>529</v>
      </c>
      <c r="AH179" s="38"/>
    </row>
    <row r="180" spans="1:34" ht="18.75" x14ac:dyDescent="0.25">
      <c r="A180" s="109" t="s">
        <v>4</v>
      </c>
      <c r="B180" s="216">
        <v>6</v>
      </c>
      <c r="C180" s="216">
        <v>1</v>
      </c>
      <c r="D180" s="216">
        <v>10</v>
      </c>
      <c r="E180" s="216">
        <v>2</v>
      </c>
      <c r="F180" s="216">
        <v>3</v>
      </c>
      <c r="G180" s="216">
        <v>7</v>
      </c>
      <c r="H180" s="216">
        <v>4</v>
      </c>
      <c r="I180" s="216">
        <v>4</v>
      </c>
      <c r="J180" s="216">
        <v>3</v>
      </c>
      <c r="K180" s="216">
        <v>6</v>
      </c>
      <c r="L180" s="216">
        <v>4</v>
      </c>
      <c r="M180" s="216">
        <v>6</v>
      </c>
      <c r="N180" s="217">
        <v>10</v>
      </c>
      <c r="O180" s="217">
        <v>1</v>
      </c>
      <c r="P180" s="217">
        <v>6</v>
      </c>
      <c r="Q180" s="217">
        <v>6</v>
      </c>
      <c r="R180" s="217">
        <v>12</v>
      </c>
      <c r="S180" s="217">
        <v>8</v>
      </c>
      <c r="T180" s="217">
        <v>6</v>
      </c>
      <c r="U180" s="217">
        <v>7</v>
      </c>
      <c r="V180" s="217">
        <v>8</v>
      </c>
      <c r="W180" s="217">
        <v>9</v>
      </c>
      <c r="X180" s="217">
        <v>4</v>
      </c>
      <c r="Y180" s="217">
        <v>1</v>
      </c>
      <c r="Z180" s="217">
        <v>5</v>
      </c>
      <c r="AA180" s="217">
        <v>6</v>
      </c>
      <c r="AB180" s="217">
        <v>4</v>
      </c>
      <c r="AC180" s="217">
        <v>6</v>
      </c>
      <c r="AD180" s="217">
        <v>7</v>
      </c>
      <c r="AE180" s="217">
        <v>7</v>
      </c>
      <c r="AF180" s="218">
        <v>3</v>
      </c>
      <c r="AG180" s="31">
        <f t="shared" si="31"/>
        <v>172</v>
      </c>
    </row>
    <row r="181" spans="1:34" ht="18.75" x14ac:dyDescent="0.25">
      <c r="A181" s="109" t="s">
        <v>122</v>
      </c>
      <c r="B181" s="147">
        <v>1</v>
      </c>
      <c r="C181" s="147">
        <v>1</v>
      </c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>
        <v>1</v>
      </c>
      <c r="Y181" s="17"/>
      <c r="Z181" s="17"/>
      <c r="AA181" s="17"/>
      <c r="AB181" s="17"/>
      <c r="AC181" s="17"/>
      <c r="AD181" s="17"/>
      <c r="AE181" s="17"/>
      <c r="AF181" s="18"/>
      <c r="AG181" s="4">
        <f t="shared" si="31"/>
        <v>3</v>
      </c>
    </row>
    <row r="182" spans="1:34" ht="18.75" x14ac:dyDescent="0.25">
      <c r="A182" s="109" t="s">
        <v>123</v>
      </c>
      <c r="B182" s="147">
        <v>8</v>
      </c>
      <c r="C182" s="147">
        <v>5</v>
      </c>
      <c r="D182" s="147">
        <v>9</v>
      </c>
      <c r="E182" s="147">
        <v>5</v>
      </c>
      <c r="F182" s="147">
        <v>7</v>
      </c>
      <c r="G182" s="147">
        <v>12</v>
      </c>
      <c r="H182" s="147">
        <v>10</v>
      </c>
      <c r="I182" s="147">
        <v>3</v>
      </c>
      <c r="J182" s="147">
        <v>3</v>
      </c>
      <c r="K182" s="147">
        <v>8</v>
      </c>
      <c r="L182" s="147"/>
      <c r="M182" s="147">
        <v>6</v>
      </c>
      <c r="N182" s="17">
        <v>1</v>
      </c>
      <c r="O182" s="17">
        <v>20</v>
      </c>
      <c r="P182" s="17">
        <v>6</v>
      </c>
      <c r="Q182" s="17">
        <v>5</v>
      </c>
      <c r="R182" s="17">
        <v>10</v>
      </c>
      <c r="S182" s="17"/>
      <c r="T182" s="17">
        <v>6</v>
      </c>
      <c r="U182" s="17">
        <v>10</v>
      </c>
      <c r="V182" s="17">
        <v>15</v>
      </c>
      <c r="W182" s="17">
        <v>9</v>
      </c>
      <c r="X182" s="17">
        <v>6</v>
      </c>
      <c r="Y182" s="17">
        <v>4</v>
      </c>
      <c r="Z182" s="17"/>
      <c r="AA182" s="17">
        <v>11</v>
      </c>
      <c r="AB182" s="17">
        <v>10</v>
      </c>
      <c r="AC182" s="17">
        <v>11</v>
      </c>
      <c r="AD182" s="17">
        <v>12</v>
      </c>
      <c r="AE182" s="17">
        <v>6</v>
      </c>
      <c r="AF182" s="18">
        <v>7</v>
      </c>
      <c r="AG182" s="4">
        <f t="shared" si="31"/>
        <v>225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31"/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>
        <v>1</v>
      </c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31"/>
        <v>1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31"/>
        <v>0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ref="AG186" si="36">SUM(B186:AF186)</f>
        <v>0</v>
      </c>
    </row>
    <row r="187" spans="1:34" ht="18.75" x14ac:dyDescent="0.25">
      <c r="A187" s="109" t="s">
        <v>139</v>
      </c>
      <c r="B187" s="147">
        <v>1</v>
      </c>
      <c r="C187" s="147">
        <v>1</v>
      </c>
      <c r="D187" s="147">
        <v>12</v>
      </c>
      <c r="E187" s="147">
        <v>2</v>
      </c>
      <c r="F187" s="147"/>
      <c r="G187" s="147">
        <v>2</v>
      </c>
      <c r="H187" s="147">
        <v>2</v>
      </c>
      <c r="I187" s="147">
        <v>1</v>
      </c>
      <c r="J187" s="147"/>
      <c r="K187" s="147">
        <v>1</v>
      </c>
      <c r="L187" s="147">
        <v>1</v>
      </c>
      <c r="M187" s="147"/>
      <c r="N187" s="17"/>
      <c r="O187" s="17">
        <v>1</v>
      </c>
      <c r="P187" s="17">
        <v>2</v>
      </c>
      <c r="Q187" s="17"/>
      <c r="R187" s="17"/>
      <c r="S187" s="17">
        <v>1</v>
      </c>
      <c r="T187" s="17">
        <v>2</v>
      </c>
      <c r="U187" s="17"/>
      <c r="V187" s="17"/>
      <c r="W187" s="17">
        <v>4</v>
      </c>
      <c r="X187" s="17"/>
      <c r="Y187" s="17">
        <v>2</v>
      </c>
      <c r="Z187" s="17">
        <v>1</v>
      </c>
      <c r="AA187" s="17"/>
      <c r="AB187" s="17">
        <v>2</v>
      </c>
      <c r="AC187" s="17"/>
      <c r="AD187" s="17"/>
      <c r="AE187" s="17">
        <v>2</v>
      </c>
      <c r="AF187" s="18">
        <v>7</v>
      </c>
      <c r="AG187" s="4">
        <f t="shared" si="31"/>
        <v>47</v>
      </c>
    </row>
    <row r="188" spans="1:34" ht="18.75" x14ac:dyDescent="0.25">
      <c r="A188" s="110" t="s">
        <v>63</v>
      </c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8"/>
      <c r="AG188" s="4">
        <f t="shared" si="31"/>
        <v>0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>
        <v>1</v>
      </c>
      <c r="T189" s="17"/>
      <c r="U189" s="17"/>
      <c r="V189" s="17"/>
      <c r="W189" s="17">
        <v>2</v>
      </c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31"/>
        <v>3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31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31"/>
        <v>0</v>
      </c>
    </row>
    <row r="192" spans="1:34" s="250" customFormat="1" ht="18.75" x14ac:dyDescent="0.25">
      <c r="A192" s="243" t="s">
        <v>5</v>
      </c>
      <c r="B192" s="244">
        <v>2</v>
      </c>
      <c r="C192" s="244"/>
      <c r="D192" s="244"/>
      <c r="E192" s="244"/>
      <c r="F192" s="244"/>
      <c r="G192" s="244"/>
      <c r="H192" s="244">
        <v>2</v>
      </c>
      <c r="I192" s="244"/>
      <c r="J192" s="244"/>
      <c r="K192" s="244"/>
      <c r="L192" s="244">
        <v>1</v>
      </c>
      <c r="M192" s="244">
        <v>1</v>
      </c>
      <c r="N192" s="245"/>
      <c r="O192" s="245"/>
      <c r="P192" s="245"/>
      <c r="Q192" s="245">
        <v>3</v>
      </c>
      <c r="R192" s="245"/>
      <c r="S192" s="245"/>
      <c r="T192" s="245">
        <v>1</v>
      </c>
      <c r="U192" s="245"/>
      <c r="V192" s="245"/>
      <c r="W192" s="245"/>
      <c r="X192" s="245"/>
      <c r="Y192" s="245"/>
      <c r="Z192" s="245">
        <v>2</v>
      </c>
      <c r="AA192" s="245">
        <v>4</v>
      </c>
      <c r="AB192" s="245">
        <v>2</v>
      </c>
      <c r="AC192" s="245"/>
      <c r="AD192" s="245"/>
      <c r="AE192" s="245">
        <v>2</v>
      </c>
      <c r="AF192" s="246"/>
      <c r="AG192" s="247">
        <f t="shared" si="31"/>
        <v>20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31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31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31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>
        <v>1</v>
      </c>
      <c r="T196" s="17"/>
      <c r="U196" s="17"/>
      <c r="V196" s="17"/>
      <c r="W196" s="17"/>
      <c r="X196" s="17"/>
      <c r="Y196" s="17"/>
      <c r="Z196" s="17"/>
      <c r="AA196" s="17">
        <v>1</v>
      </c>
      <c r="AB196" s="17">
        <v>1</v>
      </c>
      <c r="AC196" s="17"/>
      <c r="AD196" s="17"/>
      <c r="AE196" s="17"/>
      <c r="AF196" s="18">
        <v>2</v>
      </c>
      <c r="AG196" s="4">
        <f t="shared" si="31"/>
        <v>5</v>
      </c>
    </row>
    <row r="197" spans="1:34" ht="18.75" x14ac:dyDescent="0.25">
      <c r="A197" s="111" t="s">
        <v>143</v>
      </c>
      <c r="B197" s="147">
        <v>2</v>
      </c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>
        <v>1</v>
      </c>
      <c r="AF197" s="18">
        <v>1</v>
      </c>
      <c r="AG197" s="4">
        <f t="shared" si="31"/>
        <v>4</v>
      </c>
    </row>
    <row r="198" spans="1:34" ht="18.75" x14ac:dyDescent="0.25">
      <c r="A198" s="110" t="s">
        <v>124</v>
      </c>
      <c r="B198" s="147"/>
      <c r="C198" s="147"/>
      <c r="D198" s="147"/>
      <c r="E198" s="147"/>
      <c r="F198" s="147"/>
      <c r="G198" s="147">
        <v>5</v>
      </c>
      <c r="H198" s="147"/>
      <c r="I198" s="147"/>
      <c r="J198" s="147"/>
      <c r="K198" s="147"/>
      <c r="L198" s="147"/>
      <c r="M198" s="147">
        <v>1</v>
      </c>
      <c r="N198" s="17"/>
      <c r="O198" s="17">
        <v>1</v>
      </c>
      <c r="P198" s="17"/>
      <c r="Q198" s="17"/>
      <c r="R198" s="17"/>
      <c r="S198" s="17"/>
      <c r="T198" s="17"/>
      <c r="U198" s="17"/>
      <c r="V198" s="17"/>
      <c r="W198" s="17"/>
      <c r="X198" s="17">
        <v>1</v>
      </c>
      <c r="Y198" s="17"/>
      <c r="Z198" s="17"/>
      <c r="AA198" s="17">
        <v>2</v>
      </c>
      <c r="AB198" s="17"/>
      <c r="AC198" s="17"/>
      <c r="AD198" s="17">
        <v>1</v>
      </c>
      <c r="AE198" s="17"/>
      <c r="AF198" s="18"/>
      <c r="AG198" s="4">
        <f t="shared" si="31"/>
        <v>11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31"/>
        <v>0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>
        <v>2</v>
      </c>
      <c r="L200" s="147"/>
      <c r="M200" s="147"/>
      <c r="N200" s="17"/>
      <c r="O200" s="17"/>
      <c r="P200" s="17"/>
      <c r="Q200" s="17">
        <v>1</v>
      </c>
      <c r="R200" s="17"/>
      <c r="S200" s="17"/>
      <c r="T200" s="17"/>
      <c r="U200" s="17">
        <v>1</v>
      </c>
      <c r="V200" s="17"/>
      <c r="W200" s="17"/>
      <c r="X200" s="17">
        <v>1</v>
      </c>
      <c r="Y200" s="17"/>
      <c r="Z200" s="17"/>
      <c r="AA200" s="17">
        <v>1</v>
      </c>
      <c r="AB200" s="17"/>
      <c r="AC200" s="17"/>
      <c r="AD200" s="17"/>
      <c r="AE200" s="17"/>
      <c r="AF200" s="18">
        <v>2</v>
      </c>
      <c r="AG200" s="4">
        <f t="shared" si="31"/>
        <v>8</v>
      </c>
    </row>
    <row r="201" spans="1:34" ht="18.75" x14ac:dyDescent="0.25">
      <c r="A201" s="112" t="s">
        <v>126</v>
      </c>
      <c r="B201" s="202"/>
      <c r="C201" s="202">
        <v>1</v>
      </c>
      <c r="D201" s="202">
        <v>1</v>
      </c>
      <c r="E201" s="202">
        <v>1</v>
      </c>
      <c r="F201" s="202">
        <v>2</v>
      </c>
      <c r="G201" s="202">
        <v>1</v>
      </c>
      <c r="H201" s="202"/>
      <c r="I201" s="202"/>
      <c r="J201" s="202"/>
      <c r="K201" s="202"/>
      <c r="L201" s="202">
        <v>1</v>
      </c>
      <c r="M201" s="202">
        <v>1</v>
      </c>
      <c r="N201" s="203"/>
      <c r="O201" s="203">
        <v>1</v>
      </c>
      <c r="P201" s="203"/>
      <c r="Q201" s="203">
        <v>1</v>
      </c>
      <c r="R201" s="203">
        <v>2</v>
      </c>
      <c r="S201" s="203"/>
      <c r="T201" s="203">
        <v>1</v>
      </c>
      <c r="U201" s="203"/>
      <c r="V201" s="203">
        <v>2</v>
      </c>
      <c r="W201" s="203">
        <v>1</v>
      </c>
      <c r="X201" s="203">
        <v>1</v>
      </c>
      <c r="Y201" s="203"/>
      <c r="Z201" s="203">
        <v>2</v>
      </c>
      <c r="AA201" s="203">
        <v>4</v>
      </c>
      <c r="AB201" s="203">
        <v>2</v>
      </c>
      <c r="AC201" s="203">
        <v>1</v>
      </c>
      <c r="AD201" s="203">
        <v>1</v>
      </c>
      <c r="AE201" s="203">
        <v>2</v>
      </c>
      <c r="AF201" s="204"/>
      <c r="AG201" s="4">
        <f t="shared" si="31"/>
        <v>29</v>
      </c>
    </row>
    <row r="202" spans="1:34" ht="18.75" x14ac:dyDescent="0.25">
      <c r="A202" s="112" t="s">
        <v>170</v>
      </c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4"/>
      <c r="AG202" s="4">
        <f t="shared" si="31"/>
        <v>0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>
        <v>1</v>
      </c>
      <c r="AD203" s="203"/>
      <c r="AE203" s="203"/>
      <c r="AF203" s="204"/>
      <c r="AG203" s="4">
        <f t="shared" si="31"/>
        <v>1</v>
      </c>
    </row>
    <row r="204" spans="1:34" ht="19.5" thickBot="1" x14ac:dyDescent="0.3">
      <c r="A204" s="215" t="s">
        <v>83</v>
      </c>
      <c r="B204" s="209">
        <f>SUM(B205:B209)</f>
        <v>207</v>
      </c>
      <c r="C204" s="210">
        <f t="shared" ref="C204:AF204" si="37">SUM(C205:C209)</f>
        <v>196</v>
      </c>
      <c r="D204" s="210">
        <f t="shared" si="37"/>
        <v>201</v>
      </c>
      <c r="E204" s="210">
        <f t="shared" si="37"/>
        <v>200</v>
      </c>
      <c r="F204" s="210">
        <f t="shared" si="37"/>
        <v>252</v>
      </c>
      <c r="G204" s="210">
        <f t="shared" si="37"/>
        <v>227</v>
      </c>
      <c r="H204" s="210">
        <f t="shared" si="37"/>
        <v>206</v>
      </c>
      <c r="I204" s="210">
        <f t="shared" si="37"/>
        <v>159</v>
      </c>
      <c r="J204" s="210">
        <f t="shared" si="37"/>
        <v>177</v>
      </c>
      <c r="K204" s="210">
        <f t="shared" si="37"/>
        <v>190</v>
      </c>
      <c r="L204" s="210">
        <f t="shared" si="37"/>
        <v>180</v>
      </c>
      <c r="M204" s="210">
        <f t="shared" si="37"/>
        <v>241</v>
      </c>
      <c r="N204" s="211">
        <f t="shared" si="37"/>
        <v>224</v>
      </c>
      <c r="O204" s="211">
        <f t="shared" si="37"/>
        <v>196</v>
      </c>
      <c r="P204" s="211">
        <f t="shared" si="37"/>
        <v>163</v>
      </c>
      <c r="Q204" s="211">
        <f t="shared" si="37"/>
        <v>177</v>
      </c>
      <c r="R204" s="211">
        <f t="shared" si="37"/>
        <v>176</v>
      </c>
      <c r="S204" s="211">
        <f t="shared" si="37"/>
        <v>106</v>
      </c>
      <c r="T204" s="211">
        <f t="shared" si="37"/>
        <v>209</v>
      </c>
      <c r="U204" s="211">
        <f t="shared" si="37"/>
        <v>198</v>
      </c>
      <c r="V204" s="211">
        <f t="shared" si="37"/>
        <v>203</v>
      </c>
      <c r="W204" s="211">
        <f t="shared" si="37"/>
        <v>190</v>
      </c>
      <c r="X204" s="211">
        <f t="shared" si="37"/>
        <v>164</v>
      </c>
      <c r="Y204" s="211">
        <f t="shared" si="37"/>
        <v>164</v>
      </c>
      <c r="Z204" s="211">
        <f t="shared" si="37"/>
        <v>183</v>
      </c>
      <c r="AA204" s="211">
        <f t="shared" si="37"/>
        <v>222</v>
      </c>
      <c r="AB204" s="211">
        <f t="shared" si="37"/>
        <v>198</v>
      </c>
      <c r="AC204" s="211">
        <f t="shared" si="37"/>
        <v>213</v>
      </c>
      <c r="AD204" s="211">
        <f t="shared" si="37"/>
        <v>161</v>
      </c>
      <c r="AE204" s="211">
        <f t="shared" si="37"/>
        <v>192</v>
      </c>
      <c r="AF204" s="212">
        <f t="shared" si="37"/>
        <v>163</v>
      </c>
      <c r="AG204" s="213">
        <f t="shared" ref="AG204" si="38">SUM(B204:AF204)</f>
        <v>5938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>
        <v>1</v>
      </c>
      <c r="E205" s="205"/>
      <c r="F205" s="205"/>
      <c r="G205" s="205"/>
      <c r="H205" s="205"/>
      <c r="I205" s="205"/>
      <c r="J205" s="205"/>
      <c r="K205" s="205"/>
      <c r="L205" s="205"/>
      <c r="M205" s="205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/>
      <c r="AG205" s="208">
        <f t="shared" si="31"/>
        <v>1</v>
      </c>
    </row>
    <row r="206" spans="1:34" ht="18.75" x14ac:dyDescent="0.25">
      <c r="A206" s="52" t="s">
        <v>73</v>
      </c>
      <c r="B206" s="148">
        <v>2</v>
      </c>
      <c r="C206" s="148">
        <v>1</v>
      </c>
      <c r="D206" s="148">
        <v>1</v>
      </c>
      <c r="E206" s="148"/>
      <c r="F206" s="148">
        <v>6</v>
      </c>
      <c r="G206" s="148">
        <v>5</v>
      </c>
      <c r="H206" s="148"/>
      <c r="I206" s="148">
        <v>1</v>
      </c>
      <c r="J206" s="148"/>
      <c r="K206" s="148"/>
      <c r="L206" s="148"/>
      <c r="M206" s="148">
        <v>2</v>
      </c>
      <c r="N206" s="33">
        <v>3</v>
      </c>
      <c r="O206" s="33">
        <v>2</v>
      </c>
      <c r="P206" s="33">
        <v>1</v>
      </c>
      <c r="Q206" s="33">
        <v>4</v>
      </c>
      <c r="R206" s="33">
        <v>2</v>
      </c>
      <c r="S206" s="33">
        <v>1</v>
      </c>
      <c r="T206" s="33">
        <v>1</v>
      </c>
      <c r="U206" s="33">
        <v>2</v>
      </c>
      <c r="V206" s="33">
        <v>2</v>
      </c>
      <c r="W206" s="33"/>
      <c r="X206" s="33">
        <v>6</v>
      </c>
      <c r="Y206" s="33"/>
      <c r="Z206" s="33">
        <v>2</v>
      </c>
      <c r="AA206" s="33">
        <v>1</v>
      </c>
      <c r="AB206" s="33">
        <v>3</v>
      </c>
      <c r="AC206" s="33">
        <v>1</v>
      </c>
      <c r="AD206" s="33"/>
      <c r="AE206" s="33"/>
      <c r="AF206" s="88">
        <v>3</v>
      </c>
      <c r="AG206" s="97">
        <f t="shared" si="31"/>
        <v>52</v>
      </c>
    </row>
    <row r="207" spans="1:34" ht="18.75" x14ac:dyDescent="0.25">
      <c r="A207" s="52" t="s">
        <v>74</v>
      </c>
      <c r="B207" s="148">
        <v>20</v>
      </c>
      <c r="C207" s="148">
        <v>9</v>
      </c>
      <c r="D207" s="148">
        <v>24</v>
      </c>
      <c r="E207" s="148">
        <v>5</v>
      </c>
      <c r="F207" s="148">
        <v>8</v>
      </c>
      <c r="G207" s="148">
        <v>14</v>
      </c>
      <c r="H207" s="148">
        <v>16</v>
      </c>
      <c r="I207" s="148">
        <v>10</v>
      </c>
      <c r="J207" s="148">
        <v>6</v>
      </c>
      <c r="K207" s="148">
        <v>17</v>
      </c>
      <c r="L207" s="148">
        <v>16</v>
      </c>
      <c r="M207" s="148">
        <v>21</v>
      </c>
      <c r="N207" s="33">
        <v>24</v>
      </c>
      <c r="O207" s="33">
        <v>5</v>
      </c>
      <c r="P207" s="33">
        <v>12</v>
      </c>
      <c r="Q207" s="33">
        <v>15</v>
      </c>
      <c r="R207" s="33">
        <v>18</v>
      </c>
      <c r="S207" s="33">
        <v>6</v>
      </c>
      <c r="T207" s="33">
        <v>19</v>
      </c>
      <c r="U207" s="33">
        <v>20</v>
      </c>
      <c r="V207" s="33">
        <v>14</v>
      </c>
      <c r="W207" s="33">
        <v>21</v>
      </c>
      <c r="X207" s="33">
        <v>22</v>
      </c>
      <c r="Y207" s="33">
        <v>18</v>
      </c>
      <c r="Z207" s="33">
        <v>23</v>
      </c>
      <c r="AA207" s="33">
        <v>22</v>
      </c>
      <c r="AB207" s="33">
        <v>16</v>
      </c>
      <c r="AC207" s="33">
        <v>19</v>
      </c>
      <c r="AD207" s="33">
        <v>14</v>
      </c>
      <c r="AE207" s="33">
        <v>26</v>
      </c>
      <c r="AF207" s="88">
        <v>11</v>
      </c>
      <c r="AG207" s="97">
        <f t="shared" si="31"/>
        <v>491</v>
      </c>
    </row>
    <row r="208" spans="1:34" ht="18.75" x14ac:dyDescent="0.25">
      <c r="A208" s="52" t="s">
        <v>75</v>
      </c>
      <c r="B208" s="148">
        <v>143</v>
      </c>
      <c r="C208" s="148">
        <v>166</v>
      </c>
      <c r="D208" s="148">
        <v>160</v>
      </c>
      <c r="E208" s="148">
        <v>177</v>
      </c>
      <c r="F208" s="148">
        <v>184</v>
      </c>
      <c r="G208" s="148">
        <v>174</v>
      </c>
      <c r="H208" s="148">
        <v>169</v>
      </c>
      <c r="I208" s="148">
        <v>138</v>
      </c>
      <c r="J208" s="148">
        <v>158</v>
      </c>
      <c r="K208" s="148">
        <v>164</v>
      </c>
      <c r="L208" s="148">
        <v>145</v>
      </c>
      <c r="M208" s="148">
        <v>202</v>
      </c>
      <c r="N208" s="33">
        <v>143</v>
      </c>
      <c r="O208" s="33">
        <v>171</v>
      </c>
      <c r="P208" s="33">
        <v>138</v>
      </c>
      <c r="Q208" s="33">
        <v>141</v>
      </c>
      <c r="R208" s="33">
        <v>140</v>
      </c>
      <c r="S208" s="33">
        <v>94</v>
      </c>
      <c r="T208" s="33">
        <v>157</v>
      </c>
      <c r="U208" s="33">
        <v>120</v>
      </c>
      <c r="V208" s="33">
        <v>158</v>
      </c>
      <c r="W208" s="33">
        <v>151</v>
      </c>
      <c r="X208" s="33">
        <v>121</v>
      </c>
      <c r="Y208" s="33">
        <v>130</v>
      </c>
      <c r="Z208" s="33">
        <v>143</v>
      </c>
      <c r="AA208" s="33">
        <v>165</v>
      </c>
      <c r="AB208" s="33">
        <v>136</v>
      </c>
      <c r="AC208" s="33">
        <v>179</v>
      </c>
      <c r="AD208" s="33">
        <v>138</v>
      </c>
      <c r="AE208" s="33">
        <v>150</v>
      </c>
      <c r="AF208" s="88">
        <v>132</v>
      </c>
      <c r="AG208" s="97">
        <f t="shared" si="31"/>
        <v>4687</v>
      </c>
    </row>
    <row r="209" spans="1:34" ht="19.5" thickBot="1" x14ac:dyDescent="0.3">
      <c r="A209" s="63" t="s">
        <v>76</v>
      </c>
      <c r="B209" s="149">
        <v>42</v>
      </c>
      <c r="C209" s="149">
        <v>20</v>
      </c>
      <c r="D209" s="149">
        <v>15</v>
      </c>
      <c r="E209" s="149">
        <v>18</v>
      </c>
      <c r="F209" s="149">
        <v>54</v>
      </c>
      <c r="G209" s="149">
        <v>34</v>
      </c>
      <c r="H209" s="149">
        <v>21</v>
      </c>
      <c r="I209" s="149">
        <v>10</v>
      </c>
      <c r="J209" s="149">
        <v>13</v>
      </c>
      <c r="K209" s="149">
        <v>9</v>
      </c>
      <c r="L209" s="149">
        <v>19</v>
      </c>
      <c r="M209" s="149">
        <v>16</v>
      </c>
      <c r="N209" s="34">
        <v>54</v>
      </c>
      <c r="O209" s="34">
        <v>18</v>
      </c>
      <c r="P209" s="34">
        <v>12</v>
      </c>
      <c r="Q209" s="34">
        <v>17</v>
      </c>
      <c r="R209" s="34">
        <v>16</v>
      </c>
      <c r="S209" s="34">
        <v>5</v>
      </c>
      <c r="T209" s="34">
        <v>32</v>
      </c>
      <c r="U209" s="34">
        <v>56</v>
      </c>
      <c r="V209" s="34">
        <v>29</v>
      </c>
      <c r="W209" s="34">
        <v>18</v>
      </c>
      <c r="X209" s="34">
        <v>15</v>
      </c>
      <c r="Y209" s="34">
        <v>16</v>
      </c>
      <c r="Z209" s="34">
        <v>15</v>
      </c>
      <c r="AA209" s="34">
        <v>34</v>
      </c>
      <c r="AB209" s="34">
        <v>43</v>
      </c>
      <c r="AC209" s="34">
        <v>14</v>
      </c>
      <c r="AD209" s="34">
        <v>9</v>
      </c>
      <c r="AE209" s="34">
        <v>16</v>
      </c>
      <c r="AF209" s="89">
        <v>17</v>
      </c>
      <c r="AG209" s="35">
        <f t="shared" si="31"/>
        <v>707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>
        <v>8.4837962962962966E-3</v>
      </c>
      <c r="C211" s="19">
        <v>2.4236111111111111E-2</v>
      </c>
      <c r="D211" s="19">
        <v>1.2962962962962963E-2</v>
      </c>
      <c r="E211" s="19">
        <v>1.5196759259259259E-2</v>
      </c>
      <c r="F211" s="19">
        <v>7.1180555555555554E-3</v>
      </c>
      <c r="G211" s="19">
        <v>9.3749999999999997E-3</v>
      </c>
      <c r="H211" s="19">
        <v>1.9444444444444445E-2</v>
      </c>
      <c r="I211" s="19">
        <v>9.7337962962962959E-3</v>
      </c>
      <c r="J211" s="19">
        <v>8.5995370370370357E-3</v>
      </c>
      <c r="K211" s="19">
        <v>7.9976851851851858E-3</v>
      </c>
      <c r="L211" s="19">
        <v>1.0474537037037037E-2</v>
      </c>
      <c r="M211" s="19">
        <v>7.6388888888888886E-3</v>
      </c>
      <c r="N211" s="19">
        <v>1.3495370370370371E-2</v>
      </c>
      <c r="O211" s="19">
        <v>1.2615740740740742E-2</v>
      </c>
      <c r="P211" s="19">
        <v>7.7083333333333335E-3</v>
      </c>
      <c r="Q211" s="19">
        <v>1.0034722222222221E-2</v>
      </c>
      <c r="R211" s="19">
        <v>1.2650462962962962E-2</v>
      </c>
      <c r="S211" s="19">
        <v>9.2592592592592605E-3</v>
      </c>
      <c r="T211" s="19">
        <v>6.9791666666666674E-3</v>
      </c>
      <c r="U211" s="19">
        <v>6.9791666666666674E-3</v>
      </c>
      <c r="V211" s="19">
        <v>1.4722222222222222E-2</v>
      </c>
      <c r="W211" s="19">
        <v>1.1643518518518518E-2</v>
      </c>
      <c r="X211" s="19">
        <v>1.292824074074074E-2</v>
      </c>
      <c r="Y211" s="19">
        <v>9.479166666666667E-3</v>
      </c>
      <c r="Z211" s="19">
        <v>1.2800925925925926E-2</v>
      </c>
      <c r="AA211" s="19">
        <v>9.0277777777777787E-3</v>
      </c>
      <c r="AB211" s="19">
        <v>7.2222222222222228E-3</v>
      </c>
      <c r="AC211" s="19">
        <v>1.7511574074074072E-2</v>
      </c>
      <c r="AD211" s="19">
        <v>7.6388888888888886E-3</v>
      </c>
      <c r="AE211" s="19">
        <v>1.3194444444444444E-2</v>
      </c>
      <c r="AF211" s="25">
        <v>7.7777777777777767E-3</v>
      </c>
      <c r="AG211" s="99">
        <f t="shared" si="31"/>
        <v>0.34493055555555552</v>
      </c>
      <c r="AH211" s="376" t="s">
        <v>85</v>
      </c>
    </row>
    <row r="212" spans="1:34" ht="18.75" x14ac:dyDescent="0.25">
      <c r="A212" s="53" t="s">
        <v>110</v>
      </c>
      <c r="B212" s="39">
        <v>1.1469907407407408E-2</v>
      </c>
      <c r="C212" s="39">
        <v>3.7627314814814815E-2</v>
      </c>
      <c r="D212" s="39">
        <v>2.0555555555555556E-2</v>
      </c>
      <c r="E212" s="39">
        <v>3.2129629629629626E-2</v>
      </c>
      <c r="F212" s="39">
        <v>1.0486111111111111E-2</v>
      </c>
      <c r="G212" s="39">
        <v>7.4652777777777781E-3</v>
      </c>
      <c r="H212" s="39">
        <v>2.614583333333333E-2</v>
      </c>
      <c r="I212" s="39">
        <v>1.6192129629629629E-2</v>
      </c>
      <c r="J212" s="39">
        <v>7.8009259259259256E-3</v>
      </c>
      <c r="K212" s="39">
        <v>1.1805555555555555E-2</v>
      </c>
      <c r="L212" s="39">
        <v>1.9444444444444445E-2</v>
      </c>
      <c r="M212" s="39">
        <v>5.5555555555555558E-3</v>
      </c>
      <c r="N212" s="39">
        <v>2.1145833333333332E-2</v>
      </c>
      <c r="O212" s="39">
        <v>2.3287037037037037E-2</v>
      </c>
      <c r="P212" s="39">
        <v>1.4525462962962964E-2</v>
      </c>
      <c r="Q212" s="39">
        <v>1.4270833333333335E-2</v>
      </c>
      <c r="R212" s="39">
        <v>1.5972222222222224E-2</v>
      </c>
      <c r="S212" s="39">
        <v>1.3553240740740741E-2</v>
      </c>
      <c r="T212" s="39">
        <v>5.5555555555555558E-3</v>
      </c>
      <c r="U212" s="39">
        <v>7.5578703703703702E-3</v>
      </c>
      <c r="V212" s="39">
        <v>2.2222222222222223E-2</v>
      </c>
      <c r="W212" s="39">
        <v>1.7025462962962961E-2</v>
      </c>
      <c r="X212" s="39">
        <v>1.9444444444444445E-2</v>
      </c>
      <c r="Y212" s="39">
        <v>1.1944444444444445E-2</v>
      </c>
      <c r="Z212" s="39">
        <v>1.8749999999999999E-2</v>
      </c>
      <c r="AA212" s="39">
        <v>7.4537037037037028E-3</v>
      </c>
      <c r="AB212" s="39">
        <v>6.2499999999999995E-3</v>
      </c>
      <c r="AC212" s="39">
        <v>2.584490740740741E-2</v>
      </c>
      <c r="AD212" s="39">
        <v>1.0416666666666666E-2</v>
      </c>
      <c r="AE212" s="39">
        <v>1.8807870370370371E-2</v>
      </c>
      <c r="AF212" s="91">
        <v>9.0277777777777787E-3</v>
      </c>
      <c r="AG212" s="100">
        <f t="shared" si="31"/>
        <v>0.48973379629629621</v>
      </c>
      <c r="AH212" s="377"/>
    </row>
    <row r="213" spans="1:34" ht="18.75" x14ac:dyDescent="0.25">
      <c r="A213" s="53" t="s">
        <v>111</v>
      </c>
      <c r="B213" s="39">
        <v>4.4560185185185189E-3</v>
      </c>
      <c r="C213" s="39">
        <v>3.788194444444444E-2</v>
      </c>
      <c r="D213" s="39">
        <v>2.2615740740740742E-2</v>
      </c>
      <c r="E213" s="39">
        <v>2.4421296296296292E-2</v>
      </c>
      <c r="F213" s="39">
        <v>1.2685185185185183E-2</v>
      </c>
      <c r="G213" s="39">
        <v>5.8796296296296296E-3</v>
      </c>
      <c r="H213" s="39">
        <v>3.5567129629629629E-2</v>
      </c>
      <c r="I213" s="39">
        <v>2.0092592592592592E-2</v>
      </c>
      <c r="J213" s="39">
        <v>5.5555555555555558E-3</v>
      </c>
      <c r="K213" s="39">
        <v>8.2754629629629619E-3</v>
      </c>
      <c r="L213" s="39">
        <v>1.1805555555555555E-2</v>
      </c>
      <c r="M213" s="39">
        <v>7.1527777777777787E-3</v>
      </c>
      <c r="N213" s="39">
        <v>1.3819444444444445E-2</v>
      </c>
      <c r="O213" s="39">
        <v>2.0868055555555556E-2</v>
      </c>
      <c r="P213" s="39">
        <v>8.3333333333333332E-3</v>
      </c>
      <c r="Q213" s="39">
        <v>9.3171296296296283E-3</v>
      </c>
      <c r="R213" s="39">
        <v>1.8055555555555557E-2</v>
      </c>
      <c r="S213" s="39">
        <v>6.9444444444444441E-3</v>
      </c>
      <c r="T213" s="39">
        <v>5.0578703703703706E-3</v>
      </c>
      <c r="U213" s="39">
        <v>4.2013888888888891E-3</v>
      </c>
      <c r="V213" s="39">
        <v>2.2916666666666669E-2</v>
      </c>
      <c r="W213" s="39">
        <v>5.8796296296296296E-3</v>
      </c>
      <c r="X213" s="39">
        <v>1.3888888888888888E-2</v>
      </c>
      <c r="Y213" s="39">
        <v>1.2407407407407409E-2</v>
      </c>
      <c r="Z213" s="39">
        <v>2.2476851851851855E-2</v>
      </c>
      <c r="AA213" s="39">
        <v>9.0277777777777787E-3</v>
      </c>
      <c r="AB213" s="39">
        <v>7.2337962962962963E-3</v>
      </c>
      <c r="AC213" s="39">
        <v>3.1944444444444449E-2</v>
      </c>
      <c r="AD213" s="39">
        <v>4.363425925925926E-3</v>
      </c>
      <c r="AE213" s="39">
        <v>1.5277777777777777E-2</v>
      </c>
      <c r="AF213" s="91">
        <v>9.0277777777777787E-3</v>
      </c>
      <c r="AG213" s="100">
        <f t="shared" si="31"/>
        <v>0.43743055555555554</v>
      </c>
      <c r="AH213" s="377"/>
    </row>
    <row r="214" spans="1:34" ht="18.75" x14ac:dyDescent="0.25">
      <c r="A214" s="53" t="s">
        <v>112</v>
      </c>
      <c r="B214" s="39">
        <v>5.7291666666666671E-3</v>
      </c>
      <c r="C214" s="39">
        <v>3.0613425925925929E-2</v>
      </c>
      <c r="D214" s="39">
        <v>1.7743055555555557E-2</v>
      </c>
      <c r="E214" s="39">
        <v>1.4710648148148148E-2</v>
      </c>
      <c r="F214" s="39">
        <v>8.8657407407407417E-3</v>
      </c>
      <c r="G214" s="39">
        <v>5.115740740740741E-3</v>
      </c>
      <c r="H214" s="39">
        <v>2.5462962962962962E-2</v>
      </c>
      <c r="I214" s="39">
        <v>9.386574074074075E-3</v>
      </c>
      <c r="J214" s="39">
        <v>4.9537037037037041E-3</v>
      </c>
      <c r="K214" s="39">
        <v>5.8217592592592592E-3</v>
      </c>
      <c r="L214" s="39">
        <v>9.0277777777777787E-3</v>
      </c>
      <c r="M214" s="39">
        <v>5.5555555555555558E-3</v>
      </c>
      <c r="N214" s="39">
        <v>1.2569444444444446E-2</v>
      </c>
      <c r="O214" s="39">
        <v>6.4236111111111117E-3</v>
      </c>
      <c r="P214" s="39">
        <v>5.208333333333333E-3</v>
      </c>
      <c r="Q214" s="39">
        <v>9.780092592592592E-3</v>
      </c>
      <c r="R214" s="39">
        <v>2.013888888888889E-2</v>
      </c>
      <c r="S214" s="39">
        <v>0</v>
      </c>
      <c r="T214" s="39">
        <v>4.3287037037037035E-3</v>
      </c>
      <c r="U214" s="39">
        <v>4.1666666666666666E-3</v>
      </c>
      <c r="V214" s="39">
        <v>1.7361111111111112E-2</v>
      </c>
      <c r="W214" s="39">
        <v>9.7222222222222224E-3</v>
      </c>
      <c r="X214" s="39">
        <v>6.2499999999999995E-3</v>
      </c>
      <c r="Y214" s="39">
        <v>7.6157407407407415E-3</v>
      </c>
      <c r="Z214" s="39">
        <v>9.4560185185185181E-3</v>
      </c>
      <c r="AA214" s="39">
        <v>5.6365740740740742E-3</v>
      </c>
      <c r="AB214" s="39">
        <v>4.9305555555555552E-3</v>
      </c>
      <c r="AC214" s="39">
        <v>2.9166666666666664E-2</v>
      </c>
      <c r="AD214" s="39">
        <v>9.7685185185185184E-3</v>
      </c>
      <c r="AE214" s="39">
        <v>6.9444444444444441E-3</v>
      </c>
      <c r="AF214" s="91">
        <v>6.9444444444444441E-3</v>
      </c>
      <c r="AG214" s="100">
        <f t="shared" si="31"/>
        <v>0.31939814814814815</v>
      </c>
      <c r="AH214" s="377"/>
    </row>
    <row r="215" spans="1:34" ht="18.75" x14ac:dyDescent="0.25">
      <c r="A215" s="53" t="s">
        <v>113</v>
      </c>
      <c r="B215" s="39">
        <v>9.9768518518518531E-3</v>
      </c>
      <c r="C215" s="39">
        <v>2.988425925925926E-2</v>
      </c>
      <c r="D215" s="39">
        <v>9.3287037037037036E-3</v>
      </c>
      <c r="E215" s="39">
        <v>8.6226851851851846E-3</v>
      </c>
      <c r="F215" s="39">
        <v>6.9675925925925921E-3</v>
      </c>
      <c r="G215" s="39">
        <v>7.4768518518518526E-3</v>
      </c>
      <c r="H215" s="39">
        <v>2.5370370370370366E-2</v>
      </c>
      <c r="I215" s="39">
        <v>6.6435185185185182E-3</v>
      </c>
      <c r="J215" s="39">
        <v>4.9652777777777777E-3</v>
      </c>
      <c r="K215" s="39">
        <v>5.8796296296296296E-3</v>
      </c>
      <c r="L215" s="39">
        <v>7.6388888888888886E-3</v>
      </c>
      <c r="M215" s="39">
        <v>6.9444444444444441E-3</v>
      </c>
      <c r="N215" s="39">
        <v>9.7569444444444448E-3</v>
      </c>
      <c r="O215" s="39">
        <v>7.3958333333333341E-3</v>
      </c>
      <c r="P215" s="39">
        <v>4.5717592592592589E-3</v>
      </c>
      <c r="Q215" s="39">
        <v>6.9444444444444441E-3</v>
      </c>
      <c r="R215" s="39">
        <v>1.5277777777777777E-2</v>
      </c>
      <c r="S215" s="39">
        <v>0</v>
      </c>
      <c r="T215" s="39">
        <v>1.0775462962962964E-2</v>
      </c>
      <c r="U215" s="39">
        <v>4.1666666666666666E-3</v>
      </c>
      <c r="V215" s="39">
        <v>8.3333333333333332E-3</v>
      </c>
      <c r="W215" s="39">
        <v>2.0833333333333332E-2</v>
      </c>
      <c r="X215" s="39">
        <v>1.1805555555555555E-2</v>
      </c>
      <c r="Y215" s="39">
        <v>9.0856481481481483E-3</v>
      </c>
      <c r="Z215" s="39">
        <v>8.5879629629629622E-3</v>
      </c>
      <c r="AA215" s="39">
        <v>1.6030092592592592E-2</v>
      </c>
      <c r="AB215" s="39">
        <v>8.3333333333333332E-3</v>
      </c>
      <c r="AC215" s="39">
        <v>1.4178240740740741E-2</v>
      </c>
      <c r="AD215" s="39">
        <v>4.8611111111111112E-3</v>
      </c>
      <c r="AE215" s="39">
        <v>5.5555555555555558E-3</v>
      </c>
      <c r="AF215" s="91">
        <v>4.2708333333333339E-3</v>
      </c>
      <c r="AG215" s="100">
        <f t="shared" si="31"/>
        <v>0.30046296296296299</v>
      </c>
      <c r="AH215" s="377"/>
    </row>
    <row r="216" spans="1:34" ht="18.75" x14ac:dyDescent="0.25">
      <c r="A216" s="53" t="s">
        <v>114</v>
      </c>
      <c r="B216" s="39">
        <v>8.5879629629629622E-3</v>
      </c>
      <c r="C216" s="39">
        <v>2.8032407407407409E-2</v>
      </c>
      <c r="D216" s="39">
        <v>7.3263888888888892E-3</v>
      </c>
      <c r="E216" s="39">
        <v>1.4652777777777778E-2</v>
      </c>
      <c r="F216" s="39">
        <v>4.8726851851851856E-3</v>
      </c>
      <c r="G216" s="39">
        <v>9.0856481481481483E-3</v>
      </c>
      <c r="H216" s="39">
        <v>1.6782407407407409E-2</v>
      </c>
      <c r="I216" s="39">
        <v>4.2013888888888891E-3</v>
      </c>
      <c r="J216" s="39">
        <v>6.782407407407408E-3</v>
      </c>
      <c r="K216" s="39">
        <v>8.5763888888888886E-3</v>
      </c>
      <c r="L216" s="39">
        <v>6.9444444444444441E-3</v>
      </c>
      <c r="M216" s="39">
        <v>8.4259259259259253E-3</v>
      </c>
      <c r="N216" s="39">
        <v>9.0277777777777787E-3</v>
      </c>
      <c r="O216" s="39">
        <v>1.0081018518518519E-2</v>
      </c>
      <c r="P216" s="39">
        <v>5.0462962962962961E-3</v>
      </c>
      <c r="Q216" s="39">
        <v>8.3333333333333332E-3</v>
      </c>
      <c r="R216" s="39">
        <v>8.4722222222222213E-3</v>
      </c>
      <c r="S216" s="39">
        <v>0</v>
      </c>
      <c r="T216" s="39">
        <v>7.2337962962962963E-3</v>
      </c>
      <c r="U216" s="39">
        <v>5.0347222222222225E-3</v>
      </c>
      <c r="V216" s="39">
        <v>7.6388888888888886E-3</v>
      </c>
      <c r="W216" s="39">
        <v>7.8819444444444432E-3</v>
      </c>
      <c r="X216" s="39">
        <v>7.3495370370370372E-3</v>
      </c>
      <c r="Y216" s="39">
        <v>7.6157407407407415E-3</v>
      </c>
      <c r="Z216" s="39">
        <v>7.6388888888888886E-3</v>
      </c>
      <c r="AA216" s="39">
        <v>1.3229166666666667E-2</v>
      </c>
      <c r="AB216" s="39">
        <v>3.5763888888888894E-3</v>
      </c>
      <c r="AC216" s="39">
        <v>9.0277777777777787E-3</v>
      </c>
      <c r="AD216" s="39">
        <v>4.8611111111111112E-3</v>
      </c>
      <c r="AE216" s="39">
        <v>6.9444444444444441E-3</v>
      </c>
      <c r="AF216" s="91">
        <v>3.472222222222222E-3</v>
      </c>
      <c r="AG216" s="100">
        <f t="shared" ref="AG216:AG218" si="39">SUM(B216:AF216)</f>
        <v>0.25673611111111111</v>
      </c>
      <c r="AH216" s="377"/>
    </row>
    <row r="217" spans="1:34" ht="18.75" x14ac:dyDescent="0.25">
      <c r="A217" s="53" t="s">
        <v>115</v>
      </c>
      <c r="B217" s="39">
        <v>1.0069444444444445E-2</v>
      </c>
      <c r="C217" s="39">
        <v>1.3275462962962963E-2</v>
      </c>
      <c r="D217" s="39">
        <v>6.0648148148148145E-3</v>
      </c>
      <c r="E217" s="39">
        <v>9.9305555555555553E-3</v>
      </c>
      <c r="F217" s="39">
        <v>6.4583333333333333E-3</v>
      </c>
      <c r="G217" s="39">
        <v>8.9583333333333338E-3</v>
      </c>
      <c r="H217" s="39">
        <v>8.4259259259259253E-3</v>
      </c>
      <c r="I217" s="39">
        <v>4.2129629629629626E-3</v>
      </c>
      <c r="J217" s="39">
        <v>6.5393518518518517E-3</v>
      </c>
      <c r="K217" s="39">
        <v>8.8657407407407417E-3</v>
      </c>
      <c r="L217" s="39">
        <v>6.2499999999999995E-3</v>
      </c>
      <c r="M217" s="39">
        <v>7.6388888888888886E-3</v>
      </c>
      <c r="N217" s="39">
        <v>7.3263888888888892E-3</v>
      </c>
      <c r="O217" s="39">
        <v>7.8009259259259256E-3</v>
      </c>
      <c r="P217" s="39">
        <v>4.6064814814814814E-3</v>
      </c>
      <c r="Q217" s="39">
        <v>9.4097222222222238E-3</v>
      </c>
      <c r="R217" s="39">
        <v>8.0208333333333329E-3</v>
      </c>
      <c r="S217" s="39">
        <v>7.2337962962962963E-3</v>
      </c>
      <c r="T217" s="39">
        <v>1.4872685185185185E-2</v>
      </c>
      <c r="U217" s="39">
        <v>1.9444444444444445E-2</v>
      </c>
      <c r="V217" s="39">
        <v>4.8611111111111112E-3</v>
      </c>
      <c r="W217" s="39">
        <v>9.0972222222222218E-3</v>
      </c>
      <c r="X217" s="39">
        <v>1.3888888888888888E-2</v>
      </c>
      <c r="Y217" s="39">
        <v>5.8217592592592592E-3</v>
      </c>
      <c r="Z217" s="39">
        <v>8.3333333333333332E-3</v>
      </c>
      <c r="AA217" s="39">
        <v>1.7511574074074072E-2</v>
      </c>
      <c r="AB217" s="39">
        <v>6.9444444444444441E-3</v>
      </c>
      <c r="AC217" s="39">
        <v>7.6388888888888886E-3</v>
      </c>
      <c r="AD217" s="39">
        <v>4.409722222222222E-3</v>
      </c>
      <c r="AE217" s="39">
        <v>9.7222222222222224E-3</v>
      </c>
      <c r="AF217" s="91">
        <v>4.1666666666666666E-3</v>
      </c>
      <c r="AG217" s="100">
        <f t="shared" si="39"/>
        <v>0.26780092592592603</v>
      </c>
      <c r="AH217" s="377"/>
    </row>
    <row r="218" spans="1:34" ht="18.75" x14ac:dyDescent="0.25">
      <c r="A218" s="53" t="s">
        <v>116</v>
      </c>
      <c r="B218" s="39">
        <v>7.9861111111111122E-3</v>
      </c>
      <c r="C218" s="39">
        <v>6.3888888888888884E-3</v>
      </c>
      <c r="D218" s="39">
        <v>6.7592592592592591E-3</v>
      </c>
      <c r="E218" s="39">
        <v>5.2662037037037035E-3</v>
      </c>
      <c r="F218" s="39">
        <v>4.2476851851851851E-3</v>
      </c>
      <c r="G218" s="39">
        <v>1.0069444444444445E-2</v>
      </c>
      <c r="H218" s="39">
        <v>8.0092592592592594E-3</v>
      </c>
      <c r="I218" s="39">
        <v>3.9583333333333337E-3</v>
      </c>
      <c r="J218" s="39">
        <v>4.5601851851851853E-3</v>
      </c>
      <c r="K218" s="39">
        <v>6.5509259259259262E-3</v>
      </c>
      <c r="L218" s="39">
        <v>3.472222222222222E-3</v>
      </c>
      <c r="M218" s="39">
        <v>4.8611111111111112E-3</v>
      </c>
      <c r="N218" s="39">
        <v>6.2499999999999995E-3</v>
      </c>
      <c r="O218" s="39">
        <v>8.1249999999999985E-3</v>
      </c>
      <c r="P218" s="39">
        <v>6.2499999999999995E-3</v>
      </c>
      <c r="Q218" s="39">
        <v>5.2893518518518515E-3</v>
      </c>
      <c r="R218" s="39">
        <v>6.3194444444444444E-3</v>
      </c>
      <c r="S218" s="39">
        <v>6.5393518518518517E-3</v>
      </c>
      <c r="T218" s="39">
        <v>1.1747685185185186E-2</v>
      </c>
      <c r="U218" s="39">
        <v>8.6458333333333335E-3</v>
      </c>
      <c r="V218" s="39">
        <v>4.1666666666666666E-3</v>
      </c>
      <c r="W218" s="39">
        <v>4.9652777777777777E-3</v>
      </c>
      <c r="X218" s="39">
        <v>1.1180555555555556E-2</v>
      </c>
      <c r="Y218" s="39">
        <v>5.6944444444444438E-3</v>
      </c>
      <c r="Z218" s="39">
        <v>8.3796296296296292E-3</v>
      </c>
      <c r="AA218" s="39">
        <v>2.3009259259259257E-2</v>
      </c>
      <c r="AB218" s="39">
        <v>6.4120370370370364E-3</v>
      </c>
      <c r="AC218" s="39">
        <v>4.8611111111111112E-3</v>
      </c>
      <c r="AD218" s="39">
        <v>4.1666666666666666E-3</v>
      </c>
      <c r="AE218" s="39">
        <v>7.6388888888888886E-3</v>
      </c>
      <c r="AF218" s="91">
        <v>6.2499999999999995E-3</v>
      </c>
      <c r="AG218" s="100">
        <f t="shared" si="39"/>
        <v>0.21802083333333339</v>
      </c>
      <c r="AH218" s="377"/>
    </row>
    <row r="219" spans="1:34" ht="18.75" x14ac:dyDescent="0.25">
      <c r="A219" s="53" t="s">
        <v>117</v>
      </c>
      <c r="B219" s="39">
        <v>5.8449074074074072E-3</v>
      </c>
      <c r="C219" s="39">
        <v>9.0277777777777787E-3</v>
      </c>
      <c r="D219" s="39">
        <v>8.3333333333333332E-3</v>
      </c>
      <c r="E219" s="39">
        <v>6.3425925925925915E-3</v>
      </c>
      <c r="F219" s="39">
        <v>1.2187500000000002E-2</v>
      </c>
      <c r="G219" s="39">
        <v>1.5335648148148147E-2</v>
      </c>
      <c r="H219" s="39">
        <v>8.0208333333333329E-3</v>
      </c>
      <c r="I219" s="39">
        <v>4.340277777777778E-3</v>
      </c>
      <c r="J219" s="39">
        <v>3.472222222222222E-3</v>
      </c>
      <c r="K219" s="39">
        <v>5.6481481481481478E-3</v>
      </c>
      <c r="L219" s="39">
        <v>6.2499999999999995E-3</v>
      </c>
      <c r="M219" s="39">
        <v>9.0277777777777787E-3</v>
      </c>
      <c r="N219" s="39">
        <v>5.6249999999999989E-3</v>
      </c>
      <c r="O219" s="39">
        <v>4.8611111111111112E-3</v>
      </c>
      <c r="P219" s="39">
        <v>9.780092592592592E-3</v>
      </c>
      <c r="Q219" s="39">
        <v>0.48888888888888887</v>
      </c>
      <c r="R219" s="39">
        <v>9.780092592592592E-3</v>
      </c>
      <c r="S219" s="39">
        <v>9.0277777777777787E-3</v>
      </c>
      <c r="T219" s="39">
        <v>5.1273148148148146E-3</v>
      </c>
      <c r="U219" s="39">
        <v>5.347222222222222E-3</v>
      </c>
      <c r="V219" s="39">
        <v>2.7777777777777779E-3</v>
      </c>
      <c r="W219" s="39">
        <v>1.5277777777777777E-2</v>
      </c>
      <c r="X219" s="39">
        <v>8.3333333333333332E-3</v>
      </c>
      <c r="Y219" s="39">
        <v>1.2789351851851852E-2</v>
      </c>
      <c r="Z219" s="39">
        <v>1.1296296296296296E-2</v>
      </c>
      <c r="AA219" s="39">
        <v>2.0833333333333332E-2</v>
      </c>
      <c r="AB219" s="39">
        <v>6.2499999999999995E-3</v>
      </c>
      <c r="AC219" s="39">
        <v>5.5555555555555558E-3</v>
      </c>
      <c r="AD219" s="39">
        <v>7.6388888888888886E-3</v>
      </c>
      <c r="AE219" s="39">
        <v>6.9444444444444441E-3</v>
      </c>
      <c r="AF219" s="91">
        <v>8.3333333333333332E-3</v>
      </c>
      <c r="AG219" s="100">
        <f t="shared" si="31"/>
        <v>0.73829861111111073</v>
      </c>
      <c r="AH219" s="377"/>
    </row>
    <row r="220" spans="1:34" ht="18.75" x14ac:dyDescent="0.25">
      <c r="A220" s="43" t="s">
        <v>150</v>
      </c>
      <c r="B220" s="19">
        <v>1.954861111111111E-2</v>
      </c>
      <c r="C220" s="19">
        <v>5.2777777777777778E-2</v>
      </c>
      <c r="D220" s="19">
        <v>5.4201388888888889E-2</v>
      </c>
      <c r="E220" s="19">
        <v>4.1666666666666664E-2</v>
      </c>
      <c r="F220" s="19">
        <v>2.4027777777777776E-2</v>
      </c>
      <c r="G220" s="19">
        <v>3.8032407407407411E-2</v>
      </c>
      <c r="H220" s="19">
        <v>3.4814814814814812E-2</v>
      </c>
      <c r="I220" s="19">
        <v>3.6458333333333336E-2</v>
      </c>
      <c r="J220" s="19">
        <v>3.078703703703704E-2</v>
      </c>
      <c r="K220" s="19">
        <v>4.2361111111111106E-2</v>
      </c>
      <c r="L220" s="19">
        <v>2.6932870370370371E-2</v>
      </c>
      <c r="M220" s="19">
        <v>1.5972222222222224E-2</v>
      </c>
      <c r="N220" s="19">
        <v>2.7777777777777776E-2</v>
      </c>
      <c r="O220" s="19">
        <v>4.0972222222222222E-2</v>
      </c>
      <c r="P220" s="19">
        <v>2.2222222222222223E-2</v>
      </c>
      <c r="Q220" s="19">
        <v>3.366898148148148E-2</v>
      </c>
      <c r="R220" s="19">
        <v>2.0833333333333332E-2</v>
      </c>
      <c r="S220" s="19">
        <v>3.5729166666666666E-2</v>
      </c>
      <c r="T220" s="19">
        <v>0.92708333333333337</v>
      </c>
      <c r="U220" s="19">
        <v>1.2210648148148146E-2</v>
      </c>
      <c r="V220" s="19">
        <v>2.6249999999999999E-2</v>
      </c>
      <c r="W220" s="19">
        <v>2.5694444444444447E-2</v>
      </c>
      <c r="X220" s="19">
        <v>4.7916666666666663E-2</v>
      </c>
      <c r="Y220" s="19">
        <v>3.6805555555555557E-2</v>
      </c>
      <c r="Z220" s="19">
        <v>2.8437500000000001E-2</v>
      </c>
      <c r="AA220" s="19">
        <v>3.2488425925925928E-2</v>
      </c>
      <c r="AB220" s="19">
        <v>2.809027777777778E-2</v>
      </c>
      <c r="AC220" s="19">
        <v>3.125E-2</v>
      </c>
      <c r="AD220" s="19">
        <v>2.9861111111111113E-2</v>
      </c>
      <c r="AE220" s="19">
        <v>4.8611111111111112E-2</v>
      </c>
      <c r="AF220" s="25">
        <v>2.5694444444444447E-2</v>
      </c>
      <c r="AG220" s="99">
        <f t="shared" si="31"/>
        <v>1.8991782407407409</v>
      </c>
      <c r="AH220" s="377"/>
    </row>
    <row r="221" spans="1:34" ht="18.75" x14ac:dyDescent="0.25">
      <c r="A221" s="43" t="s">
        <v>78</v>
      </c>
      <c r="B221" s="19">
        <v>1.5891203703703703E-2</v>
      </c>
      <c r="C221" s="19">
        <v>5.6250000000000001E-2</v>
      </c>
      <c r="D221" s="19">
        <v>5.8310185185185187E-2</v>
      </c>
      <c r="E221" s="19">
        <v>4.7129629629629625E-2</v>
      </c>
      <c r="F221" s="19">
        <v>2.8032407407407409E-2</v>
      </c>
      <c r="G221" s="19">
        <v>4.3055555555555562E-2</v>
      </c>
      <c r="H221" s="19">
        <v>3.8252314814814815E-2</v>
      </c>
      <c r="I221" s="19">
        <v>4.1666666666666664E-2</v>
      </c>
      <c r="J221" s="19">
        <v>4.2361111111111106E-2</v>
      </c>
      <c r="K221" s="19">
        <v>5.5555555555555552E-2</v>
      </c>
      <c r="L221" s="19">
        <v>3.1504629629629625E-2</v>
      </c>
      <c r="M221" s="19">
        <v>2.2199074074074076E-2</v>
      </c>
      <c r="N221" s="19">
        <v>3.3576388888888892E-2</v>
      </c>
      <c r="O221" s="19">
        <v>4.3750000000000004E-2</v>
      </c>
      <c r="P221" s="19">
        <v>2.7083333333333334E-2</v>
      </c>
      <c r="Q221" s="19">
        <v>3.6805555555555557E-2</v>
      </c>
      <c r="R221" s="19">
        <v>2.6388888888888889E-2</v>
      </c>
      <c r="S221" s="19">
        <v>5.5555555555555552E-2</v>
      </c>
      <c r="T221" s="19">
        <v>1.9398148148148147E-2</v>
      </c>
      <c r="U221" s="19">
        <v>1.6238425925925924E-2</v>
      </c>
      <c r="V221" s="19">
        <v>3.8194444444444441E-2</v>
      </c>
      <c r="W221" s="19">
        <v>2.4826388888888887E-2</v>
      </c>
      <c r="X221" s="19">
        <v>4.7222222222222221E-2</v>
      </c>
      <c r="Y221" s="19">
        <v>4.2361111111111106E-2</v>
      </c>
      <c r="Z221" s="19">
        <v>3.2129629629629626E-2</v>
      </c>
      <c r="AA221" s="19">
        <v>3.4722222222222224E-2</v>
      </c>
      <c r="AB221" s="19">
        <v>3.2638888888888891E-2</v>
      </c>
      <c r="AC221" s="19">
        <v>3.5416666666666666E-2</v>
      </c>
      <c r="AD221" s="19">
        <v>3.5416666666666666E-2</v>
      </c>
      <c r="AE221" s="19">
        <v>5.5555555555555552E-2</v>
      </c>
      <c r="AF221" s="25">
        <v>3.2337962962962964E-2</v>
      </c>
      <c r="AG221" s="99">
        <f t="shared" si="31"/>
        <v>1.1498263888888891</v>
      </c>
      <c r="AH221" s="377"/>
    </row>
    <row r="222" spans="1:34" ht="19.5" thickBot="1" x14ac:dyDescent="0.3">
      <c r="A222" s="43" t="s">
        <v>79</v>
      </c>
      <c r="B222" s="19">
        <v>1.8310185185185186E-2</v>
      </c>
      <c r="C222" s="19">
        <v>1.579861111111111E-2</v>
      </c>
      <c r="D222" s="19">
        <v>1.8969907407407408E-2</v>
      </c>
      <c r="E222" s="19">
        <v>2.5694444444444447E-2</v>
      </c>
      <c r="F222" s="19">
        <v>2.2407407407407407E-2</v>
      </c>
      <c r="G222" s="19">
        <v>3.1215277777777783E-2</v>
      </c>
      <c r="H222" s="19">
        <v>1.9768518518518515E-2</v>
      </c>
      <c r="I222" s="19">
        <v>2.2916666666666669E-2</v>
      </c>
      <c r="J222" s="19">
        <v>1.6793981481481483E-2</v>
      </c>
      <c r="K222" s="19">
        <v>2.8819444444444443E-2</v>
      </c>
      <c r="L222" s="19">
        <v>2.5694444444444447E-2</v>
      </c>
      <c r="M222" s="19">
        <v>2.7777777777777776E-2</v>
      </c>
      <c r="N222" s="19">
        <v>2.3333333333333334E-2</v>
      </c>
      <c r="O222" s="19">
        <v>2.4756944444444443E-2</v>
      </c>
      <c r="P222" s="19">
        <v>2.2222222222222223E-2</v>
      </c>
      <c r="Q222" s="19">
        <v>1.8437499999999999E-2</v>
      </c>
      <c r="R222" s="19">
        <v>2.4999999999999998E-2</v>
      </c>
      <c r="S222" s="19">
        <v>3.9583333333333331E-2</v>
      </c>
      <c r="T222" s="19">
        <v>2.361111111111111E-2</v>
      </c>
      <c r="U222" s="19">
        <v>2.4999999999999998E-2</v>
      </c>
      <c r="V222" s="19">
        <v>2.4999999999999998E-2</v>
      </c>
      <c r="W222" s="19">
        <v>2.0833333333333332E-2</v>
      </c>
      <c r="X222" s="19">
        <v>2.5694444444444447E-2</v>
      </c>
      <c r="Y222" s="19">
        <v>2.9166666666666664E-2</v>
      </c>
      <c r="Z222" s="19">
        <v>2.1053240740740744E-2</v>
      </c>
      <c r="AA222" s="19">
        <v>2.9166666666666664E-2</v>
      </c>
      <c r="AB222" s="19">
        <v>2.7083333333333334E-2</v>
      </c>
      <c r="AC222" s="19">
        <v>2.0833333333333332E-2</v>
      </c>
      <c r="AD222" s="19">
        <v>2.2222222222222223E-2</v>
      </c>
      <c r="AE222" s="19">
        <v>2.7777777777777776E-2</v>
      </c>
      <c r="AF222" s="25">
        <v>2.361111111111111E-2</v>
      </c>
      <c r="AG222" s="99">
        <f t="shared" si="31"/>
        <v>0.74855324074074103</v>
      </c>
      <c r="AH222" s="378"/>
    </row>
    <row r="223" spans="1:34" ht="24" thickBot="1" x14ac:dyDescent="0.3">
      <c r="A223" s="62" t="s">
        <v>118</v>
      </c>
      <c r="B223" s="20">
        <f>+B222+B221+B211+B220</f>
        <v>6.2233796296296301E-2</v>
      </c>
      <c r="C223" s="20">
        <f t="shared" ref="C223:AF223" si="40">+C222+C221+C211+C220</f>
        <v>0.14906249999999999</v>
      </c>
      <c r="D223" s="20">
        <f t="shared" si="40"/>
        <v>0.14444444444444446</v>
      </c>
      <c r="E223" s="20">
        <f t="shared" si="40"/>
        <v>0.12968749999999998</v>
      </c>
      <c r="F223" s="20">
        <f t="shared" si="40"/>
        <v>8.1585648148148143E-2</v>
      </c>
      <c r="G223" s="20">
        <f t="shared" si="40"/>
        <v>0.12167824074074074</v>
      </c>
      <c r="H223" s="20">
        <f t="shared" si="40"/>
        <v>0.11228009259259258</v>
      </c>
      <c r="I223" s="20">
        <f>+I222+I221+I211+I220</f>
        <v>0.11077546296296295</v>
      </c>
      <c r="J223" s="20">
        <f t="shared" si="40"/>
        <v>9.8541666666666666E-2</v>
      </c>
      <c r="K223" s="20">
        <f t="shared" si="40"/>
        <v>0.13473379629629628</v>
      </c>
      <c r="L223" s="20">
        <f t="shared" si="40"/>
        <v>9.4606481481481472E-2</v>
      </c>
      <c r="M223" s="20">
        <f t="shared" si="40"/>
        <v>7.3587962962962966E-2</v>
      </c>
      <c r="N223" s="20">
        <f t="shared" si="40"/>
        <v>9.8182870370370365E-2</v>
      </c>
      <c r="O223" s="20">
        <f t="shared" si="40"/>
        <v>0.12209490740740742</v>
      </c>
      <c r="P223" s="20">
        <f t="shared" si="40"/>
        <v>7.9236111111111118E-2</v>
      </c>
      <c r="Q223" s="20">
        <f t="shared" si="40"/>
        <v>9.8946759259259262E-2</v>
      </c>
      <c r="R223" s="20">
        <f t="shared" si="40"/>
        <v>8.4872685185185176E-2</v>
      </c>
      <c r="S223" s="20">
        <f t="shared" si="40"/>
        <v>0.1401273148148148</v>
      </c>
      <c r="T223" s="20">
        <f t="shared" si="40"/>
        <v>0.97707175925925926</v>
      </c>
      <c r="U223" s="20">
        <f t="shared" si="40"/>
        <v>6.0428240740740734E-2</v>
      </c>
      <c r="V223" s="20">
        <f t="shared" si="40"/>
        <v>0.10416666666666666</v>
      </c>
      <c r="W223" s="20">
        <f t="shared" si="40"/>
        <v>8.2997685185185188E-2</v>
      </c>
      <c r="X223" s="20">
        <f t="shared" si="40"/>
        <v>0.13376157407407407</v>
      </c>
      <c r="Y223" s="20">
        <f t="shared" si="40"/>
        <v>0.11781249999999999</v>
      </c>
      <c r="Z223" s="20">
        <f t="shared" si="40"/>
        <v>9.4421296296296295E-2</v>
      </c>
      <c r="AA223" s="20">
        <f t="shared" si="40"/>
        <v>0.10540509259259259</v>
      </c>
      <c r="AB223" s="20">
        <f t="shared" si="40"/>
        <v>9.5034722222222229E-2</v>
      </c>
      <c r="AC223" s="20">
        <f t="shared" si="40"/>
        <v>0.10501157407407406</v>
      </c>
      <c r="AD223" s="20">
        <f t="shared" si="40"/>
        <v>9.5138888888888898E-2</v>
      </c>
      <c r="AE223" s="20">
        <f t="shared" si="40"/>
        <v>0.14513888888888887</v>
      </c>
      <c r="AF223" s="26">
        <f t="shared" si="40"/>
        <v>8.9421296296296304E-2</v>
      </c>
      <c r="AG223" s="99">
        <f t="shared" si="31"/>
        <v>4.1424884259259258</v>
      </c>
      <c r="AH223" s="36"/>
    </row>
    <row r="224" spans="1:34" ht="18.75" x14ac:dyDescent="0.25">
      <c r="A224" s="57" t="s">
        <v>90</v>
      </c>
      <c r="B224" s="27">
        <v>9</v>
      </c>
      <c r="C224" s="27">
        <v>25</v>
      </c>
      <c r="D224" s="27">
        <v>49</v>
      </c>
      <c r="E224" s="27">
        <v>28</v>
      </c>
      <c r="F224" s="27">
        <v>13</v>
      </c>
      <c r="G224" s="27">
        <v>16</v>
      </c>
      <c r="H224" s="27">
        <v>29</v>
      </c>
      <c r="I224" s="27">
        <v>23</v>
      </c>
      <c r="J224" s="27">
        <v>22</v>
      </c>
      <c r="K224" s="27">
        <v>42</v>
      </c>
      <c r="L224" s="27">
        <v>33</v>
      </c>
      <c r="M224" s="27">
        <v>15</v>
      </c>
      <c r="N224" s="27">
        <v>12</v>
      </c>
      <c r="O224" s="27">
        <v>37</v>
      </c>
      <c r="P224" s="27">
        <v>31</v>
      </c>
      <c r="Q224" s="27">
        <v>18</v>
      </c>
      <c r="R224" s="27">
        <v>27</v>
      </c>
      <c r="S224" s="27">
        <v>22</v>
      </c>
      <c r="T224" s="27">
        <v>7</v>
      </c>
      <c r="U224" s="27">
        <v>9</v>
      </c>
      <c r="V224" s="27">
        <v>24</v>
      </c>
      <c r="W224" s="27">
        <v>17</v>
      </c>
      <c r="X224" s="27">
        <v>11</v>
      </c>
      <c r="Y224" s="27">
        <v>14</v>
      </c>
      <c r="Z224" s="27">
        <v>11</v>
      </c>
      <c r="AA224" s="27">
        <v>27</v>
      </c>
      <c r="AB224" s="27">
        <v>30</v>
      </c>
      <c r="AC224" s="27">
        <v>30</v>
      </c>
      <c r="AD224" s="27">
        <v>16</v>
      </c>
      <c r="AE224" s="27">
        <v>13</v>
      </c>
      <c r="AF224" s="92">
        <v>19</v>
      </c>
      <c r="AG224" s="31">
        <f t="shared" ref="AG224:AG237" si="41">SUM(B224:AF224)</f>
        <v>679</v>
      </c>
      <c r="AH224" s="379" t="s">
        <v>96</v>
      </c>
    </row>
    <row r="225" spans="1:34" ht="18.75" x14ac:dyDescent="0.25">
      <c r="A225" s="54" t="s">
        <v>91</v>
      </c>
      <c r="B225" s="40">
        <v>0.33333333333333331</v>
      </c>
      <c r="C225" s="40">
        <v>0.33333333333333331</v>
      </c>
      <c r="D225" s="40">
        <v>0.33333333333333331</v>
      </c>
      <c r="E225" s="40"/>
      <c r="F225" s="40"/>
      <c r="G225" s="40">
        <v>0.33333333333333331</v>
      </c>
      <c r="H225" s="40">
        <v>0.33333333333333331</v>
      </c>
      <c r="I225" s="40">
        <v>0.33333333333333331</v>
      </c>
      <c r="J225" s="40">
        <v>0.33333333333333331</v>
      </c>
      <c r="K225" s="40">
        <v>0.33333333333333331</v>
      </c>
      <c r="L225" s="40"/>
      <c r="M225" s="40"/>
      <c r="N225" s="40">
        <v>0.33333333333333331</v>
      </c>
      <c r="O225" s="40">
        <v>0.33333333333333331</v>
      </c>
      <c r="P225" s="40">
        <v>0.33333333333333331</v>
      </c>
      <c r="Q225" s="40">
        <v>0.33333333333333331</v>
      </c>
      <c r="R225" s="40">
        <v>0.33333333333333331</v>
      </c>
      <c r="S225" s="40"/>
      <c r="T225" s="40"/>
      <c r="U225" s="40">
        <v>0.33333333333333331</v>
      </c>
      <c r="V225" s="40">
        <v>0.33333333333333331</v>
      </c>
      <c r="W225" s="40">
        <v>0.33333333333333331</v>
      </c>
      <c r="X225" s="40">
        <v>0.33333333333333331</v>
      </c>
      <c r="Y225" s="40">
        <v>0.33333333333333331</v>
      </c>
      <c r="Z225" s="40"/>
      <c r="AA225" s="40">
        <v>0.32361111111111113</v>
      </c>
      <c r="AB225" s="40">
        <v>0.33333333333333331</v>
      </c>
      <c r="AC225" s="40"/>
      <c r="AD225" s="40"/>
      <c r="AE225" s="40">
        <v>0.3263888888888889</v>
      </c>
      <c r="AF225" s="93"/>
      <c r="AG225" s="99">
        <f t="shared" si="41"/>
        <v>6.9833333333333316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1</v>
      </c>
      <c r="AB226" s="59">
        <v>0</v>
      </c>
      <c r="AC226" s="59">
        <v>0</v>
      </c>
      <c r="AD226" s="59">
        <v>0</v>
      </c>
      <c r="AE226" s="59">
        <v>2</v>
      </c>
      <c r="AF226" s="94">
        <v>0</v>
      </c>
      <c r="AG226" s="28">
        <f t="shared" si="41"/>
        <v>3</v>
      </c>
      <c r="AH226" s="381"/>
    </row>
    <row r="227" spans="1:34" ht="18.75" x14ac:dyDescent="0.25">
      <c r="A227" s="55" t="s">
        <v>92</v>
      </c>
      <c r="B227" s="118">
        <f>SUM(B228:B230)</f>
        <v>4</v>
      </c>
      <c r="C227" s="118">
        <f t="shared" ref="C227:X227" si="42">SUM(C228:C230)</f>
        <v>1</v>
      </c>
      <c r="D227" s="118">
        <f t="shared" si="42"/>
        <v>5</v>
      </c>
      <c r="E227" s="118">
        <f t="shared" si="42"/>
        <v>4</v>
      </c>
      <c r="F227" s="118">
        <f t="shared" si="42"/>
        <v>3</v>
      </c>
      <c r="G227" s="118">
        <f t="shared" si="42"/>
        <v>5</v>
      </c>
      <c r="H227" s="118">
        <f t="shared" si="42"/>
        <v>4</v>
      </c>
      <c r="I227" s="118">
        <f t="shared" si="42"/>
        <v>5</v>
      </c>
      <c r="J227" s="118">
        <f t="shared" si="42"/>
        <v>4</v>
      </c>
      <c r="K227" s="118">
        <f t="shared" si="42"/>
        <v>6</v>
      </c>
      <c r="L227" s="118">
        <f t="shared" si="42"/>
        <v>11</v>
      </c>
      <c r="M227" s="118">
        <f t="shared" si="42"/>
        <v>9</v>
      </c>
      <c r="N227" s="118">
        <f t="shared" si="42"/>
        <v>4</v>
      </c>
      <c r="O227" s="118">
        <f t="shared" si="42"/>
        <v>5</v>
      </c>
      <c r="P227" s="118">
        <f t="shared" si="42"/>
        <v>2</v>
      </c>
      <c r="Q227" s="118">
        <f t="shared" si="42"/>
        <v>5</v>
      </c>
      <c r="R227" s="118">
        <f t="shared" si="42"/>
        <v>8</v>
      </c>
      <c r="S227" s="118">
        <f t="shared" si="42"/>
        <v>3</v>
      </c>
      <c r="T227" s="118">
        <f t="shared" si="42"/>
        <v>5</v>
      </c>
      <c r="U227" s="118">
        <f t="shared" si="42"/>
        <v>1</v>
      </c>
      <c r="V227" s="118">
        <f t="shared" si="42"/>
        <v>5</v>
      </c>
      <c r="W227" s="118">
        <f t="shared" si="42"/>
        <v>2</v>
      </c>
      <c r="X227" s="118">
        <f t="shared" si="42"/>
        <v>4</v>
      </c>
      <c r="Y227" s="118">
        <v>4</v>
      </c>
      <c r="Z227" s="118">
        <v>8</v>
      </c>
      <c r="AA227" s="118">
        <v>6</v>
      </c>
      <c r="AB227" s="118">
        <v>3</v>
      </c>
      <c r="AC227" s="118">
        <v>3</v>
      </c>
      <c r="AD227" s="118">
        <v>2</v>
      </c>
      <c r="AE227" s="118">
        <v>4</v>
      </c>
      <c r="AF227" s="118">
        <v>3</v>
      </c>
      <c r="AG227" s="95">
        <f t="shared" si="41"/>
        <v>138</v>
      </c>
      <c r="AH227" s="379" t="s">
        <v>93</v>
      </c>
    </row>
    <row r="228" spans="1:34" ht="18.75" x14ac:dyDescent="0.25">
      <c r="A228" s="139" t="s">
        <v>94</v>
      </c>
      <c r="B228" s="140">
        <v>1</v>
      </c>
      <c r="C228" s="140">
        <v>1</v>
      </c>
      <c r="D228" s="140">
        <v>0</v>
      </c>
      <c r="E228" s="140">
        <v>1</v>
      </c>
      <c r="F228" s="140">
        <v>1</v>
      </c>
      <c r="G228" s="140">
        <v>2</v>
      </c>
      <c r="H228" s="140">
        <v>1</v>
      </c>
      <c r="I228" s="140">
        <v>0</v>
      </c>
      <c r="J228" s="140">
        <v>2</v>
      </c>
      <c r="K228" s="140">
        <v>1</v>
      </c>
      <c r="L228" s="140">
        <v>4</v>
      </c>
      <c r="M228" s="140">
        <v>2</v>
      </c>
      <c r="N228" s="145">
        <v>1</v>
      </c>
      <c r="O228" s="140">
        <v>1</v>
      </c>
      <c r="P228" s="140">
        <v>1</v>
      </c>
      <c r="Q228" s="140">
        <v>1</v>
      </c>
      <c r="R228" s="140">
        <v>0</v>
      </c>
      <c r="S228" s="140">
        <v>0</v>
      </c>
      <c r="T228" s="140">
        <v>3</v>
      </c>
      <c r="U228" s="140">
        <v>0</v>
      </c>
      <c r="V228" s="140">
        <v>1</v>
      </c>
      <c r="W228" s="140">
        <v>0</v>
      </c>
      <c r="X228" s="140">
        <v>1</v>
      </c>
      <c r="Y228" s="140">
        <v>0</v>
      </c>
      <c r="Z228" s="142">
        <v>0</v>
      </c>
      <c r="AA228" s="140">
        <v>3</v>
      </c>
      <c r="AB228" s="140">
        <v>0</v>
      </c>
      <c r="AC228" s="140">
        <v>0</v>
      </c>
      <c r="AD228" s="140">
        <v>0</v>
      </c>
      <c r="AE228" s="140">
        <v>2</v>
      </c>
      <c r="AF228" s="144">
        <v>0</v>
      </c>
      <c r="AG228" s="143">
        <f t="shared" si="41"/>
        <v>30</v>
      </c>
      <c r="AH228" s="380"/>
    </row>
    <row r="229" spans="1:34" ht="18.75" x14ac:dyDescent="0.25">
      <c r="A229" s="139" t="s">
        <v>95</v>
      </c>
      <c r="B229" s="140">
        <v>3</v>
      </c>
      <c r="C229" s="140">
        <v>0</v>
      </c>
      <c r="D229" s="140">
        <v>5</v>
      </c>
      <c r="E229" s="140">
        <v>3</v>
      </c>
      <c r="F229" s="140">
        <v>2</v>
      </c>
      <c r="G229" s="140">
        <v>3</v>
      </c>
      <c r="H229" s="140">
        <v>3</v>
      </c>
      <c r="I229" s="140">
        <v>5</v>
      </c>
      <c r="J229" s="140">
        <v>2</v>
      </c>
      <c r="K229" s="140">
        <v>5</v>
      </c>
      <c r="L229" s="140">
        <v>7</v>
      </c>
      <c r="M229" s="140">
        <v>7</v>
      </c>
      <c r="N229" s="145">
        <v>3</v>
      </c>
      <c r="O229" s="140">
        <v>4</v>
      </c>
      <c r="P229" s="140">
        <v>1</v>
      </c>
      <c r="Q229" s="140">
        <v>4</v>
      </c>
      <c r="R229" s="140">
        <v>8</v>
      </c>
      <c r="S229" s="140">
        <v>3</v>
      </c>
      <c r="T229" s="140">
        <v>2</v>
      </c>
      <c r="U229" s="140">
        <v>1</v>
      </c>
      <c r="V229" s="140">
        <v>4</v>
      </c>
      <c r="W229" s="140">
        <v>2</v>
      </c>
      <c r="X229" s="140">
        <v>3</v>
      </c>
      <c r="Y229" s="140">
        <v>4</v>
      </c>
      <c r="Z229" s="142">
        <v>8</v>
      </c>
      <c r="AA229" s="140">
        <v>3</v>
      </c>
      <c r="AB229" s="140">
        <v>3</v>
      </c>
      <c r="AC229" s="140">
        <v>3</v>
      </c>
      <c r="AD229" s="140">
        <v>2</v>
      </c>
      <c r="AE229" s="140">
        <v>2</v>
      </c>
      <c r="AF229" s="144">
        <v>3</v>
      </c>
      <c r="AG229" s="143">
        <f t="shared" si="41"/>
        <v>108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41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43">SUM(C232:C237)</f>
        <v>0</v>
      </c>
      <c r="D231" s="199">
        <f t="shared" si="43"/>
        <v>0</v>
      </c>
      <c r="E231" s="199">
        <f t="shared" si="43"/>
        <v>0</v>
      </c>
      <c r="F231" s="199">
        <f t="shared" si="43"/>
        <v>0</v>
      </c>
      <c r="G231" s="199">
        <f t="shared" si="43"/>
        <v>0</v>
      </c>
      <c r="H231" s="199">
        <f t="shared" si="43"/>
        <v>0</v>
      </c>
      <c r="I231" s="199">
        <f t="shared" si="43"/>
        <v>0</v>
      </c>
      <c r="J231" s="199">
        <f t="shared" si="43"/>
        <v>0</v>
      </c>
      <c r="K231" s="199">
        <f t="shared" si="43"/>
        <v>0</v>
      </c>
      <c r="L231" s="199">
        <f t="shared" si="43"/>
        <v>0</v>
      </c>
      <c r="M231" s="199">
        <f t="shared" si="43"/>
        <v>0</v>
      </c>
      <c r="N231" s="199">
        <f t="shared" si="43"/>
        <v>0</v>
      </c>
      <c r="O231" s="199">
        <f t="shared" si="43"/>
        <v>0</v>
      </c>
      <c r="P231" s="199">
        <f t="shared" si="43"/>
        <v>0</v>
      </c>
      <c r="Q231" s="199">
        <f t="shared" si="43"/>
        <v>0</v>
      </c>
      <c r="R231" s="199">
        <f t="shared" si="43"/>
        <v>0</v>
      </c>
      <c r="S231" s="199">
        <f t="shared" si="43"/>
        <v>0</v>
      </c>
      <c r="T231" s="199">
        <f t="shared" si="43"/>
        <v>0</v>
      </c>
      <c r="U231" s="199">
        <f t="shared" si="43"/>
        <v>0</v>
      </c>
      <c r="V231" s="199">
        <f t="shared" si="43"/>
        <v>0</v>
      </c>
      <c r="W231" s="199">
        <f t="shared" si="43"/>
        <v>0</v>
      </c>
      <c r="X231" s="199">
        <f t="shared" si="43"/>
        <v>0</v>
      </c>
      <c r="Y231" s="199">
        <f t="shared" si="43"/>
        <v>0</v>
      </c>
      <c r="Z231" s="199">
        <f t="shared" si="43"/>
        <v>0</v>
      </c>
      <c r="AA231" s="199">
        <f t="shared" si="43"/>
        <v>0</v>
      </c>
      <c r="AB231" s="199">
        <f t="shared" si="43"/>
        <v>0</v>
      </c>
      <c r="AC231" s="199">
        <f t="shared" si="43"/>
        <v>0</v>
      </c>
      <c r="AD231" s="199">
        <f t="shared" si="43"/>
        <v>0</v>
      </c>
      <c r="AE231" s="199">
        <f t="shared" si="43"/>
        <v>0</v>
      </c>
      <c r="AF231" s="200">
        <f t="shared" si="43"/>
        <v>0</v>
      </c>
      <c r="AG231" s="201">
        <f t="shared" si="41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41"/>
        <v>0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41"/>
        <v>0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41"/>
        <v>0</v>
      </c>
    </row>
    <row r="238" spans="1:34" ht="22.5" thickBot="1" x14ac:dyDescent="0.3">
      <c r="A238" s="307" t="s">
        <v>151</v>
      </c>
      <c r="B238" s="308">
        <v>4.1319444444444443E-2</v>
      </c>
      <c r="C238" s="309">
        <v>5.6944444444444443E-2</v>
      </c>
      <c r="D238" s="309">
        <v>6.5277777777777782E-2</v>
      </c>
      <c r="E238" s="309">
        <v>6.5277777777777782E-2</v>
      </c>
      <c r="F238" s="309">
        <v>4.9189814814814818E-2</v>
      </c>
      <c r="G238" s="309">
        <v>6.7361111111111108E-2</v>
      </c>
      <c r="H238" s="309">
        <v>5.6250000000000001E-2</v>
      </c>
      <c r="I238" s="309">
        <v>6.310185185185184E-2</v>
      </c>
      <c r="J238" s="309">
        <v>5.0694444444444438E-2</v>
      </c>
      <c r="K238" s="309">
        <v>7.4305555555555555E-2</v>
      </c>
      <c r="L238" s="309">
        <v>5.6250000000000001E-2</v>
      </c>
      <c r="M238" s="309">
        <v>4.8969907407407413E-2</v>
      </c>
      <c r="N238" s="309">
        <v>5.486111111111111E-2</v>
      </c>
      <c r="O238" s="309">
        <v>7.5694444444444439E-2</v>
      </c>
      <c r="P238" s="309">
        <v>4.7916666666666663E-2</v>
      </c>
      <c r="Q238" s="309">
        <v>5.4166666666666669E-2</v>
      </c>
      <c r="R238" s="309">
        <v>4.9999999999999996E-2</v>
      </c>
      <c r="S238" s="309">
        <v>8.4027777777777771E-2</v>
      </c>
      <c r="T238" s="309">
        <v>4.1666666666666664E-2</v>
      </c>
      <c r="U238" s="309">
        <v>4.027777777777778E-2</v>
      </c>
      <c r="V238" s="309">
        <v>5.4166666666666669E-2</v>
      </c>
      <c r="W238" s="309">
        <v>5.1388888888888894E-2</v>
      </c>
      <c r="X238" s="309">
        <v>7.7083333333333337E-2</v>
      </c>
      <c r="Y238" s="309">
        <v>7.013888888888889E-2</v>
      </c>
      <c r="Z238" s="309">
        <v>5.2083333333333336E-2</v>
      </c>
      <c r="AA238" s="309">
        <v>6.5972222222222224E-2</v>
      </c>
      <c r="AB238" s="309">
        <v>5.9027777777777783E-2</v>
      </c>
      <c r="AC238" s="309">
        <v>5.486111111111111E-2</v>
      </c>
      <c r="AD238" s="309">
        <v>5.6250000000000001E-2</v>
      </c>
      <c r="AE238" s="309">
        <v>8.2638888888888887E-2</v>
      </c>
      <c r="AF238" s="310">
        <v>5.3472222222222227E-2</v>
      </c>
      <c r="AG238" s="311">
        <f>SUM(B238:AF238)</f>
        <v>1.8206365740740742</v>
      </c>
      <c r="AH238" s="312"/>
    </row>
    <row r="239" spans="1:34" ht="22.5" thickBot="1" x14ac:dyDescent="0.3">
      <c r="A239" s="313" t="s">
        <v>152</v>
      </c>
      <c r="B239" s="314">
        <v>2.7939814814814817E-2</v>
      </c>
      <c r="C239" s="315">
        <v>8.6805555555555566E-2</v>
      </c>
      <c r="D239" s="315">
        <v>9.5833333333333326E-2</v>
      </c>
      <c r="E239" s="315">
        <v>9.5833333333333326E-2</v>
      </c>
      <c r="F239" s="315">
        <v>5.0810185185185187E-2</v>
      </c>
      <c r="G239" s="315">
        <v>7.7083333333333337E-2</v>
      </c>
      <c r="H239" s="315">
        <v>7.2222222222222229E-2</v>
      </c>
      <c r="I239" s="315">
        <v>7.7083333333333337E-2</v>
      </c>
      <c r="J239" s="315">
        <v>6.5277777777777782E-2</v>
      </c>
      <c r="K239" s="315">
        <v>9.0277777777777776E-2</v>
      </c>
      <c r="L239" s="315">
        <v>5.7638888888888885E-2</v>
      </c>
      <c r="M239" s="315">
        <v>3.7499999999999999E-2</v>
      </c>
      <c r="N239" s="315">
        <v>6.0416666666666667E-2</v>
      </c>
      <c r="O239" s="315">
        <v>9.930555555555555E-2</v>
      </c>
      <c r="P239" s="315">
        <v>4.8611111111111112E-2</v>
      </c>
      <c r="Q239" s="315">
        <v>6.9444444444444448E-2</v>
      </c>
      <c r="R239" s="315">
        <v>4.6527777777777779E-2</v>
      </c>
      <c r="S239" s="315">
        <v>7.9861111111111119E-2</v>
      </c>
      <c r="T239" s="315">
        <v>3.4027777777777775E-2</v>
      </c>
      <c r="U239" s="315">
        <v>2.7083333333333334E-2</v>
      </c>
      <c r="V239" s="315">
        <v>5.486111111111111E-2</v>
      </c>
      <c r="W239" s="315">
        <v>5.6944444444444443E-2</v>
      </c>
      <c r="X239" s="315">
        <v>9.9999999999999992E-2</v>
      </c>
      <c r="Y239" s="315">
        <v>7.9166666666666663E-2</v>
      </c>
      <c r="Z239" s="315">
        <v>6.0416666666666667E-2</v>
      </c>
      <c r="AA239" s="315">
        <v>6.9444444444444448E-2</v>
      </c>
      <c r="AB239" s="315">
        <v>5.9722222222222225E-2</v>
      </c>
      <c r="AC239" s="315">
        <v>6.6666666666666666E-2</v>
      </c>
      <c r="AD239" s="315">
        <v>6.5277777777777782E-2</v>
      </c>
      <c r="AE239" s="315">
        <v>0.10416666666666667</v>
      </c>
      <c r="AF239" s="316">
        <v>5.6250000000000001E-2</v>
      </c>
      <c r="AG239" s="317">
        <f>SUM(B239:AF239)</f>
        <v>2.0724999999999998</v>
      </c>
    </row>
    <row r="240" spans="1:34" x14ac:dyDescent="0.25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318" t="s">
        <v>72</v>
      </c>
      <c r="B241" s="259">
        <v>0</v>
      </c>
      <c r="C241" s="259">
        <v>0</v>
      </c>
      <c r="D241" s="259">
        <v>5.1388888888888894E-2</v>
      </c>
      <c r="E241" s="259">
        <v>0</v>
      </c>
      <c r="F241" s="259">
        <v>0</v>
      </c>
      <c r="G241" s="259">
        <v>0</v>
      </c>
      <c r="H241" s="259">
        <v>0</v>
      </c>
      <c r="I241" s="259">
        <v>0</v>
      </c>
      <c r="J241" s="259">
        <v>0</v>
      </c>
      <c r="K241" s="259">
        <v>0</v>
      </c>
      <c r="L241" s="259">
        <v>0</v>
      </c>
      <c r="M241" s="259">
        <v>0</v>
      </c>
      <c r="N241" s="259">
        <v>0</v>
      </c>
      <c r="O241" s="259">
        <v>0</v>
      </c>
      <c r="P241" s="259">
        <v>0</v>
      </c>
      <c r="Q241" s="259">
        <v>0</v>
      </c>
      <c r="R241" s="259">
        <v>0</v>
      </c>
      <c r="S241" s="259">
        <v>0</v>
      </c>
      <c r="T241" s="259">
        <v>0</v>
      </c>
      <c r="U241" s="259">
        <v>0</v>
      </c>
      <c r="V241" s="259">
        <v>0</v>
      </c>
      <c r="W241" s="259">
        <v>0</v>
      </c>
      <c r="X241" s="259">
        <v>0</v>
      </c>
      <c r="Y241" s="259">
        <v>0</v>
      </c>
      <c r="Z241" s="259">
        <v>0</v>
      </c>
      <c r="AA241" s="259">
        <v>0</v>
      </c>
      <c r="AB241" s="259">
        <v>0</v>
      </c>
      <c r="AC241" s="259">
        <v>0</v>
      </c>
      <c r="AD241" s="259">
        <v>0</v>
      </c>
      <c r="AE241" s="259">
        <v>0</v>
      </c>
      <c r="AF241" s="259">
        <v>0</v>
      </c>
      <c r="AG241" s="319">
        <f>SUM(B241:AF241)</f>
        <v>5.1388888888888894E-2</v>
      </c>
    </row>
    <row r="242" spans="1:33" ht="23.25" x14ac:dyDescent="0.35">
      <c r="A242" s="318" t="s">
        <v>73</v>
      </c>
      <c r="B242" s="259">
        <v>1.4641203703703703E-2</v>
      </c>
      <c r="C242" s="259">
        <v>1.0416666666666666E-2</v>
      </c>
      <c r="D242" s="259">
        <v>2.0833333333333333E-3</v>
      </c>
      <c r="E242" s="259">
        <v>0</v>
      </c>
      <c r="F242" s="259">
        <v>1.5277777777777777E-2</v>
      </c>
      <c r="G242" s="259">
        <v>2.9166666666666664E-2</v>
      </c>
      <c r="H242" s="259">
        <v>0</v>
      </c>
      <c r="I242" s="259">
        <v>3.1944444444444449E-2</v>
      </c>
      <c r="J242" s="259">
        <v>0</v>
      </c>
      <c r="K242" s="259">
        <v>0</v>
      </c>
      <c r="L242" s="259">
        <v>0</v>
      </c>
      <c r="M242" s="259">
        <v>2.1527777777777781E-2</v>
      </c>
      <c r="N242" s="259">
        <v>6.25E-2</v>
      </c>
      <c r="O242" s="259">
        <v>3.2638888888888891E-2</v>
      </c>
      <c r="P242" s="259">
        <v>7.7777777777777779E-2</v>
      </c>
      <c r="Q242" s="259">
        <v>7.6388888888888881E-2</v>
      </c>
      <c r="R242" s="259">
        <v>2.013888888888889E-2</v>
      </c>
      <c r="S242" s="259">
        <v>3.472222222222222E-3</v>
      </c>
      <c r="T242" s="259">
        <v>1.7361111111111112E-2</v>
      </c>
      <c r="U242" s="259">
        <v>3.3333333333333333E-2</v>
      </c>
      <c r="V242" s="259">
        <v>1.6666666666666666E-2</v>
      </c>
      <c r="W242" s="259">
        <v>0</v>
      </c>
      <c r="X242" s="259">
        <v>2.1527777777777781E-2</v>
      </c>
      <c r="Y242" s="259">
        <v>0</v>
      </c>
      <c r="Z242" s="259">
        <v>1.6666666666666666E-2</v>
      </c>
      <c r="AA242" s="259">
        <v>2.8472222222222222E-2</v>
      </c>
      <c r="AB242" s="259">
        <v>1.8055555555555557E-2</v>
      </c>
      <c r="AC242" s="259">
        <v>1.6666666666666666E-2</v>
      </c>
      <c r="AD242" s="259">
        <v>0</v>
      </c>
      <c r="AE242" s="259">
        <v>0</v>
      </c>
      <c r="AF242" s="259">
        <v>1.1805555555555555E-2</v>
      </c>
      <c r="AG242" s="319">
        <f>SUM(B242:AF242)</f>
        <v>0.57853009259259258</v>
      </c>
    </row>
    <row r="243" spans="1:33" ht="23.25" x14ac:dyDescent="0.35">
      <c r="A243" s="318" t="s">
        <v>74</v>
      </c>
      <c r="B243" s="259">
        <v>1.2499999999999999E-2</v>
      </c>
      <c r="C243" s="259">
        <v>4.1666666666666664E-2</v>
      </c>
      <c r="D243" s="259">
        <v>1.2499999999999999E-2</v>
      </c>
      <c r="E243" s="259">
        <v>3.7499999999999999E-2</v>
      </c>
      <c r="F243" s="259">
        <v>1.9444444444444445E-2</v>
      </c>
      <c r="G243" s="259">
        <v>3.0555555555555555E-2</v>
      </c>
      <c r="H243" s="259">
        <v>3.9583333333333331E-2</v>
      </c>
      <c r="I243" s="259">
        <v>2.9861111111111113E-2</v>
      </c>
      <c r="J243" s="259">
        <v>1.2499999999999999E-2</v>
      </c>
      <c r="K243" s="259">
        <v>2.6388888888888889E-2</v>
      </c>
      <c r="L243" s="259">
        <v>2.9861111111111113E-2</v>
      </c>
      <c r="M243" s="259">
        <v>2.2916666666666669E-2</v>
      </c>
      <c r="N243" s="259">
        <v>3.6805555555555557E-2</v>
      </c>
      <c r="O243" s="259">
        <v>2.1527777777777781E-2</v>
      </c>
      <c r="P243" s="259">
        <v>3.0555555555555555E-2</v>
      </c>
      <c r="Q243" s="259">
        <v>4.5138888888888888E-2</v>
      </c>
      <c r="R243" s="259">
        <v>2.8472222222222222E-2</v>
      </c>
      <c r="S243" s="259">
        <v>5.2083333333333336E-2</v>
      </c>
      <c r="T243" s="259">
        <v>2.1527777777777781E-2</v>
      </c>
      <c r="U243" s="259">
        <v>1.8055555555555557E-2</v>
      </c>
      <c r="V243" s="259">
        <v>2.4305555555555556E-2</v>
      </c>
      <c r="W243" s="259">
        <v>2.0833333333333332E-2</v>
      </c>
      <c r="X243" s="259">
        <v>4.027777777777778E-2</v>
      </c>
      <c r="Y243" s="259">
        <v>3.1944444444444449E-2</v>
      </c>
      <c r="Z243" s="259">
        <v>4.4444444444444446E-2</v>
      </c>
      <c r="AA243" s="259">
        <v>3.4722222222222224E-2</v>
      </c>
      <c r="AB243" s="259">
        <v>3.6805555555555557E-2</v>
      </c>
      <c r="AC243" s="259">
        <v>2.8472222222222222E-2</v>
      </c>
      <c r="AD243" s="259">
        <v>2.013888888888889E-2</v>
      </c>
      <c r="AE243" s="259">
        <v>3.5416666666666666E-2</v>
      </c>
      <c r="AF243" s="259">
        <v>2.2916666666666669E-2</v>
      </c>
      <c r="AG243" s="319">
        <f>SUM(B243:AF243)</f>
        <v>0.90972222222222232</v>
      </c>
    </row>
    <row r="244" spans="1:33" ht="23.25" x14ac:dyDescent="0.35">
      <c r="A244" s="318" t="s">
        <v>75</v>
      </c>
      <c r="B244" s="259">
        <v>1.2499999999999999E-2</v>
      </c>
      <c r="C244" s="259">
        <v>7.8472222222222221E-2</v>
      </c>
      <c r="D244" s="259">
        <v>6.5277777777777782E-2</v>
      </c>
      <c r="E244" s="259">
        <v>0.10347222222222223</v>
      </c>
      <c r="F244" s="259">
        <v>5.0694444444444438E-2</v>
      </c>
      <c r="G244" s="259">
        <v>8.819444444444445E-2</v>
      </c>
      <c r="H244" s="259">
        <v>8.9583333333333334E-2</v>
      </c>
      <c r="I244" s="259">
        <v>9.3055555555555558E-2</v>
      </c>
      <c r="J244" s="259">
        <v>4.4444444444444446E-2</v>
      </c>
      <c r="K244" s="259">
        <v>0.10416666666666667</v>
      </c>
      <c r="L244" s="259">
        <v>7.1527777777777773E-2</v>
      </c>
      <c r="M244" s="259">
        <v>4.7916666666666663E-2</v>
      </c>
      <c r="N244" s="259">
        <v>7.2916666666666671E-2</v>
      </c>
      <c r="O244" s="259">
        <v>9.5833333333333326E-2</v>
      </c>
      <c r="P244" s="259">
        <v>5.9722222222222225E-2</v>
      </c>
      <c r="Q244" s="259">
        <v>5.9722222222222225E-2</v>
      </c>
      <c r="R244" s="259">
        <v>5.4166666666666669E-2</v>
      </c>
      <c r="S244" s="259">
        <v>9.0972222222222218E-2</v>
      </c>
      <c r="T244" s="259">
        <v>4.027777777777778E-2</v>
      </c>
      <c r="U244" s="259">
        <v>3.3333333333333333E-2</v>
      </c>
      <c r="V244" s="259">
        <v>6.5277777777777782E-2</v>
      </c>
      <c r="W244" s="259">
        <v>6.5277777777777782E-2</v>
      </c>
      <c r="X244" s="259">
        <v>0.12708333333333333</v>
      </c>
      <c r="Y244" s="259">
        <v>8.8888888888888892E-2</v>
      </c>
      <c r="Z244" s="259">
        <v>7.5694444444444439E-2</v>
      </c>
      <c r="AA244" s="259">
        <v>8.1944444444444445E-2</v>
      </c>
      <c r="AB244" s="259">
        <v>6.25E-2</v>
      </c>
      <c r="AC244" s="259">
        <v>8.8888888888888892E-2</v>
      </c>
      <c r="AD244" s="259">
        <v>6.9444444444444448E-2</v>
      </c>
      <c r="AE244" s="259">
        <v>0.13541666666666666</v>
      </c>
      <c r="AF244" s="259">
        <v>6.6666666666666666E-2</v>
      </c>
      <c r="AG244" s="319">
        <f>SUM(B244:AF244)</f>
        <v>2.2833333333333337</v>
      </c>
    </row>
    <row r="245" spans="1:33" ht="23.25" x14ac:dyDescent="0.35">
      <c r="A245" s="318" t="s">
        <v>76</v>
      </c>
      <c r="B245" s="259">
        <v>1.0416666666666666E-2</v>
      </c>
      <c r="C245" s="259">
        <v>0.11805555555555557</v>
      </c>
      <c r="D245" s="259">
        <v>9.7916666666666666E-2</v>
      </c>
      <c r="E245" s="259">
        <v>0.11805555555555557</v>
      </c>
      <c r="F245" s="259">
        <v>9.1666666666666674E-2</v>
      </c>
      <c r="G245" s="259">
        <v>0.12013888888888889</v>
      </c>
      <c r="H245" s="259">
        <v>0.14444444444444446</v>
      </c>
      <c r="I245" s="259">
        <v>5.9722222222222225E-2</v>
      </c>
      <c r="J245" s="259">
        <v>3.7499999999999999E-2</v>
      </c>
      <c r="K245" s="259">
        <v>0.11319444444444444</v>
      </c>
      <c r="L245" s="259">
        <v>6.9444444444444448E-2</v>
      </c>
      <c r="M245" s="259">
        <v>4.3055555555555562E-2</v>
      </c>
      <c r="N245" s="259">
        <v>9.375E-2</v>
      </c>
      <c r="O245" s="259">
        <v>0.1388888888888889</v>
      </c>
      <c r="P245" s="259">
        <v>4.1666666666666664E-2</v>
      </c>
      <c r="Q245" s="259">
        <v>6.805555555555555E-2</v>
      </c>
      <c r="R245" s="259">
        <v>0.13958333333333334</v>
      </c>
      <c r="S245" s="259">
        <v>0.10138888888888888</v>
      </c>
      <c r="T245" s="259">
        <v>5.3472222222222227E-2</v>
      </c>
      <c r="U245" s="259">
        <v>3.9583333333333331E-2</v>
      </c>
      <c r="V245" s="259">
        <v>0.11388888888888889</v>
      </c>
      <c r="W245" s="259">
        <v>0.14861111111111111</v>
      </c>
      <c r="X245" s="259">
        <v>0.14027777777777778</v>
      </c>
      <c r="Y245" s="259">
        <v>0.1451388888888889</v>
      </c>
      <c r="Z245" s="259">
        <v>9.1666666666666674E-2</v>
      </c>
      <c r="AA245" s="259">
        <v>9.3055555555555558E-2</v>
      </c>
      <c r="AB245" s="259">
        <v>9.4444444444444442E-2</v>
      </c>
      <c r="AC245" s="259">
        <v>9.3055555555555558E-2</v>
      </c>
      <c r="AD245" s="259">
        <v>0.20416666666666669</v>
      </c>
      <c r="AE245" s="259">
        <v>8.1250000000000003E-2</v>
      </c>
      <c r="AF245" s="259">
        <v>7.9861111111111119E-2</v>
      </c>
      <c r="AG245" s="319">
        <f>SUM(B245:AF245)</f>
        <v>2.9854166666666666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H227:AH230"/>
    <mergeCell ref="A1:AG1"/>
    <mergeCell ref="AI84:AI86"/>
    <mergeCell ref="AH211:AH222"/>
    <mergeCell ref="AH224:AH226"/>
  </mergeCells>
  <conditionalFormatting sqref="B29:AF52">
    <cfRule type="cellIs" dxfId="124" priority="4" operator="lessThan">
      <formula>0</formula>
    </cfRule>
  </conditionalFormatting>
  <conditionalFormatting sqref="AH81">
    <cfRule type="cellIs" dxfId="123" priority="2" operator="equal">
      <formula>"*"</formula>
    </cfRule>
  </conditionalFormatting>
  <conditionalFormatting sqref="AH84 AH87">
    <cfRule type="cellIs" dxfId="122" priority="3" operator="equal">
      <formula>"*"</formula>
    </cfRule>
  </conditionalFormatting>
  <conditionalFormatting sqref="AH93">
    <cfRule type="cellIs" dxfId="121" priority="8" operator="equal">
      <formula>"*"</formula>
    </cfRule>
  </conditionalFormatting>
  <conditionalFormatting sqref="AH130">
    <cfRule type="cellIs" dxfId="120" priority="6" operator="equal">
      <formula>"*"</formula>
    </cfRule>
  </conditionalFormatting>
  <conditionalFormatting sqref="AH144:AH145">
    <cfRule type="cellIs" dxfId="119" priority="7" operator="equal">
      <formula>"*"</formula>
    </cfRule>
  </conditionalFormatting>
  <conditionalFormatting sqref="AH179">
    <cfRule type="cellIs" dxfId="118" priority="5" operator="equal">
      <formula>"*"</formula>
    </cfRule>
  </conditionalFormatting>
  <conditionalFormatting sqref="AH204">
    <cfRule type="cellIs" dxfId="117" priority="1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3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75"/>
  <sheetViews>
    <sheetView topLeftCell="D16" zoomScale="80" zoomScaleNormal="80" workbookViewId="0">
      <selection sqref="A1:AG1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154</v>
      </c>
      <c r="B2" s="234">
        <v>1</v>
      </c>
      <c r="C2" s="106">
        <f t="shared" ref="C2:AA2" si="0">+B2+1</f>
        <v>2</v>
      </c>
      <c r="D2" s="106">
        <f t="shared" si="0"/>
        <v>3</v>
      </c>
      <c r="E2" s="234">
        <f t="shared" si="0"/>
        <v>4</v>
      </c>
      <c r="F2" s="234">
        <f t="shared" si="0"/>
        <v>5</v>
      </c>
      <c r="G2" s="234">
        <f t="shared" si="0"/>
        <v>6</v>
      </c>
      <c r="H2" s="234">
        <f t="shared" si="0"/>
        <v>7</v>
      </c>
      <c r="I2" s="234">
        <f t="shared" si="0"/>
        <v>8</v>
      </c>
      <c r="J2" s="106">
        <f t="shared" si="0"/>
        <v>9</v>
      </c>
      <c r="K2" s="106">
        <f t="shared" si="0"/>
        <v>10</v>
      </c>
      <c r="L2" s="234">
        <f t="shared" si="0"/>
        <v>11</v>
      </c>
      <c r="M2" s="234">
        <f t="shared" si="0"/>
        <v>12</v>
      </c>
      <c r="N2" s="234">
        <f t="shared" si="0"/>
        <v>13</v>
      </c>
      <c r="O2" s="234">
        <f t="shared" si="0"/>
        <v>14</v>
      </c>
      <c r="P2" s="234">
        <f t="shared" si="0"/>
        <v>15</v>
      </c>
      <c r="Q2" s="106">
        <f t="shared" si="0"/>
        <v>16</v>
      </c>
      <c r="R2" s="106">
        <f t="shared" si="0"/>
        <v>17</v>
      </c>
      <c r="S2" s="234">
        <f t="shared" si="0"/>
        <v>18</v>
      </c>
      <c r="T2" s="234">
        <f t="shared" si="0"/>
        <v>19</v>
      </c>
      <c r="U2" s="234">
        <f t="shared" si="0"/>
        <v>20</v>
      </c>
      <c r="V2" s="234">
        <f t="shared" si="0"/>
        <v>21</v>
      </c>
      <c r="W2" s="234">
        <f t="shared" si="0"/>
        <v>22</v>
      </c>
      <c r="X2" s="106">
        <f t="shared" si="0"/>
        <v>23</v>
      </c>
      <c r="Y2" s="106">
        <f t="shared" si="0"/>
        <v>24</v>
      </c>
      <c r="Z2" s="234">
        <f t="shared" si="0"/>
        <v>25</v>
      </c>
      <c r="AA2" s="234">
        <f t="shared" si="0"/>
        <v>26</v>
      </c>
      <c r="AB2" s="234">
        <v>27</v>
      </c>
      <c r="AC2" s="234">
        <f>+AB2+1</f>
        <v>28</v>
      </c>
      <c r="AD2" s="234"/>
      <c r="AE2" s="234"/>
      <c r="AF2" s="234"/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170</v>
      </c>
      <c r="C3" s="135">
        <f t="shared" si="1"/>
        <v>226</v>
      </c>
      <c r="D3" s="135">
        <f t="shared" si="1"/>
        <v>217</v>
      </c>
      <c r="E3" s="135">
        <f t="shared" si="1"/>
        <v>225</v>
      </c>
      <c r="F3" s="135">
        <f t="shared" si="1"/>
        <v>206</v>
      </c>
      <c r="G3" s="135">
        <f t="shared" si="1"/>
        <v>196</v>
      </c>
      <c r="H3" s="135">
        <f t="shared" si="1"/>
        <v>182</v>
      </c>
      <c r="I3" s="135">
        <f t="shared" si="1"/>
        <v>167</v>
      </c>
      <c r="J3" s="135">
        <f t="shared" si="1"/>
        <v>255</v>
      </c>
      <c r="K3" s="135">
        <f t="shared" si="1"/>
        <v>224</v>
      </c>
      <c r="L3" s="135">
        <f t="shared" si="1"/>
        <v>228</v>
      </c>
      <c r="M3" s="135">
        <f t="shared" si="1"/>
        <v>163</v>
      </c>
      <c r="N3" s="135">
        <f t="shared" si="1"/>
        <v>187</v>
      </c>
      <c r="O3" s="135">
        <f t="shared" si="1"/>
        <v>188</v>
      </c>
      <c r="P3" s="135">
        <f t="shared" si="1"/>
        <v>167</v>
      </c>
      <c r="Q3" s="135">
        <f t="shared" si="1"/>
        <v>239</v>
      </c>
      <c r="R3" s="135">
        <f t="shared" si="1"/>
        <v>238</v>
      </c>
      <c r="S3" s="135">
        <f t="shared" si="1"/>
        <v>215</v>
      </c>
      <c r="T3" s="135">
        <f t="shared" si="1"/>
        <v>199</v>
      </c>
      <c r="U3" s="135">
        <f t="shared" si="1"/>
        <v>205</v>
      </c>
      <c r="V3" s="135">
        <f t="shared" si="1"/>
        <v>193</v>
      </c>
      <c r="W3" s="135">
        <f t="shared" si="1"/>
        <v>172</v>
      </c>
      <c r="X3" s="135">
        <f t="shared" si="1"/>
        <v>228</v>
      </c>
      <c r="Y3" s="135">
        <f t="shared" si="1"/>
        <v>207</v>
      </c>
      <c r="Z3" s="135">
        <f t="shared" si="1"/>
        <v>223</v>
      </c>
      <c r="AA3" s="135">
        <f t="shared" si="1"/>
        <v>205</v>
      </c>
      <c r="AB3" s="135">
        <f t="shared" si="1"/>
        <v>182</v>
      </c>
      <c r="AC3" s="135">
        <f t="shared" si="1"/>
        <v>181</v>
      </c>
      <c r="AD3" s="135">
        <f t="shared" si="1"/>
        <v>0</v>
      </c>
      <c r="AE3" s="135">
        <f t="shared" si="1"/>
        <v>0</v>
      </c>
      <c r="AF3" s="135">
        <f t="shared" si="1"/>
        <v>0</v>
      </c>
      <c r="AG3" s="187">
        <f>SUM(B3:AF3)</f>
        <v>5688</v>
      </c>
    </row>
    <row r="4" spans="1:33" ht="18.75" x14ac:dyDescent="0.25">
      <c r="A4" s="113" t="s">
        <v>54</v>
      </c>
      <c r="B4" s="114"/>
      <c r="C4" s="114">
        <v>7</v>
      </c>
      <c r="D4" s="114">
        <v>7</v>
      </c>
      <c r="E4" s="114"/>
      <c r="F4" s="114"/>
      <c r="G4" s="114"/>
      <c r="H4" s="114"/>
      <c r="I4" s="114"/>
      <c r="J4" s="114">
        <v>7</v>
      </c>
      <c r="K4" s="114">
        <v>6</v>
      </c>
      <c r="L4" s="114"/>
      <c r="M4" s="114"/>
      <c r="N4" s="114"/>
      <c r="O4" s="114"/>
      <c r="P4" s="114"/>
      <c r="Q4" s="114">
        <v>5</v>
      </c>
      <c r="R4" s="114">
        <v>4</v>
      </c>
      <c r="S4" s="114"/>
      <c r="T4" s="114"/>
      <c r="U4" s="114"/>
      <c r="V4" s="114"/>
      <c r="W4" s="114"/>
      <c r="X4" s="114">
        <v>9</v>
      </c>
      <c r="Y4" s="114">
        <v>5</v>
      </c>
      <c r="Z4" s="114"/>
      <c r="AA4" s="114"/>
      <c r="AB4" s="114"/>
      <c r="AC4" s="114"/>
      <c r="AD4" s="114"/>
      <c r="AE4" s="114"/>
      <c r="AF4" s="115"/>
      <c r="AG4" s="132">
        <f t="shared" ref="AG4:AG83" si="2">SUM(B4:AF4)</f>
        <v>50</v>
      </c>
    </row>
    <row r="5" spans="1:33" ht="18.75" x14ac:dyDescent="0.25">
      <c r="A5" s="41" t="s">
        <v>55</v>
      </c>
      <c r="B5" s="7"/>
      <c r="C5" s="7">
        <v>12</v>
      </c>
      <c r="D5" s="7">
        <v>4</v>
      </c>
      <c r="E5" s="7"/>
      <c r="F5" s="7"/>
      <c r="G5" s="7"/>
      <c r="H5" s="7"/>
      <c r="I5" s="7"/>
      <c r="J5" s="7">
        <v>11</v>
      </c>
      <c r="K5" s="7">
        <v>12</v>
      </c>
      <c r="L5" s="7"/>
      <c r="M5" s="7"/>
      <c r="N5" s="7"/>
      <c r="O5" s="7"/>
      <c r="P5" s="7"/>
      <c r="Q5" s="7">
        <v>10</v>
      </c>
      <c r="R5" s="7">
        <v>9</v>
      </c>
      <c r="S5" s="7"/>
      <c r="T5" s="7"/>
      <c r="U5" s="7"/>
      <c r="V5" s="7"/>
      <c r="W5" s="7"/>
      <c r="X5" s="7">
        <v>8</v>
      </c>
      <c r="Y5" s="7">
        <v>9</v>
      </c>
      <c r="Z5" s="7"/>
      <c r="AA5" s="7"/>
      <c r="AB5" s="7"/>
      <c r="AC5" s="7"/>
      <c r="AD5" s="7"/>
      <c r="AE5" s="7"/>
      <c r="AF5" s="8"/>
      <c r="AG5" s="4">
        <f t="shared" si="2"/>
        <v>75</v>
      </c>
    </row>
    <row r="6" spans="1:33" ht="18.75" x14ac:dyDescent="0.25">
      <c r="A6" s="41" t="s">
        <v>56</v>
      </c>
      <c r="B6" s="7"/>
      <c r="C6" s="7">
        <v>13</v>
      </c>
      <c r="D6" s="7">
        <v>11</v>
      </c>
      <c r="E6" s="7"/>
      <c r="F6" s="7"/>
      <c r="G6" s="7"/>
      <c r="H6" s="7"/>
      <c r="I6" s="7"/>
      <c r="J6" s="7">
        <v>17</v>
      </c>
      <c r="K6" s="7">
        <v>12</v>
      </c>
      <c r="L6" s="7"/>
      <c r="M6" s="7">
        <v>1</v>
      </c>
      <c r="N6" s="7"/>
      <c r="O6" s="7"/>
      <c r="P6" s="7"/>
      <c r="Q6" s="7">
        <v>15</v>
      </c>
      <c r="R6" s="7">
        <v>19</v>
      </c>
      <c r="S6" s="7"/>
      <c r="T6" s="7"/>
      <c r="U6" s="7"/>
      <c r="V6" s="7"/>
      <c r="W6" s="7"/>
      <c r="X6" s="7">
        <v>16</v>
      </c>
      <c r="Y6" s="7">
        <v>9</v>
      </c>
      <c r="Z6" s="7"/>
      <c r="AA6" s="7"/>
      <c r="AB6" s="7"/>
      <c r="AC6" s="7"/>
      <c r="AD6" s="7"/>
      <c r="AE6" s="7"/>
      <c r="AF6" s="8"/>
      <c r="AG6" s="4">
        <f t="shared" si="2"/>
        <v>113</v>
      </c>
    </row>
    <row r="7" spans="1:33" ht="18.75" x14ac:dyDescent="0.25">
      <c r="A7" s="41" t="s">
        <v>38</v>
      </c>
      <c r="B7" s="7">
        <v>2</v>
      </c>
      <c r="C7" s="7">
        <v>19</v>
      </c>
      <c r="D7" s="7">
        <v>23</v>
      </c>
      <c r="E7" s="7">
        <v>7</v>
      </c>
      <c r="F7" s="7">
        <v>12</v>
      </c>
      <c r="G7" s="7">
        <v>8</v>
      </c>
      <c r="H7" s="7">
        <v>9</v>
      </c>
      <c r="I7" s="7">
        <v>6</v>
      </c>
      <c r="J7" s="7">
        <v>11</v>
      </c>
      <c r="K7" s="7">
        <v>7</v>
      </c>
      <c r="L7" s="7">
        <v>7</v>
      </c>
      <c r="M7" s="7">
        <v>11</v>
      </c>
      <c r="N7" s="7">
        <v>22</v>
      </c>
      <c r="O7" s="7">
        <v>4</v>
      </c>
      <c r="P7" s="7">
        <v>4</v>
      </c>
      <c r="Q7" s="7">
        <v>16</v>
      </c>
      <c r="R7" s="7">
        <v>18</v>
      </c>
      <c r="S7" s="7">
        <v>6</v>
      </c>
      <c r="T7" s="7">
        <v>11</v>
      </c>
      <c r="U7" s="7">
        <v>9</v>
      </c>
      <c r="V7" s="7">
        <v>16</v>
      </c>
      <c r="W7" s="7">
        <v>11</v>
      </c>
      <c r="X7" s="7">
        <v>10</v>
      </c>
      <c r="Y7" s="7">
        <v>19</v>
      </c>
      <c r="Z7" s="7">
        <v>15</v>
      </c>
      <c r="AA7" s="7">
        <v>15</v>
      </c>
      <c r="AB7" s="7">
        <v>2</v>
      </c>
      <c r="AC7" s="7">
        <v>9</v>
      </c>
      <c r="AD7" s="7"/>
      <c r="AE7" s="7"/>
      <c r="AF7" s="8"/>
      <c r="AG7" s="4">
        <f t="shared" si="2"/>
        <v>309</v>
      </c>
    </row>
    <row r="8" spans="1:33" ht="18.75" x14ac:dyDescent="0.25">
      <c r="A8" s="41" t="s">
        <v>39</v>
      </c>
      <c r="B8" s="7">
        <v>2</v>
      </c>
      <c r="C8" s="7">
        <v>10</v>
      </c>
      <c r="D8" s="7">
        <v>15</v>
      </c>
      <c r="E8" s="7">
        <v>6</v>
      </c>
      <c r="F8" s="7">
        <v>1</v>
      </c>
      <c r="G8" s="7">
        <v>3</v>
      </c>
      <c r="H8" s="7">
        <v>4</v>
      </c>
      <c r="I8" s="7">
        <v>2</v>
      </c>
      <c r="J8" s="7">
        <v>13</v>
      </c>
      <c r="K8" s="7">
        <v>17</v>
      </c>
      <c r="L8" s="7">
        <v>9</v>
      </c>
      <c r="M8" s="7"/>
      <c r="N8" s="7">
        <v>5</v>
      </c>
      <c r="O8" s="7">
        <v>3</v>
      </c>
      <c r="P8" s="7">
        <v>6</v>
      </c>
      <c r="Q8" s="7">
        <v>15</v>
      </c>
      <c r="R8" s="7">
        <v>21</v>
      </c>
      <c r="S8" s="7">
        <v>4</v>
      </c>
      <c r="T8" s="7">
        <v>8</v>
      </c>
      <c r="U8" s="7">
        <v>6</v>
      </c>
      <c r="V8" s="7">
        <v>8</v>
      </c>
      <c r="W8" s="7"/>
      <c r="X8" s="7">
        <v>13</v>
      </c>
      <c r="Y8" s="7">
        <v>12</v>
      </c>
      <c r="Z8" s="7">
        <v>8</v>
      </c>
      <c r="AA8" s="7">
        <v>5</v>
      </c>
      <c r="AB8" s="7">
        <v>9</v>
      </c>
      <c r="AC8" s="7">
        <v>2</v>
      </c>
      <c r="AD8" s="7"/>
      <c r="AE8" s="7"/>
      <c r="AF8" s="8"/>
      <c r="AG8" s="4">
        <f t="shared" si="2"/>
        <v>207</v>
      </c>
    </row>
    <row r="9" spans="1:33" ht="18.75" x14ac:dyDescent="0.25">
      <c r="A9" s="41" t="s">
        <v>40</v>
      </c>
      <c r="B9" s="7">
        <v>2</v>
      </c>
      <c r="C9" s="7">
        <v>9</v>
      </c>
      <c r="D9" s="7">
        <v>6</v>
      </c>
      <c r="E9" s="7">
        <v>1</v>
      </c>
      <c r="F9" s="7">
        <v>4</v>
      </c>
      <c r="G9" s="7">
        <v>5</v>
      </c>
      <c r="H9" s="7">
        <v>1</v>
      </c>
      <c r="I9" s="7"/>
      <c r="J9" s="7">
        <v>9</v>
      </c>
      <c r="K9" s="7">
        <v>9</v>
      </c>
      <c r="L9" s="7">
        <v>4</v>
      </c>
      <c r="M9" s="7">
        <v>5</v>
      </c>
      <c r="N9" s="7">
        <v>4</v>
      </c>
      <c r="O9" s="7">
        <v>2</v>
      </c>
      <c r="P9" s="7">
        <v>2</v>
      </c>
      <c r="Q9" s="7">
        <v>6</v>
      </c>
      <c r="R9" s="7">
        <v>10</v>
      </c>
      <c r="S9" s="7">
        <v>5</v>
      </c>
      <c r="T9" s="7">
        <v>4</v>
      </c>
      <c r="U9" s="7"/>
      <c r="V9" s="7">
        <v>3</v>
      </c>
      <c r="W9" s="7">
        <v>5</v>
      </c>
      <c r="X9" s="7">
        <v>8</v>
      </c>
      <c r="Y9" s="7">
        <v>11</v>
      </c>
      <c r="Z9" s="7">
        <v>4</v>
      </c>
      <c r="AA9" s="7">
        <v>3</v>
      </c>
      <c r="AB9" s="7">
        <v>3</v>
      </c>
      <c r="AC9" s="7">
        <v>3</v>
      </c>
      <c r="AD9" s="7"/>
      <c r="AE9" s="7"/>
      <c r="AF9" s="8"/>
      <c r="AG9" s="4">
        <f t="shared" si="2"/>
        <v>128</v>
      </c>
    </row>
    <row r="10" spans="1:33" ht="18.75" x14ac:dyDescent="0.25">
      <c r="A10" s="41" t="s">
        <v>41</v>
      </c>
      <c r="B10" s="7">
        <v>6</v>
      </c>
      <c r="C10" s="7">
        <v>9</v>
      </c>
      <c r="D10" s="7">
        <v>6</v>
      </c>
      <c r="E10" s="7">
        <v>5</v>
      </c>
      <c r="F10" s="7">
        <v>6</v>
      </c>
      <c r="G10" s="7">
        <v>2</v>
      </c>
      <c r="H10" s="7">
        <v>3</v>
      </c>
      <c r="I10" s="7">
        <v>3</v>
      </c>
      <c r="J10" s="7">
        <v>13</v>
      </c>
      <c r="K10" s="7">
        <v>12</v>
      </c>
      <c r="L10" s="7">
        <v>6</v>
      </c>
      <c r="M10" s="7">
        <v>2</v>
      </c>
      <c r="N10" s="7">
        <v>9</v>
      </c>
      <c r="O10" s="7">
        <v>2</v>
      </c>
      <c r="P10" s="7">
        <v>5</v>
      </c>
      <c r="Q10" s="7">
        <v>13</v>
      </c>
      <c r="R10" s="7">
        <v>8</v>
      </c>
      <c r="S10" s="7">
        <v>7</v>
      </c>
      <c r="T10" s="7">
        <v>3</v>
      </c>
      <c r="U10" s="7">
        <v>4</v>
      </c>
      <c r="V10" s="7">
        <v>3</v>
      </c>
      <c r="W10" s="7">
        <v>2</v>
      </c>
      <c r="X10" s="7">
        <v>12</v>
      </c>
      <c r="Y10" s="7">
        <v>15</v>
      </c>
      <c r="Z10" s="7">
        <v>6</v>
      </c>
      <c r="AA10" s="7">
        <v>6</v>
      </c>
      <c r="AB10" s="7">
        <v>3</v>
      </c>
      <c r="AC10" s="7">
        <v>3</v>
      </c>
      <c r="AD10" s="7"/>
      <c r="AE10" s="7"/>
      <c r="AF10" s="8"/>
      <c r="AG10" s="4">
        <f t="shared" si="2"/>
        <v>174</v>
      </c>
    </row>
    <row r="11" spans="1:33" ht="18.75" x14ac:dyDescent="0.25">
      <c r="A11" s="41" t="s">
        <v>42</v>
      </c>
      <c r="B11" s="7">
        <v>4</v>
      </c>
      <c r="C11" s="7">
        <v>9</v>
      </c>
      <c r="D11" s="7">
        <v>15</v>
      </c>
      <c r="E11" s="7">
        <v>4</v>
      </c>
      <c r="F11" s="7">
        <v>4</v>
      </c>
      <c r="G11" s="7">
        <v>4</v>
      </c>
      <c r="H11" s="7">
        <v>9</v>
      </c>
      <c r="I11" s="7">
        <v>1</v>
      </c>
      <c r="J11" s="7">
        <v>12</v>
      </c>
      <c r="K11" s="7">
        <v>14</v>
      </c>
      <c r="L11" s="7">
        <v>3</v>
      </c>
      <c r="M11" s="7">
        <v>2</v>
      </c>
      <c r="N11" s="7">
        <v>5</v>
      </c>
      <c r="O11" s="7">
        <v>4</v>
      </c>
      <c r="P11" s="7">
        <v>3</v>
      </c>
      <c r="Q11" s="7">
        <v>16</v>
      </c>
      <c r="R11" s="7">
        <v>8</v>
      </c>
      <c r="S11" s="7">
        <v>5</v>
      </c>
      <c r="T11" s="7">
        <v>8</v>
      </c>
      <c r="U11" s="7">
        <v>3</v>
      </c>
      <c r="V11" s="7">
        <v>4</v>
      </c>
      <c r="W11" s="7">
        <v>4</v>
      </c>
      <c r="X11" s="7">
        <v>12</v>
      </c>
      <c r="Y11" s="7">
        <v>11</v>
      </c>
      <c r="Z11" s="7">
        <v>7</v>
      </c>
      <c r="AA11" s="7">
        <v>2</v>
      </c>
      <c r="AB11" s="7">
        <v>8</v>
      </c>
      <c r="AC11" s="7">
        <v>1</v>
      </c>
      <c r="AD11" s="7"/>
      <c r="AE11" s="7"/>
      <c r="AF11" s="8"/>
      <c r="AG11" s="4">
        <f t="shared" si="2"/>
        <v>182</v>
      </c>
    </row>
    <row r="12" spans="1:33" ht="18.75" x14ac:dyDescent="0.25">
      <c r="A12" s="41" t="s">
        <v>43</v>
      </c>
      <c r="B12" s="7">
        <v>10</v>
      </c>
      <c r="C12" s="7">
        <v>14</v>
      </c>
      <c r="D12" s="7">
        <v>16</v>
      </c>
      <c r="E12" s="7">
        <v>8</v>
      </c>
      <c r="F12" s="7">
        <v>1</v>
      </c>
      <c r="G12" s="7">
        <v>6</v>
      </c>
      <c r="H12" s="7">
        <v>7</v>
      </c>
      <c r="I12" s="7">
        <v>10</v>
      </c>
      <c r="J12" s="7">
        <v>16</v>
      </c>
      <c r="K12" s="7">
        <v>12</v>
      </c>
      <c r="L12" s="7">
        <v>3</v>
      </c>
      <c r="M12" s="7">
        <v>3</v>
      </c>
      <c r="N12" s="7">
        <v>3</v>
      </c>
      <c r="O12" s="7">
        <v>2</v>
      </c>
      <c r="P12" s="7">
        <v>3</v>
      </c>
      <c r="Q12" s="7">
        <v>15</v>
      </c>
      <c r="R12" s="7">
        <v>18</v>
      </c>
      <c r="S12" s="7">
        <v>10</v>
      </c>
      <c r="T12" s="7">
        <v>4</v>
      </c>
      <c r="U12" s="7">
        <v>4</v>
      </c>
      <c r="V12" s="7">
        <v>3</v>
      </c>
      <c r="W12" s="7">
        <v>13</v>
      </c>
      <c r="X12" s="7">
        <v>11</v>
      </c>
      <c r="Y12" s="7">
        <v>16</v>
      </c>
      <c r="Z12" s="7">
        <v>6</v>
      </c>
      <c r="AA12" s="7">
        <v>1</v>
      </c>
      <c r="AB12" s="7">
        <v>5</v>
      </c>
      <c r="AC12" s="7">
        <v>1</v>
      </c>
      <c r="AD12" s="7"/>
      <c r="AE12" s="7"/>
      <c r="AF12" s="8"/>
      <c r="AG12" s="4">
        <f t="shared" si="2"/>
        <v>221</v>
      </c>
    </row>
    <row r="13" spans="1:33" ht="18.75" x14ac:dyDescent="0.25">
      <c r="A13" s="41" t="s">
        <v>44</v>
      </c>
      <c r="B13" s="7">
        <v>34</v>
      </c>
      <c r="C13" s="7">
        <v>20</v>
      </c>
      <c r="D13" s="7">
        <v>13</v>
      </c>
      <c r="E13" s="7">
        <v>43</v>
      </c>
      <c r="F13" s="7">
        <v>36</v>
      </c>
      <c r="G13" s="7">
        <v>41</v>
      </c>
      <c r="H13" s="7">
        <v>43</v>
      </c>
      <c r="I13" s="7">
        <v>33</v>
      </c>
      <c r="J13" s="7">
        <v>19</v>
      </c>
      <c r="K13" s="7">
        <v>16</v>
      </c>
      <c r="L13" s="7">
        <v>62</v>
      </c>
      <c r="M13" s="7">
        <v>49</v>
      </c>
      <c r="N13" s="7">
        <v>28</v>
      </c>
      <c r="O13" s="7">
        <v>52</v>
      </c>
      <c r="P13" s="7">
        <v>36</v>
      </c>
      <c r="Q13" s="7">
        <v>15</v>
      </c>
      <c r="R13" s="7">
        <v>12</v>
      </c>
      <c r="S13" s="7">
        <v>51</v>
      </c>
      <c r="T13" s="7">
        <v>47</v>
      </c>
      <c r="U13" s="7">
        <v>41</v>
      </c>
      <c r="V13" s="7">
        <v>48</v>
      </c>
      <c r="W13" s="7">
        <v>31</v>
      </c>
      <c r="X13" s="7">
        <v>15</v>
      </c>
      <c r="Y13" s="7">
        <v>13</v>
      </c>
      <c r="Z13" s="7">
        <v>50</v>
      </c>
      <c r="AA13" s="7">
        <v>48</v>
      </c>
      <c r="AB13" s="7">
        <v>47</v>
      </c>
      <c r="AC13" s="7">
        <v>56</v>
      </c>
      <c r="AD13" s="7"/>
      <c r="AE13" s="7"/>
      <c r="AF13" s="8"/>
      <c r="AG13" s="4">
        <f t="shared" si="2"/>
        <v>999</v>
      </c>
    </row>
    <row r="14" spans="1:33" ht="18.75" x14ac:dyDescent="0.25">
      <c r="A14" s="41" t="s">
        <v>45</v>
      </c>
      <c r="B14" s="7">
        <v>14</v>
      </c>
      <c r="C14" s="7">
        <v>21</v>
      </c>
      <c r="D14" s="7">
        <v>11</v>
      </c>
      <c r="E14" s="7">
        <v>32</v>
      </c>
      <c r="F14" s="7">
        <v>17</v>
      </c>
      <c r="G14" s="7">
        <v>21</v>
      </c>
      <c r="H14" s="7">
        <v>24</v>
      </c>
      <c r="I14" s="7">
        <v>13</v>
      </c>
      <c r="J14" s="7">
        <v>22</v>
      </c>
      <c r="K14" s="7">
        <v>19</v>
      </c>
      <c r="L14" s="7">
        <v>31</v>
      </c>
      <c r="M14" s="7">
        <v>16</v>
      </c>
      <c r="N14" s="7">
        <v>14</v>
      </c>
      <c r="O14" s="7">
        <v>17</v>
      </c>
      <c r="P14" s="7">
        <v>19</v>
      </c>
      <c r="Q14" s="7">
        <v>16</v>
      </c>
      <c r="R14" s="7">
        <v>15</v>
      </c>
      <c r="S14" s="7">
        <v>25</v>
      </c>
      <c r="T14" s="7">
        <v>23</v>
      </c>
      <c r="U14" s="7">
        <v>26</v>
      </c>
      <c r="V14" s="7">
        <v>14</v>
      </c>
      <c r="W14" s="7">
        <v>19</v>
      </c>
      <c r="X14" s="7">
        <v>15</v>
      </c>
      <c r="Y14" s="7">
        <v>9</v>
      </c>
      <c r="Z14" s="7">
        <v>29</v>
      </c>
      <c r="AA14" s="7">
        <v>18</v>
      </c>
      <c r="AB14" s="7">
        <v>17</v>
      </c>
      <c r="AC14" s="7">
        <v>27</v>
      </c>
      <c r="AD14" s="7"/>
      <c r="AE14" s="7"/>
      <c r="AF14" s="8"/>
      <c r="AG14" s="4">
        <f t="shared" si="2"/>
        <v>544</v>
      </c>
    </row>
    <row r="15" spans="1:33" ht="18.75" x14ac:dyDescent="0.25">
      <c r="A15" s="41" t="s">
        <v>46</v>
      </c>
      <c r="B15" s="7">
        <v>11</v>
      </c>
      <c r="C15" s="7">
        <v>10</v>
      </c>
      <c r="D15" s="7">
        <v>13</v>
      </c>
      <c r="E15" s="7">
        <v>20</v>
      </c>
      <c r="F15" s="7">
        <v>23</v>
      </c>
      <c r="G15" s="7">
        <v>12</v>
      </c>
      <c r="H15" s="7">
        <v>11</v>
      </c>
      <c r="I15" s="7">
        <v>19</v>
      </c>
      <c r="J15" s="7">
        <v>15</v>
      </c>
      <c r="K15" s="7">
        <v>12</v>
      </c>
      <c r="L15" s="7">
        <v>22</v>
      </c>
      <c r="M15" s="7">
        <v>14</v>
      </c>
      <c r="N15" s="7">
        <v>17</v>
      </c>
      <c r="O15" s="7">
        <v>24</v>
      </c>
      <c r="P15" s="7">
        <v>8</v>
      </c>
      <c r="Q15" s="7">
        <v>10</v>
      </c>
      <c r="R15" s="7">
        <v>15</v>
      </c>
      <c r="S15" s="7">
        <v>21</v>
      </c>
      <c r="T15" s="7">
        <v>14</v>
      </c>
      <c r="U15" s="7">
        <v>20</v>
      </c>
      <c r="V15" s="7">
        <v>22</v>
      </c>
      <c r="W15" s="7">
        <v>16</v>
      </c>
      <c r="X15" s="7">
        <v>22</v>
      </c>
      <c r="Y15" s="7">
        <v>12</v>
      </c>
      <c r="Z15" s="7">
        <v>15</v>
      </c>
      <c r="AA15" s="7">
        <v>21</v>
      </c>
      <c r="AB15" s="7">
        <v>17</v>
      </c>
      <c r="AC15" s="7">
        <v>12</v>
      </c>
      <c r="AD15" s="7"/>
      <c r="AE15" s="7"/>
      <c r="AF15" s="8"/>
      <c r="AG15" s="4">
        <f t="shared" si="2"/>
        <v>448</v>
      </c>
    </row>
    <row r="16" spans="1:33" ht="18.75" x14ac:dyDescent="0.25">
      <c r="A16" s="41" t="s">
        <v>47</v>
      </c>
      <c r="B16" s="7">
        <v>11</v>
      </c>
      <c r="C16" s="7">
        <v>10</v>
      </c>
      <c r="D16" s="7">
        <v>13</v>
      </c>
      <c r="E16" s="7">
        <v>22</v>
      </c>
      <c r="F16" s="7">
        <v>28</v>
      </c>
      <c r="G16" s="7">
        <v>19</v>
      </c>
      <c r="H16" s="7">
        <v>15</v>
      </c>
      <c r="I16" s="7">
        <v>14</v>
      </c>
      <c r="J16" s="7">
        <v>12</v>
      </c>
      <c r="K16" s="7">
        <v>14</v>
      </c>
      <c r="L16" s="7">
        <v>12</v>
      </c>
      <c r="M16" s="7">
        <v>12</v>
      </c>
      <c r="N16" s="7">
        <v>22</v>
      </c>
      <c r="O16" s="7">
        <v>13</v>
      </c>
      <c r="P16" s="7">
        <v>18</v>
      </c>
      <c r="Q16" s="7">
        <v>17</v>
      </c>
      <c r="R16" s="7">
        <v>14</v>
      </c>
      <c r="S16" s="7">
        <v>20</v>
      </c>
      <c r="T16" s="7">
        <v>17</v>
      </c>
      <c r="U16" s="7">
        <v>20</v>
      </c>
      <c r="V16" s="7">
        <v>15</v>
      </c>
      <c r="W16" s="7">
        <v>16</v>
      </c>
      <c r="X16" s="7">
        <v>9</v>
      </c>
      <c r="Y16" s="7">
        <v>13</v>
      </c>
      <c r="Z16" s="7">
        <v>20</v>
      </c>
      <c r="AA16" s="7">
        <v>21</v>
      </c>
      <c r="AB16" s="7">
        <v>19</v>
      </c>
      <c r="AC16" s="7">
        <v>20</v>
      </c>
      <c r="AD16" s="7"/>
      <c r="AE16" s="7"/>
      <c r="AF16" s="8"/>
      <c r="AG16" s="4">
        <f t="shared" si="2"/>
        <v>456</v>
      </c>
    </row>
    <row r="17" spans="1:33" ht="18.75" x14ac:dyDescent="0.25">
      <c r="A17" s="41" t="s">
        <v>48</v>
      </c>
      <c r="B17" s="7">
        <v>11</v>
      </c>
      <c r="C17" s="7">
        <v>11</v>
      </c>
      <c r="D17" s="7">
        <v>16</v>
      </c>
      <c r="E17" s="7">
        <v>21</v>
      </c>
      <c r="F17" s="7">
        <v>25</v>
      </c>
      <c r="G17" s="7">
        <v>22</v>
      </c>
      <c r="H17" s="7">
        <v>11</v>
      </c>
      <c r="I17" s="7">
        <v>20</v>
      </c>
      <c r="J17" s="7">
        <v>16</v>
      </c>
      <c r="K17" s="7">
        <v>14</v>
      </c>
      <c r="L17" s="7">
        <v>25</v>
      </c>
      <c r="M17" s="7">
        <v>15</v>
      </c>
      <c r="N17" s="7">
        <v>19</v>
      </c>
      <c r="O17" s="7">
        <v>13</v>
      </c>
      <c r="P17" s="7">
        <v>17</v>
      </c>
      <c r="Q17" s="7">
        <v>11</v>
      </c>
      <c r="R17" s="7">
        <v>20</v>
      </c>
      <c r="S17" s="7">
        <v>12</v>
      </c>
      <c r="T17" s="7">
        <v>9</v>
      </c>
      <c r="U17" s="7">
        <v>21</v>
      </c>
      <c r="V17" s="7">
        <v>21</v>
      </c>
      <c r="W17" s="7">
        <v>11</v>
      </c>
      <c r="X17" s="7">
        <v>15</v>
      </c>
      <c r="Y17" s="7">
        <v>9</v>
      </c>
      <c r="Z17" s="7">
        <v>20</v>
      </c>
      <c r="AA17" s="7">
        <v>18</v>
      </c>
      <c r="AB17" s="7">
        <v>12</v>
      </c>
      <c r="AC17" s="7">
        <v>13</v>
      </c>
      <c r="AD17" s="7"/>
      <c r="AE17" s="7"/>
      <c r="AF17" s="8"/>
      <c r="AG17" s="4">
        <f t="shared" si="2"/>
        <v>448</v>
      </c>
    </row>
    <row r="18" spans="1:33" ht="18.75" x14ac:dyDescent="0.25">
      <c r="A18" s="41" t="s">
        <v>49</v>
      </c>
      <c r="B18" s="7">
        <v>11</v>
      </c>
      <c r="C18" s="7">
        <v>13</v>
      </c>
      <c r="D18" s="7">
        <v>24</v>
      </c>
      <c r="E18" s="7">
        <v>17</v>
      </c>
      <c r="F18" s="7">
        <v>16</v>
      </c>
      <c r="G18" s="7">
        <v>17</v>
      </c>
      <c r="H18" s="7">
        <v>11</v>
      </c>
      <c r="I18" s="7">
        <v>17</v>
      </c>
      <c r="J18" s="7">
        <v>16</v>
      </c>
      <c r="K18" s="7">
        <v>11</v>
      </c>
      <c r="L18" s="7">
        <v>11</v>
      </c>
      <c r="M18" s="7">
        <v>11</v>
      </c>
      <c r="N18" s="7">
        <v>21</v>
      </c>
      <c r="O18" s="7">
        <v>15</v>
      </c>
      <c r="P18" s="7">
        <v>15</v>
      </c>
      <c r="Q18" s="7">
        <v>13</v>
      </c>
      <c r="R18" s="7">
        <v>7</v>
      </c>
      <c r="S18" s="7">
        <v>16</v>
      </c>
      <c r="T18" s="7">
        <v>11</v>
      </c>
      <c r="U18" s="7">
        <v>27</v>
      </c>
      <c r="V18" s="7">
        <v>13</v>
      </c>
      <c r="W18" s="7">
        <v>9</v>
      </c>
      <c r="X18" s="7">
        <v>19</v>
      </c>
      <c r="Y18" s="7">
        <v>16</v>
      </c>
      <c r="Z18" s="7">
        <v>16</v>
      </c>
      <c r="AA18" s="7">
        <v>11</v>
      </c>
      <c r="AB18" s="7">
        <v>13</v>
      </c>
      <c r="AC18" s="7">
        <v>11</v>
      </c>
      <c r="AD18" s="7"/>
      <c r="AE18" s="7"/>
      <c r="AF18" s="8"/>
      <c r="AG18" s="4">
        <f t="shared" si="2"/>
        <v>408</v>
      </c>
    </row>
    <row r="19" spans="1:33" ht="18.75" x14ac:dyDescent="0.25">
      <c r="A19" s="41" t="s">
        <v>50</v>
      </c>
      <c r="B19" s="7">
        <v>17</v>
      </c>
      <c r="C19" s="7">
        <v>12</v>
      </c>
      <c r="D19" s="7">
        <v>10</v>
      </c>
      <c r="E19" s="7">
        <v>16</v>
      </c>
      <c r="F19" s="7">
        <v>12</v>
      </c>
      <c r="G19" s="7">
        <v>11</v>
      </c>
      <c r="H19" s="7">
        <v>12</v>
      </c>
      <c r="I19" s="7">
        <v>14</v>
      </c>
      <c r="J19" s="7">
        <v>11</v>
      </c>
      <c r="K19" s="7">
        <v>11</v>
      </c>
      <c r="L19" s="7">
        <v>15</v>
      </c>
      <c r="M19" s="7">
        <v>10</v>
      </c>
      <c r="N19" s="7">
        <v>4</v>
      </c>
      <c r="O19" s="7">
        <v>10</v>
      </c>
      <c r="P19" s="7">
        <v>7</v>
      </c>
      <c r="Q19" s="7">
        <v>11</v>
      </c>
      <c r="R19" s="7">
        <v>9</v>
      </c>
      <c r="S19" s="7">
        <v>10</v>
      </c>
      <c r="T19" s="7">
        <v>14</v>
      </c>
      <c r="U19" s="7">
        <v>8</v>
      </c>
      <c r="V19" s="7">
        <v>7</v>
      </c>
      <c r="W19" s="7">
        <v>15</v>
      </c>
      <c r="X19" s="7">
        <v>10</v>
      </c>
      <c r="Y19" s="7">
        <v>8</v>
      </c>
      <c r="Z19" s="7">
        <v>8</v>
      </c>
      <c r="AA19" s="7">
        <v>8</v>
      </c>
      <c r="AB19" s="7">
        <v>8</v>
      </c>
      <c r="AC19" s="7">
        <v>11</v>
      </c>
      <c r="AD19" s="7"/>
      <c r="AE19" s="7"/>
      <c r="AF19" s="8"/>
      <c r="AG19" s="4">
        <f t="shared" si="2"/>
        <v>299</v>
      </c>
    </row>
    <row r="20" spans="1:33" ht="18.75" x14ac:dyDescent="0.25">
      <c r="A20" s="41" t="s">
        <v>33</v>
      </c>
      <c r="B20" s="7">
        <v>12</v>
      </c>
      <c r="C20" s="7">
        <v>6</v>
      </c>
      <c r="D20" s="7">
        <v>5</v>
      </c>
      <c r="E20" s="7">
        <v>6</v>
      </c>
      <c r="F20" s="7">
        <v>10</v>
      </c>
      <c r="G20" s="7">
        <v>5</v>
      </c>
      <c r="H20" s="7">
        <v>6</v>
      </c>
      <c r="I20" s="7">
        <v>5</v>
      </c>
      <c r="J20" s="7">
        <v>12</v>
      </c>
      <c r="K20" s="7">
        <v>6</v>
      </c>
      <c r="L20" s="7">
        <v>5</v>
      </c>
      <c r="M20" s="7">
        <v>4</v>
      </c>
      <c r="N20" s="7">
        <v>4</v>
      </c>
      <c r="O20" s="7">
        <v>6</v>
      </c>
      <c r="P20" s="7">
        <v>8</v>
      </c>
      <c r="Q20" s="7">
        <v>7</v>
      </c>
      <c r="R20" s="7">
        <v>8</v>
      </c>
      <c r="S20" s="7">
        <v>11</v>
      </c>
      <c r="T20" s="7">
        <v>9</v>
      </c>
      <c r="U20" s="7">
        <v>5</v>
      </c>
      <c r="V20" s="7">
        <v>6</v>
      </c>
      <c r="W20" s="7">
        <v>7</v>
      </c>
      <c r="X20" s="7">
        <v>6</v>
      </c>
      <c r="Y20" s="7">
        <v>5</v>
      </c>
      <c r="Z20" s="7">
        <v>5</v>
      </c>
      <c r="AA20" s="7">
        <v>8</v>
      </c>
      <c r="AB20" s="7">
        <v>3</v>
      </c>
      <c r="AC20" s="7">
        <v>2</v>
      </c>
      <c r="AD20" s="7"/>
      <c r="AE20" s="7"/>
      <c r="AF20" s="8"/>
      <c r="AG20" s="4">
        <f t="shared" si="2"/>
        <v>182</v>
      </c>
    </row>
    <row r="21" spans="1:33" ht="18.75" x14ac:dyDescent="0.25">
      <c r="A21" s="41" t="s">
        <v>34</v>
      </c>
      <c r="B21" s="7">
        <v>6</v>
      </c>
      <c r="C21" s="7">
        <v>8</v>
      </c>
      <c r="D21" s="7">
        <v>3</v>
      </c>
      <c r="E21" s="7">
        <v>7</v>
      </c>
      <c r="F21" s="7">
        <v>4</v>
      </c>
      <c r="G21" s="7">
        <v>6</v>
      </c>
      <c r="H21" s="7">
        <v>2</v>
      </c>
      <c r="I21" s="7">
        <v>3</v>
      </c>
      <c r="J21" s="7">
        <v>7</v>
      </c>
      <c r="K21" s="7">
        <v>2</v>
      </c>
      <c r="L21" s="7">
        <v>4</v>
      </c>
      <c r="M21" s="7">
        <v>2</v>
      </c>
      <c r="N21" s="7">
        <v>4</v>
      </c>
      <c r="O21" s="7">
        <v>7</v>
      </c>
      <c r="P21" s="7">
        <v>5</v>
      </c>
      <c r="Q21" s="7">
        <v>5</v>
      </c>
      <c r="R21" s="7">
        <v>7</v>
      </c>
      <c r="S21" s="7">
        <v>2</v>
      </c>
      <c r="T21" s="7">
        <v>6</v>
      </c>
      <c r="U21" s="7">
        <v>5</v>
      </c>
      <c r="V21" s="7">
        <v>4</v>
      </c>
      <c r="W21" s="7">
        <v>1</v>
      </c>
      <c r="X21" s="7">
        <v>4</v>
      </c>
      <c r="Y21" s="7">
        <v>8</v>
      </c>
      <c r="Z21" s="7">
        <v>4</v>
      </c>
      <c r="AA21" s="7">
        <v>7</v>
      </c>
      <c r="AB21" s="7">
        <v>4</v>
      </c>
      <c r="AC21" s="7">
        <v>1</v>
      </c>
      <c r="AD21" s="7"/>
      <c r="AE21" s="7"/>
      <c r="AF21" s="8"/>
      <c r="AG21" s="4">
        <f t="shared" si="2"/>
        <v>128</v>
      </c>
    </row>
    <row r="22" spans="1:33" ht="18.75" x14ac:dyDescent="0.25">
      <c r="A22" s="41" t="s">
        <v>35</v>
      </c>
      <c r="B22" s="7">
        <v>4</v>
      </c>
      <c r="C22" s="7">
        <v>7</v>
      </c>
      <c r="D22" s="7">
        <v>2</v>
      </c>
      <c r="E22" s="7">
        <v>4</v>
      </c>
      <c r="F22" s="7">
        <v>2</v>
      </c>
      <c r="G22" s="7">
        <v>2</v>
      </c>
      <c r="H22" s="7">
        <v>5</v>
      </c>
      <c r="I22" s="7">
        <v>2</v>
      </c>
      <c r="J22" s="7">
        <v>7</v>
      </c>
      <c r="K22" s="7">
        <v>5</v>
      </c>
      <c r="L22" s="7">
        <v>5</v>
      </c>
      <c r="M22" s="7">
        <v>4</v>
      </c>
      <c r="N22" s="7">
        <v>1</v>
      </c>
      <c r="O22" s="7">
        <v>4</v>
      </c>
      <c r="P22" s="7">
        <v>5</v>
      </c>
      <c r="Q22" s="7">
        <v>2</v>
      </c>
      <c r="R22" s="7">
        <v>4</v>
      </c>
      <c r="S22" s="7">
        <v>2</v>
      </c>
      <c r="T22" s="7">
        <v>5</v>
      </c>
      <c r="U22" s="7">
        <v>1</v>
      </c>
      <c r="V22" s="7">
        <v>2</v>
      </c>
      <c r="W22" s="7"/>
      <c r="X22" s="7">
        <v>1</v>
      </c>
      <c r="Y22" s="7">
        <v>1</v>
      </c>
      <c r="Z22" s="7">
        <v>2</v>
      </c>
      <c r="AA22" s="7">
        <v>3</v>
      </c>
      <c r="AB22" s="7">
        <v>3</v>
      </c>
      <c r="AC22" s="7">
        <v>2</v>
      </c>
      <c r="AD22" s="7"/>
      <c r="AE22" s="7"/>
      <c r="AF22" s="8"/>
      <c r="AG22" s="4">
        <f t="shared" si="2"/>
        <v>87</v>
      </c>
    </row>
    <row r="23" spans="1:33" ht="18.75" x14ac:dyDescent="0.25">
      <c r="A23" s="41" t="s">
        <v>36</v>
      </c>
      <c r="B23" s="7"/>
      <c r="C23" s="7">
        <v>5</v>
      </c>
      <c r="D23" s="7">
        <v>2</v>
      </c>
      <c r="E23" s="7"/>
      <c r="F23" s="7">
        <v>2</v>
      </c>
      <c r="G23" s="7">
        <v>6</v>
      </c>
      <c r="H23" s="7">
        <v>2</v>
      </c>
      <c r="I23" s="7"/>
      <c r="J23" s="7">
        <v>3</v>
      </c>
      <c r="K23" s="7">
        <v>6</v>
      </c>
      <c r="L23" s="7"/>
      <c r="M23" s="7">
        <v>1</v>
      </c>
      <c r="N23" s="7">
        <v>5</v>
      </c>
      <c r="O23" s="7">
        <v>3</v>
      </c>
      <c r="P23" s="7"/>
      <c r="Q23" s="7">
        <v>5</v>
      </c>
      <c r="R23" s="7">
        <v>2</v>
      </c>
      <c r="S23" s="7">
        <v>1</v>
      </c>
      <c r="T23" s="7"/>
      <c r="U23" s="7">
        <v>1</v>
      </c>
      <c r="V23" s="7">
        <v>3</v>
      </c>
      <c r="W23" s="7">
        <v>1</v>
      </c>
      <c r="X23" s="7">
        <v>2</v>
      </c>
      <c r="Y23" s="7">
        <v>3</v>
      </c>
      <c r="Z23" s="7">
        <v>2</v>
      </c>
      <c r="AA23" s="7">
        <v>5</v>
      </c>
      <c r="AB23" s="7">
        <v>1</v>
      </c>
      <c r="AC23" s="7"/>
      <c r="AD23" s="7"/>
      <c r="AE23" s="7"/>
      <c r="AF23" s="8"/>
      <c r="AG23" s="4">
        <f t="shared" si="2"/>
        <v>61</v>
      </c>
    </row>
    <row r="24" spans="1:33" ht="18.75" x14ac:dyDescent="0.25">
      <c r="A24" s="41" t="s">
        <v>51</v>
      </c>
      <c r="B24" s="7">
        <v>5</v>
      </c>
      <c r="C24" s="7"/>
      <c r="D24" s="7"/>
      <c r="E24" s="7">
        <v>2</v>
      </c>
      <c r="F24" s="7">
        <v>2</v>
      </c>
      <c r="G24" s="7">
        <v>3</v>
      </c>
      <c r="H24" s="7">
        <v>2</v>
      </c>
      <c r="I24" s="7"/>
      <c r="J24" s="7">
        <v>3</v>
      </c>
      <c r="K24" s="7"/>
      <c r="L24" s="7">
        <v>2</v>
      </c>
      <c r="M24" s="7">
        <v>1</v>
      </c>
      <c r="N24" s="7"/>
      <c r="O24" s="7">
        <v>3</v>
      </c>
      <c r="P24" s="7">
        <v>2</v>
      </c>
      <c r="Q24" s="7">
        <v>6</v>
      </c>
      <c r="R24" s="7">
        <v>2</v>
      </c>
      <c r="S24" s="7">
        <v>4</v>
      </c>
      <c r="T24" s="7">
        <v>1</v>
      </c>
      <c r="U24" s="7">
        <v>1</v>
      </c>
      <c r="V24" s="7">
        <v>1</v>
      </c>
      <c r="W24" s="7">
        <v>3</v>
      </c>
      <c r="X24" s="7"/>
      <c r="Y24" s="7">
        <v>2</v>
      </c>
      <c r="Z24" s="7"/>
      <c r="AA24" s="7">
        <v>1</v>
      </c>
      <c r="AB24" s="7">
        <v>5</v>
      </c>
      <c r="AC24" s="7">
        <v>2</v>
      </c>
      <c r="AD24" s="7"/>
      <c r="AE24" s="7"/>
      <c r="AF24" s="8"/>
      <c r="AG24" s="4">
        <f t="shared" si="2"/>
        <v>53</v>
      </c>
    </row>
    <row r="25" spans="1:33" ht="18.75" x14ac:dyDescent="0.25">
      <c r="A25" s="41" t="s">
        <v>52</v>
      </c>
      <c r="B25" s="7">
        <v>2</v>
      </c>
      <c r="C25" s="7"/>
      <c r="D25" s="7"/>
      <c r="E25" s="7">
        <v>2</v>
      </c>
      <c r="F25" s="7">
        <v>1</v>
      </c>
      <c r="G25" s="7">
        <v>3</v>
      </c>
      <c r="H25" s="7">
        <v>3</v>
      </c>
      <c r="I25" s="7"/>
      <c r="J25" s="7"/>
      <c r="K25" s="7">
        <v>3</v>
      </c>
      <c r="L25" s="7">
        <v>2</v>
      </c>
      <c r="M25" s="7"/>
      <c r="N25" s="7"/>
      <c r="O25" s="7">
        <v>2</v>
      </c>
      <c r="P25" s="7">
        <v>2</v>
      </c>
      <c r="Q25" s="7">
        <v>1</v>
      </c>
      <c r="R25" s="7">
        <v>2</v>
      </c>
      <c r="S25" s="7">
        <v>2</v>
      </c>
      <c r="T25" s="7">
        <v>1</v>
      </c>
      <c r="U25" s="7">
        <v>2</v>
      </c>
      <c r="V25" s="7"/>
      <c r="W25" s="7">
        <v>1</v>
      </c>
      <c r="X25" s="7">
        <v>4</v>
      </c>
      <c r="Y25" s="7"/>
      <c r="Z25" s="7">
        <v>3</v>
      </c>
      <c r="AA25" s="7">
        <v>2</v>
      </c>
      <c r="AB25" s="7">
        <v>3</v>
      </c>
      <c r="AC25" s="7">
        <v>2</v>
      </c>
      <c r="AD25" s="7"/>
      <c r="AE25" s="7"/>
      <c r="AF25" s="8"/>
      <c r="AG25" s="4">
        <f t="shared" si="2"/>
        <v>43</v>
      </c>
    </row>
    <row r="26" spans="1:33" ht="18.75" x14ac:dyDescent="0.25">
      <c r="A26" s="41" t="s">
        <v>37</v>
      </c>
      <c r="B26" s="7">
        <v>2</v>
      </c>
      <c r="C26" s="7"/>
      <c r="D26" s="7">
        <v>1</v>
      </c>
      <c r="E26" s="7">
        <v>1</v>
      </c>
      <c r="F26" s="7"/>
      <c r="G26" s="7"/>
      <c r="H26" s="7">
        <v>1</v>
      </c>
      <c r="I26" s="7">
        <v>1</v>
      </c>
      <c r="J26" s="7">
        <v>1</v>
      </c>
      <c r="K26" s="7">
        <v>2</v>
      </c>
      <c r="L26" s="7"/>
      <c r="M26" s="7"/>
      <c r="N26" s="7"/>
      <c r="O26" s="7">
        <v>2</v>
      </c>
      <c r="P26" s="7"/>
      <c r="Q26" s="7">
        <v>4</v>
      </c>
      <c r="R26" s="7">
        <v>5</v>
      </c>
      <c r="S26" s="7">
        <v>1</v>
      </c>
      <c r="T26" s="7">
        <v>2</v>
      </c>
      <c r="U26" s="7">
        <v>1</v>
      </c>
      <c r="V26" s="7"/>
      <c r="W26" s="7">
        <v>1</v>
      </c>
      <c r="X26" s="7">
        <v>1</v>
      </c>
      <c r="Y26" s="7">
        <v>1</v>
      </c>
      <c r="Z26" s="7">
        <v>3</v>
      </c>
      <c r="AA26" s="7">
        <v>2</v>
      </c>
      <c r="AB26" s="7"/>
      <c r="AC26" s="7">
        <v>3</v>
      </c>
      <c r="AD26" s="7"/>
      <c r="AE26" s="7"/>
      <c r="AF26" s="8"/>
      <c r="AG26" s="4">
        <f t="shared" si="2"/>
        <v>35</v>
      </c>
    </row>
    <row r="27" spans="1:33" ht="19.5" thickBot="1" x14ac:dyDescent="0.3">
      <c r="A27" s="81" t="s">
        <v>53</v>
      </c>
      <c r="B27" s="78">
        <v>4</v>
      </c>
      <c r="C27" s="78">
        <v>1</v>
      </c>
      <c r="D27" s="78">
        <v>1</v>
      </c>
      <c r="E27" s="78">
        <v>1</v>
      </c>
      <c r="F27" s="78"/>
      <c r="G27" s="78"/>
      <c r="H27" s="78">
        <v>1</v>
      </c>
      <c r="I27" s="78">
        <v>4</v>
      </c>
      <c r="J27" s="78">
        <v>2</v>
      </c>
      <c r="K27" s="78">
        <v>2</v>
      </c>
      <c r="L27" s="78"/>
      <c r="M27" s="78"/>
      <c r="N27" s="78"/>
      <c r="O27" s="78"/>
      <c r="P27" s="78">
        <v>2</v>
      </c>
      <c r="Q27" s="78">
        <v>5</v>
      </c>
      <c r="R27" s="78">
        <v>1</v>
      </c>
      <c r="S27" s="78"/>
      <c r="T27" s="78">
        <v>2</v>
      </c>
      <c r="U27" s="78"/>
      <c r="V27" s="78"/>
      <c r="W27" s="78">
        <v>6</v>
      </c>
      <c r="X27" s="78">
        <v>6</v>
      </c>
      <c r="Y27" s="78"/>
      <c r="Z27" s="78"/>
      <c r="AA27" s="78"/>
      <c r="AB27" s="78"/>
      <c r="AC27" s="78"/>
      <c r="AD27" s="78"/>
      <c r="AE27" s="78"/>
      <c r="AF27" s="83"/>
      <c r="AG27" s="4">
        <f t="shared" si="2"/>
        <v>38</v>
      </c>
    </row>
    <row r="28" spans="1:33" ht="18.75" x14ac:dyDescent="0.25">
      <c r="A28" s="79" t="s">
        <v>107</v>
      </c>
      <c r="B28" s="80">
        <f>SUM(B29:B52)</f>
        <v>167</v>
      </c>
      <c r="C28" s="80">
        <f t="shared" ref="C28:AF28" si="3">SUM(C29:C52)</f>
        <v>218</v>
      </c>
      <c r="D28" s="80">
        <f t="shared" si="3"/>
        <v>210</v>
      </c>
      <c r="E28" s="80">
        <f t="shared" si="3"/>
        <v>206</v>
      </c>
      <c r="F28" s="80">
        <f t="shared" si="3"/>
        <v>170</v>
      </c>
      <c r="G28" s="80">
        <f t="shared" si="3"/>
        <v>185</v>
      </c>
      <c r="H28" s="80">
        <f t="shared" si="3"/>
        <v>173</v>
      </c>
      <c r="I28" s="80">
        <f t="shared" si="3"/>
        <v>151</v>
      </c>
      <c r="J28" s="80">
        <f t="shared" si="3"/>
        <v>241</v>
      </c>
      <c r="K28" s="80">
        <f t="shared" si="3"/>
        <v>218</v>
      </c>
      <c r="L28" s="80">
        <f t="shared" si="3"/>
        <v>201</v>
      </c>
      <c r="M28" s="80">
        <f t="shared" si="3"/>
        <v>152</v>
      </c>
      <c r="N28" s="80">
        <f t="shared" si="3"/>
        <v>181</v>
      </c>
      <c r="O28" s="80">
        <f t="shared" si="3"/>
        <v>169</v>
      </c>
      <c r="P28" s="80">
        <f t="shared" si="3"/>
        <v>162</v>
      </c>
      <c r="Q28" s="80">
        <f t="shared" si="3"/>
        <v>224</v>
      </c>
      <c r="R28" s="80">
        <f t="shared" si="3"/>
        <v>211</v>
      </c>
      <c r="S28" s="80">
        <f t="shared" si="3"/>
        <v>199</v>
      </c>
      <c r="T28" s="80">
        <f t="shared" si="3"/>
        <v>176</v>
      </c>
      <c r="U28" s="80">
        <f t="shared" si="3"/>
        <v>200</v>
      </c>
      <c r="V28" s="80">
        <f t="shared" si="3"/>
        <v>182</v>
      </c>
      <c r="W28" s="80">
        <f t="shared" si="3"/>
        <v>170</v>
      </c>
      <c r="X28" s="80">
        <f t="shared" si="3"/>
        <v>222</v>
      </c>
      <c r="Y28" s="80">
        <f t="shared" si="3"/>
        <v>200</v>
      </c>
      <c r="Z28" s="80">
        <f t="shared" si="3"/>
        <v>209</v>
      </c>
      <c r="AA28" s="80">
        <f t="shared" si="3"/>
        <v>193</v>
      </c>
      <c r="AB28" s="80">
        <f t="shared" si="3"/>
        <v>162</v>
      </c>
      <c r="AC28" s="80">
        <f t="shared" si="3"/>
        <v>167</v>
      </c>
      <c r="AD28" s="80">
        <f t="shared" si="3"/>
        <v>0</v>
      </c>
      <c r="AE28" s="80">
        <f>SUM(AE29:AE52)</f>
        <v>0</v>
      </c>
      <c r="AF28" s="80">
        <f t="shared" si="3"/>
        <v>0</v>
      </c>
      <c r="AG28" s="150">
        <f t="shared" si="2"/>
        <v>5319</v>
      </c>
    </row>
    <row r="29" spans="1:33" ht="18.75" x14ac:dyDescent="0.25">
      <c r="A29" s="41" t="s">
        <v>54</v>
      </c>
      <c r="B29" s="7"/>
      <c r="C29" s="7">
        <v>7</v>
      </c>
      <c r="D29" s="7">
        <v>4</v>
      </c>
      <c r="E29" s="7"/>
      <c r="F29" s="7"/>
      <c r="G29" s="7"/>
      <c r="H29" s="7"/>
      <c r="I29" s="7"/>
      <c r="J29" s="7">
        <v>7</v>
      </c>
      <c r="K29" s="7">
        <v>3</v>
      </c>
      <c r="L29" s="7"/>
      <c r="M29" s="7"/>
      <c r="N29" s="7"/>
      <c r="O29" s="7"/>
      <c r="P29" s="7">
        <v>2</v>
      </c>
      <c r="Q29" s="7">
        <v>4</v>
      </c>
      <c r="R29" s="7">
        <v>2</v>
      </c>
      <c r="S29" s="7"/>
      <c r="T29" s="7"/>
      <c r="U29" s="7"/>
      <c r="V29" s="7"/>
      <c r="W29" s="7">
        <v>4</v>
      </c>
      <c r="X29" s="7">
        <v>7</v>
      </c>
      <c r="Y29" s="7"/>
      <c r="Z29" s="7"/>
      <c r="AA29" s="7"/>
      <c r="AB29" s="7"/>
      <c r="AC29" s="7"/>
      <c r="AD29" s="7"/>
      <c r="AE29" s="7"/>
      <c r="AF29" s="8"/>
      <c r="AG29" s="4">
        <f t="shared" si="2"/>
        <v>40</v>
      </c>
    </row>
    <row r="30" spans="1:33" ht="18.75" x14ac:dyDescent="0.25">
      <c r="A30" s="41" t="s">
        <v>55</v>
      </c>
      <c r="B30" s="7"/>
      <c r="C30" s="7">
        <v>12</v>
      </c>
      <c r="D30" s="7">
        <v>5</v>
      </c>
      <c r="E30" s="7"/>
      <c r="F30" s="7"/>
      <c r="G30" s="7"/>
      <c r="H30" s="7"/>
      <c r="I30" s="7"/>
      <c r="J30" s="7">
        <v>11</v>
      </c>
      <c r="K30" s="7">
        <v>9</v>
      </c>
      <c r="L30" s="7"/>
      <c r="M30" s="7"/>
      <c r="N30" s="7"/>
      <c r="O30" s="7"/>
      <c r="P30" s="7"/>
      <c r="Q30" s="7">
        <v>3</v>
      </c>
      <c r="R30" s="7">
        <v>8</v>
      </c>
      <c r="S30" s="7"/>
      <c r="T30" s="7"/>
      <c r="U30" s="7"/>
      <c r="V30" s="7"/>
      <c r="W30" s="7"/>
      <c r="X30" s="7">
        <v>11</v>
      </c>
      <c r="Y30" s="7">
        <v>7</v>
      </c>
      <c r="Z30" s="7"/>
      <c r="AA30" s="7"/>
      <c r="AB30" s="7"/>
      <c r="AC30" s="7"/>
      <c r="AD30" s="7"/>
      <c r="AE30" s="7"/>
      <c r="AF30" s="8"/>
      <c r="AG30" s="4">
        <f t="shared" si="2"/>
        <v>66</v>
      </c>
    </row>
    <row r="31" spans="1:33" ht="18.75" x14ac:dyDescent="0.25">
      <c r="A31" s="41" t="s">
        <v>56</v>
      </c>
      <c r="B31" s="7"/>
      <c r="C31" s="7">
        <v>13</v>
      </c>
      <c r="D31" s="7">
        <v>8</v>
      </c>
      <c r="E31" s="7"/>
      <c r="F31" s="7"/>
      <c r="G31" s="7"/>
      <c r="H31" s="7"/>
      <c r="I31" s="7"/>
      <c r="J31" s="7">
        <v>16</v>
      </c>
      <c r="K31" s="7">
        <v>13</v>
      </c>
      <c r="L31" s="7"/>
      <c r="M31" s="7"/>
      <c r="N31" s="7"/>
      <c r="O31" s="7"/>
      <c r="P31" s="7"/>
      <c r="Q31" s="7">
        <v>14</v>
      </c>
      <c r="R31" s="7">
        <v>11</v>
      </c>
      <c r="S31" s="7"/>
      <c r="T31" s="7"/>
      <c r="U31" s="7"/>
      <c r="V31" s="7"/>
      <c r="W31" s="7"/>
      <c r="X31" s="7">
        <v>13</v>
      </c>
      <c r="Y31" s="7">
        <v>10</v>
      </c>
      <c r="Z31" s="7"/>
      <c r="AA31" s="7"/>
      <c r="AB31" s="7"/>
      <c r="AC31" s="7"/>
      <c r="AD31" s="7"/>
      <c r="AE31" s="7"/>
      <c r="AF31" s="8"/>
      <c r="AG31" s="4">
        <f t="shared" si="2"/>
        <v>98</v>
      </c>
    </row>
    <row r="32" spans="1:33" ht="18.75" x14ac:dyDescent="0.25">
      <c r="A32" s="41" t="s">
        <v>38</v>
      </c>
      <c r="B32" s="7">
        <v>2</v>
      </c>
      <c r="C32" s="7">
        <v>19</v>
      </c>
      <c r="D32" s="7">
        <v>14</v>
      </c>
      <c r="E32" s="7">
        <v>7</v>
      </c>
      <c r="F32" s="7">
        <v>12</v>
      </c>
      <c r="G32" s="7">
        <v>8</v>
      </c>
      <c r="H32" s="7">
        <v>9</v>
      </c>
      <c r="I32" s="7">
        <v>6</v>
      </c>
      <c r="J32" s="7">
        <v>10</v>
      </c>
      <c r="K32" s="7">
        <v>9</v>
      </c>
      <c r="L32" s="7">
        <v>2</v>
      </c>
      <c r="M32" s="7">
        <v>7</v>
      </c>
      <c r="N32" s="7">
        <v>5</v>
      </c>
      <c r="O32" s="7">
        <v>4</v>
      </c>
      <c r="P32" s="7">
        <v>2</v>
      </c>
      <c r="Q32" s="7">
        <v>13</v>
      </c>
      <c r="R32" s="7">
        <v>16</v>
      </c>
      <c r="S32" s="7">
        <v>4</v>
      </c>
      <c r="T32" s="7">
        <v>6</v>
      </c>
      <c r="U32" s="7">
        <v>4</v>
      </c>
      <c r="V32" s="7">
        <v>7</v>
      </c>
      <c r="W32" s="7">
        <v>6</v>
      </c>
      <c r="X32" s="7">
        <v>11</v>
      </c>
      <c r="Y32" s="7">
        <v>12</v>
      </c>
      <c r="Z32" s="7">
        <v>7</v>
      </c>
      <c r="AA32" s="7">
        <v>7</v>
      </c>
      <c r="AB32" s="7">
        <v>1</v>
      </c>
      <c r="AC32" s="7">
        <v>5</v>
      </c>
      <c r="AD32" s="7"/>
      <c r="AE32" s="7"/>
      <c r="AF32" s="8"/>
      <c r="AG32" s="4">
        <f t="shared" si="2"/>
        <v>215</v>
      </c>
    </row>
    <row r="33" spans="1:33" ht="18.75" x14ac:dyDescent="0.25">
      <c r="A33" s="41" t="s">
        <v>39</v>
      </c>
      <c r="B33" s="7">
        <v>2</v>
      </c>
      <c r="C33" s="7">
        <v>9</v>
      </c>
      <c r="D33" s="7">
        <v>15</v>
      </c>
      <c r="E33" s="7">
        <v>6</v>
      </c>
      <c r="F33" s="7">
        <v>1</v>
      </c>
      <c r="G33" s="7">
        <v>3</v>
      </c>
      <c r="H33" s="7">
        <v>4</v>
      </c>
      <c r="I33" s="7">
        <v>2</v>
      </c>
      <c r="J33" s="7">
        <v>13</v>
      </c>
      <c r="K33" s="7">
        <v>8</v>
      </c>
      <c r="L33" s="7">
        <v>10</v>
      </c>
      <c r="M33" s="7">
        <v>5</v>
      </c>
      <c r="N33" s="7">
        <v>10</v>
      </c>
      <c r="O33" s="7">
        <v>3</v>
      </c>
      <c r="P33" s="7">
        <v>8</v>
      </c>
      <c r="Q33" s="7">
        <v>11</v>
      </c>
      <c r="R33" s="7">
        <v>9</v>
      </c>
      <c r="S33" s="7">
        <v>5</v>
      </c>
      <c r="T33" s="7">
        <v>10</v>
      </c>
      <c r="U33" s="7">
        <v>9</v>
      </c>
      <c r="V33" s="7">
        <v>8</v>
      </c>
      <c r="W33" s="7">
        <v>5</v>
      </c>
      <c r="X33" s="7">
        <v>12</v>
      </c>
      <c r="Y33" s="7">
        <v>10</v>
      </c>
      <c r="Z33" s="7">
        <v>11</v>
      </c>
      <c r="AA33" s="7">
        <v>9</v>
      </c>
      <c r="AB33" s="7">
        <v>10</v>
      </c>
      <c r="AC33" s="7">
        <v>5</v>
      </c>
      <c r="AD33" s="7"/>
      <c r="AE33" s="7"/>
      <c r="AF33" s="8"/>
      <c r="AG33" s="4">
        <f t="shared" si="2"/>
        <v>213</v>
      </c>
    </row>
    <row r="34" spans="1:33" ht="18.75" x14ac:dyDescent="0.25">
      <c r="A34" s="41" t="s">
        <v>40</v>
      </c>
      <c r="B34" s="7">
        <v>2</v>
      </c>
      <c r="C34" s="7">
        <v>9</v>
      </c>
      <c r="D34" s="7">
        <v>16</v>
      </c>
      <c r="E34" s="7">
        <v>1</v>
      </c>
      <c r="F34" s="7">
        <v>4</v>
      </c>
      <c r="G34" s="7">
        <v>5</v>
      </c>
      <c r="H34" s="7">
        <v>1</v>
      </c>
      <c r="I34" s="7"/>
      <c r="J34" s="7">
        <v>9</v>
      </c>
      <c r="K34" s="7">
        <v>8</v>
      </c>
      <c r="L34" s="7">
        <v>5</v>
      </c>
      <c r="M34" s="7">
        <v>2</v>
      </c>
      <c r="N34" s="7">
        <v>12</v>
      </c>
      <c r="O34" s="7">
        <v>1</v>
      </c>
      <c r="P34" s="7"/>
      <c r="Q34" s="7">
        <v>14</v>
      </c>
      <c r="R34" s="7">
        <v>11</v>
      </c>
      <c r="S34" s="7">
        <v>2</v>
      </c>
      <c r="T34" s="7">
        <v>3</v>
      </c>
      <c r="U34" s="7">
        <v>2</v>
      </c>
      <c r="V34" s="7">
        <v>8</v>
      </c>
      <c r="W34" s="7">
        <v>2</v>
      </c>
      <c r="X34" s="7">
        <v>10</v>
      </c>
      <c r="Y34" s="7">
        <v>8</v>
      </c>
      <c r="Z34" s="7">
        <v>1</v>
      </c>
      <c r="AA34" s="7">
        <v>1</v>
      </c>
      <c r="AB34" s="7">
        <v>2</v>
      </c>
      <c r="AC34" s="7">
        <v>4</v>
      </c>
      <c r="AD34" s="7"/>
      <c r="AE34" s="7"/>
      <c r="AF34" s="8"/>
      <c r="AG34" s="4">
        <f t="shared" si="2"/>
        <v>143</v>
      </c>
    </row>
    <row r="35" spans="1:33" ht="18.75" x14ac:dyDescent="0.25">
      <c r="A35" s="41" t="s">
        <v>41</v>
      </c>
      <c r="B35" s="7">
        <v>6</v>
      </c>
      <c r="C35" s="7">
        <v>9</v>
      </c>
      <c r="D35" s="7">
        <v>2</v>
      </c>
      <c r="E35" s="7">
        <v>5</v>
      </c>
      <c r="F35" s="7">
        <v>6</v>
      </c>
      <c r="G35" s="7">
        <v>2</v>
      </c>
      <c r="H35" s="7">
        <v>3</v>
      </c>
      <c r="I35" s="7">
        <v>3</v>
      </c>
      <c r="J35" s="7">
        <v>13</v>
      </c>
      <c r="K35" s="7">
        <v>11</v>
      </c>
      <c r="L35" s="7">
        <v>8</v>
      </c>
      <c r="M35" s="7">
        <v>5</v>
      </c>
      <c r="N35" s="7">
        <v>6</v>
      </c>
      <c r="O35" s="7">
        <v>3</v>
      </c>
      <c r="P35" s="7">
        <v>6</v>
      </c>
      <c r="Q35" s="7">
        <v>6</v>
      </c>
      <c r="R35" s="7">
        <v>6</v>
      </c>
      <c r="S35" s="7">
        <v>11</v>
      </c>
      <c r="T35" s="7">
        <v>4</v>
      </c>
      <c r="U35" s="7">
        <v>3</v>
      </c>
      <c r="V35" s="7">
        <v>7</v>
      </c>
      <c r="W35" s="7">
        <v>3</v>
      </c>
      <c r="X35" s="7">
        <v>7</v>
      </c>
      <c r="Y35" s="7">
        <v>10</v>
      </c>
      <c r="Z35" s="7">
        <v>6</v>
      </c>
      <c r="AA35" s="7">
        <v>6</v>
      </c>
      <c r="AB35" s="7">
        <v>4</v>
      </c>
      <c r="AC35" s="7">
        <v>3</v>
      </c>
      <c r="AD35" s="7"/>
      <c r="AE35" s="7"/>
      <c r="AF35" s="8"/>
      <c r="AG35" s="4">
        <f t="shared" si="2"/>
        <v>164</v>
      </c>
    </row>
    <row r="36" spans="1:33" ht="18.75" x14ac:dyDescent="0.25">
      <c r="A36" s="41" t="s">
        <v>42</v>
      </c>
      <c r="B36" s="7">
        <v>4</v>
      </c>
      <c r="C36" s="7">
        <v>9</v>
      </c>
      <c r="D36" s="7">
        <v>12</v>
      </c>
      <c r="E36" s="7">
        <v>4</v>
      </c>
      <c r="F36" s="7">
        <v>4</v>
      </c>
      <c r="G36" s="7">
        <v>4</v>
      </c>
      <c r="H36" s="7">
        <v>9</v>
      </c>
      <c r="I36" s="7">
        <v>1</v>
      </c>
      <c r="J36" s="7">
        <v>12</v>
      </c>
      <c r="K36" s="7">
        <v>10</v>
      </c>
      <c r="L36" s="7">
        <v>1</v>
      </c>
      <c r="M36" s="7">
        <v>1</v>
      </c>
      <c r="N36" s="7">
        <v>11</v>
      </c>
      <c r="O36" s="7">
        <v>4</v>
      </c>
      <c r="P36" s="7">
        <v>4</v>
      </c>
      <c r="Q36" s="7">
        <v>9</v>
      </c>
      <c r="R36" s="7">
        <v>8</v>
      </c>
      <c r="S36" s="7">
        <v>5</v>
      </c>
      <c r="T36" s="7">
        <v>9</v>
      </c>
      <c r="U36" s="7">
        <v>4</v>
      </c>
      <c r="V36" s="7">
        <v>2</v>
      </c>
      <c r="W36" s="7">
        <v>6</v>
      </c>
      <c r="X36" s="7">
        <v>16</v>
      </c>
      <c r="Y36" s="7">
        <v>11</v>
      </c>
      <c r="Z36" s="7">
        <v>7</v>
      </c>
      <c r="AA36" s="7">
        <v>5</v>
      </c>
      <c r="AB36" s="7">
        <v>5</v>
      </c>
      <c r="AC36" s="7">
        <v>1</v>
      </c>
      <c r="AD36" s="7"/>
      <c r="AE36" s="7"/>
      <c r="AF36" s="8"/>
      <c r="AG36" s="4">
        <f t="shared" si="2"/>
        <v>178</v>
      </c>
    </row>
    <row r="37" spans="1:33" ht="18.75" x14ac:dyDescent="0.25">
      <c r="A37" s="41" t="s">
        <v>43</v>
      </c>
      <c r="B37" s="7">
        <v>10</v>
      </c>
      <c r="C37" s="7">
        <v>14</v>
      </c>
      <c r="D37" s="7">
        <v>18</v>
      </c>
      <c r="E37" s="7">
        <v>8</v>
      </c>
      <c r="F37" s="7">
        <v>1</v>
      </c>
      <c r="G37" s="7">
        <v>6</v>
      </c>
      <c r="H37" s="7">
        <v>7</v>
      </c>
      <c r="I37" s="7">
        <v>10</v>
      </c>
      <c r="J37" s="7">
        <v>16</v>
      </c>
      <c r="K37" s="7">
        <v>17</v>
      </c>
      <c r="L37" s="7">
        <v>6</v>
      </c>
      <c r="M37" s="7">
        <v>4</v>
      </c>
      <c r="N37" s="7">
        <v>3</v>
      </c>
      <c r="O37" s="7">
        <v>2</v>
      </c>
      <c r="P37" s="7">
        <v>2</v>
      </c>
      <c r="Q37" s="7">
        <v>18</v>
      </c>
      <c r="R37" s="7">
        <v>14</v>
      </c>
      <c r="S37" s="7">
        <v>5</v>
      </c>
      <c r="T37" s="7">
        <v>3</v>
      </c>
      <c r="U37" s="7">
        <v>3</v>
      </c>
      <c r="V37" s="7">
        <v>5</v>
      </c>
      <c r="W37" s="7">
        <v>2</v>
      </c>
      <c r="X37" s="7">
        <v>12</v>
      </c>
      <c r="Y37" s="7">
        <v>14</v>
      </c>
      <c r="Z37" s="7">
        <v>5</v>
      </c>
      <c r="AA37" s="7">
        <v>3</v>
      </c>
      <c r="AB37" s="7">
        <v>7</v>
      </c>
      <c r="AC37" s="7"/>
      <c r="AD37" s="7"/>
      <c r="AE37" s="7"/>
      <c r="AF37" s="8"/>
      <c r="AG37" s="4">
        <f t="shared" si="2"/>
        <v>215</v>
      </c>
    </row>
    <row r="38" spans="1:33" ht="18.75" x14ac:dyDescent="0.25">
      <c r="A38" s="41" t="s">
        <v>44</v>
      </c>
      <c r="B38" s="7">
        <v>33</v>
      </c>
      <c r="C38" s="7">
        <v>17</v>
      </c>
      <c r="D38" s="7">
        <v>17</v>
      </c>
      <c r="E38" s="7">
        <v>37</v>
      </c>
      <c r="F38" s="7">
        <v>31</v>
      </c>
      <c r="G38" s="7">
        <v>37</v>
      </c>
      <c r="H38" s="7">
        <v>41</v>
      </c>
      <c r="I38" s="7">
        <v>29</v>
      </c>
      <c r="J38" s="7">
        <v>18</v>
      </c>
      <c r="K38" s="7">
        <v>14</v>
      </c>
      <c r="L38" s="7">
        <v>6</v>
      </c>
      <c r="M38" s="7">
        <v>10</v>
      </c>
      <c r="N38" s="7">
        <v>5</v>
      </c>
      <c r="O38" s="7">
        <v>7</v>
      </c>
      <c r="P38" s="7">
        <v>6</v>
      </c>
      <c r="Q38" s="7">
        <v>21</v>
      </c>
      <c r="R38" s="7">
        <v>11</v>
      </c>
      <c r="S38" s="7">
        <v>9</v>
      </c>
      <c r="T38" s="7">
        <v>5</v>
      </c>
      <c r="U38" s="7">
        <v>10</v>
      </c>
      <c r="V38" s="7">
        <v>12</v>
      </c>
      <c r="W38" s="7">
        <v>10</v>
      </c>
      <c r="X38" s="7">
        <v>9</v>
      </c>
      <c r="Y38" s="7">
        <v>15</v>
      </c>
      <c r="Z38" s="7">
        <v>6</v>
      </c>
      <c r="AA38" s="7">
        <v>12</v>
      </c>
      <c r="AB38" s="7">
        <v>5</v>
      </c>
      <c r="AC38" s="7">
        <v>12</v>
      </c>
      <c r="AD38" s="7"/>
      <c r="AE38" s="7"/>
      <c r="AF38" s="8"/>
      <c r="AG38" s="4">
        <f t="shared" si="2"/>
        <v>445</v>
      </c>
    </row>
    <row r="39" spans="1:33" ht="18.75" x14ac:dyDescent="0.25">
      <c r="A39" s="41" t="s">
        <v>45</v>
      </c>
      <c r="B39" s="7">
        <v>14</v>
      </c>
      <c r="C39" s="7">
        <v>20</v>
      </c>
      <c r="D39" s="7">
        <v>8</v>
      </c>
      <c r="E39" s="7">
        <v>27</v>
      </c>
      <c r="F39" s="7">
        <v>15</v>
      </c>
      <c r="G39" s="7">
        <v>18</v>
      </c>
      <c r="H39" s="7">
        <v>22</v>
      </c>
      <c r="I39" s="7">
        <v>10</v>
      </c>
      <c r="J39" s="7">
        <v>19</v>
      </c>
      <c r="K39" s="7">
        <v>17</v>
      </c>
      <c r="L39" s="7">
        <v>19</v>
      </c>
      <c r="M39" s="7">
        <v>16</v>
      </c>
      <c r="N39" s="7">
        <v>26</v>
      </c>
      <c r="O39" s="7">
        <v>18</v>
      </c>
      <c r="P39" s="7">
        <v>20</v>
      </c>
      <c r="Q39" s="7">
        <v>11</v>
      </c>
      <c r="R39" s="7">
        <v>14</v>
      </c>
      <c r="S39" s="7">
        <v>14</v>
      </c>
      <c r="T39" s="7">
        <v>16</v>
      </c>
      <c r="U39" s="7">
        <v>25</v>
      </c>
      <c r="V39" s="7">
        <v>19</v>
      </c>
      <c r="W39" s="7">
        <v>20</v>
      </c>
      <c r="X39" s="7">
        <v>11</v>
      </c>
      <c r="Y39" s="7">
        <v>16</v>
      </c>
      <c r="Z39" s="7">
        <v>29</v>
      </c>
      <c r="AA39" s="7">
        <v>21</v>
      </c>
      <c r="AB39" s="7">
        <v>23</v>
      </c>
      <c r="AC39" s="7">
        <v>19</v>
      </c>
      <c r="AD39" s="7"/>
      <c r="AE39" s="7"/>
      <c r="AF39" s="8"/>
      <c r="AG39" s="4">
        <f t="shared" si="2"/>
        <v>507</v>
      </c>
    </row>
    <row r="40" spans="1:33" ht="18.75" x14ac:dyDescent="0.25">
      <c r="A40" s="41" t="s">
        <v>46</v>
      </c>
      <c r="B40" s="7">
        <v>11</v>
      </c>
      <c r="C40" s="7">
        <v>7</v>
      </c>
      <c r="D40" s="7">
        <v>12</v>
      </c>
      <c r="E40" s="7">
        <v>17</v>
      </c>
      <c r="F40" s="7">
        <v>20</v>
      </c>
      <c r="G40" s="7">
        <v>12</v>
      </c>
      <c r="H40" s="7">
        <v>11</v>
      </c>
      <c r="I40" s="7">
        <v>19</v>
      </c>
      <c r="J40" s="7">
        <v>15</v>
      </c>
      <c r="K40" s="7">
        <v>15</v>
      </c>
      <c r="L40" s="7">
        <v>21</v>
      </c>
      <c r="M40" s="7">
        <v>27</v>
      </c>
      <c r="N40" s="7">
        <v>19</v>
      </c>
      <c r="O40" s="7">
        <v>17</v>
      </c>
      <c r="P40" s="7">
        <v>19</v>
      </c>
      <c r="Q40" s="7">
        <v>14</v>
      </c>
      <c r="R40" s="7">
        <v>14</v>
      </c>
      <c r="S40" s="7">
        <v>22</v>
      </c>
      <c r="T40" s="7">
        <v>22</v>
      </c>
      <c r="U40" s="7">
        <v>35</v>
      </c>
      <c r="V40" s="7">
        <v>24</v>
      </c>
      <c r="W40" s="7">
        <v>21</v>
      </c>
      <c r="X40" s="7">
        <v>10</v>
      </c>
      <c r="Y40" s="7">
        <v>15</v>
      </c>
      <c r="Z40" s="7">
        <v>29</v>
      </c>
      <c r="AA40" s="7">
        <v>24</v>
      </c>
      <c r="AB40" s="7">
        <v>22</v>
      </c>
      <c r="AC40" s="7">
        <v>28</v>
      </c>
      <c r="AD40" s="7"/>
      <c r="AE40" s="7"/>
      <c r="AF40" s="8"/>
      <c r="AG40" s="4">
        <f t="shared" si="2"/>
        <v>522</v>
      </c>
    </row>
    <row r="41" spans="1:33" ht="18.75" x14ac:dyDescent="0.25">
      <c r="A41" s="41" t="s">
        <v>47</v>
      </c>
      <c r="B41" s="7">
        <v>11</v>
      </c>
      <c r="C41" s="7">
        <v>10</v>
      </c>
      <c r="D41" s="7">
        <v>11</v>
      </c>
      <c r="E41" s="7">
        <v>19</v>
      </c>
      <c r="F41" s="7">
        <v>24</v>
      </c>
      <c r="G41" s="7">
        <v>18</v>
      </c>
      <c r="H41" s="7">
        <v>14</v>
      </c>
      <c r="I41" s="7">
        <v>13</v>
      </c>
      <c r="J41" s="7">
        <v>10</v>
      </c>
      <c r="K41" s="7">
        <v>11</v>
      </c>
      <c r="L41" s="7">
        <v>39</v>
      </c>
      <c r="M41" s="7">
        <v>17</v>
      </c>
      <c r="N41" s="7">
        <v>21</v>
      </c>
      <c r="O41" s="7">
        <v>19</v>
      </c>
      <c r="P41" s="7">
        <v>18</v>
      </c>
      <c r="Q41" s="7">
        <v>16</v>
      </c>
      <c r="R41" s="7">
        <v>16</v>
      </c>
      <c r="S41" s="7">
        <v>31</v>
      </c>
      <c r="T41" s="7">
        <v>18</v>
      </c>
      <c r="U41" s="7">
        <v>27</v>
      </c>
      <c r="V41" s="7">
        <v>28</v>
      </c>
      <c r="W41" s="7">
        <v>12</v>
      </c>
      <c r="X41" s="7">
        <v>11</v>
      </c>
      <c r="Y41" s="7">
        <v>13</v>
      </c>
      <c r="Z41" s="7">
        <v>38</v>
      </c>
      <c r="AA41" s="7">
        <v>25</v>
      </c>
      <c r="AB41" s="7">
        <v>8</v>
      </c>
      <c r="AC41" s="7">
        <v>25</v>
      </c>
      <c r="AD41" s="7"/>
      <c r="AE41" s="7"/>
      <c r="AF41" s="8"/>
      <c r="AG41" s="4">
        <f t="shared" si="2"/>
        <v>523</v>
      </c>
    </row>
    <row r="42" spans="1:33" ht="18.75" x14ac:dyDescent="0.25">
      <c r="A42" s="41" t="s">
        <v>48</v>
      </c>
      <c r="B42" s="7">
        <v>11</v>
      </c>
      <c r="C42" s="7">
        <v>11</v>
      </c>
      <c r="D42" s="7">
        <v>18</v>
      </c>
      <c r="E42" s="7">
        <v>20</v>
      </c>
      <c r="F42" s="7">
        <v>17</v>
      </c>
      <c r="G42" s="7">
        <v>20</v>
      </c>
      <c r="H42" s="7">
        <v>9</v>
      </c>
      <c r="I42" s="7">
        <v>19</v>
      </c>
      <c r="J42" s="7">
        <v>13</v>
      </c>
      <c r="K42" s="7">
        <v>18</v>
      </c>
      <c r="L42" s="7">
        <v>32</v>
      </c>
      <c r="M42" s="7">
        <v>19</v>
      </c>
      <c r="N42" s="7">
        <v>21</v>
      </c>
      <c r="O42" s="7">
        <v>20</v>
      </c>
      <c r="P42" s="7">
        <v>18</v>
      </c>
      <c r="Q42" s="7">
        <v>9</v>
      </c>
      <c r="R42" s="7">
        <v>11</v>
      </c>
      <c r="S42" s="7">
        <v>28</v>
      </c>
      <c r="T42" s="7">
        <v>20</v>
      </c>
      <c r="U42" s="7">
        <v>23</v>
      </c>
      <c r="V42" s="7">
        <v>21</v>
      </c>
      <c r="W42" s="7">
        <v>21</v>
      </c>
      <c r="X42" s="7">
        <v>20</v>
      </c>
      <c r="Y42" s="7">
        <v>11</v>
      </c>
      <c r="Z42" s="7">
        <v>23</v>
      </c>
      <c r="AA42" s="7">
        <v>22</v>
      </c>
      <c r="AB42" s="7">
        <v>11</v>
      </c>
      <c r="AC42" s="7">
        <v>14</v>
      </c>
      <c r="AD42" s="7"/>
      <c r="AE42" s="7"/>
      <c r="AF42" s="8"/>
      <c r="AG42" s="4">
        <f t="shared" si="2"/>
        <v>500</v>
      </c>
    </row>
    <row r="43" spans="1:33" ht="18.75" x14ac:dyDescent="0.25">
      <c r="A43" s="41" t="s">
        <v>49</v>
      </c>
      <c r="B43" s="7">
        <v>11</v>
      </c>
      <c r="C43" s="7">
        <v>13</v>
      </c>
      <c r="D43" s="7">
        <v>17</v>
      </c>
      <c r="E43" s="7">
        <v>16</v>
      </c>
      <c r="F43" s="7">
        <v>10</v>
      </c>
      <c r="G43" s="7">
        <v>17</v>
      </c>
      <c r="H43" s="7">
        <v>10</v>
      </c>
      <c r="I43" s="7">
        <v>14</v>
      </c>
      <c r="J43" s="7">
        <v>15</v>
      </c>
      <c r="K43" s="7">
        <v>12</v>
      </c>
      <c r="L43" s="7">
        <v>15</v>
      </c>
      <c r="M43" s="7">
        <v>15</v>
      </c>
      <c r="N43" s="7">
        <v>19</v>
      </c>
      <c r="O43" s="7">
        <v>15</v>
      </c>
      <c r="P43" s="7">
        <v>18</v>
      </c>
      <c r="Q43" s="7">
        <v>9</v>
      </c>
      <c r="R43" s="7">
        <v>6</v>
      </c>
      <c r="S43" s="7">
        <v>23</v>
      </c>
      <c r="T43" s="7">
        <v>15</v>
      </c>
      <c r="U43" s="7">
        <v>21</v>
      </c>
      <c r="V43" s="7">
        <v>17</v>
      </c>
      <c r="W43" s="7">
        <v>17</v>
      </c>
      <c r="X43" s="7">
        <v>11</v>
      </c>
      <c r="Y43" s="7">
        <v>18</v>
      </c>
      <c r="Z43" s="7">
        <v>12</v>
      </c>
      <c r="AA43" s="7">
        <v>19</v>
      </c>
      <c r="AB43" s="7">
        <v>14</v>
      </c>
      <c r="AC43" s="7">
        <v>12</v>
      </c>
      <c r="AD43" s="7"/>
      <c r="AE43" s="7"/>
      <c r="AF43" s="8"/>
      <c r="AG43" s="4">
        <f t="shared" si="2"/>
        <v>411</v>
      </c>
    </row>
    <row r="44" spans="1:33" ht="18.75" x14ac:dyDescent="0.25">
      <c r="A44" s="41" t="s">
        <v>50</v>
      </c>
      <c r="B44" s="7">
        <v>17</v>
      </c>
      <c r="C44" s="7">
        <v>12</v>
      </c>
      <c r="D44" s="7">
        <v>7</v>
      </c>
      <c r="E44" s="7">
        <v>16</v>
      </c>
      <c r="F44" s="7">
        <v>8</v>
      </c>
      <c r="G44" s="7">
        <v>11</v>
      </c>
      <c r="H44" s="7">
        <v>12</v>
      </c>
      <c r="I44" s="7">
        <v>13</v>
      </c>
      <c r="J44" s="7">
        <v>11</v>
      </c>
      <c r="K44" s="7">
        <v>11</v>
      </c>
      <c r="L44" s="7">
        <v>13</v>
      </c>
      <c r="M44" s="7">
        <v>8</v>
      </c>
      <c r="N44" s="7">
        <v>8</v>
      </c>
      <c r="O44" s="7">
        <v>15</v>
      </c>
      <c r="P44" s="7">
        <v>16</v>
      </c>
      <c r="Q44" s="7">
        <v>11</v>
      </c>
      <c r="R44" s="7">
        <v>14</v>
      </c>
      <c r="S44" s="7">
        <v>14</v>
      </c>
      <c r="T44" s="7">
        <v>14</v>
      </c>
      <c r="U44" s="7">
        <v>15</v>
      </c>
      <c r="V44" s="7">
        <v>5</v>
      </c>
      <c r="W44" s="7">
        <v>16</v>
      </c>
      <c r="X44" s="7">
        <v>17</v>
      </c>
      <c r="Y44" s="7">
        <v>10</v>
      </c>
      <c r="Z44" s="7">
        <v>17</v>
      </c>
      <c r="AA44" s="7">
        <v>8</v>
      </c>
      <c r="AB44" s="7">
        <v>17</v>
      </c>
      <c r="AC44" s="7">
        <v>15</v>
      </c>
      <c r="AD44" s="7"/>
      <c r="AE44" s="7"/>
      <c r="AF44" s="8"/>
      <c r="AG44" s="4">
        <f t="shared" si="2"/>
        <v>351</v>
      </c>
    </row>
    <row r="45" spans="1:33" ht="18.75" x14ac:dyDescent="0.25">
      <c r="A45" s="41" t="s">
        <v>33</v>
      </c>
      <c r="B45" s="7">
        <v>10</v>
      </c>
      <c r="C45" s="7">
        <v>6</v>
      </c>
      <c r="D45" s="7">
        <v>11</v>
      </c>
      <c r="E45" s="7">
        <v>6</v>
      </c>
      <c r="F45" s="7">
        <v>7</v>
      </c>
      <c r="G45" s="7">
        <v>5</v>
      </c>
      <c r="H45" s="7">
        <v>6</v>
      </c>
      <c r="I45" s="7">
        <v>2</v>
      </c>
      <c r="J45" s="7">
        <v>12</v>
      </c>
      <c r="K45" s="7">
        <v>7</v>
      </c>
      <c r="L45" s="7">
        <v>10</v>
      </c>
      <c r="M45" s="7">
        <v>4</v>
      </c>
      <c r="N45" s="7">
        <v>6</v>
      </c>
      <c r="O45" s="7">
        <v>12</v>
      </c>
      <c r="P45" s="7">
        <v>6</v>
      </c>
      <c r="Q45" s="7">
        <v>8</v>
      </c>
      <c r="R45" s="7">
        <v>12</v>
      </c>
      <c r="S45" s="7">
        <v>7</v>
      </c>
      <c r="T45" s="7">
        <v>5</v>
      </c>
      <c r="U45" s="7">
        <v>6</v>
      </c>
      <c r="V45" s="7">
        <v>5</v>
      </c>
      <c r="W45" s="7">
        <v>12</v>
      </c>
      <c r="X45" s="7">
        <v>13</v>
      </c>
      <c r="Y45" s="7">
        <v>4</v>
      </c>
      <c r="Z45" s="7">
        <v>2</v>
      </c>
      <c r="AA45" s="7">
        <v>7</v>
      </c>
      <c r="AB45" s="7">
        <v>7</v>
      </c>
      <c r="AC45" s="7">
        <v>5</v>
      </c>
      <c r="AD45" s="7"/>
      <c r="AE45" s="7"/>
      <c r="AF45" s="8"/>
      <c r="AG45" s="4">
        <f t="shared" si="2"/>
        <v>203</v>
      </c>
    </row>
    <row r="46" spans="1:33" ht="18.75" x14ac:dyDescent="0.25">
      <c r="A46" s="41" t="s">
        <v>34</v>
      </c>
      <c r="B46" s="7">
        <v>6</v>
      </c>
      <c r="C46" s="7">
        <v>8</v>
      </c>
      <c r="D46" s="7">
        <v>8</v>
      </c>
      <c r="E46" s="7">
        <v>7</v>
      </c>
      <c r="F46" s="7">
        <v>4</v>
      </c>
      <c r="G46" s="7">
        <v>6</v>
      </c>
      <c r="H46" s="7">
        <v>2</v>
      </c>
      <c r="I46" s="7">
        <v>3</v>
      </c>
      <c r="J46" s="7">
        <v>5</v>
      </c>
      <c r="K46" s="7">
        <v>7</v>
      </c>
      <c r="L46" s="7">
        <v>2</v>
      </c>
      <c r="M46" s="7">
        <v>3</v>
      </c>
      <c r="N46" s="7">
        <v>3</v>
      </c>
      <c r="O46" s="7">
        <v>8</v>
      </c>
      <c r="P46" s="7">
        <v>7</v>
      </c>
      <c r="Q46" s="7">
        <v>8</v>
      </c>
      <c r="R46" s="7">
        <v>6</v>
      </c>
      <c r="S46" s="7">
        <v>10</v>
      </c>
      <c r="T46" s="7">
        <v>7</v>
      </c>
      <c r="U46" s="7">
        <v>7</v>
      </c>
      <c r="V46" s="7">
        <v>7</v>
      </c>
      <c r="W46" s="7">
        <v>4</v>
      </c>
      <c r="X46" s="7">
        <v>10</v>
      </c>
      <c r="Y46" s="7">
        <v>8</v>
      </c>
      <c r="Z46" s="7">
        <v>6</v>
      </c>
      <c r="AA46" s="7">
        <v>5</v>
      </c>
      <c r="AB46" s="7">
        <v>12</v>
      </c>
      <c r="AC46" s="7">
        <v>9</v>
      </c>
      <c r="AD46" s="7"/>
      <c r="AE46" s="7"/>
      <c r="AF46" s="8"/>
      <c r="AG46" s="4">
        <f t="shared" si="2"/>
        <v>178</v>
      </c>
    </row>
    <row r="47" spans="1:33" ht="18.75" x14ac:dyDescent="0.25">
      <c r="A47" s="41" t="s">
        <v>35</v>
      </c>
      <c r="B47" s="7">
        <v>4</v>
      </c>
      <c r="C47" s="7">
        <v>7</v>
      </c>
      <c r="D47" s="7">
        <v>2</v>
      </c>
      <c r="E47" s="7">
        <v>4</v>
      </c>
      <c r="F47" s="7">
        <v>1</v>
      </c>
      <c r="G47" s="7">
        <v>2</v>
      </c>
      <c r="H47" s="7">
        <v>4</v>
      </c>
      <c r="I47" s="7">
        <v>2</v>
      </c>
      <c r="J47" s="7">
        <v>7</v>
      </c>
      <c r="K47" s="7">
        <v>2</v>
      </c>
      <c r="L47" s="7">
        <v>8</v>
      </c>
      <c r="M47" s="7">
        <v>6</v>
      </c>
      <c r="N47" s="7">
        <v>2</v>
      </c>
      <c r="O47" s="7">
        <v>10</v>
      </c>
      <c r="P47" s="7">
        <v>5</v>
      </c>
      <c r="Q47" s="7">
        <v>6</v>
      </c>
      <c r="R47" s="7">
        <v>7</v>
      </c>
      <c r="S47" s="7">
        <v>1</v>
      </c>
      <c r="T47" s="7">
        <v>10</v>
      </c>
      <c r="U47" s="7">
        <v>1</v>
      </c>
      <c r="V47" s="7">
        <v>3</v>
      </c>
      <c r="W47" s="7">
        <v>1</v>
      </c>
      <c r="X47" s="7">
        <v>2</v>
      </c>
      <c r="Y47" s="7">
        <v>2</v>
      </c>
      <c r="Z47" s="7">
        <v>2</v>
      </c>
      <c r="AA47" s="7">
        <v>6</v>
      </c>
      <c r="AB47" s="7">
        <v>4</v>
      </c>
      <c r="AC47" s="7">
        <v>3</v>
      </c>
      <c r="AD47" s="7"/>
      <c r="AE47" s="7"/>
      <c r="AF47" s="8"/>
      <c r="AG47" s="4">
        <f t="shared" si="2"/>
        <v>114</v>
      </c>
    </row>
    <row r="48" spans="1:33" ht="18.75" x14ac:dyDescent="0.25">
      <c r="A48" s="41" t="s">
        <v>36</v>
      </c>
      <c r="B48" s="7"/>
      <c r="C48" s="7">
        <v>5</v>
      </c>
      <c r="D48" s="7">
        <v>3</v>
      </c>
      <c r="E48" s="7"/>
      <c r="F48" s="7">
        <v>2</v>
      </c>
      <c r="G48" s="7">
        <v>6</v>
      </c>
      <c r="H48" s="7">
        <v>2</v>
      </c>
      <c r="I48" s="7"/>
      <c r="J48" s="7">
        <v>3</v>
      </c>
      <c r="K48" s="7">
        <v>9</v>
      </c>
      <c r="L48" s="7"/>
      <c r="M48" s="7">
        <v>3</v>
      </c>
      <c r="N48" s="7">
        <v>4</v>
      </c>
      <c r="O48" s="7">
        <v>3</v>
      </c>
      <c r="P48" s="7">
        <v>1</v>
      </c>
      <c r="Q48" s="7">
        <v>1</v>
      </c>
      <c r="R48" s="7">
        <v>4</v>
      </c>
      <c r="S48" s="7">
        <v>1</v>
      </c>
      <c r="T48" s="7">
        <v>3</v>
      </c>
      <c r="U48" s="7"/>
      <c r="V48" s="7">
        <v>1</v>
      </c>
      <c r="W48" s="7">
        <v>1</v>
      </c>
      <c r="X48" s="7">
        <v>2</v>
      </c>
      <c r="Y48" s="7">
        <v>2</v>
      </c>
      <c r="Z48" s="7">
        <v>1</v>
      </c>
      <c r="AA48" s="7">
        <v>8</v>
      </c>
      <c r="AB48" s="7">
        <v>2</v>
      </c>
      <c r="AC48" s="7"/>
      <c r="AD48" s="7"/>
      <c r="AE48" s="7"/>
      <c r="AF48" s="8"/>
      <c r="AG48" s="4">
        <f t="shared" si="2"/>
        <v>67</v>
      </c>
    </row>
    <row r="49" spans="1:33" ht="18.75" x14ac:dyDescent="0.25">
      <c r="A49" s="41" t="s">
        <v>51</v>
      </c>
      <c r="B49" s="7">
        <v>5</v>
      </c>
      <c r="C49" s="7"/>
      <c r="D49" s="7"/>
      <c r="E49" s="7">
        <v>2</v>
      </c>
      <c r="F49" s="7">
        <v>2</v>
      </c>
      <c r="G49" s="7">
        <v>2</v>
      </c>
      <c r="H49" s="7">
        <v>2</v>
      </c>
      <c r="I49" s="7"/>
      <c r="J49" s="7">
        <v>3</v>
      </c>
      <c r="K49" s="7"/>
      <c r="L49" s="7">
        <v>1</v>
      </c>
      <c r="M49" s="7"/>
      <c r="N49" s="7"/>
      <c r="O49" s="7">
        <v>3</v>
      </c>
      <c r="P49" s="7">
        <v>2</v>
      </c>
      <c r="Q49" s="7">
        <v>5</v>
      </c>
      <c r="R49" s="7">
        <v>3</v>
      </c>
      <c r="S49" s="7">
        <v>2</v>
      </c>
      <c r="T49" s="7">
        <v>1</v>
      </c>
      <c r="U49" s="7">
        <v>2</v>
      </c>
      <c r="V49" s="7">
        <v>3</v>
      </c>
      <c r="W49" s="7">
        <v>2</v>
      </c>
      <c r="X49" s="7"/>
      <c r="Y49" s="7">
        <v>1</v>
      </c>
      <c r="Z49" s="7">
        <v>2</v>
      </c>
      <c r="AA49" s="7">
        <v>1</v>
      </c>
      <c r="AB49" s="7">
        <v>4</v>
      </c>
      <c r="AC49" s="7">
        <v>2</v>
      </c>
      <c r="AD49" s="7"/>
      <c r="AE49" s="7"/>
      <c r="AF49" s="8"/>
      <c r="AG49" s="4">
        <f t="shared" si="2"/>
        <v>50</v>
      </c>
    </row>
    <row r="50" spans="1:33" ht="18.75" x14ac:dyDescent="0.25">
      <c r="A50" s="41" t="s">
        <v>52</v>
      </c>
      <c r="B50" s="7">
        <v>2</v>
      </c>
      <c r="C50" s="7"/>
      <c r="D50" s="7"/>
      <c r="E50" s="7">
        <v>2</v>
      </c>
      <c r="F50" s="7">
        <v>1</v>
      </c>
      <c r="G50" s="7">
        <v>3</v>
      </c>
      <c r="H50" s="7">
        <v>3</v>
      </c>
      <c r="I50" s="7"/>
      <c r="J50" s="7"/>
      <c r="K50" s="7">
        <v>3</v>
      </c>
      <c r="L50" s="7">
        <v>2</v>
      </c>
      <c r="M50" s="7"/>
      <c r="N50" s="7"/>
      <c r="O50" s="7">
        <v>3</v>
      </c>
      <c r="P50" s="7">
        <v>2</v>
      </c>
      <c r="Q50" s="7">
        <v>6</v>
      </c>
      <c r="R50" s="7">
        <v>1</v>
      </c>
      <c r="S50" s="7">
        <v>3</v>
      </c>
      <c r="T50" s="7"/>
      <c r="U50" s="7">
        <v>2</v>
      </c>
      <c r="V50" s="7"/>
      <c r="W50" s="7">
        <v>2</v>
      </c>
      <c r="X50" s="7">
        <v>3</v>
      </c>
      <c r="Y50" s="7">
        <v>2</v>
      </c>
      <c r="Z50" s="7">
        <v>2</v>
      </c>
      <c r="AA50" s="7">
        <v>1</v>
      </c>
      <c r="AB50" s="7">
        <v>3</v>
      </c>
      <c r="AC50" s="7">
        <v>2</v>
      </c>
      <c r="AD50" s="7"/>
      <c r="AE50" s="7"/>
      <c r="AF50" s="8"/>
      <c r="AG50" s="4">
        <f t="shared" si="2"/>
        <v>48</v>
      </c>
    </row>
    <row r="51" spans="1:33" ht="18.75" x14ac:dyDescent="0.25">
      <c r="A51" s="41" t="s">
        <v>37</v>
      </c>
      <c r="B51" s="7">
        <v>2</v>
      </c>
      <c r="C51" s="7"/>
      <c r="D51" s="7"/>
      <c r="E51" s="7">
        <v>1</v>
      </c>
      <c r="F51" s="7"/>
      <c r="G51" s="7"/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/>
      <c r="N51" s="7"/>
      <c r="O51" s="7"/>
      <c r="P51" s="7"/>
      <c r="Q51" s="7">
        <v>1</v>
      </c>
      <c r="R51" s="7">
        <v>5</v>
      </c>
      <c r="S51" s="7"/>
      <c r="T51" s="7">
        <v>2</v>
      </c>
      <c r="U51" s="7">
        <v>1</v>
      </c>
      <c r="V51" s="7"/>
      <c r="W51" s="7">
        <v>1</v>
      </c>
      <c r="X51" s="7">
        <v>1</v>
      </c>
      <c r="Y51" s="7"/>
      <c r="Z51" s="7">
        <v>1</v>
      </c>
      <c r="AA51" s="7">
        <v>3</v>
      </c>
      <c r="AB51" s="7">
        <v>1</v>
      </c>
      <c r="AC51" s="7">
        <v>2</v>
      </c>
      <c r="AD51" s="7"/>
      <c r="AE51" s="7"/>
      <c r="AF51" s="8"/>
      <c r="AG51" s="4">
        <f t="shared" si="2"/>
        <v>26</v>
      </c>
    </row>
    <row r="52" spans="1:33" ht="19.5" thickBot="1" x14ac:dyDescent="0.3">
      <c r="A52" s="77" t="s">
        <v>53</v>
      </c>
      <c r="B52" s="9">
        <v>4</v>
      </c>
      <c r="C52" s="9">
        <v>1</v>
      </c>
      <c r="D52" s="9">
        <v>2</v>
      </c>
      <c r="E52" s="9">
        <v>1</v>
      </c>
      <c r="F52" s="9"/>
      <c r="G52" s="9"/>
      <c r="H52" s="9">
        <v>1</v>
      </c>
      <c r="I52" s="9">
        <v>4</v>
      </c>
      <c r="J52" s="9">
        <v>2</v>
      </c>
      <c r="K52" s="9">
        <v>3</v>
      </c>
      <c r="L52" s="9"/>
      <c r="M52" s="9"/>
      <c r="N52" s="9"/>
      <c r="O52" s="9">
        <v>2</v>
      </c>
      <c r="P52" s="9"/>
      <c r="Q52" s="9">
        <v>6</v>
      </c>
      <c r="R52" s="9">
        <v>2</v>
      </c>
      <c r="S52" s="9">
        <v>2</v>
      </c>
      <c r="T52" s="9">
        <v>3</v>
      </c>
      <c r="U52" s="9"/>
      <c r="V52" s="9"/>
      <c r="W52" s="9">
        <v>2</v>
      </c>
      <c r="X52" s="9">
        <v>3</v>
      </c>
      <c r="Y52" s="9">
        <v>1</v>
      </c>
      <c r="Z52" s="9">
        <v>2</v>
      </c>
      <c r="AA52" s="9"/>
      <c r="AB52" s="9"/>
      <c r="AC52" s="9">
        <v>1</v>
      </c>
      <c r="AD52" s="9"/>
      <c r="AE52" s="9"/>
      <c r="AF52" s="10"/>
      <c r="AG52" s="108">
        <f t="shared" si="2"/>
        <v>42</v>
      </c>
    </row>
    <row r="53" spans="1:33" ht="19.5" thickBot="1" x14ac:dyDescent="0.3">
      <c r="A53" s="136" t="s">
        <v>108</v>
      </c>
      <c r="B53" s="135">
        <f t="shared" ref="B53:AF53" si="4">SUM(B54:B77)</f>
        <v>3</v>
      </c>
      <c r="C53" s="135">
        <f t="shared" si="4"/>
        <v>8</v>
      </c>
      <c r="D53" s="135">
        <f t="shared" si="4"/>
        <v>7</v>
      </c>
      <c r="E53" s="135">
        <f t="shared" si="4"/>
        <v>19</v>
      </c>
      <c r="F53" s="135">
        <f t="shared" si="4"/>
        <v>36</v>
      </c>
      <c r="G53" s="135">
        <f t="shared" si="4"/>
        <v>11</v>
      </c>
      <c r="H53" s="135">
        <f t="shared" si="4"/>
        <v>9</v>
      </c>
      <c r="I53" s="135">
        <f t="shared" si="4"/>
        <v>16</v>
      </c>
      <c r="J53" s="135">
        <f t="shared" si="4"/>
        <v>14</v>
      </c>
      <c r="K53" s="135">
        <f t="shared" si="4"/>
        <v>6</v>
      </c>
      <c r="L53" s="135">
        <f t="shared" si="4"/>
        <v>27</v>
      </c>
      <c r="M53" s="135">
        <f t="shared" si="4"/>
        <v>11</v>
      </c>
      <c r="N53" s="135">
        <f t="shared" si="4"/>
        <v>6</v>
      </c>
      <c r="O53" s="135">
        <f t="shared" si="4"/>
        <v>19</v>
      </c>
      <c r="P53" s="135">
        <f t="shared" si="4"/>
        <v>5</v>
      </c>
      <c r="Q53" s="135">
        <f t="shared" si="4"/>
        <v>15</v>
      </c>
      <c r="R53" s="135">
        <f t="shared" si="4"/>
        <v>27</v>
      </c>
      <c r="S53" s="135">
        <f t="shared" si="4"/>
        <v>16</v>
      </c>
      <c r="T53" s="135">
        <f t="shared" si="4"/>
        <v>23</v>
      </c>
      <c r="U53" s="135">
        <f t="shared" si="4"/>
        <v>5</v>
      </c>
      <c r="V53" s="135">
        <f t="shared" si="4"/>
        <v>11</v>
      </c>
      <c r="W53" s="135">
        <f t="shared" si="4"/>
        <v>2</v>
      </c>
      <c r="X53" s="135">
        <f t="shared" si="4"/>
        <v>6</v>
      </c>
      <c r="Y53" s="135">
        <f t="shared" si="4"/>
        <v>7</v>
      </c>
      <c r="Z53" s="135">
        <f t="shared" si="4"/>
        <v>14</v>
      </c>
      <c r="AA53" s="135">
        <f t="shared" si="4"/>
        <v>12</v>
      </c>
      <c r="AB53" s="135">
        <f t="shared" si="4"/>
        <v>20</v>
      </c>
      <c r="AC53" s="135">
        <f t="shared" si="4"/>
        <v>14</v>
      </c>
      <c r="AD53" s="135">
        <f t="shared" si="4"/>
        <v>0</v>
      </c>
      <c r="AE53" s="135">
        <f t="shared" si="4"/>
        <v>0</v>
      </c>
      <c r="AF53" s="135">
        <f t="shared" si="4"/>
        <v>0</v>
      </c>
      <c r="AG53" s="116">
        <f t="shared" si="2"/>
        <v>369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>
        <v>1</v>
      </c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1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>
        <v>1</v>
      </c>
      <c r="Y55" s="7"/>
      <c r="Z55" s="7"/>
      <c r="AA55" s="7"/>
      <c r="AB55" s="7"/>
      <c r="AC55" s="7"/>
      <c r="AD55" s="7"/>
      <c r="AE55" s="7"/>
      <c r="AF55" s="8"/>
      <c r="AG55" s="4">
        <f t="shared" si="2"/>
        <v>1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>
        <v>1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1</v>
      </c>
    </row>
    <row r="57" spans="1:33" ht="18.75" x14ac:dyDescent="0.25">
      <c r="A57" s="41" t="s">
        <v>38</v>
      </c>
      <c r="B57" s="7"/>
      <c r="C57" s="7"/>
      <c r="D57" s="7">
        <v>2</v>
      </c>
      <c r="E57" s="7"/>
      <c r="F57" s="7"/>
      <c r="G57" s="7"/>
      <c r="H57" s="7"/>
      <c r="I57" s="7"/>
      <c r="J57" s="7">
        <v>1</v>
      </c>
      <c r="K57" s="7"/>
      <c r="L57" s="7"/>
      <c r="M57" s="7"/>
      <c r="N57" s="7"/>
      <c r="O57" s="7"/>
      <c r="P57" s="7"/>
      <c r="Q57" s="7">
        <v>3</v>
      </c>
      <c r="R57" s="7">
        <v>1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7</v>
      </c>
    </row>
    <row r="58" spans="1:33" ht="18.75" x14ac:dyDescent="0.25">
      <c r="A58" s="41" t="s">
        <v>39</v>
      </c>
      <c r="B58" s="7"/>
      <c r="C58" s="7">
        <v>1</v>
      </c>
      <c r="D58" s="7"/>
      <c r="E58" s="7"/>
      <c r="F58" s="7"/>
      <c r="G58" s="7"/>
      <c r="H58" s="7"/>
      <c r="I58" s="7"/>
      <c r="J58" s="7"/>
      <c r="K58" s="7">
        <v>2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3</v>
      </c>
    </row>
    <row r="59" spans="1:33" ht="18.75" x14ac:dyDescent="0.25">
      <c r="A59" s="41" t="s">
        <v>40</v>
      </c>
      <c r="B59" s="7"/>
      <c r="C59" s="7"/>
      <c r="D59" s="7">
        <v>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5</v>
      </c>
      <c r="R59" s="7">
        <v>1</v>
      </c>
      <c r="S59" s="7"/>
      <c r="T59" s="7">
        <v>1</v>
      </c>
      <c r="U59" s="7"/>
      <c r="V59" s="7"/>
      <c r="W59" s="7"/>
      <c r="X59" s="7"/>
      <c r="Y59" s="7">
        <v>1</v>
      </c>
      <c r="Z59" s="7"/>
      <c r="AA59" s="7"/>
      <c r="AB59" s="7"/>
      <c r="AC59" s="7"/>
      <c r="AD59" s="7"/>
      <c r="AE59" s="7"/>
      <c r="AF59" s="8"/>
      <c r="AG59" s="4">
        <f t="shared" si="2"/>
        <v>9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>
        <v>1</v>
      </c>
      <c r="L60" s="7"/>
      <c r="M60" s="7"/>
      <c r="N60" s="7"/>
      <c r="O60" s="7"/>
      <c r="P60" s="7"/>
      <c r="Q60" s="7"/>
      <c r="R60" s="7">
        <v>5</v>
      </c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4">
        <f t="shared" si="2"/>
        <v>6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>
        <v>2</v>
      </c>
      <c r="S61" s="7"/>
      <c r="T61" s="7"/>
      <c r="U61" s="7"/>
      <c r="V61" s="7"/>
      <c r="W61" s="7"/>
      <c r="X61" s="7"/>
      <c r="Y61" s="7"/>
      <c r="Z61" s="7">
        <v>1</v>
      </c>
      <c r="AA61" s="7"/>
      <c r="AB61" s="7">
        <v>1</v>
      </c>
      <c r="AC61" s="7"/>
      <c r="AD61" s="7"/>
      <c r="AE61" s="7"/>
      <c r="AF61" s="8"/>
      <c r="AG61" s="4">
        <f t="shared" si="2"/>
        <v>4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>
        <v>1</v>
      </c>
      <c r="L62" s="7"/>
      <c r="M62" s="7"/>
      <c r="N62" s="7"/>
      <c r="O62" s="7"/>
      <c r="P62" s="7"/>
      <c r="Q62" s="7"/>
      <c r="R62" s="7">
        <v>1</v>
      </c>
      <c r="S62" s="7"/>
      <c r="T62" s="7"/>
      <c r="U62" s="7"/>
      <c r="V62" s="7"/>
      <c r="W62" s="7"/>
      <c r="X62" s="7"/>
      <c r="Y62" s="7">
        <v>4</v>
      </c>
      <c r="Z62" s="7"/>
      <c r="AA62" s="7">
        <v>1</v>
      </c>
      <c r="AB62" s="7"/>
      <c r="AC62" s="7"/>
      <c r="AD62" s="7"/>
      <c r="AE62" s="7"/>
      <c r="AF62" s="8"/>
      <c r="AG62" s="4">
        <f t="shared" si="2"/>
        <v>7</v>
      </c>
    </row>
    <row r="63" spans="1:33" ht="18.75" x14ac:dyDescent="0.25">
      <c r="A63" s="41" t="s">
        <v>44</v>
      </c>
      <c r="B63" s="7"/>
      <c r="C63" s="7">
        <v>1</v>
      </c>
      <c r="D63" s="7"/>
      <c r="E63" s="7">
        <v>6</v>
      </c>
      <c r="F63" s="7">
        <v>5</v>
      </c>
      <c r="G63" s="7">
        <v>4</v>
      </c>
      <c r="H63" s="7">
        <v>2</v>
      </c>
      <c r="I63" s="7">
        <v>4</v>
      </c>
      <c r="J63" s="7">
        <v>1</v>
      </c>
      <c r="K63" s="7"/>
      <c r="L63" s="7"/>
      <c r="M63" s="7">
        <v>1</v>
      </c>
      <c r="N63" s="7">
        <v>1</v>
      </c>
      <c r="O63" s="7"/>
      <c r="P63" s="7"/>
      <c r="Q63" s="7"/>
      <c r="R63" s="7">
        <v>3</v>
      </c>
      <c r="S63" s="7"/>
      <c r="T63" s="7"/>
      <c r="U63" s="7"/>
      <c r="V63" s="7"/>
      <c r="W63" s="7">
        <v>1</v>
      </c>
      <c r="X63" s="7"/>
      <c r="Y63" s="7">
        <v>1</v>
      </c>
      <c r="Z63" s="7">
        <v>2</v>
      </c>
      <c r="AA63" s="7"/>
      <c r="AB63" s="7">
        <v>1</v>
      </c>
      <c r="AC63" s="7">
        <v>1</v>
      </c>
      <c r="AD63" s="7"/>
      <c r="AE63" s="7"/>
      <c r="AF63" s="8"/>
      <c r="AG63" s="4">
        <f t="shared" si="2"/>
        <v>34</v>
      </c>
    </row>
    <row r="64" spans="1:33" ht="18.75" x14ac:dyDescent="0.25">
      <c r="A64" s="41" t="s">
        <v>45</v>
      </c>
      <c r="B64" s="7">
        <v>1</v>
      </c>
      <c r="C64" s="7">
        <v>1</v>
      </c>
      <c r="D64" s="7"/>
      <c r="E64" s="7">
        <v>5</v>
      </c>
      <c r="F64" s="7">
        <v>2</v>
      </c>
      <c r="G64" s="7">
        <v>3</v>
      </c>
      <c r="H64" s="7">
        <v>2</v>
      </c>
      <c r="I64" s="7">
        <v>3</v>
      </c>
      <c r="J64" s="7">
        <v>3</v>
      </c>
      <c r="K64" s="7">
        <v>1</v>
      </c>
      <c r="L64" s="7">
        <v>3</v>
      </c>
      <c r="M64" s="7">
        <v>1</v>
      </c>
      <c r="N64" s="7">
        <v>1</v>
      </c>
      <c r="O64" s="7"/>
      <c r="P64" s="7"/>
      <c r="Q64" s="7"/>
      <c r="R64" s="7"/>
      <c r="S64" s="7"/>
      <c r="T64" s="7">
        <v>1</v>
      </c>
      <c r="U64" s="7">
        <v>1</v>
      </c>
      <c r="V64" s="7">
        <v>1</v>
      </c>
      <c r="W64" s="7"/>
      <c r="X64" s="7"/>
      <c r="Y64" s="7">
        <v>1</v>
      </c>
      <c r="Z64" s="7"/>
      <c r="AA64" s="7"/>
      <c r="AB64" s="7">
        <v>2</v>
      </c>
      <c r="AC64" s="7">
        <v>1</v>
      </c>
      <c r="AD64" s="7"/>
      <c r="AE64" s="7"/>
      <c r="AF64" s="8"/>
      <c r="AG64" s="4">
        <f t="shared" si="2"/>
        <v>33</v>
      </c>
    </row>
    <row r="65" spans="1:33" ht="18.75" x14ac:dyDescent="0.25">
      <c r="A65" s="41" t="s">
        <v>46</v>
      </c>
      <c r="B65" s="7"/>
      <c r="C65" s="7">
        <v>1</v>
      </c>
      <c r="D65" s="7"/>
      <c r="E65" s="7">
        <v>3</v>
      </c>
      <c r="F65" s="7">
        <v>3</v>
      </c>
      <c r="G65" s="7"/>
      <c r="H65" s="7"/>
      <c r="I65" s="7"/>
      <c r="J65" s="7"/>
      <c r="K65" s="7"/>
      <c r="L65" s="7">
        <v>4</v>
      </c>
      <c r="M65" s="7"/>
      <c r="N65" s="7">
        <v>1</v>
      </c>
      <c r="O65" s="7"/>
      <c r="P65" s="7">
        <v>3</v>
      </c>
      <c r="Q65" s="7"/>
      <c r="R65" s="7">
        <v>2</v>
      </c>
      <c r="S65" s="7">
        <v>3</v>
      </c>
      <c r="T65" s="7">
        <v>3</v>
      </c>
      <c r="U65" s="7">
        <v>2</v>
      </c>
      <c r="V65" s="7">
        <v>4</v>
      </c>
      <c r="W65" s="7"/>
      <c r="X65" s="7">
        <v>2</v>
      </c>
      <c r="Y65" s="7"/>
      <c r="Z65" s="7"/>
      <c r="AA65" s="7"/>
      <c r="AB65" s="7">
        <v>2</v>
      </c>
      <c r="AC65" s="7"/>
      <c r="AD65" s="7"/>
      <c r="AE65" s="7"/>
      <c r="AF65" s="8"/>
      <c r="AG65" s="4">
        <f t="shared" si="2"/>
        <v>33</v>
      </c>
    </row>
    <row r="66" spans="1:33" ht="18.75" x14ac:dyDescent="0.25">
      <c r="A66" s="41" t="s">
        <v>47</v>
      </c>
      <c r="B66" s="7"/>
      <c r="C66" s="7">
        <v>1</v>
      </c>
      <c r="D66" s="7"/>
      <c r="E66" s="7">
        <v>3</v>
      </c>
      <c r="F66" s="7">
        <v>4</v>
      </c>
      <c r="G66" s="7">
        <v>1</v>
      </c>
      <c r="H66" s="7">
        <v>1</v>
      </c>
      <c r="I66" s="7">
        <v>1</v>
      </c>
      <c r="J66" s="7">
        <v>2</v>
      </c>
      <c r="K66" s="7"/>
      <c r="L66" s="7">
        <v>12</v>
      </c>
      <c r="M66" s="7">
        <v>1</v>
      </c>
      <c r="N66" s="7"/>
      <c r="O66" s="7">
        <v>8</v>
      </c>
      <c r="P66" s="7">
        <v>1</v>
      </c>
      <c r="Q66" s="7">
        <v>1</v>
      </c>
      <c r="R66" s="7">
        <v>4</v>
      </c>
      <c r="S66" s="7">
        <v>1</v>
      </c>
      <c r="T66" s="7"/>
      <c r="U66" s="7">
        <v>1</v>
      </c>
      <c r="V66" s="7">
        <v>5</v>
      </c>
      <c r="W66" s="7"/>
      <c r="X66" s="7"/>
      <c r="Y66" s="7"/>
      <c r="Z66" s="7">
        <v>9</v>
      </c>
      <c r="AA66" s="7">
        <v>8</v>
      </c>
      <c r="AB66" s="7"/>
      <c r="AC66" s="7">
        <v>3</v>
      </c>
      <c r="AD66" s="7"/>
      <c r="AE66" s="7"/>
      <c r="AF66" s="8"/>
      <c r="AG66" s="4">
        <f t="shared" si="2"/>
        <v>67</v>
      </c>
    </row>
    <row r="67" spans="1:33" ht="18.75" x14ac:dyDescent="0.25">
      <c r="A67" s="41" t="s">
        <v>48</v>
      </c>
      <c r="B67" s="7"/>
      <c r="C67" s="7">
        <v>3</v>
      </c>
      <c r="D67" s="7"/>
      <c r="E67" s="7">
        <v>1</v>
      </c>
      <c r="F67" s="7">
        <v>8</v>
      </c>
      <c r="G67" s="7">
        <v>2</v>
      </c>
      <c r="H67" s="7">
        <v>2</v>
      </c>
      <c r="I67" s="7">
        <v>1</v>
      </c>
      <c r="J67" s="7">
        <v>3</v>
      </c>
      <c r="K67" s="7"/>
      <c r="L67" s="7">
        <v>8</v>
      </c>
      <c r="M67" s="7">
        <v>3</v>
      </c>
      <c r="N67" s="7">
        <v>2</v>
      </c>
      <c r="O67" s="7">
        <v>1</v>
      </c>
      <c r="P67" s="7"/>
      <c r="Q67" s="7"/>
      <c r="R67" s="7"/>
      <c r="S67" s="7">
        <v>9</v>
      </c>
      <c r="T67" s="7">
        <v>5</v>
      </c>
      <c r="U67" s="7"/>
      <c r="V67" s="7"/>
      <c r="W67" s="7"/>
      <c r="X67" s="7"/>
      <c r="Y67" s="7"/>
      <c r="Z67" s="7"/>
      <c r="AA67" s="7">
        <v>1</v>
      </c>
      <c r="AB67" s="7">
        <v>2</v>
      </c>
      <c r="AC67" s="7"/>
      <c r="AD67" s="7"/>
      <c r="AE67" s="7"/>
      <c r="AF67" s="8"/>
      <c r="AG67" s="4">
        <f t="shared" si="2"/>
        <v>51</v>
      </c>
    </row>
    <row r="68" spans="1:33" ht="18.75" x14ac:dyDescent="0.25">
      <c r="A68" s="41" t="s">
        <v>49</v>
      </c>
      <c r="B68" s="7"/>
      <c r="C68" s="7"/>
      <c r="D68" s="7">
        <v>2</v>
      </c>
      <c r="E68" s="7">
        <v>1</v>
      </c>
      <c r="F68" s="7">
        <v>6</v>
      </c>
      <c r="G68" s="7"/>
      <c r="H68" s="7">
        <v>1</v>
      </c>
      <c r="I68" s="7">
        <v>3</v>
      </c>
      <c r="J68" s="7">
        <v>1</v>
      </c>
      <c r="K68" s="7">
        <v>1</v>
      </c>
      <c r="L68" s="7"/>
      <c r="M68" s="7"/>
      <c r="N68" s="7"/>
      <c r="O68" s="7">
        <v>6</v>
      </c>
      <c r="P68" s="7">
        <v>1</v>
      </c>
      <c r="Q68" s="7"/>
      <c r="R68" s="7"/>
      <c r="S68" s="7">
        <v>1</v>
      </c>
      <c r="T68" s="7">
        <v>8</v>
      </c>
      <c r="U68" s="7">
        <v>1</v>
      </c>
      <c r="V68" s="7">
        <v>1</v>
      </c>
      <c r="W68" s="7">
        <v>1</v>
      </c>
      <c r="X68" s="7">
        <v>1</v>
      </c>
      <c r="Y68" s="7"/>
      <c r="Z68" s="7"/>
      <c r="AA68" s="7">
        <v>1</v>
      </c>
      <c r="AB68" s="7">
        <v>1</v>
      </c>
      <c r="AC68" s="7">
        <v>2</v>
      </c>
      <c r="AD68" s="7"/>
      <c r="AE68" s="7"/>
      <c r="AF68" s="8"/>
      <c r="AG68" s="4">
        <f t="shared" si="2"/>
        <v>39</v>
      </c>
    </row>
    <row r="69" spans="1:33" ht="18.75" x14ac:dyDescent="0.25">
      <c r="A69" s="41" t="s">
        <v>50</v>
      </c>
      <c r="B69" s="7"/>
      <c r="C69" s="7"/>
      <c r="D69" s="7">
        <v>1</v>
      </c>
      <c r="E69" s="7"/>
      <c r="F69" s="7">
        <v>4</v>
      </c>
      <c r="G69" s="7"/>
      <c r="H69" s="7"/>
      <c r="I69" s="7">
        <v>1</v>
      </c>
      <c r="J69" s="7"/>
      <c r="K69" s="7"/>
      <c r="L69" s="7"/>
      <c r="M69" s="7">
        <v>1</v>
      </c>
      <c r="N69" s="7"/>
      <c r="O69" s="7">
        <v>1</v>
      </c>
      <c r="P69" s="7"/>
      <c r="Q69" s="7"/>
      <c r="R69" s="7">
        <v>5</v>
      </c>
      <c r="S69" s="7">
        <v>1</v>
      </c>
      <c r="T69" s="7"/>
      <c r="U69" s="7"/>
      <c r="V69" s="7"/>
      <c r="W69" s="7"/>
      <c r="X69" s="7">
        <v>1</v>
      </c>
      <c r="Y69" s="7"/>
      <c r="Z69" s="7"/>
      <c r="AA69" s="7"/>
      <c r="AB69" s="7">
        <v>5</v>
      </c>
      <c r="AC69" s="7"/>
      <c r="AD69" s="7"/>
      <c r="AE69" s="7"/>
      <c r="AF69" s="8"/>
      <c r="AG69" s="4">
        <f t="shared" si="2"/>
        <v>20</v>
      </c>
    </row>
    <row r="70" spans="1:33" ht="18.75" x14ac:dyDescent="0.25">
      <c r="A70" s="41" t="s">
        <v>33</v>
      </c>
      <c r="B70" s="114"/>
      <c r="C70" s="114"/>
      <c r="D70" s="7">
        <v>1</v>
      </c>
      <c r="E70" s="114"/>
      <c r="F70" s="114">
        <v>3</v>
      </c>
      <c r="G70" s="7"/>
      <c r="H70" s="114"/>
      <c r="I70" s="7">
        <v>3</v>
      </c>
      <c r="J70" s="114"/>
      <c r="K70" s="114"/>
      <c r="L70" s="114"/>
      <c r="M70" s="114"/>
      <c r="N70" s="114"/>
      <c r="O70" s="114">
        <v>1</v>
      </c>
      <c r="P70" s="114"/>
      <c r="Q70" s="114">
        <v>2</v>
      </c>
      <c r="R70" s="114">
        <v>2</v>
      </c>
      <c r="S70" s="114"/>
      <c r="T70" s="114"/>
      <c r="U70" s="114"/>
      <c r="V70" s="114"/>
      <c r="W70" s="114"/>
      <c r="X70" s="114"/>
      <c r="Y70" s="114"/>
      <c r="Z70" s="114"/>
      <c r="AA70" s="114"/>
      <c r="AB70" s="114">
        <v>1</v>
      </c>
      <c r="AC70" s="114"/>
      <c r="AD70" s="114"/>
      <c r="AE70" s="114"/>
      <c r="AF70" s="115"/>
      <c r="AG70" s="4">
        <f t="shared" si="2"/>
        <v>13</v>
      </c>
    </row>
    <row r="71" spans="1:33" ht="18.75" x14ac:dyDescent="0.25">
      <c r="A71" s="41" t="s">
        <v>34</v>
      </c>
      <c r="B71" s="114">
        <v>2</v>
      </c>
      <c r="C71" s="114"/>
      <c r="D71" s="7"/>
      <c r="E71" s="114"/>
      <c r="F71" s="114"/>
      <c r="G71" s="7"/>
      <c r="H71" s="114"/>
      <c r="I71" s="7"/>
      <c r="J71" s="114">
        <v>2</v>
      </c>
      <c r="K71" s="114"/>
      <c r="L71" s="114"/>
      <c r="M71" s="114">
        <v>2</v>
      </c>
      <c r="N71" s="114"/>
      <c r="O71" s="114"/>
      <c r="P71" s="114"/>
      <c r="Q71" s="114">
        <v>1</v>
      </c>
      <c r="R71" s="114"/>
      <c r="S71" s="114"/>
      <c r="T71" s="114">
        <v>1</v>
      </c>
      <c r="U71" s="114"/>
      <c r="V71" s="114"/>
      <c r="W71" s="114"/>
      <c r="X71" s="114"/>
      <c r="Y71" s="114"/>
      <c r="Z71" s="114"/>
      <c r="AA71" s="114">
        <v>1</v>
      </c>
      <c r="AB71" s="114">
        <v>5</v>
      </c>
      <c r="AC71" s="114">
        <v>3</v>
      </c>
      <c r="AD71" s="114"/>
      <c r="AE71" s="114"/>
      <c r="AF71" s="115"/>
      <c r="AG71" s="4">
        <f t="shared" si="2"/>
        <v>17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>
        <v>1</v>
      </c>
      <c r="G72" s="7"/>
      <c r="H72" s="114">
        <v>1</v>
      </c>
      <c r="I72" s="7"/>
      <c r="J72" s="114"/>
      <c r="K72" s="114"/>
      <c r="L72" s="114"/>
      <c r="M72" s="114">
        <v>1</v>
      </c>
      <c r="N72" s="114"/>
      <c r="O72" s="114">
        <v>1</v>
      </c>
      <c r="P72" s="114"/>
      <c r="Q72" s="114">
        <v>1</v>
      </c>
      <c r="R72" s="114"/>
      <c r="S72" s="114"/>
      <c r="T72" s="114">
        <v>4</v>
      </c>
      <c r="U72" s="114"/>
      <c r="V72" s="114"/>
      <c r="W72" s="114"/>
      <c r="X72" s="114"/>
      <c r="Y72" s="114"/>
      <c r="Z72" s="114">
        <v>1</v>
      </c>
      <c r="AA72" s="114"/>
      <c r="AB72" s="114"/>
      <c r="AC72" s="114">
        <v>4</v>
      </c>
      <c r="AD72" s="114"/>
      <c r="AE72" s="114"/>
      <c r="AF72" s="115"/>
      <c r="AG72" s="4">
        <f t="shared" si="2"/>
        <v>14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>
        <v>1</v>
      </c>
      <c r="O73" s="114">
        <v>1</v>
      </c>
      <c r="P73" s="114"/>
      <c r="Q73" s="114"/>
      <c r="R73" s="114">
        <v>1</v>
      </c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3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>
        <v>1</v>
      </c>
      <c r="H74" s="114"/>
      <c r="I74" s="7"/>
      <c r="J74" s="114"/>
      <c r="K74" s="114"/>
      <c r="L74" s="114"/>
      <c r="M74" s="114"/>
      <c r="N74" s="114"/>
      <c r="O74" s="114"/>
      <c r="P74" s="114"/>
      <c r="Q74" s="114">
        <v>1</v>
      </c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2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>
        <v>1</v>
      </c>
      <c r="N75" s="114"/>
      <c r="O75" s="114"/>
      <c r="P75" s="114"/>
      <c r="Q75" s="114">
        <v>1</v>
      </c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2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>
        <v>1</v>
      </c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>
        <v>1</v>
      </c>
      <c r="AA77" s="166"/>
      <c r="AB77" s="166"/>
      <c r="AC77" s="166"/>
      <c r="AD77" s="166"/>
      <c r="AE77" s="166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170</v>
      </c>
      <c r="C78" s="185">
        <f t="shared" si="5"/>
        <v>226</v>
      </c>
      <c r="D78" s="185">
        <f t="shared" si="5"/>
        <v>217</v>
      </c>
      <c r="E78" s="184">
        <f t="shared" si="5"/>
        <v>225</v>
      </c>
      <c r="F78" s="184">
        <f t="shared" si="5"/>
        <v>206</v>
      </c>
      <c r="G78" s="184">
        <f t="shared" si="5"/>
        <v>196</v>
      </c>
      <c r="H78" s="184">
        <f t="shared" si="5"/>
        <v>182</v>
      </c>
      <c r="I78" s="184">
        <f t="shared" si="5"/>
        <v>167</v>
      </c>
      <c r="J78" s="184">
        <f t="shared" si="5"/>
        <v>255</v>
      </c>
      <c r="K78" s="184">
        <f t="shared" si="5"/>
        <v>224</v>
      </c>
      <c r="L78" s="184">
        <f t="shared" si="5"/>
        <v>228</v>
      </c>
      <c r="M78" s="184">
        <f t="shared" si="5"/>
        <v>163</v>
      </c>
      <c r="N78" s="184">
        <f t="shared" si="5"/>
        <v>187</v>
      </c>
      <c r="O78" s="184">
        <f>SUM(O79:O80)</f>
        <v>188</v>
      </c>
      <c r="P78" s="184">
        <f t="shared" si="5"/>
        <v>167</v>
      </c>
      <c r="Q78" s="184">
        <f t="shared" si="5"/>
        <v>239</v>
      </c>
      <c r="R78" s="184">
        <f t="shared" si="5"/>
        <v>238</v>
      </c>
      <c r="S78" s="184">
        <f t="shared" si="5"/>
        <v>215</v>
      </c>
      <c r="T78" s="184">
        <f t="shared" si="5"/>
        <v>199</v>
      </c>
      <c r="U78" s="184">
        <f t="shared" si="5"/>
        <v>205</v>
      </c>
      <c r="V78" s="184">
        <f t="shared" si="5"/>
        <v>193</v>
      </c>
      <c r="W78" s="184">
        <f t="shared" si="5"/>
        <v>172</v>
      </c>
      <c r="X78" s="184">
        <f t="shared" si="5"/>
        <v>228</v>
      </c>
      <c r="Y78" s="184">
        <f t="shared" si="5"/>
        <v>207</v>
      </c>
      <c r="Z78" s="184">
        <f t="shared" si="5"/>
        <v>223</v>
      </c>
      <c r="AA78" s="184">
        <f t="shared" si="5"/>
        <v>205</v>
      </c>
      <c r="AB78" s="184">
        <f t="shared" si="5"/>
        <v>182</v>
      </c>
      <c r="AC78" s="184">
        <f t="shared" si="5"/>
        <v>181</v>
      </c>
      <c r="AD78" s="184">
        <f t="shared" si="5"/>
        <v>0</v>
      </c>
      <c r="AE78" s="184">
        <f t="shared" si="5"/>
        <v>0</v>
      </c>
      <c r="AF78" s="186">
        <f t="shared" si="5"/>
        <v>0</v>
      </c>
      <c r="AG78" s="116">
        <f t="shared" si="2"/>
        <v>5688</v>
      </c>
    </row>
    <row r="79" spans="1:33" ht="19.5" hidden="1" customHeight="1" x14ac:dyDescent="0.25">
      <c r="A79" s="181" t="s">
        <v>58</v>
      </c>
      <c r="B79" s="114">
        <f t="shared" ref="B79:AF79" si="6">SUM(B4:B27)-B80</f>
        <v>170</v>
      </c>
      <c r="C79" s="114">
        <f t="shared" si="6"/>
        <v>226</v>
      </c>
      <c r="D79" s="114">
        <f t="shared" si="6"/>
        <v>217</v>
      </c>
      <c r="E79" s="114">
        <f t="shared" si="6"/>
        <v>225</v>
      </c>
      <c r="F79" s="114">
        <f t="shared" si="6"/>
        <v>178</v>
      </c>
      <c r="G79" s="114">
        <f t="shared" si="6"/>
        <v>168</v>
      </c>
      <c r="H79" s="114">
        <f t="shared" si="6"/>
        <v>149</v>
      </c>
      <c r="I79" s="114">
        <f t="shared" si="6"/>
        <v>167</v>
      </c>
      <c r="J79" s="114">
        <f t="shared" si="6"/>
        <v>255</v>
      </c>
      <c r="K79" s="114">
        <f t="shared" si="6"/>
        <v>224</v>
      </c>
      <c r="L79" s="114">
        <f t="shared" si="6"/>
        <v>228</v>
      </c>
      <c r="M79" s="114">
        <f t="shared" si="6"/>
        <v>139</v>
      </c>
      <c r="N79" s="114">
        <f t="shared" si="6"/>
        <v>139</v>
      </c>
      <c r="O79" s="114">
        <f t="shared" si="6"/>
        <v>171</v>
      </c>
      <c r="P79" s="114">
        <f t="shared" si="6"/>
        <v>167</v>
      </c>
      <c r="Q79" s="114">
        <f t="shared" si="6"/>
        <v>239</v>
      </c>
      <c r="R79" s="114">
        <f t="shared" si="6"/>
        <v>123</v>
      </c>
      <c r="S79" s="114">
        <f t="shared" si="6"/>
        <v>178</v>
      </c>
      <c r="T79" s="114">
        <f t="shared" si="6"/>
        <v>161</v>
      </c>
      <c r="U79" s="114">
        <f t="shared" si="6"/>
        <v>179</v>
      </c>
      <c r="V79" s="114">
        <f t="shared" si="6"/>
        <v>156</v>
      </c>
      <c r="W79" s="114">
        <f t="shared" si="6"/>
        <v>172</v>
      </c>
      <c r="X79" s="114">
        <f t="shared" si="6"/>
        <v>228</v>
      </c>
      <c r="Y79" s="114">
        <f t="shared" si="6"/>
        <v>100</v>
      </c>
      <c r="Z79" s="114">
        <f t="shared" si="6"/>
        <v>223</v>
      </c>
      <c r="AA79" s="114">
        <f t="shared" si="6"/>
        <v>173</v>
      </c>
      <c r="AB79" s="114">
        <f t="shared" si="6"/>
        <v>152</v>
      </c>
      <c r="AC79" s="114">
        <f t="shared" si="6"/>
        <v>162</v>
      </c>
      <c r="AD79" s="114">
        <f t="shared" si="6"/>
        <v>0</v>
      </c>
      <c r="AE79" s="114">
        <f t="shared" si="6"/>
        <v>0</v>
      </c>
      <c r="AF79" s="114">
        <f t="shared" si="6"/>
        <v>0</v>
      </c>
      <c r="AG79" s="132">
        <f t="shared" si="2"/>
        <v>5069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28</v>
      </c>
      <c r="G80" s="9">
        <f>SUM(G4:G12)</f>
        <v>28</v>
      </c>
      <c r="H80" s="9">
        <f>SUM(H4:H12)</f>
        <v>33</v>
      </c>
      <c r="I80" s="11"/>
      <c r="J80" s="11"/>
      <c r="K80" s="9">
        <v>0</v>
      </c>
      <c r="L80" s="9">
        <v>0</v>
      </c>
      <c r="M80" s="9">
        <f>SUM(M4:M12)</f>
        <v>24</v>
      </c>
      <c r="N80" s="9">
        <f>SUM(N4:N12)</f>
        <v>48</v>
      </c>
      <c r="O80" s="9">
        <f>SUM(O4:O12)</f>
        <v>17</v>
      </c>
      <c r="P80" s="11"/>
      <c r="Q80" s="11"/>
      <c r="R80" s="9">
        <f>SUM(R4:R12)</f>
        <v>115</v>
      </c>
      <c r="S80" s="9">
        <f>SUM(S4:S12)</f>
        <v>37</v>
      </c>
      <c r="T80" s="9">
        <f>SUM(T4:T12)</f>
        <v>38</v>
      </c>
      <c r="U80" s="9">
        <f>SUM(U4:U12)</f>
        <v>26</v>
      </c>
      <c r="V80" s="9">
        <f>SUM(V4:V12)</f>
        <v>37</v>
      </c>
      <c r="W80" s="11"/>
      <c r="X80" s="11"/>
      <c r="Y80" s="9">
        <f>SUM(Y4:Y12)</f>
        <v>107</v>
      </c>
      <c r="Z80" s="11"/>
      <c r="AA80" s="9">
        <f>SUM(AA4:AA12)</f>
        <v>32</v>
      </c>
      <c r="AB80" s="9">
        <f>SUM(AB4:AB12)</f>
        <v>30</v>
      </c>
      <c r="AC80" s="9">
        <f>SUM(AC4:AC12)</f>
        <v>19</v>
      </c>
      <c r="AD80" s="11"/>
      <c r="AE80" s="11"/>
      <c r="AF80" s="9">
        <f>SUM(AF4:AF12)</f>
        <v>0</v>
      </c>
      <c r="AG80" s="108">
        <f t="shared" si="2"/>
        <v>619</v>
      </c>
    </row>
    <row r="81" spans="1:35" ht="19.5" thickBot="1" x14ac:dyDescent="0.3">
      <c r="A81" s="183" t="s">
        <v>98</v>
      </c>
      <c r="B81" s="184">
        <f t="shared" ref="B81:AF81" si="7">SUM(B82:B83)</f>
        <v>3</v>
      </c>
      <c r="C81" s="184">
        <f t="shared" si="7"/>
        <v>8</v>
      </c>
      <c r="D81" s="184">
        <f t="shared" si="7"/>
        <v>7</v>
      </c>
      <c r="E81" s="184">
        <f t="shared" si="7"/>
        <v>19</v>
      </c>
      <c r="F81" s="184">
        <f t="shared" si="7"/>
        <v>36</v>
      </c>
      <c r="G81" s="184">
        <f t="shared" si="7"/>
        <v>11</v>
      </c>
      <c r="H81" s="184">
        <f t="shared" si="7"/>
        <v>9</v>
      </c>
      <c r="I81" s="184">
        <f t="shared" si="7"/>
        <v>16</v>
      </c>
      <c r="J81" s="184">
        <f t="shared" si="7"/>
        <v>14</v>
      </c>
      <c r="K81" s="184">
        <f t="shared" si="7"/>
        <v>6</v>
      </c>
      <c r="L81" s="184">
        <f t="shared" si="7"/>
        <v>27</v>
      </c>
      <c r="M81" s="184">
        <f t="shared" si="7"/>
        <v>11</v>
      </c>
      <c r="N81" s="184">
        <f t="shared" si="7"/>
        <v>6</v>
      </c>
      <c r="O81" s="184">
        <f t="shared" si="7"/>
        <v>19</v>
      </c>
      <c r="P81" s="184">
        <f t="shared" si="7"/>
        <v>5</v>
      </c>
      <c r="Q81" s="184">
        <f t="shared" si="7"/>
        <v>15</v>
      </c>
      <c r="R81" s="184">
        <f t="shared" si="7"/>
        <v>27</v>
      </c>
      <c r="S81" s="184">
        <f t="shared" si="7"/>
        <v>16</v>
      </c>
      <c r="T81" s="184">
        <f t="shared" si="7"/>
        <v>23</v>
      </c>
      <c r="U81" s="184">
        <f t="shared" si="7"/>
        <v>5</v>
      </c>
      <c r="V81" s="184">
        <f t="shared" si="7"/>
        <v>11</v>
      </c>
      <c r="W81" s="184">
        <f t="shared" si="7"/>
        <v>2</v>
      </c>
      <c r="X81" s="184">
        <f t="shared" si="7"/>
        <v>6</v>
      </c>
      <c r="Y81" s="184">
        <f t="shared" si="7"/>
        <v>7</v>
      </c>
      <c r="Z81" s="184">
        <f>SUM(Z82:Z83)</f>
        <v>14</v>
      </c>
      <c r="AA81" s="184">
        <f t="shared" si="7"/>
        <v>12</v>
      </c>
      <c r="AB81" s="184">
        <f t="shared" si="7"/>
        <v>20</v>
      </c>
      <c r="AC81" s="184">
        <f t="shared" si="7"/>
        <v>14</v>
      </c>
      <c r="AD81" s="184">
        <f t="shared" si="7"/>
        <v>0</v>
      </c>
      <c r="AE81" s="184">
        <f t="shared" si="7"/>
        <v>0</v>
      </c>
      <c r="AF81" s="184">
        <f t="shared" si="7"/>
        <v>0</v>
      </c>
      <c r="AG81" s="116">
        <f t="shared" si="2"/>
        <v>369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82"/>
      <c r="D82" s="182"/>
      <c r="E82" s="114">
        <f t="shared" si="8"/>
        <v>0</v>
      </c>
      <c r="F82" s="114">
        <f t="shared" si="8"/>
        <v>0</v>
      </c>
      <c r="G82" s="114">
        <f t="shared" si="8"/>
        <v>0</v>
      </c>
      <c r="H82" s="114">
        <f t="shared" si="8"/>
        <v>0</v>
      </c>
      <c r="I82" s="114">
        <f t="shared" si="8"/>
        <v>0</v>
      </c>
      <c r="J82" s="182"/>
      <c r="K82" s="182"/>
      <c r="L82" s="114">
        <f t="shared" si="8"/>
        <v>0</v>
      </c>
      <c r="M82" s="114">
        <f t="shared" si="8"/>
        <v>0</v>
      </c>
      <c r="N82" s="114">
        <f t="shared" si="8"/>
        <v>0</v>
      </c>
      <c r="O82" s="114">
        <f t="shared" si="8"/>
        <v>0</v>
      </c>
      <c r="P82" s="114">
        <f t="shared" si="8"/>
        <v>0</v>
      </c>
      <c r="Q82" s="182"/>
      <c r="R82" s="182"/>
      <c r="S82" s="114">
        <f t="shared" si="8"/>
        <v>0</v>
      </c>
      <c r="T82" s="114">
        <f t="shared" si="8"/>
        <v>1</v>
      </c>
      <c r="U82" s="114">
        <f t="shared" si="8"/>
        <v>0</v>
      </c>
      <c r="V82" s="114">
        <f t="shared" si="8"/>
        <v>0</v>
      </c>
      <c r="W82" s="114">
        <f t="shared" si="8"/>
        <v>0</v>
      </c>
      <c r="X82" s="182"/>
      <c r="Y82" s="182"/>
      <c r="Z82" s="114">
        <f t="shared" si="8"/>
        <v>1</v>
      </c>
      <c r="AA82" s="114">
        <f t="shared" si="8"/>
        <v>1</v>
      </c>
      <c r="AB82" s="114">
        <f t="shared" si="8"/>
        <v>1</v>
      </c>
      <c r="AC82" s="114">
        <f t="shared" si="8"/>
        <v>0</v>
      </c>
      <c r="AD82" s="114">
        <f t="shared" si="8"/>
        <v>0</v>
      </c>
      <c r="AE82" s="114">
        <f t="shared" si="8"/>
        <v>0</v>
      </c>
      <c r="AF82" s="114">
        <f t="shared" si="8"/>
        <v>0</v>
      </c>
      <c r="AG82" s="132">
        <f t="shared" si="2"/>
        <v>4</v>
      </c>
    </row>
    <row r="83" spans="1:35" ht="19.5" thickBot="1" x14ac:dyDescent="0.3">
      <c r="A83" s="107" t="s">
        <v>58</v>
      </c>
      <c r="B83" s="9">
        <f t="shared" ref="B83" si="9">SUM(B54:B77)-B82</f>
        <v>3</v>
      </c>
      <c r="C83" s="9">
        <f t="shared" ref="C83" si="10">SUM(C54:C77)-C82</f>
        <v>8</v>
      </c>
      <c r="D83" s="9">
        <f t="shared" ref="D83:AF83" si="11">SUM(D54:D77)-D82</f>
        <v>7</v>
      </c>
      <c r="E83" s="9">
        <f t="shared" si="11"/>
        <v>19</v>
      </c>
      <c r="F83" s="9">
        <f t="shared" si="11"/>
        <v>36</v>
      </c>
      <c r="G83" s="9">
        <f t="shared" si="11"/>
        <v>11</v>
      </c>
      <c r="H83" s="9">
        <f t="shared" si="11"/>
        <v>9</v>
      </c>
      <c r="I83" s="9">
        <f t="shared" si="11"/>
        <v>16</v>
      </c>
      <c r="J83" s="9">
        <f t="shared" si="11"/>
        <v>14</v>
      </c>
      <c r="K83" s="9">
        <f t="shared" si="11"/>
        <v>6</v>
      </c>
      <c r="L83" s="9">
        <f t="shared" si="11"/>
        <v>27</v>
      </c>
      <c r="M83" s="9">
        <f t="shared" si="11"/>
        <v>11</v>
      </c>
      <c r="N83" s="9">
        <f t="shared" si="11"/>
        <v>6</v>
      </c>
      <c r="O83" s="9">
        <f t="shared" si="11"/>
        <v>19</v>
      </c>
      <c r="P83" s="9">
        <f t="shared" si="11"/>
        <v>5</v>
      </c>
      <c r="Q83" s="9">
        <f t="shared" si="11"/>
        <v>15</v>
      </c>
      <c r="R83" s="9">
        <f t="shared" si="11"/>
        <v>27</v>
      </c>
      <c r="S83" s="9">
        <f t="shared" si="11"/>
        <v>16</v>
      </c>
      <c r="T83" s="9">
        <f t="shared" si="11"/>
        <v>22</v>
      </c>
      <c r="U83" s="9">
        <f t="shared" si="11"/>
        <v>5</v>
      </c>
      <c r="V83" s="9">
        <f t="shared" si="11"/>
        <v>11</v>
      </c>
      <c r="W83" s="9">
        <f t="shared" si="11"/>
        <v>2</v>
      </c>
      <c r="X83" s="9">
        <f t="shared" si="11"/>
        <v>6</v>
      </c>
      <c r="Y83" s="9">
        <f t="shared" si="11"/>
        <v>7</v>
      </c>
      <c r="Z83" s="9">
        <f t="shared" si="11"/>
        <v>13</v>
      </c>
      <c r="AA83" s="9">
        <f t="shared" si="11"/>
        <v>11</v>
      </c>
      <c r="AB83" s="9">
        <f t="shared" si="11"/>
        <v>19</v>
      </c>
      <c r="AC83" s="9">
        <f t="shared" si="11"/>
        <v>14</v>
      </c>
      <c r="AD83" s="9">
        <f t="shared" si="11"/>
        <v>0</v>
      </c>
      <c r="AE83" s="9">
        <f t="shared" si="11"/>
        <v>0</v>
      </c>
      <c r="AF83" s="9">
        <f t="shared" si="11"/>
        <v>0</v>
      </c>
      <c r="AG83" s="4">
        <f t="shared" si="2"/>
        <v>365</v>
      </c>
    </row>
    <row r="84" spans="1:35" ht="19.5" thickBot="1" x14ac:dyDescent="0.3">
      <c r="A84" s="164" t="s">
        <v>146</v>
      </c>
      <c r="B84" s="165">
        <f>SUM(B85:B86)</f>
        <v>3</v>
      </c>
      <c r="C84" s="165">
        <f t="shared" ref="C84:AF84" si="12">SUM(C85:C86)</f>
        <v>8</v>
      </c>
      <c r="D84" s="165">
        <f t="shared" si="12"/>
        <v>7</v>
      </c>
      <c r="E84" s="165">
        <f t="shared" si="12"/>
        <v>19</v>
      </c>
      <c r="F84" s="165">
        <f t="shared" si="12"/>
        <v>36</v>
      </c>
      <c r="G84" s="165">
        <f t="shared" si="12"/>
        <v>11</v>
      </c>
      <c r="H84" s="165">
        <f t="shared" si="12"/>
        <v>9</v>
      </c>
      <c r="I84" s="165">
        <f t="shared" si="12"/>
        <v>16</v>
      </c>
      <c r="J84" s="165">
        <f t="shared" si="12"/>
        <v>14</v>
      </c>
      <c r="K84" s="165">
        <f t="shared" si="12"/>
        <v>6</v>
      </c>
      <c r="L84" s="165">
        <f t="shared" si="12"/>
        <v>27</v>
      </c>
      <c r="M84" s="165">
        <f t="shared" si="12"/>
        <v>11</v>
      </c>
      <c r="N84" s="165">
        <f t="shared" si="12"/>
        <v>6</v>
      </c>
      <c r="O84" s="165">
        <f t="shared" si="12"/>
        <v>19</v>
      </c>
      <c r="P84" s="165">
        <f t="shared" si="12"/>
        <v>5</v>
      </c>
      <c r="Q84" s="165">
        <f t="shared" si="12"/>
        <v>15</v>
      </c>
      <c r="R84" s="165">
        <f t="shared" si="12"/>
        <v>27</v>
      </c>
      <c r="S84" s="165">
        <f t="shared" si="12"/>
        <v>16</v>
      </c>
      <c r="T84" s="165">
        <f t="shared" si="12"/>
        <v>23</v>
      </c>
      <c r="U84" s="165">
        <f t="shared" si="12"/>
        <v>5</v>
      </c>
      <c r="V84" s="165">
        <f t="shared" si="12"/>
        <v>11</v>
      </c>
      <c r="W84" s="165">
        <f t="shared" si="12"/>
        <v>2</v>
      </c>
      <c r="X84" s="165">
        <f t="shared" si="12"/>
        <v>6</v>
      </c>
      <c r="Y84" s="165">
        <f t="shared" si="12"/>
        <v>7</v>
      </c>
      <c r="Z84" s="165">
        <f t="shared" si="12"/>
        <v>14</v>
      </c>
      <c r="AA84" s="165">
        <f t="shared" si="12"/>
        <v>12</v>
      </c>
      <c r="AB84" s="165">
        <f t="shared" si="12"/>
        <v>20</v>
      </c>
      <c r="AC84" s="165">
        <f t="shared" si="12"/>
        <v>14</v>
      </c>
      <c r="AD84" s="165">
        <f t="shared" si="12"/>
        <v>0</v>
      </c>
      <c r="AE84" s="165">
        <f t="shared" si="12"/>
        <v>0</v>
      </c>
      <c r="AF84" s="165">
        <f t="shared" si="12"/>
        <v>0</v>
      </c>
      <c r="AG84" s="171">
        <f t="shared" ref="AG84:AG126" si="13">SUM(B84:AF84)</f>
        <v>369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2</v>
      </c>
      <c r="C85" s="169">
        <v>1</v>
      </c>
      <c r="D85" s="169">
        <v>0</v>
      </c>
      <c r="E85" s="169">
        <v>1</v>
      </c>
      <c r="F85" s="169">
        <v>8</v>
      </c>
      <c r="G85" s="169">
        <v>2</v>
      </c>
      <c r="H85" s="169">
        <v>2</v>
      </c>
      <c r="I85" s="169">
        <v>1</v>
      </c>
      <c r="J85" s="169">
        <v>1</v>
      </c>
      <c r="K85" s="169">
        <v>1</v>
      </c>
      <c r="L85" s="169">
        <v>6</v>
      </c>
      <c r="M85" s="169">
        <v>2</v>
      </c>
      <c r="N85" s="169">
        <v>0</v>
      </c>
      <c r="O85" s="169">
        <v>2</v>
      </c>
      <c r="P85" s="169">
        <v>1</v>
      </c>
      <c r="Q85" s="169">
        <v>2</v>
      </c>
      <c r="R85" s="169">
        <v>7</v>
      </c>
      <c r="S85" s="169">
        <v>2</v>
      </c>
      <c r="T85" s="169">
        <v>3</v>
      </c>
      <c r="U85" s="169">
        <v>0</v>
      </c>
      <c r="V85" s="169">
        <v>0</v>
      </c>
      <c r="W85" s="169">
        <v>1</v>
      </c>
      <c r="X85" s="169">
        <v>1</v>
      </c>
      <c r="Y85" s="169">
        <v>0</v>
      </c>
      <c r="Z85" s="169">
        <v>1</v>
      </c>
      <c r="AA85" s="169">
        <v>0</v>
      </c>
      <c r="AB85" s="169">
        <v>6</v>
      </c>
      <c r="AC85" s="169">
        <v>2</v>
      </c>
      <c r="AD85" s="169"/>
      <c r="AE85" s="169"/>
      <c r="AF85" s="170"/>
      <c r="AG85" s="168">
        <f t="shared" si="13"/>
        <v>55</v>
      </c>
      <c r="AI85" s="374"/>
    </row>
    <row r="86" spans="1:35" ht="19.5" thickBot="1" x14ac:dyDescent="0.3">
      <c r="A86" s="172" t="s">
        <v>145</v>
      </c>
      <c r="B86" s="173">
        <v>1</v>
      </c>
      <c r="C86" s="173">
        <v>7</v>
      </c>
      <c r="D86" s="173">
        <v>7</v>
      </c>
      <c r="E86" s="173">
        <v>18</v>
      </c>
      <c r="F86" s="173">
        <v>28</v>
      </c>
      <c r="G86" s="173">
        <v>9</v>
      </c>
      <c r="H86" s="173">
        <v>7</v>
      </c>
      <c r="I86" s="173">
        <v>15</v>
      </c>
      <c r="J86" s="173">
        <v>13</v>
      </c>
      <c r="K86" s="173">
        <v>5</v>
      </c>
      <c r="L86" s="173">
        <v>21</v>
      </c>
      <c r="M86" s="173">
        <v>9</v>
      </c>
      <c r="N86" s="173">
        <v>6</v>
      </c>
      <c r="O86" s="173">
        <v>17</v>
      </c>
      <c r="P86" s="173">
        <v>4</v>
      </c>
      <c r="Q86" s="173">
        <v>13</v>
      </c>
      <c r="R86" s="173">
        <v>20</v>
      </c>
      <c r="S86" s="173">
        <v>14</v>
      </c>
      <c r="T86" s="173">
        <v>20</v>
      </c>
      <c r="U86" s="173">
        <v>5</v>
      </c>
      <c r="V86" s="173">
        <v>11</v>
      </c>
      <c r="W86" s="173">
        <v>1</v>
      </c>
      <c r="X86" s="173">
        <v>5</v>
      </c>
      <c r="Y86" s="173">
        <v>7</v>
      </c>
      <c r="Z86" s="173">
        <v>13</v>
      </c>
      <c r="AA86" s="173">
        <v>12</v>
      </c>
      <c r="AB86" s="173">
        <v>14</v>
      </c>
      <c r="AC86" s="173">
        <v>12</v>
      </c>
      <c r="AD86" s="173"/>
      <c r="AE86" s="173"/>
      <c r="AF86" s="174"/>
      <c r="AG86" s="176">
        <f t="shared" si="13"/>
        <v>314</v>
      </c>
      <c r="AI86" s="375"/>
    </row>
    <row r="87" spans="1:35" ht="19.5" thickBot="1" x14ac:dyDescent="0.3">
      <c r="A87" s="177" t="s">
        <v>147</v>
      </c>
      <c r="B87" s="178">
        <f>SUM(B88:B92)</f>
        <v>3</v>
      </c>
      <c r="C87" s="178">
        <f t="shared" ref="C87:AF87" si="14">SUM(C88:C92)</f>
        <v>8</v>
      </c>
      <c r="D87" s="178">
        <f t="shared" si="14"/>
        <v>7</v>
      </c>
      <c r="E87" s="178">
        <f t="shared" si="14"/>
        <v>19</v>
      </c>
      <c r="F87" s="178">
        <f t="shared" si="14"/>
        <v>36</v>
      </c>
      <c r="G87" s="178">
        <f t="shared" si="14"/>
        <v>11</v>
      </c>
      <c r="H87" s="178">
        <f t="shared" si="14"/>
        <v>9</v>
      </c>
      <c r="I87" s="178">
        <f t="shared" si="14"/>
        <v>16</v>
      </c>
      <c r="J87" s="178">
        <f t="shared" si="14"/>
        <v>14</v>
      </c>
      <c r="K87" s="178">
        <f t="shared" si="14"/>
        <v>6</v>
      </c>
      <c r="L87" s="178">
        <f t="shared" si="14"/>
        <v>27</v>
      </c>
      <c r="M87" s="178">
        <f t="shared" si="14"/>
        <v>11</v>
      </c>
      <c r="N87" s="178">
        <f t="shared" si="14"/>
        <v>6</v>
      </c>
      <c r="O87" s="178">
        <f t="shared" si="14"/>
        <v>19</v>
      </c>
      <c r="P87" s="178">
        <f t="shared" si="14"/>
        <v>5</v>
      </c>
      <c r="Q87" s="178">
        <f t="shared" si="14"/>
        <v>15</v>
      </c>
      <c r="R87" s="178">
        <f t="shared" si="14"/>
        <v>27</v>
      </c>
      <c r="S87" s="178">
        <f t="shared" si="14"/>
        <v>16</v>
      </c>
      <c r="T87" s="178">
        <f t="shared" si="14"/>
        <v>23</v>
      </c>
      <c r="U87" s="178">
        <f t="shared" si="14"/>
        <v>5</v>
      </c>
      <c r="V87" s="178">
        <f t="shared" si="14"/>
        <v>11</v>
      </c>
      <c r="W87" s="178">
        <f t="shared" si="14"/>
        <v>2</v>
      </c>
      <c r="X87" s="178">
        <f t="shared" si="14"/>
        <v>6</v>
      </c>
      <c r="Y87" s="178">
        <f t="shared" si="14"/>
        <v>7</v>
      </c>
      <c r="Z87" s="178">
        <f t="shared" si="14"/>
        <v>14</v>
      </c>
      <c r="AA87" s="178">
        <f t="shared" si="14"/>
        <v>12</v>
      </c>
      <c r="AB87" s="178">
        <f t="shared" si="14"/>
        <v>20</v>
      </c>
      <c r="AC87" s="178">
        <f t="shared" si="14"/>
        <v>14</v>
      </c>
      <c r="AD87" s="178">
        <f t="shared" si="14"/>
        <v>0</v>
      </c>
      <c r="AE87" s="178">
        <f t="shared" si="14"/>
        <v>0</v>
      </c>
      <c r="AF87" s="178">
        <f t="shared" si="14"/>
        <v>0</v>
      </c>
      <c r="AG87" s="179">
        <f t="shared" si="13"/>
        <v>369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>
        <v>1</v>
      </c>
      <c r="D88" s="166">
        <v>1</v>
      </c>
      <c r="E88" s="166">
        <v>6</v>
      </c>
      <c r="F88" s="166">
        <v>6</v>
      </c>
      <c r="G88" s="166">
        <v>2</v>
      </c>
      <c r="H88" s="166">
        <v>3</v>
      </c>
      <c r="I88" s="166">
        <v>3</v>
      </c>
      <c r="J88" s="166">
        <v>6</v>
      </c>
      <c r="K88" s="166">
        <v>1</v>
      </c>
      <c r="L88" s="166">
        <v>7</v>
      </c>
      <c r="M88" s="166">
        <v>3</v>
      </c>
      <c r="N88" s="166">
        <v>4</v>
      </c>
      <c r="O88" s="166">
        <v>1</v>
      </c>
      <c r="P88" s="166">
        <v>0</v>
      </c>
      <c r="Q88" s="166">
        <v>2</v>
      </c>
      <c r="R88" s="166">
        <v>6</v>
      </c>
      <c r="S88" s="166">
        <v>4</v>
      </c>
      <c r="T88" s="166">
        <v>6</v>
      </c>
      <c r="U88" s="166">
        <v>1</v>
      </c>
      <c r="V88" s="166">
        <v>3</v>
      </c>
      <c r="W88" s="166">
        <v>1</v>
      </c>
      <c r="X88" s="166">
        <v>5</v>
      </c>
      <c r="Y88" s="166">
        <v>0</v>
      </c>
      <c r="Z88" s="166">
        <v>2</v>
      </c>
      <c r="AA88" s="166">
        <v>2</v>
      </c>
      <c r="AB88" s="166">
        <v>7</v>
      </c>
      <c r="AC88" s="166">
        <v>1</v>
      </c>
      <c r="AD88" s="166"/>
      <c r="AE88" s="166"/>
      <c r="AF88" s="167"/>
      <c r="AG88" s="132">
        <f t="shared" si="13"/>
        <v>84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>
        <v>1</v>
      </c>
      <c r="I90" s="9"/>
      <c r="J90" s="9"/>
      <c r="K90" s="9"/>
      <c r="L90" s="9"/>
      <c r="M90" s="9"/>
      <c r="N90" s="9"/>
      <c r="O90" s="9"/>
      <c r="P90" s="9"/>
      <c r="Q90" s="9">
        <v>1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2</v>
      </c>
    </row>
    <row r="91" spans="1:35" ht="18.75" x14ac:dyDescent="0.25">
      <c r="A91" s="105" t="s">
        <v>75</v>
      </c>
      <c r="B91" s="9">
        <v>3</v>
      </c>
      <c r="C91" s="9">
        <v>2</v>
      </c>
      <c r="D91" s="9">
        <v>4</v>
      </c>
      <c r="E91" s="9">
        <v>7</v>
      </c>
      <c r="F91" s="9">
        <v>13</v>
      </c>
      <c r="G91" s="9">
        <v>6</v>
      </c>
      <c r="H91" s="9">
        <v>1</v>
      </c>
      <c r="I91" s="9">
        <v>3</v>
      </c>
      <c r="J91" s="9">
        <v>1</v>
      </c>
      <c r="K91" s="9">
        <v>2</v>
      </c>
      <c r="L91" s="9">
        <v>7</v>
      </c>
      <c r="M91" s="9">
        <v>2</v>
      </c>
      <c r="N91" s="9">
        <v>1</v>
      </c>
      <c r="O91" s="9">
        <v>4</v>
      </c>
      <c r="P91" s="9">
        <v>2</v>
      </c>
      <c r="Q91" s="9">
        <v>5</v>
      </c>
      <c r="R91" s="9">
        <v>9</v>
      </c>
      <c r="S91" s="9">
        <v>6</v>
      </c>
      <c r="T91" s="9">
        <v>2</v>
      </c>
      <c r="U91" s="9"/>
      <c r="V91" s="9">
        <v>2</v>
      </c>
      <c r="W91" s="9">
        <v>1</v>
      </c>
      <c r="X91" s="9">
        <v>1</v>
      </c>
      <c r="Y91" s="9">
        <v>1</v>
      </c>
      <c r="Z91" s="9">
        <v>3</v>
      </c>
      <c r="AA91" s="9">
        <v>2</v>
      </c>
      <c r="AB91" s="9">
        <v>6</v>
      </c>
      <c r="AC91" s="9">
        <v>6</v>
      </c>
      <c r="AD91" s="9"/>
      <c r="AE91" s="9"/>
      <c r="AF91" s="10"/>
      <c r="AG91" s="4">
        <f t="shared" si="13"/>
        <v>102</v>
      </c>
    </row>
    <row r="92" spans="1:35" ht="19.5" thickBot="1" x14ac:dyDescent="0.3">
      <c r="A92" s="105" t="s">
        <v>76</v>
      </c>
      <c r="B92" s="9"/>
      <c r="C92" s="9">
        <v>5</v>
      </c>
      <c r="D92" s="9">
        <v>2</v>
      </c>
      <c r="E92" s="9">
        <v>6</v>
      </c>
      <c r="F92" s="9">
        <v>17</v>
      </c>
      <c r="G92" s="9">
        <v>3</v>
      </c>
      <c r="H92" s="9">
        <v>4</v>
      </c>
      <c r="I92" s="9">
        <v>10</v>
      </c>
      <c r="J92" s="9">
        <v>7</v>
      </c>
      <c r="K92" s="9">
        <v>3</v>
      </c>
      <c r="L92" s="9">
        <v>13</v>
      </c>
      <c r="M92" s="9">
        <v>6</v>
      </c>
      <c r="N92" s="9">
        <v>1</v>
      </c>
      <c r="O92" s="9">
        <v>14</v>
      </c>
      <c r="P92" s="9">
        <v>3</v>
      </c>
      <c r="Q92" s="9">
        <v>7</v>
      </c>
      <c r="R92" s="9">
        <v>12</v>
      </c>
      <c r="S92" s="9">
        <v>6</v>
      </c>
      <c r="T92" s="9">
        <v>15</v>
      </c>
      <c r="U92" s="9">
        <v>4</v>
      </c>
      <c r="V92" s="9">
        <v>6</v>
      </c>
      <c r="W92" s="9"/>
      <c r="X92" s="9"/>
      <c r="Y92" s="9">
        <v>6</v>
      </c>
      <c r="Z92" s="9">
        <v>9</v>
      </c>
      <c r="AA92" s="9">
        <v>8</v>
      </c>
      <c r="AB92" s="9">
        <v>7</v>
      </c>
      <c r="AC92" s="9">
        <v>7</v>
      </c>
      <c r="AD92" s="9"/>
      <c r="AE92" s="9"/>
      <c r="AF92" s="10"/>
      <c r="AG92" s="4">
        <f t="shared" si="13"/>
        <v>181</v>
      </c>
    </row>
    <row r="93" spans="1:35" ht="18.75" x14ac:dyDescent="0.25">
      <c r="A93" s="73" t="s">
        <v>616</v>
      </c>
      <c r="B93" s="74">
        <f t="shared" ref="B93:AF93" si="15">+B94+B100</f>
        <v>167</v>
      </c>
      <c r="C93" s="74">
        <f t="shared" si="15"/>
        <v>218</v>
      </c>
      <c r="D93" s="74">
        <f t="shared" si="15"/>
        <v>210</v>
      </c>
      <c r="E93" s="74">
        <f t="shared" si="15"/>
        <v>206</v>
      </c>
      <c r="F93" s="74">
        <f t="shared" si="15"/>
        <v>170</v>
      </c>
      <c r="G93" s="74">
        <f t="shared" si="15"/>
        <v>185</v>
      </c>
      <c r="H93" s="74">
        <f t="shared" si="15"/>
        <v>173</v>
      </c>
      <c r="I93" s="74">
        <f t="shared" si="15"/>
        <v>151</v>
      </c>
      <c r="J93" s="74">
        <f t="shared" si="15"/>
        <v>241</v>
      </c>
      <c r="K93" s="74">
        <f t="shared" si="15"/>
        <v>218</v>
      </c>
      <c r="L93" s="74">
        <f t="shared" si="15"/>
        <v>201</v>
      </c>
      <c r="M93" s="74">
        <f t="shared" si="15"/>
        <v>152</v>
      </c>
      <c r="N93" s="74">
        <f t="shared" si="15"/>
        <v>181</v>
      </c>
      <c r="O93" s="74">
        <f t="shared" si="15"/>
        <v>169</v>
      </c>
      <c r="P93" s="74">
        <f t="shared" si="15"/>
        <v>162</v>
      </c>
      <c r="Q93" s="74">
        <f t="shared" si="15"/>
        <v>224</v>
      </c>
      <c r="R93" s="74">
        <f t="shared" si="15"/>
        <v>211</v>
      </c>
      <c r="S93" s="74">
        <f t="shared" si="15"/>
        <v>199</v>
      </c>
      <c r="T93" s="74">
        <f t="shared" si="15"/>
        <v>176</v>
      </c>
      <c r="U93" s="74">
        <f t="shared" si="15"/>
        <v>200</v>
      </c>
      <c r="V93" s="74">
        <f t="shared" si="15"/>
        <v>182</v>
      </c>
      <c r="W93" s="74">
        <f t="shared" si="15"/>
        <v>170</v>
      </c>
      <c r="X93" s="74">
        <f t="shared" si="15"/>
        <v>222</v>
      </c>
      <c r="Y93" s="74">
        <f t="shared" si="15"/>
        <v>200</v>
      </c>
      <c r="Z93" s="74">
        <f t="shared" si="15"/>
        <v>209</v>
      </c>
      <c r="AA93" s="74">
        <f t="shared" si="15"/>
        <v>193</v>
      </c>
      <c r="AB93" s="74">
        <f t="shared" si="15"/>
        <v>162</v>
      </c>
      <c r="AC93" s="74">
        <f t="shared" si="15"/>
        <v>167</v>
      </c>
      <c r="AD93" s="74">
        <f t="shared" si="15"/>
        <v>0</v>
      </c>
      <c r="AE93" s="74">
        <f t="shared" si="15"/>
        <v>0</v>
      </c>
      <c r="AF93" s="84">
        <f t="shared" si="15"/>
        <v>0</v>
      </c>
      <c r="AG93" s="150">
        <f t="shared" si="13"/>
        <v>5319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35</v>
      </c>
      <c r="C94" s="17">
        <f t="shared" si="16"/>
        <v>28</v>
      </c>
      <c r="D94" s="17">
        <f t="shared" si="16"/>
        <v>30</v>
      </c>
      <c r="E94" s="17">
        <f t="shared" si="16"/>
        <v>18</v>
      </c>
      <c r="F94" s="17">
        <f t="shared" si="16"/>
        <v>23</v>
      </c>
      <c r="G94" s="17">
        <f t="shared" si="16"/>
        <v>21</v>
      </c>
      <c r="H94" s="17">
        <f t="shared" si="16"/>
        <v>31</v>
      </c>
      <c r="I94" s="17">
        <f t="shared" si="16"/>
        <v>26</v>
      </c>
      <c r="J94" s="17">
        <f t="shared" si="16"/>
        <v>31</v>
      </c>
      <c r="K94" s="17">
        <f t="shared" si="16"/>
        <v>23</v>
      </c>
      <c r="L94" s="17">
        <f t="shared" si="16"/>
        <v>39</v>
      </c>
      <c r="M94" s="17">
        <f t="shared" si="16"/>
        <v>14</v>
      </c>
      <c r="N94" s="17">
        <f t="shared" si="16"/>
        <v>23</v>
      </c>
      <c r="O94" s="17">
        <f t="shared" si="16"/>
        <v>15</v>
      </c>
      <c r="P94" s="17">
        <f t="shared" si="16"/>
        <v>20</v>
      </c>
      <c r="Q94" s="17">
        <f t="shared" si="16"/>
        <v>25</v>
      </c>
      <c r="R94" s="17">
        <f t="shared" si="16"/>
        <v>29</v>
      </c>
      <c r="S94" s="17">
        <f t="shared" si="16"/>
        <v>28</v>
      </c>
      <c r="T94" s="17">
        <f t="shared" si="16"/>
        <v>17</v>
      </c>
      <c r="U94" s="17">
        <f t="shared" si="16"/>
        <v>18</v>
      </c>
      <c r="V94" s="17">
        <f t="shared" si="16"/>
        <v>25</v>
      </c>
      <c r="W94" s="17">
        <f t="shared" si="16"/>
        <v>21</v>
      </c>
      <c r="X94" s="17">
        <f t="shared" si="16"/>
        <v>22</v>
      </c>
      <c r="Y94" s="17">
        <f t="shared" si="16"/>
        <v>30</v>
      </c>
      <c r="Z94" s="17">
        <f t="shared" si="16"/>
        <v>13</v>
      </c>
      <c r="AA94" s="17">
        <f t="shared" si="16"/>
        <v>21</v>
      </c>
      <c r="AB94" s="17">
        <f t="shared" si="16"/>
        <v>14</v>
      </c>
      <c r="AC94" s="17">
        <f t="shared" si="16"/>
        <v>11</v>
      </c>
      <c r="AD94" s="17">
        <f t="shared" si="16"/>
        <v>0</v>
      </c>
      <c r="AE94" s="17">
        <f t="shared" si="16"/>
        <v>0</v>
      </c>
      <c r="AF94" s="18">
        <f t="shared" si="16"/>
        <v>0</v>
      </c>
      <c r="AG94" s="4">
        <f t="shared" si="13"/>
        <v>651</v>
      </c>
    </row>
    <row r="95" spans="1:35" ht="18.75" x14ac:dyDescent="0.25">
      <c r="A95" s="44" t="s">
        <v>81</v>
      </c>
      <c r="B95" s="7">
        <v>2</v>
      </c>
      <c r="C95" s="7">
        <v>1</v>
      </c>
      <c r="D95" s="7"/>
      <c r="E95" s="7">
        <v>1</v>
      </c>
      <c r="F95" s="7">
        <v>0</v>
      </c>
      <c r="G95" s="7"/>
      <c r="H95" s="7"/>
      <c r="I95" s="7">
        <v>3</v>
      </c>
      <c r="J95" s="7">
        <v>1</v>
      </c>
      <c r="K95" s="7"/>
      <c r="L95" s="7"/>
      <c r="M95" s="7"/>
      <c r="N95" s="7"/>
      <c r="O95" s="7"/>
      <c r="P95" s="7">
        <v>1</v>
      </c>
      <c r="Q95" s="7">
        <v>1</v>
      </c>
      <c r="R95" s="7">
        <v>2</v>
      </c>
      <c r="S95" s="7"/>
      <c r="T95" s="7">
        <v>1</v>
      </c>
      <c r="U95" s="7">
        <v>1</v>
      </c>
      <c r="V95" s="7">
        <v>2</v>
      </c>
      <c r="W95" s="7"/>
      <c r="X95" s="7">
        <v>1</v>
      </c>
      <c r="Y95" s="7"/>
      <c r="Z95" s="7">
        <v>2</v>
      </c>
      <c r="AA95" s="7">
        <v>2</v>
      </c>
      <c r="AB95" s="7"/>
      <c r="AC95" s="7">
        <v>1</v>
      </c>
      <c r="AD95" s="7"/>
      <c r="AE95" s="7"/>
      <c r="AF95" s="8"/>
      <c r="AG95" s="4">
        <f t="shared" si="13"/>
        <v>22</v>
      </c>
    </row>
    <row r="96" spans="1:35" ht="18.75" x14ac:dyDescent="0.25">
      <c r="A96" s="45" t="s">
        <v>82</v>
      </c>
      <c r="B96" s="7">
        <v>1</v>
      </c>
      <c r="C96" s="7">
        <v>3</v>
      </c>
      <c r="D96" s="7"/>
      <c r="E96" s="7">
        <v>2</v>
      </c>
      <c r="F96" s="7">
        <v>0</v>
      </c>
      <c r="G96" s="7"/>
      <c r="H96" s="7">
        <v>3</v>
      </c>
      <c r="I96" s="7">
        <v>2</v>
      </c>
      <c r="J96" s="7">
        <v>3</v>
      </c>
      <c r="K96" s="7">
        <v>1</v>
      </c>
      <c r="L96" s="7">
        <v>4</v>
      </c>
      <c r="M96" s="7"/>
      <c r="N96" s="7">
        <v>1</v>
      </c>
      <c r="O96" s="7">
        <v>1</v>
      </c>
      <c r="P96" s="7">
        <v>2</v>
      </c>
      <c r="Q96" s="7">
        <v>4</v>
      </c>
      <c r="R96" s="7">
        <v>6</v>
      </c>
      <c r="S96" s="141">
        <v>1</v>
      </c>
      <c r="T96" s="7"/>
      <c r="U96" s="7">
        <v>2</v>
      </c>
      <c r="V96" s="7">
        <v>1</v>
      </c>
      <c r="W96" s="7"/>
      <c r="X96" s="7">
        <v>2</v>
      </c>
      <c r="Y96" s="7">
        <v>1</v>
      </c>
      <c r="Z96" s="7"/>
      <c r="AA96" s="7">
        <v>3</v>
      </c>
      <c r="AB96" s="7"/>
      <c r="AC96" s="7"/>
      <c r="AD96" s="7"/>
      <c r="AE96" s="7"/>
      <c r="AF96" s="8"/>
      <c r="AG96" s="4">
        <f t="shared" si="13"/>
        <v>43</v>
      </c>
    </row>
    <row r="97" spans="1:33" ht="18.75" x14ac:dyDescent="0.25">
      <c r="A97" s="46" t="s">
        <v>70</v>
      </c>
      <c r="B97" s="7">
        <v>7</v>
      </c>
      <c r="C97" s="7">
        <v>4</v>
      </c>
      <c r="D97" s="7">
        <v>11</v>
      </c>
      <c r="E97" s="7">
        <v>4</v>
      </c>
      <c r="F97" s="7">
        <v>7</v>
      </c>
      <c r="G97" s="7">
        <v>2</v>
      </c>
      <c r="H97" s="7">
        <v>4</v>
      </c>
      <c r="I97" s="7">
        <v>5</v>
      </c>
      <c r="J97" s="7">
        <v>7</v>
      </c>
      <c r="K97" s="7">
        <v>7</v>
      </c>
      <c r="L97" s="7">
        <v>5</v>
      </c>
      <c r="M97" s="7">
        <v>3</v>
      </c>
      <c r="N97" s="7">
        <v>5</v>
      </c>
      <c r="O97" s="7">
        <v>5</v>
      </c>
      <c r="P97" s="7">
        <v>5</v>
      </c>
      <c r="Q97" s="7">
        <v>4</v>
      </c>
      <c r="R97" s="7">
        <v>9</v>
      </c>
      <c r="S97" s="7">
        <v>4</v>
      </c>
      <c r="T97" s="7">
        <v>2</v>
      </c>
      <c r="U97" s="7">
        <v>5</v>
      </c>
      <c r="V97" s="7">
        <v>7</v>
      </c>
      <c r="W97" s="7">
        <v>5</v>
      </c>
      <c r="X97" s="7">
        <v>4</v>
      </c>
      <c r="Y97" s="7">
        <v>10</v>
      </c>
      <c r="Z97" s="7">
        <v>1</v>
      </c>
      <c r="AA97" s="7">
        <v>3</v>
      </c>
      <c r="AB97" s="7">
        <v>1</v>
      </c>
      <c r="AC97" s="7">
        <v>1</v>
      </c>
      <c r="AD97" s="7"/>
      <c r="AE97" s="7"/>
      <c r="AF97" s="8"/>
      <c r="AG97" s="4">
        <f t="shared" si="13"/>
        <v>137</v>
      </c>
    </row>
    <row r="98" spans="1:33" ht="18.75" x14ac:dyDescent="0.25">
      <c r="A98" s="47" t="s">
        <v>6</v>
      </c>
      <c r="B98" s="7">
        <v>12</v>
      </c>
      <c r="C98" s="7">
        <v>9</v>
      </c>
      <c r="D98" s="7">
        <v>8</v>
      </c>
      <c r="E98" s="7">
        <v>6</v>
      </c>
      <c r="F98" s="7">
        <v>11</v>
      </c>
      <c r="G98" s="7">
        <v>11</v>
      </c>
      <c r="H98" s="7">
        <v>18</v>
      </c>
      <c r="I98" s="7">
        <v>7</v>
      </c>
      <c r="J98" s="7">
        <v>9</v>
      </c>
      <c r="K98" s="7">
        <v>6</v>
      </c>
      <c r="L98" s="7">
        <v>21</v>
      </c>
      <c r="M98" s="7">
        <v>5</v>
      </c>
      <c r="N98" s="7">
        <v>11</v>
      </c>
      <c r="O98" s="7">
        <v>5</v>
      </c>
      <c r="P98" s="7">
        <v>7</v>
      </c>
      <c r="Q98" s="7">
        <v>6</v>
      </c>
      <c r="R98" s="7">
        <v>7</v>
      </c>
      <c r="S98" s="7">
        <v>9</v>
      </c>
      <c r="T98" s="7">
        <v>4</v>
      </c>
      <c r="U98" s="7">
        <v>7</v>
      </c>
      <c r="V98" s="7">
        <v>6</v>
      </c>
      <c r="W98" s="7">
        <v>6</v>
      </c>
      <c r="X98" s="7">
        <v>6</v>
      </c>
      <c r="Y98" s="7">
        <v>10</v>
      </c>
      <c r="Z98" s="7">
        <v>7</v>
      </c>
      <c r="AA98" s="7">
        <v>5</v>
      </c>
      <c r="AB98" s="7">
        <v>6</v>
      </c>
      <c r="AC98" s="7">
        <v>6</v>
      </c>
      <c r="AD98" s="7"/>
      <c r="AE98" s="7"/>
      <c r="AF98" s="8"/>
      <c r="AG98" s="4">
        <f t="shared" si="13"/>
        <v>231</v>
      </c>
    </row>
    <row r="99" spans="1:33" ht="18.75" x14ac:dyDescent="0.25">
      <c r="A99" s="48" t="s">
        <v>7</v>
      </c>
      <c r="B99" s="7">
        <v>13</v>
      </c>
      <c r="C99" s="7">
        <v>11</v>
      </c>
      <c r="D99" s="7">
        <v>11</v>
      </c>
      <c r="E99" s="7">
        <v>5</v>
      </c>
      <c r="F99" s="7">
        <v>5</v>
      </c>
      <c r="G99" s="7">
        <v>8</v>
      </c>
      <c r="H99" s="7">
        <v>6</v>
      </c>
      <c r="I99" s="7">
        <v>9</v>
      </c>
      <c r="J99" s="7">
        <v>11</v>
      </c>
      <c r="K99" s="7">
        <v>9</v>
      </c>
      <c r="L99" s="7">
        <v>9</v>
      </c>
      <c r="M99" s="7">
        <v>6</v>
      </c>
      <c r="N99" s="7">
        <v>6</v>
      </c>
      <c r="O99" s="7">
        <v>4</v>
      </c>
      <c r="P99" s="7">
        <v>5</v>
      </c>
      <c r="Q99" s="7">
        <v>10</v>
      </c>
      <c r="R99" s="7">
        <v>5</v>
      </c>
      <c r="S99" s="7">
        <v>14</v>
      </c>
      <c r="T99" s="7">
        <v>10</v>
      </c>
      <c r="U99" s="7">
        <v>3</v>
      </c>
      <c r="V99" s="7">
        <v>9</v>
      </c>
      <c r="W99" s="7">
        <v>10</v>
      </c>
      <c r="X99" s="7">
        <v>9</v>
      </c>
      <c r="Y99" s="7">
        <v>9</v>
      </c>
      <c r="Z99" s="7">
        <v>3</v>
      </c>
      <c r="AA99" s="7">
        <v>8</v>
      </c>
      <c r="AB99" s="7">
        <v>7</v>
      </c>
      <c r="AC99" s="7">
        <v>3</v>
      </c>
      <c r="AD99" s="7"/>
      <c r="AE99" s="7"/>
      <c r="AF99" s="8"/>
      <c r="AG99" s="4">
        <f t="shared" si="13"/>
        <v>218</v>
      </c>
    </row>
    <row r="100" spans="1:33" ht="18.75" x14ac:dyDescent="0.25">
      <c r="A100" s="42" t="s">
        <v>66</v>
      </c>
      <c r="B100" s="17">
        <f t="shared" ref="B100:AF100" si="17">SUM(B101:B115)</f>
        <v>132</v>
      </c>
      <c r="C100" s="17">
        <f t="shared" si="17"/>
        <v>190</v>
      </c>
      <c r="D100" s="17">
        <f t="shared" si="17"/>
        <v>180</v>
      </c>
      <c r="E100" s="17">
        <f t="shared" si="17"/>
        <v>188</v>
      </c>
      <c r="F100" s="17">
        <f t="shared" si="17"/>
        <v>147</v>
      </c>
      <c r="G100" s="17">
        <f t="shared" si="17"/>
        <v>164</v>
      </c>
      <c r="H100" s="17">
        <f t="shared" si="17"/>
        <v>142</v>
      </c>
      <c r="I100" s="17">
        <f t="shared" si="17"/>
        <v>125</v>
      </c>
      <c r="J100" s="17">
        <f t="shared" si="17"/>
        <v>210</v>
      </c>
      <c r="K100" s="17">
        <f t="shared" si="17"/>
        <v>195</v>
      </c>
      <c r="L100" s="17">
        <f t="shared" si="17"/>
        <v>162</v>
      </c>
      <c r="M100" s="17">
        <f t="shared" si="17"/>
        <v>138</v>
      </c>
      <c r="N100" s="17">
        <f t="shared" si="17"/>
        <v>158</v>
      </c>
      <c r="O100" s="17">
        <f t="shared" si="17"/>
        <v>154</v>
      </c>
      <c r="P100" s="17">
        <f t="shared" si="17"/>
        <v>142</v>
      </c>
      <c r="Q100" s="17">
        <f t="shared" si="17"/>
        <v>199</v>
      </c>
      <c r="R100" s="17">
        <f t="shared" si="17"/>
        <v>182</v>
      </c>
      <c r="S100" s="17">
        <f t="shared" si="17"/>
        <v>171</v>
      </c>
      <c r="T100" s="17">
        <f t="shared" si="17"/>
        <v>159</v>
      </c>
      <c r="U100" s="17">
        <f t="shared" si="17"/>
        <v>182</v>
      </c>
      <c r="V100" s="17">
        <f t="shared" si="17"/>
        <v>157</v>
      </c>
      <c r="W100" s="17">
        <f t="shared" si="17"/>
        <v>149</v>
      </c>
      <c r="X100" s="17">
        <f t="shared" si="17"/>
        <v>200</v>
      </c>
      <c r="Y100" s="17">
        <f t="shared" si="17"/>
        <v>170</v>
      </c>
      <c r="Z100" s="17">
        <f t="shared" si="17"/>
        <v>196</v>
      </c>
      <c r="AA100" s="17">
        <f t="shared" si="17"/>
        <v>172</v>
      </c>
      <c r="AB100" s="17">
        <f t="shared" si="17"/>
        <v>148</v>
      </c>
      <c r="AC100" s="17">
        <f t="shared" si="17"/>
        <v>156</v>
      </c>
      <c r="AD100" s="17">
        <f t="shared" si="17"/>
        <v>0</v>
      </c>
      <c r="AE100" s="17">
        <f t="shared" si="17"/>
        <v>0</v>
      </c>
      <c r="AF100" s="18">
        <f t="shared" si="17"/>
        <v>0</v>
      </c>
      <c r="AG100" s="4">
        <f t="shared" si="13"/>
        <v>4668</v>
      </c>
    </row>
    <row r="101" spans="1:33" ht="18.75" x14ac:dyDescent="0.25">
      <c r="A101" s="48" t="s">
        <v>8</v>
      </c>
      <c r="B101" s="7">
        <v>11</v>
      </c>
      <c r="C101" s="7">
        <v>18</v>
      </c>
      <c r="D101" s="7">
        <v>12</v>
      </c>
      <c r="E101" s="7">
        <v>18</v>
      </c>
      <c r="F101" s="7">
        <v>12</v>
      </c>
      <c r="G101" s="7">
        <v>11</v>
      </c>
      <c r="H101" s="7">
        <v>16</v>
      </c>
      <c r="I101" s="7">
        <v>7</v>
      </c>
      <c r="J101" s="7">
        <v>25</v>
      </c>
      <c r="K101" s="7">
        <v>17</v>
      </c>
      <c r="L101" s="7">
        <v>17</v>
      </c>
      <c r="M101" s="7">
        <v>13</v>
      </c>
      <c r="N101" s="7">
        <v>17</v>
      </c>
      <c r="O101" s="7">
        <v>15</v>
      </c>
      <c r="P101" s="7">
        <v>15</v>
      </c>
      <c r="Q101" s="7">
        <v>14</v>
      </c>
      <c r="R101" s="7">
        <v>15</v>
      </c>
      <c r="S101" s="7">
        <v>11</v>
      </c>
      <c r="T101" s="7">
        <v>14</v>
      </c>
      <c r="U101" s="7">
        <v>17</v>
      </c>
      <c r="V101" s="7">
        <v>15</v>
      </c>
      <c r="W101" s="7">
        <v>9</v>
      </c>
      <c r="X101" s="7">
        <v>16</v>
      </c>
      <c r="Y101" s="7">
        <v>15</v>
      </c>
      <c r="Z101" s="7">
        <v>17</v>
      </c>
      <c r="AA101" s="7">
        <v>16</v>
      </c>
      <c r="AB101" s="7">
        <v>9</v>
      </c>
      <c r="AC101" s="7">
        <v>19</v>
      </c>
      <c r="AD101" s="7"/>
      <c r="AE101" s="7"/>
      <c r="AF101" s="8"/>
      <c r="AG101" s="4">
        <f t="shared" si="13"/>
        <v>411</v>
      </c>
    </row>
    <row r="102" spans="1:33" ht="18.75" x14ac:dyDescent="0.25">
      <c r="A102" s="48" t="s">
        <v>9</v>
      </c>
      <c r="B102" s="7">
        <v>15</v>
      </c>
      <c r="C102" s="7">
        <v>22</v>
      </c>
      <c r="D102" s="7">
        <v>18</v>
      </c>
      <c r="E102" s="7">
        <v>26</v>
      </c>
      <c r="F102" s="7">
        <v>21</v>
      </c>
      <c r="G102" s="7">
        <v>28</v>
      </c>
      <c r="H102" s="7">
        <v>17</v>
      </c>
      <c r="I102" s="7">
        <v>15</v>
      </c>
      <c r="J102" s="7">
        <v>26</v>
      </c>
      <c r="K102" s="7">
        <v>24</v>
      </c>
      <c r="L102" s="7">
        <v>14</v>
      </c>
      <c r="M102" s="7">
        <v>11</v>
      </c>
      <c r="N102" s="7">
        <v>17</v>
      </c>
      <c r="O102" s="7">
        <v>18</v>
      </c>
      <c r="P102" s="7">
        <v>20</v>
      </c>
      <c r="Q102" s="7">
        <v>16</v>
      </c>
      <c r="R102" s="7">
        <v>14</v>
      </c>
      <c r="S102" s="7">
        <v>22</v>
      </c>
      <c r="T102" s="7">
        <v>21</v>
      </c>
      <c r="U102" s="7">
        <v>26</v>
      </c>
      <c r="V102" s="7">
        <v>17</v>
      </c>
      <c r="W102" s="7">
        <v>25</v>
      </c>
      <c r="X102" s="7">
        <v>19</v>
      </c>
      <c r="Y102" s="7">
        <v>15</v>
      </c>
      <c r="Z102" s="7">
        <v>22</v>
      </c>
      <c r="AA102" s="7">
        <v>20</v>
      </c>
      <c r="AB102" s="7">
        <v>16</v>
      </c>
      <c r="AC102" s="7">
        <v>17</v>
      </c>
      <c r="AD102" s="7"/>
      <c r="AE102" s="7"/>
      <c r="AF102" s="8"/>
      <c r="AG102" s="4">
        <f t="shared" si="13"/>
        <v>542</v>
      </c>
    </row>
    <row r="103" spans="1:33" ht="18.75" x14ac:dyDescent="0.25">
      <c r="A103" s="49" t="s">
        <v>10</v>
      </c>
      <c r="B103" s="7">
        <v>11</v>
      </c>
      <c r="C103" s="7">
        <v>13</v>
      </c>
      <c r="D103" s="7">
        <v>23</v>
      </c>
      <c r="E103" s="7">
        <v>21</v>
      </c>
      <c r="F103" s="7">
        <v>16</v>
      </c>
      <c r="G103" s="7">
        <v>15</v>
      </c>
      <c r="H103" s="7">
        <v>13</v>
      </c>
      <c r="I103" s="7">
        <v>16</v>
      </c>
      <c r="J103" s="7">
        <v>12</v>
      </c>
      <c r="K103" s="7">
        <v>20</v>
      </c>
      <c r="L103" s="7">
        <v>23</v>
      </c>
      <c r="M103" s="7">
        <v>20</v>
      </c>
      <c r="N103" s="7">
        <v>22</v>
      </c>
      <c r="O103" s="7">
        <v>19</v>
      </c>
      <c r="P103" s="7">
        <v>12</v>
      </c>
      <c r="Q103" s="7">
        <v>35</v>
      </c>
      <c r="R103" s="7">
        <v>19</v>
      </c>
      <c r="S103" s="7">
        <v>9</v>
      </c>
      <c r="T103" s="7">
        <v>24</v>
      </c>
      <c r="U103" s="7">
        <v>25</v>
      </c>
      <c r="V103" s="7">
        <v>22</v>
      </c>
      <c r="W103" s="7">
        <v>15</v>
      </c>
      <c r="X103" s="7">
        <v>24</v>
      </c>
      <c r="Y103" s="7">
        <v>13</v>
      </c>
      <c r="Z103" s="7">
        <v>18</v>
      </c>
      <c r="AA103" s="7">
        <v>15</v>
      </c>
      <c r="AB103" s="7">
        <v>12</v>
      </c>
      <c r="AC103" s="7">
        <v>13</v>
      </c>
      <c r="AD103" s="7"/>
      <c r="AE103" s="7"/>
      <c r="AF103" s="8"/>
      <c r="AG103" s="4">
        <f t="shared" si="13"/>
        <v>500</v>
      </c>
    </row>
    <row r="104" spans="1:33" ht="18.75" x14ac:dyDescent="0.25">
      <c r="A104" s="49" t="s">
        <v>11</v>
      </c>
      <c r="B104" s="7">
        <v>13</v>
      </c>
      <c r="C104" s="7">
        <v>18</v>
      </c>
      <c r="D104" s="7">
        <v>10</v>
      </c>
      <c r="E104" s="7">
        <v>19</v>
      </c>
      <c r="F104" s="7">
        <v>15</v>
      </c>
      <c r="G104" s="7">
        <v>15</v>
      </c>
      <c r="H104" s="7">
        <v>13</v>
      </c>
      <c r="I104" s="7">
        <v>11</v>
      </c>
      <c r="J104" s="7">
        <v>23</v>
      </c>
      <c r="K104" s="7">
        <v>16</v>
      </c>
      <c r="L104" s="7">
        <v>15</v>
      </c>
      <c r="M104" s="7">
        <v>9</v>
      </c>
      <c r="N104" s="7">
        <v>17</v>
      </c>
      <c r="O104" s="7">
        <v>13</v>
      </c>
      <c r="P104" s="7">
        <v>15</v>
      </c>
      <c r="Q104" s="7">
        <v>14</v>
      </c>
      <c r="R104" s="7">
        <v>13</v>
      </c>
      <c r="S104" s="7">
        <v>15</v>
      </c>
      <c r="T104" s="7">
        <v>14</v>
      </c>
      <c r="U104" s="7">
        <v>14</v>
      </c>
      <c r="V104" s="7">
        <v>14</v>
      </c>
      <c r="W104" s="7">
        <v>13</v>
      </c>
      <c r="X104" s="7">
        <v>16</v>
      </c>
      <c r="Y104" s="7">
        <v>11</v>
      </c>
      <c r="Z104" s="7">
        <v>14</v>
      </c>
      <c r="AA104" s="7">
        <v>16</v>
      </c>
      <c r="AB104" s="7">
        <v>15</v>
      </c>
      <c r="AC104" s="7">
        <v>11</v>
      </c>
      <c r="AD104" s="7"/>
      <c r="AE104" s="7"/>
      <c r="AF104" s="8"/>
      <c r="AG104" s="4">
        <f t="shared" si="13"/>
        <v>402</v>
      </c>
    </row>
    <row r="105" spans="1:33" ht="18.75" x14ac:dyDescent="0.25">
      <c r="A105" s="49" t="s">
        <v>12</v>
      </c>
      <c r="B105" s="7">
        <v>12</v>
      </c>
      <c r="C105" s="7">
        <v>18</v>
      </c>
      <c r="D105" s="7">
        <v>13</v>
      </c>
      <c r="E105" s="7">
        <v>13</v>
      </c>
      <c r="F105" s="7">
        <v>8</v>
      </c>
      <c r="G105" s="7">
        <v>8</v>
      </c>
      <c r="H105" s="7">
        <v>12</v>
      </c>
      <c r="I105" s="7">
        <v>5</v>
      </c>
      <c r="J105" s="7">
        <v>15</v>
      </c>
      <c r="K105" s="7">
        <v>11</v>
      </c>
      <c r="L105" s="7">
        <v>13</v>
      </c>
      <c r="M105" s="7">
        <v>11</v>
      </c>
      <c r="N105" s="7">
        <v>9</v>
      </c>
      <c r="O105" s="7">
        <v>13</v>
      </c>
      <c r="P105" s="7">
        <v>13</v>
      </c>
      <c r="Q105" s="7">
        <v>15</v>
      </c>
      <c r="R105" s="7">
        <v>22</v>
      </c>
      <c r="S105" s="7">
        <v>14</v>
      </c>
      <c r="T105" s="7">
        <v>9</v>
      </c>
      <c r="U105" s="7">
        <v>15</v>
      </c>
      <c r="V105" s="7">
        <v>11</v>
      </c>
      <c r="W105" s="7">
        <v>14</v>
      </c>
      <c r="X105" s="7">
        <v>12</v>
      </c>
      <c r="Y105" s="7">
        <v>15</v>
      </c>
      <c r="Z105" s="7">
        <v>14</v>
      </c>
      <c r="AA105" s="7">
        <v>22</v>
      </c>
      <c r="AB105" s="7">
        <v>14</v>
      </c>
      <c r="AC105" s="7">
        <v>8</v>
      </c>
      <c r="AD105" s="7"/>
      <c r="AE105" s="7"/>
      <c r="AF105" s="8"/>
      <c r="AG105" s="4">
        <f t="shared" si="13"/>
        <v>359</v>
      </c>
    </row>
    <row r="106" spans="1:33" ht="18.75" x14ac:dyDescent="0.25">
      <c r="A106" s="49" t="s">
        <v>13</v>
      </c>
      <c r="B106" s="7">
        <v>13</v>
      </c>
      <c r="C106" s="7">
        <v>10</v>
      </c>
      <c r="D106" s="7">
        <v>13</v>
      </c>
      <c r="E106" s="7">
        <v>10</v>
      </c>
      <c r="F106" s="7">
        <v>12</v>
      </c>
      <c r="G106" s="7">
        <v>13</v>
      </c>
      <c r="H106" s="7">
        <v>9</v>
      </c>
      <c r="I106" s="7">
        <v>8</v>
      </c>
      <c r="J106" s="7">
        <v>19</v>
      </c>
      <c r="K106" s="7">
        <v>13</v>
      </c>
      <c r="L106" s="7">
        <v>14</v>
      </c>
      <c r="M106" s="7">
        <v>13</v>
      </c>
      <c r="N106" s="7">
        <v>7</v>
      </c>
      <c r="O106" s="7">
        <v>12</v>
      </c>
      <c r="P106" s="7">
        <v>17</v>
      </c>
      <c r="Q106" s="7">
        <v>13</v>
      </c>
      <c r="R106" s="7">
        <v>11</v>
      </c>
      <c r="S106" s="7">
        <v>16</v>
      </c>
      <c r="T106" s="7">
        <v>10</v>
      </c>
      <c r="U106" s="7">
        <v>9</v>
      </c>
      <c r="V106" s="7">
        <v>11</v>
      </c>
      <c r="W106" s="7">
        <v>8</v>
      </c>
      <c r="X106" s="7">
        <v>9</v>
      </c>
      <c r="Y106" s="7">
        <v>13</v>
      </c>
      <c r="Z106" s="7">
        <v>10</v>
      </c>
      <c r="AA106" s="7">
        <v>13</v>
      </c>
      <c r="AB106" s="7">
        <v>9</v>
      </c>
      <c r="AC106" s="7">
        <v>13</v>
      </c>
      <c r="AD106" s="7"/>
      <c r="AE106" s="7"/>
      <c r="AF106" s="8"/>
      <c r="AG106" s="4">
        <f t="shared" si="13"/>
        <v>328</v>
      </c>
    </row>
    <row r="107" spans="1:33" ht="18.75" x14ac:dyDescent="0.25">
      <c r="A107" s="49" t="s">
        <v>14</v>
      </c>
      <c r="B107" s="7">
        <v>9</v>
      </c>
      <c r="C107" s="7">
        <v>21</v>
      </c>
      <c r="D107" s="7">
        <v>18</v>
      </c>
      <c r="E107" s="7">
        <v>17</v>
      </c>
      <c r="F107" s="7">
        <v>11</v>
      </c>
      <c r="G107" s="7">
        <v>10</v>
      </c>
      <c r="H107" s="7">
        <v>10</v>
      </c>
      <c r="I107" s="7">
        <v>8</v>
      </c>
      <c r="J107" s="7">
        <v>13</v>
      </c>
      <c r="K107" s="7">
        <v>15</v>
      </c>
      <c r="L107" s="7">
        <v>23</v>
      </c>
      <c r="M107" s="7">
        <v>16</v>
      </c>
      <c r="N107" s="7">
        <v>19</v>
      </c>
      <c r="O107" s="7">
        <v>16</v>
      </c>
      <c r="P107" s="7">
        <v>15</v>
      </c>
      <c r="Q107" s="7">
        <v>15</v>
      </c>
      <c r="R107" s="7">
        <v>10</v>
      </c>
      <c r="S107" s="7">
        <v>16</v>
      </c>
      <c r="T107" s="7">
        <v>9</v>
      </c>
      <c r="U107" s="7">
        <v>11</v>
      </c>
      <c r="V107" s="7">
        <v>13</v>
      </c>
      <c r="W107" s="7">
        <v>8</v>
      </c>
      <c r="X107" s="7">
        <v>13</v>
      </c>
      <c r="Y107" s="7">
        <v>14</v>
      </c>
      <c r="Z107" s="7">
        <v>17</v>
      </c>
      <c r="AA107" s="7">
        <v>15</v>
      </c>
      <c r="AB107" s="7">
        <v>14</v>
      </c>
      <c r="AC107" s="7">
        <v>13</v>
      </c>
      <c r="AD107" s="7"/>
      <c r="AE107" s="7"/>
      <c r="AF107" s="8"/>
      <c r="AG107" s="4">
        <f t="shared" si="13"/>
        <v>389</v>
      </c>
    </row>
    <row r="108" spans="1:33" ht="18.75" x14ac:dyDescent="0.25">
      <c r="A108" s="49" t="s">
        <v>15</v>
      </c>
      <c r="B108" s="7">
        <v>9</v>
      </c>
      <c r="C108" s="7">
        <v>19</v>
      </c>
      <c r="D108" s="7">
        <v>17</v>
      </c>
      <c r="E108" s="7">
        <v>15</v>
      </c>
      <c r="F108" s="7">
        <v>12</v>
      </c>
      <c r="G108" s="7">
        <v>14</v>
      </c>
      <c r="H108" s="7">
        <v>12</v>
      </c>
      <c r="I108" s="7">
        <v>11</v>
      </c>
      <c r="J108" s="7">
        <v>17</v>
      </c>
      <c r="K108" s="7">
        <v>19</v>
      </c>
      <c r="L108" s="7">
        <v>7</v>
      </c>
      <c r="M108" s="7">
        <v>3</v>
      </c>
      <c r="N108" s="7">
        <v>14</v>
      </c>
      <c r="O108" s="7">
        <v>10</v>
      </c>
      <c r="P108" s="7">
        <v>6</v>
      </c>
      <c r="Q108" s="7">
        <v>17</v>
      </c>
      <c r="R108" s="7">
        <v>18</v>
      </c>
      <c r="S108" s="7">
        <v>17</v>
      </c>
      <c r="T108" s="7">
        <v>16</v>
      </c>
      <c r="U108" s="7">
        <v>20</v>
      </c>
      <c r="V108" s="7">
        <v>10</v>
      </c>
      <c r="W108" s="7">
        <v>15</v>
      </c>
      <c r="X108" s="7">
        <v>15</v>
      </c>
      <c r="Y108" s="7">
        <v>14</v>
      </c>
      <c r="Z108" s="7">
        <v>20</v>
      </c>
      <c r="AA108" s="7">
        <v>11</v>
      </c>
      <c r="AB108" s="7">
        <v>10</v>
      </c>
      <c r="AC108" s="7">
        <v>11</v>
      </c>
      <c r="AD108" s="7"/>
      <c r="AE108" s="7"/>
      <c r="AF108" s="8"/>
      <c r="AG108" s="4">
        <f t="shared" si="13"/>
        <v>379</v>
      </c>
    </row>
    <row r="109" spans="1:33" ht="18.75" x14ac:dyDescent="0.25">
      <c r="A109" s="49" t="s">
        <v>16</v>
      </c>
      <c r="B109" s="7">
        <v>8</v>
      </c>
      <c r="C109" s="7">
        <v>14</v>
      </c>
      <c r="D109" s="7">
        <v>14</v>
      </c>
      <c r="E109" s="7">
        <v>13</v>
      </c>
      <c r="F109" s="7">
        <v>12</v>
      </c>
      <c r="G109" s="7">
        <v>11</v>
      </c>
      <c r="H109" s="7">
        <v>8</v>
      </c>
      <c r="I109" s="7">
        <v>7</v>
      </c>
      <c r="J109" s="7">
        <v>8</v>
      </c>
      <c r="K109" s="7">
        <v>11</v>
      </c>
      <c r="L109" s="7">
        <v>6</v>
      </c>
      <c r="M109" s="7">
        <v>13</v>
      </c>
      <c r="N109" s="7">
        <v>10</v>
      </c>
      <c r="O109" s="7">
        <v>11</v>
      </c>
      <c r="P109" s="7">
        <v>10</v>
      </c>
      <c r="Q109" s="7">
        <v>19</v>
      </c>
      <c r="R109" s="7">
        <v>21</v>
      </c>
      <c r="S109" s="7">
        <v>10</v>
      </c>
      <c r="T109" s="7">
        <v>6</v>
      </c>
      <c r="U109" s="7">
        <v>9</v>
      </c>
      <c r="V109" s="7">
        <v>13</v>
      </c>
      <c r="W109" s="7">
        <v>14</v>
      </c>
      <c r="X109" s="7">
        <v>18</v>
      </c>
      <c r="Y109" s="7">
        <v>18</v>
      </c>
      <c r="Z109" s="7">
        <v>12</v>
      </c>
      <c r="AA109" s="7">
        <v>9</v>
      </c>
      <c r="AB109" s="7">
        <v>9</v>
      </c>
      <c r="AC109" s="7">
        <v>13</v>
      </c>
      <c r="AD109" s="7"/>
      <c r="AE109" s="7"/>
      <c r="AF109" s="8"/>
      <c r="AG109" s="4">
        <f t="shared" si="13"/>
        <v>327</v>
      </c>
    </row>
    <row r="110" spans="1:33" ht="18.75" x14ac:dyDescent="0.25">
      <c r="A110" s="49" t="s">
        <v>17</v>
      </c>
      <c r="B110" s="7">
        <v>10</v>
      </c>
      <c r="C110" s="7">
        <v>10</v>
      </c>
      <c r="D110" s="7">
        <v>11</v>
      </c>
      <c r="E110" s="7">
        <v>7</v>
      </c>
      <c r="F110" s="7">
        <v>7</v>
      </c>
      <c r="G110" s="7">
        <v>11</v>
      </c>
      <c r="H110" s="7">
        <v>12</v>
      </c>
      <c r="I110" s="7">
        <v>11</v>
      </c>
      <c r="J110" s="7">
        <v>14</v>
      </c>
      <c r="K110" s="7">
        <v>8</v>
      </c>
      <c r="L110" s="7">
        <v>7</v>
      </c>
      <c r="M110" s="7">
        <v>7</v>
      </c>
      <c r="N110" s="7">
        <v>10</v>
      </c>
      <c r="O110" s="7">
        <v>5</v>
      </c>
      <c r="P110" s="7">
        <v>5</v>
      </c>
      <c r="Q110" s="7">
        <v>16</v>
      </c>
      <c r="R110" s="7">
        <v>10</v>
      </c>
      <c r="S110" s="7">
        <v>16</v>
      </c>
      <c r="T110" s="7">
        <v>8</v>
      </c>
      <c r="U110" s="7">
        <v>13</v>
      </c>
      <c r="V110" s="7">
        <v>7</v>
      </c>
      <c r="W110" s="7">
        <v>7</v>
      </c>
      <c r="X110" s="7">
        <v>16</v>
      </c>
      <c r="Y110" s="7">
        <v>9</v>
      </c>
      <c r="Z110" s="7">
        <v>16</v>
      </c>
      <c r="AA110" s="7">
        <v>12</v>
      </c>
      <c r="AB110" s="7">
        <v>7</v>
      </c>
      <c r="AC110" s="7">
        <v>10</v>
      </c>
      <c r="AD110" s="7"/>
      <c r="AE110" s="7"/>
      <c r="AF110" s="8"/>
      <c r="AG110" s="4">
        <f t="shared" si="13"/>
        <v>282</v>
      </c>
    </row>
    <row r="111" spans="1:33" ht="18.75" x14ac:dyDescent="0.25">
      <c r="A111" s="49" t="s">
        <v>18</v>
      </c>
      <c r="B111" s="7">
        <v>6</v>
      </c>
      <c r="C111" s="7">
        <v>9</v>
      </c>
      <c r="D111" s="7">
        <v>7</v>
      </c>
      <c r="E111" s="7">
        <v>8</v>
      </c>
      <c r="F111" s="7">
        <v>2</v>
      </c>
      <c r="G111" s="7">
        <v>4</v>
      </c>
      <c r="H111" s="7">
        <v>5</v>
      </c>
      <c r="I111" s="7">
        <v>8</v>
      </c>
      <c r="J111" s="7">
        <v>10</v>
      </c>
      <c r="K111" s="7">
        <v>9</v>
      </c>
      <c r="L111" s="7">
        <v>6</v>
      </c>
      <c r="M111" s="7">
        <v>9</v>
      </c>
      <c r="N111" s="7">
        <v>4</v>
      </c>
      <c r="O111" s="7">
        <v>1</v>
      </c>
      <c r="P111" s="7">
        <v>4</v>
      </c>
      <c r="Q111" s="7">
        <v>5</v>
      </c>
      <c r="R111" s="7">
        <v>7</v>
      </c>
      <c r="S111" s="7">
        <v>5</v>
      </c>
      <c r="T111" s="7">
        <v>9</v>
      </c>
      <c r="U111" s="7">
        <v>9</v>
      </c>
      <c r="V111" s="7">
        <v>10</v>
      </c>
      <c r="W111" s="7">
        <v>7</v>
      </c>
      <c r="X111" s="7">
        <v>16</v>
      </c>
      <c r="Y111" s="7">
        <v>8</v>
      </c>
      <c r="Z111" s="7">
        <v>15</v>
      </c>
      <c r="AA111" s="7">
        <v>6</v>
      </c>
      <c r="AB111" s="7">
        <v>11</v>
      </c>
      <c r="AC111" s="7">
        <v>7</v>
      </c>
      <c r="AD111" s="7"/>
      <c r="AE111" s="7"/>
      <c r="AF111" s="8"/>
      <c r="AG111" s="4">
        <f t="shared" si="13"/>
        <v>207</v>
      </c>
    </row>
    <row r="112" spans="1:33" ht="18.75" x14ac:dyDescent="0.25">
      <c r="A112" s="49" t="s">
        <v>19</v>
      </c>
      <c r="B112" s="7">
        <v>7</v>
      </c>
      <c r="C112" s="7">
        <v>5</v>
      </c>
      <c r="D112" s="7">
        <v>11</v>
      </c>
      <c r="E112" s="7">
        <v>6</v>
      </c>
      <c r="F112" s="7">
        <v>6</v>
      </c>
      <c r="G112" s="7">
        <v>11</v>
      </c>
      <c r="H112" s="7">
        <v>5</v>
      </c>
      <c r="I112" s="7">
        <v>3</v>
      </c>
      <c r="J112" s="7">
        <v>12</v>
      </c>
      <c r="K112" s="7">
        <v>9</v>
      </c>
      <c r="L112" s="7">
        <v>3</v>
      </c>
      <c r="M112" s="7">
        <v>4</v>
      </c>
      <c r="N112" s="7">
        <v>1</v>
      </c>
      <c r="O112" s="7">
        <v>6</v>
      </c>
      <c r="P112" s="7">
        <v>4</v>
      </c>
      <c r="Q112" s="7">
        <v>6</v>
      </c>
      <c r="R112" s="7">
        <v>8</v>
      </c>
      <c r="S112" s="7">
        <v>7</v>
      </c>
      <c r="T112" s="7">
        <v>12</v>
      </c>
      <c r="U112" s="7">
        <v>5</v>
      </c>
      <c r="V112" s="7">
        <v>11</v>
      </c>
      <c r="W112" s="7">
        <v>4</v>
      </c>
      <c r="X112" s="7">
        <v>9</v>
      </c>
      <c r="Y112" s="7">
        <v>9</v>
      </c>
      <c r="Z112" s="7">
        <v>4</v>
      </c>
      <c r="AA112" s="7">
        <v>4</v>
      </c>
      <c r="AB112" s="7">
        <v>5</v>
      </c>
      <c r="AC112" s="7">
        <v>10</v>
      </c>
      <c r="AD112" s="7"/>
      <c r="AE112" s="7"/>
      <c r="AF112" s="8"/>
      <c r="AG112" s="4">
        <f>SUM(B112:AF112)</f>
        <v>187</v>
      </c>
    </row>
    <row r="113" spans="1:33" ht="18.75" x14ac:dyDescent="0.25">
      <c r="A113" s="49" t="s">
        <v>20</v>
      </c>
      <c r="B113" s="7">
        <v>5</v>
      </c>
      <c r="C113" s="7">
        <v>7</v>
      </c>
      <c r="D113" s="7">
        <v>8</v>
      </c>
      <c r="E113" s="7">
        <v>6</v>
      </c>
      <c r="F113" s="7">
        <v>3</v>
      </c>
      <c r="G113" s="7">
        <v>7</v>
      </c>
      <c r="H113" s="7">
        <v>7</v>
      </c>
      <c r="I113" s="7">
        <v>5</v>
      </c>
      <c r="J113" s="7">
        <v>7</v>
      </c>
      <c r="K113" s="7">
        <v>15</v>
      </c>
      <c r="L113" s="7">
        <v>8</v>
      </c>
      <c r="M113" s="7">
        <v>6</v>
      </c>
      <c r="N113" s="7">
        <v>6</v>
      </c>
      <c r="O113" s="7">
        <v>7</v>
      </c>
      <c r="P113" s="7">
        <v>4</v>
      </c>
      <c r="Q113" s="7">
        <v>6</v>
      </c>
      <c r="R113" s="7">
        <v>7</v>
      </c>
      <c r="S113" s="7">
        <v>2</v>
      </c>
      <c r="T113" s="7">
        <v>4</v>
      </c>
      <c r="U113" s="7">
        <v>6</v>
      </c>
      <c r="V113" s="7">
        <v>2</v>
      </c>
      <c r="W113" s="7">
        <v>7</v>
      </c>
      <c r="X113" s="7">
        <v>8</v>
      </c>
      <c r="Y113" s="7">
        <v>5</v>
      </c>
      <c r="Z113" s="7">
        <v>7</v>
      </c>
      <c r="AA113" s="7">
        <v>6</v>
      </c>
      <c r="AB113" s="7">
        <v>10</v>
      </c>
      <c r="AC113" s="7">
        <v>5</v>
      </c>
      <c r="AD113" s="7"/>
      <c r="AE113" s="7"/>
      <c r="AF113" s="8"/>
      <c r="AG113" s="4">
        <f t="shared" si="13"/>
        <v>176</v>
      </c>
    </row>
    <row r="114" spans="1:33" ht="18.75" x14ac:dyDescent="0.25">
      <c r="A114" s="49" t="s">
        <v>21</v>
      </c>
      <c r="B114" s="7">
        <v>3</v>
      </c>
      <c r="C114" s="7">
        <v>6</v>
      </c>
      <c r="D114" s="7">
        <v>5</v>
      </c>
      <c r="E114" s="7">
        <v>9</v>
      </c>
      <c r="F114" s="7">
        <v>10</v>
      </c>
      <c r="G114" s="7">
        <v>6</v>
      </c>
      <c r="H114" s="7">
        <v>3</v>
      </c>
      <c r="I114" s="7">
        <v>10</v>
      </c>
      <c r="J114" s="7">
        <v>9</v>
      </c>
      <c r="K114" s="7">
        <v>8</v>
      </c>
      <c r="L114" s="7">
        <v>6</v>
      </c>
      <c r="M114" s="7">
        <v>3</v>
      </c>
      <c r="N114" s="7">
        <v>5</v>
      </c>
      <c r="O114" s="7">
        <v>8</v>
      </c>
      <c r="P114" s="7">
        <v>2</v>
      </c>
      <c r="Q114" s="7">
        <v>8</v>
      </c>
      <c r="R114" s="7">
        <v>7</v>
      </c>
      <c r="S114" s="7">
        <v>11</v>
      </c>
      <c r="T114" s="7">
        <v>3</v>
      </c>
      <c r="U114" s="7">
        <v>3</v>
      </c>
      <c r="V114" s="7">
        <v>1</v>
      </c>
      <c r="W114" s="7">
        <v>3</v>
      </c>
      <c r="X114" s="7">
        <v>9</v>
      </c>
      <c r="Y114" s="7">
        <v>11</v>
      </c>
      <c r="Z114" s="7">
        <v>10</v>
      </c>
      <c r="AA114" s="7">
        <v>7</v>
      </c>
      <c r="AB114" s="7">
        <v>7</v>
      </c>
      <c r="AC114" s="7">
        <v>6</v>
      </c>
      <c r="AD114" s="7"/>
      <c r="AE114" s="7"/>
      <c r="AF114" s="8"/>
      <c r="AG114" s="4">
        <f t="shared" si="13"/>
        <v>179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82</v>
      </c>
      <c r="C116" s="74">
        <f t="shared" si="18"/>
        <v>4</v>
      </c>
      <c r="D116" s="74">
        <f t="shared" si="18"/>
        <v>1</v>
      </c>
      <c r="E116" s="74">
        <f t="shared" si="18"/>
        <v>9</v>
      </c>
      <c r="F116" s="74">
        <f t="shared" si="18"/>
        <v>92</v>
      </c>
      <c r="G116" s="74">
        <f t="shared" si="18"/>
        <v>93</v>
      </c>
      <c r="H116" s="74">
        <f t="shared" si="18"/>
        <v>85</v>
      </c>
      <c r="I116" s="74">
        <f t="shared" si="18"/>
        <v>72</v>
      </c>
      <c r="J116" s="74">
        <f t="shared" si="18"/>
        <v>138</v>
      </c>
      <c r="K116" s="74">
        <f t="shared" si="18"/>
        <v>101</v>
      </c>
      <c r="L116" s="74">
        <f t="shared" si="18"/>
        <v>104</v>
      </c>
      <c r="M116" s="74">
        <f t="shared" si="18"/>
        <v>72</v>
      </c>
      <c r="N116" s="74">
        <f t="shared" si="18"/>
        <v>81</v>
      </c>
      <c r="O116" s="74">
        <f t="shared" si="18"/>
        <v>97</v>
      </c>
      <c r="P116" s="74">
        <f t="shared" si="18"/>
        <v>82</v>
      </c>
      <c r="Q116" s="74">
        <f t="shared" si="18"/>
        <v>116</v>
      </c>
      <c r="R116" s="74">
        <f t="shared" si="18"/>
        <v>110</v>
      </c>
      <c r="S116" s="74">
        <f t="shared" si="18"/>
        <v>95</v>
      </c>
      <c r="T116" s="74">
        <f t="shared" si="18"/>
        <v>91</v>
      </c>
      <c r="U116" s="74">
        <f t="shared" si="18"/>
        <v>95</v>
      </c>
      <c r="V116" s="74">
        <f t="shared" si="18"/>
        <v>79</v>
      </c>
      <c r="W116" s="74">
        <f t="shared" si="18"/>
        <v>77</v>
      </c>
      <c r="X116" s="74">
        <f t="shared" si="18"/>
        <v>101</v>
      </c>
      <c r="Y116" s="74">
        <f t="shared" si="18"/>
        <v>90</v>
      </c>
      <c r="Z116" s="74">
        <f t="shared" si="18"/>
        <v>112</v>
      </c>
      <c r="AA116" s="74">
        <f t="shared" si="18"/>
        <v>92</v>
      </c>
      <c r="AB116" s="74">
        <f t="shared" si="18"/>
        <v>94</v>
      </c>
      <c r="AC116" s="74">
        <f t="shared" si="18"/>
        <v>73</v>
      </c>
      <c r="AD116" s="74">
        <f t="shared" si="18"/>
        <v>0</v>
      </c>
      <c r="AE116" s="74">
        <f t="shared" si="18"/>
        <v>0</v>
      </c>
      <c r="AF116" s="84">
        <f t="shared" si="18"/>
        <v>0</v>
      </c>
      <c r="AG116" s="4">
        <f t="shared" si="13"/>
        <v>2338</v>
      </c>
    </row>
    <row r="117" spans="1:33" ht="18.75" x14ac:dyDescent="0.25">
      <c r="A117" s="43" t="s">
        <v>59</v>
      </c>
      <c r="B117" s="7">
        <v>54</v>
      </c>
      <c r="C117" s="7">
        <v>3</v>
      </c>
      <c r="D117" s="7">
        <v>0</v>
      </c>
      <c r="E117" s="7">
        <v>7</v>
      </c>
      <c r="F117" s="7">
        <v>57</v>
      </c>
      <c r="G117" s="7">
        <v>62</v>
      </c>
      <c r="H117" s="7">
        <v>51</v>
      </c>
      <c r="I117" s="7">
        <v>45</v>
      </c>
      <c r="J117" s="7">
        <v>85</v>
      </c>
      <c r="K117" s="7">
        <v>64</v>
      </c>
      <c r="L117" s="7">
        <v>60</v>
      </c>
      <c r="M117" s="7">
        <v>42</v>
      </c>
      <c r="N117" s="7">
        <v>40</v>
      </c>
      <c r="O117" s="7">
        <v>66</v>
      </c>
      <c r="P117" s="7">
        <v>48</v>
      </c>
      <c r="Q117" s="7">
        <v>73</v>
      </c>
      <c r="R117" s="7">
        <v>57</v>
      </c>
      <c r="S117" s="7">
        <v>72</v>
      </c>
      <c r="T117" s="7">
        <v>53</v>
      </c>
      <c r="U117" s="7">
        <v>57</v>
      </c>
      <c r="V117" s="7">
        <v>57</v>
      </c>
      <c r="W117" s="7">
        <v>46</v>
      </c>
      <c r="X117" s="7">
        <v>70</v>
      </c>
      <c r="Y117" s="7">
        <v>57</v>
      </c>
      <c r="Z117" s="7">
        <v>73</v>
      </c>
      <c r="AA117" s="7">
        <v>62</v>
      </c>
      <c r="AB117" s="7">
        <v>53</v>
      </c>
      <c r="AC117" s="7">
        <v>51</v>
      </c>
      <c r="AD117" s="7"/>
      <c r="AE117" s="7"/>
      <c r="AF117" s="8"/>
      <c r="AG117" s="4">
        <f t="shared" si="13"/>
        <v>1465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15+13</f>
        <v>28</v>
      </c>
      <c r="C129" s="13">
        <v>1</v>
      </c>
      <c r="D129" s="13">
        <v>1</v>
      </c>
      <c r="E129" s="13">
        <f>1+1</f>
        <v>2</v>
      </c>
      <c r="F129" s="13">
        <f>17+18</f>
        <v>35</v>
      </c>
      <c r="G129" s="13">
        <f>12+19</f>
        <v>31</v>
      </c>
      <c r="H129" s="13">
        <f>2+15+17</f>
        <v>34</v>
      </c>
      <c r="I129" s="13">
        <f>18+9</f>
        <v>27</v>
      </c>
      <c r="J129" s="13">
        <f>24+1+28</f>
        <v>53</v>
      </c>
      <c r="K129" s="13">
        <f>16+21</f>
        <v>37</v>
      </c>
      <c r="L129" s="13">
        <f>25+1+18</f>
        <v>44</v>
      </c>
      <c r="M129" s="13">
        <f>15+15</f>
        <v>30</v>
      </c>
      <c r="N129" s="13">
        <f>23+18</f>
        <v>41</v>
      </c>
      <c r="O129" s="13">
        <f>13+18</f>
        <v>31</v>
      </c>
      <c r="P129" s="13">
        <f>19+15</f>
        <v>34</v>
      </c>
      <c r="Q129" s="13">
        <f>26+1+16</f>
        <v>43</v>
      </c>
      <c r="R129" s="13">
        <f>26+27</f>
        <v>53</v>
      </c>
      <c r="S129" s="13">
        <f>16+6+1</f>
        <v>23</v>
      </c>
      <c r="T129" s="13">
        <f>21+17</f>
        <v>38</v>
      </c>
      <c r="U129" s="13">
        <f>19+19</f>
        <v>38</v>
      </c>
      <c r="V129" s="13">
        <f>8+2+12</f>
        <v>22</v>
      </c>
      <c r="W129" s="13">
        <f>15+1+15</f>
        <v>31</v>
      </c>
      <c r="X129" s="13">
        <f>10+21</f>
        <v>31</v>
      </c>
      <c r="Y129" s="13">
        <f>1+10+1+21</f>
        <v>33</v>
      </c>
      <c r="Z129" s="13">
        <f>25+14</f>
        <v>39</v>
      </c>
      <c r="AA129" s="13">
        <f>18+12</f>
        <v>30</v>
      </c>
      <c r="AB129" s="13">
        <f>23+2+16</f>
        <v>41</v>
      </c>
      <c r="AC129" s="13">
        <f>10+12</f>
        <v>22</v>
      </c>
      <c r="AD129" s="13"/>
      <c r="AE129" s="13"/>
      <c r="AF129" s="14"/>
      <c r="AG129" s="4">
        <f t="shared" si="19"/>
        <v>873</v>
      </c>
    </row>
    <row r="130" spans="1:35" ht="18.75" x14ac:dyDescent="0.25">
      <c r="A130" s="73" t="s">
        <v>109</v>
      </c>
      <c r="B130" s="74">
        <f t="shared" ref="B130:AF130" si="20">SUM(B131:B143)</f>
        <v>167</v>
      </c>
      <c r="C130" s="74">
        <f t="shared" si="20"/>
        <v>218</v>
      </c>
      <c r="D130" s="74">
        <f t="shared" si="20"/>
        <v>210</v>
      </c>
      <c r="E130" s="74">
        <f t="shared" si="20"/>
        <v>206</v>
      </c>
      <c r="F130" s="74">
        <f t="shared" si="20"/>
        <v>170</v>
      </c>
      <c r="G130" s="74">
        <f t="shared" si="20"/>
        <v>185</v>
      </c>
      <c r="H130" s="74">
        <f t="shared" si="20"/>
        <v>173</v>
      </c>
      <c r="I130" s="74">
        <f t="shared" si="20"/>
        <v>151</v>
      </c>
      <c r="J130" s="74">
        <f t="shared" si="20"/>
        <v>241</v>
      </c>
      <c r="K130" s="74">
        <f t="shared" si="20"/>
        <v>218</v>
      </c>
      <c r="L130" s="74">
        <f t="shared" si="20"/>
        <v>201</v>
      </c>
      <c r="M130" s="74">
        <f t="shared" si="20"/>
        <v>152</v>
      </c>
      <c r="N130" s="74">
        <f t="shared" si="20"/>
        <v>181</v>
      </c>
      <c r="O130" s="74">
        <f t="shared" si="20"/>
        <v>169</v>
      </c>
      <c r="P130" s="74">
        <f t="shared" si="20"/>
        <v>162</v>
      </c>
      <c r="Q130" s="74">
        <f t="shared" si="20"/>
        <v>224</v>
      </c>
      <c r="R130" s="74">
        <f t="shared" si="20"/>
        <v>211</v>
      </c>
      <c r="S130" s="74">
        <f t="shared" si="20"/>
        <v>199</v>
      </c>
      <c r="T130" s="74">
        <f t="shared" si="20"/>
        <v>176</v>
      </c>
      <c r="U130" s="74">
        <f t="shared" si="20"/>
        <v>200</v>
      </c>
      <c r="V130" s="74">
        <f t="shared" si="20"/>
        <v>182</v>
      </c>
      <c r="W130" s="74">
        <f t="shared" si="20"/>
        <v>170</v>
      </c>
      <c r="X130" s="74">
        <f t="shared" si="20"/>
        <v>222</v>
      </c>
      <c r="Y130" s="74">
        <f t="shared" si="20"/>
        <v>200</v>
      </c>
      <c r="Z130" s="74">
        <f t="shared" si="20"/>
        <v>209</v>
      </c>
      <c r="AA130" s="74">
        <f t="shared" si="20"/>
        <v>193</v>
      </c>
      <c r="AB130" s="74">
        <f t="shared" si="20"/>
        <v>162</v>
      </c>
      <c r="AC130" s="74">
        <f t="shared" si="20"/>
        <v>167</v>
      </c>
      <c r="AD130" s="74">
        <f t="shared" si="20"/>
        <v>0</v>
      </c>
      <c r="AE130" s="74">
        <f t="shared" si="20"/>
        <v>0</v>
      </c>
      <c r="AF130" s="84">
        <f t="shared" si="20"/>
        <v>0</v>
      </c>
      <c r="AG130" s="150">
        <f t="shared" si="19"/>
        <v>5319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53</v>
      </c>
      <c r="C131" s="7">
        <v>66</v>
      </c>
      <c r="D131" s="7">
        <v>62</v>
      </c>
      <c r="E131" s="7">
        <v>64</v>
      </c>
      <c r="F131" s="7">
        <v>48</v>
      </c>
      <c r="G131" s="7">
        <v>56</v>
      </c>
      <c r="H131" s="7">
        <v>49</v>
      </c>
      <c r="I131" s="7">
        <v>40</v>
      </c>
      <c r="J131" s="7">
        <v>80</v>
      </c>
      <c r="K131" s="7">
        <v>63</v>
      </c>
      <c r="L131" s="7">
        <v>51</v>
      </c>
      <c r="M131" s="7">
        <v>39</v>
      </c>
      <c r="N131" s="7">
        <v>39</v>
      </c>
      <c r="O131" s="7">
        <v>60</v>
      </c>
      <c r="P131" s="7">
        <v>47</v>
      </c>
      <c r="Q131" s="7">
        <v>68</v>
      </c>
      <c r="R131" s="7">
        <v>52</v>
      </c>
      <c r="S131" s="7">
        <v>67</v>
      </c>
      <c r="T131" s="7">
        <v>45</v>
      </c>
      <c r="U131" s="7">
        <v>54</v>
      </c>
      <c r="V131" s="7">
        <v>52</v>
      </c>
      <c r="W131" s="7">
        <v>46</v>
      </c>
      <c r="X131" s="7">
        <v>67</v>
      </c>
      <c r="Y131" s="7">
        <v>56</v>
      </c>
      <c r="Z131" s="7">
        <v>70</v>
      </c>
      <c r="AA131" s="7">
        <v>58</v>
      </c>
      <c r="AB131" s="7">
        <v>45</v>
      </c>
      <c r="AC131" s="7">
        <v>47</v>
      </c>
      <c r="AD131" s="7"/>
      <c r="AE131" s="7"/>
      <c r="AF131" s="8"/>
      <c r="AG131" s="4">
        <f t="shared" si="19"/>
        <v>1544</v>
      </c>
    </row>
    <row r="132" spans="1:35" ht="18.75" x14ac:dyDescent="0.25">
      <c r="A132" s="43" t="s">
        <v>23</v>
      </c>
      <c r="B132" s="7">
        <v>8</v>
      </c>
      <c r="C132" s="7">
        <v>8</v>
      </c>
      <c r="D132" s="7">
        <v>11</v>
      </c>
      <c r="E132" s="7">
        <v>17</v>
      </c>
      <c r="F132" s="7">
        <v>9</v>
      </c>
      <c r="G132" s="7">
        <v>9</v>
      </c>
      <c r="H132" s="7">
        <v>7</v>
      </c>
      <c r="I132" s="7">
        <v>8</v>
      </c>
      <c r="J132" s="7">
        <v>7</v>
      </c>
      <c r="K132" s="7">
        <v>15</v>
      </c>
      <c r="L132" s="7">
        <v>13</v>
      </c>
      <c r="M132" s="7">
        <v>9</v>
      </c>
      <c r="N132" s="7">
        <v>10</v>
      </c>
      <c r="O132" s="7">
        <v>11</v>
      </c>
      <c r="P132" s="7">
        <v>10</v>
      </c>
      <c r="Q132" s="7">
        <v>11</v>
      </c>
      <c r="R132" s="7">
        <v>14</v>
      </c>
      <c r="S132" s="7">
        <v>12</v>
      </c>
      <c r="T132" s="7">
        <v>17</v>
      </c>
      <c r="U132" s="7">
        <v>4</v>
      </c>
      <c r="V132" s="7">
        <v>7</v>
      </c>
      <c r="W132" s="7">
        <v>12</v>
      </c>
      <c r="X132" s="7">
        <v>16</v>
      </c>
      <c r="Y132" s="7">
        <v>6</v>
      </c>
      <c r="Z132" s="7">
        <v>6</v>
      </c>
      <c r="AA132" s="7">
        <v>13</v>
      </c>
      <c r="AB132" s="7">
        <v>5</v>
      </c>
      <c r="AC132" s="7">
        <v>7</v>
      </c>
      <c r="AD132" s="7"/>
      <c r="AE132" s="7"/>
      <c r="AF132" s="8"/>
      <c r="AG132" s="4">
        <f t="shared" si="19"/>
        <v>282</v>
      </c>
    </row>
    <row r="133" spans="1:35" ht="18.75" x14ac:dyDescent="0.25">
      <c r="A133" s="43" t="s">
        <v>24</v>
      </c>
      <c r="B133" s="7">
        <v>13</v>
      </c>
      <c r="C133" s="7">
        <v>14</v>
      </c>
      <c r="D133" s="7">
        <v>10</v>
      </c>
      <c r="E133" s="7">
        <v>14</v>
      </c>
      <c r="F133" s="7">
        <v>16</v>
      </c>
      <c r="G133" s="7">
        <v>10</v>
      </c>
      <c r="H133" s="7">
        <v>14</v>
      </c>
      <c r="I133" s="7">
        <v>10</v>
      </c>
      <c r="J133" s="7">
        <v>20</v>
      </c>
      <c r="K133" s="7">
        <v>23</v>
      </c>
      <c r="L133" s="7">
        <v>12</v>
      </c>
      <c r="M133" s="7">
        <v>13</v>
      </c>
      <c r="N133" s="7">
        <v>12</v>
      </c>
      <c r="O133" s="7">
        <v>9</v>
      </c>
      <c r="P133" s="7">
        <v>13</v>
      </c>
      <c r="Q133" s="7">
        <v>11</v>
      </c>
      <c r="R133" s="7">
        <v>18</v>
      </c>
      <c r="S133" s="7">
        <v>15</v>
      </c>
      <c r="T133" s="7">
        <v>10</v>
      </c>
      <c r="U133" s="7">
        <v>13</v>
      </c>
      <c r="V133" s="7">
        <v>15</v>
      </c>
      <c r="W133" s="7">
        <v>12</v>
      </c>
      <c r="X133" s="7">
        <v>14</v>
      </c>
      <c r="Y133" s="7">
        <v>10</v>
      </c>
      <c r="Z133" s="7">
        <v>10</v>
      </c>
      <c r="AA133" s="7">
        <v>17</v>
      </c>
      <c r="AB133" s="7">
        <v>8</v>
      </c>
      <c r="AC133" s="7">
        <v>11</v>
      </c>
      <c r="AD133" s="7"/>
      <c r="AE133" s="7"/>
      <c r="AF133" s="8"/>
      <c r="AG133" s="4">
        <f t="shared" si="19"/>
        <v>367</v>
      </c>
    </row>
    <row r="134" spans="1:35" ht="18.75" x14ac:dyDescent="0.25">
      <c r="A134" s="43" t="s">
        <v>25</v>
      </c>
      <c r="B134" s="7">
        <v>10</v>
      </c>
      <c r="C134" s="7">
        <v>11</v>
      </c>
      <c r="D134" s="7">
        <f>1+19</f>
        <v>20</v>
      </c>
      <c r="E134" s="7">
        <v>6</v>
      </c>
      <c r="F134" s="7">
        <v>7</v>
      </c>
      <c r="G134" s="7">
        <v>9</v>
      </c>
      <c r="H134" s="7">
        <v>7</v>
      </c>
      <c r="I134" s="7">
        <v>4</v>
      </c>
      <c r="J134" s="7">
        <v>11</v>
      </c>
      <c r="K134" s="7">
        <v>10</v>
      </c>
      <c r="L134" s="7">
        <f>13+1</f>
        <v>14</v>
      </c>
      <c r="M134" s="7">
        <v>2</v>
      </c>
      <c r="N134" s="7">
        <v>13</v>
      </c>
      <c r="O134" s="7">
        <v>13</v>
      </c>
      <c r="P134" s="7">
        <v>14</v>
      </c>
      <c r="Q134" s="7">
        <v>10</v>
      </c>
      <c r="R134" s="7">
        <v>9</v>
      </c>
      <c r="S134" s="7">
        <f>1+13</f>
        <v>14</v>
      </c>
      <c r="T134" s="7">
        <v>8</v>
      </c>
      <c r="U134" s="7">
        <f>1+9</f>
        <v>10</v>
      </c>
      <c r="V134" s="7">
        <v>12</v>
      </c>
      <c r="W134" s="7">
        <v>15</v>
      </c>
      <c r="X134" s="7">
        <f>12+1</f>
        <v>13</v>
      </c>
      <c r="Y134" s="7">
        <v>13</v>
      </c>
      <c r="Z134" s="7">
        <v>16</v>
      </c>
      <c r="AA134" s="7">
        <v>9</v>
      </c>
      <c r="AB134" s="7">
        <v>12</v>
      </c>
      <c r="AC134" s="7">
        <v>17</v>
      </c>
      <c r="AD134" s="7"/>
      <c r="AE134" s="7"/>
      <c r="AF134" s="8"/>
      <c r="AG134" s="4">
        <f t="shared" ref="AG134:AG147" si="21">SUM(B134:AF134)</f>
        <v>309</v>
      </c>
    </row>
    <row r="135" spans="1:35" ht="18.75" x14ac:dyDescent="0.25">
      <c r="A135" s="43" t="s">
        <v>26</v>
      </c>
      <c r="B135" s="7">
        <v>8</v>
      </c>
      <c r="C135" s="7">
        <v>6</v>
      </c>
      <c r="D135" s="7">
        <v>11</v>
      </c>
      <c r="E135" s="7">
        <v>17</v>
      </c>
      <c r="F135" s="7">
        <v>13</v>
      </c>
      <c r="G135" s="7">
        <v>12</v>
      </c>
      <c r="H135" s="7">
        <v>6</v>
      </c>
      <c r="I135" s="7">
        <v>10</v>
      </c>
      <c r="J135" s="7">
        <v>8</v>
      </c>
      <c r="K135" s="7">
        <v>12</v>
      </c>
      <c r="L135" s="7">
        <v>13</v>
      </c>
      <c r="M135" s="7">
        <v>5</v>
      </c>
      <c r="N135" s="7">
        <v>6</v>
      </c>
      <c r="O135" s="7">
        <v>4</v>
      </c>
      <c r="P135" s="7">
        <v>8</v>
      </c>
      <c r="Q135" s="7">
        <v>9</v>
      </c>
      <c r="R135" s="7">
        <v>9</v>
      </c>
      <c r="S135" s="7">
        <v>9</v>
      </c>
      <c r="T135" s="7">
        <v>9</v>
      </c>
      <c r="U135" s="7">
        <v>10</v>
      </c>
      <c r="V135" s="7">
        <v>17</v>
      </c>
      <c r="W135" s="7">
        <v>9</v>
      </c>
      <c r="X135" s="7">
        <v>10</v>
      </c>
      <c r="Y135" s="7">
        <v>21</v>
      </c>
      <c r="Z135" s="7">
        <v>13</v>
      </c>
      <c r="AA135" s="7">
        <v>12</v>
      </c>
      <c r="AB135" s="7">
        <v>13</v>
      </c>
      <c r="AC135" s="7">
        <v>10</v>
      </c>
      <c r="AD135" s="7"/>
      <c r="AE135" s="7"/>
      <c r="AF135" s="8"/>
      <c r="AG135" s="4">
        <f t="shared" si="21"/>
        <v>290</v>
      </c>
    </row>
    <row r="136" spans="1:35" ht="18.75" x14ac:dyDescent="0.25">
      <c r="A136" s="43" t="s">
        <v>27</v>
      </c>
      <c r="B136" s="7">
        <v>19</v>
      </c>
      <c r="C136" s="7">
        <v>43</v>
      </c>
      <c r="D136" s="7">
        <v>40</v>
      </c>
      <c r="E136" s="7">
        <v>36</v>
      </c>
      <c r="F136" s="7">
        <v>28</v>
      </c>
      <c r="G136" s="7">
        <v>35</v>
      </c>
      <c r="H136" s="7">
        <v>30</v>
      </c>
      <c r="I136" s="7">
        <v>33</v>
      </c>
      <c r="J136" s="7">
        <v>39</v>
      </c>
      <c r="K136" s="7">
        <v>28</v>
      </c>
      <c r="L136" s="7">
        <v>36</v>
      </c>
      <c r="M136" s="7">
        <v>38</v>
      </c>
      <c r="N136" s="7">
        <v>30</v>
      </c>
      <c r="O136" s="7">
        <v>25</v>
      </c>
      <c r="P136" s="7">
        <v>13</v>
      </c>
      <c r="Q136" s="7">
        <v>38</v>
      </c>
      <c r="R136" s="7">
        <v>33</v>
      </c>
      <c r="S136" s="7">
        <v>36</v>
      </c>
      <c r="T136" s="7">
        <v>28</v>
      </c>
      <c r="U136" s="7">
        <v>48</v>
      </c>
      <c r="V136" s="7">
        <v>28</v>
      </c>
      <c r="W136" s="7">
        <v>25</v>
      </c>
      <c r="X136" s="7">
        <v>47</v>
      </c>
      <c r="Y136" s="7">
        <v>37</v>
      </c>
      <c r="Z136" s="7">
        <v>31</v>
      </c>
      <c r="AA136" s="7">
        <v>38</v>
      </c>
      <c r="AB136" s="7">
        <v>24</v>
      </c>
      <c r="AC136" s="7">
        <v>30</v>
      </c>
      <c r="AD136" s="7"/>
      <c r="AE136" s="7"/>
      <c r="AF136" s="8"/>
      <c r="AG136" s="4">
        <f t="shared" si="21"/>
        <v>916</v>
      </c>
    </row>
    <row r="137" spans="1:35" ht="18.75" x14ac:dyDescent="0.25">
      <c r="A137" s="43" t="s">
        <v>28</v>
      </c>
      <c r="B137" s="7">
        <f>6+4</f>
        <v>10</v>
      </c>
      <c r="C137" s="7">
        <f>3+1</f>
        <v>4</v>
      </c>
      <c r="D137" s="7">
        <f>4+1</f>
        <v>5</v>
      </c>
      <c r="E137" s="7">
        <f>5+1</f>
        <v>6</v>
      </c>
      <c r="F137" s="7">
        <f>7+1</f>
        <v>8</v>
      </c>
      <c r="G137" s="7">
        <f>8+2</f>
        <v>10</v>
      </c>
      <c r="H137" s="7">
        <v>8</v>
      </c>
      <c r="I137" s="7">
        <f>6+1</f>
        <v>7</v>
      </c>
      <c r="J137" s="7">
        <v>6</v>
      </c>
      <c r="K137" s="7">
        <f>9+2</f>
        <v>11</v>
      </c>
      <c r="L137" s="7">
        <f>6+2</f>
        <v>8</v>
      </c>
      <c r="M137" s="7">
        <v>8</v>
      </c>
      <c r="N137" s="7">
        <f>5+1</f>
        <v>6</v>
      </c>
      <c r="O137" s="7">
        <f>4+1</f>
        <v>5</v>
      </c>
      <c r="P137" s="7">
        <v>6</v>
      </c>
      <c r="Q137" s="7">
        <v>8</v>
      </c>
      <c r="R137" s="7">
        <f>9+2</f>
        <v>11</v>
      </c>
      <c r="S137" s="7">
        <f>6+1</f>
        <v>7</v>
      </c>
      <c r="T137" s="7">
        <f>4+2</f>
        <v>6</v>
      </c>
      <c r="U137" s="7">
        <v>9</v>
      </c>
      <c r="V137" s="7">
        <f>10+1</f>
        <v>11</v>
      </c>
      <c r="W137" s="7">
        <v>6</v>
      </c>
      <c r="X137" s="7">
        <f>10+1</f>
        <v>11</v>
      </c>
      <c r="Y137" s="7">
        <f>6+1</f>
        <v>7</v>
      </c>
      <c r="Z137" s="7">
        <f>11+1</f>
        <v>12</v>
      </c>
      <c r="AA137" s="7">
        <v>4</v>
      </c>
      <c r="AB137" s="7">
        <v>3</v>
      </c>
      <c r="AC137" s="7">
        <f>6+1</f>
        <v>7</v>
      </c>
      <c r="AD137" s="7"/>
      <c r="AE137" s="7"/>
      <c r="AF137" s="8"/>
      <c r="AG137" s="4">
        <f t="shared" si="21"/>
        <v>210</v>
      </c>
    </row>
    <row r="138" spans="1:35" ht="18.75" x14ac:dyDescent="0.25">
      <c r="A138" s="43" t="s">
        <v>29</v>
      </c>
      <c r="B138" s="7">
        <v>8</v>
      </c>
      <c r="C138" s="7">
        <v>8</v>
      </c>
      <c r="D138" s="7">
        <v>7</v>
      </c>
      <c r="E138" s="7">
        <v>5</v>
      </c>
      <c r="F138" s="7">
        <v>4</v>
      </c>
      <c r="G138" s="7">
        <v>4</v>
      </c>
      <c r="H138" s="7">
        <v>5</v>
      </c>
      <c r="I138" s="7">
        <v>3</v>
      </c>
      <c r="J138" s="7">
        <v>4</v>
      </c>
      <c r="K138" s="7">
        <v>6</v>
      </c>
      <c r="L138" s="7">
        <v>7</v>
      </c>
      <c r="M138" s="7">
        <v>3</v>
      </c>
      <c r="N138" s="7">
        <v>7</v>
      </c>
      <c r="O138" s="7">
        <v>7</v>
      </c>
      <c r="P138" s="7">
        <v>8</v>
      </c>
      <c r="Q138" s="7">
        <v>8</v>
      </c>
      <c r="R138" s="7">
        <v>5</v>
      </c>
      <c r="S138" s="7">
        <v>8</v>
      </c>
      <c r="T138" s="7">
        <v>5</v>
      </c>
      <c r="U138" s="7">
        <v>5</v>
      </c>
      <c r="V138" s="7">
        <v>8</v>
      </c>
      <c r="W138" s="7">
        <v>7</v>
      </c>
      <c r="X138" s="7">
        <v>4</v>
      </c>
      <c r="Y138" s="7">
        <v>8</v>
      </c>
      <c r="Z138" s="7">
        <v>3</v>
      </c>
      <c r="AA138" s="7">
        <v>5</v>
      </c>
      <c r="AB138" s="7">
        <v>3</v>
      </c>
      <c r="AC138" s="7">
        <v>4</v>
      </c>
      <c r="AD138" s="7"/>
      <c r="AE138" s="7"/>
      <c r="AF138" s="8"/>
      <c r="AG138" s="4">
        <f t="shared" si="21"/>
        <v>159</v>
      </c>
    </row>
    <row r="139" spans="1:35" ht="18.75" x14ac:dyDescent="0.25">
      <c r="A139" s="41" t="s">
        <v>30</v>
      </c>
      <c r="B139" s="7">
        <f>1+2</f>
        <v>3</v>
      </c>
      <c r="C139" s="7">
        <f>4+1</f>
        <v>5</v>
      </c>
      <c r="D139" s="7">
        <v>1</v>
      </c>
      <c r="E139" s="7">
        <f>2+2</f>
        <v>4</v>
      </c>
      <c r="F139" s="7">
        <f>1+2</f>
        <v>3</v>
      </c>
      <c r="G139" s="7"/>
      <c r="H139" s="7">
        <f>4+1</f>
        <v>5</v>
      </c>
      <c r="I139" s="7">
        <v>1</v>
      </c>
      <c r="J139" s="7">
        <v>2</v>
      </c>
      <c r="K139" s="7">
        <v>2</v>
      </c>
      <c r="L139" s="7">
        <v>3</v>
      </c>
      <c r="M139" s="7">
        <f>4+1</f>
        <v>5</v>
      </c>
      <c r="N139" s="7">
        <f>3+3</f>
        <v>6</v>
      </c>
      <c r="O139" s="7">
        <f>3+1</f>
        <v>4</v>
      </c>
      <c r="P139" s="7">
        <v>4</v>
      </c>
      <c r="Q139" s="7">
        <f>4+4</f>
        <v>8</v>
      </c>
      <c r="R139" s="7">
        <v>3</v>
      </c>
      <c r="S139" s="7">
        <f>2+1</f>
        <v>3</v>
      </c>
      <c r="T139" s="7">
        <f>4+1</f>
        <v>5</v>
      </c>
      <c r="U139" s="7">
        <f>3+1</f>
        <v>4</v>
      </c>
      <c r="V139" s="7">
        <v>3</v>
      </c>
      <c r="W139" s="7">
        <v>1</v>
      </c>
      <c r="X139" s="7">
        <f>1+1</f>
        <v>2</v>
      </c>
      <c r="Y139" s="7"/>
      <c r="Z139" s="7">
        <f>1+1</f>
        <v>2</v>
      </c>
      <c r="AA139" s="7"/>
      <c r="AB139" s="7">
        <v>1</v>
      </c>
      <c r="AC139" s="7"/>
      <c r="AD139" s="7"/>
      <c r="AE139" s="7"/>
      <c r="AF139" s="8"/>
      <c r="AG139" s="4">
        <f t="shared" si="21"/>
        <v>80</v>
      </c>
    </row>
    <row r="140" spans="1:35" ht="18.75" x14ac:dyDescent="0.25">
      <c r="A140" s="41" t="s">
        <v>31</v>
      </c>
      <c r="B140" s="7">
        <v>2</v>
      </c>
      <c r="C140" s="7">
        <v>7</v>
      </c>
      <c r="D140" s="7">
        <v>4</v>
      </c>
      <c r="E140" s="7">
        <v>6</v>
      </c>
      <c r="F140" s="7">
        <v>3</v>
      </c>
      <c r="G140" s="7">
        <v>5</v>
      </c>
      <c r="H140" s="7">
        <v>7</v>
      </c>
      <c r="I140" s="7">
        <v>3</v>
      </c>
      <c r="J140" s="7">
        <v>6</v>
      </c>
      <c r="K140" s="7">
        <v>3</v>
      </c>
      <c r="L140" s="7">
        <v>1</v>
      </c>
      <c r="M140" s="7"/>
      <c r="N140" s="7">
        <v>3</v>
      </c>
      <c r="O140" s="7">
        <v>2</v>
      </c>
      <c r="P140" s="7">
        <v>3</v>
      </c>
      <c r="Q140" s="7">
        <v>3</v>
      </c>
      <c r="R140" s="7">
        <v>6</v>
      </c>
      <c r="S140" s="7"/>
      <c r="T140" s="7">
        <v>3</v>
      </c>
      <c r="U140" s="7">
        <v>1</v>
      </c>
      <c r="V140" s="7">
        <v>2</v>
      </c>
      <c r="W140" s="7">
        <v>1</v>
      </c>
      <c r="X140" s="7">
        <v>4</v>
      </c>
      <c r="Y140" s="7">
        <v>4</v>
      </c>
      <c r="Z140" s="7">
        <v>2</v>
      </c>
      <c r="AA140" s="7">
        <v>4</v>
      </c>
      <c r="AB140" s="7">
        <v>2</v>
      </c>
      <c r="AC140" s="7">
        <v>7</v>
      </c>
      <c r="AD140" s="7"/>
      <c r="AE140" s="7"/>
      <c r="AF140" s="8"/>
      <c r="AG140" s="4">
        <f t="shared" si="21"/>
        <v>94</v>
      </c>
    </row>
    <row r="141" spans="1:35" ht="18.75" x14ac:dyDescent="0.25">
      <c r="A141" s="41" t="s">
        <v>32</v>
      </c>
      <c r="B141" s="7">
        <v>1</v>
      </c>
      <c r="C141" s="7"/>
      <c r="D141" s="7">
        <v>1</v>
      </c>
      <c r="E141" s="7"/>
      <c r="F141" s="7"/>
      <c r="G141" s="7">
        <v>2</v>
      </c>
      <c r="H141" s="7"/>
      <c r="I141" s="7"/>
      <c r="J141" s="7"/>
      <c r="K141" s="7"/>
      <c r="L141" s="7"/>
      <c r="M141" s="7"/>
      <c r="N141" s="7">
        <v>1</v>
      </c>
      <c r="O141" s="7">
        <v>1</v>
      </c>
      <c r="P141" s="7"/>
      <c r="Q141" s="7"/>
      <c r="R141" s="7">
        <v>1</v>
      </c>
      <c r="S141" s="7"/>
      <c r="T141" s="7"/>
      <c r="U141" s="7">
        <v>1</v>
      </c>
      <c r="V141" s="7">
        <v>1</v>
      </c>
      <c r="W141" s="7">
        <v>2</v>
      </c>
      <c r="X141" s="7">
        <v>1</v>
      </c>
      <c r="Y141" s="7"/>
      <c r="Z141" s="7"/>
      <c r="AA141" s="7"/>
      <c r="AB141" s="7"/>
      <c r="AC141" s="7">
        <v>1</v>
      </c>
      <c r="AD141" s="7"/>
      <c r="AE141" s="7"/>
      <c r="AF141" s="8"/>
      <c r="AG141" s="4">
        <f t="shared" si="21"/>
        <v>13</v>
      </c>
    </row>
    <row r="142" spans="1:35" ht="18.75" x14ac:dyDescent="0.25">
      <c r="A142" s="43" t="s">
        <v>60</v>
      </c>
      <c r="B142" s="7">
        <f>1+1+1+1+1</f>
        <v>5</v>
      </c>
      <c r="C142" s="7">
        <f>1+3+1+1+4+2+1+1</f>
        <v>14</v>
      </c>
      <c r="D142" s="7">
        <f>1+1+1+3</f>
        <v>6</v>
      </c>
      <c r="E142" s="7">
        <f>1+1+1+2+1+1</f>
        <v>7</v>
      </c>
      <c r="F142" s="7">
        <f>1+1+1+1</f>
        <v>4</v>
      </c>
      <c r="G142" s="7">
        <f>1+1+1+1+1</f>
        <v>5</v>
      </c>
      <c r="H142" s="7">
        <f>1+1+1+1</f>
        <v>4</v>
      </c>
      <c r="I142" s="7">
        <f>2+1+2+1+1+1</f>
        <v>8</v>
      </c>
      <c r="J142" s="7">
        <f>6+1+1+1+1</f>
        <v>10</v>
      </c>
      <c r="K142" s="7">
        <f>1+1+2+1+1+1+1+2+2</f>
        <v>12</v>
      </c>
      <c r="L142" s="7">
        <f>1+1+1+1+2+1</f>
        <v>7</v>
      </c>
      <c r="M142" s="7">
        <f>1+1+1</f>
        <v>3</v>
      </c>
      <c r="N142" s="7">
        <f>1+1+1+3+1+1</f>
        <v>8</v>
      </c>
      <c r="O142" s="7">
        <f>1+1</f>
        <v>2</v>
      </c>
      <c r="P142" s="7">
        <f>1+1+1+1+1</f>
        <v>5</v>
      </c>
      <c r="Q142" s="7">
        <f>1+1+1+1+1+2+2+1</f>
        <v>10</v>
      </c>
      <c r="R142" s="7">
        <f>1+1+1+1+1+1</f>
        <v>6</v>
      </c>
      <c r="S142" s="7">
        <f>1+2+2+1+1+1</f>
        <v>8</v>
      </c>
      <c r="T142" s="7">
        <f>1+1+1+1</f>
        <v>4</v>
      </c>
      <c r="U142" s="7">
        <f>1+1+1+1</f>
        <v>4</v>
      </c>
      <c r="V142" s="7">
        <f>1+1+2</f>
        <v>4</v>
      </c>
      <c r="W142" s="7">
        <f>1+1+1+1</f>
        <v>4</v>
      </c>
      <c r="X142" s="7">
        <f>2+1+1</f>
        <v>4</v>
      </c>
      <c r="Y142" s="7">
        <f>1+1+2+1+1</f>
        <v>6</v>
      </c>
      <c r="Z142" s="7">
        <f>2+1+2+1</f>
        <v>6</v>
      </c>
      <c r="AA142" s="7">
        <f>1+1+1+1+1</f>
        <v>5</v>
      </c>
      <c r="AB142" s="7">
        <f>2+1+1+1+1+1+1</f>
        <v>8</v>
      </c>
      <c r="AC142" s="7">
        <f>1+1+2+1</f>
        <v>5</v>
      </c>
      <c r="AD142" s="7"/>
      <c r="AE142" s="7"/>
      <c r="AF142" s="8"/>
      <c r="AG142" s="4">
        <f t="shared" si="21"/>
        <v>174</v>
      </c>
    </row>
    <row r="143" spans="1:35" ht="19.5" thickBot="1" x14ac:dyDescent="0.3">
      <c r="A143" s="75" t="s">
        <v>86</v>
      </c>
      <c r="B143" s="13">
        <f>13+14</f>
        <v>27</v>
      </c>
      <c r="C143" s="13">
        <f>21+11</f>
        <v>32</v>
      </c>
      <c r="D143" s="13">
        <f>16+16</f>
        <v>32</v>
      </c>
      <c r="E143" s="13">
        <f>16+8</f>
        <v>24</v>
      </c>
      <c r="F143" s="13">
        <f>12+15</f>
        <v>27</v>
      </c>
      <c r="G143" s="13">
        <f>11+17</f>
        <v>28</v>
      </c>
      <c r="H143" s="13">
        <f>2+14+15</f>
        <v>31</v>
      </c>
      <c r="I143" s="13">
        <f>17+7</f>
        <v>24</v>
      </c>
      <c r="J143" s="13">
        <f>20+1+27</f>
        <v>48</v>
      </c>
      <c r="K143" s="13">
        <f>14+19</f>
        <v>33</v>
      </c>
      <c r="L143" s="13">
        <f>20+1+15</f>
        <v>36</v>
      </c>
      <c r="M143" s="13">
        <f>13+14</f>
        <v>27</v>
      </c>
      <c r="N143" s="13">
        <f>22+18</f>
        <v>40</v>
      </c>
      <c r="O143" s="13">
        <f>9+17</f>
        <v>26</v>
      </c>
      <c r="P143" s="13">
        <f>19+12</f>
        <v>31</v>
      </c>
      <c r="Q143" s="13">
        <f>23+1+16</f>
        <v>40</v>
      </c>
      <c r="R143" s="13">
        <f>22+22</f>
        <v>44</v>
      </c>
      <c r="S143" s="13">
        <f>14+6</f>
        <v>20</v>
      </c>
      <c r="T143" s="13">
        <f>20+16</f>
        <v>36</v>
      </c>
      <c r="U143" s="13">
        <f>18+19</f>
        <v>37</v>
      </c>
      <c r="V143" s="13">
        <f>8+2+12</f>
        <v>22</v>
      </c>
      <c r="W143" s="13">
        <f>14+1+15</f>
        <v>30</v>
      </c>
      <c r="X143" s="13">
        <f>10+19</f>
        <v>29</v>
      </c>
      <c r="Y143" s="13">
        <f>1+10+1+20</f>
        <v>32</v>
      </c>
      <c r="Z143" s="13">
        <f>24+14</f>
        <v>38</v>
      </c>
      <c r="AA143" s="13">
        <f>16+12</f>
        <v>28</v>
      </c>
      <c r="AB143" s="13">
        <f>21+2+15</f>
        <v>38</v>
      </c>
      <c r="AC143" s="13">
        <f>9+12</f>
        <v>21</v>
      </c>
      <c r="AD143" s="13"/>
      <c r="AE143" s="13"/>
      <c r="AF143" s="14"/>
      <c r="AG143" s="108">
        <f t="shared" si="21"/>
        <v>881</v>
      </c>
    </row>
    <row r="144" spans="1:35" ht="19.5" thickBot="1" x14ac:dyDescent="0.3">
      <c r="A144" s="164" t="s">
        <v>89</v>
      </c>
      <c r="B144" s="165">
        <f t="shared" ref="B144:AD144" si="22">+B146+B156+B158+B167</f>
        <v>167</v>
      </c>
      <c r="C144" s="165">
        <f t="shared" si="22"/>
        <v>218</v>
      </c>
      <c r="D144" s="165">
        <f t="shared" si="22"/>
        <v>210</v>
      </c>
      <c r="E144" s="165">
        <f t="shared" si="22"/>
        <v>206</v>
      </c>
      <c r="F144" s="165">
        <f t="shared" si="22"/>
        <v>170</v>
      </c>
      <c r="G144" s="165">
        <f t="shared" si="22"/>
        <v>185</v>
      </c>
      <c r="H144" s="165">
        <f t="shared" si="22"/>
        <v>173</v>
      </c>
      <c r="I144" s="165">
        <f t="shared" si="22"/>
        <v>151</v>
      </c>
      <c r="J144" s="165">
        <f t="shared" si="22"/>
        <v>241</v>
      </c>
      <c r="K144" s="165">
        <f t="shared" si="22"/>
        <v>218</v>
      </c>
      <c r="L144" s="165">
        <f t="shared" si="22"/>
        <v>201</v>
      </c>
      <c r="M144" s="165">
        <f t="shared" si="22"/>
        <v>152</v>
      </c>
      <c r="N144" s="165">
        <f t="shared" si="22"/>
        <v>181</v>
      </c>
      <c r="O144" s="165">
        <f t="shared" si="22"/>
        <v>169</v>
      </c>
      <c r="P144" s="165">
        <f t="shared" si="22"/>
        <v>162</v>
      </c>
      <c r="Q144" s="165">
        <f t="shared" si="22"/>
        <v>224</v>
      </c>
      <c r="R144" s="165">
        <f t="shared" si="22"/>
        <v>211</v>
      </c>
      <c r="S144" s="165">
        <f t="shared" si="22"/>
        <v>199</v>
      </c>
      <c r="T144" s="165">
        <f t="shared" si="22"/>
        <v>176</v>
      </c>
      <c r="U144" s="165">
        <f t="shared" si="22"/>
        <v>200</v>
      </c>
      <c r="V144" s="165">
        <f t="shared" si="22"/>
        <v>182</v>
      </c>
      <c r="W144" s="165">
        <f t="shared" si="22"/>
        <v>170</v>
      </c>
      <c r="X144" s="165">
        <f t="shared" si="22"/>
        <v>222</v>
      </c>
      <c r="Y144" s="165">
        <f t="shared" si="22"/>
        <v>200</v>
      </c>
      <c r="Z144" s="165">
        <f t="shared" si="22"/>
        <v>209</v>
      </c>
      <c r="AA144" s="165">
        <f t="shared" si="22"/>
        <v>193</v>
      </c>
      <c r="AB144" s="165">
        <f t="shared" si="22"/>
        <v>162</v>
      </c>
      <c r="AC144" s="165">
        <f t="shared" si="22"/>
        <v>167</v>
      </c>
      <c r="AD144" s="165">
        <f t="shared" si="22"/>
        <v>0</v>
      </c>
      <c r="AE144" s="165">
        <f>+AE146+AE156+AE158+AE167</f>
        <v>0</v>
      </c>
      <c r="AF144" s="165">
        <f t="shared" ref="AF144" si="23">+AF146+AF156+AF158+AF167</f>
        <v>0</v>
      </c>
      <c r="AG144" s="116">
        <f t="shared" si="21"/>
        <v>5319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3</v>
      </c>
      <c r="C145" s="161">
        <f t="shared" si="24"/>
        <v>8</v>
      </c>
      <c r="D145" s="161">
        <f t="shared" si="24"/>
        <v>7</v>
      </c>
      <c r="E145" s="161">
        <f t="shared" si="24"/>
        <v>19</v>
      </c>
      <c r="F145" s="161">
        <f t="shared" si="24"/>
        <v>36</v>
      </c>
      <c r="G145" s="161">
        <f t="shared" si="24"/>
        <v>11</v>
      </c>
      <c r="H145" s="161">
        <f t="shared" si="24"/>
        <v>9</v>
      </c>
      <c r="I145" s="161">
        <f t="shared" si="24"/>
        <v>16</v>
      </c>
      <c r="J145" s="161">
        <f t="shared" si="24"/>
        <v>14</v>
      </c>
      <c r="K145" s="161">
        <f t="shared" si="24"/>
        <v>6</v>
      </c>
      <c r="L145" s="161">
        <f t="shared" si="24"/>
        <v>27</v>
      </c>
      <c r="M145" s="161">
        <f t="shared" si="24"/>
        <v>11</v>
      </c>
      <c r="N145" s="161">
        <f t="shared" si="24"/>
        <v>6</v>
      </c>
      <c r="O145" s="161">
        <f t="shared" si="24"/>
        <v>19</v>
      </c>
      <c r="P145" s="161">
        <f t="shared" si="24"/>
        <v>5</v>
      </c>
      <c r="Q145" s="161">
        <f t="shared" si="24"/>
        <v>15</v>
      </c>
      <c r="R145" s="161">
        <f t="shared" si="24"/>
        <v>27</v>
      </c>
      <c r="S145" s="161">
        <f t="shared" si="24"/>
        <v>16</v>
      </c>
      <c r="T145" s="161">
        <f t="shared" si="24"/>
        <v>23</v>
      </c>
      <c r="U145" s="161">
        <f t="shared" si="24"/>
        <v>5</v>
      </c>
      <c r="V145" s="161">
        <f t="shared" si="24"/>
        <v>11</v>
      </c>
      <c r="W145" s="161">
        <f t="shared" si="24"/>
        <v>2</v>
      </c>
      <c r="X145" s="161">
        <f t="shared" si="24"/>
        <v>6</v>
      </c>
      <c r="Y145" s="161">
        <f t="shared" si="24"/>
        <v>7</v>
      </c>
      <c r="Z145" s="161">
        <f t="shared" si="24"/>
        <v>14</v>
      </c>
      <c r="AA145" s="161">
        <f t="shared" si="24"/>
        <v>12</v>
      </c>
      <c r="AB145" s="161">
        <f t="shared" si="24"/>
        <v>20</v>
      </c>
      <c r="AC145" s="161">
        <f t="shared" si="24"/>
        <v>14</v>
      </c>
      <c r="AD145" s="161">
        <f t="shared" si="24"/>
        <v>0</v>
      </c>
      <c r="AE145" s="161">
        <f>+AE149+AE155+AE157+AE172</f>
        <v>0</v>
      </c>
      <c r="AF145" s="162">
        <f t="shared" ref="AF145" si="25">+AF149+AF155+AF157+AF172</f>
        <v>0</v>
      </c>
      <c r="AG145" s="163">
        <f t="shared" si="21"/>
        <v>369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34</v>
      </c>
      <c r="C146" s="118">
        <f t="shared" si="26"/>
        <v>21</v>
      </c>
      <c r="D146" s="118">
        <f t="shared" si="26"/>
        <v>28</v>
      </c>
      <c r="E146" s="118">
        <f t="shared" si="26"/>
        <v>39</v>
      </c>
      <c r="F146" s="118">
        <f t="shared" si="26"/>
        <v>39</v>
      </c>
      <c r="G146" s="118">
        <f t="shared" si="26"/>
        <v>50</v>
      </c>
      <c r="H146" s="118">
        <f t="shared" si="26"/>
        <v>54</v>
      </c>
      <c r="I146" s="118">
        <f t="shared" si="26"/>
        <v>25</v>
      </c>
      <c r="J146" s="118">
        <f t="shared" si="26"/>
        <v>37</v>
      </c>
      <c r="K146" s="118">
        <f t="shared" si="26"/>
        <v>27</v>
      </c>
      <c r="L146" s="118">
        <f t="shared" si="26"/>
        <v>51</v>
      </c>
      <c r="M146" s="118">
        <f t="shared" si="26"/>
        <v>29</v>
      </c>
      <c r="N146" s="118">
        <f t="shared" si="26"/>
        <v>54</v>
      </c>
      <c r="O146" s="118">
        <f t="shared" si="26"/>
        <v>30</v>
      </c>
      <c r="P146" s="118">
        <f t="shared" si="26"/>
        <v>37</v>
      </c>
      <c r="Q146" s="118">
        <f t="shared" si="26"/>
        <v>30</v>
      </c>
      <c r="R146" s="118">
        <f t="shared" si="26"/>
        <v>23</v>
      </c>
      <c r="S146" s="118">
        <f t="shared" si="26"/>
        <v>50</v>
      </c>
      <c r="T146" s="118">
        <f t="shared" si="26"/>
        <v>49</v>
      </c>
      <c r="U146" s="118">
        <f t="shared" si="26"/>
        <v>41</v>
      </c>
      <c r="V146" s="118">
        <f t="shared" si="26"/>
        <v>50</v>
      </c>
      <c r="W146" s="118">
        <f t="shared" si="26"/>
        <v>36</v>
      </c>
      <c r="X146" s="118">
        <f t="shared" si="26"/>
        <v>40</v>
      </c>
      <c r="Y146" s="118">
        <f t="shared" si="26"/>
        <v>20</v>
      </c>
      <c r="Z146" s="118">
        <f t="shared" si="26"/>
        <v>60</v>
      </c>
      <c r="AA146" s="118">
        <f t="shared" si="26"/>
        <v>44</v>
      </c>
      <c r="AB146" s="118">
        <f t="shared" si="26"/>
        <v>48</v>
      </c>
      <c r="AC146" s="118">
        <f t="shared" si="26"/>
        <v>31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1077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2</v>
      </c>
      <c r="D147" s="154">
        <f t="shared" si="26"/>
        <v>1</v>
      </c>
      <c r="E147" s="154">
        <f t="shared" si="26"/>
        <v>4</v>
      </c>
      <c r="F147" s="154">
        <f t="shared" si="26"/>
        <v>5</v>
      </c>
      <c r="G147" s="154">
        <f t="shared" si="26"/>
        <v>2</v>
      </c>
      <c r="H147" s="154">
        <f t="shared" si="26"/>
        <v>9</v>
      </c>
      <c r="I147" s="154">
        <f t="shared" si="26"/>
        <v>0</v>
      </c>
      <c r="J147" s="154">
        <f t="shared" si="26"/>
        <v>2</v>
      </c>
      <c r="K147" s="154">
        <f t="shared" si="26"/>
        <v>0</v>
      </c>
      <c r="L147" s="154">
        <f t="shared" si="26"/>
        <v>2</v>
      </c>
      <c r="M147" s="154">
        <f t="shared" si="26"/>
        <v>1</v>
      </c>
      <c r="N147" s="154">
        <f t="shared" si="26"/>
        <v>0</v>
      </c>
      <c r="O147" s="154">
        <f t="shared" si="26"/>
        <v>2</v>
      </c>
      <c r="P147" s="154">
        <f t="shared" si="26"/>
        <v>1</v>
      </c>
      <c r="Q147" s="154">
        <f t="shared" si="26"/>
        <v>1</v>
      </c>
      <c r="R147" s="154">
        <f t="shared" si="26"/>
        <v>3</v>
      </c>
      <c r="S147" s="154">
        <f t="shared" si="26"/>
        <v>2</v>
      </c>
      <c r="T147" s="154">
        <f t="shared" si="26"/>
        <v>1</v>
      </c>
      <c r="U147" s="154">
        <f t="shared" si="26"/>
        <v>0</v>
      </c>
      <c r="V147" s="154">
        <f t="shared" si="26"/>
        <v>0</v>
      </c>
      <c r="W147" s="154">
        <f t="shared" si="26"/>
        <v>1</v>
      </c>
      <c r="X147" s="154">
        <f t="shared" si="26"/>
        <v>1</v>
      </c>
      <c r="Y147" s="154">
        <f t="shared" si="26"/>
        <v>0</v>
      </c>
      <c r="Z147" s="154">
        <f t="shared" si="26"/>
        <v>14</v>
      </c>
      <c r="AA147" s="154">
        <f t="shared" si="26"/>
        <v>1</v>
      </c>
      <c r="AB147" s="154">
        <f>+AB149+AB155</f>
        <v>2</v>
      </c>
      <c r="AC147" s="154">
        <f t="shared" si="26"/>
        <v>1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58</v>
      </c>
    </row>
    <row r="148" spans="1:34" ht="19.5" thickBot="1" x14ac:dyDescent="0.3">
      <c r="A148" s="125" t="s">
        <v>68</v>
      </c>
      <c r="B148" s="126">
        <f>SUM(B150:B153)</f>
        <v>8</v>
      </c>
      <c r="C148" s="126">
        <f t="shared" ref="C148:AF148" si="27">SUM(C150:C153)</f>
        <v>2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2</v>
      </c>
      <c r="H148" s="126">
        <f t="shared" si="27"/>
        <v>12</v>
      </c>
      <c r="I148" s="126">
        <f t="shared" si="27"/>
        <v>2</v>
      </c>
      <c r="J148" s="126">
        <f t="shared" si="27"/>
        <v>0</v>
      </c>
      <c r="K148" s="126">
        <f t="shared" si="27"/>
        <v>1</v>
      </c>
      <c r="L148" s="126">
        <f t="shared" si="27"/>
        <v>11</v>
      </c>
      <c r="M148" s="126">
        <f t="shared" si="27"/>
        <v>0</v>
      </c>
      <c r="N148" s="126">
        <f t="shared" si="27"/>
        <v>1</v>
      </c>
      <c r="O148" s="126">
        <f t="shared" si="27"/>
        <v>0</v>
      </c>
      <c r="P148" s="126">
        <f t="shared" si="27"/>
        <v>0</v>
      </c>
      <c r="Q148" s="126">
        <f t="shared" si="27"/>
        <v>1</v>
      </c>
      <c r="R148" s="126">
        <f t="shared" si="27"/>
        <v>2</v>
      </c>
      <c r="S148" s="126">
        <f t="shared" si="27"/>
        <v>5</v>
      </c>
      <c r="T148" s="126">
        <f t="shared" si="27"/>
        <v>3</v>
      </c>
      <c r="U148" s="126">
        <f t="shared" si="27"/>
        <v>0</v>
      </c>
      <c r="V148" s="126">
        <f t="shared" si="27"/>
        <v>4</v>
      </c>
      <c r="W148" s="126">
        <f t="shared" si="27"/>
        <v>6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3</v>
      </c>
      <c r="AC148" s="126">
        <f t="shared" si="27"/>
        <v>2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09" si="28">SUM(B148:AF148)</f>
        <v>65</v>
      </c>
    </row>
    <row r="149" spans="1:34" ht="19.5" thickBot="1" x14ac:dyDescent="0.3">
      <c r="A149" s="153" t="s">
        <v>131</v>
      </c>
      <c r="B149" s="154">
        <v>0</v>
      </c>
      <c r="C149" s="154">
        <v>0</v>
      </c>
      <c r="D149" s="154">
        <v>0</v>
      </c>
      <c r="E149" s="154">
        <v>0</v>
      </c>
      <c r="F149" s="154">
        <v>0</v>
      </c>
      <c r="G149" s="154">
        <v>0</v>
      </c>
      <c r="H149" s="154">
        <v>2</v>
      </c>
      <c r="I149" s="154">
        <v>0</v>
      </c>
      <c r="J149" s="154">
        <v>0</v>
      </c>
      <c r="K149" s="154">
        <v>0</v>
      </c>
      <c r="L149" s="154">
        <v>2</v>
      </c>
      <c r="M149" s="154">
        <v>0</v>
      </c>
      <c r="N149" s="154">
        <v>0</v>
      </c>
      <c r="O149" s="154">
        <v>0</v>
      </c>
      <c r="P149" s="154">
        <v>0</v>
      </c>
      <c r="Q149" s="154">
        <v>0</v>
      </c>
      <c r="R149" s="154">
        <v>1</v>
      </c>
      <c r="S149" s="154">
        <v>0</v>
      </c>
      <c r="T149" s="154">
        <v>0</v>
      </c>
      <c r="U149" s="154">
        <v>0</v>
      </c>
      <c r="V149" s="154">
        <v>0</v>
      </c>
      <c r="W149" s="154">
        <v>0</v>
      </c>
      <c r="X149" s="154">
        <v>0</v>
      </c>
      <c r="Y149" s="154">
        <v>0</v>
      </c>
      <c r="Z149" s="154">
        <v>2</v>
      </c>
      <c r="AA149" s="154">
        <v>0</v>
      </c>
      <c r="AB149" s="154">
        <v>0</v>
      </c>
      <c r="AC149" s="154">
        <v>0</v>
      </c>
      <c r="AD149" s="154"/>
      <c r="AE149" s="154"/>
      <c r="AF149" s="155"/>
      <c r="AG149" s="156">
        <f t="shared" si="28"/>
        <v>7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 t="s">
        <v>171</v>
      </c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>
        <v>1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>
        <v>1</v>
      </c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2</v>
      </c>
    </row>
    <row r="152" spans="1:34" ht="18.75" x14ac:dyDescent="0.25">
      <c r="A152" s="50" t="s">
        <v>102</v>
      </c>
      <c r="B152" s="29">
        <v>2</v>
      </c>
      <c r="C152" s="29">
        <v>1</v>
      </c>
      <c r="D152" s="29"/>
      <c r="E152" s="29"/>
      <c r="F152" s="29"/>
      <c r="G152" s="29">
        <v>2</v>
      </c>
      <c r="H152" s="29">
        <v>11</v>
      </c>
      <c r="I152" s="29">
        <v>1</v>
      </c>
      <c r="J152" s="29"/>
      <c r="K152" s="29"/>
      <c r="L152" s="29">
        <v>8</v>
      </c>
      <c r="M152" s="29"/>
      <c r="N152" s="29"/>
      <c r="O152" s="29"/>
      <c r="P152" s="29"/>
      <c r="Q152" s="29">
        <v>1</v>
      </c>
      <c r="R152" s="29"/>
      <c r="S152" s="29">
        <v>1</v>
      </c>
      <c r="T152" s="29"/>
      <c r="U152" s="29"/>
      <c r="V152" s="29">
        <v>3</v>
      </c>
      <c r="W152" s="29">
        <v>2</v>
      </c>
      <c r="X152" s="29"/>
      <c r="Y152" s="29"/>
      <c r="Z152" s="29"/>
      <c r="AA152" s="29"/>
      <c r="AB152" s="29"/>
      <c r="AC152" s="29">
        <v>2</v>
      </c>
      <c r="AD152" s="29"/>
      <c r="AE152" s="29"/>
      <c r="AF152" s="21"/>
      <c r="AG152" s="4">
        <f t="shared" si="28"/>
        <v>34</v>
      </c>
    </row>
    <row r="153" spans="1:34" ht="19.5" thickBot="1" x14ac:dyDescent="0.3">
      <c r="A153" s="71" t="s">
        <v>103</v>
      </c>
      <c r="B153" s="30">
        <v>6</v>
      </c>
      <c r="C153" s="30">
        <v>1</v>
      </c>
      <c r="D153" s="30"/>
      <c r="E153" s="30"/>
      <c r="F153" s="30"/>
      <c r="G153" s="30"/>
      <c r="H153" s="30"/>
      <c r="I153" s="30">
        <v>1</v>
      </c>
      <c r="J153" s="30"/>
      <c r="K153" s="30">
        <v>1</v>
      </c>
      <c r="L153" s="30">
        <v>3</v>
      </c>
      <c r="M153" s="30"/>
      <c r="N153" s="30">
        <v>1</v>
      </c>
      <c r="O153" s="30"/>
      <c r="P153" s="30"/>
      <c r="Q153" s="30"/>
      <c r="R153" s="30">
        <v>2</v>
      </c>
      <c r="S153" s="30">
        <v>3</v>
      </c>
      <c r="T153" s="30">
        <v>3</v>
      </c>
      <c r="U153" s="30"/>
      <c r="V153" s="30">
        <v>1</v>
      </c>
      <c r="W153" s="30">
        <v>4</v>
      </c>
      <c r="X153" s="30"/>
      <c r="Y153" s="30"/>
      <c r="Z153" s="30"/>
      <c r="AA153" s="30"/>
      <c r="AB153" s="30">
        <v>3</v>
      </c>
      <c r="AC153" s="30"/>
      <c r="AD153" s="30"/>
      <c r="AE153" s="30"/>
      <c r="AF153" s="22"/>
      <c r="AG153" s="28">
        <f t="shared" si="28"/>
        <v>29</v>
      </c>
    </row>
    <row r="154" spans="1:34" ht="19.5" thickBot="1" x14ac:dyDescent="0.3">
      <c r="A154" s="125" t="s">
        <v>67</v>
      </c>
      <c r="B154" s="126">
        <f>34-2-6</f>
        <v>26</v>
      </c>
      <c r="C154" s="126">
        <v>19</v>
      </c>
      <c r="D154" s="126">
        <v>28</v>
      </c>
      <c r="E154" s="126">
        <v>39</v>
      </c>
      <c r="F154" s="126">
        <v>39</v>
      </c>
      <c r="G154" s="126">
        <v>48</v>
      </c>
      <c r="H154" s="126">
        <f>54-1-11</f>
        <v>42</v>
      </c>
      <c r="I154" s="126">
        <v>23</v>
      </c>
      <c r="J154" s="126">
        <v>37</v>
      </c>
      <c r="K154" s="126">
        <v>26</v>
      </c>
      <c r="L154" s="126">
        <v>40</v>
      </c>
      <c r="M154" s="126">
        <v>29</v>
      </c>
      <c r="N154" s="126">
        <v>53</v>
      </c>
      <c r="O154" s="126">
        <v>30</v>
      </c>
      <c r="P154" s="126">
        <v>37</v>
      </c>
      <c r="Q154" s="126">
        <v>29</v>
      </c>
      <c r="R154" s="126">
        <v>21</v>
      </c>
      <c r="S154" s="126">
        <v>45</v>
      </c>
      <c r="T154" s="126">
        <v>46</v>
      </c>
      <c r="U154" s="126">
        <v>41</v>
      </c>
      <c r="V154" s="126">
        <v>46</v>
      </c>
      <c r="W154" s="126">
        <v>30</v>
      </c>
      <c r="X154" s="126">
        <v>40</v>
      </c>
      <c r="Y154" s="126">
        <v>20</v>
      </c>
      <c r="Z154" s="126">
        <v>60</v>
      </c>
      <c r="AA154" s="126">
        <v>44</v>
      </c>
      <c r="AB154" s="126">
        <v>45</v>
      </c>
      <c r="AC154" s="126">
        <v>29</v>
      </c>
      <c r="AD154" s="126"/>
      <c r="AE154" s="126"/>
      <c r="AF154" s="127"/>
      <c r="AG154" s="128">
        <f t="shared" si="28"/>
        <v>1012</v>
      </c>
    </row>
    <row r="155" spans="1:34" ht="19.5" thickBot="1" x14ac:dyDescent="0.3">
      <c r="A155" s="153" t="s">
        <v>132</v>
      </c>
      <c r="B155" s="154">
        <v>0</v>
      </c>
      <c r="C155" s="154">
        <v>2</v>
      </c>
      <c r="D155" s="154">
        <v>1</v>
      </c>
      <c r="E155" s="154">
        <v>4</v>
      </c>
      <c r="F155" s="154">
        <v>5</v>
      </c>
      <c r="G155" s="154">
        <v>2</v>
      </c>
      <c r="H155" s="154">
        <v>7</v>
      </c>
      <c r="I155" s="154">
        <v>0</v>
      </c>
      <c r="J155" s="154">
        <v>2</v>
      </c>
      <c r="K155" s="154">
        <v>0</v>
      </c>
      <c r="L155" s="154">
        <v>0</v>
      </c>
      <c r="M155" s="154">
        <v>1</v>
      </c>
      <c r="N155" s="154">
        <v>0</v>
      </c>
      <c r="O155" s="154">
        <v>2</v>
      </c>
      <c r="P155" s="154">
        <v>1</v>
      </c>
      <c r="Q155" s="154">
        <v>1</v>
      </c>
      <c r="R155" s="154">
        <v>2</v>
      </c>
      <c r="S155" s="154">
        <v>2</v>
      </c>
      <c r="T155" s="154">
        <v>1</v>
      </c>
      <c r="U155" s="154">
        <v>0</v>
      </c>
      <c r="V155" s="154">
        <v>0</v>
      </c>
      <c r="W155" s="154">
        <v>1</v>
      </c>
      <c r="X155" s="154">
        <v>1</v>
      </c>
      <c r="Y155" s="154">
        <v>0</v>
      </c>
      <c r="Z155" s="154">
        <v>12</v>
      </c>
      <c r="AA155" s="154">
        <v>1</v>
      </c>
      <c r="AB155" s="154">
        <v>2</v>
      </c>
      <c r="AC155" s="154">
        <v>1</v>
      </c>
      <c r="AD155" s="154"/>
      <c r="AE155" s="154"/>
      <c r="AF155" s="155"/>
      <c r="AG155" s="156">
        <f t="shared" si="28"/>
        <v>51</v>
      </c>
    </row>
    <row r="156" spans="1:34" ht="18.75" x14ac:dyDescent="0.25">
      <c r="A156" s="69" t="s">
        <v>62</v>
      </c>
      <c r="B156" s="56">
        <v>132</v>
      </c>
      <c r="C156" s="56">
        <v>187</v>
      </c>
      <c r="D156" s="56">
        <v>180</v>
      </c>
      <c r="E156" s="56">
        <v>165</v>
      </c>
      <c r="F156" s="56">
        <v>129</v>
      </c>
      <c r="G156" s="56">
        <v>131</v>
      </c>
      <c r="H156" s="56">
        <v>116</v>
      </c>
      <c r="I156" s="56">
        <v>124</v>
      </c>
      <c r="J156" s="56">
        <v>198</v>
      </c>
      <c r="K156" s="56">
        <v>191</v>
      </c>
      <c r="L156" s="56">
        <v>147</v>
      </c>
      <c r="M156" s="56">
        <v>122</v>
      </c>
      <c r="N156" s="56">
        <v>123</v>
      </c>
      <c r="O156" s="56">
        <v>137</v>
      </c>
      <c r="P156" s="56">
        <v>118</v>
      </c>
      <c r="Q156" s="56">
        <v>191</v>
      </c>
      <c r="R156" s="56">
        <v>185</v>
      </c>
      <c r="S156" s="56">
        <v>147</v>
      </c>
      <c r="T156" s="56">
        <v>127</v>
      </c>
      <c r="U156" s="56">
        <v>157</v>
      </c>
      <c r="V156" s="56">
        <v>129</v>
      </c>
      <c r="W156" s="56">
        <v>132</v>
      </c>
      <c r="X156" s="56">
        <v>180</v>
      </c>
      <c r="Y156" s="56">
        <v>180</v>
      </c>
      <c r="Z156" s="56">
        <v>146</v>
      </c>
      <c r="AA156" s="56">
        <v>149</v>
      </c>
      <c r="AB156" s="56">
        <v>112</v>
      </c>
      <c r="AC156" s="56">
        <v>136</v>
      </c>
      <c r="AD156" s="56"/>
      <c r="AE156" s="56"/>
      <c r="AF156" s="85"/>
      <c r="AG156" s="95">
        <f t="shared" si="28"/>
        <v>4171</v>
      </c>
      <c r="AH156" s="2" t="s">
        <v>84</v>
      </c>
    </row>
    <row r="157" spans="1:34" ht="19.5" thickBot="1" x14ac:dyDescent="0.3">
      <c r="A157" s="75" t="s">
        <v>1</v>
      </c>
      <c r="B157" s="13">
        <v>3</v>
      </c>
      <c r="C157" s="13">
        <v>6</v>
      </c>
      <c r="D157" s="13">
        <v>6</v>
      </c>
      <c r="E157" s="13">
        <v>15</v>
      </c>
      <c r="F157" s="13">
        <v>31</v>
      </c>
      <c r="G157" s="13">
        <v>9</v>
      </c>
      <c r="H157" s="13">
        <v>0</v>
      </c>
      <c r="I157" s="13">
        <v>16</v>
      </c>
      <c r="J157" s="13">
        <v>12</v>
      </c>
      <c r="K157" s="13">
        <v>6</v>
      </c>
      <c r="L157" s="13">
        <v>24</v>
      </c>
      <c r="M157" s="13">
        <v>10</v>
      </c>
      <c r="N157" s="13">
        <v>6</v>
      </c>
      <c r="O157" s="13">
        <v>17</v>
      </c>
      <c r="P157" s="13">
        <v>4</v>
      </c>
      <c r="Q157" s="13">
        <v>14</v>
      </c>
      <c r="R157" s="13">
        <v>24</v>
      </c>
      <c r="S157" s="13">
        <v>14</v>
      </c>
      <c r="T157" s="13">
        <v>22</v>
      </c>
      <c r="U157" s="13">
        <v>5</v>
      </c>
      <c r="V157" s="13">
        <v>11</v>
      </c>
      <c r="W157" s="13">
        <v>1</v>
      </c>
      <c r="X157" s="13">
        <v>5</v>
      </c>
      <c r="Y157" s="13">
        <v>7</v>
      </c>
      <c r="Z157" s="13">
        <v>0</v>
      </c>
      <c r="AA157" s="13">
        <v>11</v>
      </c>
      <c r="AB157" s="13">
        <v>18</v>
      </c>
      <c r="AC157" s="13">
        <v>13</v>
      </c>
      <c r="AD157" s="13"/>
      <c r="AE157" s="13"/>
      <c r="AF157" s="14"/>
      <c r="AG157" s="157">
        <f t="shared" si="28"/>
        <v>310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1</v>
      </c>
      <c r="D158" s="122">
        <f t="shared" si="29"/>
        <v>0</v>
      </c>
      <c r="E158" s="122">
        <f t="shared" si="29"/>
        <v>0</v>
      </c>
      <c r="F158" s="122">
        <f t="shared" si="29"/>
        <v>0</v>
      </c>
      <c r="G158" s="122">
        <f t="shared" si="29"/>
        <v>3</v>
      </c>
      <c r="H158" s="122">
        <f t="shared" si="29"/>
        <v>1</v>
      </c>
      <c r="I158" s="122">
        <f t="shared" si="29"/>
        <v>1</v>
      </c>
      <c r="J158" s="122">
        <f t="shared" si="29"/>
        <v>4</v>
      </c>
      <c r="K158" s="122">
        <f t="shared" si="29"/>
        <v>0</v>
      </c>
      <c r="L158" s="122">
        <f t="shared" si="29"/>
        <v>3</v>
      </c>
      <c r="M158" s="122">
        <f t="shared" si="29"/>
        <v>0</v>
      </c>
      <c r="N158" s="122">
        <f t="shared" si="29"/>
        <v>2</v>
      </c>
      <c r="O158" s="122">
        <f t="shared" si="29"/>
        <v>0</v>
      </c>
      <c r="P158" s="122">
        <f t="shared" si="29"/>
        <v>4</v>
      </c>
      <c r="Q158" s="122">
        <f t="shared" si="29"/>
        <v>3</v>
      </c>
      <c r="R158" s="122">
        <f t="shared" si="29"/>
        <v>1</v>
      </c>
      <c r="S158" s="122">
        <f t="shared" si="29"/>
        <v>1</v>
      </c>
      <c r="T158" s="122">
        <f t="shared" si="29"/>
        <v>0</v>
      </c>
      <c r="U158" s="122">
        <f t="shared" si="29"/>
        <v>1</v>
      </c>
      <c r="V158" s="122">
        <f t="shared" si="29"/>
        <v>2</v>
      </c>
      <c r="W158" s="122">
        <f t="shared" si="29"/>
        <v>2</v>
      </c>
      <c r="X158" s="122">
        <f t="shared" si="29"/>
        <v>1</v>
      </c>
      <c r="Y158" s="122">
        <f t="shared" si="29"/>
        <v>0</v>
      </c>
      <c r="Z158" s="122">
        <f t="shared" si="29"/>
        <v>3</v>
      </c>
      <c r="AA158" s="122">
        <f t="shared" si="29"/>
        <v>0</v>
      </c>
      <c r="AB158" s="122">
        <f t="shared" si="29"/>
        <v>2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35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>
        <v>1</v>
      </c>
      <c r="H159" s="130"/>
      <c r="I159" s="130"/>
      <c r="J159" s="130">
        <v>2</v>
      </c>
      <c r="K159" s="130"/>
      <c r="L159" s="130">
        <v>1</v>
      </c>
      <c r="M159" s="130"/>
      <c r="N159" s="130">
        <v>1</v>
      </c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5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>
        <v>1</v>
      </c>
      <c r="H160" s="29"/>
      <c r="I160" s="29"/>
      <c r="J160" s="29">
        <v>1</v>
      </c>
      <c r="K160" s="29"/>
      <c r="L160" s="29">
        <v>1</v>
      </c>
      <c r="M160" s="29"/>
      <c r="N160" s="29"/>
      <c r="O160" s="29"/>
      <c r="P160" s="29">
        <v>1</v>
      </c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4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>
        <v>1</v>
      </c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1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/>
      <c r="F162" s="29"/>
      <c r="G162" s="29">
        <v>1</v>
      </c>
      <c r="H162" s="29">
        <v>1</v>
      </c>
      <c r="I162" s="29"/>
      <c r="J162" s="29">
        <v>1</v>
      </c>
      <c r="K162" s="29"/>
      <c r="L162" s="29"/>
      <c r="M162" s="29"/>
      <c r="N162" s="29">
        <v>1</v>
      </c>
      <c r="O162" s="29"/>
      <c r="P162" s="29">
        <v>3</v>
      </c>
      <c r="Q162" s="29">
        <v>1</v>
      </c>
      <c r="R162" s="29"/>
      <c r="S162" s="29"/>
      <c r="T162" s="29"/>
      <c r="U162" s="29"/>
      <c r="V162" s="29">
        <v>2</v>
      </c>
      <c r="W162" s="29">
        <v>2</v>
      </c>
      <c r="X162" s="29">
        <v>1</v>
      </c>
      <c r="Y162" s="29"/>
      <c r="Z162" s="29"/>
      <c r="AA162" s="29"/>
      <c r="AB162" s="29">
        <v>2</v>
      </c>
      <c r="AC162" s="29"/>
      <c r="AD162" s="29"/>
      <c r="AE162" s="29"/>
      <c r="AF162" s="21"/>
      <c r="AG162" s="4">
        <f t="shared" si="28"/>
        <v>16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>
        <v>1</v>
      </c>
      <c r="J165" s="29"/>
      <c r="K165" s="29"/>
      <c r="L165" s="29">
        <v>1</v>
      </c>
      <c r="M165" s="29"/>
      <c r="N165" s="29"/>
      <c r="O165" s="29"/>
      <c r="P165" s="29"/>
      <c r="Q165" s="29">
        <v>2</v>
      </c>
      <c r="R165" s="29">
        <v>1</v>
      </c>
      <c r="S165" s="29">
        <v>1</v>
      </c>
      <c r="T165" s="29"/>
      <c r="U165" s="29"/>
      <c r="V165" s="29"/>
      <c r="W165" s="29"/>
      <c r="X165" s="29"/>
      <c r="Y165" s="29"/>
      <c r="Z165" s="29">
        <v>3</v>
      </c>
      <c r="AA165" s="29"/>
      <c r="AB165" s="29"/>
      <c r="AC165" s="29"/>
      <c r="AD165" s="29"/>
      <c r="AE165" s="29"/>
      <c r="AF165" s="21"/>
      <c r="AG165" s="4">
        <f t="shared" si="28"/>
        <v>9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1</v>
      </c>
      <c r="C167" s="56">
        <f t="shared" si="30"/>
        <v>9</v>
      </c>
      <c r="D167" s="56">
        <f t="shared" si="30"/>
        <v>2</v>
      </c>
      <c r="E167" s="56">
        <f t="shared" si="30"/>
        <v>2</v>
      </c>
      <c r="F167" s="56">
        <f t="shared" si="30"/>
        <v>2</v>
      </c>
      <c r="G167" s="56">
        <f t="shared" si="30"/>
        <v>1</v>
      </c>
      <c r="H167" s="56">
        <f t="shared" si="30"/>
        <v>2</v>
      </c>
      <c r="I167" s="56">
        <f t="shared" si="30"/>
        <v>1</v>
      </c>
      <c r="J167" s="56">
        <f t="shared" si="30"/>
        <v>2</v>
      </c>
      <c r="K167" s="56">
        <f t="shared" si="30"/>
        <v>0</v>
      </c>
      <c r="L167" s="56">
        <f t="shared" si="30"/>
        <v>0</v>
      </c>
      <c r="M167" s="56">
        <f t="shared" si="30"/>
        <v>1</v>
      </c>
      <c r="N167" s="56">
        <f t="shared" si="30"/>
        <v>2</v>
      </c>
      <c r="O167" s="56">
        <f t="shared" si="30"/>
        <v>2</v>
      </c>
      <c r="P167" s="56">
        <f t="shared" si="30"/>
        <v>3</v>
      </c>
      <c r="Q167" s="56">
        <f t="shared" si="30"/>
        <v>0</v>
      </c>
      <c r="R167" s="56">
        <f t="shared" si="30"/>
        <v>2</v>
      </c>
      <c r="S167" s="56">
        <f t="shared" si="30"/>
        <v>1</v>
      </c>
      <c r="T167" s="56">
        <f t="shared" si="30"/>
        <v>0</v>
      </c>
      <c r="U167" s="56">
        <f t="shared" si="30"/>
        <v>1</v>
      </c>
      <c r="V167" s="56">
        <f t="shared" si="30"/>
        <v>1</v>
      </c>
      <c r="W167" s="56">
        <f t="shared" si="30"/>
        <v>0</v>
      </c>
      <c r="X167" s="56">
        <f t="shared" si="30"/>
        <v>1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36</v>
      </c>
    </row>
    <row r="168" spans="1:34" ht="18.75" x14ac:dyDescent="0.25">
      <c r="A168" s="51" t="s">
        <v>30</v>
      </c>
      <c r="B168" s="29"/>
      <c r="C168" s="29">
        <v>3</v>
      </c>
      <c r="D168" s="29"/>
      <c r="E168" s="29">
        <v>1</v>
      </c>
      <c r="F168" s="29"/>
      <c r="G168" s="29"/>
      <c r="H168" s="29"/>
      <c r="I168" s="29"/>
      <c r="J168" s="29"/>
      <c r="K168" s="29"/>
      <c r="L168" s="29"/>
      <c r="M168" s="29">
        <v>1</v>
      </c>
      <c r="N168" s="29"/>
      <c r="O168" s="29"/>
      <c r="P168" s="29"/>
      <c r="Q168" s="29"/>
      <c r="R168" s="29"/>
      <c r="S168" s="29"/>
      <c r="T168" s="29"/>
      <c r="U168" s="29">
        <v>1</v>
      </c>
      <c r="V168" s="29">
        <v>1</v>
      </c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7</v>
      </c>
    </row>
    <row r="169" spans="1:34" ht="18.75" x14ac:dyDescent="0.25">
      <c r="A169" s="51" t="s">
        <v>31</v>
      </c>
      <c r="B169" s="29">
        <v>1</v>
      </c>
      <c r="C169" s="29">
        <v>3</v>
      </c>
      <c r="D169" s="29">
        <v>2</v>
      </c>
      <c r="E169" s="29">
        <v>1</v>
      </c>
      <c r="F169" s="29">
        <v>1</v>
      </c>
      <c r="G169" s="29"/>
      <c r="H169" s="29">
        <v>2</v>
      </c>
      <c r="I169" s="29">
        <v>1</v>
      </c>
      <c r="J169" s="29">
        <v>2</v>
      </c>
      <c r="K169" s="29"/>
      <c r="L169" s="29"/>
      <c r="M169" s="29"/>
      <c r="N169" s="29">
        <v>2</v>
      </c>
      <c r="O169" s="29">
        <v>2</v>
      </c>
      <c r="P169" s="29">
        <v>3</v>
      </c>
      <c r="Q169" s="29"/>
      <c r="R169" s="29">
        <v>2</v>
      </c>
      <c r="S169" s="29">
        <v>1</v>
      </c>
      <c r="T169" s="29"/>
      <c r="U169" s="29"/>
      <c r="V169" s="29"/>
      <c r="W169" s="29"/>
      <c r="X169" s="29">
        <v>1</v>
      </c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24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>
        <f>1+2</f>
        <v>3</v>
      </c>
      <c r="D171" s="30"/>
      <c r="E171" s="30"/>
      <c r="F171" s="30">
        <v>1</v>
      </c>
      <c r="G171" s="30">
        <v>1</v>
      </c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5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>
        <v>1</v>
      </c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1</v>
      </c>
    </row>
    <row r="173" spans="1:34" ht="18.75" x14ac:dyDescent="0.25">
      <c r="A173" s="68" t="s">
        <v>2</v>
      </c>
      <c r="B173" s="15">
        <v>1</v>
      </c>
      <c r="C173" s="15">
        <v>1</v>
      </c>
      <c r="D173" s="15">
        <v>1</v>
      </c>
      <c r="E173" s="15">
        <v>1</v>
      </c>
      <c r="F173" s="15">
        <v>1</v>
      </c>
      <c r="G173" s="15">
        <v>1</v>
      </c>
      <c r="H173" s="15">
        <v>2</v>
      </c>
      <c r="I173" s="15">
        <v>0</v>
      </c>
      <c r="J173" s="15">
        <v>1</v>
      </c>
      <c r="K173" s="15">
        <v>1</v>
      </c>
      <c r="L173" s="15">
        <v>1</v>
      </c>
      <c r="M173" s="15">
        <v>0</v>
      </c>
      <c r="N173" s="15">
        <v>0</v>
      </c>
      <c r="O173" s="15">
        <v>1</v>
      </c>
      <c r="P173" s="15">
        <v>0</v>
      </c>
      <c r="Q173" s="15">
        <v>3</v>
      </c>
      <c r="R173" s="15">
        <v>0</v>
      </c>
      <c r="S173" s="15">
        <v>1</v>
      </c>
      <c r="T173" s="15">
        <v>1</v>
      </c>
      <c r="U173" s="15">
        <v>0</v>
      </c>
      <c r="V173" s="15">
        <v>0</v>
      </c>
      <c r="W173" s="15">
        <v>1</v>
      </c>
      <c r="X173" s="15">
        <v>0</v>
      </c>
      <c r="Y173" s="15">
        <v>0</v>
      </c>
      <c r="Z173" s="15">
        <v>0</v>
      </c>
      <c r="AA173" s="15">
        <v>0</v>
      </c>
      <c r="AB173" s="15">
        <v>3</v>
      </c>
      <c r="AC173" s="15">
        <v>1</v>
      </c>
      <c r="AD173" s="15"/>
      <c r="AE173" s="15"/>
      <c r="AF173" s="23"/>
      <c r="AG173" s="5">
        <f t="shared" si="28"/>
        <v>22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5</v>
      </c>
      <c r="C174" s="16">
        <f t="shared" ref="C174:AF174" si="31">SUM(C175:C176)</f>
        <v>6</v>
      </c>
      <c r="D174" s="16">
        <f t="shared" si="31"/>
        <v>5</v>
      </c>
      <c r="E174" s="16">
        <f t="shared" si="31"/>
        <v>11</v>
      </c>
      <c r="F174" s="16">
        <f t="shared" si="31"/>
        <v>4</v>
      </c>
      <c r="G174" s="16">
        <f t="shared" si="31"/>
        <v>5</v>
      </c>
      <c r="H174" s="16">
        <f t="shared" si="31"/>
        <v>4</v>
      </c>
      <c r="I174" s="16">
        <f t="shared" si="31"/>
        <v>5</v>
      </c>
      <c r="J174" s="16">
        <f t="shared" si="31"/>
        <v>8</v>
      </c>
      <c r="K174" s="16">
        <f t="shared" si="31"/>
        <v>10</v>
      </c>
      <c r="L174" s="16">
        <f t="shared" si="31"/>
        <v>6</v>
      </c>
      <c r="M174" s="16">
        <f t="shared" si="31"/>
        <v>3</v>
      </c>
      <c r="N174" s="16">
        <f t="shared" si="31"/>
        <v>3</v>
      </c>
      <c r="O174" s="16">
        <f t="shared" si="31"/>
        <v>4</v>
      </c>
      <c r="P174" s="16">
        <f t="shared" si="31"/>
        <v>3</v>
      </c>
      <c r="Q174" s="16">
        <f t="shared" si="31"/>
        <v>13</v>
      </c>
      <c r="R174" s="16">
        <f t="shared" si="31"/>
        <v>12</v>
      </c>
      <c r="S174" s="16">
        <f t="shared" si="31"/>
        <v>10</v>
      </c>
      <c r="T174" s="16">
        <f t="shared" si="31"/>
        <v>4</v>
      </c>
      <c r="U174" s="16">
        <f t="shared" si="31"/>
        <v>4</v>
      </c>
      <c r="V174" s="16">
        <f t="shared" si="31"/>
        <v>5</v>
      </c>
      <c r="W174" s="16">
        <f t="shared" si="31"/>
        <v>9</v>
      </c>
      <c r="X174" s="16">
        <f t="shared" si="31"/>
        <v>10</v>
      </c>
      <c r="Y174" s="16">
        <f t="shared" si="31"/>
        <v>7</v>
      </c>
      <c r="Z174" s="16">
        <f t="shared" si="31"/>
        <v>6</v>
      </c>
      <c r="AA174" s="16">
        <f t="shared" si="31"/>
        <v>1</v>
      </c>
      <c r="AB174" s="16">
        <f t="shared" si="31"/>
        <v>9</v>
      </c>
      <c r="AC174" s="16">
        <f t="shared" si="31"/>
        <v>7</v>
      </c>
      <c r="AD174" s="16">
        <f t="shared" si="31"/>
        <v>0</v>
      </c>
      <c r="AE174" s="16">
        <f t="shared" si="31"/>
        <v>0</v>
      </c>
      <c r="AF174" s="24">
        <f t="shared" si="31"/>
        <v>0</v>
      </c>
      <c r="AG174" s="6">
        <f t="shared" si="28"/>
        <v>179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0</v>
      </c>
      <c r="D175" s="15">
        <v>0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2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1</v>
      </c>
      <c r="Y175" s="15">
        <v>1</v>
      </c>
      <c r="Z175" s="15">
        <v>0</v>
      </c>
      <c r="AA175" s="15">
        <v>0</v>
      </c>
      <c r="AB175" s="15">
        <v>0</v>
      </c>
      <c r="AC175" s="15">
        <v>0</v>
      </c>
      <c r="AD175" s="15"/>
      <c r="AE175" s="15"/>
      <c r="AF175" s="23"/>
      <c r="AG175" s="5">
        <f t="shared" si="28"/>
        <v>10</v>
      </c>
      <c r="AH175" s="2" t="s">
        <v>138</v>
      </c>
    </row>
    <row r="176" spans="1:34" ht="19.5" thickBot="1" x14ac:dyDescent="0.3">
      <c r="A176" s="104" t="s">
        <v>119</v>
      </c>
      <c r="B176" s="101">
        <v>4</v>
      </c>
      <c r="C176" s="101">
        <v>6</v>
      </c>
      <c r="D176" s="101">
        <v>5</v>
      </c>
      <c r="E176" s="101">
        <v>10</v>
      </c>
      <c r="F176" s="101">
        <v>3</v>
      </c>
      <c r="G176" s="101">
        <v>5</v>
      </c>
      <c r="H176" s="101">
        <v>4</v>
      </c>
      <c r="I176" s="101">
        <v>5</v>
      </c>
      <c r="J176" s="101">
        <v>7</v>
      </c>
      <c r="K176" s="101">
        <v>9</v>
      </c>
      <c r="L176" s="101">
        <v>6</v>
      </c>
      <c r="M176" s="101">
        <v>3</v>
      </c>
      <c r="N176" s="101">
        <v>3</v>
      </c>
      <c r="O176" s="101">
        <v>4</v>
      </c>
      <c r="P176" s="101">
        <v>3</v>
      </c>
      <c r="Q176" s="101">
        <v>11</v>
      </c>
      <c r="R176" s="101">
        <v>11</v>
      </c>
      <c r="S176" s="101">
        <v>10</v>
      </c>
      <c r="T176" s="101">
        <v>4</v>
      </c>
      <c r="U176" s="101">
        <v>4</v>
      </c>
      <c r="V176" s="101">
        <v>5</v>
      </c>
      <c r="W176" s="101">
        <v>9</v>
      </c>
      <c r="X176" s="101">
        <v>9</v>
      </c>
      <c r="Y176" s="101">
        <v>6</v>
      </c>
      <c r="Z176" s="101">
        <v>6</v>
      </c>
      <c r="AA176" s="101">
        <v>1</v>
      </c>
      <c r="AB176" s="101">
        <v>9</v>
      </c>
      <c r="AC176" s="101">
        <v>7</v>
      </c>
      <c r="AD176" s="101"/>
      <c r="AE176" s="101"/>
      <c r="AF176" s="102"/>
      <c r="AG176" s="103">
        <f t="shared" si="28"/>
        <v>169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17</v>
      </c>
      <c r="C179" s="220">
        <f t="shared" si="32"/>
        <v>28</v>
      </c>
      <c r="D179" s="220">
        <f t="shared" si="32"/>
        <v>32</v>
      </c>
      <c r="E179" s="220">
        <f t="shared" si="32"/>
        <v>18</v>
      </c>
      <c r="F179" s="220">
        <f t="shared" si="32"/>
        <v>21</v>
      </c>
      <c r="G179" s="220">
        <f t="shared" si="32"/>
        <v>7</v>
      </c>
      <c r="H179" s="220">
        <f t="shared" si="32"/>
        <v>9</v>
      </c>
      <c r="I179" s="220">
        <f t="shared" si="32"/>
        <v>12</v>
      </c>
      <c r="J179" s="220">
        <f t="shared" si="32"/>
        <v>23</v>
      </c>
      <c r="K179" s="220">
        <f t="shared" si="32"/>
        <v>12</v>
      </c>
      <c r="L179" s="220">
        <f t="shared" si="32"/>
        <v>7</v>
      </c>
      <c r="M179" s="220">
        <f t="shared" si="32"/>
        <v>13</v>
      </c>
      <c r="N179" s="220">
        <f t="shared" si="32"/>
        <v>15</v>
      </c>
      <c r="O179" s="220">
        <f t="shared" si="32"/>
        <v>15</v>
      </c>
      <c r="P179" s="220">
        <f t="shared" si="32"/>
        <v>11</v>
      </c>
      <c r="Q179" s="220">
        <f t="shared" si="32"/>
        <v>21</v>
      </c>
      <c r="R179" s="220">
        <f t="shared" si="32"/>
        <v>30</v>
      </c>
      <c r="S179" s="220">
        <f t="shared" si="32"/>
        <v>24</v>
      </c>
      <c r="T179" s="220">
        <f t="shared" si="32"/>
        <v>26</v>
      </c>
      <c r="U179" s="220">
        <f t="shared" si="32"/>
        <v>13</v>
      </c>
      <c r="V179" s="220">
        <f t="shared" si="32"/>
        <v>16</v>
      </c>
      <c r="W179" s="220">
        <f t="shared" si="32"/>
        <v>14</v>
      </c>
      <c r="X179" s="220">
        <f t="shared" si="32"/>
        <v>20</v>
      </c>
      <c r="Y179" s="220">
        <f t="shared" si="32"/>
        <v>25</v>
      </c>
      <c r="Z179" s="220">
        <f t="shared" si="32"/>
        <v>14</v>
      </c>
      <c r="AA179" s="220">
        <f t="shared" si="32"/>
        <v>12</v>
      </c>
      <c r="AB179" s="220">
        <f t="shared" si="32"/>
        <v>14</v>
      </c>
      <c r="AC179" s="220">
        <f t="shared" si="32"/>
        <v>16</v>
      </c>
      <c r="AD179" s="220">
        <f t="shared" si="32"/>
        <v>0</v>
      </c>
      <c r="AE179" s="220">
        <f t="shared" si="32"/>
        <v>0</v>
      </c>
      <c r="AF179" s="221">
        <f t="shared" si="32"/>
        <v>0</v>
      </c>
      <c r="AG179" s="156">
        <f t="shared" si="28"/>
        <v>485</v>
      </c>
      <c r="AH179" s="38"/>
    </row>
    <row r="180" spans="1:34" ht="18.75" x14ac:dyDescent="0.25">
      <c r="A180" s="109" t="s">
        <v>4</v>
      </c>
      <c r="B180" s="216">
        <v>6</v>
      </c>
      <c r="C180" s="216">
        <v>8</v>
      </c>
      <c r="D180" s="216">
        <v>10</v>
      </c>
      <c r="E180" s="216">
        <v>4</v>
      </c>
      <c r="F180" s="216">
        <v>7</v>
      </c>
      <c r="G180" s="216">
        <v>1</v>
      </c>
      <c r="H180" s="216">
        <v>1</v>
      </c>
      <c r="I180" s="216">
        <v>3</v>
      </c>
      <c r="J180" s="216">
        <v>6</v>
      </c>
      <c r="K180" s="216">
        <v>5</v>
      </c>
      <c r="L180" s="216">
        <v>3</v>
      </c>
      <c r="M180" s="216">
        <v>2</v>
      </c>
      <c r="N180" s="217">
        <v>3</v>
      </c>
      <c r="O180" s="217">
        <v>7</v>
      </c>
      <c r="P180" s="217">
        <v>7</v>
      </c>
      <c r="Q180" s="217">
        <v>1</v>
      </c>
      <c r="R180" s="217">
        <v>14</v>
      </c>
      <c r="S180" s="217">
        <v>6</v>
      </c>
      <c r="T180" s="217">
        <v>3</v>
      </c>
      <c r="U180" s="217">
        <v>5</v>
      </c>
      <c r="V180" s="217">
        <v>3</v>
      </c>
      <c r="W180" s="217">
        <v>11</v>
      </c>
      <c r="X180" s="217">
        <v>3</v>
      </c>
      <c r="Y180" s="217">
        <v>5</v>
      </c>
      <c r="Z180" s="217">
        <v>3</v>
      </c>
      <c r="AA180" s="217">
        <v>2</v>
      </c>
      <c r="AB180" s="217">
        <v>4</v>
      </c>
      <c r="AC180" s="217">
        <v>6</v>
      </c>
      <c r="AD180" s="217"/>
      <c r="AE180" s="217"/>
      <c r="AF180" s="218"/>
      <c r="AG180" s="31">
        <f t="shared" si="28"/>
        <v>139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>
        <v>2</v>
      </c>
      <c r="R181" s="17"/>
      <c r="S181" s="17"/>
      <c r="T181" s="17"/>
      <c r="U181" s="17"/>
      <c r="V181" s="17"/>
      <c r="W181" s="17">
        <v>3</v>
      </c>
      <c r="X181" s="17"/>
      <c r="Y181" s="17"/>
      <c r="Z181" s="17"/>
      <c r="AA181" s="17"/>
      <c r="AB181" s="17"/>
      <c r="AC181" s="17">
        <v>1</v>
      </c>
      <c r="AD181" s="17"/>
      <c r="AE181" s="17"/>
      <c r="AF181" s="18"/>
      <c r="AG181" s="4">
        <f t="shared" si="28"/>
        <v>6</v>
      </c>
    </row>
    <row r="182" spans="1:34" ht="18.75" x14ac:dyDescent="0.25">
      <c r="A182" s="109" t="s">
        <v>123</v>
      </c>
      <c r="B182" s="147">
        <v>9</v>
      </c>
      <c r="C182" s="147">
        <v>16</v>
      </c>
      <c r="D182" s="147">
        <v>17</v>
      </c>
      <c r="E182" s="147">
        <v>11</v>
      </c>
      <c r="F182" s="147">
        <v>10</v>
      </c>
      <c r="G182" s="147">
        <v>4</v>
      </c>
      <c r="H182" s="147">
        <v>2</v>
      </c>
      <c r="I182" s="147">
        <v>7</v>
      </c>
      <c r="J182" s="147">
        <v>5</v>
      </c>
      <c r="K182" s="147">
        <v>3</v>
      </c>
      <c r="L182" s="147"/>
      <c r="M182" s="147">
        <v>8</v>
      </c>
      <c r="N182" s="17">
        <v>7</v>
      </c>
      <c r="O182" s="17">
        <v>6</v>
      </c>
      <c r="P182" s="17"/>
      <c r="Q182" s="17">
        <v>6</v>
      </c>
      <c r="R182" s="17">
        <v>10</v>
      </c>
      <c r="S182" s="17">
        <v>14</v>
      </c>
      <c r="T182" s="17">
        <v>13</v>
      </c>
      <c r="U182" s="17">
        <v>7</v>
      </c>
      <c r="V182" s="17">
        <v>8</v>
      </c>
      <c r="W182" s="17"/>
      <c r="X182" s="17">
        <v>3</v>
      </c>
      <c r="Y182" s="17">
        <v>13</v>
      </c>
      <c r="Z182" s="17">
        <v>8</v>
      </c>
      <c r="AA182" s="17">
        <v>9</v>
      </c>
      <c r="AB182" s="17">
        <v>9</v>
      </c>
      <c r="AC182" s="17">
        <v>6</v>
      </c>
      <c r="AD182" s="17"/>
      <c r="AE182" s="17"/>
      <c r="AF182" s="18"/>
      <c r="AG182" s="4">
        <f t="shared" si="28"/>
        <v>211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ref="AG186" si="33">SUM(B186:AF186)</f>
        <v>0</v>
      </c>
    </row>
    <row r="187" spans="1:34" ht="18.75" x14ac:dyDescent="0.25">
      <c r="A187" s="109" t="s">
        <v>139</v>
      </c>
      <c r="B187" s="147"/>
      <c r="C187" s="147"/>
      <c r="D187" s="147">
        <v>2</v>
      </c>
      <c r="E187" s="147"/>
      <c r="F187" s="147">
        <v>1</v>
      </c>
      <c r="G187" s="147"/>
      <c r="H187" s="147">
        <v>2</v>
      </c>
      <c r="I187" s="147"/>
      <c r="J187" s="147">
        <v>6</v>
      </c>
      <c r="K187" s="147"/>
      <c r="L187" s="147">
        <v>2</v>
      </c>
      <c r="M187" s="147"/>
      <c r="N187" s="17"/>
      <c r="O187" s="17"/>
      <c r="P187" s="17">
        <v>3</v>
      </c>
      <c r="Q187" s="17">
        <v>6</v>
      </c>
      <c r="R187" s="17">
        <v>2</v>
      </c>
      <c r="S187" s="17"/>
      <c r="T187" s="17">
        <v>1</v>
      </c>
      <c r="U187" s="17"/>
      <c r="V187" s="17"/>
      <c r="W187" s="17"/>
      <c r="X187" s="17">
        <v>3</v>
      </c>
      <c r="Y187" s="17">
        <v>1</v>
      </c>
      <c r="Z187" s="17">
        <v>1</v>
      </c>
      <c r="AA187" s="17">
        <v>1</v>
      </c>
      <c r="AB187" s="17">
        <v>1</v>
      </c>
      <c r="AC187" s="17">
        <v>1</v>
      </c>
      <c r="AD187" s="17"/>
      <c r="AE187" s="17"/>
      <c r="AF187" s="18"/>
      <c r="AG187" s="4">
        <f t="shared" si="28"/>
        <v>33</v>
      </c>
    </row>
    <row r="188" spans="1:34" ht="18.75" x14ac:dyDescent="0.25">
      <c r="A188" s="110" t="s">
        <v>63</v>
      </c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>
        <v>1</v>
      </c>
      <c r="T188" s="17"/>
      <c r="U188" s="17"/>
      <c r="V188" s="17"/>
      <c r="W188" s="17"/>
      <c r="X188" s="17"/>
      <c r="Y188" s="17"/>
      <c r="Z188" s="17">
        <v>1</v>
      </c>
      <c r="AA188" s="17"/>
      <c r="AB188" s="17"/>
      <c r="AC188" s="17"/>
      <c r="AD188" s="17"/>
      <c r="AE188" s="17"/>
      <c r="AF188" s="18"/>
      <c r="AG188" s="4">
        <f t="shared" si="28"/>
        <v>2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>
        <v>1</v>
      </c>
      <c r="AD189" s="17"/>
      <c r="AE189" s="17"/>
      <c r="AF189" s="18"/>
      <c r="AG189" s="4">
        <f t="shared" si="28"/>
        <v>1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>
        <v>1</v>
      </c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1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>
        <v>1</v>
      </c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1</v>
      </c>
    </row>
    <row r="192" spans="1:34" s="250" customFormat="1" ht="18.75" x14ac:dyDescent="0.25">
      <c r="A192" s="243" t="s">
        <v>5</v>
      </c>
      <c r="B192" s="244">
        <v>1</v>
      </c>
      <c r="C192" s="244">
        <v>1</v>
      </c>
      <c r="D192" s="244"/>
      <c r="E192" s="244"/>
      <c r="F192" s="244"/>
      <c r="G192" s="244"/>
      <c r="H192" s="244">
        <v>1</v>
      </c>
      <c r="I192" s="244"/>
      <c r="J192" s="244">
        <v>1</v>
      </c>
      <c r="K192" s="244">
        <v>2</v>
      </c>
      <c r="L192" s="244">
        <v>1</v>
      </c>
      <c r="M192" s="244"/>
      <c r="N192" s="245"/>
      <c r="O192" s="245"/>
      <c r="P192" s="245"/>
      <c r="Q192" s="245">
        <v>3</v>
      </c>
      <c r="R192" s="245"/>
      <c r="S192" s="245"/>
      <c r="T192" s="245"/>
      <c r="U192" s="245"/>
      <c r="V192" s="245"/>
      <c r="W192" s="245"/>
      <c r="X192" s="245">
        <v>1</v>
      </c>
      <c r="Y192" s="245"/>
      <c r="Z192" s="245">
        <v>1</v>
      </c>
      <c r="AA192" s="245"/>
      <c r="AB192" s="245"/>
      <c r="AC192" s="245"/>
      <c r="AD192" s="245"/>
      <c r="AE192" s="245"/>
      <c r="AF192" s="246"/>
      <c r="AG192" s="247">
        <f t="shared" si="28"/>
        <v>12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>
        <v>1</v>
      </c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1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>
        <v>1</v>
      </c>
      <c r="E196" s="147">
        <v>1</v>
      </c>
      <c r="F196" s="147"/>
      <c r="G196" s="147"/>
      <c r="H196" s="147"/>
      <c r="I196" s="147">
        <v>1</v>
      </c>
      <c r="J196" s="147"/>
      <c r="K196" s="147"/>
      <c r="L196" s="147"/>
      <c r="M196" s="147">
        <v>2</v>
      </c>
      <c r="N196" s="17"/>
      <c r="O196" s="17"/>
      <c r="P196" s="17"/>
      <c r="Q196" s="17">
        <v>3</v>
      </c>
      <c r="R196" s="17"/>
      <c r="S196" s="17"/>
      <c r="T196" s="17">
        <v>2</v>
      </c>
      <c r="U196" s="17"/>
      <c r="V196" s="17"/>
      <c r="W196" s="17"/>
      <c r="X196" s="17">
        <v>2</v>
      </c>
      <c r="Y196" s="17">
        <v>1</v>
      </c>
      <c r="Z196" s="17"/>
      <c r="AA196" s="17"/>
      <c r="AB196" s="17"/>
      <c r="AC196" s="17">
        <v>1</v>
      </c>
      <c r="AD196" s="17"/>
      <c r="AE196" s="17"/>
      <c r="AF196" s="18"/>
      <c r="AG196" s="4">
        <f t="shared" si="28"/>
        <v>14</v>
      </c>
    </row>
    <row r="197" spans="1:34" ht="18.75" x14ac:dyDescent="0.25">
      <c r="A197" s="111" t="s">
        <v>143</v>
      </c>
      <c r="B197" s="147"/>
      <c r="C197" s="147">
        <v>1</v>
      </c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>
        <v>1</v>
      </c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2</v>
      </c>
    </row>
    <row r="198" spans="1:34" ht="18.75" x14ac:dyDescent="0.25">
      <c r="A198" s="110" t="s">
        <v>124</v>
      </c>
      <c r="B198" s="147"/>
      <c r="C198" s="147">
        <v>1</v>
      </c>
      <c r="D198" s="147"/>
      <c r="E198" s="147">
        <v>2</v>
      </c>
      <c r="F198" s="147">
        <v>1</v>
      </c>
      <c r="G198" s="147">
        <v>1</v>
      </c>
      <c r="H198" s="147"/>
      <c r="I198" s="147">
        <v>1</v>
      </c>
      <c r="J198" s="147">
        <v>1</v>
      </c>
      <c r="K198" s="147"/>
      <c r="L198" s="147"/>
      <c r="M198" s="147"/>
      <c r="N198" s="17">
        <v>2</v>
      </c>
      <c r="O198" s="17"/>
      <c r="P198" s="17"/>
      <c r="Q198" s="17"/>
      <c r="R198" s="17"/>
      <c r="S198" s="17">
        <v>1</v>
      </c>
      <c r="T198" s="17">
        <v>3</v>
      </c>
      <c r="U198" s="17">
        <v>1</v>
      </c>
      <c r="V198" s="17">
        <v>4</v>
      </c>
      <c r="W198" s="17"/>
      <c r="X198" s="17">
        <v>3</v>
      </c>
      <c r="Y198" s="17">
        <v>2</v>
      </c>
      <c r="Z198" s="17"/>
      <c r="AA198" s="17"/>
      <c r="AB198" s="17"/>
      <c r="AC198" s="17"/>
      <c r="AD198" s="17"/>
      <c r="AE198" s="17"/>
      <c r="AF198" s="18"/>
      <c r="AG198" s="4">
        <f t="shared" si="28"/>
        <v>23</v>
      </c>
    </row>
    <row r="199" spans="1:34" ht="18.75" x14ac:dyDescent="0.25">
      <c r="A199" s="110" t="s">
        <v>167</v>
      </c>
      <c r="B199" s="147">
        <v>1</v>
      </c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125</v>
      </c>
      <c r="B200" s="147"/>
      <c r="C200" s="147"/>
      <c r="D200" s="147">
        <v>1</v>
      </c>
      <c r="E200" s="147"/>
      <c r="F200" s="147">
        <v>1</v>
      </c>
      <c r="G200" s="147"/>
      <c r="H200" s="147">
        <v>1</v>
      </c>
      <c r="I200" s="147"/>
      <c r="J200" s="147">
        <v>1</v>
      </c>
      <c r="K200" s="147"/>
      <c r="L200" s="147"/>
      <c r="M200" s="147"/>
      <c r="N200" s="17">
        <v>1</v>
      </c>
      <c r="O200" s="17"/>
      <c r="P200" s="17"/>
      <c r="Q200" s="17"/>
      <c r="R200" s="17"/>
      <c r="S200" s="17"/>
      <c r="T200" s="17">
        <v>2</v>
      </c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7</v>
      </c>
    </row>
    <row r="201" spans="1:34" ht="18.75" x14ac:dyDescent="0.25">
      <c r="A201" s="110" t="s">
        <v>126</v>
      </c>
      <c r="B201" s="202"/>
      <c r="C201" s="202">
        <v>1</v>
      </c>
      <c r="D201" s="202">
        <v>1</v>
      </c>
      <c r="E201" s="202"/>
      <c r="F201" s="202">
        <v>1</v>
      </c>
      <c r="G201" s="202">
        <v>1</v>
      </c>
      <c r="H201" s="202"/>
      <c r="I201" s="202"/>
      <c r="J201" s="202">
        <v>3</v>
      </c>
      <c r="K201" s="202"/>
      <c r="L201" s="202">
        <v>1</v>
      </c>
      <c r="M201" s="202">
        <v>1</v>
      </c>
      <c r="N201" s="203">
        <v>2</v>
      </c>
      <c r="O201" s="203">
        <v>1</v>
      </c>
      <c r="P201" s="203"/>
      <c r="Q201" s="203"/>
      <c r="R201" s="203">
        <v>1</v>
      </c>
      <c r="S201" s="203">
        <v>1</v>
      </c>
      <c r="T201" s="203">
        <v>1</v>
      </c>
      <c r="U201" s="203"/>
      <c r="V201" s="203">
        <v>1</v>
      </c>
      <c r="W201" s="203"/>
      <c r="X201" s="203">
        <v>4</v>
      </c>
      <c r="Y201" s="203">
        <v>2</v>
      </c>
      <c r="Z201" s="203"/>
      <c r="AA201" s="203"/>
      <c r="AB201" s="203"/>
      <c r="AC201" s="203"/>
      <c r="AD201" s="203"/>
      <c r="AE201" s="203"/>
      <c r="AF201" s="204"/>
      <c r="AG201" s="4">
        <f t="shared" si="28"/>
        <v>22</v>
      </c>
    </row>
    <row r="202" spans="1:34" ht="18.75" x14ac:dyDescent="0.25">
      <c r="A202" s="112" t="s">
        <v>170</v>
      </c>
      <c r="B202" s="202"/>
      <c r="C202" s="202"/>
      <c r="D202" s="202"/>
      <c r="E202" s="202"/>
      <c r="F202" s="202"/>
      <c r="G202" s="202"/>
      <c r="H202" s="202"/>
      <c r="I202" s="202"/>
      <c r="J202" s="202"/>
      <c r="K202" s="202">
        <v>2</v>
      </c>
      <c r="L202" s="202"/>
      <c r="M202" s="202"/>
      <c r="N202" s="203"/>
      <c r="O202" s="203">
        <v>1</v>
      </c>
      <c r="P202" s="203">
        <v>1</v>
      </c>
      <c r="Q202" s="203"/>
      <c r="R202" s="203">
        <v>1</v>
      </c>
      <c r="S202" s="203">
        <v>1</v>
      </c>
      <c r="T202" s="203">
        <v>1</v>
      </c>
      <c r="U202" s="203"/>
      <c r="V202" s="203"/>
      <c r="W202" s="203"/>
      <c r="X202" s="203">
        <v>1</v>
      </c>
      <c r="Y202" s="203">
        <v>1</v>
      </c>
      <c r="Z202" s="203"/>
      <c r="AA202" s="203"/>
      <c r="AB202" s="203"/>
      <c r="AC202" s="203"/>
      <c r="AD202" s="203"/>
      <c r="AE202" s="203"/>
      <c r="AF202" s="204"/>
      <c r="AG202" s="4">
        <f t="shared" si="28"/>
        <v>9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4">
        <f t="shared" si="28"/>
        <v>0</v>
      </c>
    </row>
    <row r="204" spans="1:34" ht="19.5" thickBot="1" x14ac:dyDescent="0.3">
      <c r="A204" s="215" t="s">
        <v>83</v>
      </c>
      <c r="B204" s="209">
        <f>SUM(B205:B209)</f>
        <v>167</v>
      </c>
      <c r="C204" s="210">
        <f t="shared" ref="C204:AF204" si="34">SUM(C205:C209)</f>
        <v>218</v>
      </c>
      <c r="D204" s="210">
        <f t="shared" si="34"/>
        <v>210</v>
      </c>
      <c r="E204" s="210">
        <f t="shared" si="34"/>
        <v>206</v>
      </c>
      <c r="F204" s="210">
        <f t="shared" si="34"/>
        <v>170</v>
      </c>
      <c r="G204" s="210">
        <f t="shared" si="34"/>
        <v>185</v>
      </c>
      <c r="H204" s="210">
        <f t="shared" si="34"/>
        <v>173</v>
      </c>
      <c r="I204" s="210">
        <f t="shared" si="34"/>
        <v>151</v>
      </c>
      <c r="J204" s="210">
        <f t="shared" si="34"/>
        <v>241</v>
      </c>
      <c r="K204" s="210">
        <f t="shared" si="34"/>
        <v>218</v>
      </c>
      <c r="L204" s="210">
        <f t="shared" si="34"/>
        <v>201</v>
      </c>
      <c r="M204" s="210">
        <f t="shared" si="34"/>
        <v>152</v>
      </c>
      <c r="N204" s="211">
        <f t="shared" si="34"/>
        <v>181</v>
      </c>
      <c r="O204" s="211">
        <f t="shared" si="34"/>
        <v>169</v>
      </c>
      <c r="P204" s="211">
        <f t="shared" si="34"/>
        <v>162</v>
      </c>
      <c r="Q204" s="211">
        <f t="shared" si="34"/>
        <v>224</v>
      </c>
      <c r="R204" s="211">
        <f t="shared" si="34"/>
        <v>211</v>
      </c>
      <c r="S204" s="211">
        <f t="shared" si="34"/>
        <v>199</v>
      </c>
      <c r="T204" s="211">
        <f t="shared" si="34"/>
        <v>176</v>
      </c>
      <c r="U204" s="211">
        <f t="shared" si="34"/>
        <v>200</v>
      </c>
      <c r="V204" s="211">
        <f t="shared" si="34"/>
        <v>182</v>
      </c>
      <c r="W204" s="211">
        <f t="shared" si="34"/>
        <v>170</v>
      </c>
      <c r="X204" s="211">
        <f t="shared" si="34"/>
        <v>222</v>
      </c>
      <c r="Y204" s="211">
        <f t="shared" si="34"/>
        <v>200</v>
      </c>
      <c r="Z204" s="211">
        <f t="shared" si="34"/>
        <v>209</v>
      </c>
      <c r="AA204" s="211">
        <f t="shared" si="34"/>
        <v>193</v>
      </c>
      <c r="AB204" s="211">
        <f t="shared" si="34"/>
        <v>162</v>
      </c>
      <c r="AC204" s="211">
        <f t="shared" si="34"/>
        <v>167</v>
      </c>
      <c r="AD204" s="211">
        <f t="shared" si="34"/>
        <v>0</v>
      </c>
      <c r="AE204" s="211">
        <f t="shared" si="34"/>
        <v>0</v>
      </c>
      <c r="AF204" s="212">
        <f t="shared" si="34"/>
        <v>0</v>
      </c>
      <c r="AG204" s="213">
        <f t="shared" si="28"/>
        <v>5319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>
        <v>1</v>
      </c>
      <c r="H205" s="205"/>
      <c r="I205" s="205"/>
      <c r="J205" s="205">
        <v>1</v>
      </c>
      <c r="K205" s="205"/>
      <c r="L205" s="205"/>
      <c r="M205" s="205"/>
      <c r="N205" s="206"/>
      <c r="O205" s="206"/>
      <c r="P205" s="206"/>
      <c r="Q205" s="206"/>
      <c r="R205" s="206">
        <v>1</v>
      </c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/>
      <c r="AG205" s="208">
        <f t="shared" si="28"/>
        <v>3</v>
      </c>
    </row>
    <row r="206" spans="1:34" ht="18.75" x14ac:dyDescent="0.25">
      <c r="A206" s="52" t="s">
        <v>73</v>
      </c>
      <c r="B206" s="148"/>
      <c r="C206" s="148">
        <v>2</v>
      </c>
      <c r="D206" s="148"/>
      <c r="E206" s="148">
        <v>1</v>
      </c>
      <c r="F206" s="148">
        <v>1</v>
      </c>
      <c r="G206" s="148">
        <v>1</v>
      </c>
      <c r="H206" s="148">
        <v>1</v>
      </c>
      <c r="I206" s="148">
        <v>1</v>
      </c>
      <c r="J206" s="148">
        <v>4</v>
      </c>
      <c r="K206" s="148"/>
      <c r="L206" s="148"/>
      <c r="M206" s="148">
        <v>1</v>
      </c>
      <c r="N206" s="33"/>
      <c r="O206" s="33">
        <v>1</v>
      </c>
      <c r="P206" s="33"/>
      <c r="Q206" s="33">
        <v>4</v>
      </c>
      <c r="R206" s="33">
        <v>1</v>
      </c>
      <c r="S206" s="33"/>
      <c r="T206" s="33">
        <v>1</v>
      </c>
      <c r="U206" s="33"/>
      <c r="V206" s="33">
        <v>1</v>
      </c>
      <c r="W206" s="33"/>
      <c r="X206" s="33">
        <v>4</v>
      </c>
      <c r="Y206" s="33"/>
      <c r="Z206" s="33">
        <v>1</v>
      </c>
      <c r="AA206" s="33">
        <v>3</v>
      </c>
      <c r="AB206" s="33">
        <v>1</v>
      </c>
      <c r="AC206" s="33"/>
      <c r="AD206" s="33"/>
      <c r="AE206" s="33"/>
      <c r="AF206" s="88"/>
      <c r="AG206" s="97">
        <f t="shared" si="28"/>
        <v>29</v>
      </c>
    </row>
    <row r="207" spans="1:34" ht="18.75" x14ac:dyDescent="0.25">
      <c r="A207" s="52" t="s">
        <v>74</v>
      </c>
      <c r="B207" s="148">
        <v>9</v>
      </c>
      <c r="C207" s="148">
        <v>21</v>
      </c>
      <c r="D207" s="148">
        <v>20</v>
      </c>
      <c r="E207" s="148">
        <v>8</v>
      </c>
      <c r="F207" s="148">
        <v>17</v>
      </c>
      <c r="G207" s="148">
        <v>11</v>
      </c>
      <c r="H207" s="148">
        <v>12</v>
      </c>
      <c r="I207" s="148">
        <v>14</v>
      </c>
      <c r="J207" s="148">
        <v>20</v>
      </c>
      <c r="K207" s="148">
        <v>17</v>
      </c>
      <c r="L207" s="148">
        <v>14</v>
      </c>
      <c r="M207" s="148">
        <v>11</v>
      </c>
      <c r="N207" s="33">
        <v>5</v>
      </c>
      <c r="O207" s="33">
        <v>16</v>
      </c>
      <c r="P207" s="33">
        <v>19</v>
      </c>
      <c r="Q207" s="33">
        <v>21</v>
      </c>
      <c r="R207" s="33">
        <v>22</v>
      </c>
      <c r="S207" s="33">
        <v>17</v>
      </c>
      <c r="T207" s="33">
        <v>13</v>
      </c>
      <c r="U207" s="33">
        <v>10</v>
      </c>
      <c r="V207" s="33">
        <v>8</v>
      </c>
      <c r="W207" s="33">
        <v>18</v>
      </c>
      <c r="X207" s="33">
        <v>13</v>
      </c>
      <c r="Y207" s="33">
        <v>15</v>
      </c>
      <c r="Z207" s="33">
        <v>9</v>
      </c>
      <c r="AA207" s="33">
        <v>15</v>
      </c>
      <c r="AB207" s="33">
        <v>20</v>
      </c>
      <c r="AC207" s="33">
        <v>15</v>
      </c>
      <c r="AD207" s="33"/>
      <c r="AE207" s="33"/>
      <c r="AF207" s="88"/>
      <c r="AG207" s="97">
        <f t="shared" si="28"/>
        <v>410</v>
      </c>
    </row>
    <row r="208" spans="1:34" ht="18.75" x14ac:dyDescent="0.25">
      <c r="A208" s="52" t="s">
        <v>75</v>
      </c>
      <c r="B208" s="148">
        <v>145</v>
      </c>
      <c r="C208" s="148">
        <v>177</v>
      </c>
      <c r="D208" s="148">
        <v>142</v>
      </c>
      <c r="E208" s="148">
        <v>169</v>
      </c>
      <c r="F208" s="148">
        <v>140</v>
      </c>
      <c r="G208" s="148">
        <v>153</v>
      </c>
      <c r="H208" s="148">
        <v>139</v>
      </c>
      <c r="I208" s="148">
        <v>114</v>
      </c>
      <c r="J208" s="148">
        <v>181</v>
      </c>
      <c r="K208" s="148">
        <v>145</v>
      </c>
      <c r="L208" s="148">
        <v>167</v>
      </c>
      <c r="M208" s="148">
        <v>116</v>
      </c>
      <c r="N208" s="33">
        <v>153</v>
      </c>
      <c r="O208" s="33">
        <v>121</v>
      </c>
      <c r="P208" s="33">
        <v>121</v>
      </c>
      <c r="Q208" s="33">
        <v>170</v>
      </c>
      <c r="R208" s="33">
        <v>161</v>
      </c>
      <c r="S208" s="33">
        <v>161</v>
      </c>
      <c r="T208" s="33">
        <v>144</v>
      </c>
      <c r="U208" s="33">
        <v>154</v>
      </c>
      <c r="V208" s="33">
        <v>145</v>
      </c>
      <c r="W208" s="33">
        <v>134</v>
      </c>
      <c r="X208" s="33">
        <v>166</v>
      </c>
      <c r="Y208" s="33">
        <v>136</v>
      </c>
      <c r="Z208" s="33">
        <v>158</v>
      </c>
      <c r="AA208" s="33">
        <v>138</v>
      </c>
      <c r="AB208" s="33">
        <v>118</v>
      </c>
      <c r="AC208" s="33">
        <v>134</v>
      </c>
      <c r="AD208" s="33"/>
      <c r="AE208" s="33"/>
      <c r="AF208" s="88"/>
      <c r="AG208" s="97">
        <f t="shared" si="28"/>
        <v>4102</v>
      </c>
    </row>
    <row r="209" spans="1:34" ht="19.5" thickBot="1" x14ac:dyDescent="0.3">
      <c r="A209" s="63" t="s">
        <v>76</v>
      </c>
      <c r="B209" s="149">
        <v>13</v>
      </c>
      <c r="C209" s="149">
        <v>18</v>
      </c>
      <c r="D209" s="149">
        <v>48</v>
      </c>
      <c r="E209" s="149">
        <v>28</v>
      </c>
      <c r="F209" s="149">
        <v>12</v>
      </c>
      <c r="G209" s="149">
        <v>19</v>
      </c>
      <c r="H209" s="149">
        <v>21</v>
      </c>
      <c r="I209" s="149">
        <v>22</v>
      </c>
      <c r="J209" s="149">
        <v>35</v>
      </c>
      <c r="K209" s="149">
        <v>56</v>
      </c>
      <c r="L209" s="149">
        <v>20</v>
      </c>
      <c r="M209" s="149">
        <v>24</v>
      </c>
      <c r="N209" s="34">
        <v>23</v>
      </c>
      <c r="O209" s="34">
        <v>31</v>
      </c>
      <c r="P209" s="34">
        <v>22</v>
      </c>
      <c r="Q209" s="34">
        <v>29</v>
      </c>
      <c r="R209" s="34">
        <v>26</v>
      </c>
      <c r="S209" s="34">
        <v>21</v>
      </c>
      <c r="T209" s="34">
        <v>18</v>
      </c>
      <c r="U209" s="34">
        <v>36</v>
      </c>
      <c r="V209" s="34">
        <v>28</v>
      </c>
      <c r="W209" s="34">
        <v>18</v>
      </c>
      <c r="X209" s="34">
        <v>39</v>
      </c>
      <c r="Y209" s="34">
        <v>49</v>
      </c>
      <c r="Z209" s="34">
        <v>41</v>
      </c>
      <c r="AA209" s="34">
        <v>37</v>
      </c>
      <c r="AB209" s="34">
        <v>23</v>
      </c>
      <c r="AC209" s="34">
        <v>18</v>
      </c>
      <c r="AD209" s="34"/>
      <c r="AE209" s="34"/>
      <c r="AF209" s="89"/>
      <c r="AG209" s="35">
        <f t="shared" si="28"/>
        <v>775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>
        <v>1.0231481481481482E-2</v>
      </c>
      <c r="C211" s="19">
        <v>6.0995370370370361E-3</v>
      </c>
      <c r="D211" s="19">
        <v>6.2731481481481484E-3</v>
      </c>
      <c r="E211" s="19">
        <v>1.1111111111111112E-2</v>
      </c>
      <c r="F211" s="19">
        <v>1.0844907407407407E-2</v>
      </c>
      <c r="G211" s="19">
        <v>1.1307870370370371E-2</v>
      </c>
      <c r="H211" s="19">
        <v>9.7222222222222224E-3</v>
      </c>
      <c r="I211" s="19">
        <v>9.2476851851851852E-3</v>
      </c>
      <c r="J211" s="19">
        <v>7.4884259259259262E-3</v>
      </c>
      <c r="K211" s="19">
        <v>7.0601851851851841E-3</v>
      </c>
      <c r="L211" s="19">
        <v>1.3125E-2</v>
      </c>
      <c r="M211" s="19">
        <v>9.3518518518518525E-3</v>
      </c>
      <c r="N211" s="19">
        <v>6.6550925925925935E-3</v>
      </c>
      <c r="O211" s="19">
        <v>9.2245370370370363E-3</v>
      </c>
      <c r="P211" s="19">
        <v>9.4560185185185181E-3</v>
      </c>
      <c r="Q211" s="19">
        <v>5.9375000000000009E-3</v>
      </c>
      <c r="R211" s="19">
        <v>9.1435185185185178E-3</v>
      </c>
      <c r="S211" s="19">
        <v>2.013888888888889E-2</v>
      </c>
      <c r="T211" s="19">
        <v>1.9143518518518518E-2</v>
      </c>
      <c r="U211" s="19">
        <v>8.7847222222222233E-3</v>
      </c>
      <c r="V211" s="19">
        <v>9.4907407407407406E-3</v>
      </c>
      <c r="W211" s="19">
        <v>8.3333333333333332E-3</v>
      </c>
      <c r="X211" s="19">
        <v>8.9814814814814809E-3</v>
      </c>
      <c r="Y211" s="19">
        <v>5.9953703703703697E-3</v>
      </c>
      <c r="Z211" s="19">
        <v>1.1354166666666667E-2</v>
      </c>
      <c r="AA211" s="19">
        <v>9.6296296296296303E-3</v>
      </c>
      <c r="AB211" s="19">
        <v>1.3194444444444444E-2</v>
      </c>
      <c r="AC211" s="19">
        <v>1.207175925925926E-2</v>
      </c>
      <c r="AD211" s="19"/>
      <c r="AE211" s="19"/>
      <c r="AF211" s="25"/>
      <c r="AG211" s="99">
        <f t="shared" ref="AG211:AG223" si="35">SUM(B211:AF211)</f>
        <v>0.27939814814814817</v>
      </c>
      <c r="AH211" s="376" t="s">
        <v>85</v>
      </c>
    </row>
    <row r="212" spans="1:34" ht="18.75" x14ac:dyDescent="0.25">
      <c r="A212" s="53" t="s">
        <v>110</v>
      </c>
      <c r="B212" s="39">
        <v>2.0833333333333332E-2</v>
      </c>
      <c r="C212" s="39">
        <v>5.5555555555555558E-3</v>
      </c>
      <c r="D212" s="39">
        <v>6.9560185185185176E-3</v>
      </c>
      <c r="E212" s="39">
        <v>1.3888888888888888E-2</v>
      </c>
      <c r="F212" s="39">
        <v>1.462962962962963E-2</v>
      </c>
      <c r="G212" s="39">
        <v>1.554398148148148E-2</v>
      </c>
      <c r="H212" s="39">
        <v>1.2499999999999999E-2</v>
      </c>
      <c r="I212" s="39">
        <v>1.3194444444444444E-2</v>
      </c>
      <c r="J212" s="39">
        <v>5.9375000000000009E-3</v>
      </c>
      <c r="K212" s="39">
        <v>1.252314814814815E-2</v>
      </c>
      <c r="L212" s="39">
        <v>2.2222222222222223E-2</v>
      </c>
      <c r="M212" s="39">
        <v>1.2488425925925925E-2</v>
      </c>
      <c r="N212" s="39">
        <v>9.0972222222222218E-3</v>
      </c>
      <c r="O212" s="39">
        <v>1.1805555555555555E-2</v>
      </c>
      <c r="P212" s="39">
        <v>1.6944444444444443E-2</v>
      </c>
      <c r="Q212" s="39">
        <v>8.0787037037037043E-3</v>
      </c>
      <c r="R212" s="39">
        <v>1.2164351851851852E-2</v>
      </c>
      <c r="S212" s="39">
        <v>2.1527777777777781E-2</v>
      </c>
      <c r="T212" s="39">
        <v>3.7499999999999999E-2</v>
      </c>
      <c r="U212" s="39">
        <v>1.8055555555555557E-2</v>
      </c>
      <c r="V212" s="39">
        <v>1.5972222222222224E-2</v>
      </c>
      <c r="W212" s="39">
        <v>1.4583333333333332E-2</v>
      </c>
      <c r="X212" s="39">
        <v>7.6388888888888886E-3</v>
      </c>
      <c r="Y212" s="39">
        <v>8.3333333333333332E-3</v>
      </c>
      <c r="Z212" s="39">
        <v>1.7361111111111112E-2</v>
      </c>
      <c r="AA212" s="39">
        <v>1.1111111111111112E-2</v>
      </c>
      <c r="AB212" s="39">
        <v>1.8055555555555557E-2</v>
      </c>
      <c r="AC212" s="39">
        <v>1.8055555555555557E-2</v>
      </c>
      <c r="AD212" s="39"/>
      <c r="AE212" s="39"/>
      <c r="AF212" s="91"/>
      <c r="AG212" s="100">
        <f t="shared" si="35"/>
        <v>0.40255787037037033</v>
      </c>
      <c r="AH212" s="377"/>
    </row>
    <row r="213" spans="1:34" ht="18.75" x14ac:dyDescent="0.25">
      <c r="A213" s="53" t="s">
        <v>111</v>
      </c>
      <c r="B213" s="39">
        <v>8.3333333333333332E-3</v>
      </c>
      <c r="C213" s="39">
        <v>6.9444444444444441E-3</v>
      </c>
      <c r="D213" s="39">
        <v>5.0694444444444441E-3</v>
      </c>
      <c r="E213" s="39">
        <v>1.9444444444444445E-2</v>
      </c>
      <c r="F213" s="39">
        <v>1.0543981481481481E-2</v>
      </c>
      <c r="G213" s="39">
        <v>1.1168981481481481E-2</v>
      </c>
      <c r="H213" s="39">
        <v>8.3333333333333332E-3</v>
      </c>
      <c r="I213" s="39">
        <v>4.8958333333333328E-3</v>
      </c>
      <c r="J213" s="39">
        <v>9.7222222222222224E-3</v>
      </c>
      <c r="K213" s="39">
        <v>1.0416666666666666E-2</v>
      </c>
      <c r="L213" s="39">
        <v>2.2222222222222223E-2</v>
      </c>
      <c r="M213" s="39">
        <v>7.7083333333333335E-3</v>
      </c>
      <c r="N213" s="39">
        <v>6.2499999999999995E-3</v>
      </c>
      <c r="O213" s="39">
        <v>7.1527777777777787E-3</v>
      </c>
      <c r="P213" s="39">
        <v>1.0416666666666666E-2</v>
      </c>
      <c r="Q213" s="39">
        <v>4.1666666666666666E-3</v>
      </c>
      <c r="R213" s="39">
        <v>8.3449074074074068E-3</v>
      </c>
      <c r="S213" s="39">
        <v>3.6805555555555557E-2</v>
      </c>
      <c r="T213" s="39">
        <v>3.125E-2</v>
      </c>
      <c r="U213" s="39">
        <v>1.1111111111111112E-2</v>
      </c>
      <c r="V213" s="39">
        <v>1.5972222222222224E-2</v>
      </c>
      <c r="W213" s="39">
        <v>5.5555555555555558E-3</v>
      </c>
      <c r="X213" s="39">
        <v>1.6666666666666666E-2</v>
      </c>
      <c r="Y213" s="39">
        <v>4.8032407407407407E-3</v>
      </c>
      <c r="Z213" s="39">
        <v>1.8055555555555557E-2</v>
      </c>
      <c r="AA213" s="39">
        <v>9.7222222222222224E-3</v>
      </c>
      <c r="AB213" s="39">
        <v>6.9444444444444441E-3</v>
      </c>
      <c r="AC213" s="39">
        <v>1.4583333333333332E-2</v>
      </c>
      <c r="AD213" s="39"/>
      <c r="AE213" s="39"/>
      <c r="AF213" s="91"/>
      <c r="AG213" s="100">
        <f t="shared" si="35"/>
        <v>0.33260416666666665</v>
      </c>
      <c r="AH213" s="377"/>
    </row>
    <row r="214" spans="1:34" ht="18.75" x14ac:dyDescent="0.25">
      <c r="A214" s="53" t="s">
        <v>112</v>
      </c>
      <c r="B214" s="39">
        <v>2.7777777777777779E-3</v>
      </c>
      <c r="C214" s="39">
        <v>5.5555555555555558E-3</v>
      </c>
      <c r="D214" s="39">
        <v>4.1782407407407402E-3</v>
      </c>
      <c r="E214" s="39">
        <v>2.2222222222222223E-2</v>
      </c>
      <c r="F214" s="39">
        <v>9.6643518518518511E-3</v>
      </c>
      <c r="G214" s="39">
        <v>1.2766203703703703E-2</v>
      </c>
      <c r="H214" s="39">
        <v>7.6388888888888886E-3</v>
      </c>
      <c r="I214" s="39">
        <v>9.0277777777777787E-3</v>
      </c>
      <c r="J214" s="39">
        <v>7.9398148148148145E-3</v>
      </c>
      <c r="K214" s="39">
        <v>1.0416666666666666E-2</v>
      </c>
      <c r="L214" s="39">
        <v>1.7361111111111112E-2</v>
      </c>
      <c r="M214" s="39">
        <v>1.0833333333333334E-2</v>
      </c>
      <c r="N214" s="39">
        <v>4.1435185185185186E-3</v>
      </c>
      <c r="O214" s="39">
        <v>7.8703703703703713E-3</v>
      </c>
      <c r="P214" s="39">
        <v>7.0023148148148154E-3</v>
      </c>
      <c r="Q214" s="39">
        <v>3.8541666666666668E-3</v>
      </c>
      <c r="R214" s="39">
        <v>5.8449074074074072E-3</v>
      </c>
      <c r="S214" s="39">
        <v>4.0972222222222222E-2</v>
      </c>
      <c r="T214" s="39">
        <v>2.361111111111111E-2</v>
      </c>
      <c r="U214" s="39">
        <v>5.6134259259259271E-3</v>
      </c>
      <c r="V214" s="39">
        <v>9.0277777777777787E-3</v>
      </c>
      <c r="W214" s="39">
        <v>6.5393518518518517E-3</v>
      </c>
      <c r="X214" s="39">
        <v>1.8749999999999999E-2</v>
      </c>
      <c r="Y214" s="39">
        <v>6.9444444444444441E-3</v>
      </c>
      <c r="Z214" s="39">
        <v>2.013888888888889E-2</v>
      </c>
      <c r="AA214" s="39">
        <v>6.9444444444444441E-3</v>
      </c>
      <c r="AB214" s="39">
        <v>2.6388888888888889E-2</v>
      </c>
      <c r="AC214" s="39">
        <v>1.0243055555555556E-2</v>
      </c>
      <c r="AD214" s="39"/>
      <c r="AE214" s="39"/>
      <c r="AF214" s="91"/>
      <c r="AG214" s="100">
        <f t="shared" si="35"/>
        <v>0.32427083333333323</v>
      </c>
      <c r="AH214" s="377"/>
    </row>
    <row r="215" spans="1:34" ht="18.75" x14ac:dyDescent="0.25">
      <c r="A215" s="53" t="s">
        <v>113</v>
      </c>
      <c r="B215" s="39">
        <v>3.472222222222222E-3</v>
      </c>
      <c r="C215" s="39">
        <v>5.5555555555555558E-3</v>
      </c>
      <c r="D215" s="39">
        <v>5.5671296296296293E-3</v>
      </c>
      <c r="E215" s="39">
        <v>7.037037037037037E-3</v>
      </c>
      <c r="F215" s="39">
        <v>9.7222222222222224E-3</v>
      </c>
      <c r="G215" s="39">
        <v>1.357638888888889E-2</v>
      </c>
      <c r="H215" s="39">
        <v>9.7222222222222224E-3</v>
      </c>
      <c r="I215" s="39">
        <v>8.3333333333333332E-3</v>
      </c>
      <c r="J215" s="39">
        <v>1.4641203703703703E-2</v>
      </c>
      <c r="K215" s="39">
        <v>7.0023148148148154E-3</v>
      </c>
      <c r="L215" s="39">
        <v>8.6921296296296295E-3</v>
      </c>
      <c r="M215" s="39">
        <v>7.1296296296296307E-3</v>
      </c>
      <c r="N215" s="39">
        <v>3.6226851851851854E-3</v>
      </c>
      <c r="O215" s="39">
        <v>8.3333333333333332E-3</v>
      </c>
      <c r="P215" s="39">
        <v>5.6944444444444438E-3</v>
      </c>
      <c r="Q215" s="39">
        <v>5.185185185185185E-3</v>
      </c>
      <c r="R215" s="39">
        <v>7.0717592592592594E-3</v>
      </c>
      <c r="S215" s="39">
        <v>3.4027777777777775E-2</v>
      </c>
      <c r="T215" s="39">
        <v>1.5277777777777777E-2</v>
      </c>
      <c r="U215" s="39">
        <v>5.0347222222222225E-3</v>
      </c>
      <c r="V215" s="39">
        <v>6.6319444444444446E-3</v>
      </c>
      <c r="W215" s="39">
        <v>8.6226851851851846E-3</v>
      </c>
      <c r="X215" s="39">
        <v>1.0416666666666666E-2</v>
      </c>
      <c r="Y215" s="39">
        <v>4.8611111111111112E-3</v>
      </c>
      <c r="Z215" s="39">
        <v>4.2708333333333339E-3</v>
      </c>
      <c r="AA215" s="39">
        <v>1.1111111111111112E-2</v>
      </c>
      <c r="AB215" s="39">
        <v>1.5277777777777777E-2</v>
      </c>
      <c r="AC215" s="39">
        <v>6.9444444444444441E-3</v>
      </c>
      <c r="AD215" s="39"/>
      <c r="AE215" s="39"/>
      <c r="AF215" s="91"/>
      <c r="AG215" s="100">
        <f t="shared" si="35"/>
        <v>0.25283564814814813</v>
      </c>
      <c r="AH215" s="377"/>
    </row>
    <row r="216" spans="1:34" ht="18.75" x14ac:dyDescent="0.25">
      <c r="A216" s="53" t="s">
        <v>114</v>
      </c>
      <c r="B216" s="39">
        <v>4.1666666666666666E-3</v>
      </c>
      <c r="C216" s="39">
        <v>8.3333333333333332E-3</v>
      </c>
      <c r="D216" s="39">
        <v>5.9375000000000009E-3</v>
      </c>
      <c r="E216" s="39">
        <v>1.0416666666666666E-2</v>
      </c>
      <c r="F216" s="39">
        <v>1.1111111111111112E-2</v>
      </c>
      <c r="G216" s="39">
        <v>1.050925925925926E-2</v>
      </c>
      <c r="H216" s="39">
        <v>1.1111111111111112E-2</v>
      </c>
      <c r="I216" s="39">
        <v>7.6388888888888886E-3</v>
      </c>
      <c r="J216" s="39">
        <v>1.7361111111111112E-2</v>
      </c>
      <c r="K216" s="39">
        <v>6.5393518518518517E-3</v>
      </c>
      <c r="L216" s="39">
        <v>4.9074074074074072E-3</v>
      </c>
      <c r="M216" s="39">
        <v>6.5509259259259262E-3</v>
      </c>
      <c r="N216" s="39">
        <v>4.2939814814814811E-3</v>
      </c>
      <c r="O216" s="39">
        <v>1.1284722222222222E-2</v>
      </c>
      <c r="P216" s="39">
        <v>8.4259259259259253E-3</v>
      </c>
      <c r="Q216" s="39">
        <v>5.5787037037037038E-3</v>
      </c>
      <c r="R216" s="39">
        <v>2.7777777777777776E-2</v>
      </c>
      <c r="S216" s="39">
        <v>1.1805555555555555E-2</v>
      </c>
      <c r="T216" s="39">
        <v>1.2499999999999999E-2</v>
      </c>
      <c r="U216" s="39">
        <v>4.2245370370370371E-3</v>
      </c>
      <c r="V216" s="39">
        <v>2.7777777777777779E-3</v>
      </c>
      <c r="W216" s="39">
        <v>4.1782407407407402E-3</v>
      </c>
      <c r="X216" s="39">
        <v>1.3194444444444444E-2</v>
      </c>
      <c r="Y216" s="39">
        <v>3.472222222222222E-3</v>
      </c>
      <c r="Z216" s="39">
        <v>3.5763888888888894E-3</v>
      </c>
      <c r="AA216" s="39">
        <v>8.3333333333333332E-3</v>
      </c>
      <c r="AB216" s="39">
        <v>1.0416666666666666E-2</v>
      </c>
      <c r="AC216" s="39">
        <v>1.2499999999999999E-2</v>
      </c>
      <c r="AD216" s="39"/>
      <c r="AE216" s="39"/>
      <c r="AF216" s="91"/>
      <c r="AG216" s="100">
        <f>SUM(B216:AF216)</f>
        <v>0.24892361111111114</v>
      </c>
      <c r="AH216" s="377"/>
    </row>
    <row r="217" spans="1:34" ht="18.75" x14ac:dyDescent="0.25">
      <c r="A217" s="53" t="s">
        <v>115</v>
      </c>
      <c r="B217" s="39">
        <v>4.2361111111111106E-3</v>
      </c>
      <c r="C217" s="39">
        <v>7.743055555555556E-3</v>
      </c>
      <c r="D217" s="39">
        <v>7.0023148148148154E-3</v>
      </c>
      <c r="E217" s="39">
        <v>6.2847222222222228E-3</v>
      </c>
      <c r="F217" s="39">
        <v>7.6388888888888886E-3</v>
      </c>
      <c r="G217" s="39">
        <v>7.6851851851851847E-3</v>
      </c>
      <c r="H217" s="39">
        <v>6.2499999999999995E-3</v>
      </c>
      <c r="I217" s="39">
        <v>6.2499999999999995E-3</v>
      </c>
      <c r="J217" s="39">
        <v>1.4583333333333332E-2</v>
      </c>
      <c r="K217" s="39">
        <v>2.8587962962962963E-3</v>
      </c>
      <c r="L217" s="39">
        <v>3.1249999999999997E-3</v>
      </c>
      <c r="M217" s="39">
        <v>4.4212962962962956E-3</v>
      </c>
      <c r="N217" s="39">
        <v>4.4328703703703709E-3</v>
      </c>
      <c r="O217" s="39">
        <v>9.2129629629629627E-3</v>
      </c>
      <c r="P217" s="39">
        <v>3.5416666666666665E-3</v>
      </c>
      <c r="Q217" s="39">
        <v>8.3333333333333332E-3</v>
      </c>
      <c r="R217" s="39">
        <v>2.6388888888888889E-2</v>
      </c>
      <c r="S217" s="39">
        <v>9.0277777777777787E-3</v>
      </c>
      <c r="T217" s="39">
        <v>7.083333333333333E-3</v>
      </c>
      <c r="U217" s="39">
        <v>4.4560185185185189E-3</v>
      </c>
      <c r="V217" s="39">
        <v>2.3726851851851851E-3</v>
      </c>
      <c r="W217" s="39">
        <v>7.6388888888888886E-3</v>
      </c>
      <c r="X217" s="39">
        <v>1.2499999999999999E-2</v>
      </c>
      <c r="Y217" s="39">
        <v>2.7777777777777779E-3</v>
      </c>
      <c r="Z217" s="39">
        <v>4.8611111111111112E-3</v>
      </c>
      <c r="AA217" s="39">
        <v>7.6388888888888886E-3</v>
      </c>
      <c r="AB217" s="39">
        <v>1.3888888888888888E-2</v>
      </c>
      <c r="AC217" s="39">
        <v>7.6388888888888886E-3</v>
      </c>
      <c r="AD217" s="39"/>
      <c r="AE217" s="39"/>
      <c r="AF217" s="91"/>
      <c r="AG217" s="100">
        <f>SUM(B217:AF217)</f>
        <v>0.20987268518518518</v>
      </c>
      <c r="AH217" s="377"/>
    </row>
    <row r="218" spans="1:34" ht="18.75" x14ac:dyDescent="0.25">
      <c r="A218" s="53" t="s">
        <v>116</v>
      </c>
      <c r="B218" s="39">
        <v>3.6574074074074074E-3</v>
      </c>
      <c r="C218" s="39">
        <v>5.8912037037037041E-3</v>
      </c>
      <c r="D218" s="39">
        <v>9.0277777777777787E-3</v>
      </c>
      <c r="E218" s="39">
        <v>5.5555555555555558E-3</v>
      </c>
      <c r="F218" s="39">
        <v>3.530092592592592E-3</v>
      </c>
      <c r="G218" s="39">
        <v>6.2499999999999995E-3</v>
      </c>
      <c r="H218" s="39">
        <v>5.5555555555555558E-3</v>
      </c>
      <c r="I218" s="39">
        <v>5.0347222222222225E-3</v>
      </c>
      <c r="J218" s="39">
        <v>4.8611111111111112E-3</v>
      </c>
      <c r="K218" s="39">
        <v>6.5624999999999998E-3</v>
      </c>
      <c r="L218" s="39">
        <v>2.6967592592592594E-3</v>
      </c>
      <c r="M218" s="39">
        <v>6.9444444444444441E-3</v>
      </c>
      <c r="N218" s="39">
        <v>3.7615740740740739E-3</v>
      </c>
      <c r="O218" s="39">
        <v>4.8958333333333328E-3</v>
      </c>
      <c r="P218" s="39">
        <v>3.1018518518518522E-3</v>
      </c>
      <c r="Q218" s="39">
        <v>4.8032407407407407E-3</v>
      </c>
      <c r="R218" s="39">
        <v>1.0706018518518517E-2</v>
      </c>
      <c r="S218" s="39">
        <v>4.1666666666666666E-3</v>
      </c>
      <c r="T218" s="39">
        <v>5.2777777777777771E-3</v>
      </c>
      <c r="U218" s="39">
        <v>3.472222222222222E-3</v>
      </c>
      <c r="V218" s="39">
        <v>4.1319444444444442E-3</v>
      </c>
      <c r="W218" s="39">
        <v>4.0046296296296297E-3</v>
      </c>
      <c r="X218" s="39">
        <v>6.3541666666666668E-3</v>
      </c>
      <c r="Y218" s="39">
        <v>3.472222222222222E-3</v>
      </c>
      <c r="Z218" s="39">
        <v>4.8611111111111112E-3</v>
      </c>
      <c r="AA218" s="39">
        <v>4.1666666666666666E-3</v>
      </c>
      <c r="AB218" s="39">
        <v>1.5277777777777777E-2</v>
      </c>
      <c r="AC218" s="39">
        <v>6.6319444444444446E-3</v>
      </c>
      <c r="AD218" s="39"/>
      <c r="AE218" s="39"/>
      <c r="AF218" s="91"/>
      <c r="AG218" s="100">
        <f>SUM(B218:AF218)</f>
        <v>0.15465277777777781</v>
      </c>
      <c r="AH218" s="377"/>
    </row>
    <row r="219" spans="1:34" ht="18.75" x14ac:dyDescent="0.25">
      <c r="A219" s="53" t="s">
        <v>117</v>
      </c>
      <c r="B219" s="39">
        <v>1.2592592592592593E-2</v>
      </c>
      <c r="C219" s="39">
        <v>4.1666666666666666E-3</v>
      </c>
      <c r="D219" s="39">
        <v>1.5972222222222224E-2</v>
      </c>
      <c r="E219" s="39">
        <v>6.3078703703703708E-3</v>
      </c>
      <c r="F219" s="39">
        <v>1.9444444444444445E-2</v>
      </c>
      <c r="G219" s="39">
        <v>1.2592592592592593E-2</v>
      </c>
      <c r="H219" s="39">
        <v>1.1111111111111112E-2</v>
      </c>
      <c r="I219" s="39">
        <v>2.013888888888889E-2</v>
      </c>
      <c r="J219" s="39">
        <v>6.9444444444444441E-3</v>
      </c>
      <c r="K219" s="39">
        <v>4.1666666666666666E-3</v>
      </c>
      <c r="L219" s="39">
        <v>2.8009259259259259E-3</v>
      </c>
      <c r="M219" s="39">
        <v>8.4027777777777781E-3</v>
      </c>
      <c r="N219" s="39">
        <v>7.0023148148148154E-3</v>
      </c>
      <c r="O219" s="39">
        <v>6.3078703703703708E-3</v>
      </c>
      <c r="P219" s="39">
        <v>3.472222222222222E-3</v>
      </c>
      <c r="Q219" s="39">
        <v>4.8611111111111112E-3</v>
      </c>
      <c r="R219" s="39">
        <v>9.8842592592592576E-3</v>
      </c>
      <c r="S219" s="39">
        <v>6.9444444444444441E-3</v>
      </c>
      <c r="T219" s="39">
        <v>7.6388888888888886E-3</v>
      </c>
      <c r="U219" s="39">
        <v>4.1666666666666666E-3</v>
      </c>
      <c r="V219" s="39">
        <v>6.6319444444444446E-3</v>
      </c>
      <c r="W219" s="39">
        <v>8.3333333333333332E-3</v>
      </c>
      <c r="X219" s="39">
        <v>1.0474537037037037E-2</v>
      </c>
      <c r="Y219" s="39">
        <v>3.472222222222222E-3</v>
      </c>
      <c r="Z219" s="39">
        <v>6.2499999999999995E-3</v>
      </c>
      <c r="AA219" s="39">
        <v>4.8611111111111112E-3</v>
      </c>
      <c r="AB219" s="39">
        <v>4.9305555555555552E-3</v>
      </c>
      <c r="AC219" s="39">
        <v>4.8611111111111112E-3</v>
      </c>
      <c r="AD219" s="39"/>
      <c r="AE219" s="39"/>
      <c r="AF219" s="91"/>
      <c r="AG219" s="100">
        <f t="shared" si="35"/>
        <v>0.22473379629629633</v>
      </c>
      <c r="AH219" s="377"/>
    </row>
    <row r="220" spans="1:34" ht="18.75" x14ac:dyDescent="0.25">
      <c r="A220" s="43" t="s">
        <v>150</v>
      </c>
      <c r="B220" s="19">
        <v>1.5277777777777777E-2</v>
      </c>
      <c r="C220" s="19">
        <v>1.6828703703703703E-2</v>
      </c>
      <c r="D220" s="19">
        <v>1.1273148148148148E-2</v>
      </c>
      <c r="E220" s="19">
        <v>3.3333333333333333E-2</v>
      </c>
      <c r="F220" s="19">
        <v>4.971064814814815E-2</v>
      </c>
      <c r="G220" s="19">
        <v>2.7777777777777776E-2</v>
      </c>
      <c r="H220" s="19">
        <v>4.027777777777778E-2</v>
      </c>
      <c r="I220" s="19">
        <v>3.9583333333333331E-2</v>
      </c>
      <c r="J220" s="19">
        <v>2.0671296296296295E-2</v>
      </c>
      <c r="K220" s="19">
        <v>1.6666666666666666E-2</v>
      </c>
      <c r="L220" s="19">
        <v>2.7777777777777776E-2</v>
      </c>
      <c r="M220" s="19">
        <v>3.4027777777777775E-2</v>
      </c>
      <c r="N220" s="19">
        <v>1.832175925925926E-2</v>
      </c>
      <c r="O220" s="19">
        <v>4.5138888888888888E-2</v>
      </c>
      <c r="P220" s="19">
        <v>2.4305555555555556E-2</v>
      </c>
      <c r="Q220" s="19">
        <v>2.0833333333333332E-2</v>
      </c>
      <c r="R220" s="19">
        <v>3.125E-2</v>
      </c>
      <c r="S220" s="19">
        <v>3.0555555555555555E-2</v>
      </c>
      <c r="T220" s="19">
        <v>2.7777777777777776E-2</v>
      </c>
      <c r="U220" s="19">
        <v>1.5972222222222224E-2</v>
      </c>
      <c r="V220" s="19">
        <v>2.2939814814814816E-2</v>
      </c>
      <c r="W220" s="19">
        <v>3.3333333333333333E-2</v>
      </c>
      <c r="X220" s="19">
        <v>1.7361111111111112E-2</v>
      </c>
      <c r="Y220" s="19">
        <v>2.361111111111111E-2</v>
      </c>
      <c r="Z220" s="19">
        <v>3.0555555555555555E-2</v>
      </c>
      <c r="AA220" s="19">
        <v>2.5694444444444447E-2</v>
      </c>
      <c r="AB220" s="19">
        <v>3.9583333333333331E-2</v>
      </c>
      <c r="AC220" s="19">
        <v>4.1354166666666664E-2</v>
      </c>
      <c r="AD220" s="19"/>
      <c r="AE220" s="19"/>
      <c r="AF220" s="25"/>
      <c r="AG220" s="99">
        <f t="shared" si="35"/>
        <v>0.7817939814814816</v>
      </c>
      <c r="AH220" s="377"/>
    </row>
    <row r="221" spans="1:34" ht="18.75" x14ac:dyDescent="0.25">
      <c r="A221" s="43" t="s">
        <v>78</v>
      </c>
      <c r="B221" s="19">
        <v>2.0324074074074074E-2</v>
      </c>
      <c r="C221" s="19">
        <v>5.6712962962962958E-3</v>
      </c>
      <c r="D221" s="19">
        <v>1.5856481481481482E-2</v>
      </c>
      <c r="E221" s="19">
        <v>3.6111111111111115E-2</v>
      </c>
      <c r="F221" s="19">
        <v>5.486111111111111E-2</v>
      </c>
      <c r="G221" s="19">
        <v>3.1944444444444449E-2</v>
      </c>
      <c r="H221" s="19">
        <v>4.5833333333333337E-2</v>
      </c>
      <c r="I221" s="19">
        <v>4.4444444444444446E-2</v>
      </c>
      <c r="J221" s="19">
        <v>2.4305555555555556E-2</v>
      </c>
      <c r="K221" s="19">
        <v>2.2916666666666669E-2</v>
      </c>
      <c r="L221" s="19">
        <v>3.1944444444444449E-2</v>
      </c>
      <c r="M221" s="19">
        <v>3.9583333333333331E-2</v>
      </c>
      <c r="N221" s="19">
        <v>2.3460648148148147E-2</v>
      </c>
      <c r="O221" s="19">
        <v>4.9305555555555554E-2</v>
      </c>
      <c r="P221" s="19">
        <v>2.9340277777777781E-2</v>
      </c>
      <c r="Q221" s="19">
        <v>2.7083333333333334E-2</v>
      </c>
      <c r="R221" s="19">
        <v>3.6805555555555557E-2</v>
      </c>
      <c r="S221" s="19">
        <v>3.4027777777777775E-2</v>
      </c>
      <c r="T221" s="19">
        <v>3.4722222222222224E-2</v>
      </c>
      <c r="U221" s="19">
        <v>1.9444444444444445E-2</v>
      </c>
      <c r="V221" s="19">
        <v>2.6388888888888889E-2</v>
      </c>
      <c r="W221" s="19">
        <v>3.6805555555555557E-2</v>
      </c>
      <c r="X221" s="19">
        <v>2.361111111111111E-2</v>
      </c>
      <c r="Y221" s="19">
        <v>2.7777777777777776E-2</v>
      </c>
      <c r="Z221" s="19">
        <v>3.4027777777777775E-2</v>
      </c>
      <c r="AA221" s="19">
        <v>3.125E-2</v>
      </c>
      <c r="AB221" s="19">
        <v>4.4444444444444446E-2</v>
      </c>
      <c r="AC221" s="19">
        <v>4.5833333333333337E-2</v>
      </c>
      <c r="AD221" s="19"/>
      <c r="AE221" s="19"/>
      <c r="AF221" s="25"/>
      <c r="AG221" s="99">
        <f t="shared" si="35"/>
        <v>0.89812499999999984</v>
      </c>
      <c r="AH221" s="377"/>
    </row>
    <row r="222" spans="1:34" ht="19.5" thickBot="1" x14ac:dyDescent="0.3">
      <c r="A222" s="43" t="s">
        <v>79</v>
      </c>
      <c r="B222" s="19">
        <v>1.8043981481481484E-2</v>
      </c>
      <c r="C222" s="19">
        <v>2.9861111111111113E-2</v>
      </c>
      <c r="D222" s="19">
        <v>2.2222222222222223E-2</v>
      </c>
      <c r="E222" s="19">
        <v>2.2222222222222223E-2</v>
      </c>
      <c r="F222" s="19">
        <v>2.9166666666666664E-2</v>
      </c>
      <c r="G222" s="19">
        <v>1.909722222222222E-2</v>
      </c>
      <c r="H222" s="19">
        <v>2.361111111111111E-2</v>
      </c>
      <c r="I222" s="19">
        <v>2.0833333333333332E-2</v>
      </c>
      <c r="J222" s="19">
        <v>2.6388888888888889E-2</v>
      </c>
      <c r="K222" s="19">
        <v>2.9861111111111113E-2</v>
      </c>
      <c r="L222" s="19">
        <v>2.4305555555555556E-2</v>
      </c>
      <c r="M222" s="19">
        <v>2.7777777777777776E-2</v>
      </c>
      <c r="N222" s="19">
        <v>1.832175925925926E-2</v>
      </c>
      <c r="O222" s="19">
        <v>3.2638888888888891E-2</v>
      </c>
      <c r="P222" s="19">
        <v>1.9444444444444445E-2</v>
      </c>
      <c r="Q222" s="19">
        <v>2.7083333333333334E-2</v>
      </c>
      <c r="R222" s="19">
        <v>3.5416666666666666E-2</v>
      </c>
      <c r="S222" s="19">
        <v>2.2916666666666669E-2</v>
      </c>
      <c r="T222" s="19">
        <v>2.7777777777777776E-2</v>
      </c>
      <c r="U222" s="19">
        <v>1.5277777777777777E-2</v>
      </c>
      <c r="V222" s="19">
        <v>2.0833333333333332E-2</v>
      </c>
      <c r="W222" s="19">
        <v>2.2222222222222223E-2</v>
      </c>
      <c r="X222" s="19">
        <v>2.4999999999999998E-2</v>
      </c>
      <c r="Y222" s="19">
        <v>2.361111111111111E-2</v>
      </c>
      <c r="Z222" s="19">
        <v>2.013888888888889E-2</v>
      </c>
      <c r="AA222" s="19">
        <v>2.2222222222222223E-2</v>
      </c>
      <c r="AB222" s="19">
        <v>2.2916666666666669E-2</v>
      </c>
      <c r="AC222" s="19">
        <v>2.8472222222222222E-2</v>
      </c>
      <c r="AD222" s="19"/>
      <c r="AE222" s="19"/>
      <c r="AF222" s="25"/>
      <c r="AG222" s="99">
        <f t="shared" si="35"/>
        <v>0.67768518518518539</v>
      </c>
      <c r="AH222" s="378"/>
    </row>
    <row r="223" spans="1:34" ht="24" thickBot="1" x14ac:dyDescent="0.3">
      <c r="A223" s="62" t="s">
        <v>118</v>
      </c>
      <c r="B223" s="20">
        <f>+B222+B221+B211+B220</f>
        <v>6.3877314814814817E-2</v>
      </c>
      <c r="C223" s="20">
        <f t="shared" ref="C223:AF223" si="36">+C222+C221+C211+C220</f>
        <v>5.846064814814815E-2</v>
      </c>
      <c r="D223" s="20">
        <f t="shared" si="36"/>
        <v>5.5625000000000001E-2</v>
      </c>
      <c r="E223" s="20">
        <f t="shared" si="36"/>
        <v>0.10277777777777777</v>
      </c>
      <c r="F223" s="20">
        <f t="shared" si="36"/>
        <v>0.14458333333333334</v>
      </c>
      <c r="G223" s="20">
        <f t="shared" si="36"/>
        <v>9.0127314814814813E-2</v>
      </c>
      <c r="H223" s="20">
        <f t="shared" si="36"/>
        <v>0.11944444444444444</v>
      </c>
      <c r="I223" s="20">
        <f t="shared" si="36"/>
        <v>0.11410879629629631</v>
      </c>
      <c r="J223" s="20">
        <f t="shared" si="36"/>
        <v>7.885416666666667E-2</v>
      </c>
      <c r="K223" s="20">
        <f t="shared" si="36"/>
        <v>7.6504629629629631E-2</v>
      </c>
      <c r="L223" s="20">
        <f t="shared" si="36"/>
        <v>9.7152777777777782E-2</v>
      </c>
      <c r="M223" s="20">
        <f t="shared" si="36"/>
        <v>0.11074074074074072</v>
      </c>
      <c r="N223" s="20">
        <f t="shared" si="36"/>
        <v>6.6759259259259268E-2</v>
      </c>
      <c r="O223" s="20">
        <f t="shared" si="36"/>
        <v>0.13630787037037037</v>
      </c>
      <c r="P223" s="20">
        <f t="shared" si="36"/>
        <v>8.2546296296296298E-2</v>
      </c>
      <c r="Q223" s="20">
        <f t="shared" si="36"/>
        <v>8.0937499999999996E-2</v>
      </c>
      <c r="R223" s="20">
        <f t="shared" si="36"/>
        <v>0.11261574074074074</v>
      </c>
      <c r="S223" s="20">
        <f t="shared" si="36"/>
        <v>0.1076388888888889</v>
      </c>
      <c r="T223" s="20">
        <f t="shared" si="36"/>
        <v>0.10942129629629629</v>
      </c>
      <c r="U223" s="20">
        <f t="shared" si="36"/>
        <v>5.9479166666666666E-2</v>
      </c>
      <c r="V223" s="20">
        <f t="shared" si="36"/>
        <v>7.9652777777777781E-2</v>
      </c>
      <c r="W223" s="20">
        <f t="shared" si="36"/>
        <v>0.10069444444444445</v>
      </c>
      <c r="X223" s="20">
        <f t="shared" si="36"/>
        <v>7.4953703703703689E-2</v>
      </c>
      <c r="Y223" s="20">
        <f t="shared" si="36"/>
        <v>8.099537037037037E-2</v>
      </c>
      <c r="Z223" s="20">
        <f t="shared" si="36"/>
        <v>9.6076388888888892E-2</v>
      </c>
      <c r="AA223" s="20">
        <f t="shared" si="36"/>
        <v>8.8796296296296304E-2</v>
      </c>
      <c r="AB223" s="20">
        <f t="shared" si="36"/>
        <v>0.12013888888888889</v>
      </c>
      <c r="AC223" s="20">
        <f t="shared" si="36"/>
        <v>0.12773148148148147</v>
      </c>
      <c r="AD223" s="20">
        <f t="shared" si="36"/>
        <v>0</v>
      </c>
      <c r="AE223" s="20">
        <f t="shared" si="36"/>
        <v>0</v>
      </c>
      <c r="AF223" s="26">
        <f t="shared" si="36"/>
        <v>0</v>
      </c>
      <c r="AG223" s="99">
        <f t="shared" si="35"/>
        <v>2.6370023148148154</v>
      </c>
      <c r="AH223" s="36"/>
    </row>
    <row r="224" spans="1:34" ht="18.75" x14ac:dyDescent="0.25">
      <c r="A224" s="57" t="s">
        <v>90</v>
      </c>
      <c r="B224" s="27">
        <v>25</v>
      </c>
      <c r="C224" s="27">
        <v>11</v>
      </c>
      <c r="D224" s="27">
        <v>12</v>
      </c>
      <c r="E224" s="27">
        <v>31</v>
      </c>
      <c r="F224" s="27">
        <v>33</v>
      </c>
      <c r="G224" s="27">
        <v>30</v>
      </c>
      <c r="H224" s="27">
        <v>31</v>
      </c>
      <c r="I224" s="27">
        <v>17</v>
      </c>
      <c r="J224" s="27">
        <v>12</v>
      </c>
      <c r="K224" s="27">
        <v>15</v>
      </c>
      <c r="L224" s="27">
        <v>31</v>
      </c>
      <c r="M224" s="27">
        <v>32</v>
      </c>
      <c r="N224" s="27">
        <v>19</v>
      </c>
      <c r="O224" s="27">
        <v>30</v>
      </c>
      <c r="P224" s="27">
        <v>23</v>
      </c>
      <c r="Q224" s="27">
        <v>12</v>
      </c>
      <c r="R224" s="27">
        <v>10</v>
      </c>
      <c r="S224" s="27">
        <v>20</v>
      </c>
      <c r="T224" s="27">
        <v>29</v>
      </c>
      <c r="U224" s="27">
        <v>20</v>
      </c>
      <c r="V224" s="27">
        <v>38</v>
      </c>
      <c r="W224" s="27">
        <v>23</v>
      </c>
      <c r="X224" s="27">
        <v>15</v>
      </c>
      <c r="Y224" s="27">
        <v>14</v>
      </c>
      <c r="Z224" s="27">
        <v>26</v>
      </c>
      <c r="AA224" s="27">
        <v>25</v>
      </c>
      <c r="AB224" s="27">
        <v>24</v>
      </c>
      <c r="AC224" s="27">
        <v>25</v>
      </c>
      <c r="AD224" s="27"/>
      <c r="AE224" s="27"/>
      <c r="AF224" s="92"/>
      <c r="AG224" s="31">
        <f t="shared" ref="AG224:AG237" si="37">SUM(B224:AF224)</f>
        <v>633</v>
      </c>
      <c r="AH224" s="379" t="s">
        <v>96</v>
      </c>
    </row>
    <row r="225" spans="1:34" ht="18.75" x14ac:dyDescent="0.25">
      <c r="A225" s="54" t="s">
        <v>91</v>
      </c>
      <c r="B225" s="40"/>
      <c r="C225" s="40"/>
      <c r="D225" s="40">
        <v>0.33333333333333331</v>
      </c>
      <c r="E225" s="40">
        <v>0.33333333333333331</v>
      </c>
      <c r="F225" s="40">
        <v>0.33333333333333331</v>
      </c>
      <c r="G225" s="40">
        <v>0.33333333333333331</v>
      </c>
      <c r="H225" s="40">
        <v>0.33333333333333331</v>
      </c>
      <c r="I225" s="40"/>
      <c r="J225" s="40"/>
      <c r="K225" s="40">
        <v>0.33333333333333331</v>
      </c>
      <c r="L225" s="40">
        <v>0.33333333333333331</v>
      </c>
      <c r="M225" s="40">
        <v>0.33333333333333331</v>
      </c>
      <c r="N225" s="40">
        <v>0.33333333333333331</v>
      </c>
      <c r="O225" s="40">
        <v>0.33333333333333331</v>
      </c>
      <c r="P225" s="40"/>
      <c r="Q225" s="40"/>
      <c r="R225" s="40">
        <v>0.33333333333333331</v>
      </c>
      <c r="S225" s="40">
        <v>0.33333333333333331</v>
      </c>
      <c r="T225" s="40">
        <v>0.33333333333333331</v>
      </c>
      <c r="U225" s="40">
        <v>0.33333333333333331</v>
      </c>
      <c r="V225" s="40">
        <v>0.33333333333333331</v>
      </c>
      <c r="W225" s="40"/>
      <c r="X225" s="40"/>
      <c r="Y225" s="40">
        <v>0.33333333333333331</v>
      </c>
      <c r="Z225" s="40">
        <v>0.33333333333333331</v>
      </c>
      <c r="AA225" s="40">
        <v>0.33333333333333331</v>
      </c>
      <c r="AB225" s="40">
        <v>0.33333333333333331</v>
      </c>
      <c r="AC225" s="40">
        <v>0.33333333333333331</v>
      </c>
      <c r="AD225" s="40"/>
      <c r="AE225" s="40"/>
      <c r="AF225" s="93"/>
      <c r="AG225" s="99">
        <f t="shared" si="37"/>
        <v>6.6666666666666643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/>
      <c r="AE226" s="59"/>
      <c r="AF226" s="94"/>
      <c r="AG226" s="28">
        <f t="shared" si="37"/>
        <v>0</v>
      </c>
      <c r="AH226" s="381"/>
    </row>
    <row r="227" spans="1:34" ht="18.75" x14ac:dyDescent="0.25">
      <c r="A227" s="55" t="s">
        <v>92</v>
      </c>
      <c r="B227" s="118">
        <f>SUM(B228:B230)</f>
        <v>4</v>
      </c>
      <c r="C227" s="118">
        <f t="shared" ref="C227:AF227" si="38">SUM(C228:C230)</f>
        <v>7</v>
      </c>
      <c r="D227" s="118">
        <f t="shared" si="38"/>
        <v>6</v>
      </c>
      <c r="E227" s="118">
        <f t="shared" si="38"/>
        <v>6</v>
      </c>
      <c r="F227" s="118">
        <f t="shared" si="38"/>
        <v>3</v>
      </c>
      <c r="G227" s="118">
        <f t="shared" si="38"/>
        <v>8</v>
      </c>
      <c r="H227" s="118">
        <f t="shared" si="38"/>
        <v>3</v>
      </c>
      <c r="I227" s="118">
        <f t="shared" si="38"/>
        <v>6</v>
      </c>
      <c r="J227" s="118">
        <f t="shared" si="38"/>
        <v>8</v>
      </c>
      <c r="K227" s="118">
        <f t="shared" si="38"/>
        <v>10</v>
      </c>
      <c r="L227" s="118">
        <f t="shared" si="38"/>
        <v>4</v>
      </c>
      <c r="M227" s="118">
        <f t="shared" si="38"/>
        <v>2</v>
      </c>
      <c r="N227" s="118">
        <f t="shared" si="38"/>
        <v>2</v>
      </c>
      <c r="O227" s="118">
        <f t="shared" si="38"/>
        <v>3</v>
      </c>
      <c r="P227" s="118">
        <f t="shared" si="38"/>
        <v>5</v>
      </c>
      <c r="Q227" s="118">
        <f t="shared" si="38"/>
        <v>5</v>
      </c>
      <c r="R227" s="118">
        <f t="shared" si="38"/>
        <v>5</v>
      </c>
      <c r="S227" s="118">
        <f t="shared" si="38"/>
        <v>3</v>
      </c>
      <c r="T227" s="118">
        <f t="shared" si="38"/>
        <v>3</v>
      </c>
      <c r="U227" s="118">
        <f t="shared" si="38"/>
        <v>5</v>
      </c>
      <c r="V227" s="118">
        <f t="shared" si="38"/>
        <v>5</v>
      </c>
      <c r="W227" s="118">
        <f t="shared" si="38"/>
        <v>3</v>
      </c>
      <c r="X227" s="118">
        <f t="shared" si="38"/>
        <v>4</v>
      </c>
      <c r="Y227" s="118">
        <f t="shared" si="38"/>
        <v>5</v>
      </c>
      <c r="Z227" s="118">
        <f t="shared" si="38"/>
        <v>3</v>
      </c>
      <c r="AA227" s="118">
        <f t="shared" si="38"/>
        <v>4</v>
      </c>
      <c r="AB227" s="118">
        <f t="shared" si="38"/>
        <v>5</v>
      </c>
      <c r="AC227" s="118">
        <f t="shared" si="38"/>
        <v>3</v>
      </c>
      <c r="AD227" s="118">
        <f t="shared" si="38"/>
        <v>0</v>
      </c>
      <c r="AE227" s="118">
        <f t="shared" si="38"/>
        <v>0</v>
      </c>
      <c r="AF227" s="118">
        <f t="shared" si="38"/>
        <v>0</v>
      </c>
      <c r="AG227" s="95">
        <f t="shared" si="37"/>
        <v>130</v>
      </c>
      <c r="AH227" s="379" t="s">
        <v>93</v>
      </c>
    </row>
    <row r="228" spans="1:34" ht="18.75" x14ac:dyDescent="0.25">
      <c r="A228" s="139" t="s">
        <v>94</v>
      </c>
      <c r="B228" s="140">
        <v>2</v>
      </c>
      <c r="C228" s="140">
        <v>3</v>
      </c>
      <c r="D228" s="140">
        <v>2</v>
      </c>
      <c r="E228" s="140">
        <v>4</v>
      </c>
      <c r="F228" s="140">
        <v>0</v>
      </c>
      <c r="G228" s="140">
        <v>1</v>
      </c>
      <c r="H228" s="140">
        <v>1</v>
      </c>
      <c r="I228" s="140">
        <v>0</v>
      </c>
      <c r="J228" s="140">
        <v>1</v>
      </c>
      <c r="K228" s="140">
        <v>2</v>
      </c>
      <c r="L228" s="140">
        <v>2</v>
      </c>
      <c r="M228" s="140">
        <v>0</v>
      </c>
      <c r="N228" s="145">
        <v>1</v>
      </c>
      <c r="O228" s="140">
        <v>0</v>
      </c>
      <c r="P228" s="140">
        <v>1</v>
      </c>
      <c r="Q228" s="140">
        <v>2</v>
      </c>
      <c r="R228" s="140">
        <v>2</v>
      </c>
      <c r="S228" s="140">
        <v>0</v>
      </c>
      <c r="T228" s="140">
        <v>0</v>
      </c>
      <c r="U228" s="140">
        <v>3</v>
      </c>
      <c r="V228" s="140">
        <v>1</v>
      </c>
      <c r="W228" s="140">
        <v>0</v>
      </c>
      <c r="X228" s="140">
        <v>0</v>
      </c>
      <c r="Y228" s="140">
        <v>3</v>
      </c>
      <c r="Z228" s="142">
        <v>1</v>
      </c>
      <c r="AA228" s="140">
        <v>1</v>
      </c>
      <c r="AB228" s="140">
        <v>2</v>
      </c>
      <c r="AC228" s="140">
        <v>0</v>
      </c>
      <c r="AD228" s="140"/>
      <c r="AE228" s="140"/>
      <c r="AF228" s="144"/>
      <c r="AG228" s="143">
        <f t="shared" si="37"/>
        <v>35</v>
      </c>
      <c r="AH228" s="380"/>
    </row>
    <row r="229" spans="1:34" ht="18.75" x14ac:dyDescent="0.25">
      <c r="A229" s="139" t="s">
        <v>95</v>
      </c>
      <c r="B229" s="140">
        <v>2</v>
      </c>
      <c r="C229" s="140">
        <v>4</v>
      </c>
      <c r="D229" s="140">
        <v>4</v>
      </c>
      <c r="E229" s="140">
        <v>2</v>
      </c>
      <c r="F229" s="140">
        <v>3</v>
      </c>
      <c r="G229" s="140">
        <v>7</v>
      </c>
      <c r="H229" s="140">
        <v>2</v>
      </c>
      <c r="I229" s="140">
        <v>6</v>
      </c>
      <c r="J229" s="140">
        <v>7</v>
      </c>
      <c r="K229" s="140">
        <v>8</v>
      </c>
      <c r="L229" s="140">
        <v>2</v>
      </c>
      <c r="M229" s="140">
        <v>2</v>
      </c>
      <c r="N229" s="145">
        <v>1</v>
      </c>
      <c r="O229" s="140">
        <v>3</v>
      </c>
      <c r="P229" s="140">
        <v>4</v>
      </c>
      <c r="Q229" s="140">
        <v>3</v>
      </c>
      <c r="R229" s="140">
        <v>3</v>
      </c>
      <c r="S229" s="140">
        <v>3</v>
      </c>
      <c r="T229" s="140">
        <v>3</v>
      </c>
      <c r="U229" s="140">
        <v>2</v>
      </c>
      <c r="V229" s="140">
        <v>4</v>
      </c>
      <c r="W229" s="140">
        <v>3</v>
      </c>
      <c r="X229" s="140">
        <v>4</v>
      </c>
      <c r="Y229" s="140">
        <v>2</v>
      </c>
      <c r="Z229" s="142">
        <v>2</v>
      </c>
      <c r="AA229" s="140">
        <v>3</v>
      </c>
      <c r="AB229" s="140">
        <v>3</v>
      </c>
      <c r="AC229" s="140">
        <v>3</v>
      </c>
      <c r="AD229" s="140"/>
      <c r="AE229" s="140"/>
      <c r="AF229" s="144"/>
      <c r="AG229" s="143">
        <f t="shared" si="37"/>
        <v>95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7"/>
        <v>0</v>
      </c>
      <c r="AH230" s="381"/>
    </row>
    <row r="231" spans="1:34" ht="24" thickBot="1" x14ac:dyDescent="0.3">
      <c r="A231" s="198" t="s">
        <v>148</v>
      </c>
      <c r="B231" s="199">
        <f>SUM(B232:B237)</f>
        <v>25</v>
      </c>
      <c r="C231" s="199">
        <f t="shared" ref="C231:AF231" si="39">SUM(C232:C237)</f>
        <v>18</v>
      </c>
      <c r="D231" s="199">
        <f t="shared" si="39"/>
        <v>33</v>
      </c>
      <c r="E231" s="199">
        <f t="shared" si="39"/>
        <v>20</v>
      </c>
      <c r="F231" s="199">
        <f t="shared" si="39"/>
        <v>16</v>
      </c>
      <c r="G231" s="199">
        <f t="shared" si="39"/>
        <v>27</v>
      </c>
      <c r="H231" s="199">
        <f t="shared" si="39"/>
        <v>24</v>
      </c>
      <c r="I231" s="199">
        <f t="shared" si="39"/>
        <v>23</v>
      </c>
      <c r="J231" s="199">
        <f t="shared" si="39"/>
        <v>26</v>
      </c>
      <c r="K231" s="199">
        <f t="shared" si="39"/>
        <v>31</v>
      </c>
      <c r="L231" s="199">
        <f t="shared" si="39"/>
        <v>26</v>
      </c>
      <c r="M231" s="199">
        <f t="shared" si="39"/>
        <v>23</v>
      </c>
      <c r="N231" s="199">
        <f t="shared" si="39"/>
        <v>17</v>
      </c>
      <c r="O231" s="199">
        <f t="shared" si="39"/>
        <v>29</v>
      </c>
      <c r="P231" s="199">
        <f t="shared" si="39"/>
        <v>24</v>
      </c>
      <c r="Q231" s="199">
        <f t="shared" si="39"/>
        <v>30</v>
      </c>
      <c r="R231" s="199">
        <f t="shared" si="39"/>
        <v>30</v>
      </c>
      <c r="S231" s="199">
        <f t="shared" si="39"/>
        <v>23</v>
      </c>
      <c r="T231" s="199">
        <f t="shared" si="39"/>
        <v>16</v>
      </c>
      <c r="U231" s="199">
        <f t="shared" si="39"/>
        <v>18</v>
      </c>
      <c r="V231" s="199">
        <f t="shared" si="39"/>
        <v>32</v>
      </c>
      <c r="W231" s="199">
        <f t="shared" si="39"/>
        <v>22</v>
      </c>
      <c r="X231" s="199">
        <f t="shared" si="39"/>
        <v>20</v>
      </c>
      <c r="Y231" s="199">
        <f t="shared" si="39"/>
        <v>27</v>
      </c>
      <c r="Z231" s="199">
        <f t="shared" si="39"/>
        <v>37</v>
      </c>
      <c r="AA231" s="199">
        <f t="shared" si="39"/>
        <v>32</v>
      </c>
      <c r="AB231" s="199">
        <f t="shared" si="39"/>
        <v>24</v>
      </c>
      <c r="AC231" s="199">
        <f t="shared" si="39"/>
        <v>23</v>
      </c>
      <c r="AD231" s="199">
        <f t="shared" si="39"/>
        <v>0</v>
      </c>
      <c r="AE231" s="199">
        <f t="shared" si="39"/>
        <v>0</v>
      </c>
      <c r="AF231" s="200">
        <f t="shared" si="39"/>
        <v>0</v>
      </c>
      <c r="AG231" s="201">
        <f t="shared" si="37"/>
        <v>696</v>
      </c>
    </row>
    <row r="232" spans="1:34" ht="38.25" customHeight="1" x14ac:dyDescent="0.25">
      <c r="A232" s="231" t="s">
        <v>159</v>
      </c>
      <c r="B232" s="189">
        <v>18</v>
      </c>
      <c r="C232" s="189">
        <v>13</v>
      </c>
      <c r="D232" s="189">
        <v>20</v>
      </c>
      <c r="E232" s="189">
        <v>14</v>
      </c>
      <c r="F232" s="189">
        <v>10</v>
      </c>
      <c r="G232" s="189">
        <v>18</v>
      </c>
      <c r="H232" s="189">
        <v>18</v>
      </c>
      <c r="I232" s="189">
        <v>17</v>
      </c>
      <c r="J232" s="189">
        <v>18</v>
      </c>
      <c r="K232" s="189">
        <v>22</v>
      </c>
      <c r="L232" s="189">
        <v>20</v>
      </c>
      <c r="M232" s="189">
        <v>14</v>
      </c>
      <c r="N232" s="189">
        <v>13</v>
      </c>
      <c r="O232" s="189">
        <v>19</v>
      </c>
      <c r="P232" s="189">
        <v>17</v>
      </c>
      <c r="Q232" s="189">
        <v>22</v>
      </c>
      <c r="R232" s="189">
        <v>24</v>
      </c>
      <c r="S232" s="189">
        <v>18</v>
      </c>
      <c r="T232" s="189">
        <v>10</v>
      </c>
      <c r="U232" s="189">
        <v>15</v>
      </c>
      <c r="V232" s="189">
        <v>22</v>
      </c>
      <c r="W232" s="189">
        <v>14</v>
      </c>
      <c r="X232" s="189">
        <v>16</v>
      </c>
      <c r="Y232" s="189">
        <v>22</v>
      </c>
      <c r="Z232" s="189">
        <v>26</v>
      </c>
      <c r="AA232" s="189">
        <v>17</v>
      </c>
      <c r="AB232" s="189">
        <v>19</v>
      </c>
      <c r="AC232" s="189">
        <v>14</v>
      </c>
      <c r="AD232" s="189"/>
      <c r="AE232" s="189"/>
      <c r="AF232" s="196"/>
      <c r="AG232" s="197">
        <f t="shared" si="37"/>
        <v>490</v>
      </c>
    </row>
    <row r="233" spans="1:34" ht="40.5" customHeight="1" x14ac:dyDescent="0.25">
      <c r="A233" s="231" t="s">
        <v>160</v>
      </c>
      <c r="B233" s="189">
        <v>1</v>
      </c>
      <c r="C233" s="189">
        <v>0</v>
      </c>
      <c r="D233" s="189">
        <v>1</v>
      </c>
      <c r="E233" s="189">
        <v>0</v>
      </c>
      <c r="F233" s="189">
        <v>1</v>
      </c>
      <c r="G233" s="189">
        <v>1</v>
      </c>
      <c r="H233" s="189">
        <v>2</v>
      </c>
      <c r="I233" s="189">
        <v>0</v>
      </c>
      <c r="J233" s="189">
        <v>1</v>
      </c>
      <c r="K233" s="189">
        <v>0</v>
      </c>
      <c r="L233" s="189">
        <v>0</v>
      </c>
      <c r="M233" s="189">
        <v>0</v>
      </c>
      <c r="N233" s="189">
        <v>0</v>
      </c>
      <c r="O233" s="189">
        <v>1</v>
      </c>
      <c r="P233" s="189">
        <v>0</v>
      </c>
      <c r="Q233" s="189">
        <v>0</v>
      </c>
      <c r="R233" s="189">
        <v>0</v>
      </c>
      <c r="S233" s="189">
        <v>0</v>
      </c>
      <c r="T233" s="189">
        <v>0</v>
      </c>
      <c r="U233" s="189">
        <v>0</v>
      </c>
      <c r="V233" s="189">
        <v>0</v>
      </c>
      <c r="W233" s="189">
        <v>0</v>
      </c>
      <c r="X233" s="189">
        <v>0</v>
      </c>
      <c r="Y233" s="189">
        <v>0</v>
      </c>
      <c r="Z233" s="189">
        <v>1</v>
      </c>
      <c r="AA233" s="189">
        <v>0</v>
      </c>
      <c r="AB233" s="189">
        <v>1</v>
      </c>
      <c r="AC233" s="189">
        <v>3</v>
      </c>
      <c r="AD233" s="189"/>
      <c r="AE233" s="189"/>
      <c r="AF233" s="196"/>
      <c r="AG233" s="197">
        <f t="shared" si="37"/>
        <v>13</v>
      </c>
    </row>
    <row r="234" spans="1:34" ht="40.5" customHeight="1" x14ac:dyDescent="0.25">
      <c r="A234" s="231" t="s">
        <v>161</v>
      </c>
      <c r="B234" s="189">
        <v>0</v>
      </c>
      <c r="C234" s="189">
        <v>0</v>
      </c>
      <c r="D234" s="189">
        <v>1</v>
      </c>
      <c r="E234" s="189">
        <v>1</v>
      </c>
      <c r="F234" s="189">
        <v>0</v>
      </c>
      <c r="G234" s="189">
        <v>0</v>
      </c>
      <c r="H234" s="189">
        <v>0</v>
      </c>
      <c r="I234" s="189">
        <v>0</v>
      </c>
      <c r="J234" s="189">
        <v>3</v>
      </c>
      <c r="K234" s="189">
        <v>2</v>
      </c>
      <c r="L234" s="189">
        <v>1</v>
      </c>
      <c r="M234" s="189">
        <v>1</v>
      </c>
      <c r="N234" s="189">
        <v>1</v>
      </c>
      <c r="O234" s="189">
        <v>2</v>
      </c>
      <c r="P234" s="189">
        <v>0</v>
      </c>
      <c r="Q234" s="189">
        <v>2</v>
      </c>
      <c r="R234" s="189">
        <v>0</v>
      </c>
      <c r="S234" s="189">
        <v>0</v>
      </c>
      <c r="T234" s="189">
        <v>0</v>
      </c>
      <c r="U234" s="189">
        <v>0</v>
      </c>
      <c r="V234" s="189">
        <v>1</v>
      </c>
      <c r="W234" s="189">
        <v>1</v>
      </c>
      <c r="X234" s="189">
        <v>1</v>
      </c>
      <c r="Y234" s="189">
        <v>1</v>
      </c>
      <c r="Z234" s="189">
        <v>1</v>
      </c>
      <c r="AA234" s="189">
        <v>1</v>
      </c>
      <c r="AB234" s="189">
        <v>0</v>
      </c>
      <c r="AC234" s="189">
        <v>0</v>
      </c>
      <c r="AD234" s="189"/>
      <c r="AE234" s="189"/>
      <c r="AF234" s="196"/>
      <c r="AG234" s="197">
        <f t="shared" si="37"/>
        <v>20</v>
      </c>
    </row>
    <row r="235" spans="1:34" ht="40.5" customHeight="1" x14ac:dyDescent="0.25">
      <c r="A235" s="231" t="s">
        <v>162</v>
      </c>
      <c r="B235" s="189">
        <v>2</v>
      </c>
      <c r="C235" s="189">
        <v>2</v>
      </c>
      <c r="D235" s="189">
        <v>2</v>
      </c>
      <c r="E235" s="189">
        <v>2</v>
      </c>
      <c r="F235" s="189">
        <v>3</v>
      </c>
      <c r="G235" s="189">
        <v>7</v>
      </c>
      <c r="H235" s="189">
        <v>3</v>
      </c>
      <c r="I235" s="189">
        <v>2</v>
      </c>
      <c r="J235" s="189">
        <v>3</v>
      </c>
      <c r="K235" s="189">
        <v>2</v>
      </c>
      <c r="L235" s="189">
        <v>3</v>
      </c>
      <c r="M235" s="189">
        <v>6</v>
      </c>
      <c r="N235" s="189">
        <v>3</v>
      </c>
      <c r="O235" s="189">
        <v>3</v>
      </c>
      <c r="P235" s="189">
        <v>5</v>
      </c>
      <c r="Q235" s="189">
        <v>4</v>
      </c>
      <c r="R235" s="189">
        <v>2</v>
      </c>
      <c r="S235" s="189">
        <v>3</v>
      </c>
      <c r="T235" s="189">
        <v>4</v>
      </c>
      <c r="U235" s="189">
        <v>3</v>
      </c>
      <c r="V235" s="189">
        <v>7</v>
      </c>
      <c r="W235" s="189">
        <v>5</v>
      </c>
      <c r="X235" s="189">
        <v>3</v>
      </c>
      <c r="Y235" s="189">
        <v>3</v>
      </c>
      <c r="Z235" s="189">
        <v>9</v>
      </c>
      <c r="AA235" s="189">
        <v>9</v>
      </c>
      <c r="AB235" s="189">
        <v>3</v>
      </c>
      <c r="AC235" s="189">
        <v>5</v>
      </c>
      <c r="AD235" s="189"/>
      <c r="AE235" s="189"/>
      <c r="AF235" s="196"/>
      <c r="AG235" s="197">
        <f t="shared" si="37"/>
        <v>108</v>
      </c>
    </row>
    <row r="236" spans="1:34" ht="40.5" customHeight="1" x14ac:dyDescent="0.25">
      <c r="A236" s="232" t="s">
        <v>163</v>
      </c>
      <c r="B236" s="137">
        <v>2</v>
      </c>
      <c r="C236" s="137">
        <v>2</v>
      </c>
      <c r="D236" s="137">
        <v>9</v>
      </c>
      <c r="E236" s="137">
        <v>3</v>
      </c>
      <c r="F236" s="137">
        <v>2</v>
      </c>
      <c r="G236" s="137">
        <v>0</v>
      </c>
      <c r="H236" s="137">
        <v>0</v>
      </c>
      <c r="I236" s="137">
        <v>3</v>
      </c>
      <c r="J236" s="137">
        <v>0</v>
      </c>
      <c r="K236" s="137">
        <v>3</v>
      </c>
      <c r="L236" s="137">
        <v>1</v>
      </c>
      <c r="M236" s="137">
        <v>2</v>
      </c>
      <c r="N236" s="137">
        <v>0</v>
      </c>
      <c r="O236" s="137">
        <v>3</v>
      </c>
      <c r="P236" s="137">
        <v>2</v>
      </c>
      <c r="Q236" s="137">
        <v>2</v>
      </c>
      <c r="R236" s="137">
        <v>3</v>
      </c>
      <c r="S236" s="137">
        <v>1</v>
      </c>
      <c r="T236" s="137">
        <v>2</v>
      </c>
      <c r="U236" s="137">
        <v>0</v>
      </c>
      <c r="V236" s="137">
        <v>1</v>
      </c>
      <c r="W236" s="137">
        <v>2</v>
      </c>
      <c r="X236" s="137">
        <v>0</v>
      </c>
      <c r="Y236" s="137">
        <v>1</v>
      </c>
      <c r="Z236" s="137">
        <v>0</v>
      </c>
      <c r="AA236" s="137">
        <v>3</v>
      </c>
      <c r="AB236" s="137">
        <v>1</v>
      </c>
      <c r="AC236" s="137">
        <v>1</v>
      </c>
      <c r="AD236" s="137"/>
      <c r="AE236" s="137"/>
      <c r="AF236" s="188"/>
      <c r="AG236" s="138">
        <f t="shared" si="37"/>
        <v>49</v>
      </c>
    </row>
    <row r="237" spans="1:34" ht="39.75" customHeight="1" thickBot="1" x14ac:dyDescent="0.3">
      <c r="A237" s="233" t="s">
        <v>164</v>
      </c>
      <c r="B237" s="222">
        <v>2</v>
      </c>
      <c r="C237" s="222">
        <v>1</v>
      </c>
      <c r="D237" s="222">
        <v>0</v>
      </c>
      <c r="E237" s="222">
        <v>0</v>
      </c>
      <c r="F237" s="222">
        <v>0</v>
      </c>
      <c r="G237" s="222">
        <v>1</v>
      </c>
      <c r="H237" s="222">
        <v>1</v>
      </c>
      <c r="I237" s="222">
        <v>1</v>
      </c>
      <c r="J237" s="222">
        <v>1</v>
      </c>
      <c r="K237" s="222">
        <v>2</v>
      </c>
      <c r="L237" s="222">
        <v>1</v>
      </c>
      <c r="M237" s="222">
        <v>0</v>
      </c>
      <c r="N237" s="222">
        <v>0</v>
      </c>
      <c r="O237" s="222">
        <v>1</v>
      </c>
      <c r="P237" s="222">
        <v>0</v>
      </c>
      <c r="Q237" s="222">
        <v>0</v>
      </c>
      <c r="R237" s="222">
        <v>1</v>
      </c>
      <c r="S237" s="222">
        <v>1</v>
      </c>
      <c r="T237" s="222">
        <v>0</v>
      </c>
      <c r="U237" s="222">
        <v>0</v>
      </c>
      <c r="V237" s="222">
        <v>1</v>
      </c>
      <c r="W237" s="222">
        <v>0</v>
      </c>
      <c r="X237" s="222">
        <v>0</v>
      </c>
      <c r="Y237" s="222">
        <v>0</v>
      </c>
      <c r="Z237" s="222">
        <v>0</v>
      </c>
      <c r="AA237" s="222">
        <v>2</v>
      </c>
      <c r="AB237" s="222">
        <v>0</v>
      </c>
      <c r="AC237" s="222">
        <v>0</v>
      </c>
      <c r="AD237" s="222"/>
      <c r="AE237" s="222"/>
      <c r="AF237" s="223"/>
      <c r="AG237" s="224">
        <f t="shared" si="37"/>
        <v>16</v>
      </c>
    </row>
    <row r="238" spans="1:34" ht="21.75" x14ac:dyDescent="0.25">
      <c r="A238" s="225" t="s">
        <v>151</v>
      </c>
      <c r="B238" s="251">
        <v>3.6111111111111115E-2</v>
      </c>
      <c r="C238" s="251">
        <v>6.1805555555555558E-2</v>
      </c>
      <c r="D238" s="251">
        <v>3.6805555555555557E-2</v>
      </c>
      <c r="E238" s="251">
        <v>5.8333333333333327E-2</v>
      </c>
      <c r="F238" s="251">
        <v>8.2638888888888887E-2</v>
      </c>
      <c r="G238" s="251">
        <v>4.9305555555555554E-2</v>
      </c>
      <c r="H238" s="251">
        <v>6.8749999999999992E-2</v>
      </c>
      <c r="I238" s="251">
        <v>6.458333333333334E-2</v>
      </c>
      <c r="J238" s="251">
        <v>4.9305555555555554E-2</v>
      </c>
      <c r="K238" s="251">
        <v>5.2083333333333336E-2</v>
      </c>
      <c r="L238" s="251">
        <v>5.5555555555555552E-2</v>
      </c>
      <c r="M238" s="320">
        <v>6.6631944444444438E-2</v>
      </c>
      <c r="N238" s="251">
        <v>4.0023148148148148E-2</v>
      </c>
      <c r="O238" s="251">
        <v>8.1944444444444445E-2</v>
      </c>
      <c r="P238" s="251">
        <v>4.7916666666666663E-2</v>
      </c>
      <c r="Q238" s="251">
        <v>5.2777777777777778E-2</v>
      </c>
      <c r="R238" s="251">
        <v>7.2222222222222229E-2</v>
      </c>
      <c r="S238" s="251">
        <v>5.6944444444444443E-2</v>
      </c>
      <c r="T238" s="251">
        <v>6.1111111111111109E-2</v>
      </c>
      <c r="U238" s="251">
        <v>3.4027777777777775E-2</v>
      </c>
      <c r="V238" s="251">
        <v>4.5833333333333337E-2</v>
      </c>
      <c r="W238" s="251">
        <v>5.8333333333333327E-2</v>
      </c>
      <c r="X238" s="251">
        <v>4.7916666666666663E-2</v>
      </c>
      <c r="Y238" s="251">
        <v>5.0694444444444438E-2</v>
      </c>
      <c r="Z238" s="251">
        <v>5.3472222222222227E-2</v>
      </c>
      <c r="AA238" s="251">
        <v>5.2777777777777778E-2</v>
      </c>
      <c r="AB238" s="251">
        <v>6.5972222222222224E-2</v>
      </c>
      <c r="AC238" s="251">
        <v>7.4305555555555555E-2</v>
      </c>
      <c r="AD238" s="251"/>
      <c r="AE238" s="251"/>
      <c r="AF238" s="251"/>
      <c r="AG238" s="321">
        <f>SUM(B238:AF238)</f>
        <v>1.5781828703703704</v>
      </c>
    </row>
    <row r="239" spans="1:34" ht="22.5" thickBot="1" x14ac:dyDescent="0.3">
      <c r="A239" s="228" t="s">
        <v>152</v>
      </c>
      <c r="B239" s="252">
        <v>0.10416666666666667</v>
      </c>
      <c r="C239" s="252">
        <v>4.6527777777777779E-2</v>
      </c>
      <c r="D239" s="252">
        <v>2.6388888888888889E-2</v>
      </c>
      <c r="E239" s="252">
        <v>6.9444444444444448E-2</v>
      </c>
      <c r="F239" s="252">
        <v>0.10347222222222223</v>
      </c>
      <c r="G239" s="252">
        <v>5.9722222222222225E-2</v>
      </c>
      <c r="H239" s="252">
        <v>8.6111111111111124E-2</v>
      </c>
      <c r="I239" s="252">
        <v>8.4027777777777771E-2</v>
      </c>
      <c r="J239" s="252">
        <v>4.3750000000000004E-2</v>
      </c>
      <c r="K239" s="252">
        <v>4.027777777777778E-2</v>
      </c>
      <c r="L239" s="252">
        <v>5.9722222222222225E-2</v>
      </c>
      <c r="M239" s="322">
        <v>7.3611111111111113E-2</v>
      </c>
      <c r="N239" s="252">
        <v>4.116898148148148E-2</v>
      </c>
      <c r="O239" s="252">
        <v>9.4444444444444442E-2</v>
      </c>
      <c r="P239" s="252">
        <v>5.3472222222222227E-2</v>
      </c>
      <c r="Q239" s="252">
        <v>4.7222222222222221E-2</v>
      </c>
      <c r="R239" s="252">
        <v>6.805555555555555E-2</v>
      </c>
      <c r="S239" s="252">
        <v>6.458333333333334E-2</v>
      </c>
      <c r="T239" s="252">
        <v>6.25E-2</v>
      </c>
      <c r="U239" s="252">
        <v>3.5416666666666666E-2</v>
      </c>
      <c r="V239" s="252">
        <v>4.8611111111111112E-2</v>
      </c>
      <c r="W239" s="252">
        <v>7.013888888888889E-2</v>
      </c>
      <c r="X239" s="252">
        <v>4.0972222222222222E-2</v>
      </c>
      <c r="Y239" s="252">
        <v>5.1388888888888894E-2</v>
      </c>
      <c r="Z239" s="252">
        <v>6.3888888888888898E-2</v>
      </c>
      <c r="AA239" s="252">
        <v>5.7638888888888885E-2</v>
      </c>
      <c r="AB239" s="252">
        <v>8.4027777777777771E-2</v>
      </c>
      <c r="AC239" s="252">
        <v>8.6805555555555566E-2</v>
      </c>
      <c r="AD239" s="252"/>
      <c r="AE239" s="252"/>
      <c r="AF239" s="252"/>
      <c r="AG239" s="323">
        <f>SUM(B239:AF239)</f>
        <v>1.7675578703703705</v>
      </c>
    </row>
    <row r="240" spans="1:34" x14ac:dyDescent="0.25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318" t="s">
        <v>72</v>
      </c>
      <c r="B241" s="259">
        <v>0</v>
      </c>
      <c r="C241" s="259">
        <v>0</v>
      </c>
      <c r="D241" s="259">
        <v>0</v>
      </c>
      <c r="E241" s="259">
        <v>0</v>
      </c>
      <c r="F241" s="259">
        <v>0</v>
      </c>
      <c r="G241" s="324">
        <v>0.12569444444444444</v>
      </c>
      <c r="H241" s="259">
        <v>0</v>
      </c>
      <c r="I241" s="259">
        <v>0</v>
      </c>
      <c r="J241" s="259">
        <v>1.3888888888888888E-2</v>
      </c>
      <c r="K241" s="259">
        <v>0</v>
      </c>
      <c r="L241" s="259">
        <v>0</v>
      </c>
      <c r="M241" s="259">
        <v>0</v>
      </c>
      <c r="N241" s="259">
        <v>0</v>
      </c>
      <c r="O241" s="259">
        <v>0</v>
      </c>
      <c r="P241" s="259">
        <v>0</v>
      </c>
      <c r="Q241" s="259">
        <v>0</v>
      </c>
      <c r="R241" s="259">
        <v>6.9444444444444448E-2</v>
      </c>
      <c r="S241" s="259">
        <v>0</v>
      </c>
      <c r="T241" s="259">
        <v>0</v>
      </c>
      <c r="U241" s="259">
        <v>0</v>
      </c>
      <c r="V241" s="259">
        <v>0</v>
      </c>
      <c r="W241" s="259">
        <v>0</v>
      </c>
      <c r="X241" s="259">
        <v>0</v>
      </c>
      <c r="Y241" s="259">
        <v>0</v>
      </c>
      <c r="Z241" s="259">
        <v>0</v>
      </c>
      <c r="AA241" s="259">
        <v>0</v>
      </c>
      <c r="AB241" s="259">
        <v>0</v>
      </c>
      <c r="AC241" s="259">
        <v>0</v>
      </c>
      <c r="AD241" s="259"/>
      <c r="AE241" s="259"/>
      <c r="AF241" s="259"/>
      <c r="AG241" s="319">
        <f>AVERAGE(B241:AF241)</f>
        <v>7.4652777777777781E-3</v>
      </c>
    </row>
    <row r="242" spans="1:33" ht="23.25" x14ac:dyDescent="0.35">
      <c r="A242" s="318" t="s">
        <v>73</v>
      </c>
      <c r="B242" s="259">
        <v>0</v>
      </c>
      <c r="C242" s="259">
        <v>6.9444444444444447E-4</v>
      </c>
      <c r="D242" s="259">
        <v>0</v>
      </c>
      <c r="E242" s="259">
        <v>1.1111111111111112E-2</v>
      </c>
      <c r="F242" s="259">
        <v>2.7777777777777776E-2</v>
      </c>
      <c r="G242" s="259">
        <v>1.1805555555555555E-2</v>
      </c>
      <c r="H242" s="259">
        <v>2.6388888888888889E-2</v>
      </c>
      <c r="I242" s="259">
        <v>1.2499999999999999E-2</v>
      </c>
      <c r="J242" s="259">
        <v>1.5277777777777777E-2</v>
      </c>
      <c r="K242" s="259">
        <v>0</v>
      </c>
      <c r="L242" s="259">
        <v>0</v>
      </c>
      <c r="M242" s="259">
        <v>3.3333333333333333E-2</v>
      </c>
      <c r="N242" s="259">
        <v>0</v>
      </c>
      <c r="O242" s="259">
        <v>5.5555555555555558E-3</v>
      </c>
      <c r="P242" s="259">
        <v>0</v>
      </c>
      <c r="Q242" s="259">
        <v>1.0474537037037037E-2</v>
      </c>
      <c r="R242" s="259">
        <v>1.3888888888888888E-2</v>
      </c>
      <c r="S242" s="259">
        <v>0</v>
      </c>
      <c r="T242" s="259">
        <v>7.1527777777777773E-2</v>
      </c>
      <c r="U242" s="259">
        <v>0</v>
      </c>
      <c r="V242" s="259">
        <v>1.0416666666666666E-2</v>
      </c>
      <c r="W242" s="259">
        <v>0</v>
      </c>
      <c r="X242" s="259">
        <v>3.4722222222222224E-2</v>
      </c>
      <c r="Y242" s="259">
        <v>0</v>
      </c>
      <c r="Z242" s="259">
        <v>3.125E-2</v>
      </c>
      <c r="AA242" s="259">
        <v>2.4305555555555556E-2</v>
      </c>
      <c r="AB242" s="259">
        <v>0.13333333333333333</v>
      </c>
      <c r="AC242" s="259">
        <v>0</v>
      </c>
      <c r="AD242" s="259"/>
      <c r="AE242" s="259"/>
      <c r="AF242" s="259"/>
      <c r="AG242" s="319">
        <f>AVERAGE(B242:AF242)</f>
        <v>1.6941550925925926E-2</v>
      </c>
    </row>
    <row r="243" spans="1:33" ht="23.25" x14ac:dyDescent="0.35">
      <c r="A243" s="318" t="s">
        <v>74</v>
      </c>
      <c r="B243" s="259">
        <v>3.0555555555555555E-2</v>
      </c>
      <c r="C243" s="259">
        <v>2.9166666666666664E-2</v>
      </c>
      <c r="D243" s="259">
        <v>2.3715277777777776E-2</v>
      </c>
      <c r="E243" s="259">
        <v>2.1527777777777781E-2</v>
      </c>
      <c r="F243" s="259">
        <v>3.6111111111111115E-2</v>
      </c>
      <c r="G243" s="259">
        <v>3.6805555555555557E-2</v>
      </c>
      <c r="H243" s="259">
        <v>4.027777777777778E-2</v>
      </c>
      <c r="I243" s="259">
        <v>2.9166666666666664E-2</v>
      </c>
      <c r="J243" s="259">
        <v>2.7083333333333334E-2</v>
      </c>
      <c r="K243" s="259">
        <v>3.4143518518518517E-2</v>
      </c>
      <c r="L243" s="259">
        <v>3.4722222222222224E-2</v>
      </c>
      <c r="M243" s="259">
        <v>3.6458333333333336E-2</v>
      </c>
      <c r="N243" s="259">
        <v>1.5277777777777777E-2</v>
      </c>
      <c r="O243" s="259">
        <v>2.2916666666666669E-2</v>
      </c>
      <c r="P243" s="259">
        <v>2.9861111111111113E-2</v>
      </c>
      <c r="Q243" s="259">
        <v>3.4722222222222224E-2</v>
      </c>
      <c r="R243" s="259">
        <v>3.1944444444444449E-2</v>
      </c>
      <c r="S243" s="259">
        <v>5.2083333333333336E-2</v>
      </c>
      <c r="T243" s="259">
        <v>3.6805555555555557E-2</v>
      </c>
      <c r="U243" s="259">
        <v>1.5972222222222224E-2</v>
      </c>
      <c r="V243" s="259">
        <v>2.7777777777777776E-2</v>
      </c>
      <c r="W243" s="259">
        <v>2.4502314814814814E-2</v>
      </c>
      <c r="X243" s="259">
        <v>3.3333333333333333E-2</v>
      </c>
      <c r="Y243" s="259">
        <v>2.1527777777777781E-2</v>
      </c>
      <c r="Z243" s="259">
        <v>2.361111111111111E-2</v>
      </c>
      <c r="AA243" s="259">
        <v>3.4027777777777775E-2</v>
      </c>
      <c r="AB243" s="259">
        <v>5.2777777777777778E-2</v>
      </c>
      <c r="AC243" s="259">
        <v>3.6111111111111115E-2</v>
      </c>
      <c r="AD243" s="259"/>
      <c r="AE243" s="259"/>
      <c r="AF243" s="259"/>
      <c r="AG243" s="319">
        <f>AVERAGE(B243:AF243)</f>
        <v>3.1178075396825402E-2</v>
      </c>
    </row>
    <row r="244" spans="1:33" ht="23.25" x14ac:dyDescent="0.35">
      <c r="A244" s="318" t="s">
        <v>75</v>
      </c>
      <c r="B244" s="259">
        <v>4.4444444444444446E-2</v>
      </c>
      <c r="C244" s="259">
        <v>5.3472222222222227E-2</v>
      </c>
      <c r="D244" s="259">
        <v>3.0555555555555555E-2</v>
      </c>
      <c r="E244" s="259">
        <v>7.4999999999999997E-2</v>
      </c>
      <c r="F244" s="259">
        <v>0.11944444444444445</v>
      </c>
      <c r="G244" s="259">
        <v>7.4305555555555555E-2</v>
      </c>
      <c r="H244" s="259">
        <v>9.1666666666666674E-2</v>
      </c>
      <c r="I244" s="259">
        <v>9.9999999999999992E-2</v>
      </c>
      <c r="J244" s="259">
        <v>5.2083333333333336E-2</v>
      </c>
      <c r="K244" s="259">
        <v>4.3750000000000004E-2</v>
      </c>
      <c r="L244" s="259">
        <v>7.013888888888889E-2</v>
      </c>
      <c r="M244" s="259">
        <v>1.1284722222222223E-3</v>
      </c>
      <c r="N244" s="259">
        <v>5.2083333333333336E-2</v>
      </c>
      <c r="O244" s="259">
        <v>9.2361111111111116E-2</v>
      </c>
      <c r="P244" s="259">
        <v>7.013888888888889E-2</v>
      </c>
      <c r="Q244" s="259">
        <v>5.3472222222222227E-2</v>
      </c>
      <c r="R244" s="259">
        <v>7.9166666666666663E-2</v>
      </c>
      <c r="S244" s="259">
        <v>8.6111111111111124E-2</v>
      </c>
      <c r="T244" s="259">
        <v>7.4305555555555555E-2</v>
      </c>
      <c r="U244" s="259">
        <v>4.3750000000000004E-2</v>
      </c>
      <c r="V244" s="259">
        <v>5.6944444444444443E-2</v>
      </c>
      <c r="W244" s="259">
        <v>8.8888888888888892E-2</v>
      </c>
      <c r="X244" s="259">
        <v>4.2361111111111106E-2</v>
      </c>
      <c r="Y244" s="259">
        <v>5.2083333333333336E-2</v>
      </c>
      <c r="Z244" s="259">
        <v>7.2222222222222229E-2</v>
      </c>
      <c r="AA244" s="259">
        <v>5.9722222222222225E-2</v>
      </c>
      <c r="AB244" s="259">
        <v>0.10972222222222222</v>
      </c>
      <c r="AC244" s="259">
        <v>9.6527777777777782E-2</v>
      </c>
      <c r="AD244" s="259"/>
      <c r="AE244" s="259"/>
      <c r="AF244" s="259"/>
      <c r="AG244" s="319">
        <f>AVERAGE(B244:AF244)</f>
        <v>6.7351810515873009E-2</v>
      </c>
    </row>
    <row r="245" spans="1:33" ht="23.25" x14ac:dyDescent="0.35">
      <c r="A245" s="318" t="s">
        <v>76</v>
      </c>
      <c r="B245" s="259">
        <v>4.6527777777777779E-2</v>
      </c>
      <c r="C245" s="259">
        <v>5.9027777777777783E-2</v>
      </c>
      <c r="D245" s="259">
        <v>4.1863425925925929E-2</v>
      </c>
      <c r="E245" s="259">
        <v>0.13402777777777777</v>
      </c>
      <c r="F245" s="259">
        <v>0.16111111111111112</v>
      </c>
      <c r="G245" s="259">
        <v>6.0416666666666667E-2</v>
      </c>
      <c r="H245" s="259">
        <v>0.15972222222222224</v>
      </c>
      <c r="I245" s="259">
        <v>0.10069444444444443</v>
      </c>
      <c r="J245" s="259">
        <v>6.7361111111111108E-2</v>
      </c>
      <c r="K245" s="259">
        <v>5.9027777777777783E-2</v>
      </c>
      <c r="L245" s="259">
        <v>0.11944444444444445</v>
      </c>
      <c r="M245" s="259">
        <v>0.17991898148148147</v>
      </c>
      <c r="N245" s="259">
        <v>2.2916666666666669E-2</v>
      </c>
      <c r="O245" s="259">
        <v>0.19097222222222221</v>
      </c>
      <c r="P245" s="259">
        <v>4.7916666666666663E-2</v>
      </c>
      <c r="Q245" s="259">
        <v>7.2222222222222229E-2</v>
      </c>
      <c r="R245" s="259">
        <v>0.10347222222222223</v>
      </c>
      <c r="S245" s="259">
        <v>0.10208333333333335</v>
      </c>
      <c r="T245" s="259">
        <v>0.17013888888888887</v>
      </c>
      <c r="U245" s="259">
        <v>5.3472222222222227E-2</v>
      </c>
      <c r="V245" s="259">
        <v>7.0833333333333331E-2</v>
      </c>
      <c r="W245" s="259">
        <v>6.0416666666666667E-2</v>
      </c>
      <c r="X245" s="259">
        <v>8.819444444444445E-2</v>
      </c>
      <c r="Y245" s="259">
        <v>8.2638888888888887E-2</v>
      </c>
      <c r="Z245" s="259">
        <v>9.9999999999999992E-2</v>
      </c>
      <c r="AA245" s="259">
        <v>0.1111111111111111</v>
      </c>
      <c r="AB245" s="259">
        <v>7.1527777777777773E-2</v>
      </c>
      <c r="AC245" s="259">
        <v>0.17013888888888887</v>
      </c>
      <c r="AD245" s="259"/>
      <c r="AE245" s="259"/>
      <c r="AF245" s="259"/>
      <c r="AG245" s="319">
        <f>AVERAGE(B245:AF245)</f>
        <v>9.6685681216931219E-2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116" priority="6" operator="lessThan">
      <formula>0</formula>
    </cfRule>
  </conditionalFormatting>
  <conditionalFormatting sqref="D54:D77">
    <cfRule type="cellIs" dxfId="115" priority="2" operator="lessThan">
      <formula>0</formula>
    </cfRule>
  </conditionalFormatting>
  <conditionalFormatting sqref="G54:G77">
    <cfRule type="cellIs" dxfId="114" priority="1" operator="lessThan">
      <formula>0</formula>
    </cfRule>
  </conditionalFormatting>
  <conditionalFormatting sqref="AH81">
    <cfRule type="cellIs" dxfId="113" priority="4" operator="equal">
      <formula>"*"</formula>
    </cfRule>
  </conditionalFormatting>
  <conditionalFormatting sqref="AH84 AH87">
    <cfRule type="cellIs" dxfId="112" priority="5" operator="equal">
      <formula>"*"</formula>
    </cfRule>
  </conditionalFormatting>
  <conditionalFormatting sqref="AH93">
    <cfRule type="cellIs" dxfId="111" priority="10" operator="equal">
      <formula>"*"</formula>
    </cfRule>
  </conditionalFormatting>
  <conditionalFormatting sqref="AH130">
    <cfRule type="cellIs" dxfId="110" priority="8" operator="equal">
      <formula>"*"</formula>
    </cfRule>
  </conditionalFormatting>
  <conditionalFormatting sqref="AH144:AH145">
    <cfRule type="cellIs" dxfId="109" priority="9" operator="equal">
      <formula>"*"</formula>
    </cfRule>
  </conditionalFormatting>
  <conditionalFormatting sqref="AH179">
    <cfRule type="cellIs" dxfId="108" priority="7" operator="equal">
      <formula>"*"</formula>
    </cfRule>
  </conditionalFormatting>
  <conditionalFormatting sqref="AH204">
    <cfRule type="cellIs" dxfId="107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4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75"/>
  <sheetViews>
    <sheetView zoomScale="80" zoomScaleNormal="80" workbookViewId="0">
      <pane xSplit="1" ySplit="3" topLeftCell="F10" activePane="bottomRight" state="frozen"/>
      <selection sqref="A1:AG1"/>
      <selection pane="topRight" sqref="A1:AG1"/>
      <selection pane="bottomLeft" sqref="A1:AG1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155</v>
      </c>
      <c r="B2" s="234">
        <v>1</v>
      </c>
      <c r="C2" s="106">
        <f t="shared" ref="C2:AA2" si="0">+B2+1</f>
        <v>2</v>
      </c>
      <c r="D2" s="106">
        <f t="shared" si="0"/>
        <v>3</v>
      </c>
      <c r="E2" s="234">
        <f t="shared" si="0"/>
        <v>4</v>
      </c>
      <c r="F2" s="234">
        <f t="shared" si="0"/>
        <v>5</v>
      </c>
      <c r="G2" s="234">
        <f t="shared" si="0"/>
        <v>6</v>
      </c>
      <c r="H2" s="234">
        <f t="shared" si="0"/>
        <v>7</v>
      </c>
      <c r="I2" s="234">
        <f t="shared" si="0"/>
        <v>8</v>
      </c>
      <c r="J2" s="106">
        <f t="shared" si="0"/>
        <v>9</v>
      </c>
      <c r="K2" s="106">
        <f t="shared" si="0"/>
        <v>10</v>
      </c>
      <c r="L2" s="234">
        <f t="shared" si="0"/>
        <v>11</v>
      </c>
      <c r="M2" s="234">
        <f t="shared" si="0"/>
        <v>12</v>
      </c>
      <c r="N2" s="234">
        <f t="shared" si="0"/>
        <v>13</v>
      </c>
      <c r="O2" s="234">
        <f t="shared" si="0"/>
        <v>14</v>
      </c>
      <c r="P2" s="234">
        <f t="shared" si="0"/>
        <v>15</v>
      </c>
      <c r="Q2" s="106">
        <f t="shared" si="0"/>
        <v>16</v>
      </c>
      <c r="R2" s="106">
        <f t="shared" si="0"/>
        <v>17</v>
      </c>
      <c r="S2" s="234">
        <f t="shared" si="0"/>
        <v>18</v>
      </c>
      <c r="T2" s="234">
        <f t="shared" si="0"/>
        <v>19</v>
      </c>
      <c r="U2" s="234">
        <f t="shared" si="0"/>
        <v>20</v>
      </c>
      <c r="V2" s="234">
        <f t="shared" si="0"/>
        <v>21</v>
      </c>
      <c r="W2" s="234">
        <f t="shared" si="0"/>
        <v>22</v>
      </c>
      <c r="X2" s="106">
        <f t="shared" si="0"/>
        <v>23</v>
      </c>
      <c r="Y2" s="106">
        <f t="shared" si="0"/>
        <v>24</v>
      </c>
      <c r="Z2" s="234">
        <f t="shared" si="0"/>
        <v>25</v>
      </c>
      <c r="AA2" s="234">
        <f t="shared" si="0"/>
        <v>26</v>
      </c>
      <c r="AB2" s="234">
        <v>27</v>
      </c>
      <c r="AC2" s="234">
        <f>+AB2+1</f>
        <v>28</v>
      </c>
      <c r="AD2" s="234">
        <v>29</v>
      </c>
      <c r="AE2" s="106">
        <v>30</v>
      </c>
      <c r="AF2" s="106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188</v>
      </c>
      <c r="C3" s="135">
        <f t="shared" si="1"/>
        <v>224</v>
      </c>
      <c r="D3" s="135">
        <f t="shared" si="1"/>
        <v>197</v>
      </c>
      <c r="E3" s="135">
        <f t="shared" si="1"/>
        <v>186</v>
      </c>
      <c r="F3" s="135">
        <f t="shared" si="1"/>
        <v>185</v>
      </c>
      <c r="G3" s="135">
        <f t="shared" si="1"/>
        <v>168</v>
      </c>
      <c r="H3" s="135">
        <f t="shared" si="1"/>
        <v>174</v>
      </c>
      <c r="I3" s="135">
        <f t="shared" si="1"/>
        <v>167</v>
      </c>
      <c r="J3" s="135">
        <f t="shared" si="1"/>
        <v>224</v>
      </c>
      <c r="K3" s="135">
        <f t="shared" si="1"/>
        <v>198</v>
      </c>
      <c r="L3" s="135">
        <f t="shared" si="1"/>
        <v>197</v>
      </c>
      <c r="M3" s="135">
        <f t="shared" si="1"/>
        <v>191</v>
      </c>
      <c r="N3" s="135">
        <f t="shared" si="1"/>
        <v>192</v>
      </c>
      <c r="O3" s="135">
        <f t="shared" si="1"/>
        <v>166</v>
      </c>
      <c r="P3" s="135">
        <f t="shared" si="1"/>
        <v>182</v>
      </c>
      <c r="Q3" s="135">
        <f t="shared" si="1"/>
        <v>269</v>
      </c>
      <c r="R3" s="135">
        <f t="shared" si="1"/>
        <v>246</v>
      </c>
      <c r="S3" s="135">
        <f t="shared" si="1"/>
        <v>227</v>
      </c>
      <c r="T3" s="135">
        <f t="shared" si="1"/>
        <v>221</v>
      </c>
      <c r="U3" s="135">
        <f t="shared" si="1"/>
        <v>202</v>
      </c>
      <c r="V3" s="135">
        <f t="shared" si="1"/>
        <v>200</v>
      </c>
      <c r="W3" s="135">
        <f t="shared" si="1"/>
        <v>208</v>
      </c>
      <c r="X3" s="135">
        <f t="shared" si="1"/>
        <v>249</v>
      </c>
      <c r="Y3" s="135">
        <f t="shared" si="1"/>
        <v>247</v>
      </c>
      <c r="Z3" s="135">
        <f t="shared" si="1"/>
        <v>274</v>
      </c>
      <c r="AA3" s="135">
        <f t="shared" si="1"/>
        <v>207</v>
      </c>
      <c r="AB3" s="135">
        <f t="shared" si="1"/>
        <v>190</v>
      </c>
      <c r="AC3" s="135">
        <f t="shared" si="1"/>
        <v>176</v>
      </c>
      <c r="AD3" s="135">
        <f t="shared" si="1"/>
        <v>208</v>
      </c>
      <c r="AE3" s="135">
        <f t="shared" si="1"/>
        <v>248</v>
      </c>
      <c r="AF3" s="135">
        <f t="shared" si="1"/>
        <v>237</v>
      </c>
      <c r="AG3" s="187">
        <f>SUM(B3:AF3)</f>
        <v>6448</v>
      </c>
    </row>
    <row r="4" spans="1:33" ht="18.75" x14ac:dyDescent="0.25">
      <c r="A4" s="113" t="s">
        <v>54</v>
      </c>
      <c r="B4" s="114"/>
      <c r="C4" s="114">
        <v>8</v>
      </c>
      <c r="D4" s="114">
        <v>5</v>
      </c>
      <c r="E4" s="114"/>
      <c r="F4" s="114"/>
      <c r="G4" s="114"/>
      <c r="H4" s="114"/>
      <c r="I4" s="114"/>
      <c r="J4" s="114">
        <v>5</v>
      </c>
      <c r="K4" s="114">
        <v>4</v>
      </c>
      <c r="L4" s="114"/>
      <c r="M4" s="114"/>
      <c r="N4" s="114"/>
      <c r="O4" s="114"/>
      <c r="P4" s="114"/>
      <c r="Q4" s="114"/>
      <c r="R4" s="114">
        <v>4</v>
      </c>
      <c r="S4" s="114"/>
      <c r="T4" s="114"/>
      <c r="U4" s="114"/>
      <c r="V4" s="114"/>
      <c r="W4" s="114"/>
      <c r="X4" s="114">
        <v>15</v>
      </c>
      <c r="Y4" s="114">
        <v>2</v>
      </c>
      <c r="Z4" s="114"/>
      <c r="AA4" s="114"/>
      <c r="AB4" s="114"/>
      <c r="AC4" s="114"/>
      <c r="AD4" s="114"/>
      <c r="AE4" s="114">
        <v>9</v>
      </c>
      <c r="AF4" s="115">
        <v>2</v>
      </c>
      <c r="AG4" s="132">
        <f t="shared" ref="AG4:AG83" si="2">SUM(B4:AF4)</f>
        <v>54</v>
      </c>
    </row>
    <row r="5" spans="1:33" ht="18.75" x14ac:dyDescent="0.25">
      <c r="A5" s="41" t="s">
        <v>55</v>
      </c>
      <c r="B5" s="7"/>
      <c r="C5" s="7">
        <v>6</v>
      </c>
      <c r="D5" s="7">
        <v>4</v>
      </c>
      <c r="E5" s="7"/>
      <c r="F5" s="7"/>
      <c r="G5" s="7"/>
      <c r="H5" s="7"/>
      <c r="I5" s="7"/>
      <c r="J5" s="7">
        <v>7</v>
      </c>
      <c r="K5" s="7">
        <v>9</v>
      </c>
      <c r="L5" s="7"/>
      <c r="M5" s="7"/>
      <c r="N5" s="7"/>
      <c r="O5" s="7"/>
      <c r="P5" s="7"/>
      <c r="Q5" s="7">
        <v>4</v>
      </c>
      <c r="R5" s="7">
        <v>12</v>
      </c>
      <c r="S5" s="7"/>
      <c r="T5" s="7"/>
      <c r="U5" s="7"/>
      <c r="V5" s="7"/>
      <c r="W5" s="7"/>
      <c r="X5" s="7">
        <v>9</v>
      </c>
      <c r="Y5" s="7">
        <v>7</v>
      </c>
      <c r="Z5" s="7"/>
      <c r="AA5" s="7"/>
      <c r="AB5" s="7"/>
      <c r="AC5" s="7"/>
      <c r="AD5" s="7"/>
      <c r="AE5" s="7">
        <v>10</v>
      </c>
      <c r="AF5" s="8">
        <v>13</v>
      </c>
      <c r="AG5" s="4">
        <f t="shared" si="2"/>
        <v>81</v>
      </c>
    </row>
    <row r="6" spans="1:33" ht="18.75" x14ac:dyDescent="0.25">
      <c r="A6" s="41" t="s">
        <v>56</v>
      </c>
      <c r="B6" s="7"/>
      <c r="C6" s="7">
        <v>11</v>
      </c>
      <c r="D6" s="7">
        <v>12</v>
      </c>
      <c r="E6" s="7">
        <v>1</v>
      </c>
      <c r="F6" s="7"/>
      <c r="G6" s="7"/>
      <c r="H6" s="7"/>
      <c r="I6" s="7"/>
      <c r="J6" s="7">
        <v>12</v>
      </c>
      <c r="K6" s="7">
        <v>6</v>
      </c>
      <c r="L6" s="7"/>
      <c r="M6" s="7"/>
      <c r="N6" s="7"/>
      <c r="O6" s="7"/>
      <c r="P6" s="7"/>
      <c r="Q6" s="7">
        <v>6</v>
      </c>
      <c r="R6" s="7">
        <v>12</v>
      </c>
      <c r="S6" s="7"/>
      <c r="T6" s="7"/>
      <c r="U6" s="7"/>
      <c r="V6" s="7"/>
      <c r="W6" s="7"/>
      <c r="X6" s="7">
        <v>8</v>
      </c>
      <c r="Y6" s="7">
        <v>12</v>
      </c>
      <c r="Z6" s="7"/>
      <c r="AA6" s="7"/>
      <c r="AB6" s="7"/>
      <c r="AC6" s="7"/>
      <c r="AD6" s="7"/>
      <c r="AE6" s="7">
        <v>11</v>
      </c>
      <c r="AF6" s="8">
        <v>17</v>
      </c>
      <c r="AG6" s="4">
        <f t="shared" si="2"/>
        <v>108</v>
      </c>
    </row>
    <row r="7" spans="1:33" ht="18.75" x14ac:dyDescent="0.25">
      <c r="A7" s="41" t="s">
        <v>38</v>
      </c>
      <c r="B7" s="7">
        <v>7</v>
      </c>
      <c r="C7" s="7">
        <v>21</v>
      </c>
      <c r="D7" s="7">
        <v>16</v>
      </c>
      <c r="E7" s="7">
        <v>9</v>
      </c>
      <c r="F7" s="7">
        <v>15</v>
      </c>
      <c r="G7" s="7">
        <v>8</v>
      </c>
      <c r="H7" s="7">
        <v>16</v>
      </c>
      <c r="I7" s="7">
        <v>3</v>
      </c>
      <c r="J7" s="7">
        <v>16</v>
      </c>
      <c r="K7" s="7">
        <v>17</v>
      </c>
      <c r="L7" s="7">
        <v>9</v>
      </c>
      <c r="M7" s="7">
        <v>16</v>
      </c>
      <c r="N7" s="7">
        <v>12</v>
      </c>
      <c r="O7" s="7">
        <v>8</v>
      </c>
      <c r="P7" s="7">
        <v>14</v>
      </c>
      <c r="Q7" s="7">
        <v>31</v>
      </c>
      <c r="R7" s="7">
        <v>28</v>
      </c>
      <c r="S7" s="7">
        <v>11</v>
      </c>
      <c r="T7" s="7">
        <v>11</v>
      </c>
      <c r="U7" s="7">
        <v>8</v>
      </c>
      <c r="V7" s="7">
        <v>9</v>
      </c>
      <c r="W7" s="7">
        <v>5</v>
      </c>
      <c r="X7" s="7">
        <v>18</v>
      </c>
      <c r="Y7" s="7">
        <v>28</v>
      </c>
      <c r="Z7" s="7">
        <v>14</v>
      </c>
      <c r="AA7" s="7">
        <v>13</v>
      </c>
      <c r="AB7" s="7">
        <v>7</v>
      </c>
      <c r="AC7" s="7">
        <v>12</v>
      </c>
      <c r="AD7" s="7">
        <v>9</v>
      </c>
      <c r="AE7" s="7">
        <v>14</v>
      </c>
      <c r="AF7" s="8">
        <v>13</v>
      </c>
      <c r="AG7" s="4">
        <f t="shared" si="2"/>
        <v>418</v>
      </c>
    </row>
    <row r="8" spans="1:33" ht="18.75" x14ac:dyDescent="0.25">
      <c r="A8" s="41" t="s">
        <v>39</v>
      </c>
      <c r="B8" s="7">
        <v>15</v>
      </c>
      <c r="C8" s="7">
        <v>9</v>
      </c>
      <c r="D8" s="7">
        <v>13</v>
      </c>
      <c r="E8" s="7">
        <v>7</v>
      </c>
      <c r="F8" s="7">
        <v>3</v>
      </c>
      <c r="G8" s="7">
        <v>2</v>
      </c>
      <c r="H8" s="7">
        <v>2</v>
      </c>
      <c r="I8" s="7">
        <v>3</v>
      </c>
      <c r="J8" s="7">
        <v>7</v>
      </c>
      <c r="K8" s="7">
        <v>17</v>
      </c>
      <c r="L8" s="7">
        <v>6</v>
      </c>
      <c r="M8" s="7">
        <v>7</v>
      </c>
      <c r="N8" s="7"/>
      <c r="O8" s="7">
        <v>5</v>
      </c>
      <c r="P8" s="7">
        <v>4</v>
      </c>
      <c r="Q8" s="7">
        <v>10</v>
      </c>
      <c r="R8" s="7">
        <v>18</v>
      </c>
      <c r="S8" s="7">
        <v>9</v>
      </c>
      <c r="T8" s="7">
        <v>4</v>
      </c>
      <c r="U8" s="7">
        <v>10</v>
      </c>
      <c r="V8" s="7">
        <v>1</v>
      </c>
      <c r="W8" s="7">
        <v>8</v>
      </c>
      <c r="X8" s="7">
        <v>21</v>
      </c>
      <c r="Y8" s="7">
        <v>17</v>
      </c>
      <c r="Z8" s="7">
        <v>11</v>
      </c>
      <c r="AA8" s="7">
        <v>4</v>
      </c>
      <c r="AB8" s="7">
        <v>4</v>
      </c>
      <c r="AC8" s="7">
        <v>3</v>
      </c>
      <c r="AD8" s="7">
        <v>5</v>
      </c>
      <c r="AE8" s="7">
        <v>21</v>
      </c>
      <c r="AF8" s="8">
        <v>21</v>
      </c>
      <c r="AG8" s="4">
        <f t="shared" si="2"/>
        <v>267</v>
      </c>
    </row>
    <row r="9" spans="1:33" ht="18.75" x14ac:dyDescent="0.25">
      <c r="A9" s="41" t="s">
        <v>40</v>
      </c>
      <c r="B9" s="7">
        <v>4</v>
      </c>
      <c r="C9" s="7">
        <v>15</v>
      </c>
      <c r="D9" s="7">
        <v>9</v>
      </c>
      <c r="E9" s="7">
        <v>4</v>
      </c>
      <c r="F9" s="7">
        <v>1</v>
      </c>
      <c r="G9" s="7">
        <v>6</v>
      </c>
      <c r="H9" s="7">
        <v>2</v>
      </c>
      <c r="I9" s="7">
        <v>4</v>
      </c>
      <c r="J9" s="7">
        <v>12</v>
      </c>
      <c r="K9" s="7">
        <v>7</v>
      </c>
      <c r="L9" s="7">
        <v>3</v>
      </c>
      <c r="M9" s="7">
        <v>4</v>
      </c>
      <c r="N9" s="7">
        <v>4</v>
      </c>
      <c r="O9" s="7">
        <v>3</v>
      </c>
      <c r="P9" s="7">
        <v>4</v>
      </c>
      <c r="Q9" s="7">
        <v>5</v>
      </c>
      <c r="R9" s="7">
        <v>14</v>
      </c>
      <c r="S9" s="7">
        <v>3</v>
      </c>
      <c r="T9" s="7">
        <v>5</v>
      </c>
      <c r="U9" s="7">
        <v>4</v>
      </c>
      <c r="V9" s="7">
        <v>3</v>
      </c>
      <c r="W9" s="7">
        <v>3</v>
      </c>
      <c r="X9" s="7">
        <v>9</v>
      </c>
      <c r="Y9" s="7">
        <v>13</v>
      </c>
      <c r="Z9" s="7">
        <v>7</v>
      </c>
      <c r="AA9" s="7">
        <v>6</v>
      </c>
      <c r="AB9" s="7">
        <v>6</v>
      </c>
      <c r="AC9" s="7">
        <v>2</v>
      </c>
      <c r="AD9" s="7">
        <v>2</v>
      </c>
      <c r="AE9" s="7">
        <v>17</v>
      </c>
      <c r="AF9" s="8">
        <v>10</v>
      </c>
      <c r="AG9" s="4">
        <f t="shared" si="2"/>
        <v>191</v>
      </c>
    </row>
    <row r="10" spans="1:33" ht="18.75" x14ac:dyDescent="0.25">
      <c r="A10" s="41" t="s">
        <v>41</v>
      </c>
      <c r="B10" s="7">
        <v>3</v>
      </c>
      <c r="C10" s="7">
        <v>11</v>
      </c>
      <c r="D10" s="7">
        <v>9</v>
      </c>
      <c r="E10" s="7">
        <v>5</v>
      </c>
      <c r="F10" s="7">
        <v>6</v>
      </c>
      <c r="G10" s="7">
        <v>1</v>
      </c>
      <c r="H10" s="7">
        <v>5</v>
      </c>
      <c r="I10" s="7">
        <v>2</v>
      </c>
      <c r="J10" s="7">
        <v>11</v>
      </c>
      <c r="K10" s="7">
        <v>8</v>
      </c>
      <c r="L10" s="7">
        <v>3</v>
      </c>
      <c r="M10" s="7">
        <v>3</v>
      </c>
      <c r="N10" s="7">
        <v>6</v>
      </c>
      <c r="O10" s="7">
        <v>4</v>
      </c>
      <c r="P10" s="7"/>
      <c r="Q10" s="7">
        <v>32</v>
      </c>
      <c r="R10" s="7">
        <v>13</v>
      </c>
      <c r="S10" s="7">
        <v>1</v>
      </c>
      <c r="T10" s="7">
        <v>4</v>
      </c>
      <c r="U10" s="7">
        <v>6</v>
      </c>
      <c r="V10" s="7">
        <v>4</v>
      </c>
      <c r="W10" s="7">
        <v>5</v>
      </c>
      <c r="X10" s="7">
        <v>15</v>
      </c>
      <c r="Y10" s="7">
        <v>19</v>
      </c>
      <c r="Z10" s="7">
        <v>7</v>
      </c>
      <c r="AA10" s="7">
        <v>6</v>
      </c>
      <c r="AB10" s="7">
        <v>4</v>
      </c>
      <c r="AC10" s="7">
        <v>5</v>
      </c>
      <c r="AD10" s="7">
        <v>5</v>
      </c>
      <c r="AE10" s="7">
        <v>11</v>
      </c>
      <c r="AF10" s="8">
        <v>19</v>
      </c>
      <c r="AG10" s="4">
        <f t="shared" si="2"/>
        <v>233</v>
      </c>
    </row>
    <row r="11" spans="1:33" ht="18.75" x14ac:dyDescent="0.25">
      <c r="A11" s="41" t="s">
        <v>42</v>
      </c>
      <c r="B11" s="7">
        <v>2</v>
      </c>
      <c r="C11" s="7">
        <v>14</v>
      </c>
      <c r="D11" s="7">
        <v>13</v>
      </c>
      <c r="E11" s="7">
        <v>3</v>
      </c>
      <c r="F11" s="7">
        <v>9</v>
      </c>
      <c r="G11" s="7">
        <v>8</v>
      </c>
      <c r="H11" s="7">
        <v>4</v>
      </c>
      <c r="I11" s="7">
        <v>2</v>
      </c>
      <c r="J11" s="7">
        <v>10</v>
      </c>
      <c r="K11" s="7">
        <v>12</v>
      </c>
      <c r="L11" s="7">
        <v>7</v>
      </c>
      <c r="M11" s="7">
        <v>6</v>
      </c>
      <c r="N11" s="7">
        <v>8</v>
      </c>
      <c r="O11" s="7">
        <v>3</v>
      </c>
      <c r="P11" s="7">
        <v>2</v>
      </c>
      <c r="Q11" s="7">
        <v>23</v>
      </c>
      <c r="R11" s="7">
        <v>10</v>
      </c>
      <c r="S11" s="7">
        <v>2</v>
      </c>
      <c r="T11" s="7">
        <v>7</v>
      </c>
      <c r="U11" s="7">
        <v>4</v>
      </c>
      <c r="V11" s="7">
        <v>2</v>
      </c>
      <c r="W11" s="7">
        <v>2</v>
      </c>
      <c r="X11" s="7">
        <v>18</v>
      </c>
      <c r="Y11" s="7">
        <v>16</v>
      </c>
      <c r="Z11" s="7">
        <v>4</v>
      </c>
      <c r="AA11" s="7">
        <v>4</v>
      </c>
      <c r="AB11" s="7">
        <v>5</v>
      </c>
      <c r="AC11" s="7">
        <v>4</v>
      </c>
      <c r="AD11" s="7">
        <v>6</v>
      </c>
      <c r="AE11" s="7">
        <v>19</v>
      </c>
      <c r="AF11" s="8">
        <v>19</v>
      </c>
      <c r="AG11" s="4">
        <f t="shared" si="2"/>
        <v>248</v>
      </c>
    </row>
    <row r="12" spans="1:33" ht="18.75" x14ac:dyDescent="0.25">
      <c r="A12" s="41" t="s">
        <v>43</v>
      </c>
      <c r="B12" s="7">
        <v>4</v>
      </c>
      <c r="C12" s="7">
        <v>14</v>
      </c>
      <c r="D12" s="7">
        <v>20</v>
      </c>
      <c r="E12" s="7">
        <v>2</v>
      </c>
      <c r="F12" s="7">
        <v>5</v>
      </c>
      <c r="G12" s="7">
        <v>4</v>
      </c>
      <c r="H12" s="7">
        <v>3</v>
      </c>
      <c r="I12" s="7">
        <v>3</v>
      </c>
      <c r="J12" s="7">
        <v>22</v>
      </c>
      <c r="K12" s="7">
        <v>15</v>
      </c>
      <c r="L12" s="7">
        <v>3</v>
      </c>
      <c r="M12" s="7">
        <v>2</v>
      </c>
      <c r="N12" s="7">
        <v>5</v>
      </c>
      <c r="O12" s="7">
        <v>1</v>
      </c>
      <c r="P12" s="7">
        <v>2</v>
      </c>
      <c r="Q12" s="7">
        <v>28</v>
      </c>
      <c r="R12" s="7">
        <v>20</v>
      </c>
      <c r="S12" s="7">
        <v>1</v>
      </c>
      <c r="T12" s="7">
        <v>4</v>
      </c>
      <c r="U12" s="7">
        <v>2</v>
      </c>
      <c r="V12" s="7">
        <v>7</v>
      </c>
      <c r="W12" s="7">
        <v>5</v>
      </c>
      <c r="X12" s="7">
        <v>23</v>
      </c>
      <c r="Y12" s="7">
        <v>24</v>
      </c>
      <c r="Z12" s="7">
        <v>5</v>
      </c>
      <c r="AA12" s="7">
        <v>5</v>
      </c>
      <c r="AB12" s="7"/>
      <c r="AC12" s="7">
        <v>1</v>
      </c>
      <c r="AD12" s="7">
        <v>3</v>
      </c>
      <c r="AE12" s="7">
        <v>12</v>
      </c>
      <c r="AF12" s="8">
        <v>16</v>
      </c>
      <c r="AG12" s="4">
        <f t="shared" si="2"/>
        <v>261</v>
      </c>
    </row>
    <row r="13" spans="1:33" ht="18.75" x14ac:dyDescent="0.25">
      <c r="A13" s="41" t="s">
        <v>44</v>
      </c>
      <c r="B13" s="7">
        <v>41</v>
      </c>
      <c r="C13" s="7">
        <v>13</v>
      </c>
      <c r="D13" s="7">
        <v>11</v>
      </c>
      <c r="E13" s="7">
        <v>43</v>
      </c>
      <c r="F13" s="7">
        <v>46</v>
      </c>
      <c r="G13" s="7">
        <v>45</v>
      </c>
      <c r="H13" s="7">
        <v>50</v>
      </c>
      <c r="I13" s="7">
        <v>36</v>
      </c>
      <c r="J13" s="7">
        <v>19</v>
      </c>
      <c r="K13" s="7">
        <v>13</v>
      </c>
      <c r="L13" s="7">
        <v>46</v>
      </c>
      <c r="M13" s="7">
        <v>52</v>
      </c>
      <c r="N13" s="7">
        <v>48</v>
      </c>
      <c r="O13" s="7">
        <v>52</v>
      </c>
      <c r="P13" s="7">
        <v>48</v>
      </c>
      <c r="Q13" s="7">
        <v>27</v>
      </c>
      <c r="R13" s="7">
        <v>14</v>
      </c>
      <c r="S13" s="7">
        <v>75</v>
      </c>
      <c r="T13" s="7">
        <v>68</v>
      </c>
      <c r="U13" s="7">
        <v>53</v>
      </c>
      <c r="V13" s="7">
        <v>53</v>
      </c>
      <c r="W13" s="7">
        <v>60</v>
      </c>
      <c r="X13" s="7">
        <v>22</v>
      </c>
      <c r="Y13" s="7">
        <v>15</v>
      </c>
      <c r="Z13" s="7">
        <v>74</v>
      </c>
      <c r="AA13" s="7">
        <v>63</v>
      </c>
      <c r="AB13" s="7">
        <v>58</v>
      </c>
      <c r="AC13" s="7">
        <v>40</v>
      </c>
      <c r="AD13" s="7">
        <v>50</v>
      </c>
      <c r="AE13" s="7">
        <v>20</v>
      </c>
      <c r="AF13" s="8">
        <v>24</v>
      </c>
      <c r="AG13" s="4">
        <f t="shared" si="2"/>
        <v>1279</v>
      </c>
    </row>
    <row r="14" spans="1:33" ht="18.75" x14ac:dyDescent="0.25">
      <c r="A14" s="41" t="s">
        <v>45</v>
      </c>
      <c r="B14" s="7">
        <v>13</v>
      </c>
      <c r="C14" s="7">
        <v>11</v>
      </c>
      <c r="D14" s="7">
        <v>11</v>
      </c>
      <c r="E14" s="7">
        <v>17</v>
      </c>
      <c r="F14" s="7">
        <v>24</v>
      </c>
      <c r="G14" s="7">
        <v>18</v>
      </c>
      <c r="H14" s="7">
        <v>25</v>
      </c>
      <c r="I14" s="7">
        <v>13</v>
      </c>
      <c r="J14" s="7">
        <v>21</v>
      </c>
      <c r="K14" s="7">
        <v>10</v>
      </c>
      <c r="L14" s="7">
        <v>17</v>
      </c>
      <c r="M14" s="7">
        <v>18</v>
      </c>
      <c r="N14" s="7">
        <v>19</v>
      </c>
      <c r="O14" s="7">
        <v>25</v>
      </c>
      <c r="P14" s="7">
        <v>17</v>
      </c>
      <c r="Q14" s="7">
        <v>12</v>
      </c>
      <c r="R14" s="7">
        <v>19</v>
      </c>
      <c r="S14" s="7">
        <v>32</v>
      </c>
      <c r="T14" s="7">
        <v>19</v>
      </c>
      <c r="U14" s="7">
        <v>22</v>
      </c>
      <c r="V14" s="7">
        <v>25</v>
      </c>
      <c r="W14" s="7">
        <v>26</v>
      </c>
      <c r="X14" s="7">
        <v>12</v>
      </c>
      <c r="Y14" s="7">
        <v>20</v>
      </c>
      <c r="Z14" s="7">
        <v>15</v>
      </c>
      <c r="AA14" s="7">
        <v>21</v>
      </c>
      <c r="AB14" s="7">
        <v>23</v>
      </c>
      <c r="AC14" s="7">
        <v>21</v>
      </c>
      <c r="AD14" s="7">
        <v>29</v>
      </c>
      <c r="AE14" s="7">
        <v>18</v>
      </c>
      <c r="AF14" s="8">
        <v>12</v>
      </c>
      <c r="AG14" s="4">
        <f t="shared" si="2"/>
        <v>585</v>
      </c>
    </row>
    <row r="15" spans="1:33" ht="18.75" x14ac:dyDescent="0.25">
      <c r="A15" s="41" t="s">
        <v>46</v>
      </c>
      <c r="B15" s="7">
        <v>21</v>
      </c>
      <c r="C15" s="7">
        <v>21</v>
      </c>
      <c r="D15" s="7">
        <v>10</v>
      </c>
      <c r="E15" s="7">
        <v>18</v>
      </c>
      <c r="F15" s="7">
        <v>16</v>
      </c>
      <c r="G15" s="7">
        <v>17</v>
      </c>
      <c r="H15" s="7">
        <v>20</v>
      </c>
      <c r="I15" s="7">
        <v>14</v>
      </c>
      <c r="J15" s="7">
        <v>20</v>
      </c>
      <c r="K15" s="7">
        <v>16</v>
      </c>
      <c r="L15" s="7">
        <v>23</v>
      </c>
      <c r="M15" s="7">
        <v>20</v>
      </c>
      <c r="N15" s="7">
        <v>21</v>
      </c>
      <c r="O15" s="7">
        <v>14</v>
      </c>
      <c r="P15" s="7">
        <v>21</v>
      </c>
      <c r="Q15" s="7">
        <v>21</v>
      </c>
      <c r="R15" s="7">
        <v>14</v>
      </c>
      <c r="S15" s="7">
        <v>25</v>
      </c>
      <c r="T15" s="7">
        <v>19</v>
      </c>
      <c r="U15" s="7">
        <v>22</v>
      </c>
      <c r="V15" s="7">
        <v>23</v>
      </c>
      <c r="W15" s="7">
        <v>14</v>
      </c>
      <c r="X15" s="7">
        <v>15</v>
      </c>
      <c r="Y15" s="7">
        <v>10</v>
      </c>
      <c r="Z15" s="7">
        <v>17</v>
      </c>
      <c r="AA15" s="7">
        <v>19</v>
      </c>
      <c r="AB15" s="7">
        <v>22</v>
      </c>
      <c r="AC15" s="7">
        <v>17</v>
      </c>
      <c r="AD15" s="7">
        <v>19</v>
      </c>
      <c r="AE15" s="7">
        <v>13</v>
      </c>
      <c r="AF15" s="8">
        <v>16</v>
      </c>
      <c r="AG15" s="4">
        <f t="shared" si="2"/>
        <v>558</v>
      </c>
    </row>
    <row r="16" spans="1:33" ht="18.75" x14ac:dyDescent="0.25">
      <c r="A16" s="41" t="s">
        <v>47</v>
      </c>
      <c r="B16" s="7">
        <v>13</v>
      </c>
      <c r="C16" s="7">
        <v>9</v>
      </c>
      <c r="D16" s="7">
        <v>18</v>
      </c>
      <c r="E16" s="7">
        <v>18</v>
      </c>
      <c r="F16" s="7">
        <v>14</v>
      </c>
      <c r="G16" s="7">
        <v>14</v>
      </c>
      <c r="H16" s="7">
        <v>10</v>
      </c>
      <c r="I16" s="7">
        <v>22</v>
      </c>
      <c r="J16" s="7">
        <v>16</v>
      </c>
      <c r="K16" s="7">
        <v>14</v>
      </c>
      <c r="L16" s="7">
        <v>22</v>
      </c>
      <c r="M16" s="7">
        <v>13</v>
      </c>
      <c r="N16" s="7">
        <v>16</v>
      </c>
      <c r="O16" s="7">
        <v>8</v>
      </c>
      <c r="P16" s="7">
        <v>15</v>
      </c>
      <c r="Q16" s="7">
        <v>17</v>
      </c>
      <c r="R16" s="7">
        <v>12</v>
      </c>
      <c r="S16" s="7">
        <v>20</v>
      </c>
      <c r="T16" s="7">
        <v>25</v>
      </c>
      <c r="U16" s="7">
        <v>17</v>
      </c>
      <c r="V16" s="7">
        <v>17</v>
      </c>
      <c r="W16" s="7">
        <v>24</v>
      </c>
      <c r="X16" s="7">
        <v>12</v>
      </c>
      <c r="Y16" s="7">
        <v>14</v>
      </c>
      <c r="Z16" s="7">
        <v>32</v>
      </c>
      <c r="AA16" s="7">
        <v>15</v>
      </c>
      <c r="AB16" s="7">
        <v>16</v>
      </c>
      <c r="AC16" s="7">
        <v>20</v>
      </c>
      <c r="AD16" s="7">
        <v>15</v>
      </c>
      <c r="AE16" s="7">
        <v>16</v>
      </c>
      <c r="AF16" s="8">
        <v>11</v>
      </c>
      <c r="AG16" s="4">
        <f t="shared" si="2"/>
        <v>505</v>
      </c>
    </row>
    <row r="17" spans="1:33" ht="18.75" x14ac:dyDescent="0.25">
      <c r="A17" s="41" t="s">
        <v>48</v>
      </c>
      <c r="B17" s="7">
        <v>16</v>
      </c>
      <c r="C17" s="7">
        <v>15</v>
      </c>
      <c r="D17" s="7">
        <v>15</v>
      </c>
      <c r="E17" s="7">
        <v>22</v>
      </c>
      <c r="F17" s="7">
        <v>17</v>
      </c>
      <c r="G17" s="7">
        <v>17</v>
      </c>
      <c r="H17" s="7">
        <v>13</v>
      </c>
      <c r="I17" s="7">
        <v>15</v>
      </c>
      <c r="J17" s="7">
        <v>11</v>
      </c>
      <c r="K17" s="7">
        <v>12</v>
      </c>
      <c r="L17" s="7">
        <v>16</v>
      </c>
      <c r="M17" s="7">
        <v>17</v>
      </c>
      <c r="N17" s="7">
        <v>22</v>
      </c>
      <c r="O17" s="7">
        <v>11</v>
      </c>
      <c r="P17" s="7">
        <v>19</v>
      </c>
      <c r="Q17" s="7">
        <v>13</v>
      </c>
      <c r="R17" s="7">
        <v>18</v>
      </c>
      <c r="S17" s="7">
        <v>16</v>
      </c>
      <c r="T17" s="7">
        <v>21</v>
      </c>
      <c r="U17" s="7">
        <v>14</v>
      </c>
      <c r="V17" s="7">
        <v>19</v>
      </c>
      <c r="W17" s="7">
        <v>12</v>
      </c>
      <c r="X17" s="7">
        <v>13</v>
      </c>
      <c r="Y17" s="7">
        <v>20</v>
      </c>
      <c r="Z17" s="7">
        <v>32</v>
      </c>
      <c r="AA17" s="7">
        <v>19</v>
      </c>
      <c r="AB17" s="7">
        <v>15</v>
      </c>
      <c r="AC17" s="7">
        <v>11</v>
      </c>
      <c r="AD17" s="7">
        <v>14</v>
      </c>
      <c r="AE17" s="7">
        <v>10</v>
      </c>
      <c r="AF17" s="8">
        <v>12</v>
      </c>
      <c r="AG17" s="4">
        <f t="shared" si="2"/>
        <v>497</v>
      </c>
    </row>
    <row r="18" spans="1:33" ht="18.75" x14ac:dyDescent="0.25">
      <c r="A18" s="41" t="s">
        <v>49</v>
      </c>
      <c r="B18" s="7">
        <v>12</v>
      </c>
      <c r="C18" s="7">
        <v>7</v>
      </c>
      <c r="D18" s="7">
        <v>7</v>
      </c>
      <c r="E18" s="7">
        <v>10</v>
      </c>
      <c r="F18" s="7">
        <v>11</v>
      </c>
      <c r="G18" s="7">
        <v>7</v>
      </c>
      <c r="H18" s="7">
        <v>9</v>
      </c>
      <c r="I18" s="7">
        <v>14</v>
      </c>
      <c r="J18" s="7">
        <v>12</v>
      </c>
      <c r="K18" s="7">
        <v>14</v>
      </c>
      <c r="L18" s="7">
        <v>17</v>
      </c>
      <c r="M18" s="7">
        <v>9</v>
      </c>
      <c r="N18" s="7">
        <v>14</v>
      </c>
      <c r="O18" s="7">
        <v>10</v>
      </c>
      <c r="P18" s="7">
        <v>12</v>
      </c>
      <c r="Q18" s="7">
        <v>10</v>
      </c>
      <c r="R18" s="7">
        <v>11</v>
      </c>
      <c r="S18" s="7">
        <v>13</v>
      </c>
      <c r="T18" s="7">
        <v>8</v>
      </c>
      <c r="U18" s="7">
        <v>19</v>
      </c>
      <c r="V18" s="7">
        <v>12</v>
      </c>
      <c r="W18" s="7">
        <v>16</v>
      </c>
      <c r="X18" s="7">
        <v>9</v>
      </c>
      <c r="Y18" s="7">
        <v>5</v>
      </c>
      <c r="Z18" s="7">
        <v>29</v>
      </c>
      <c r="AA18" s="7">
        <v>12</v>
      </c>
      <c r="AB18" s="7">
        <v>9</v>
      </c>
      <c r="AC18" s="7">
        <v>16</v>
      </c>
      <c r="AD18" s="7">
        <v>16</v>
      </c>
      <c r="AE18" s="7">
        <v>12</v>
      </c>
      <c r="AF18" s="8">
        <v>10</v>
      </c>
      <c r="AG18" s="4">
        <f t="shared" si="2"/>
        <v>372</v>
      </c>
    </row>
    <row r="19" spans="1:33" ht="18.75" x14ac:dyDescent="0.25">
      <c r="A19" s="41" t="s">
        <v>50</v>
      </c>
      <c r="B19" s="7">
        <v>11</v>
      </c>
      <c r="C19" s="7">
        <v>8</v>
      </c>
      <c r="D19" s="7">
        <v>12</v>
      </c>
      <c r="E19" s="7">
        <v>10</v>
      </c>
      <c r="F19" s="7">
        <v>5</v>
      </c>
      <c r="G19" s="7">
        <v>9</v>
      </c>
      <c r="H19" s="7">
        <v>8</v>
      </c>
      <c r="I19" s="7">
        <v>10</v>
      </c>
      <c r="J19" s="7">
        <v>6</v>
      </c>
      <c r="K19" s="7">
        <v>10</v>
      </c>
      <c r="L19" s="7">
        <v>7</v>
      </c>
      <c r="M19" s="7">
        <v>13</v>
      </c>
      <c r="N19" s="7">
        <v>6</v>
      </c>
      <c r="O19" s="7">
        <v>11</v>
      </c>
      <c r="P19" s="7">
        <v>7</v>
      </c>
      <c r="Q19" s="7">
        <v>9</v>
      </c>
      <c r="R19" s="7">
        <v>8</v>
      </c>
      <c r="S19" s="7">
        <v>8</v>
      </c>
      <c r="T19" s="7">
        <v>13</v>
      </c>
      <c r="U19" s="7">
        <v>6</v>
      </c>
      <c r="V19" s="7">
        <v>9</v>
      </c>
      <c r="W19" s="7">
        <v>7</v>
      </c>
      <c r="X19" s="7">
        <v>8</v>
      </c>
      <c r="Y19" s="7">
        <v>6</v>
      </c>
      <c r="Z19" s="7">
        <v>9</v>
      </c>
      <c r="AA19" s="7">
        <v>11</v>
      </c>
      <c r="AB19" s="7">
        <v>11</v>
      </c>
      <c r="AC19" s="7">
        <v>11</v>
      </c>
      <c r="AD19" s="7">
        <v>7</v>
      </c>
      <c r="AE19" s="7">
        <v>9</v>
      </c>
      <c r="AF19" s="8"/>
      <c r="AG19" s="4">
        <f t="shared" si="2"/>
        <v>265</v>
      </c>
    </row>
    <row r="20" spans="1:33" ht="18.75" x14ac:dyDescent="0.25">
      <c r="A20" s="41" t="s">
        <v>33</v>
      </c>
      <c r="B20" s="7">
        <v>7</v>
      </c>
      <c r="C20" s="7">
        <v>10</v>
      </c>
      <c r="D20" s="7">
        <v>5</v>
      </c>
      <c r="E20" s="7">
        <v>8</v>
      </c>
      <c r="F20" s="7">
        <v>7</v>
      </c>
      <c r="G20" s="7">
        <v>4</v>
      </c>
      <c r="H20" s="7"/>
      <c r="I20" s="7">
        <v>6</v>
      </c>
      <c r="J20" s="7">
        <v>2</v>
      </c>
      <c r="K20" s="7">
        <v>6</v>
      </c>
      <c r="L20" s="7">
        <v>6</v>
      </c>
      <c r="M20" s="7">
        <v>1</v>
      </c>
      <c r="N20" s="7">
        <v>2</v>
      </c>
      <c r="O20" s="7">
        <v>3</v>
      </c>
      <c r="P20" s="7">
        <v>5</v>
      </c>
      <c r="Q20" s="7">
        <v>1</v>
      </c>
      <c r="R20" s="7">
        <v>4</v>
      </c>
      <c r="S20" s="7">
        <v>6</v>
      </c>
      <c r="T20" s="7">
        <v>5</v>
      </c>
      <c r="U20" s="7">
        <v>4</v>
      </c>
      <c r="V20" s="7">
        <v>4</v>
      </c>
      <c r="W20" s="7">
        <v>1</v>
      </c>
      <c r="X20" s="7">
        <v>5</v>
      </c>
      <c r="Y20" s="7">
        <v>5</v>
      </c>
      <c r="Z20" s="7">
        <v>6</v>
      </c>
      <c r="AA20" s="7">
        <v>3</v>
      </c>
      <c r="AB20" s="7">
        <v>2</v>
      </c>
      <c r="AC20" s="7">
        <v>4</v>
      </c>
      <c r="AD20" s="7">
        <v>7</v>
      </c>
      <c r="AE20" s="7">
        <v>12</v>
      </c>
      <c r="AF20" s="8">
        <v>5</v>
      </c>
      <c r="AG20" s="4">
        <f t="shared" si="2"/>
        <v>146</v>
      </c>
    </row>
    <row r="21" spans="1:33" ht="18.75" x14ac:dyDescent="0.25">
      <c r="A21" s="41" t="s">
        <v>34</v>
      </c>
      <c r="B21" s="7">
        <v>2</v>
      </c>
      <c r="C21" s="7">
        <v>4</v>
      </c>
      <c r="D21" s="7">
        <v>4</v>
      </c>
      <c r="E21" s="7">
        <v>5</v>
      </c>
      <c r="F21" s="7">
        <v>4</v>
      </c>
      <c r="G21" s="7">
        <v>4</v>
      </c>
      <c r="H21" s="7">
        <v>3</v>
      </c>
      <c r="I21" s="7">
        <v>2</v>
      </c>
      <c r="J21" s="7">
        <v>3</v>
      </c>
      <c r="K21" s="7">
        <v>3</v>
      </c>
      <c r="L21" s="7">
        <v>4</v>
      </c>
      <c r="M21" s="7">
        <v>3</v>
      </c>
      <c r="N21" s="7">
        <v>4</v>
      </c>
      <c r="O21" s="7">
        <v>2</v>
      </c>
      <c r="P21" s="7">
        <v>3</v>
      </c>
      <c r="Q21" s="7">
        <v>3</v>
      </c>
      <c r="R21" s="7">
        <v>5</v>
      </c>
      <c r="S21" s="7">
        <v>3</v>
      </c>
      <c r="T21" s="7">
        <v>2</v>
      </c>
      <c r="U21" s="7">
        <v>1</v>
      </c>
      <c r="V21" s="7">
        <v>3</v>
      </c>
      <c r="W21" s="7">
        <v>7</v>
      </c>
      <c r="X21" s="7">
        <v>5</v>
      </c>
      <c r="Y21" s="7">
        <v>6</v>
      </c>
      <c r="Z21" s="7">
        <v>5</v>
      </c>
      <c r="AA21" s="7">
        <v>1</v>
      </c>
      <c r="AB21" s="7">
        <v>2</v>
      </c>
      <c r="AC21" s="7">
        <v>3</v>
      </c>
      <c r="AD21" s="7">
        <v>9</v>
      </c>
      <c r="AE21" s="7">
        <v>4</v>
      </c>
      <c r="AF21" s="8">
        <v>10</v>
      </c>
      <c r="AG21" s="4">
        <f t="shared" si="2"/>
        <v>119</v>
      </c>
    </row>
    <row r="22" spans="1:33" ht="18.75" x14ac:dyDescent="0.25">
      <c r="A22" s="41" t="s">
        <v>35</v>
      </c>
      <c r="B22" s="7">
        <v>1</v>
      </c>
      <c r="C22" s="7">
        <v>4</v>
      </c>
      <c r="D22" s="7">
        <v>1</v>
      </c>
      <c r="E22" s="7"/>
      <c r="F22" s="7"/>
      <c r="G22" s="7"/>
      <c r="H22" s="7">
        <v>1</v>
      </c>
      <c r="I22" s="7">
        <v>7</v>
      </c>
      <c r="J22" s="7"/>
      <c r="K22" s="7">
        <v>2</v>
      </c>
      <c r="L22" s="7">
        <v>5</v>
      </c>
      <c r="M22" s="7">
        <v>2</v>
      </c>
      <c r="N22" s="7">
        <v>1</v>
      </c>
      <c r="O22" s="7">
        <v>1</v>
      </c>
      <c r="P22" s="7">
        <v>2</v>
      </c>
      <c r="Q22" s="7">
        <v>3</v>
      </c>
      <c r="R22" s="7">
        <v>3</v>
      </c>
      <c r="S22" s="7"/>
      <c r="T22" s="7">
        <v>2</v>
      </c>
      <c r="U22" s="7">
        <v>5</v>
      </c>
      <c r="V22" s="7">
        <v>3</v>
      </c>
      <c r="W22" s="7">
        <v>3</v>
      </c>
      <c r="X22" s="7">
        <v>3</v>
      </c>
      <c r="Y22" s="7">
        <v>4</v>
      </c>
      <c r="Z22" s="7">
        <v>1</v>
      </c>
      <c r="AA22" s="7"/>
      <c r="AB22" s="7">
        <v>3</v>
      </c>
      <c r="AC22" s="7">
        <v>1</v>
      </c>
      <c r="AD22" s="7">
        <v>2</v>
      </c>
      <c r="AE22" s="7"/>
      <c r="AF22" s="8"/>
      <c r="AG22" s="4">
        <f t="shared" si="2"/>
        <v>60</v>
      </c>
    </row>
    <row r="23" spans="1:33" ht="18.75" x14ac:dyDescent="0.25">
      <c r="A23" s="41" t="s">
        <v>36</v>
      </c>
      <c r="B23" s="7">
        <v>6</v>
      </c>
      <c r="C23" s="7">
        <v>2</v>
      </c>
      <c r="D23" s="7">
        <v>1</v>
      </c>
      <c r="E23" s="7"/>
      <c r="F23" s="7"/>
      <c r="G23" s="7">
        <v>1</v>
      </c>
      <c r="H23" s="7">
        <v>1</v>
      </c>
      <c r="I23" s="7">
        <v>4</v>
      </c>
      <c r="J23" s="7">
        <v>1</v>
      </c>
      <c r="K23" s="7">
        <v>2</v>
      </c>
      <c r="L23" s="7">
        <v>1</v>
      </c>
      <c r="M23" s="7">
        <v>1</v>
      </c>
      <c r="N23" s="7">
        <v>2</v>
      </c>
      <c r="O23" s="7">
        <v>1</v>
      </c>
      <c r="P23" s="7"/>
      <c r="Q23" s="7">
        <v>2</v>
      </c>
      <c r="R23" s="7">
        <v>3</v>
      </c>
      <c r="S23" s="7">
        <v>1</v>
      </c>
      <c r="T23" s="7">
        <v>1</v>
      </c>
      <c r="U23" s="7">
        <v>1</v>
      </c>
      <c r="V23" s="7">
        <v>2</v>
      </c>
      <c r="W23" s="7"/>
      <c r="X23" s="7">
        <v>3</v>
      </c>
      <c r="Y23" s="7">
        <v>2</v>
      </c>
      <c r="Z23" s="7">
        <v>2</v>
      </c>
      <c r="AA23" s="7">
        <v>1</v>
      </c>
      <c r="AB23" s="7"/>
      <c r="AC23" s="7"/>
      <c r="AD23" s="7">
        <v>2</v>
      </c>
      <c r="AE23" s="7">
        <v>2</v>
      </c>
      <c r="AF23" s="8">
        <v>1</v>
      </c>
      <c r="AG23" s="4">
        <f t="shared" si="2"/>
        <v>46</v>
      </c>
    </row>
    <row r="24" spans="1:33" ht="18.75" x14ac:dyDescent="0.25">
      <c r="A24" s="41" t="s">
        <v>51</v>
      </c>
      <c r="B24" s="7">
        <v>3</v>
      </c>
      <c r="C24" s="7">
        <v>5</v>
      </c>
      <c r="D24" s="7"/>
      <c r="E24" s="7">
        <v>1</v>
      </c>
      <c r="F24" s="7">
        <v>2</v>
      </c>
      <c r="G24" s="7"/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2</v>
      </c>
      <c r="N24" s="7">
        <v>1</v>
      </c>
      <c r="O24" s="7">
        <v>4</v>
      </c>
      <c r="P24" s="7">
        <v>1</v>
      </c>
      <c r="Q24" s="7">
        <v>2</v>
      </c>
      <c r="R24" s="7">
        <v>3</v>
      </c>
      <c r="S24" s="7"/>
      <c r="T24" s="7">
        <v>3</v>
      </c>
      <c r="U24" s="7"/>
      <c r="V24" s="7">
        <v>1</v>
      </c>
      <c r="W24" s="7">
        <v>1</v>
      </c>
      <c r="X24" s="7">
        <v>2</v>
      </c>
      <c r="Y24" s="7">
        <v>1</v>
      </c>
      <c r="Z24" s="7">
        <v>2</v>
      </c>
      <c r="AA24" s="7">
        <v>3</v>
      </c>
      <c r="AB24" s="7"/>
      <c r="AC24" s="7">
        <v>2</v>
      </c>
      <c r="AD24" s="7">
        <v>1</v>
      </c>
      <c r="AE24" s="7">
        <v>3</v>
      </c>
      <c r="AF24" s="8">
        <v>1</v>
      </c>
      <c r="AG24" s="4">
        <f t="shared" si="2"/>
        <v>49</v>
      </c>
    </row>
    <row r="25" spans="1:33" ht="18.75" x14ac:dyDescent="0.25">
      <c r="A25" s="41" t="s">
        <v>52</v>
      </c>
      <c r="B25" s="7">
        <v>3</v>
      </c>
      <c r="C25" s="7">
        <v>1</v>
      </c>
      <c r="D25" s="7"/>
      <c r="E25" s="7">
        <v>3</v>
      </c>
      <c r="F25" s="7"/>
      <c r="G25" s="7">
        <v>1</v>
      </c>
      <c r="H25" s="7"/>
      <c r="I25" s="7">
        <v>1</v>
      </c>
      <c r="J25" s="7">
        <v>6</v>
      </c>
      <c r="K25" s="7"/>
      <c r="L25" s="7"/>
      <c r="M25" s="7">
        <v>1</v>
      </c>
      <c r="N25" s="7">
        <v>1</v>
      </c>
      <c r="O25" s="7"/>
      <c r="P25" s="7">
        <v>2</v>
      </c>
      <c r="Q25" s="7">
        <v>3</v>
      </c>
      <c r="R25" s="7"/>
      <c r="S25" s="7">
        <v>1</v>
      </c>
      <c r="T25" s="7"/>
      <c r="U25" s="7">
        <v>2</v>
      </c>
      <c r="V25" s="7">
        <v>3</v>
      </c>
      <c r="W25" s="7">
        <v>2</v>
      </c>
      <c r="X25" s="7">
        <v>2</v>
      </c>
      <c r="Y25" s="7"/>
      <c r="Z25" s="7">
        <v>2</v>
      </c>
      <c r="AA25" s="7">
        <v>1</v>
      </c>
      <c r="AB25" s="7">
        <v>1</v>
      </c>
      <c r="AC25" s="7"/>
      <c r="AD25" s="7">
        <v>3</v>
      </c>
      <c r="AE25" s="7">
        <v>1</v>
      </c>
      <c r="AF25" s="8">
        <v>2</v>
      </c>
      <c r="AG25" s="4">
        <f t="shared" si="2"/>
        <v>42</v>
      </c>
    </row>
    <row r="26" spans="1:33" ht="18.75" x14ac:dyDescent="0.25">
      <c r="A26" s="41" t="s">
        <v>37</v>
      </c>
      <c r="B26" s="7">
        <v>2</v>
      </c>
      <c r="C26" s="7">
        <v>1</v>
      </c>
      <c r="D26" s="7">
        <v>1</v>
      </c>
      <c r="E26" s="7"/>
      <c r="F26" s="7"/>
      <c r="G26" s="7"/>
      <c r="H26" s="7">
        <v>1</v>
      </c>
      <c r="I26" s="7"/>
      <c r="J26" s="7">
        <v>1</v>
      </c>
      <c r="K26" s="7"/>
      <c r="L26" s="7"/>
      <c r="M26" s="7">
        <v>1</v>
      </c>
      <c r="N26" s="7"/>
      <c r="O26" s="7"/>
      <c r="P26" s="7">
        <v>2</v>
      </c>
      <c r="Q26" s="7">
        <v>1</v>
      </c>
      <c r="R26" s="7"/>
      <c r="S26" s="7"/>
      <c r="T26" s="7"/>
      <c r="U26" s="7">
        <v>2</v>
      </c>
      <c r="V26" s="7"/>
      <c r="W26" s="7">
        <v>3</v>
      </c>
      <c r="X26" s="7">
        <v>2</v>
      </c>
      <c r="Y26" s="7"/>
      <c r="Z26" s="7"/>
      <c r="AA26" s="7"/>
      <c r="AB26" s="7">
        <v>2</v>
      </c>
      <c r="AC26" s="7">
        <v>1</v>
      </c>
      <c r="AD26" s="7">
        <v>1</v>
      </c>
      <c r="AE26" s="7">
        <v>3</v>
      </c>
      <c r="AF26" s="8">
        <v>1</v>
      </c>
      <c r="AG26" s="4">
        <f t="shared" si="2"/>
        <v>25</v>
      </c>
    </row>
    <row r="27" spans="1:33" ht="19.5" thickBot="1" x14ac:dyDescent="0.3">
      <c r="A27" s="81" t="s">
        <v>53</v>
      </c>
      <c r="B27" s="78">
        <v>2</v>
      </c>
      <c r="C27" s="78">
        <v>4</v>
      </c>
      <c r="D27" s="78"/>
      <c r="E27" s="78"/>
      <c r="F27" s="78"/>
      <c r="G27" s="78">
        <v>2</v>
      </c>
      <c r="H27" s="78"/>
      <c r="I27" s="78">
        <v>5</v>
      </c>
      <c r="J27" s="78">
        <v>3</v>
      </c>
      <c r="K27" s="78"/>
      <c r="L27" s="78">
        <v>1</v>
      </c>
      <c r="M27" s="78"/>
      <c r="N27" s="78"/>
      <c r="O27" s="78"/>
      <c r="P27" s="78">
        <v>2</v>
      </c>
      <c r="Q27" s="78">
        <v>6</v>
      </c>
      <c r="R27" s="78">
        <v>1</v>
      </c>
      <c r="S27" s="78"/>
      <c r="T27" s="78"/>
      <c r="U27" s="78"/>
      <c r="V27" s="78"/>
      <c r="W27" s="78">
        <v>4</v>
      </c>
      <c r="X27" s="78"/>
      <c r="Y27" s="78">
        <v>1</v>
      </c>
      <c r="Z27" s="78"/>
      <c r="AA27" s="78"/>
      <c r="AB27" s="78"/>
      <c r="AC27" s="78">
        <v>2</v>
      </c>
      <c r="AD27" s="78">
        <v>3</v>
      </c>
      <c r="AE27" s="78">
        <v>1</v>
      </c>
      <c r="AF27" s="83">
        <v>2</v>
      </c>
      <c r="AG27" s="4">
        <f t="shared" si="2"/>
        <v>39</v>
      </c>
    </row>
    <row r="28" spans="1:33" ht="18.75" x14ac:dyDescent="0.25">
      <c r="A28" s="79" t="s">
        <v>107</v>
      </c>
      <c r="B28" s="80">
        <f>SUM(B29:B52)</f>
        <v>172</v>
      </c>
      <c r="C28" s="80">
        <f t="shared" ref="C28:AF28" si="3">SUM(C29:C52)</f>
        <v>219</v>
      </c>
      <c r="D28" s="80">
        <f t="shared" si="3"/>
        <v>194</v>
      </c>
      <c r="E28" s="80">
        <f t="shared" si="3"/>
        <v>170</v>
      </c>
      <c r="F28" s="80">
        <f t="shared" si="3"/>
        <v>174</v>
      </c>
      <c r="G28" s="80">
        <f t="shared" si="3"/>
        <v>154</v>
      </c>
      <c r="H28" s="80">
        <f t="shared" si="3"/>
        <v>158</v>
      </c>
      <c r="I28" s="80">
        <f t="shared" si="3"/>
        <v>157</v>
      </c>
      <c r="J28" s="80">
        <f t="shared" si="3"/>
        <v>197</v>
      </c>
      <c r="K28" s="80">
        <f t="shared" si="3"/>
        <v>195</v>
      </c>
      <c r="L28" s="80">
        <f t="shared" si="3"/>
        <v>178</v>
      </c>
      <c r="M28" s="80">
        <f t="shared" si="3"/>
        <v>146</v>
      </c>
      <c r="N28" s="80">
        <f t="shared" si="3"/>
        <v>164</v>
      </c>
      <c r="O28" s="80">
        <f t="shared" si="3"/>
        <v>151</v>
      </c>
      <c r="P28" s="80">
        <f t="shared" si="3"/>
        <v>177</v>
      </c>
      <c r="Q28" s="80">
        <f t="shared" si="3"/>
        <v>220</v>
      </c>
      <c r="R28" s="80">
        <f t="shared" si="3"/>
        <v>221</v>
      </c>
      <c r="S28" s="80">
        <f t="shared" si="3"/>
        <v>181</v>
      </c>
      <c r="T28" s="80">
        <f t="shared" si="3"/>
        <v>190</v>
      </c>
      <c r="U28" s="80">
        <f t="shared" si="3"/>
        <v>177</v>
      </c>
      <c r="V28" s="80">
        <f t="shared" si="3"/>
        <v>176</v>
      </c>
      <c r="W28" s="80">
        <f t="shared" si="3"/>
        <v>187</v>
      </c>
      <c r="X28" s="80">
        <f t="shared" si="3"/>
        <v>211</v>
      </c>
      <c r="Y28" s="80">
        <f t="shared" si="3"/>
        <v>197</v>
      </c>
      <c r="Z28" s="80">
        <f t="shared" si="3"/>
        <v>243</v>
      </c>
      <c r="AA28" s="80">
        <f t="shared" si="3"/>
        <v>177</v>
      </c>
      <c r="AB28" s="80">
        <f t="shared" si="3"/>
        <v>173</v>
      </c>
      <c r="AC28" s="80">
        <f t="shared" si="3"/>
        <v>158</v>
      </c>
      <c r="AD28" s="80">
        <f t="shared" si="3"/>
        <v>177</v>
      </c>
      <c r="AE28" s="80">
        <f>SUM(AE29:AE52)</f>
        <v>217</v>
      </c>
      <c r="AF28" s="80">
        <f t="shared" si="3"/>
        <v>223</v>
      </c>
      <c r="AG28" s="150">
        <f t="shared" si="2"/>
        <v>5734</v>
      </c>
    </row>
    <row r="29" spans="1:33" ht="18.75" x14ac:dyDescent="0.25">
      <c r="A29" s="41" t="s">
        <v>54</v>
      </c>
      <c r="B29" s="7">
        <v>1</v>
      </c>
      <c r="C29" s="7">
        <v>2</v>
      </c>
      <c r="D29" s="7">
        <v>3</v>
      </c>
      <c r="E29" s="7"/>
      <c r="F29" s="7"/>
      <c r="G29" s="7"/>
      <c r="H29" s="7"/>
      <c r="I29" s="7">
        <v>4</v>
      </c>
      <c r="J29" s="7"/>
      <c r="K29" s="7">
        <v>2</v>
      </c>
      <c r="L29" s="7"/>
      <c r="M29" s="7"/>
      <c r="N29" s="7"/>
      <c r="O29" s="7"/>
      <c r="P29" s="7"/>
      <c r="Q29" s="7">
        <v>1</v>
      </c>
      <c r="R29" s="7">
        <v>1</v>
      </c>
      <c r="S29" s="7"/>
      <c r="T29" s="7"/>
      <c r="U29" s="7"/>
      <c r="V29" s="7"/>
      <c r="W29" s="7"/>
      <c r="X29" s="7"/>
      <c r="Y29" s="7">
        <v>1</v>
      </c>
      <c r="Z29" s="7"/>
      <c r="AA29" s="7"/>
      <c r="AB29" s="7"/>
      <c r="AC29" s="7"/>
      <c r="AD29" s="7">
        <v>2</v>
      </c>
      <c r="AE29" s="7">
        <v>3</v>
      </c>
      <c r="AF29" s="8"/>
      <c r="AG29" s="4">
        <f t="shared" si="2"/>
        <v>20</v>
      </c>
    </row>
    <row r="30" spans="1:33" ht="18.75" x14ac:dyDescent="0.25">
      <c r="A30" s="41" t="s">
        <v>55</v>
      </c>
      <c r="B30" s="7"/>
      <c r="C30" s="7">
        <v>8</v>
      </c>
      <c r="D30" s="7">
        <v>4</v>
      </c>
      <c r="E30" s="7"/>
      <c r="F30" s="7"/>
      <c r="G30" s="7"/>
      <c r="H30" s="7"/>
      <c r="I30" s="7"/>
      <c r="J30" s="7">
        <v>12</v>
      </c>
      <c r="K30" s="7">
        <v>6</v>
      </c>
      <c r="L30" s="7"/>
      <c r="M30" s="7"/>
      <c r="N30" s="7"/>
      <c r="O30" s="7"/>
      <c r="P30" s="7"/>
      <c r="Q30" s="7">
        <v>1</v>
      </c>
      <c r="R30" s="7">
        <v>6</v>
      </c>
      <c r="S30" s="7"/>
      <c r="T30" s="7"/>
      <c r="U30" s="7"/>
      <c r="V30" s="7"/>
      <c r="W30" s="7"/>
      <c r="X30" s="7">
        <v>6</v>
      </c>
      <c r="Y30" s="7">
        <v>6</v>
      </c>
      <c r="Z30" s="7"/>
      <c r="AA30" s="7"/>
      <c r="AB30" s="7"/>
      <c r="AC30" s="7"/>
      <c r="AD30" s="7"/>
      <c r="AE30" s="7">
        <v>6</v>
      </c>
      <c r="AF30" s="8">
        <v>7</v>
      </c>
      <c r="AG30" s="4">
        <f t="shared" si="2"/>
        <v>62</v>
      </c>
    </row>
    <row r="31" spans="1:33" ht="18.75" x14ac:dyDescent="0.25">
      <c r="A31" s="41" t="s">
        <v>56</v>
      </c>
      <c r="B31" s="7"/>
      <c r="C31" s="7">
        <v>11</v>
      </c>
      <c r="D31" s="7">
        <v>9</v>
      </c>
      <c r="E31" s="7"/>
      <c r="F31" s="7"/>
      <c r="G31" s="7"/>
      <c r="H31" s="7"/>
      <c r="I31" s="7"/>
      <c r="J31" s="7">
        <v>7</v>
      </c>
      <c r="K31" s="7">
        <v>10</v>
      </c>
      <c r="L31" s="7"/>
      <c r="M31" s="7"/>
      <c r="N31" s="7"/>
      <c r="O31" s="7"/>
      <c r="P31" s="7"/>
      <c r="Q31" s="7"/>
      <c r="R31" s="7">
        <v>15</v>
      </c>
      <c r="S31" s="7"/>
      <c r="T31" s="7"/>
      <c r="U31" s="7"/>
      <c r="V31" s="7"/>
      <c r="W31" s="7"/>
      <c r="X31" s="7">
        <v>9</v>
      </c>
      <c r="Y31" s="7">
        <v>7</v>
      </c>
      <c r="Z31" s="7"/>
      <c r="AA31" s="7"/>
      <c r="AB31" s="7"/>
      <c r="AC31" s="7"/>
      <c r="AD31" s="7"/>
      <c r="AE31" s="7">
        <v>12</v>
      </c>
      <c r="AF31" s="8">
        <v>13</v>
      </c>
      <c r="AG31" s="4">
        <f t="shared" si="2"/>
        <v>93</v>
      </c>
    </row>
    <row r="32" spans="1:33" ht="18.75" x14ac:dyDescent="0.25">
      <c r="A32" s="41" t="s">
        <v>38</v>
      </c>
      <c r="B32" s="7">
        <v>4</v>
      </c>
      <c r="C32" s="7">
        <v>15</v>
      </c>
      <c r="D32" s="7">
        <v>12</v>
      </c>
      <c r="E32" s="7">
        <v>3</v>
      </c>
      <c r="F32" s="7">
        <v>5</v>
      </c>
      <c r="G32" s="7">
        <v>5</v>
      </c>
      <c r="H32" s="7">
        <v>6</v>
      </c>
      <c r="I32" s="7">
        <v>2</v>
      </c>
      <c r="J32" s="7">
        <v>15</v>
      </c>
      <c r="K32" s="7">
        <v>9</v>
      </c>
      <c r="L32" s="7">
        <v>3</v>
      </c>
      <c r="M32" s="7">
        <v>1</v>
      </c>
      <c r="N32" s="7">
        <v>5</v>
      </c>
      <c r="O32" s="7">
        <v>3</v>
      </c>
      <c r="P32" s="7">
        <v>4</v>
      </c>
      <c r="Q32" s="7">
        <v>20</v>
      </c>
      <c r="R32" s="7">
        <v>16</v>
      </c>
      <c r="S32" s="7">
        <v>2</v>
      </c>
      <c r="T32" s="7">
        <v>4</v>
      </c>
      <c r="U32" s="7">
        <v>2</v>
      </c>
      <c r="V32" s="7">
        <v>7</v>
      </c>
      <c r="W32" s="7">
        <v>5</v>
      </c>
      <c r="X32" s="7">
        <v>8</v>
      </c>
      <c r="Y32" s="7">
        <v>7</v>
      </c>
      <c r="Z32" s="7">
        <v>2</v>
      </c>
      <c r="AA32" s="7">
        <v>4</v>
      </c>
      <c r="AB32" s="7">
        <v>5</v>
      </c>
      <c r="AC32" s="7">
        <v>4</v>
      </c>
      <c r="AD32" s="7">
        <v>3</v>
      </c>
      <c r="AE32" s="7">
        <v>12</v>
      </c>
      <c r="AF32" s="8">
        <v>18</v>
      </c>
      <c r="AG32" s="4">
        <f t="shared" si="2"/>
        <v>211</v>
      </c>
    </row>
    <row r="33" spans="1:33" ht="18.75" x14ac:dyDescent="0.25">
      <c r="A33" s="41" t="s">
        <v>39</v>
      </c>
      <c r="B33" s="7">
        <v>8</v>
      </c>
      <c r="C33" s="7">
        <v>10</v>
      </c>
      <c r="D33" s="7">
        <v>13</v>
      </c>
      <c r="E33" s="7">
        <v>9</v>
      </c>
      <c r="F33" s="7">
        <v>9</v>
      </c>
      <c r="G33" s="7">
        <v>4</v>
      </c>
      <c r="H33" s="7">
        <v>7</v>
      </c>
      <c r="I33" s="7">
        <v>3</v>
      </c>
      <c r="J33" s="7">
        <v>11</v>
      </c>
      <c r="K33" s="7">
        <v>15</v>
      </c>
      <c r="L33" s="7">
        <v>9</v>
      </c>
      <c r="M33" s="7">
        <v>4</v>
      </c>
      <c r="N33" s="7">
        <v>7</v>
      </c>
      <c r="O33" s="7">
        <v>5</v>
      </c>
      <c r="P33" s="7">
        <v>9</v>
      </c>
      <c r="Q33" s="7">
        <v>9</v>
      </c>
      <c r="R33" s="7">
        <v>11</v>
      </c>
      <c r="S33" s="7">
        <v>8</v>
      </c>
      <c r="T33" s="7">
        <v>9</v>
      </c>
      <c r="U33" s="7">
        <v>10</v>
      </c>
      <c r="V33" s="7">
        <v>2</v>
      </c>
      <c r="W33" s="7">
        <v>8</v>
      </c>
      <c r="X33" s="7">
        <v>9</v>
      </c>
      <c r="Y33" s="7">
        <v>10</v>
      </c>
      <c r="Z33" s="7">
        <v>9</v>
      </c>
      <c r="AA33" s="7">
        <v>10</v>
      </c>
      <c r="AB33" s="7">
        <v>4</v>
      </c>
      <c r="AC33" s="7">
        <v>8</v>
      </c>
      <c r="AD33" s="7">
        <v>7</v>
      </c>
      <c r="AE33" s="7">
        <v>15</v>
      </c>
      <c r="AF33" s="8">
        <v>14</v>
      </c>
      <c r="AG33" s="4">
        <f t="shared" si="2"/>
        <v>266</v>
      </c>
    </row>
    <row r="34" spans="1:33" ht="18.75" x14ac:dyDescent="0.25">
      <c r="A34" s="41" t="s">
        <v>40</v>
      </c>
      <c r="B34" s="7">
        <v>4</v>
      </c>
      <c r="C34" s="7">
        <v>11</v>
      </c>
      <c r="D34" s="7">
        <v>11</v>
      </c>
      <c r="E34" s="7">
        <v>6</v>
      </c>
      <c r="F34" s="7">
        <v>1</v>
      </c>
      <c r="G34" s="7">
        <v>2</v>
      </c>
      <c r="H34" s="7"/>
      <c r="I34" s="7">
        <v>2</v>
      </c>
      <c r="J34" s="7">
        <v>8</v>
      </c>
      <c r="K34" s="7">
        <v>12</v>
      </c>
      <c r="L34" s="7">
        <v>1</v>
      </c>
      <c r="M34" s="7">
        <v>1</v>
      </c>
      <c r="N34" s="7">
        <v>2</v>
      </c>
      <c r="O34" s="7"/>
      <c r="P34" s="7">
        <v>3</v>
      </c>
      <c r="Q34" s="7">
        <v>7</v>
      </c>
      <c r="R34" s="7">
        <v>7</v>
      </c>
      <c r="S34" s="7">
        <v>3</v>
      </c>
      <c r="T34" s="7">
        <v>2</v>
      </c>
      <c r="U34" s="7"/>
      <c r="V34" s="7">
        <v>1</v>
      </c>
      <c r="W34" s="7">
        <v>3</v>
      </c>
      <c r="X34" s="7">
        <v>8</v>
      </c>
      <c r="Y34" s="7">
        <v>9</v>
      </c>
      <c r="Z34" s="7">
        <v>5</v>
      </c>
      <c r="AA34" s="7">
        <v>5</v>
      </c>
      <c r="AB34" s="7">
        <v>3</v>
      </c>
      <c r="AC34" s="7">
        <v>3</v>
      </c>
      <c r="AD34" s="7">
        <v>2</v>
      </c>
      <c r="AE34" s="7">
        <v>9</v>
      </c>
      <c r="AF34" s="8">
        <v>13</v>
      </c>
      <c r="AG34" s="4">
        <f t="shared" si="2"/>
        <v>144</v>
      </c>
    </row>
    <row r="35" spans="1:33" ht="18.75" x14ac:dyDescent="0.25">
      <c r="A35" s="41" t="s">
        <v>41</v>
      </c>
      <c r="B35" s="7">
        <v>4</v>
      </c>
      <c r="C35" s="7">
        <v>13</v>
      </c>
      <c r="D35" s="7">
        <v>8</v>
      </c>
      <c r="E35" s="7">
        <v>4</v>
      </c>
      <c r="F35" s="7">
        <v>6</v>
      </c>
      <c r="G35" s="7">
        <v>4</v>
      </c>
      <c r="H35" s="7">
        <v>6</v>
      </c>
      <c r="I35" s="7">
        <v>3</v>
      </c>
      <c r="J35" s="7">
        <v>12</v>
      </c>
      <c r="K35" s="7">
        <v>12</v>
      </c>
      <c r="L35" s="7">
        <v>6</v>
      </c>
      <c r="M35" s="7">
        <v>5</v>
      </c>
      <c r="N35" s="7">
        <v>3</v>
      </c>
      <c r="O35" s="7">
        <v>4</v>
      </c>
      <c r="P35" s="7">
        <v>4</v>
      </c>
      <c r="Q35" s="7">
        <v>17</v>
      </c>
      <c r="R35" s="7">
        <v>10</v>
      </c>
      <c r="S35" s="7">
        <v>4</v>
      </c>
      <c r="T35" s="7">
        <v>4</v>
      </c>
      <c r="U35" s="7">
        <v>6</v>
      </c>
      <c r="V35" s="7">
        <v>5</v>
      </c>
      <c r="W35" s="7">
        <v>5</v>
      </c>
      <c r="X35" s="7">
        <v>8</v>
      </c>
      <c r="Y35" s="7">
        <v>11</v>
      </c>
      <c r="Z35" s="7">
        <v>8</v>
      </c>
      <c r="AA35" s="7">
        <v>3</v>
      </c>
      <c r="AB35" s="7">
        <v>6</v>
      </c>
      <c r="AC35" s="7">
        <v>7</v>
      </c>
      <c r="AD35" s="7">
        <v>2</v>
      </c>
      <c r="AE35" s="7">
        <v>11</v>
      </c>
      <c r="AF35" s="8">
        <v>15</v>
      </c>
      <c r="AG35" s="4">
        <f t="shared" si="2"/>
        <v>216</v>
      </c>
    </row>
    <row r="36" spans="1:33" ht="18.75" x14ac:dyDescent="0.25">
      <c r="A36" s="41" t="s">
        <v>42</v>
      </c>
      <c r="B36" s="7">
        <v>9</v>
      </c>
      <c r="C36" s="7">
        <v>17</v>
      </c>
      <c r="D36" s="7">
        <v>13</v>
      </c>
      <c r="E36" s="7">
        <v>2</v>
      </c>
      <c r="F36" s="7">
        <v>9</v>
      </c>
      <c r="G36" s="7">
        <v>4</v>
      </c>
      <c r="H36" s="7">
        <v>8</v>
      </c>
      <c r="I36" s="7">
        <v>1</v>
      </c>
      <c r="J36" s="7">
        <v>10</v>
      </c>
      <c r="K36" s="7">
        <v>7</v>
      </c>
      <c r="L36" s="7">
        <v>7</v>
      </c>
      <c r="M36" s="7">
        <v>3</v>
      </c>
      <c r="N36" s="7">
        <v>7</v>
      </c>
      <c r="O36" s="7">
        <v>6</v>
      </c>
      <c r="P36" s="7">
        <v>3</v>
      </c>
      <c r="Q36" s="7">
        <v>26</v>
      </c>
      <c r="R36" s="7">
        <v>11</v>
      </c>
      <c r="S36" s="7">
        <v>8</v>
      </c>
      <c r="T36" s="7">
        <v>7</v>
      </c>
      <c r="U36" s="7">
        <v>9</v>
      </c>
      <c r="V36" s="7">
        <v>4</v>
      </c>
      <c r="W36" s="7">
        <v>2</v>
      </c>
      <c r="X36" s="7">
        <v>14</v>
      </c>
      <c r="Y36" s="7">
        <v>11</v>
      </c>
      <c r="Z36" s="7">
        <v>14</v>
      </c>
      <c r="AA36" s="7">
        <v>7</v>
      </c>
      <c r="AB36" s="7">
        <v>6</v>
      </c>
      <c r="AC36" s="7">
        <v>1</v>
      </c>
      <c r="AD36" s="7">
        <v>8</v>
      </c>
      <c r="AE36" s="7">
        <v>12</v>
      </c>
      <c r="AF36" s="8">
        <v>11</v>
      </c>
      <c r="AG36" s="4">
        <f t="shared" si="2"/>
        <v>257</v>
      </c>
    </row>
    <row r="37" spans="1:33" ht="18.75" x14ac:dyDescent="0.25">
      <c r="A37" s="41" t="s">
        <v>43</v>
      </c>
      <c r="B37" s="7">
        <v>4</v>
      </c>
      <c r="C37" s="7">
        <v>16</v>
      </c>
      <c r="D37" s="7">
        <v>15</v>
      </c>
      <c r="E37" s="7">
        <v>3</v>
      </c>
      <c r="F37" s="7">
        <v>5</v>
      </c>
      <c r="G37" s="7">
        <v>5</v>
      </c>
      <c r="H37" s="7">
        <v>4</v>
      </c>
      <c r="I37" s="7">
        <v>3</v>
      </c>
      <c r="J37" s="7">
        <v>10</v>
      </c>
      <c r="K37" s="7">
        <v>17</v>
      </c>
      <c r="L37" s="7">
        <v>1</v>
      </c>
      <c r="M37" s="7">
        <v>5</v>
      </c>
      <c r="N37" s="7">
        <v>3</v>
      </c>
      <c r="O37" s="7">
        <v>3</v>
      </c>
      <c r="P37" s="7"/>
      <c r="Q37" s="7">
        <v>11</v>
      </c>
      <c r="R37" s="7">
        <v>19</v>
      </c>
      <c r="S37" s="7">
        <v>1</v>
      </c>
      <c r="T37" s="7">
        <v>3</v>
      </c>
      <c r="U37" s="7">
        <v>3</v>
      </c>
      <c r="V37" s="7">
        <v>4</v>
      </c>
      <c r="W37" s="7">
        <v>5</v>
      </c>
      <c r="X37" s="7">
        <v>16</v>
      </c>
      <c r="Y37" s="7">
        <v>9</v>
      </c>
      <c r="Z37" s="7">
        <v>8</v>
      </c>
      <c r="AA37" s="7">
        <v>2</v>
      </c>
      <c r="AB37" s="7">
        <v>1</v>
      </c>
      <c r="AC37" s="7">
        <v>4</v>
      </c>
      <c r="AD37" s="7">
        <v>3</v>
      </c>
      <c r="AE37" s="7">
        <v>14</v>
      </c>
      <c r="AF37" s="8">
        <v>14</v>
      </c>
      <c r="AG37" s="4">
        <f t="shared" si="2"/>
        <v>211</v>
      </c>
    </row>
    <row r="38" spans="1:33" ht="18.75" x14ac:dyDescent="0.25">
      <c r="A38" s="41" t="s">
        <v>44</v>
      </c>
      <c r="B38" s="7">
        <v>3</v>
      </c>
      <c r="C38" s="7">
        <v>13</v>
      </c>
      <c r="D38" s="7">
        <v>17</v>
      </c>
      <c r="E38" s="7">
        <v>5</v>
      </c>
      <c r="F38" s="7">
        <v>13</v>
      </c>
      <c r="G38" s="7">
        <v>16</v>
      </c>
      <c r="H38" s="7">
        <v>10</v>
      </c>
      <c r="I38" s="7">
        <v>7</v>
      </c>
      <c r="J38" s="7">
        <v>17</v>
      </c>
      <c r="K38" s="7">
        <v>10</v>
      </c>
      <c r="L38" s="7">
        <v>3</v>
      </c>
      <c r="M38" s="7">
        <v>12</v>
      </c>
      <c r="N38" s="7">
        <v>3</v>
      </c>
      <c r="O38" s="7">
        <v>6</v>
      </c>
      <c r="P38" s="7">
        <v>13</v>
      </c>
      <c r="Q38" s="7">
        <v>12</v>
      </c>
      <c r="R38" s="7">
        <v>18</v>
      </c>
      <c r="S38" s="7">
        <v>6</v>
      </c>
      <c r="T38" s="7">
        <v>9</v>
      </c>
      <c r="U38" s="7">
        <v>8</v>
      </c>
      <c r="V38" s="7">
        <v>9</v>
      </c>
      <c r="W38" s="7">
        <v>55</v>
      </c>
      <c r="X38" s="7">
        <v>14</v>
      </c>
      <c r="Y38" s="7">
        <v>21</v>
      </c>
      <c r="Z38" s="7">
        <v>8</v>
      </c>
      <c r="AA38" s="7">
        <v>3</v>
      </c>
      <c r="AB38" s="7">
        <v>10</v>
      </c>
      <c r="AC38" s="7">
        <v>6</v>
      </c>
      <c r="AD38" s="7">
        <v>10</v>
      </c>
      <c r="AE38" s="7">
        <v>17</v>
      </c>
      <c r="AF38" s="8">
        <v>20</v>
      </c>
      <c r="AG38" s="4">
        <f t="shared" si="2"/>
        <v>374</v>
      </c>
    </row>
    <row r="39" spans="1:33" ht="18.75" x14ac:dyDescent="0.25">
      <c r="A39" s="41" t="s">
        <v>45</v>
      </c>
      <c r="B39" s="7">
        <v>19</v>
      </c>
      <c r="C39" s="7">
        <v>9</v>
      </c>
      <c r="D39" s="7">
        <v>11</v>
      </c>
      <c r="E39" s="7">
        <v>14</v>
      </c>
      <c r="F39" s="7">
        <v>27</v>
      </c>
      <c r="G39" s="7">
        <v>20</v>
      </c>
      <c r="H39" s="7">
        <v>14</v>
      </c>
      <c r="I39" s="7">
        <v>21</v>
      </c>
      <c r="J39" s="7">
        <v>14</v>
      </c>
      <c r="K39" s="7">
        <v>14</v>
      </c>
      <c r="L39" s="7">
        <v>6</v>
      </c>
      <c r="M39" s="7">
        <v>18</v>
      </c>
      <c r="N39" s="7">
        <v>21</v>
      </c>
      <c r="O39" s="7">
        <v>16</v>
      </c>
      <c r="P39" s="7">
        <v>31</v>
      </c>
      <c r="Q39" s="7">
        <v>10</v>
      </c>
      <c r="R39" s="7">
        <v>21</v>
      </c>
      <c r="S39" s="7">
        <v>19</v>
      </c>
      <c r="T39" s="7">
        <v>29</v>
      </c>
      <c r="U39" s="7">
        <v>19</v>
      </c>
      <c r="V39" s="7">
        <v>20</v>
      </c>
      <c r="W39" s="7">
        <v>23</v>
      </c>
      <c r="X39" s="7">
        <v>15</v>
      </c>
      <c r="Y39" s="7">
        <v>14</v>
      </c>
      <c r="Z39" s="7">
        <v>18</v>
      </c>
      <c r="AA39" s="7">
        <v>22</v>
      </c>
      <c r="AB39" s="7">
        <v>22</v>
      </c>
      <c r="AC39" s="7">
        <v>15</v>
      </c>
      <c r="AD39" s="7">
        <v>28</v>
      </c>
      <c r="AE39" s="7">
        <v>15</v>
      </c>
      <c r="AF39" s="8">
        <v>11</v>
      </c>
      <c r="AG39" s="4">
        <f t="shared" si="2"/>
        <v>556</v>
      </c>
    </row>
    <row r="40" spans="1:33" ht="18.75" x14ac:dyDescent="0.25">
      <c r="A40" s="41" t="s">
        <v>46</v>
      </c>
      <c r="B40" s="7">
        <v>26</v>
      </c>
      <c r="C40" s="7">
        <v>16</v>
      </c>
      <c r="D40" s="7">
        <v>12</v>
      </c>
      <c r="E40" s="7">
        <v>22</v>
      </c>
      <c r="F40" s="7">
        <v>27</v>
      </c>
      <c r="G40" s="7">
        <v>19</v>
      </c>
      <c r="H40" s="7">
        <v>21</v>
      </c>
      <c r="I40" s="7">
        <v>23</v>
      </c>
      <c r="J40" s="7">
        <v>6</v>
      </c>
      <c r="K40" s="7">
        <v>12</v>
      </c>
      <c r="L40" s="7">
        <v>34</v>
      </c>
      <c r="M40" s="7">
        <v>17</v>
      </c>
      <c r="N40" s="7">
        <v>20</v>
      </c>
      <c r="O40" s="7">
        <v>22</v>
      </c>
      <c r="P40" s="7">
        <v>24</v>
      </c>
      <c r="Q40" s="7">
        <v>15</v>
      </c>
      <c r="R40" s="7">
        <v>10</v>
      </c>
      <c r="S40" s="7">
        <v>17</v>
      </c>
      <c r="T40" s="7">
        <v>25</v>
      </c>
      <c r="U40" s="7">
        <v>24</v>
      </c>
      <c r="V40" s="7">
        <v>22</v>
      </c>
      <c r="W40" s="7">
        <v>10</v>
      </c>
      <c r="X40" s="7">
        <v>9</v>
      </c>
      <c r="Y40" s="7">
        <v>13</v>
      </c>
      <c r="Z40" s="7">
        <v>22</v>
      </c>
      <c r="AA40" s="7">
        <v>27</v>
      </c>
      <c r="AB40" s="7">
        <v>23</v>
      </c>
      <c r="AC40" s="7">
        <v>22</v>
      </c>
      <c r="AD40" s="7">
        <v>22</v>
      </c>
      <c r="AE40" s="7">
        <v>15</v>
      </c>
      <c r="AF40" s="8">
        <v>15</v>
      </c>
      <c r="AG40" s="4">
        <f t="shared" si="2"/>
        <v>592</v>
      </c>
    </row>
    <row r="41" spans="1:33" ht="18.75" x14ac:dyDescent="0.25">
      <c r="A41" s="41" t="s">
        <v>47</v>
      </c>
      <c r="B41" s="7">
        <v>10</v>
      </c>
      <c r="C41" s="7">
        <v>14</v>
      </c>
      <c r="D41" s="7">
        <v>12</v>
      </c>
      <c r="E41" s="7">
        <v>27</v>
      </c>
      <c r="F41" s="7">
        <v>22</v>
      </c>
      <c r="G41" s="7">
        <v>15</v>
      </c>
      <c r="H41" s="7">
        <v>24</v>
      </c>
      <c r="I41" s="7">
        <v>13</v>
      </c>
      <c r="J41" s="7">
        <v>8</v>
      </c>
      <c r="K41" s="7">
        <v>10</v>
      </c>
      <c r="L41" s="7">
        <v>32</v>
      </c>
      <c r="M41" s="7">
        <v>17</v>
      </c>
      <c r="N41" s="7">
        <v>21</v>
      </c>
      <c r="O41" s="7">
        <v>22</v>
      </c>
      <c r="P41" s="7">
        <v>24</v>
      </c>
      <c r="Q41" s="7">
        <v>19</v>
      </c>
      <c r="R41" s="7">
        <v>15</v>
      </c>
      <c r="S41" s="7">
        <v>24</v>
      </c>
      <c r="T41" s="7">
        <v>26</v>
      </c>
      <c r="U41" s="7">
        <v>20</v>
      </c>
      <c r="V41" s="7">
        <v>21</v>
      </c>
      <c r="W41" s="7">
        <v>19</v>
      </c>
      <c r="X41" s="7">
        <v>18</v>
      </c>
      <c r="Y41" s="7">
        <v>14</v>
      </c>
      <c r="Z41" s="7">
        <v>32</v>
      </c>
      <c r="AA41" s="7">
        <v>23</v>
      </c>
      <c r="AB41" s="7">
        <v>22</v>
      </c>
      <c r="AC41" s="7">
        <v>21</v>
      </c>
      <c r="AD41" s="7">
        <v>11</v>
      </c>
      <c r="AE41" s="7">
        <v>10</v>
      </c>
      <c r="AF41" s="8">
        <v>15</v>
      </c>
      <c r="AG41" s="4">
        <f t="shared" si="2"/>
        <v>581</v>
      </c>
    </row>
    <row r="42" spans="1:33" ht="18.75" x14ac:dyDescent="0.25">
      <c r="A42" s="41" t="s">
        <v>48</v>
      </c>
      <c r="B42" s="7">
        <v>13</v>
      </c>
      <c r="C42" s="7">
        <v>13</v>
      </c>
      <c r="D42" s="7">
        <v>10</v>
      </c>
      <c r="E42" s="7">
        <v>24</v>
      </c>
      <c r="F42" s="7">
        <v>19</v>
      </c>
      <c r="G42" s="7">
        <v>16</v>
      </c>
      <c r="H42" s="7">
        <v>21</v>
      </c>
      <c r="I42" s="7">
        <v>16</v>
      </c>
      <c r="J42" s="7">
        <v>16</v>
      </c>
      <c r="K42" s="7">
        <v>17</v>
      </c>
      <c r="L42" s="7">
        <v>27</v>
      </c>
      <c r="M42" s="7">
        <v>16</v>
      </c>
      <c r="N42" s="7">
        <v>16</v>
      </c>
      <c r="O42" s="7">
        <v>19</v>
      </c>
      <c r="P42" s="7">
        <v>16</v>
      </c>
      <c r="Q42" s="7">
        <v>14</v>
      </c>
      <c r="R42" s="7">
        <v>12</v>
      </c>
      <c r="S42" s="7">
        <v>32</v>
      </c>
      <c r="T42" s="7">
        <v>20</v>
      </c>
      <c r="U42" s="7">
        <v>17</v>
      </c>
      <c r="V42" s="7">
        <v>27</v>
      </c>
      <c r="W42" s="7">
        <v>10</v>
      </c>
      <c r="X42" s="7">
        <v>21</v>
      </c>
      <c r="Y42" s="7">
        <v>21</v>
      </c>
      <c r="Z42" s="7">
        <v>48</v>
      </c>
      <c r="AA42" s="7">
        <v>18</v>
      </c>
      <c r="AB42" s="7">
        <v>24</v>
      </c>
      <c r="AC42" s="7">
        <v>18</v>
      </c>
      <c r="AD42" s="7">
        <v>20</v>
      </c>
      <c r="AE42" s="7">
        <v>10</v>
      </c>
      <c r="AF42" s="8">
        <v>19</v>
      </c>
      <c r="AG42" s="4">
        <f t="shared" si="2"/>
        <v>590</v>
      </c>
    </row>
    <row r="43" spans="1:33" ht="18.75" x14ac:dyDescent="0.25">
      <c r="A43" s="41" t="s">
        <v>49</v>
      </c>
      <c r="B43" s="7">
        <v>19</v>
      </c>
      <c r="C43" s="7">
        <v>10</v>
      </c>
      <c r="D43" s="7">
        <v>9</v>
      </c>
      <c r="E43" s="7">
        <v>18</v>
      </c>
      <c r="F43" s="7">
        <v>10</v>
      </c>
      <c r="G43" s="7">
        <v>11</v>
      </c>
      <c r="H43" s="7">
        <v>15</v>
      </c>
      <c r="I43" s="7">
        <v>23</v>
      </c>
      <c r="J43" s="7">
        <v>10</v>
      </c>
      <c r="K43" s="7">
        <v>10</v>
      </c>
      <c r="L43" s="7">
        <v>20</v>
      </c>
      <c r="M43" s="7">
        <v>15</v>
      </c>
      <c r="N43" s="7">
        <v>20</v>
      </c>
      <c r="O43" s="7">
        <v>20</v>
      </c>
      <c r="P43" s="7">
        <v>10</v>
      </c>
      <c r="Q43" s="7">
        <v>11</v>
      </c>
      <c r="R43" s="7">
        <v>4</v>
      </c>
      <c r="S43" s="7">
        <v>25</v>
      </c>
      <c r="T43" s="7">
        <v>19</v>
      </c>
      <c r="U43" s="7">
        <v>21</v>
      </c>
      <c r="V43" s="7">
        <v>15</v>
      </c>
      <c r="W43" s="7">
        <v>15</v>
      </c>
      <c r="X43" s="7">
        <v>8</v>
      </c>
      <c r="Y43" s="7">
        <v>7</v>
      </c>
      <c r="Z43" s="7">
        <v>16</v>
      </c>
      <c r="AA43" s="7">
        <v>8</v>
      </c>
      <c r="AB43" s="7">
        <v>11</v>
      </c>
      <c r="AC43" s="7">
        <v>14</v>
      </c>
      <c r="AD43" s="7">
        <v>20</v>
      </c>
      <c r="AE43" s="7">
        <v>10</v>
      </c>
      <c r="AF43" s="8">
        <v>3</v>
      </c>
      <c r="AG43" s="4">
        <f t="shared" si="2"/>
        <v>427</v>
      </c>
    </row>
    <row r="44" spans="1:33" ht="18.75" x14ac:dyDescent="0.25">
      <c r="A44" s="41" t="s">
        <v>50</v>
      </c>
      <c r="B44" s="7">
        <v>17</v>
      </c>
      <c r="C44" s="7">
        <v>10</v>
      </c>
      <c r="D44" s="7">
        <v>9</v>
      </c>
      <c r="E44" s="7">
        <v>16</v>
      </c>
      <c r="F44" s="7">
        <v>6</v>
      </c>
      <c r="G44" s="7">
        <v>13</v>
      </c>
      <c r="H44" s="7">
        <v>11</v>
      </c>
      <c r="I44" s="7">
        <v>7</v>
      </c>
      <c r="J44" s="7">
        <v>18</v>
      </c>
      <c r="K44" s="7">
        <v>12</v>
      </c>
      <c r="L44" s="7">
        <v>10</v>
      </c>
      <c r="M44" s="7">
        <v>8</v>
      </c>
      <c r="N44" s="7">
        <v>14</v>
      </c>
      <c r="O44" s="7">
        <v>9</v>
      </c>
      <c r="P44" s="7">
        <v>11</v>
      </c>
      <c r="Q44" s="7">
        <v>14</v>
      </c>
      <c r="R44" s="7">
        <v>7</v>
      </c>
      <c r="S44" s="7">
        <v>14</v>
      </c>
      <c r="T44" s="7">
        <v>8</v>
      </c>
      <c r="U44" s="7">
        <v>14</v>
      </c>
      <c r="V44" s="7">
        <v>15</v>
      </c>
      <c r="W44" s="7">
        <v>7</v>
      </c>
      <c r="X44" s="7">
        <v>10</v>
      </c>
      <c r="Y44" s="7">
        <v>10</v>
      </c>
      <c r="Z44" s="7">
        <v>16</v>
      </c>
      <c r="AA44" s="7">
        <v>11</v>
      </c>
      <c r="AB44" s="7">
        <v>11</v>
      </c>
      <c r="AC44" s="7">
        <v>13</v>
      </c>
      <c r="AD44" s="7">
        <v>9</v>
      </c>
      <c r="AE44" s="7">
        <v>9</v>
      </c>
      <c r="AF44" s="8">
        <v>9</v>
      </c>
      <c r="AG44" s="4">
        <f t="shared" si="2"/>
        <v>348</v>
      </c>
    </row>
    <row r="45" spans="1:33" ht="18.75" x14ac:dyDescent="0.25">
      <c r="A45" s="41" t="s">
        <v>33</v>
      </c>
      <c r="B45" s="7">
        <v>5</v>
      </c>
      <c r="C45" s="7">
        <v>11</v>
      </c>
      <c r="D45" s="7">
        <v>11</v>
      </c>
      <c r="E45" s="7">
        <v>4</v>
      </c>
      <c r="F45" s="7">
        <v>3</v>
      </c>
      <c r="G45" s="7">
        <v>11</v>
      </c>
      <c r="H45" s="7">
        <v>4</v>
      </c>
      <c r="I45" s="7">
        <v>4</v>
      </c>
      <c r="J45" s="7">
        <v>23</v>
      </c>
      <c r="K45" s="7">
        <v>7</v>
      </c>
      <c r="L45" s="7">
        <v>3</v>
      </c>
      <c r="M45" s="7">
        <v>7</v>
      </c>
      <c r="N45" s="7">
        <v>7</v>
      </c>
      <c r="O45" s="7">
        <v>5</v>
      </c>
      <c r="P45" s="7">
        <v>12</v>
      </c>
      <c r="Q45" s="7">
        <v>13</v>
      </c>
      <c r="R45" s="7">
        <v>16</v>
      </c>
      <c r="S45" s="7">
        <v>12</v>
      </c>
      <c r="T45" s="7">
        <v>6</v>
      </c>
      <c r="U45" s="7">
        <v>9</v>
      </c>
      <c r="V45" s="7">
        <v>9</v>
      </c>
      <c r="W45" s="7">
        <v>1</v>
      </c>
      <c r="X45" s="7">
        <v>13</v>
      </c>
      <c r="Y45" s="7">
        <v>8</v>
      </c>
      <c r="Z45" s="7">
        <v>16</v>
      </c>
      <c r="AA45" s="7">
        <v>12</v>
      </c>
      <c r="AB45" s="7">
        <v>10</v>
      </c>
      <c r="AC45" s="7">
        <v>1</v>
      </c>
      <c r="AD45" s="7">
        <v>3</v>
      </c>
      <c r="AE45" s="7">
        <v>8</v>
      </c>
      <c r="AF45" s="8">
        <v>8</v>
      </c>
      <c r="AG45" s="4">
        <f t="shared" si="2"/>
        <v>262</v>
      </c>
    </row>
    <row r="46" spans="1:33" ht="18.75" x14ac:dyDescent="0.25">
      <c r="A46" s="41" t="s">
        <v>34</v>
      </c>
      <c r="B46" s="7">
        <v>3</v>
      </c>
      <c r="C46" s="7">
        <v>5</v>
      </c>
      <c r="D46" s="7">
        <v>8</v>
      </c>
      <c r="E46" s="7">
        <v>6</v>
      </c>
      <c r="F46" s="7">
        <v>6</v>
      </c>
      <c r="G46" s="7">
        <v>5</v>
      </c>
      <c r="H46" s="7">
        <v>2</v>
      </c>
      <c r="I46" s="7">
        <v>3</v>
      </c>
      <c r="J46" s="7"/>
      <c r="K46" s="7">
        <v>8</v>
      </c>
      <c r="L46" s="7">
        <v>7</v>
      </c>
      <c r="M46" s="7">
        <v>6</v>
      </c>
      <c r="N46" s="7">
        <v>6</v>
      </c>
      <c r="O46" s="7">
        <v>5</v>
      </c>
      <c r="P46" s="7">
        <v>4</v>
      </c>
      <c r="Q46" s="7">
        <v>3</v>
      </c>
      <c r="R46" s="7">
        <v>6</v>
      </c>
      <c r="S46" s="7">
        <v>3</v>
      </c>
      <c r="T46" s="7">
        <v>9</v>
      </c>
      <c r="U46" s="7">
        <v>5</v>
      </c>
      <c r="V46" s="7">
        <v>4</v>
      </c>
      <c r="W46" s="7">
        <v>6</v>
      </c>
      <c r="X46" s="7">
        <v>10</v>
      </c>
      <c r="Y46" s="7">
        <v>6</v>
      </c>
      <c r="Z46" s="7">
        <v>7</v>
      </c>
      <c r="AA46" s="7">
        <v>11</v>
      </c>
      <c r="AB46" s="7">
        <v>7</v>
      </c>
      <c r="AC46" s="7">
        <v>4</v>
      </c>
      <c r="AD46" s="7">
        <v>4</v>
      </c>
      <c r="AE46" s="7">
        <v>9</v>
      </c>
      <c r="AF46" s="8">
        <v>8</v>
      </c>
      <c r="AG46" s="4">
        <f t="shared" si="2"/>
        <v>176</v>
      </c>
    </row>
    <row r="47" spans="1:33" ht="18.75" x14ac:dyDescent="0.25">
      <c r="A47" s="41" t="s">
        <v>35</v>
      </c>
      <c r="B47" s="7">
        <v>5</v>
      </c>
      <c r="C47" s="7">
        <v>4</v>
      </c>
      <c r="D47" s="7">
        <v>5</v>
      </c>
      <c r="E47" s="7">
        <v>3</v>
      </c>
      <c r="F47" s="7">
        <v>4</v>
      </c>
      <c r="G47" s="7"/>
      <c r="H47" s="7">
        <v>2</v>
      </c>
      <c r="I47" s="7">
        <v>6</v>
      </c>
      <c r="J47" s="7"/>
      <c r="K47" s="7">
        <v>1</v>
      </c>
      <c r="L47" s="7">
        <v>2</v>
      </c>
      <c r="M47" s="7">
        <v>5</v>
      </c>
      <c r="N47" s="7">
        <v>5</v>
      </c>
      <c r="O47" s="7">
        <v>1</v>
      </c>
      <c r="P47" s="7"/>
      <c r="Q47" s="7">
        <v>3</v>
      </c>
      <c r="R47" s="7">
        <v>4</v>
      </c>
      <c r="S47" s="7">
        <v>1</v>
      </c>
      <c r="T47" s="7">
        <v>5</v>
      </c>
      <c r="U47" s="7">
        <v>4</v>
      </c>
      <c r="V47" s="7">
        <v>5</v>
      </c>
      <c r="W47" s="7">
        <v>3</v>
      </c>
      <c r="X47" s="7">
        <v>6</v>
      </c>
      <c r="Y47" s="7">
        <v>6</v>
      </c>
      <c r="Z47" s="7">
        <v>8</v>
      </c>
      <c r="AA47" s="7">
        <v>6</v>
      </c>
      <c r="AB47" s="7">
        <v>2</v>
      </c>
      <c r="AC47" s="7">
        <v>7</v>
      </c>
      <c r="AD47" s="7">
        <v>6</v>
      </c>
      <c r="AE47" s="7">
        <v>4</v>
      </c>
      <c r="AF47" s="8">
        <v>3</v>
      </c>
      <c r="AG47" s="4">
        <f t="shared" si="2"/>
        <v>116</v>
      </c>
    </row>
    <row r="48" spans="1:33" ht="18.75" x14ac:dyDescent="0.25">
      <c r="A48" s="41" t="s">
        <v>36</v>
      </c>
      <c r="B48" s="7">
        <v>5</v>
      </c>
      <c r="C48" s="7">
        <v>2</v>
      </c>
      <c r="D48" s="7"/>
      <c r="E48" s="7"/>
      <c r="F48" s="7"/>
      <c r="G48" s="7">
        <v>1</v>
      </c>
      <c r="H48" s="7"/>
      <c r="I48" s="7">
        <v>9</v>
      </c>
      <c r="J48" s="7"/>
      <c r="K48" s="7">
        <v>3</v>
      </c>
      <c r="L48" s="7">
        <v>4</v>
      </c>
      <c r="M48" s="7">
        <v>2</v>
      </c>
      <c r="N48" s="7">
        <v>2</v>
      </c>
      <c r="O48" s="7">
        <v>1</v>
      </c>
      <c r="P48" s="7">
        <v>2</v>
      </c>
      <c r="Q48" s="7">
        <v>3</v>
      </c>
      <c r="R48" s="7">
        <v>7</v>
      </c>
      <c r="S48" s="7"/>
      <c r="T48" s="7">
        <v>1</v>
      </c>
      <c r="U48" s="7"/>
      <c r="V48" s="7">
        <v>2</v>
      </c>
      <c r="W48" s="7"/>
      <c r="X48" s="7">
        <v>1</v>
      </c>
      <c r="Y48" s="7">
        <v>4</v>
      </c>
      <c r="Z48" s="7">
        <v>2</v>
      </c>
      <c r="AA48" s="7"/>
      <c r="AB48" s="7">
        <v>4</v>
      </c>
      <c r="AC48" s="7">
        <v>3</v>
      </c>
      <c r="AD48" s="7">
        <v>2</v>
      </c>
      <c r="AE48" s="7">
        <v>4</v>
      </c>
      <c r="AF48" s="8">
        <v>1</v>
      </c>
      <c r="AG48" s="4">
        <f t="shared" si="2"/>
        <v>65</v>
      </c>
    </row>
    <row r="49" spans="1:33" ht="18.75" x14ac:dyDescent="0.25">
      <c r="A49" s="41" t="s">
        <v>51</v>
      </c>
      <c r="B49" s="7">
        <v>2</v>
      </c>
      <c r="C49" s="7">
        <v>3</v>
      </c>
      <c r="D49" s="7">
        <v>1</v>
      </c>
      <c r="E49" s="7">
        <v>1</v>
      </c>
      <c r="F49" s="7">
        <v>2</v>
      </c>
      <c r="G49" s="7"/>
      <c r="H49" s="7">
        <v>1</v>
      </c>
      <c r="I49" s="7">
        <v>4</v>
      </c>
      <c r="J49" s="7"/>
      <c r="K49" s="7">
        <v>1</v>
      </c>
      <c r="L49" s="7">
        <v>1</v>
      </c>
      <c r="M49" s="7">
        <v>1</v>
      </c>
      <c r="N49" s="7"/>
      <c r="O49" s="7">
        <v>2</v>
      </c>
      <c r="P49" s="7"/>
      <c r="Q49" s="7">
        <v>2</v>
      </c>
      <c r="R49" s="7">
        <v>2</v>
      </c>
      <c r="S49" s="7">
        <v>1</v>
      </c>
      <c r="T49" s="7">
        <v>4</v>
      </c>
      <c r="U49" s="7">
        <v>1</v>
      </c>
      <c r="V49" s="7">
        <v>1</v>
      </c>
      <c r="W49" s="7">
        <v>1</v>
      </c>
      <c r="X49" s="7">
        <v>2</v>
      </c>
      <c r="Y49" s="7">
        <v>2</v>
      </c>
      <c r="Z49" s="7">
        <v>2</v>
      </c>
      <c r="AA49" s="7">
        <v>4</v>
      </c>
      <c r="AB49" s="7"/>
      <c r="AC49" s="7">
        <v>3</v>
      </c>
      <c r="AD49" s="7">
        <v>3</v>
      </c>
      <c r="AE49" s="7">
        <v>6</v>
      </c>
      <c r="AF49" s="8">
        <v>1</v>
      </c>
      <c r="AG49" s="4">
        <f t="shared" si="2"/>
        <v>54</v>
      </c>
    </row>
    <row r="50" spans="1:33" ht="18.75" x14ac:dyDescent="0.25">
      <c r="A50" s="41" t="s">
        <v>52</v>
      </c>
      <c r="B50" s="7">
        <v>5</v>
      </c>
      <c r="C50" s="7">
        <v>4</v>
      </c>
      <c r="D50" s="7"/>
      <c r="E50" s="7"/>
      <c r="F50" s="7"/>
      <c r="G50" s="7">
        <v>1</v>
      </c>
      <c r="H50" s="7">
        <v>1</v>
      </c>
      <c r="I50" s="7">
        <v>2</v>
      </c>
      <c r="J50" s="7"/>
      <c r="K50" s="7"/>
      <c r="L50" s="7">
        <v>1</v>
      </c>
      <c r="M50" s="7">
        <v>1</v>
      </c>
      <c r="N50" s="7">
        <v>1</v>
      </c>
      <c r="O50" s="7">
        <v>2</v>
      </c>
      <c r="P50" s="7">
        <v>1</v>
      </c>
      <c r="Q50" s="7">
        <v>3</v>
      </c>
      <c r="R50" s="7">
        <v>2</v>
      </c>
      <c r="S50" s="7">
        <v>1</v>
      </c>
      <c r="T50" s="7"/>
      <c r="U50" s="7">
        <v>3</v>
      </c>
      <c r="V50" s="7">
        <v>3</v>
      </c>
      <c r="W50" s="7">
        <v>2</v>
      </c>
      <c r="X50" s="7">
        <v>4</v>
      </c>
      <c r="Y50" s="7"/>
      <c r="Z50" s="7">
        <v>2</v>
      </c>
      <c r="AA50" s="7"/>
      <c r="AB50" s="7"/>
      <c r="AC50" s="7">
        <v>1</v>
      </c>
      <c r="AD50" s="7">
        <v>7</v>
      </c>
      <c r="AE50" s="7">
        <v>3</v>
      </c>
      <c r="AF50" s="8">
        <v>2</v>
      </c>
      <c r="AG50" s="4">
        <f t="shared" si="2"/>
        <v>52</v>
      </c>
    </row>
    <row r="51" spans="1:33" ht="18.75" x14ac:dyDescent="0.25">
      <c r="A51" s="41" t="s">
        <v>37</v>
      </c>
      <c r="B51" s="7">
        <v>4</v>
      </c>
      <c r="C51" s="7"/>
      <c r="D51" s="7">
        <v>1</v>
      </c>
      <c r="E51" s="7">
        <v>3</v>
      </c>
      <c r="F51" s="7"/>
      <c r="G51" s="7"/>
      <c r="H51" s="7">
        <v>1</v>
      </c>
      <c r="I51" s="7"/>
      <c r="J51" s="7"/>
      <c r="K51" s="7"/>
      <c r="L51" s="7"/>
      <c r="M51" s="7">
        <v>2</v>
      </c>
      <c r="N51" s="7">
        <v>1</v>
      </c>
      <c r="O51" s="7"/>
      <c r="P51" s="7">
        <v>3</v>
      </c>
      <c r="Q51" s="7">
        <v>3</v>
      </c>
      <c r="R51" s="7"/>
      <c r="S51" s="7"/>
      <c r="T51" s="7"/>
      <c r="U51" s="7">
        <v>2</v>
      </c>
      <c r="V51" s="7"/>
      <c r="W51" s="7">
        <v>3</v>
      </c>
      <c r="X51" s="7">
        <v>2</v>
      </c>
      <c r="Y51" s="7"/>
      <c r="Z51" s="7"/>
      <c r="AA51" s="7">
        <v>1</v>
      </c>
      <c r="AB51" s="7">
        <v>2</v>
      </c>
      <c r="AC51" s="7"/>
      <c r="AD51" s="7">
        <v>2</v>
      </c>
      <c r="AE51" s="7">
        <v>2</v>
      </c>
      <c r="AF51" s="8"/>
      <c r="AG51" s="4">
        <f t="shared" si="2"/>
        <v>32</v>
      </c>
    </row>
    <row r="52" spans="1:33" ht="19.5" thickBot="1" x14ac:dyDescent="0.3">
      <c r="A52" s="77" t="s">
        <v>53</v>
      </c>
      <c r="B52" s="9">
        <v>2</v>
      </c>
      <c r="C52" s="9">
        <v>2</v>
      </c>
      <c r="D52" s="9"/>
      <c r="E52" s="9"/>
      <c r="F52" s="9"/>
      <c r="G52" s="9">
        <v>2</v>
      </c>
      <c r="H52" s="9"/>
      <c r="I52" s="9">
        <v>1</v>
      </c>
      <c r="J52" s="9"/>
      <c r="K52" s="9"/>
      <c r="L52" s="9">
        <v>1</v>
      </c>
      <c r="M52" s="9"/>
      <c r="N52" s="9"/>
      <c r="O52" s="9"/>
      <c r="P52" s="9">
        <v>3</v>
      </c>
      <c r="Q52" s="9">
        <v>3</v>
      </c>
      <c r="R52" s="9">
        <v>1</v>
      </c>
      <c r="S52" s="9"/>
      <c r="T52" s="9"/>
      <c r="U52" s="9"/>
      <c r="V52" s="9"/>
      <c r="W52" s="9">
        <v>4</v>
      </c>
      <c r="X52" s="9"/>
      <c r="Y52" s="9"/>
      <c r="Z52" s="9"/>
      <c r="AA52" s="9"/>
      <c r="AB52" s="9"/>
      <c r="AC52" s="9">
        <v>3</v>
      </c>
      <c r="AD52" s="9">
        <v>3</v>
      </c>
      <c r="AE52" s="9">
        <v>1</v>
      </c>
      <c r="AF52" s="10">
        <v>3</v>
      </c>
      <c r="AG52" s="108">
        <f t="shared" si="2"/>
        <v>29</v>
      </c>
    </row>
    <row r="53" spans="1:33" ht="19.5" thickBot="1" x14ac:dyDescent="0.3">
      <c r="A53" s="136" t="s">
        <v>108</v>
      </c>
      <c r="B53" s="135">
        <f t="shared" ref="B53:AF53" si="4">SUM(B54:B77)</f>
        <v>16</v>
      </c>
      <c r="C53" s="135">
        <f t="shared" si="4"/>
        <v>5</v>
      </c>
      <c r="D53" s="135">
        <f t="shared" si="4"/>
        <v>3</v>
      </c>
      <c r="E53" s="135">
        <f t="shared" si="4"/>
        <v>16</v>
      </c>
      <c r="F53" s="135">
        <f t="shared" si="4"/>
        <v>11</v>
      </c>
      <c r="G53" s="135">
        <f t="shared" si="4"/>
        <v>14</v>
      </c>
      <c r="H53" s="135">
        <f t="shared" si="4"/>
        <v>16</v>
      </c>
      <c r="I53" s="135">
        <f t="shared" si="4"/>
        <v>10</v>
      </c>
      <c r="J53" s="135">
        <f t="shared" si="4"/>
        <v>27</v>
      </c>
      <c r="K53" s="135">
        <f t="shared" si="4"/>
        <v>3</v>
      </c>
      <c r="L53" s="135">
        <f t="shared" si="4"/>
        <v>19</v>
      </c>
      <c r="M53" s="135">
        <f t="shared" si="4"/>
        <v>45</v>
      </c>
      <c r="N53" s="135">
        <f t="shared" si="4"/>
        <v>28</v>
      </c>
      <c r="O53" s="135">
        <f t="shared" si="4"/>
        <v>15</v>
      </c>
      <c r="P53" s="135">
        <f t="shared" si="4"/>
        <v>5</v>
      </c>
      <c r="Q53" s="135">
        <f t="shared" si="4"/>
        <v>49</v>
      </c>
      <c r="R53" s="135">
        <f t="shared" si="4"/>
        <v>25</v>
      </c>
      <c r="S53" s="135">
        <f t="shared" si="4"/>
        <v>46</v>
      </c>
      <c r="T53" s="135">
        <f t="shared" si="4"/>
        <v>31</v>
      </c>
      <c r="U53" s="135">
        <f t="shared" si="4"/>
        <v>25</v>
      </c>
      <c r="V53" s="135">
        <f t="shared" si="4"/>
        <v>24</v>
      </c>
      <c r="W53" s="135">
        <f t="shared" si="4"/>
        <v>21</v>
      </c>
      <c r="X53" s="135">
        <f t="shared" si="4"/>
        <v>38</v>
      </c>
      <c r="Y53" s="135">
        <f t="shared" si="4"/>
        <v>50</v>
      </c>
      <c r="Z53" s="135">
        <f t="shared" si="4"/>
        <v>31</v>
      </c>
      <c r="AA53" s="135">
        <f t="shared" si="4"/>
        <v>30</v>
      </c>
      <c r="AB53" s="135">
        <f t="shared" si="4"/>
        <v>17</v>
      </c>
      <c r="AC53" s="135">
        <f t="shared" si="4"/>
        <v>18</v>
      </c>
      <c r="AD53" s="135">
        <f t="shared" si="4"/>
        <v>31</v>
      </c>
      <c r="AE53" s="135">
        <f t="shared" si="4"/>
        <v>31</v>
      </c>
      <c r="AF53" s="135">
        <f t="shared" si="4"/>
        <v>14</v>
      </c>
      <c r="AG53" s="116">
        <f t="shared" si="2"/>
        <v>714</v>
      </c>
    </row>
    <row r="54" spans="1:33" ht="18.75" x14ac:dyDescent="0.25">
      <c r="A54" s="113" t="s">
        <v>54</v>
      </c>
      <c r="B54" s="114"/>
      <c r="C54" s="114">
        <v>1</v>
      </c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1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>
        <v>1</v>
      </c>
      <c r="AG55" s="4">
        <f t="shared" si="2"/>
        <v>1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>
        <v>1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1</v>
      </c>
    </row>
    <row r="57" spans="1:33" ht="18.75" x14ac:dyDescent="0.25">
      <c r="A57" s="41" t="s">
        <v>38</v>
      </c>
      <c r="B57" s="7"/>
      <c r="C57" s="7">
        <v>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>
        <v>1</v>
      </c>
      <c r="Y57" s="7"/>
      <c r="Z57" s="7"/>
      <c r="AA57" s="7"/>
      <c r="AB57" s="7"/>
      <c r="AC57" s="7"/>
      <c r="AD57" s="7"/>
      <c r="AE57" s="7"/>
      <c r="AF57" s="8"/>
      <c r="AG57" s="4">
        <f t="shared" si="2"/>
        <v>3</v>
      </c>
    </row>
    <row r="58" spans="1:33" ht="18.75" x14ac:dyDescent="0.25">
      <c r="A58" s="41" t="s">
        <v>39</v>
      </c>
      <c r="B58" s="7"/>
      <c r="C58" s="7"/>
      <c r="D58" s="7"/>
      <c r="E58" s="7">
        <v>1</v>
      </c>
      <c r="F58" s="7"/>
      <c r="G58" s="7"/>
      <c r="H58" s="7"/>
      <c r="I58" s="7"/>
      <c r="J58" s="7"/>
      <c r="K58" s="7"/>
      <c r="L58" s="7">
        <v>1</v>
      </c>
      <c r="M58" s="7"/>
      <c r="N58" s="7"/>
      <c r="O58" s="7"/>
      <c r="P58" s="7"/>
      <c r="Q58" s="7"/>
      <c r="R58" s="7"/>
      <c r="S58" s="7">
        <v>1</v>
      </c>
      <c r="T58" s="7"/>
      <c r="U58" s="7"/>
      <c r="V58" s="7"/>
      <c r="W58" s="7"/>
      <c r="X58" s="7">
        <v>2</v>
      </c>
      <c r="Y58" s="7">
        <v>3</v>
      </c>
      <c r="Z58" s="7"/>
      <c r="AA58" s="7"/>
      <c r="AB58" s="7"/>
      <c r="AC58" s="7"/>
      <c r="AD58" s="7"/>
      <c r="AE58" s="7"/>
      <c r="AF58" s="8"/>
      <c r="AG58" s="4">
        <f t="shared" si="2"/>
        <v>8</v>
      </c>
    </row>
    <row r="59" spans="1:33" ht="18.75" x14ac:dyDescent="0.25">
      <c r="A59" s="41" t="s">
        <v>40</v>
      </c>
      <c r="B59" s="7"/>
      <c r="C59" s="7"/>
      <c r="D59" s="7"/>
      <c r="E59" s="7">
        <v>1</v>
      </c>
      <c r="F59" s="7"/>
      <c r="G59" s="7"/>
      <c r="H59" s="7"/>
      <c r="I59" s="7"/>
      <c r="J59" s="7"/>
      <c r="K59" s="7"/>
      <c r="L59" s="7"/>
      <c r="M59" s="7"/>
      <c r="N59" s="7"/>
      <c r="O59" s="7">
        <v>1</v>
      </c>
      <c r="P59" s="7"/>
      <c r="Q59" s="7">
        <v>2</v>
      </c>
      <c r="R59" s="7"/>
      <c r="S59" s="7"/>
      <c r="T59" s="7"/>
      <c r="U59" s="7"/>
      <c r="V59" s="7"/>
      <c r="W59" s="7"/>
      <c r="X59" s="7">
        <v>2</v>
      </c>
      <c r="Y59" s="7">
        <v>1</v>
      </c>
      <c r="Z59" s="7"/>
      <c r="AA59" s="7">
        <v>2</v>
      </c>
      <c r="AB59" s="7"/>
      <c r="AC59" s="7"/>
      <c r="AD59" s="7"/>
      <c r="AE59" s="7">
        <v>2</v>
      </c>
      <c r="AF59" s="8"/>
      <c r="AG59" s="4">
        <f t="shared" si="2"/>
        <v>11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>
        <v>1</v>
      </c>
      <c r="I60" s="7"/>
      <c r="J60" s="7"/>
      <c r="K60" s="7"/>
      <c r="L60" s="7"/>
      <c r="M60" s="7">
        <v>1</v>
      </c>
      <c r="N60" s="7"/>
      <c r="O60" s="7">
        <v>2</v>
      </c>
      <c r="P60" s="7"/>
      <c r="Q60" s="7">
        <v>2</v>
      </c>
      <c r="R60" s="7">
        <v>1</v>
      </c>
      <c r="S60" s="7"/>
      <c r="T60" s="7">
        <v>2</v>
      </c>
      <c r="U60" s="7">
        <v>1</v>
      </c>
      <c r="V60" s="7"/>
      <c r="W60" s="7"/>
      <c r="X60" s="7">
        <v>3</v>
      </c>
      <c r="Y60" s="7">
        <v>1</v>
      </c>
      <c r="Z60" s="7">
        <v>1</v>
      </c>
      <c r="AA60" s="7">
        <v>1</v>
      </c>
      <c r="AB60" s="7">
        <v>1</v>
      </c>
      <c r="AC60" s="7"/>
      <c r="AD60" s="7"/>
      <c r="AE60" s="7">
        <v>1</v>
      </c>
      <c r="AF60" s="8"/>
      <c r="AG60" s="4">
        <f t="shared" si="2"/>
        <v>18</v>
      </c>
    </row>
    <row r="61" spans="1:33" ht="18.75" x14ac:dyDescent="0.25">
      <c r="A61" s="41" t="s">
        <v>42</v>
      </c>
      <c r="B61" s="7"/>
      <c r="C61" s="7"/>
      <c r="D61" s="7">
        <v>1</v>
      </c>
      <c r="E61" s="7">
        <v>1</v>
      </c>
      <c r="F61" s="7"/>
      <c r="G61" s="7"/>
      <c r="H61" s="7"/>
      <c r="I61" s="7"/>
      <c r="J61" s="7">
        <v>1</v>
      </c>
      <c r="K61" s="7"/>
      <c r="L61" s="7"/>
      <c r="M61" s="7"/>
      <c r="N61" s="7"/>
      <c r="O61" s="7"/>
      <c r="P61" s="7"/>
      <c r="Q61" s="7">
        <v>4</v>
      </c>
      <c r="R61" s="7">
        <v>6</v>
      </c>
      <c r="S61" s="7"/>
      <c r="T61" s="7"/>
      <c r="U61" s="7"/>
      <c r="V61" s="7"/>
      <c r="W61" s="7"/>
      <c r="X61" s="7">
        <v>3</v>
      </c>
      <c r="Y61" s="7">
        <v>5</v>
      </c>
      <c r="Z61" s="7"/>
      <c r="AA61" s="7"/>
      <c r="AB61" s="7"/>
      <c r="AC61" s="7"/>
      <c r="AD61" s="7"/>
      <c r="AE61" s="7">
        <v>2</v>
      </c>
      <c r="AF61" s="8"/>
      <c r="AG61" s="4">
        <f t="shared" si="2"/>
        <v>23</v>
      </c>
    </row>
    <row r="62" spans="1:33" ht="18.75" x14ac:dyDescent="0.25">
      <c r="A62" s="41" t="s">
        <v>43</v>
      </c>
      <c r="B62" s="7"/>
      <c r="C62" s="7">
        <v>1</v>
      </c>
      <c r="D62" s="7"/>
      <c r="E62" s="7"/>
      <c r="F62" s="7"/>
      <c r="G62" s="7"/>
      <c r="H62" s="7"/>
      <c r="I62" s="7"/>
      <c r="J62" s="7">
        <v>2</v>
      </c>
      <c r="K62" s="7"/>
      <c r="L62" s="7"/>
      <c r="M62" s="7">
        <v>4</v>
      </c>
      <c r="N62" s="7"/>
      <c r="O62" s="7"/>
      <c r="P62" s="7">
        <v>1</v>
      </c>
      <c r="Q62" s="7">
        <v>2</v>
      </c>
      <c r="R62" s="7"/>
      <c r="S62" s="7"/>
      <c r="T62" s="7"/>
      <c r="U62" s="7"/>
      <c r="V62" s="7"/>
      <c r="W62" s="7"/>
      <c r="X62" s="7">
        <v>8</v>
      </c>
      <c r="Y62" s="7">
        <v>4</v>
      </c>
      <c r="Z62" s="7"/>
      <c r="AA62" s="7">
        <v>1</v>
      </c>
      <c r="AB62" s="7"/>
      <c r="AC62" s="7"/>
      <c r="AD62" s="7"/>
      <c r="AE62" s="7">
        <v>1</v>
      </c>
      <c r="AF62" s="8">
        <v>1</v>
      </c>
      <c r="AG62" s="4">
        <f t="shared" si="2"/>
        <v>25</v>
      </c>
    </row>
    <row r="63" spans="1:33" ht="18.75" x14ac:dyDescent="0.25">
      <c r="A63" s="41" t="s">
        <v>44</v>
      </c>
      <c r="B63" s="7"/>
      <c r="C63" s="7"/>
      <c r="D63" s="7"/>
      <c r="E63" s="7"/>
      <c r="F63" s="7">
        <v>2</v>
      </c>
      <c r="G63" s="7">
        <v>1</v>
      </c>
      <c r="H63" s="7"/>
      <c r="I63" s="7"/>
      <c r="J63" s="7"/>
      <c r="K63" s="7"/>
      <c r="L63" s="7"/>
      <c r="M63" s="7">
        <v>3</v>
      </c>
      <c r="N63" s="7"/>
      <c r="O63" s="7"/>
      <c r="P63" s="7"/>
      <c r="Q63" s="7"/>
      <c r="R63" s="7">
        <v>7</v>
      </c>
      <c r="S63" s="7">
        <v>2</v>
      </c>
      <c r="T63" s="7">
        <v>1</v>
      </c>
      <c r="U63" s="7"/>
      <c r="V63" s="7"/>
      <c r="W63" s="7"/>
      <c r="X63" s="7">
        <v>2</v>
      </c>
      <c r="Y63" s="7">
        <v>16</v>
      </c>
      <c r="Z63" s="7">
        <v>2</v>
      </c>
      <c r="AA63" s="7"/>
      <c r="AB63" s="7">
        <v>1</v>
      </c>
      <c r="AC63" s="7"/>
      <c r="AD63" s="7"/>
      <c r="AE63" s="7">
        <v>1</v>
      </c>
      <c r="AF63" s="8">
        <v>2</v>
      </c>
      <c r="AG63" s="4">
        <f t="shared" si="2"/>
        <v>40</v>
      </c>
    </row>
    <row r="64" spans="1:33" ht="18.75" x14ac:dyDescent="0.25">
      <c r="A64" s="41" t="s">
        <v>45</v>
      </c>
      <c r="B64" s="7"/>
      <c r="C64" s="7"/>
      <c r="D64" s="7">
        <v>1</v>
      </c>
      <c r="E64" s="7">
        <v>1</v>
      </c>
      <c r="F64" s="7"/>
      <c r="G64" s="7">
        <v>1</v>
      </c>
      <c r="H64" s="7">
        <v>1</v>
      </c>
      <c r="I64" s="7">
        <v>1</v>
      </c>
      <c r="J64" s="7"/>
      <c r="K64" s="7"/>
      <c r="L64" s="7">
        <v>3</v>
      </c>
      <c r="M64" s="7">
        <v>3</v>
      </c>
      <c r="N64" s="7">
        <v>1</v>
      </c>
      <c r="O64" s="7">
        <v>2</v>
      </c>
      <c r="P64" s="7"/>
      <c r="Q64" s="7"/>
      <c r="R64" s="7">
        <v>1</v>
      </c>
      <c r="S64" s="7">
        <v>3</v>
      </c>
      <c r="T64" s="7">
        <v>1</v>
      </c>
      <c r="U64" s="7">
        <v>4</v>
      </c>
      <c r="V64" s="7">
        <v>3</v>
      </c>
      <c r="W64" s="7">
        <v>3</v>
      </c>
      <c r="X64" s="7">
        <v>1</v>
      </c>
      <c r="Y64" s="7">
        <v>4</v>
      </c>
      <c r="Z64" s="7">
        <v>3</v>
      </c>
      <c r="AA64" s="7">
        <v>2</v>
      </c>
      <c r="AB64" s="7">
        <v>2</v>
      </c>
      <c r="AC64" s="7">
        <v>1</v>
      </c>
      <c r="AD64" s="7">
        <v>2</v>
      </c>
      <c r="AE64" s="7"/>
      <c r="AF64" s="8">
        <v>2</v>
      </c>
      <c r="AG64" s="4">
        <f t="shared" si="2"/>
        <v>46</v>
      </c>
    </row>
    <row r="65" spans="1:33" ht="18.75" x14ac:dyDescent="0.25">
      <c r="A65" s="41" t="s">
        <v>46</v>
      </c>
      <c r="B65" s="7">
        <v>1</v>
      </c>
      <c r="C65" s="7"/>
      <c r="D65" s="7"/>
      <c r="E65" s="7">
        <v>5</v>
      </c>
      <c r="F65" s="7">
        <v>3</v>
      </c>
      <c r="G65" s="7">
        <v>3</v>
      </c>
      <c r="H65" s="7">
        <v>2</v>
      </c>
      <c r="I65" s="7">
        <v>1</v>
      </c>
      <c r="J65" s="7">
        <v>2</v>
      </c>
      <c r="K65" s="7"/>
      <c r="L65" s="7">
        <v>3</v>
      </c>
      <c r="M65" s="7">
        <v>5</v>
      </c>
      <c r="N65" s="7">
        <v>2</v>
      </c>
      <c r="O65" s="7">
        <v>1</v>
      </c>
      <c r="P65" s="7">
        <v>1</v>
      </c>
      <c r="Q65" s="7">
        <v>9</v>
      </c>
      <c r="R65" s="7">
        <v>1</v>
      </c>
      <c r="S65" s="7">
        <v>6</v>
      </c>
      <c r="T65" s="7"/>
      <c r="U65" s="7">
        <v>9</v>
      </c>
      <c r="V65" s="7">
        <v>1</v>
      </c>
      <c r="W65" s="7">
        <v>3</v>
      </c>
      <c r="X65" s="7">
        <v>3</v>
      </c>
      <c r="Y65" s="7"/>
      <c r="Z65" s="7">
        <v>5</v>
      </c>
      <c r="AA65" s="7">
        <v>4</v>
      </c>
      <c r="AB65" s="7">
        <v>1</v>
      </c>
      <c r="AC65" s="7"/>
      <c r="AD65" s="7">
        <v>1</v>
      </c>
      <c r="AE65" s="7">
        <v>1</v>
      </c>
      <c r="AF65" s="8">
        <v>2</v>
      </c>
      <c r="AG65" s="4">
        <f t="shared" si="2"/>
        <v>75</v>
      </c>
    </row>
    <row r="66" spans="1:33" ht="18.75" x14ac:dyDescent="0.25">
      <c r="A66" s="41" t="s">
        <v>47</v>
      </c>
      <c r="B66" s="7">
        <v>1</v>
      </c>
      <c r="C66" s="7"/>
      <c r="D66" s="7"/>
      <c r="E66" s="7">
        <v>1</v>
      </c>
      <c r="F66" s="7">
        <v>4</v>
      </c>
      <c r="G66" s="7">
        <v>1</v>
      </c>
      <c r="H66" s="7">
        <v>10</v>
      </c>
      <c r="I66" s="7">
        <v>3</v>
      </c>
      <c r="J66" s="7">
        <v>5</v>
      </c>
      <c r="K66" s="7"/>
      <c r="L66" s="7">
        <v>6</v>
      </c>
      <c r="M66" s="7">
        <v>2</v>
      </c>
      <c r="N66" s="7">
        <v>2</v>
      </c>
      <c r="O66" s="7">
        <v>4</v>
      </c>
      <c r="P66" s="7">
        <v>1</v>
      </c>
      <c r="Q66" s="7">
        <v>5</v>
      </c>
      <c r="R66" s="7">
        <v>1</v>
      </c>
      <c r="S66" s="7">
        <v>6</v>
      </c>
      <c r="T66" s="7">
        <v>3</v>
      </c>
      <c r="U66" s="7">
        <v>5</v>
      </c>
      <c r="V66" s="7">
        <v>2</v>
      </c>
      <c r="W66" s="7">
        <v>4</v>
      </c>
      <c r="X66" s="7">
        <v>5</v>
      </c>
      <c r="Y66" s="7">
        <v>7</v>
      </c>
      <c r="Z66" s="7">
        <v>5</v>
      </c>
      <c r="AA66" s="7">
        <v>2</v>
      </c>
      <c r="AB66" s="7">
        <v>2</v>
      </c>
      <c r="AC66" s="7">
        <v>7</v>
      </c>
      <c r="AD66" s="7">
        <v>4</v>
      </c>
      <c r="AE66" s="7"/>
      <c r="AF66" s="8"/>
      <c r="AG66" s="4">
        <f t="shared" si="2"/>
        <v>98</v>
      </c>
    </row>
    <row r="67" spans="1:33" ht="18.75" x14ac:dyDescent="0.25">
      <c r="A67" s="41" t="s">
        <v>48</v>
      </c>
      <c r="B67" s="7">
        <v>2</v>
      </c>
      <c r="C67" s="7"/>
      <c r="D67" s="7"/>
      <c r="E67" s="7"/>
      <c r="F67" s="7"/>
      <c r="G67" s="7">
        <v>3</v>
      </c>
      <c r="H67" s="7">
        <v>1</v>
      </c>
      <c r="I67" s="7"/>
      <c r="J67" s="7">
        <v>4</v>
      </c>
      <c r="K67" s="7"/>
      <c r="L67" s="7">
        <v>6</v>
      </c>
      <c r="M67" s="7">
        <v>6</v>
      </c>
      <c r="N67" s="7">
        <v>3</v>
      </c>
      <c r="O67" s="7">
        <v>4</v>
      </c>
      <c r="P67" s="7"/>
      <c r="Q67" s="7">
        <v>6</v>
      </c>
      <c r="R67" s="7">
        <v>1</v>
      </c>
      <c r="S67" s="7">
        <v>4</v>
      </c>
      <c r="T67" s="7">
        <v>8</v>
      </c>
      <c r="U67" s="7">
        <v>1</v>
      </c>
      <c r="V67" s="7">
        <v>10</v>
      </c>
      <c r="W67" s="7"/>
      <c r="X67" s="7">
        <v>5</v>
      </c>
      <c r="Y67" s="7">
        <v>4</v>
      </c>
      <c r="Z67" s="7">
        <v>2</v>
      </c>
      <c r="AA67" s="7">
        <v>3</v>
      </c>
      <c r="AB67" s="7">
        <v>3</v>
      </c>
      <c r="AC67" s="7">
        <v>2</v>
      </c>
      <c r="AD67" s="7">
        <v>2</v>
      </c>
      <c r="AE67" s="7">
        <v>10</v>
      </c>
      <c r="AF67" s="8">
        <v>3</v>
      </c>
      <c r="AG67" s="4">
        <f t="shared" si="2"/>
        <v>93</v>
      </c>
    </row>
    <row r="68" spans="1:33" ht="18.75" x14ac:dyDescent="0.25">
      <c r="A68" s="41" t="s">
        <v>49</v>
      </c>
      <c r="B68" s="7">
        <v>5</v>
      </c>
      <c r="C68" s="7"/>
      <c r="D68" s="7"/>
      <c r="E68" s="7">
        <v>6</v>
      </c>
      <c r="F68" s="7">
        <v>2</v>
      </c>
      <c r="G68" s="7">
        <v>3</v>
      </c>
      <c r="H68" s="7"/>
      <c r="I68" s="7"/>
      <c r="J68" s="7">
        <v>6</v>
      </c>
      <c r="K68" s="7">
        <v>3</v>
      </c>
      <c r="L68" s="7"/>
      <c r="M68" s="7">
        <v>5</v>
      </c>
      <c r="N68" s="7">
        <v>6</v>
      </c>
      <c r="O68" s="7"/>
      <c r="P68" s="7"/>
      <c r="Q68" s="7">
        <v>1</v>
      </c>
      <c r="R68" s="7">
        <v>3</v>
      </c>
      <c r="S68" s="7">
        <v>2</v>
      </c>
      <c r="T68" s="7">
        <v>8</v>
      </c>
      <c r="U68" s="7">
        <v>1</v>
      </c>
      <c r="V68" s="7">
        <v>5</v>
      </c>
      <c r="W68" s="7">
        <v>3</v>
      </c>
      <c r="X68" s="7">
        <v>2</v>
      </c>
      <c r="Y68" s="7">
        <v>1</v>
      </c>
      <c r="Z68" s="7">
        <v>2</v>
      </c>
      <c r="AA68" s="7">
        <v>3</v>
      </c>
      <c r="AB68" s="7">
        <v>1</v>
      </c>
      <c r="AC68" s="7"/>
      <c r="AD68" s="7">
        <v>2</v>
      </c>
      <c r="AE68" s="7">
        <v>4</v>
      </c>
      <c r="AF68" s="8"/>
      <c r="AG68" s="4">
        <f t="shared" si="2"/>
        <v>74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>
        <v>1</v>
      </c>
      <c r="H69" s="7">
        <v>1</v>
      </c>
      <c r="I69" s="7"/>
      <c r="J69" s="7">
        <v>4</v>
      </c>
      <c r="K69" s="7"/>
      <c r="L69" s="7"/>
      <c r="M69" s="7"/>
      <c r="N69" s="7">
        <v>2</v>
      </c>
      <c r="O69" s="7">
        <v>1</v>
      </c>
      <c r="P69" s="7">
        <v>1</v>
      </c>
      <c r="Q69" s="7">
        <v>10</v>
      </c>
      <c r="R69" s="7"/>
      <c r="S69" s="7">
        <v>22</v>
      </c>
      <c r="T69" s="7">
        <v>5</v>
      </c>
      <c r="U69" s="7"/>
      <c r="V69" s="7">
        <v>3</v>
      </c>
      <c r="W69" s="7">
        <v>5</v>
      </c>
      <c r="X69" s="7"/>
      <c r="Y69" s="7"/>
      <c r="Z69" s="7"/>
      <c r="AA69" s="7">
        <v>7</v>
      </c>
      <c r="AB69" s="7">
        <v>2</v>
      </c>
      <c r="AC69" s="7">
        <v>2</v>
      </c>
      <c r="AD69" s="7"/>
      <c r="AE69" s="7"/>
      <c r="AF69" s="8">
        <v>3</v>
      </c>
      <c r="AG69" s="4">
        <f t="shared" si="2"/>
        <v>69</v>
      </c>
    </row>
    <row r="70" spans="1:33" ht="18.75" x14ac:dyDescent="0.25">
      <c r="A70" s="41" t="s">
        <v>33</v>
      </c>
      <c r="B70" s="114"/>
      <c r="C70" s="114"/>
      <c r="D70" s="7">
        <v>1</v>
      </c>
      <c r="E70" s="114"/>
      <c r="F70" s="114"/>
      <c r="G70" s="7"/>
      <c r="H70" s="114"/>
      <c r="I70" s="7"/>
      <c r="J70" s="114">
        <v>1</v>
      </c>
      <c r="K70" s="114"/>
      <c r="L70" s="114"/>
      <c r="M70" s="114">
        <v>6</v>
      </c>
      <c r="N70" s="114">
        <v>1</v>
      </c>
      <c r="O70" s="114"/>
      <c r="P70" s="114">
        <v>1</v>
      </c>
      <c r="Q70" s="114">
        <v>6</v>
      </c>
      <c r="R70" s="114">
        <v>1</v>
      </c>
      <c r="S70" s="114"/>
      <c r="T70" s="114"/>
      <c r="U70" s="114">
        <v>4</v>
      </c>
      <c r="V70" s="114"/>
      <c r="W70" s="114">
        <v>2</v>
      </c>
      <c r="X70" s="114">
        <v>1</v>
      </c>
      <c r="Y70" s="114">
        <v>3</v>
      </c>
      <c r="Z70" s="114">
        <v>2</v>
      </c>
      <c r="AA70" s="114">
        <v>4</v>
      </c>
      <c r="AB70" s="114"/>
      <c r="AC70" s="114"/>
      <c r="AD70" s="114">
        <v>1</v>
      </c>
      <c r="AE70" s="114">
        <v>4</v>
      </c>
      <c r="AF70" s="115"/>
      <c r="AG70" s="4">
        <f t="shared" si="2"/>
        <v>38</v>
      </c>
    </row>
    <row r="71" spans="1:33" ht="18.75" x14ac:dyDescent="0.25">
      <c r="A71" s="41" t="s">
        <v>34</v>
      </c>
      <c r="B71" s="114">
        <v>1</v>
      </c>
      <c r="C71" s="114"/>
      <c r="D71" s="7"/>
      <c r="E71" s="114"/>
      <c r="F71" s="114"/>
      <c r="G71" s="7">
        <v>1</v>
      </c>
      <c r="H71" s="114"/>
      <c r="I71" s="7"/>
      <c r="J71" s="114"/>
      <c r="K71" s="114"/>
      <c r="L71" s="114"/>
      <c r="M71" s="114">
        <v>9</v>
      </c>
      <c r="N71" s="114">
        <v>2</v>
      </c>
      <c r="O71" s="114"/>
      <c r="P71" s="114"/>
      <c r="Q71" s="114"/>
      <c r="R71" s="114"/>
      <c r="S71" s="114"/>
      <c r="T71" s="114">
        <v>1</v>
      </c>
      <c r="U71" s="114"/>
      <c r="V71" s="114"/>
      <c r="W71" s="114"/>
      <c r="X71" s="114"/>
      <c r="Y71" s="114">
        <v>1</v>
      </c>
      <c r="Z71" s="114">
        <v>2</v>
      </c>
      <c r="AA71" s="114">
        <v>1</v>
      </c>
      <c r="AB71" s="114">
        <v>4</v>
      </c>
      <c r="AC71" s="114"/>
      <c r="AD71" s="114">
        <v>2</v>
      </c>
      <c r="AE71" s="114">
        <v>3</v>
      </c>
      <c r="AF71" s="115"/>
      <c r="AG71" s="4">
        <f t="shared" si="2"/>
        <v>27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>
        <v>1</v>
      </c>
      <c r="N72" s="114">
        <v>9</v>
      </c>
      <c r="O72" s="114"/>
      <c r="P72" s="114"/>
      <c r="Q72" s="114"/>
      <c r="R72" s="114"/>
      <c r="S72" s="114"/>
      <c r="T72" s="114">
        <v>2</v>
      </c>
      <c r="U72" s="114"/>
      <c r="V72" s="114"/>
      <c r="W72" s="114">
        <v>1</v>
      </c>
      <c r="X72" s="114"/>
      <c r="Y72" s="114"/>
      <c r="Z72" s="114">
        <v>7</v>
      </c>
      <c r="AA72" s="114"/>
      <c r="AB72" s="114"/>
      <c r="AC72" s="114">
        <v>3</v>
      </c>
      <c r="AD72" s="114">
        <v>2</v>
      </c>
      <c r="AE72" s="114"/>
      <c r="AF72" s="115"/>
      <c r="AG72" s="4">
        <f t="shared" si="2"/>
        <v>25</v>
      </c>
    </row>
    <row r="73" spans="1:33" ht="18.75" x14ac:dyDescent="0.25">
      <c r="A73" s="41" t="s">
        <v>36</v>
      </c>
      <c r="B73" s="114">
        <v>4</v>
      </c>
      <c r="C73" s="114"/>
      <c r="D73" s="7"/>
      <c r="E73" s="114"/>
      <c r="F73" s="114"/>
      <c r="G73" s="7"/>
      <c r="H73" s="114"/>
      <c r="I73" s="7">
        <v>4</v>
      </c>
      <c r="J73" s="114"/>
      <c r="K73" s="114"/>
      <c r="L73" s="114"/>
      <c r="M73" s="114"/>
      <c r="N73" s="114"/>
      <c r="O73" s="114"/>
      <c r="P73" s="114"/>
      <c r="Q73" s="114"/>
      <c r="R73" s="114">
        <v>1</v>
      </c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>
        <v>5</v>
      </c>
      <c r="AE73" s="114"/>
      <c r="AF73" s="115"/>
      <c r="AG73" s="4">
        <f t="shared" si="2"/>
        <v>14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>
        <v>2</v>
      </c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>
        <v>3</v>
      </c>
      <c r="AD74" s="114">
        <v>4</v>
      </c>
      <c r="AE74" s="114">
        <v>2</v>
      </c>
      <c r="AF74" s="115"/>
      <c r="AG74" s="4">
        <f t="shared" si="2"/>
        <v>11</v>
      </c>
    </row>
    <row r="75" spans="1:33" ht="18.75" x14ac:dyDescent="0.25">
      <c r="A75" s="41" t="s">
        <v>52</v>
      </c>
      <c r="B75" s="114">
        <v>1</v>
      </c>
      <c r="C75" s="114"/>
      <c r="D75" s="7"/>
      <c r="E75" s="114"/>
      <c r="F75" s="114"/>
      <c r="G75" s="7"/>
      <c r="H75" s="114"/>
      <c r="I75" s="7">
        <v>1</v>
      </c>
      <c r="J75" s="114">
        <v>1</v>
      </c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>
        <v>6</v>
      </c>
      <c r="AE75" s="114"/>
      <c r="AF75" s="115"/>
      <c r="AG75" s="4">
        <f t="shared" si="2"/>
        <v>9</v>
      </c>
    </row>
    <row r="76" spans="1:33" ht="18.75" x14ac:dyDescent="0.25">
      <c r="A76" s="41" t="s">
        <v>37</v>
      </c>
      <c r="B76" s="114">
        <v>1</v>
      </c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>
        <v>1</v>
      </c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>
        <v>2</v>
      </c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3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188</v>
      </c>
      <c r="C78" s="185">
        <f t="shared" si="5"/>
        <v>224</v>
      </c>
      <c r="D78" s="185">
        <f t="shared" si="5"/>
        <v>197</v>
      </c>
      <c r="E78" s="184">
        <f t="shared" si="5"/>
        <v>186</v>
      </c>
      <c r="F78" s="184">
        <f t="shared" si="5"/>
        <v>185</v>
      </c>
      <c r="G78" s="184">
        <f t="shared" si="5"/>
        <v>168</v>
      </c>
      <c r="H78" s="184">
        <f t="shared" si="5"/>
        <v>174</v>
      </c>
      <c r="I78" s="184">
        <f t="shared" si="5"/>
        <v>167</v>
      </c>
      <c r="J78" s="184">
        <f t="shared" si="5"/>
        <v>224</v>
      </c>
      <c r="K78" s="184">
        <f t="shared" si="5"/>
        <v>198</v>
      </c>
      <c r="L78" s="184">
        <f t="shared" si="5"/>
        <v>197</v>
      </c>
      <c r="M78" s="184">
        <f t="shared" si="5"/>
        <v>191</v>
      </c>
      <c r="N78" s="184">
        <f t="shared" si="5"/>
        <v>192</v>
      </c>
      <c r="O78" s="184">
        <f>SUM(O79:O80)</f>
        <v>166</v>
      </c>
      <c r="P78" s="184">
        <f t="shared" si="5"/>
        <v>182</v>
      </c>
      <c r="Q78" s="184">
        <f t="shared" si="5"/>
        <v>269</v>
      </c>
      <c r="R78" s="184">
        <f t="shared" si="5"/>
        <v>246</v>
      </c>
      <c r="S78" s="184">
        <f t="shared" si="5"/>
        <v>227</v>
      </c>
      <c r="T78" s="184">
        <f t="shared" si="5"/>
        <v>221</v>
      </c>
      <c r="U78" s="184">
        <f t="shared" si="5"/>
        <v>202</v>
      </c>
      <c r="V78" s="184">
        <f t="shared" si="5"/>
        <v>200</v>
      </c>
      <c r="W78" s="184">
        <f t="shared" si="5"/>
        <v>208</v>
      </c>
      <c r="X78" s="184">
        <f t="shared" si="5"/>
        <v>249</v>
      </c>
      <c r="Y78" s="184">
        <f t="shared" si="5"/>
        <v>247</v>
      </c>
      <c r="Z78" s="184">
        <f t="shared" si="5"/>
        <v>274</v>
      </c>
      <c r="AA78" s="184">
        <f t="shared" si="5"/>
        <v>207</v>
      </c>
      <c r="AB78" s="184">
        <f t="shared" si="5"/>
        <v>190</v>
      </c>
      <c r="AC78" s="184">
        <f t="shared" si="5"/>
        <v>176</v>
      </c>
      <c r="AD78" s="184">
        <f t="shared" si="5"/>
        <v>208</v>
      </c>
      <c r="AE78" s="184">
        <f t="shared" si="5"/>
        <v>248</v>
      </c>
      <c r="AF78" s="186">
        <f t="shared" si="5"/>
        <v>237</v>
      </c>
      <c r="AG78" s="116">
        <f t="shared" si="2"/>
        <v>6448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188</v>
      </c>
      <c r="C79" s="114">
        <f t="shared" si="6"/>
        <v>224</v>
      </c>
      <c r="D79" s="114">
        <f t="shared" si="6"/>
        <v>197</v>
      </c>
      <c r="E79" s="114">
        <f t="shared" si="6"/>
        <v>186</v>
      </c>
      <c r="F79" s="114">
        <f t="shared" si="6"/>
        <v>146</v>
      </c>
      <c r="G79" s="114">
        <f t="shared" si="6"/>
        <v>139</v>
      </c>
      <c r="H79" s="114">
        <f t="shared" si="6"/>
        <v>142</v>
      </c>
      <c r="I79" s="114">
        <f t="shared" si="6"/>
        <v>167</v>
      </c>
      <c r="J79" s="114">
        <f t="shared" si="6"/>
        <v>224</v>
      </c>
      <c r="K79" s="114">
        <f t="shared" si="6"/>
        <v>198</v>
      </c>
      <c r="L79" s="114">
        <f t="shared" si="6"/>
        <v>197</v>
      </c>
      <c r="M79" s="114">
        <f t="shared" si="6"/>
        <v>153</v>
      </c>
      <c r="N79" s="114">
        <f t="shared" si="6"/>
        <v>157</v>
      </c>
      <c r="O79" s="114">
        <f t="shared" si="6"/>
        <v>142</v>
      </c>
      <c r="P79" s="114">
        <f t="shared" si="6"/>
        <v>182</v>
      </c>
      <c r="Q79" s="114">
        <f t="shared" si="6"/>
        <v>269</v>
      </c>
      <c r="R79" s="114">
        <f t="shared" si="6"/>
        <v>115</v>
      </c>
      <c r="S79" s="114">
        <f t="shared" si="6"/>
        <v>200</v>
      </c>
      <c r="T79" s="114">
        <f t="shared" si="6"/>
        <v>186</v>
      </c>
      <c r="U79" s="114">
        <f t="shared" si="6"/>
        <v>168</v>
      </c>
      <c r="V79" s="114">
        <f t="shared" si="6"/>
        <v>174</v>
      </c>
      <c r="W79" s="114">
        <f t="shared" si="6"/>
        <v>208</v>
      </c>
      <c r="X79" s="114">
        <f t="shared" si="6"/>
        <v>249</v>
      </c>
      <c r="Y79" s="114">
        <f t="shared" si="6"/>
        <v>109</v>
      </c>
      <c r="Z79" s="114">
        <f t="shared" si="6"/>
        <v>274</v>
      </c>
      <c r="AA79" s="114">
        <f t="shared" si="6"/>
        <v>169</v>
      </c>
      <c r="AB79" s="114">
        <f t="shared" si="6"/>
        <v>164</v>
      </c>
      <c r="AC79" s="114">
        <f t="shared" si="6"/>
        <v>149</v>
      </c>
      <c r="AD79" s="114">
        <f t="shared" si="6"/>
        <v>208</v>
      </c>
      <c r="AE79" s="114">
        <f t="shared" si="6"/>
        <v>248</v>
      </c>
      <c r="AF79" s="114">
        <f t="shared" si="6"/>
        <v>107</v>
      </c>
      <c r="AG79" s="132">
        <f t="shared" si="2"/>
        <v>5639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39</v>
      </c>
      <c r="G80" s="9">
        <f>SUM(G4:G12)</f>
        <v>29</v>
      </c>
      <c r="H80" s="9">
        <f>SUM(H4:H12)</f>
        <v>32</v>
      </c>
      <c r="I80" s="11"/>
      <c r="J80" s="11"/>
      <c r="K80" s="9">
        <v>0</v>
      </c>
      <c r="L80" s="9">
        <v>0</v>
      </c>
      <c r="M80" s="9">
        <f>SUM(M4:M12)</f>
        <v>38</v>
      </c>
      <c r="N80" s="9">
        <f>SUM(N4:N12)</f>
        <v>35</v>
      </c>
      <c r="O80" s="9">
        <f>SUM(O4:O12)</f>
        <v>24</v>
      </c>
      <c r="P80" s="11"/>
      <c r="Q80" s="11"/>
      <c r="R80" s="9">
        <f>SUM(R4:R12)</f>
        <v>131</v>
      </c>
      <c r="S80" s="9">
        <f>SUM(S4:S12)</f>
        <v>27</v>
      </c>
      <c r="T80" s="9">
        <f>SUM(T4:T12)</f>
        <v>35</v>
      </c>
      <c r="U80" s="9">
        <f>SUM(U4:U12)</f>
        <v>34</v>
      </c>
      <c r="V80" s="9">
        <f>SUM(V4:V12)</f>
        <v>26</v>
      </c>
      <c r="W80" s="11"/>
      <c r="X80" s="11"/>
      <c r="Y80" s="9">
        <f>SUM(Y4:Y12)</f>
        <v>138</v>
      </c>
      <c r="Z80" s="11"/>
      <c r="AA80" s="9">
        <f>SUM(AA4:AA12)</f>
        <v>38</v>
      </c>
      <c r="AB80" s="9">
        <f>SUM(AB4:AB12)</f>
        <v>26</v>
      </c>
      <c r="AC80" s="9">
        <f>SUM(AC4:AC12)</f>
        <v>27</v>
      </c>
      <c r="AD80" s="11"/>
      <c r="AE80" s="11"/>
      <c r="AF80" s="9">
        <f>SUM(AF4:AF12)</f>
        <v>130</v>
      </c>
      <c r="AG80" s="108">
        <f t="shared" si="2"/>
        <v>809</v>
      </c>
    </row>
    <row r="81" spans="1:35" ht="19.5" thickBot="1" x14ac:dyDescent="0.3">
      <c r="A81" s="183" t="s">
        <v>98</v>
      </c>
      <c r="B81" s="184">
        <f t="shared" ref="B81:AF81" si="7">SUM(B82:B83)</f>
        <v>16</v>
      </c>
      <c r="C81" s="184">
        <f t="shared" si="7"/>
        <v>5</v>
      </c>
      <c r="D81" s="184">
        <f t="shared" si="7"/>
        <v>3</v>
      </c>
      <c r="E81" s="184">
        <f t="shared" si="7"/>
        <v>16</v>
      </c>
      <c r="F81" s="184">
        <f t="shared" si="7"/>
        <v>11</v>
      </c>
      <c r="G81" s="184">
        <f t="shared" si="7"/>
        <v>14</v>
      </c>
      <c r="H81" s="184">
        <f t="shared" si="7"/>
        <v>16</v>
      </c>
      <c r="I81" s="184">
        <f t="shared" si="7"/>
        <v>10</v>
      </c>
      <c r="J81" s="184">
        <f t="shared" si="7"/>
        <v>27</v>
      </c>
      <c r="K81" s="184">
        <f t="shared" si="7"/>
        <v>3</v>
      </c>
      <c r="L81" s="184">
        <f t="shared" si="7"/>
        <v>19</v>
      </c>
      <c r="M81" s="184">
        <f t="shared" si="7"/>
        <v>45</v>
      </c>
      <c r="N81" s="184">
        <f t="shared" si="7"/>
        <v>28</v>
      </c>
      <c r="O81" s="184">
        <f t="shared" si="7"/>
        <v>15</v>
      </c>
      <c r="P81" s="184">
        <f t="shared" si="7"/>
        <v>5</v>
      </c>
      <c r="Q81" s="184">
        <f t="shared" si="7"/>
        <v>49</v>
      </c>
      <c r="R81" s="184">
        <f t="shared" si="7"/>
        <v>25</v>
      </c>
      <c r="S81" s="184">
        <f t="shared" si="7"/>
        <v>46</v>
      </c>
      <c r="T81" s="184">
        <f t="shared" si="7"/>
        <v>31</v>
      </c>
      <c r="U81" s="184">
        <f t="shared" si="7"/>
        <v>25</v>
      </c>
      <c r="V81" s="184">
        <f t="shared" si="7"/>
        <v>24</v>
      </c>
      <c r="W81" s="184">
        <f t="shared" si="7"/>
        <v>21</v>
      </c>
      <c r="X81" s="184">
        <f t="shared" si="7"/>
        <v>38</v>
      </c>
      <c r="Y81" s="184">
        <f t="shared" si="7"/>
        <v>50</v>
      </c>
      <c r="Z81" s="184">
        <f>SUM(Z82:Z83)</f>
        <v>31</v>
      </c>
      <c r="AA81" s="184">
        <f t="shared" si="7"/>
        <v>30</v>
      </c>
      <c r="AB81" s="184">
        <f t="shared" si="7"/>
        <v>17</v>
      </c>
      <c r="AC81" s="184">
        <f t="shared" si="7"/>
        <v>18</v>
      </c>
      <c r="AD81" s="184">
        <f t="shared" si="7"/>
        <v>31</v>
      </c>
      <c r="AE81" s="184">
        <f t="shared" si="7"/>
        <v>31</v>
      </c>
      <c r="AF81" s="184">
        <f t="shared" si="7"/>
        <v>14</v>
      </c>
      <c r="AG81" s="116">
        <f t="shared" si="2"/>
        <v>714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D82" si="8">SUM(B54:B62)</f>
        <v>0</v>
      </c>
      <c r="C82" s="182"/>
      <c r="D82" s="182"/>
      <c r="E82" s="114">
        <f t="shared" si="8"/>
        <v>3</v>
      </c>
      <c r="F82" s="114">
        <f t="shared" si="8"/>
        <v>0</v>
      </c>
      <c r="G82" s="114">
        <f t="shared" si="8"/>
        <v>0</v>
      </c>
      <c r="H82" s="114">
        <f t="shared" si="8"/>
        <v>1</v>
      </c>
      <c r="I82" s="114">
        <f t="shared" si="8"/>
        <v>0</v>
      </c>
      <c r="J82" s="182"/>
      <c r="K82" s="182"/>
      <c r="L82" s="114">
        <f t="shared" si="8"/>
        <v>1</v>
      </c>
      <c r="M82" s="114">
        <f t="shared" si="8"/>
        <v>5</v>
      </c>
      <c r="N82" s="114">
        <f t="shared" si="8"/>
        <v>0</v>
      </c>
      <c r="O82" s="114">
        <f t="shared" si="8"/>
        <v>3</v>
      </c>
      <c r="P82" s="114">
        <f t="shared" si="8"/>
        <v>1</v>
      </c>
      <c r="Q82" s="182"/>
      <c r="R82" s="182"/>
      <c r="S82" s="114">
        <f t="shared" si="8"/>
        <v>1</v>
      </c>
      <c r="T82" s="114">
        <f t="shared" si="8"/>
        <v>2</v>
      </c>
      <c r="U82" s="114">
        <f t="shared" si="8"/>
        <v>1</v>
      </c>
      <c r="V82" s="114">
        <f t="shared" si="8"/>
        <v>0</v>
      </c>
      <c r="W82" s="114">
        <f t="shared" si="8"/>
        <v>0</v>
      </c>
      <c r="X82" s="182"/>
      <c r="Y82" s="182"/>
      <c r="Z82" s="114">
        <f t="shared" si="8"/>
        <v>1</v>
      </c>
      <c r="AA82" s="114">
        <f t="shared" si="8"/>
        <v>4</v>
      </c>
      <c r="AB82" s="114">
        <f t="shared" si="8"/>
        <v>1</v>
      </c>
      <c r="AC82" s="114">
        <f t="shared" si="8"/>
        <v>0</v>
      </c>
      <c r="AD82" s="114">
        <f t="shared" si="8"/>
        <v>0</v>
      </c>
      <c r="AE82" s="182"/>
      <c r="AF82" s="182"/>
      <c r="AG82" s="132">
        <f t="shared" si="2"/>
        <v>24</v>
      </c>
    </row>
    <row r="83" spans="1:35" ht="19.5" thickBot="1" x14ac:dyDescent="0.3">
      <c r="A83" s="107" t="s">
        <v>58</v>
      </c>
      <c r="B83" s="9">
        <f t="shared" ref="B83" si="9">SUM(B54:B77)-B82</f>
        <v>16</v>
      </c>
      <c r="C83" s="9">
        <f t="shared" ref="C83" si="10">SUM(C54:C77)-C82</f>
        <v>5</v>
      </c>
      <c r="D83" s="9">
        <f t="shared" ref="D83:AF83" si="11">SUM(D54:D77)-D82</f>
        <v>3</v>
      </c>
      <c r="E83" s="9">
        <f t="shared" si="11"/>
        <v>13</v>
      </c>
      <c r="F83" s="9">
        <f t="shared" si="11"/>
        <v>11</v>
      </c>
      <c r="G83" s="9">
        <f t="shared" si="11"/>
        <v>14</v>
      </c>
      <c r="H83" s="9">
        <f t="shared" si="11"/>
        <v>15</v>
      </c>
      <c r="I83" s="9">
        <f t="shared" si="11"/>
        <v>10</v>
      </c>
      <c r="J83" s="9">
        <f t="shared" si="11"/>
        <v>27</v>
      </c>
      <c r="K83" s="9">
        <f t="shared" si="11"/>
        <v>3</v>
      </c>
      <c r="L83" s="9">
        <f t="shared" si="11"/>
        <v>18</v>
      </c>
      <c r="M83" s="9">
        <f t="shared" si="11"/>
        <v>40</v>
      </c>
      <c r="N83" s="9">
        <f t="shared" si="11"/>
        <v>28</v>
      </c>
      <c r="O83" s="9">
        <f t="shared" si="11"/>
        <v>12</v>
      </c>
      <c r="P83" s="9">
        <f t="shared" si="11"/>
        <v>4</v>
      </c>
      <c r="Q83" s="9">
        <f t="shared" si="11"/>
        <v>49</v>
      </c>
      <c r="R83" s="9">
        <f t="shared" si="11"/>
        <v>25</v>
      </c>
      <c r="S83" s="9">
        <f t="shared" si="11"/>
        <v>45</v>
      </c>
      <c r="T83" s="9">
        <f t="shared" si="11"/>
        <v>29</v>
      </c>
      <c r="U83" s="9">
        <f t="shared" si="11"/>
        <v>24</v>
      </c>
      <c r="V83" s="9">
        <f t="shared" si="11"/>
        <v>24</v>
      </c>
      <c r="W83" s="9">
        <f t="shared" si="11"/>
        <v>21</v>
      </c>
      <c r="X83" s="9">
        <f t="shared" si="11"/>
        <v>38</v>
      </c>
      <c r="Y83" s="9">
        <f t="shared" si="11"/>
        <v>50</v>
      </c>
      <c r="Z83" s="9">
        <f t="shared" si="11"/>
        <v>30</v>
      </c>
      <c r="AA83" s="9">
        <f t="shared" si="11"/>
        <v>26</v>
      </c>
      <c r="AB83" s="9">
        <f t="shared" si="11"/>
        <v>16</v>
      </c>
      <c r="AC83" s="9">
        <f t="shared" si="11"/>
        <v>18</v>
      </c>
      <c r="AD83" s="9">
        <f t="shared" si="11"/>
        <v>31</v>
      </c>
      <c r="AE83" s="9">
        <f t="shared" si="11"/>
        <v>31</v>
      </c>
      <c r="AF83" s="9">
        <f t="shared" si="11"/>
        <v>14</v>
      </c>
      <c r="AG83" s="4">
        <f t="shared" si="2"/>
        <v>690</v>
      </c>
    </row>
    <row r="84" spans="1:35" ht="19.5" thickBot="1" x14ac:dyDescent="0.3">
      <c r="A84" s="164" t="s">
        <v>146</v>
      </c>
      <c r="B84" s="165">
        <f>SUM(B85:B86)</f>
        <v>16</v>
      </c>
      <c r="C84" s="165">
        <f t="shared" ref="C84:AF84" si="12">SUM(C85:C86)</f>
        <v>5</v>
      </c>
      <c r="D84" s="165">
        <f t="shared" si="12"/>
        <v>3</v>
      </c>
      <c r="E84" s="165">
        <f t="shared" si="12"/>
        <v>16</v>
      </c>
      <c r="F84" s="165">
        <f t="shared" si="12"/>
        <v>11</v>
      </c>
      <c r="G84" s="165">
        <f t="shared" si="12"/>
        <v>14</v>
      </c>
      <c r="H84" s="165">
        <f t="shared" si="12"/>
        <v>16</v>
      </c>
      <c r="I84" s="165">
        <f t="shared" si="12"/>
        <v>10</v>
      </c>
      <c r="J84" s="165">
        <f t="shared" si="12"/>
        <v>27</v>
      </c>
      <c r="K84" s="165">
        <f t="shared" si="12"/>
        <v>3</v>
      </c>
      <c r="L84" s="165">
        <f t="shared" si="12"/>
        <v>19</v>
      </c>
      <c r="M84" s="165">
        <f t="shared" si="12"/>
        <v>45</v>
      </c>
      <c r="N84" s="165">
        <f t="shared" si="12"/>
        <v>28</v>
      </c>
      <c r="O84" s="165">
        <f t="shared" si="12"/>
        <v>15</v>
      </c>
      <c r="P84" s="165">
        <f t="shared" si="12"/>
        <v>5</v>
      </c>
      <c r="Q84" s="165">
        <f t="shared" si="12"/>
        <v>49</v>
      </c>
      <c r="R84" s="165">
        <f t="shared" si="12"/>
        <v>25</v>
      </c>
      <c r="S84" s="165">
        <f t="shared" si="12"/>
        <v>46</v>
      </c>
      <c r="T84" s="165">
        <f t="shared" si="12"/>
        <v>31</v>
      </c>
      <c r="U84" s="165">
        <f t="shared" si="12"/>
        <v>25</v>
      </c>
      <c r="V84" s="165">
        <f t="shared" si="12"/>
        <v>24</v>
      </c>
      <c r="W84" s="165">
        <f t="shared" si="12"/>
        <v>21</v>
      </c>
      <c r="X84" s="165">
        <f t="shared" si="12"/>
        <v>38</v>
      </c>
      <c r="Y84" s="165">
        <f t="shared" si="12"/>
        <v>50</v>
      </c>
      <c r="Z84" s="165">
        <f t="shared" si="12"/>
        <v>31</v>
      </c>
      <c r="AA84" s="165">
        <f t="shared" si="12"/>
        <v>30</v>
      </c>
      <c r="AB84" s="165">
        <f t="shared" si="12"/>
        <v>17</v>
      </c>
      <c r="AC84" s="165">
        <f t="shared" si="12"/>
        <v>18</v>
      </c>
      <c r="AD84" s="165">
        <f t="shared" si="12"/>
        <v>31</v>
      </c>
      <c r="AE84" s="165">
        <f t="shared" si="12"/>
        <v>31</v>
      </c>
      <c r="AF84" s="165">
        <f t="shared" si="12"/>
        <v>14</v>
      </c>
      <c r="AG84" s="171">
        <f t="shared" ref="AG84:AG126" si="13">SUM(B84:AF84)</f>
        <v>714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3</v>
      </c>
      <c r="C85" s="169">
        <v>1</v>
      </c>
      <c r="D85" s="169">
        <v>1</v>
      </c>
      <c r="E85" s="169">
        <v>3</v>
      </c>
      <c r="F85" s="169">
        <v>3</v>
      </c>
      <c r="G85" s="169">
        <v>1</v>
      </c>
      <c r="H85" s="169">
        <v>0</v>
      </c>
      <c r="I85" s="169">
        <v>0</v>
      </c>
      <c r="J85" s="169">
        <v>6</v>
      </c>
      <c r="K85" s="169">
        <v>1</v>
      </c>
      <c r="L85" s="169">
        <v>5</v>
      </c>
      <c r="M85" s="169">
        <v>12</v>
      </c>
      <c r="N85" s="169">
        <v>3</v>
      </c>
      <c r="O85" s="169">
        <v>1</v>
      </c>
      <c r="P85" s="169">
        <v>0</v>
      </c>
      <c r="Q85" s="169">
        <v>13</v>
      </c>
      <c r="R85" s="169">
        <v>10</v>
      </c>
      <c r="S85" s="169">
        <v>10</v>
      </c>
      <c r="T85" s="169">
        <v>9</v>
      </c>
      <c r="U85" s="169">
        <v>9</v>
      </c>
      <c r="V85" s="169">
        <v>7</v>
      </c>
      <c r="W85" s="169">
        <v>3</v>
      </c>
      <c r="X85" s="169">
        <v>7</v>
      </c>
      <c r="Y85" s="169">
        <v>19</v>
      </c>
      <c r="Z85" s="169">
        <v>4</v>
      </c>
      <c r="AA85" s="169">
        <v>6</v>
      </c>
      <c r="AB85" s="169">
        <v>4</v>
      </c>
      <c r="AC85" s="169">
        <v>3</v>
      </c>
      <c r="AD85" s="169">
        <v>9</v>
      </c>
      <c r="AE85" s="169">
        <v>5</v>
      </c>
      <c r="AF85" s="170">
        <v>4</v>
      </c>
      <c r="AG85" s="168">
        <f t="shared" si="13"/>
        <v>162</v>
      </c>
      <c r="AI85" s="374"/>
    </row>
    <row r="86" spans="1:35" ht="19.5" thickBot="1" x14ac:dyDescent="0.3">
      <c r="A86" s="172" t="s">
        <v>145</v>
      </c>
      <c r="B86" s="173">
        <v>13</v>
      </c>
      <c r="C86" s="173">
        <v>4</v>
      </c>
      <c r="D86" s="173">
        <v>2</v>
      </c>
      <c r="E86" s="173">
        <v>13</v>
      </c>
      <c r="F86" s="173">
        <v>8</v>
      </c>
      <c r="G86" s="173">
        <v>13</v>
      </c>
      <c r="H86" s="173">
        <v>16</v>
      </c>
      <c r="I86" s="173">
        <v>10</v>
      </c>
      <c r="J86" s="173">
        <v>21</v>
      </c>
      <c r="K86" s="173">
        <v>2</v>
      </c>
      <c r="L86" s="173">
        <v>14</v>
      </c>
      <c r="M86" s="173">
        <v>33</v>
      </c>
      <c r="N86" s="173">
        <v>25</v>
      </c>
      <c r="O86" s="173">
        <v>14</v>
      </c>
      <c r="P86" s="173">
        <v>5</v>
      </c>
      <c r="Q86" s="173">
        <v>36</v>
      </c>
      <c r="R86" s="173">
        <v>15</v>
      </c>
      <c r="S86" s="173">
        <v>36</v>
      </c>
      <c r="T86" s="173">
        <v>22</v>
      </c>
      <c r="U86" s="173">
        <v>16</v>
      </c>
      <c r="V86" s="173">
        <v>17</v>
      </c>
      <c r="W86" s="173">
        <v>18</v>
      </c>
      <c r="X86" s="173">
        <v>31</v>
      </c>
      <c r="Y86" s="173">
        <v>31</v>
      </c>
      <c r="Z86" s="173">
        <v>27</v>
      </c>
      <c r="AA86" s="173">
        <v>24</v>
      </c>
      <c r="AB86" s="173">
        <v>13</v>
      </c>
      <c r="AC86" s="173">
        <v>15</v>
      </c>
      <c r="AD86" s="173">
        <v>22</v>
      </c>
      <c r="AE86" s="173">
        <v>26</v>
      </c>
      <c r="AF86" s="174">
        <v>10</v>
      </c>
      <c r="AG86" s="176">
        <f t="shared" si="13"/>
        <v>552</v>
      </c>
      <c r="AI86" s="375"/>
    </row>
    <row r="87" spans="1:35" ht="19.5" thickBot="1" x14ac:dyDescent="0.3">
      <c r="A87" s="177" t="s">
        <v>147</v>
      </c>
      <c r="B87" s="178">
        <f>SUM(B88:B92)</f>
        <v>16</v>
      </c>
      <c r="C87" s="178">
        <f t="shared" ref="C87:AF87" si="14">SUM(C88:C92)</f>
        <v>5</v>
      </c>
      <c r="D87" s="178">
        <f t="shared" si="14"/>
        <v>3</v>
      </c>
      <c r="E87" s="178">
        <f t="shared" si="14"/>
        <v>16</v>
      </c>
      <c r="F87" s="178">
        <f t="shared" si="14"/>
        <v>11</v>
      </c>
      <c r="G87" s="178">
        <f t="shared" si="14"/>
        <v>14</v>
      </c>
      <c r="H87" s="178">
        <f t="shared" si="14"/>
        <v>16</v>
      </c>
      <c r="I87" s="178">
        <f t="shared" si="14"/>
        <v>10</v>
      </c>
      <c r="J87" s="178">
        <f t="shared" si="14"/>
        <v>27</v>
      </c>
      <c r="K87" s="178">
        <f t="shared" si="14"/>
        <v>3</v>
      </c>
      <c r="L87" s="178">
        <f t="shared" si="14"/>
        <v>19</v>
      </c>
      <c r="M87" s="178">
        <f t="shared" si="14"/>
        <v>45</v>
      </c>
      <c r="N87" s="178">
        <f t="shared" si="14"/>
        <v>28</v>
      </c>
      <c r="O87" s="178">
        <f t="shared" si="14"/>
        <v>15</v>
      </c>
      <c r="P87" s="178">
        <f t="shared" si="14"/>
        <v>5</v>
      </c>
      <c r="Q87" s="178">
        <f t="shared" si="14"/>
        <v>49</v>
      </c>
      <c r="R87" s="178">
        <f t="shared" si="14"/>
        <v>25</v>
      </c>
      <c r="S87" s="178">
        <f t="shared" si="14"/>
        <v>46</v>
      </c>
      <c r="T87" s="178">
        <f t="shared" si="14"/>
        <v>31</v>
      </c>
      <c r="U87" s="178">
        <f t="shared" si="14"/>
        <v>25</v>
      </c>
      <c r="V87" s="178">
        <f t="shared" si="14"/>
        <v>24</v>
      </c>
      <c r="W87" s="178">
        <f t="shared" si="14"/>
        <v>21</v>
      </c>
      <c r="X87" s="178">
        <f t="shared" si="14"/>
        <v>38</v>
      </c>
      <c r="Y87" s="178">
        <f t="shared" si="14"/>
        <v>50</v>
      </c>
      <c r="Z87" s="178">
        <f t="shared" si="14"/>
        <v>31</v>
      </c>
      <c r="AA87" s="178">
        <f t="shared" si="14"/>
        <v>30</v>
      </c>
      <c r="AB87" s="178">
        <f t="shared" si="14"/>
        <v>17</v>
      </c>
      <c r="AC87" s="178">
        <f t="shared" si="14"/>
        <v>18</v>
      </c>
      <c r="AD87" s="178">
        <f t="shared" si="14"/>
        <v>31</v>
      </c>
      <c r="AE87" s="178">
        <f t="shared" si="14"/>
        <v>31</v>
      </c>
      <c r="AF87" s="178">
        <f t="shared" si="14"/>
        <v>14</v>
      </c>
      <c r="AG87" s="179">
        <f t="shared" si="13"/>
        <v>714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2</v>
      </c>
      <c r="C88" s="166">
        <v>3</v>
      </c>
      <c r="D88" s="166">
        <v>2</v>
      </c>
      <c r="E88" s="166">
        <v>2</v>
      </c>
      <c r="F88" s="166">
        <v>6</v>
      </c>
      <c r="G88" s="166">
        <v>5</v>
      </c>
      <c r="H88" s="166">
        <v>4</v>
      </c>
      <c r="I88" s="166">
        <v>1</v>
      </c>
      <c r="J88" s="166">
        <v>12</v>
      </c>
      <c r="K88" s="166">
        <v>0</v>
      </c>
      <c r="L88" s="166">
        <v>4</v>
      </c>
      <c r="M88" s="166">
        <v>11</v>
      </c>
      <c r="N88" s="166">
        <v>3</v>
      </c>
      <c r="O88" s="166">
        <v>3</v>
      </c>
      <c r="P88" s="166">
        <v>1</v>
      </c>
      <c r="Q88" s="166">
        <v>8</v>
      </c>
      <c r="R88" s="166"/>
      <c r="S88" s="166">
        <v>17</v>
      </c>
      <c r="T88" s="166">
        <v>5</v>
      </c>
      <c r="U88" s="166">
        <v>8</v>
      </c>
      <c r="V88" s="166">
        <v>4</v>
      </c>
      <c r="W88" s="166">
        <v>4</v>
      </c>
      <c r="X88" s="166">
        <v>4</v>
      </c>
      <c r="Y88" s="166">
        <v>6</v>
      </c>
      <c r="Z88" s="166">
        <v>9</v>
      </c>
      <c r="AA88" s="166">
        <v>7</v>
      </c>
      <c r="AB88" s="166">
        <v>8</v>
      </c>
      <c r="AC88" s="166">
        <v>2</v>
      </c>
      <c r="AD88" s="166">
        <v>3</v>
      </c>
      <c r="AE88" s="166">
        <v>6</v>
      </c>
      <c r="AF88" s="167">
        <v>2</v>
      </c>
      <c r="AG88" s="132">
        <f t="shared" si="13"/>
        <v>152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>
        <v>2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>
        <v>1</v>
      </c>
      <c r="AF90" s="10"/>
      <c r="AG90" s="4">
        <f t="shared" si="13"/>
        <v>3</v>
      </c>
    </row>
    <row r="91" spans="1:35" ht="18.75" x14ac:dyDescent="0.25">
      <c r="A91" s="105" t="s">
        <v>75</v>
      </c>
      <c r="B91" s="9">
        <v>9</v>
      </c>
      <c r="C91" s="9"/>
      <c r="D91" s="9">
        <v>1</v>
      </c>
      <c r="E91" s="9">
        <v>3</v>
      </c>
      <c r="F91" s="9"/>
      <c r="G91" s="9">
        <v>3</v>
      </c>
      <c r="H91" s="9">
        <v>2</v>
      </c>
      <c r="I91" s="9">
        <v>5</v>
      </c>
      <c r="J91" s="9">
        <v>8</v>
      </c>
      <c r="K91" s="9">
        <v>2</v>
      </c>
      <c r="L91" s="9">
        <v>8</v>
      </c>
      <c r="M91" s="9">
        <v>25</v>
      </c>
      <c r="N91" s="9">
        <v>10</v>
      </c>
      <c r="O91" s="9">
        <v>6</v>
      </c>
      <c r="P91" s="9">
        <v>1</v>
      </c>
      <c r="Q91" s="9">
        <v>22</v>
      </c>
      <c r="R91" s="9">
        <v>8</v>
      </c>
      <c r="S91" s="9">
        <v>9</v>
      </c>
      <c r="T91" s="9">
        <v>8</v>
      </c>
      <c r="U91" s="9">
        <v>8</v>
      </c>
      <c r="V91" s="9">
        <v>4</v>
      </c>
      <c r="W91" s="9">
        <v>7</v>
      </c>
      <c r="X91" s="9">
        <v>13</v>
      </c>
      <c r="Y91" s="9">
        <v>24</v>
      </c>
      <c r="Z91" s="9">
        <v>7</v>
      </c>
      <c r="AA91" s="9">
        <v>9</v>
      </c>
      <c r="AB91" s="9">
        <v>7</v>
      </c>
      <c r="AC91" s="9">
        <v>6</v>
      </c>
      <c r="AD91" s="9">
        <v>25</v>
      </c>
      <c r="AE91" s="9">
        <v>15</v>
      </c>
      <c r="AF91" s="10">
        <v>2</v>
      </c>
      <c r="AG91" s="4">
        <f t="shared" si="13"/>
        <v>257</v>
      </c>
    </row>
    <row r="92" spans="1:35" ht="19.5" thickBot="1" x14ac:dyDescent="0.3">
      <c r="A92" s="105" t="s">
        <v>76</v>
      </c>
      <c r="B92" s="9">
        <v>5</v>
      </c>
      <c r="C92" s="9">
        <v>2</v>
      </c>
      <c r="D92" s="9"/>
      <c r="E92" s="9">
        <v>11</v>
      </c>
      <c r="F92" s="9">
        <v>5</v>
      </c>
      <c r="G92" s="9">
        <v>6</v>
      </c>
      <c r="H92" s="9">
        <v>10</v>
      </c>
      <c r="I92" s="9">
        <v>4</v>
      </c>
      <c r="J92" s="9">
        <v>7</v>
      </c>
      <c r="K92" s="9">
        <v>1</v>
      </c>
      <c r="L92" s="9">
        <v>7</v>
      </c>
      <c r="M92" s="9">
        <v>9</v>
      </c>
      <c r="N92" s="9">
        <v>15</v>
      </c>
      <c r="O92" s="9">
        <v>6</v>
      </c>
      <c r="P92" s="9">
        <v>3</v>
      </c>
      <c r="Q92" s="9">
        <v>17</v>
      </c>
      <c r="R92" s="9">
        <v>17</v>
      </c>
      <c r="S92" s="9">
        <v>20</v>
      </c>
      <c r="T92" s="9">
        <v>18</v>
      </c>
      <c r="U92" s="9">
        <v>9</v>
      </c>
      <c r="V92" s="9">
        <v>16</v>
      </c>
      <c r="W92" s="9">
        <v>10</v>
      </c>
      <c r="X92" s="9">
        <v>21</v>
      </c>
      <c r="Y92" s="9">
        <v>20</v>
      </c>
      <c r="Z92" s="9">
        <v>15</v>
      </c>
      <c r="AA92" s="9">
        <v>14</v>
      </c>
      <c r="AB92" s="9">
        <v>2</v>
      </c>
      <c r="AC92" s="9">
        <v>10</v>
      </c>
      <c r="AD92" s="9">
        <v>3</v>
      </c>
      <c r="AE92" s="9">
        <v>9</v>
      </c>
      <c r="AF92" s="10">
        <v>10</v>
      </c>
      <c r="AG92" s="4">
        <f t="shared" si="13"/>
        <v>302</v>
      </c>
    </row>
    <row r="93" spans="1:35" ht="18.75" x14ac:dyDescent="0.25">
      <c r="A93" s="73" t="s">
        <v>616</v>
      </c>
      <c r="B93" s="74">
        <f t="shared" ref="B93:AF93" si="15">+B94+B100</f>
        <v>172</v>
      </c>
      <c r="C93" s="74">
        <f t="shared" si="15"/>
        <v>219</v>
      </c>
      <c r="D93" s="74">
        <f t="shared" si="15"/>
        <v>194</v>
      </c>
      <c r="E93" s="74">
        <f t="shared" si="15"/>
        <v>170</v>
      </c>
      <c r="F93" s="74">
        <f t="shared" si="15"/>
        <v>174</v>
      </c>
      <c r="G93" s="74">
        <f t="shared" si="15"/>
        <v>154</v>
      </c>
      <c r="H93" s="74">
        <f t="shared" si="15"/>
        <v>158</v>
      </c>
      <c r="I93" s="74">
        <f t="shared" si="15"/>
        <v>157</v>
      </c>
      <c r="J93" s="74">
        <f t="shared" si="15"/>
        <v>197</v>
      </c>
      <c r="K93" s="74">
        <f t="shared" si="15"/>
        <v>195</v>
      </c>
      <c r="L93" s="74">
        <f t="shared" si="15"/>
        <v>178</v>
      </c>
      <c r="M93" s="74">
        <f t="shared" si="15"/>
        <v>146</v>
      </c>
      <c r="N93" s="74">
        <f t="shared" si="15"/>
        <v>164</v>
      </c>
      <c r="O93" s="74">
        <f t="shared" si="15"/>
        <v>151</v>
      </c>
      <c r="P93" s="74">
        <f t="shared" si="15"/>
        <v>177</v>
      </c>
      <c r="Q93" s="74">
        <f t="shared" si="15"/>
        <v>220</v>
      </c>
      <c r="R93" s="74">
        <f t="shared" si="15"/>
        <v>221</v>
      </c>
      <c r="S93" s="74">
        <f t="shared" si="15"/>
        <v>181</v>
      </c>
      <c r="T93" s="74">
        <f t="shared" si="15"/>
        <v>190</v>
      </c>
      <c r="U93" s="74">
        <f t="shared" si="15"/>
        <v>177</v>
      </c>
      <c r="V93" s="74">
        <f t="shared" si="15"/>
        <v>176</v>
      </c>
      <c r="W93" s="74">
        <f t="shared" si="15"/>
        <v>187</v>
      </c>
      <c r="X93" s="74">
        <f t="shared" si="15"/>
        <v>211</v>
      </c>
      <c r="Y93" s="74">
        <f t="shared" si="15"/>
        <v>197</v>
      </c>
      <c r="Z93" s="74">
        <f t="shared" si="15"/>
        <v>243</v>
      </c>
      <c r="AA93" s="74">
        <f t="shared" si="15"/>
        <v>177</v>
      </c>
      <c r="AB93" s="74">
        <f t="shared" si="15"/>
        <v>173</v>
      </c>
      <c r="AC93" s="74">
        <f t="shared" si="15"/>
        <v>158</v>
      </c>
      <c r="AD93" s="74">
        <f t="shared" si="15"/>
        <v>177</v>
      </c>
      <c r="AE93" s="74">
        <f t="shared" si="15"/>
        <v>217</v>
      </c>
      <c r="AF93" s="84">
        <f t="shared" si="15"/>
        <v>223</v>
      </c>
      <c r="AG93" s="150">
        <f t="shared" si="13"/>
        <v>5734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10</v>
      </c>
      <c r="C94" s="17">
        <f t="shared" si="16"/>
        <v>19</v>
      </c>
      <c r="D94" s="17">
        <f t="shared" si="16"/>
        <v>29</v>
      </c>
      <c r="E94" s="17">
        <f t="shared" si="16"/>
        <v>16</v>
      </c>
      <c r="F94" s="17">
        <f t="shared" si="16"/>
        <v>16</v>
      </c>
      <c r="G94" s="17">
        <f t="shared" si="16"/>
        <v>14</v>
      </c>
      <c r="H94" s="17">
        <f t="shared" si="16"/>
        <v>14</v>
      </c>
      <c r="I94" s="17">
        <f t="shared" si="16"/>
        <v>22</v>
      </c>
      <c r="J94" s="17">
        <f t="shared" si="16"/>
        <v>36</v>
      </c>
      <c r="K94" s="17">
        <f t="shared" si="16"/>
        <v>19</v>
      </c>
      <c r="L94" s="17">
        <f t="shared" si="16"/>
        <v>29</v>
      </c>
      <c r="M94" s="17">
        <f t="shared" si="16"/>
        <v>26</v>
      </c>
      <c r="N94" s="17">
        <f t="shared" si="16"/>
        <v>21</v>
      </c>
      <c r="O94" s="17">
        <f t="shared" si="16"/>
        <v>22</v>
      </c>
      <c r="P94" s="17">
        <f t="shared" si="16"/>
        <v>26</v>
      </c>
      <c r="Q94" s="17">
        <f t="shared" si="16"/>
        <v>31</v>
      </c>
      <c r="R94" s="17">
        <f t="shared" si="16"/>
        <v>37</v>
      </c>
      <c r="S94" s="17">
        <f t="shared" si="16"/>
        <v>34</v>
      </c>
      <c r="T94" s="17">
        <f t="shared" si="16"/>
        <v>42</v>
      </c>
      <c r="U94" s="17">
        <f t="shared" si="16"/>
        <v>28</v>
      </c>
      <c r="V94" s="17">
        <f t="shared" si="16"/>
        <v>24</v>
      </c>
      <c r="W94" s="17">
        <f t="shared" si="16"/>
        <v>20</v>
      </c>
      <c r="X94" s="17">
        <f t="shared" si="16"/>
        <v>38</v>
      </c>
      <c r="Y94" s="17">
        <f t="shared" si="16"/>
        <v>37</v>
      </c>
      <c r="Z94" s="17">
        <f t="shared" si="16"/>
        <v>33</v>
      </c>
      <c r="AA94" s="17">
        <f t="shared" si="16"/>
        <v>43</v>
      </c>
      <c r="AB94" s="17">
        <f t="shared" si="16"/>
        <v>34</v>
      </c>
      <c r="AC94" s="17">
        <f t="shared" si="16"/>
        <v>31</v>
      </c>
      <c r="AD94" s="17">
        <f t="shared" si="16"/>
        <v>26</v>
      </c>
      <c r="AE94" s="17">
        <f t="shared" si="16"/>
        <v>30</v>
      </c>
      <c r="AF94" s="18">
        <f t="shared" si="16"/>
        <v>49</v>
      </c>
      <c r="AG94" s="4">
        <f t="shared" si="13"/>
        <v>856</v>
      </c>
    </row>
    <row r="95" spans="1:35" ht="18.75" x14ac:dyDescent="0.25">
      <c r="A95" s="44" t="s">
        <v>81</v>
      </c>
      <c r="B95" s="7">
        <v>0</v>
      </c>
      <c r="C95" s="7"/>
      <c r="D95" s="7">
        <v>3</v>
      </c>
      <c r="E95" s="7">
        <v>2</v>
      </c>
      <c r="F95" s="7"/>
      <c r="G95" s="7"/>
      <c r="H95" s="7">
        <v>1</v>
      </c>
      <c r="I95" s="7">
        <v>2</v>
      </c>
      <c r="J95" s="7">
        <v>2</v>
      </c>
      <c r="K95" s="7">
        <v>1</v>
      </c>
      <c r="L95" s="7">
        <v>2</v>
      </c>
      <c r="M95" s="7"/>
      <c r="N95" s="7"/>
      <c r="O95" s="7">
        <v>1</v>
      </c>
      <c r="P95" s="7"/>
      <c r="Q95" s="7"/>
      <c r="R95" s="7">
        <v>2</v>
      </c>
      <c r="S95" s="7">
        <v>4</v>
      </c>
      <c r="T95" s="7"/>
      <c r="U95" s="7">
        <v>1</v>
      </c>
      <c r="V95" s="7"/>
      <c r="W95" s="7">
        <v>1</v>
      </c>
      <c r="X95" s="7">
        <v>1</v>
      </c>
      <c r="Y95" s="7">
        <v>4</v>
      </c>
      <c r="Z95" s="7">
        <v>3</v>
      </c>
      <c r="AA95" s="7"/>
      <c r="AB95" s="7">
        <v>1</v>
      </c>
      <c r="AC95" s="7">
        <v>1</v>
      </c>
      <c r="AD95" s="7"/>
      <c r="AE95" s="7">
        <v>1</v>
      </c>
      <c r="AF95" s="8"/>
      <c r="AG95" s="4">
        <f t="shared" si="13"/>
        <v>33</v>
      </c>
    </row>
    <row r="96" spans="1:35" ht="18.75" x14ac:dyDescent="0.25">
      <c r="A96" s="45" t="s">
        <v>82</v>
      </c>
      <c r="B96" s="7">
        <v>2</v>
      </c>
      <c r="C96" s="7">
        <v>2</v>
      </c>
      <c r="D96" s="7">
        <v>2</v>
      </c>
      <c r="E96" s="7"/>
      <c r="F96" s="7">
        <v>1</v>
      </c>
      <c r="G96" s="7">
        <v>1</v>
      </c>
      <c r="H96" s="7"/>
      <c r="I96" s="7">
        <v>1</v>
      </c>
      <c r="J96" s="7">
        <v>4</v>
      </c>
      <c r="K96" s="7">
        <v>1</v>
      </c>
      <c r="L96" s="7">
        <v>1</v>
      </c>
      <c r="M96" s="7">
        <v>2</v>
      </c>
      <c r="N96" s="7"/>
      <c r="O96" s="7"/>
      <c r="P96" s="7">
        <v>3</v>
      </c>
      <c r="Q96" s="7">
        <v>1</v>
      </c>
      <c r="R96" s="7">
        <v>2</v>
      </c>
      <c r="S96" s="141">
        <v>1</v>
      </c>
      <c r="T96" s="7">
        <v>2</v>
      </c>
      <c r="U96" s="7"/>
      <c r="V96" s="7">
        <v>3</v>
      </c>
      <c r="W96" s="7">
        <v>2</v>
      </c>
      <c r="X96" s="7">
        <v>2</v>
      </c>
      <c r="Y96" s="7"/>
      <c r="Z96" s="7">
        <v>2</v>
      </c>
      <c r="AA96" s="7">
        <v>1</v>
      </c>
      <c r="AB96" s="7">
        <v>1</v>
      </c>
      <c r="AC96" s="7">
        <v>1</v>
      </c>
      <c r="AD96" s="7">
        <v>1</v>
      </c>
      <c r="AE96" s="7">
        <v>2</v>
      </c>
      <c r="AF96" s="8">
        <v>5</v>
      </c>
      <c r="AG96" s="4">
        <f t="shared" si="13"/>
        <v>46</v>
      </c>
    </row>
    <row r="97" spans="1:33" ht="18.75" x14ac:dyDescent="0.25">
      <c r="A97" s="46" t="s">
        <v>70</v>
      </c>
      <c r="B97" s="7">
        <v>1</v>
      </c>
      <c r="C97" s="7">
        <v>5</v>
      </c>
      <c r="D97" s="7">
        <v>6</v>
      </c>
      <c r="E97" s="7">
        <v>5</v>
      </c>
      <c r="F97" s="7">
        <v>3</v>
      </c>
      <c r="G97" s="7">
        <v>2</v>
      </c>
      <c r="H97" s="7">
        <v>8</v>
      </c>
      <c r="I97" s="7">
        <v>3</v>
      </c>
      <c r="J97" s="7">
        <v>6</v>
      </c>
      <c r="K97" s="7">
        <v>4</v>
      </c>
      <c r="L97" s="7">
        <v>6</v>
      </c>
      <c r="M97" s="7">
        <v>1</v>
      </c>
      <c r="N97" s="7">
        <v>7</v>
      </c>
      <c r="O97" s="7">
        <v>1</v>
      </c>
      <c r="P97" s="7">
        <v>5</v>
      </c>
      <c r="Q97" s="7">
        <v>9</v>
      </c>
      <c r="R97" s="7">
        <v>12</v>
      </c>
      <c r="S97" s="7">
        <v>3</v>
      </c>
      <c r="T97" s="7">
        <v>8</v>
      </c>
      <c r="U97" s="7">
        <v>8</v>
      </c>
      <c r="V97" s="7">
        <v>5</v>
      </c>
      <c r="W97" s="7">
        <v>3</v>
      </c>
      <c r="X97" s="7">
        <v>8</v>
      </c>
      <c r="Y97" s="7">
        <v>9</v>
      </c>
      <c r="Z97" s="7">
        <v>3</v>
      </c>
      <c r="AA97" s="7">
        <v>12</v>
      </c>
      <c r="AB97" s="7">
        <v>5</v>
      </c>
      <c r="AC97" s="7">
        <v>4</v>
      </c>
      <c r="AD97" s="7">
        <v>6</v>
      </c>
      <c r="AE97" s="7">
        <v>8</v>
      </c>
      <c r="AF97" s="8">
        <v>12</v>
      </c>
      <c r="AG97" s="4">
        <f t="shared" si="13"/>
        <v>178</v>
      </c>
    </row>
    <row r="98" spans="1:33" ht="18.75" x14ac:dyDescent="0.25">
      <c r="A98" s="47" t="s">
        <v>6</v>
      </c>
      <c r="B98" s="7">
        <v>4</v>
      </c>
      <c r="C98" s="7">
        <v>6</v>
      </c>
      <c r="D98" s="7">
        <v>5</v>
      </c>
      <c r="E98" s="7">
        <v>3</v>
      </c>
      <c r="F98" s="7">
        <v>7</v>
      </c>
      <c r="G98" s="7">
        <v>5</v>
      </c>
      <c r="H98" s="7">
        <v>2</v>
      </c>
      <c r="I98" s="7">
        <v>8</v>
      </c>
      <c r="J98" s="7">
        <v>13</v>
      </c>
      <c r="K98" s="7">
        <v>6</v>
      </c>
      <c r="L98" s="7">
        <v>13</v>
      </c>
      <c r="M98" s="7">
        <v>13</v>
      </c>
      <c r="N98" s="7">
        <v>7</v>
      </c>
      <c r="O98" s="7">
        <v>10</v>
      </c>
      <c r="P98" s="7">
        <v>8</v>
      </c>
      <c r="Q98" s="7">
        <v>12</v>
      </c>
      <c r="R98" s="7">
        <v>14</v>
      </c>
      <c r="S98" s="7">
        <v>15</v>
      </c>
      <c r="T98" s="7">
        <v>12</v>
      </c>
      <c r="U98" s="7">
        <v>5</v>
      </c>
      <c r="V98" s="7">
        <v>9</v>
      </c>
      <c r="W98" s="7">
        <v>7</v>
      </c>
      <c r="X98" s="7">
        <v>19</v>
      </c>
      <c r="Y98" s="7">
        <v>18</v>
      </c>
      <c r="Z98" s="7">
        <v>14</v>
      </c>
      <c r="AA98" s="7">
        <v>14</v>
      </c>
      <c r="AB98" s="7">
        <v>11</v>
      </c>
      <c r="AC98" s="7">
        <v>11</v>
      </c>
      <c r="AD98" s="7">
        <v>14</v>
      </c>
      <c r="AE98" s="7">
        <v>10</v>
      </c>
      <c r="AF98" s="8">
        <v>20</v>
      </c>
      <c r="AG98" s="4">
        <f t="shared" si="13"/>
        <v>315</v>
      </c>
    </row>
    <row r="99" spans="1:33" ht="18.75" x14ac:dyDescent="0.25">
      <c r="A99" s="48" t="s">
        <v>7</v>
      </c>
      <c r="B99" s="7">
        <v>3</v>
      </c>
      <c r="C99" s="7">
        <v>6</v>
      </c>
      <c r="D99" s="7">
        <v>13</v>
      </c>
      <c r="E99" s="7">
        <v>6</v>
      </c>
      <c r="F99" s="7">
        <v>5</v>
      </c>
      <c r="G99" s="7">
        <v>6</v>
      </c>
      <c r="H99" s="7">
        <v>3</v>
      </c>
      <c r="I99" s="7">
        <v>8</v>
      </c>
      <c r="J99" s="7">
        <v>11</v>
      </c>
      <c r="K99" s="7">
        <v>7</v>
      </c>
      <c r="L99" s="7">
        <v>7</v>
      </c>
      <c r="M99" s="7">
        <v>10</v>
      </c>
      <c r="N99" s="7">
        <v>7</v>
      </c>
      <c r="O99" s="7">
        <v>10</v>
      </c>
      <c r="P99" s="7">
        <v>10</v>
      </c>
      <c r="Q99" s="7">
        <v>9</v>
      </c>
      <c r="R99" s="7">
        <v>7</v>
      </c>
      <c r="S99" s="7">
        <v>11</v>
      </c>
      <c r="T99" s="7">
        <v>20</v>
      </c>
      <c r="U99" s="7">
        <v>14</v>
      </c>
      <c r="V99" s="7">
        <v>7</v>
      </c>
      <c r="W99" s="7">
        <v>7</v>
      </c>
      <c r="X99" s="7">
        <v>8</v>
      </c>
      <c r="Y99" s="7">
        <v>6</v>
      </c>
      <c r="Z99" s="7">
        <v>11</v>
      </c>
      <c r="AA99" s="7">
        <v>16</v>
      </c>
      <c r="AB99" s="7">
        <v>16</v>
      </c>
      <c r="AC99" s="7">
        <v>14</v>
      </c>
      <c r="AD99" s="7">
        <v>5</v>
      </c>
      <c r="AE99" s="7">
        <v>9</v>
      </c>
      <c r="AF99" s="8">
        <v>12</v>
      </c>
      <c r="AG99" s="4">
        <f t="shared" si="13"/>
        <v>284</v>
      </c>
    </row>
    <row r="100" spans="1:33" ht="18.75" x14ac:dyDescent="0.25">
      <c r="A100" s="42" t="s">
        <v>66</v>
      </c>
      <c r="B100" s="17">
        <f t="shared" ref="B100:AF100" si="17">SUM(B101:B115)</f>
        <v>162</v>
      </c>
      <c r="C100" s="17">
        <f t="shared" si="17"/>
        <v>200</v>
      </c>
      <c r="D100" s="17">
        <f t="shared" si="17"/>
        <v>165</v>
      </c>
      <c r="E100" s="17">
        <f t="shared" si="17"/>
        <v>154</v>
      </c>
      <c r="F100" s="17">
        <f t="shared" si="17"/>
        <v>158</v>
      </c>
      <c r="G100" s="17">
        <f t="shared" si="17"/>
        <v>140</v>
      </c>
      <c r="H100" s="17">
        <f t="shared" si="17"/>
        <v>144</v>
      </c>
      <c r="I100" s="17">
        <f t="shared" si="17"/>
        <v>135</v>
      </c>
      <c r="J100" s="17">
        <f t="shared" si="17"/>
        <v>161</v>
      </c>
      <c r="K100" s="17">
        <f t="shared" si="17"/>
        <v>176</v>
      </c>
      <c r="L100" s="17">
        <f t="shared" si="17"/>
        <v>149</v>
      </c>
      <c r="M100" s="17">
        <f t="shared" si="17"/>
        <v>120</v>
      </c>
      <c r="N100" s="17">
        <f t="shared" si="17"/>
        <v>143</v>
      </c>
      <c r="O100" s="17">
        <f t="shared" si="17"/>
        <v>129</v>
      </c>
      <c r="P100" s="17">
        <f t="shared" si="17"/>
        <v>151</v>
      </c>
      <c r="Q100" s="17">
        <f t="shared" si="17"/>
        <v>189</v>
      </c>
      <c r="R100" s="17">
        <f t="shared" si="17"/>
        <v>184</v>
      </c>
      <c r="S100" s="17">
        <f t="shared" si="17"/>
        <v>147</v>
      </c>
      <c r="T100" s="17">
        <f t="shared" si="17"/>
        <v>148</v>
      </c>
      <c r="U100" s="17">
        <f t="shared" si="17"/>
        <v>149</v>
      </c>
      <c r="V100" s="17">
        <f t="shared" si="17"/>
        <v>152</v>
      </c>
      <c r="W100" s="17">
        <f t="shared" si="17"/>
        <v>167</v>
      </c>
      <c r="X100" s="17">
        <f t="shared" si="17"/>
        <v>173</v>
      </c>
      <c r="Y100" s="17">
        <f t="shared" si="17"/>
        <v>160</v>
      </c>
      <c r="Z100" s="17">
        <f t="shared" si="17"/>
        <v>210</v>
      </c>
      <c r="AA100" s="17">
        <f t="shared" si="17"/>
        <v>134</v>
      </c>
      <c r="AB100" s="17">
        <f t="shared" si="17"/>
        <v>139</v>
      </c>
      <c r="AC100" s="17">
        <f t="shared" si="17"/>
        <v>127</v>
      </c>
      <c r="AD100" s="17">
        <f t="shared" si="17"/>
        <v>151</v>
      </c>
      <c r="AE100" s="17">
        <f t="shared" si="17"/>
        <v>187</v>
      </c>
      <c r="AF100" s="18">
        <f t="shared" si="17"/>
        <v>174</v>
      </c>
      <c r="AG100" s="4">
        <f t="shared" si="13"/>
        <v>4878</v>
      </c>
    </row>
    <row r="101" spans="1:33" ht="18.75" x14ac:dyDescent="0.25">
      <c r="A101" s="48" t="s">
        <v>8</v>
      </c>
      <c r="B101" s="7">
        <v>10</v>
      </c>
      <c r="C101" s="7">
        <v>16</v>
      </c>
      <c r="D101" s="7">
        <v>14</v>
      </c>
      <c r="E101" s="7">
        <v>21</v>
      </c>
      <c r="F101" s="7">
        <v>13</v>
      </c>
      <c r="G101" s="7">
        <v>14</v>
      </c>
      <c r="H101" s="7">
        <v>14</v>
      </c>
      <c r="I101" s="7">
        <v>13</v>
      </c>
      <c r="J101" s="7">
        <v>9</v>
      </c>
      <c r="K101" s="7">
        <v>16</v>
      </c>
      <c r="L101" s="7">
        <v>15</v>
      </c>
      <c r="M101" s="7">
        <v>17</v>
      </c>
      <c r="N101" s="7">
        <v>15</v>
      </c>
      <c r="O101" s="7">
        <v>7</v>
      </c>
      <c r="P101" s="7">
        <v>15</v>
      </c>
      <c r="Q101" s="7">
        <v>17</v>
      </c>
      <c r="R101" s="7">
        <v>11</v>
      </c>
      <c r="S101" s="7">
        <v>22</v>
      </c>
      <c r="T101" s="7">
        <v>16</v>
      </c>
      <c r="U101" s="7">
        <v>18</v>
      </c>
      <c r="V101" s="7">
        <v>25</v>
      </c>
      <c r="W101" s="7">
        <v>13</v>
      </c>
      <c r="X101" s="7">
        <v>21</v>
      </c>
      <c r="Y101" s="7">
        <v>14</v>
      </c>
      <c r="Z101" s="7">
        <v>33</v>
      </c>
      <c r="AA101" s="7">
        <v>21</v>
      </c>
      <c r="AB101" s="7">
        <v>26</v>
      </c>
      <c r="AC101" s="7">
        <v>25</v>
      </c>
      <c r="AD101" s="7">
        <v>20</v>
      </c>
      <c r="AE101" s="7">
        <v>20</v>
      </c>
      <c r="AF101" s="8">
        <v>16</v>
      </c>
      <c r="AG101" s="4">
        <f t="shared" si="13"/>
        <v>527</v>
      </c>
    </row>
    <row r="102" spans="1:33" ht="18.75" x14ac:dyDescent="0.25">
      <c r="A102" s="48" t="s">
        <v>9</v>
      </c>
      <c r="B102" s="7">
        <v>17</v>
      </c>
      <c r="C102" s="7">
        <v>12</v>
      </c>
      <c r="D102" s="7">
        <v>19</v>
      </c>
      <c r="E102" s="7">
        <v>18</v>
      </c>
      <c r="F102" s="7">
        <v>25</v>
      </c>
      <c r="G102" s="7">
        <v>16</v>
      </c>
      <c r="H102" s="7">
        <v>14</v>
      </c>
      <c r="I102" s="7">
        <v>13</v>
      </c>
      <c r="J102" s="7">
        <v>9</v>
      </c>
      <c r="K102" s="7">
        <v>25</v>
      </c>
      <c r="L102" s="7">
        <v>11</v>
      </c>
      <c r="M102" s="7">
        <v>14</v>
      </c>
      <c r="N102" s="7">
        <v>15</v>
      </c>
      <c r="O102" s="7">
        <v>28</v>
      </c>
      <c r="P102" s="7">
        <v>13</v>
      </c>
      <c r="Q102" s="7">
        <v>14</v>
      </c>
      <c r="R102" s="7">
        <v>19</v>
      </c>
      <c r="S102" s="7">
        <v>16</v>
      </c>
      <c r="T102" s="7">
        <v>18</v>
      </c>
      <c r="U102" s="7">
        <v>17</v>
      </c>
      <c r="V102" s="7">
        <v>14</v>
      </c>
      <c r="W102" s="7">
        <v>18</v>
      </c>
      <c r="X102" s="7">
        <v>17</v>
      </c>
      <c r="Y102" s="7">
        <v>25</v>
      </c>
      <c r="Z102" s="7">
        <v>23</v>
      </c>
      <c r="AA102" s="7">
        <v>22</v>
      </c>
      <c r="AB102" s="7">
        <v>18</v>
      </c>
      <c r="AC102" s="7">
        <v>15</v>
      </c>
      <c r="AD102" s="7">
        <v>14</v>
      </c>
      <c r="AE102" s="7">
        <v>15</v>
      </c>
      <c r="AF102" s="8">
        <v>31</v>
      </c>
      <c r="AG102" s="4">
        <f t="shared" si="13"/>
        <v>545</v>
      </c>
    </row>
    <row r="103" spans="1:33" ht="18.75" x14ac:dyDescent="0.25">
      <c r="A103" s="49" t="s">
        <v>10</v>
      </c>
      <c r="B103" s="7">
        <v>13</v>
      </c>
      <c r="C103" s="7">
        <v>24</v>
      </c>
      <c r="D103" s="7">
        <v>20</v>
      </c>
      <c r="E103" s="7">
        <v>16</v>
      </c>
      <c r="F103" s="7">
        <v>22</v>
      </c>
      <c r="G103" s="7">
        <v>9</v>
      </c>
      <c r="H103" s="7">
        <v>10</v>
      </c>
      <c r="I103" s="7">
        <v>11</v>
      </c>
      <c r="J103" s="7">
        <v>18</v>
      </c>
      <c r="K103" s="7">
        <v>19</v>
      </c>
      <c r="L103" s="7">
        <v>17</v>
      </c>
      <c r="M103" s="7">
        <v>16</v>
      </c>
      <c r="N103" s="7">
        <v>10</v>
      </c>
      <c r="O103" s="7">
        <v>10</v>
      </c>
      <c r="P103" s="7">
        <v>17</v>
      </c>
      <c r="Q103" s="7">
        <v>18</v>
      </c>
      <c r="R103" s="7">
        <v>14</v>
      </c>
      <c r="S103" s="7">
        <v>12</v>
      </c>
      <c r="T103" s="7">
        <v>15</v>
      </c>
      <c r="U103" s="7">
        <v>13</v>
      </c>
      <c r="V103" s="7">
        <v>13</v>
      </c>
      <c r="W103" s="7">
        <v>18</v>
      </c>
      <c r="X103" s="7">
        <v>18</v>
      </c>
      <c r="Y103" s="7">
        <v>17</v>
      </c>
      <c r="Z103" s="7">
        <v>21</v>
      </c>
      <c r="AA103" s="7">
        <v>7</v>
      </c>
      <c r="AB103" s="7">
        <v>8</v>
      </c>
      <c r="AC103" s="7">
        <v>14</v>
      </c>
      <c r="AD103" s="7">
        <v>10</v>
      </c>
      <c r="AE103" s="7">
        <v>16</v>
      </c>
      <c r="AF103" s="8">
        <v>13</v>
      </c>
      <c r="AG103" s="4">
        <f t="shared" si="13"/>
        <v>459</v>
      </c>
    </row>
    <row r="104" spans="1:33" ht="18.75" x14ac:dyDescent="0.25">
      <c r="A104" s="49" t="s">
        <v>11</v>
      </c>
      <c r="B104" s="7">
        <v>16</v>
      </c>
      <c r="C104" s="7">
        <v>11</v>
      </c>
      <c r="D104" s="7">
        <v>9</v>
      </c>
      <c r="E104" s="7">
        <v>18</v>
      </c>
      <c r="F104" s="7">
        <v>13</v>
      </c>
      <c r="G104" s="7">
        <v>16</v>
      </c>
      <c r="H104" s="7">
        <v>14</v>
      </c>
      <c r="I104" s="7">
        <v>10</v>
      </c>
      <c r="J104" s="7">
        <v>12</v>
      </c>
      <c r="K104" s="7">
        <v>9</v>
      </c>
      <c r="L104" s="7">
        <v>10</v>
      </c>
      <c r="M104" s="7">
        <v>11</v>
      </c>
      <c r="N104" s="7">
        <v>10</v>
      </c>
      <c r="O104" s="7">
        <v>5</v>
      </c>
      <c r="P104" s="7">
        <v>18</v>
      </c>
      <c r="Q104" s="7">
        <v>16</v>
      </c>
      <c r="R104" s="7">
        <v>20</v>
      </c>
      <c r="S104" s="7">
        <v>11</v>
      </c>
      <c r="T104" s="7">
        <v>15</v>
      </c>
      <c r="U104" s="7">
        <v>13</v>
      </c>
      <c r="V104" s="7">
        <v>14</v>
      </c>
      <c r="W104" s="7">
        <v>9</v>
      </c>
      <c r="X104" s="7">
        <v>14</v>
      </c>
      <c r="Y104" s="7">
        <v>9</v>
      </c>
      <c r="Z104" s="7">
        <v>15</v>
      </c>
      <c r="AA104" s="7">
        <v>10</v>
      </c>
      <c r="AB104" s="7">
        <v>13</v>
      </c>
      <c r="AC104" s="7">
        <v>8</v>
      </c>
      <c r="AD104" s="7">
        <v>11</v>
      </c>
      <c r="AE104" s="7">
        <v>12</v>
      </c>
      <c r="AF104" s="8">
        <v>9</v>
      </c>
      <c r="AG104" s="4">
        <f t="shared" si="13"/>
        <v>381</v>
      </c>
    </row>
    <row r="105" spans="1:33" ht="18.75" x14ac:dyDescent="0.25">
      <c r="A105" s="49" t="s">
        <v>12</v>
      </c>
      <c r="B105" s="7">
        <v>13</v>
      </c>
      <c r="C105" s="7">
        <v>19</v>
      </c>
      <c r="D105" s="7">
        <v>16</v>
      </c>
      <c r="E105" s="7">
        <v>12</v>
      </c>
      <c r="F105" s="7">
        <v>12</v>
      </c>
      <c r="G105" s="7">
        <v>10</v>
      </c>
      <c r="H105" s="7">
        <v>9</v>
      </c>
      <c r="I105" s="7">
        <v>11</v>
      </c>
      <c r="J105" s="7">
        <v>14</v>
      </c>
      <c r="K105" s="7">
        <v>11</v>
      </c>
      <c r="L105" s="7">
        <v>16</v>
      </c>
      <c r="M105" s="7">
        <v>12</v>
      </c>
      <c r="N105" s="7">
        <v>10</v>
      </c>
      <c r="O105" s="7">
        <v>4</v>
      </c>
      <c r="P105" s="7">
        <v>13</v>
      </c>
      <c r="Q105" s="7">
        <v>12</v>
      </c>
      <c r="R105" s="7">
        <v>10</v>
      </c>
      <c r="S105" s="7">
        <v>9</v>
      </c>
      <c r="T105" s="7">
        <v>10</v>
      </c>
      <c r="U105" s="7">
        <v>12</v>
      </c>
      <c r="V105" s="7">
        <v>11</v>
      </c>
      <c r="W105" s="7">
        <v>14</v>
      </c>
      <c r="X105" s="7">
        <v>9</v>
      </c>
      <c r="Y105" s="7">
        <v>14</v>
      </c>
      <c r="Z105" s="7">
        <v>17</v>
      </c>
      <c r="AA105" s="7">
        <v>7</v>
      </c>
      <c r="AB105" s="7">
        <v>6</v>
      </c>
      <c r="AC105" s="7">
        <v>7</v>
      </c>
      <c r="AD105" s="7">
        <v>11</v>
      </c>
      <c r="AE105" s="7">
        <v>16</v>
      </c>
      <c r="AF105" s="8">
        <v>9</v>
      </c>
      <c r="AG105" s="4">
        <f t="shared" si="13"/>
        <v>356</v>
      </c>
    </row>
    <row r="106" spans="1:33" ht="18.75" x14ac:dyDescent="0.25">
      <c r="A106" s="49" t="s">
        <v>13</v>
      </c>
      <c r="B106" s="7">
        <v>12</v>
      </c>
      <c r="C106" s="7">
        <v>19</v>
      </c>
      <c r="D106" s="7">
        <v>14</v>
      </c>
      <c r="E106" s="7">
        <v>11</v>
      </c>
      <c r="F106" s="7">
        <v>8</v>
      </c>
      <c r="G106" s="7">
        <v>10</v>
      </c>
      <c r="H106" s="7">
        <v>9</v>
      </c>
      <c r="I106" s="7">
        <v>6</v>
      </c>
      <c r="J106" s="7">
        <v>15</v>
      </c>
      <c r="K106" s="7">
        <v>11</v>
      </c>
      <c r="L106" s="7">
        <v>8</v>
      </c>
      <c r="M106" s="7">
        <v>9</v>
      </c>
      <c r="N106" s="7">
        <v>12</v>
      </c>
      <c r="O106" s="7">
        <v>10</v>
      </c>
      <c r="P106" s="7">
        <v>10</v>
      </c>
      <c r="Q106" s="7">
        <v>17</v>
      </c>
      <c r="R106" s="7">
        <v>18</v>
      </c>
      <c r="S106" s="7">
        <v>8</v>
      </c>
      <c r="T106" s="7">
        <v>11</v>
      </c>
      <c r="U106" s="7">
        <v>9</v>
      </c>
      <c r="V106" s="7">
        <v>6</v>
      </c>
      <c r="W106" s="7">
        <v>10</v>
      </c>
      <c r="X106" s="7">
        <v>9</v>
      </c>
      <c r="Y106" s="7">
        <v>8</v>
      </c>
      <c r="Z106" s="7">
        <v>12</v>
      </c>
      <c r="AA106" s="7">
        <v>7</v>
      </c>
      <c r="AB106" s="7">
        <v>6</v>
      </c>
      <c r="AC106" s="7">
        <v>7</v>
      </c>
      <c r="AD106" s="7">
        <v>10</v>
      </c>
      <c r="AE106" s="7">
        <v>14</v>
      </c>
      <c r="AF106" s="8">
        <v>12</v>
      </c>
      <c r="AG106" s="4">
        <f t="shared" si="13"/>
        <v>328</v>
      </c>
    </row>
    <row r="107" spans="1:33" ht="18.75" x14ac:dyDescent="0.25">
      <c r="A107" s="49" t="s">
        <v>14</v>
      </c>
      <c r="B107" s="7">
        <v>13</v>
      </c>
      <c r="C107" s="7">
        <v>13</v>
      </c>
      <c r="D107" s="7">
        <v>10</v>
      </c>
      <c r="E107" s="7">
        <v>15</v>
      </c>
      <c r="F107" s="7">
        <v>14</v>
      </c>
      <c r="G107" s="7">
        <v>13</v>
      </c>
      <c r="H107" s="7">
        <v>8</v>
      </c>
      <c r="I107" s="7">
        <v>15</v>
      </c>
      <c r="J107" s="7">
        <v>15</v>
      </c>
      <c r="K107" s="7">
        <v>11</v>
      </c>
      <c r="L107" s="7">
        <v>13</v>
      </c>
      <c r="M107" s="7">
        <v>7</v>
      </c>
      <c r="N107" s="7">
        <v>14</v>
      </c>
      <c r="O107" s="7">
        <v>7</v>
      </c>
      <c r="P107" s="7">
        <v>8</v>
      </c>
      <c r="Q107" s="7">
        <v>13</v>
      </c>
      <c r="R107" s="7">
        <v>12</v>
      </c>
      <c r="S107" s="7">
        <v>15</v>
      </c>
      <c r="T107" s="7">
        <v>18</v>
      </c>
      <c r="U107" s="7">
        <v>16</v>
      </c>
      <c r="V107" s="7">
        <v>14</v>
      </c>
      <c r="W107" s="7">
        <v>12</v>
      </c>
      <c r="X107" s="7">
        <v>18</v>
      </c>
      <c r="Y107" s="7">
        <v>13</v>
      </c>
      <c r="Z107" s="7">
        <v>14</v>
      </c>
      <c r="AA107" s="7">
        <v>11</v>
      </c>
      <c r="AB107" s="7">
        <v>12</v>
      </c>
      <c r="AC107" s="7">
        <v>10</v>
      </c>
      <c r="AD107" s="7">
        <v>15</v>
      </c>
      <c r="AE107" s="7">
        <v>14</v>
      </c>
      <c r="AF107" s="8">
        <v>13</v>
      </c>
      <c r="AG107" s="4">
        <f t="shared" si="13"/>
        <v>396</v>
      </c>
    </row>
    <row r="108" spans="1:33" ht="18.75" x14ac:dyDescent="0.25">
      <c r="A108" s="49" t="s">
        <v>15</v>
      </c>
      <c r="B108" s="7">
        <v>16</v>
      </c>
      <c r="C108" s="7">
        <v>23</v>
      </c>
      <c r="D108" s="7">
        <v>11</v>
      </c>
      <c r="E108" s="7">
        <v>5</v>
      </c>
      <c r="F108" s="7">
        <v>11</v>
      </c>
      <c r="G108" s="7">
        <v>9</v>
      </c>
      <c r="H108" s="7">
        <v>12</v>
      </c>
      <c r="I108" s="7">
        <v>12</v>
      </c>
      <c r="J108" s="7">
        <v>11</v>
      </c>
      <c r="K108" s="7">
        <v>15</v>
      </c>
      <c r="L108" s="7">
        <v>8</v>
      </c>
      <c r="M108" s="7">
        <v>6</v>
      </c>
      <c r="N108" s="7">
        <v>12</v>
      </c>
      <c r="O108" s="7">
        <v>15</v>
      </c>
      <c r="P108" s="7">
        <v>12</v>
      </c>
      <c r="Q108" s="7">
        <v>9</v>
      </c>
      <c r="R108" s="7">
        <v>11</v>
      </c>
      <c r="S108" s="7">
        <v>13</v>
      </c>
      <c r="T108" s="7">
        <v>9</v>
      </c>
      <c r="U108" s="7">
        <v>7</v>
      </c>
      <c r="V108" s="7">
        <v>10</v>
      </c>
      <c r="W108" s="7">
        <v>18</v>
      </c>
      <c r="X108" s="7">
        <v>15</v>
      </c>
      <c r="Y108" s="7">
        <v>15</v>
      </c>
      <c r="Z108" s="7">
        <v>13</v>
      </c>
      <c r="AA108" s="7">
        <v>6</v>
      </c>
      <c r="AB108" s="7">
        <v>15</v>
      </c>
      <c r="AC108" s="7">
        <v>11</v>
      </c>
      <c r="AD108" s="7">
        <v>9</v>
      </c>
      <c r="AE108" s="7">
        <v>11</v>
      </c>
      <c r="AF108" s="8">
        <v>15</v>
      </c>
      <c r="AG108" s="4">
        <f t="shared" si="13"/>
        <v>365</v>
      </c>
    </row>
    <row r="109" spans="1:33" ht="18.75" x14ac:dyDescent="0.25">
      <c r="A109" s="49" t="s">
        <v>16</v>
      </c>
      <c r="B109" s="7">
        <v>9</v>
      </c>
      <c r="C109" s="7">
        <v>18</v>
      </c>
      <c r="D109" s="7">
        <v>15</v>
      </c>
      <c r="E109" s="7">
        <v>12</v>
      </c>
      <c r="F109" s="7">
        <v>14</v>
      </c>
      <c r="G109" s="7">
        <v>6</v>
      </c>
      <c r="H109" s="7">
        <v>14</v>
      </c>
      <c r="I109" s="7">
        <v>11</v>
      </c>
      <c r="J109" s="7">
        <v>12</v>
      </c>
      <c r="K109" s="7">
        <v>13</v>
      </c>
      <c r="L109" s="7">
        <v>19</v>
      </c>
      <c r="M109" s="7">
        <v>7</v>
      </c>
      <c r="N109" s="7">
        <v>15</v>
      </c>
      <c r="O109" s="7">
        <v>8</v>
      </c>
      <c r="P109" s="7">
        <v>10</v>
      </c>
      <c r="Q109" s="7">
        <v>12</v>
      </c>
      <c r="R109" s="7">
        <v>10</v>
      </c>
      <c r="S109" s="7">
        <v>3</v>
      </c>
      <c r="T109" s="7">
        <v>9</v>
      </c>
      <c r="U109" s="7">
        <v>3</v>
      </c>
      <c r="V109" s="7">
        <v>13</v>
      </c>
      <c r="W109" s="7">
        <v>12</v>
      </c>
      <c r="X109" s="7">
        <v>15</v>
      </c>
      <c r="Y109" s="7">
        <v>10</v>
      </c>
      <c r="Z109" s="7">
        <v>21</v>
      </c>
      <c r="AA109" s="7">
        <v>12</v>
      </c>
      <c r="AB109" s="7">
        <v>8</v>
      </c>
      <c r="AC109" s="7">
        <v>7</v>
      </c>
      <c r="AD109" s="7">
        <v>13</v>
      </c>
      <c r="AE109" s="7">
        <v>10</v>
      </c>
      <c r="AF109" s="8">
        <v>16</v>
      </c>
      <c r="AG109" s="4">
        <f t="shared" si="13"/>
        <v>357</v>
      </c>
    </row>
    <row r="110" spans="1:33" ht="18.75" x14ac:dyDescent="0.25">
      <c r="A110" s="49" t="s">
        <v>17</v>
      </c>
      <c r="B110" s="7">
        <v>6</v>
      </c>
      <c r="C110" s="7">
        <v>11</v>
      </c>
      <c r="D110" s="7">
        <v>9</v>
      </c>
      <c r="E110" s="7">
        <v>12</v>
      </c>
      <c r="F110" s="7">
        <v>10</v>
      </c>
      <c r="G110" s="7">
        <v>7</v>
      </c>
      <c r="H110" s="7">
        <v>7</v>
      </c>
      <c r="I110" s="7">
        <v>9</v>
      </c>
      <c r="J110" s="7">
        <v>18</v>
      </c>
      <c r="K110" s="7">
        <v>16</v>
      </c>
      <c r="L110" s="7">
        <v>11</v>
      </c>
      <c r="M110" s="7">
        <v>9</v>
      </c>
      <c r="N110" s="7">
        <v>5</v>
      </c>
      <c r="O110" s="7">
        <v>7</v>
      </c>
      <c r="P110" s="7">
        <v>7</v>
      </c>
      <c r="Q110" s="7">
        <v>14</v>
      </c>
      <c r="R110" s="7">
        <v>20</v>
      </c>
      <c r="S110" s="7">
        <v>5</v>
      </c>
      <c r="T110" s="7">
        <v>9</v>
      </c>
      <c r="U110" s="7">
        <v>11</v>
      </c>
      <c r="V110" s="7">
        <v>7</v>
      </c>
      <c r="W110" s="7">
        <v>13</v>
      </c>
      <c r="X110" s="7">
        <v>7</v>
      </c>
      <c r="Y110" s="7">
        <v>10</v>
      </c>
      <c r="Z110" s="7">
        <v>10</v>
      </c>
      <c r="AA110" s="7">
        <v>5</v>
      </c>
      <c r="AB110" s="7">
        <v>9</v>
      </c>
      <c r="AC110" s="7">
        <v>4</v>
      </c>
      <c r="AD110" s="7">
        <v>14</v>
      </c>
      <c r="AE110" s="7">
        <v>16</v>
      </c>
      <c r="AF110" s="8">
        <v>16</v>
      </c>
      <c r="AG110" s="4">
        <f t="shared" si="13"/>
        <v>314</v>
      </c>
    </row>
    <row r="111" spans="1:33" ht="18.75" x14ac:dyDescent="0.25">
      <c r="A111" s="49" t="s">
        <v>18</v>
      </c>
      <c r="B111" s="7">
        <v>12</v>
      </c>
      <c r="C111" s="7">
        <v>14</v>
      </c>
      <c r="D111" s="7">
        <v>12</v>
      </c>
      <c r="E111" s="7">
        <v>5</v>
      </c>
      <c r="F111" s="7">
        <v>5</v>
      </c>
      <c r="G111" s="7">
        <v>9</v>
      </c>
      <c r="H111" s="7">
        <v>9</v>
      </c>
      <c r="I111" s="7">
        <v>8</v>
      </c>
      <c r="J111" s="7">
        <v>7</v>
      </c>
      <c r="K111" s="7">
        <v>7</v>
      </c>
      <c r="L111" s="7">
        <v>6</v>
      </c>
      <c r="M111" s="7">
        <v>2</v>
      </c>
      <c r="N111" s="7">
        <v>11</v>
      </c>
      <c r="O111" s="7">
        <v>6</v>
      </c>
      <c r="P111" s="7">
        <v>6</v>
      </c>
      <c r="Q111" s="7">
        <v>19</v>
      </c>
      <c r="R111" s="7">
        <v>16</v>
      </c>
      <c r="S111" s="7">
        <v>10</v>
      </c>
      <c r="T111" s="7">
        <v>3</v>
      </c>
      <c r="U111" s="7">
        <v>11</v>
      </c>
      <c r="V111" s="7">
        <v>9</v>
      </c>
      <c r="W111" s="7">
        <v>7</v>
      </c>
      <c r="X111" s="7">
        <v>5</v>
      </c>
      <c r="Y111" s="7">
        <v>4</v>
      </c>
      <c r="Z111" s="7">
        <v>10</v>
      </c>
      <c r="AA111" s="7">
        <v>3</v>
      </c>
      <c r="AB111" s="7">
        <v>5</v>
      </c>
      <c r="AC111" s="7">
        <v>6</v>
      </c>
      <c r="AD111" s="7">
        <v>9</v>
      </c>
      <c r="AE111" s="7">
        <v>12</v>
      </c>
      <c r="AF111" s="8">
        <v>6</v>
      </c>
      <c r="AG111" s="4">
        <f t="shared" si="13"/>
        <v>254</v>
      </c>
    </row>
    <row r="112" spans="1:33" ht="18.75" x14ac:dyDescent="0.25">
      <c r="A112" s="49" t="s">
        <v>19</v>
      </c>
      <c r="B112" s="7">
        <v>11</v>
      </c>
      <c r="C112" s="7">
        <v>7</v>
      </c>
      <c r="D112" s="7">
        <v>6</v>
      </c>
      <c r="E112" s="7">
        <v>2</v>
      </c>
      <c r="F112" s="7">
        <v>6</v>
      </c>
      <c r="G112" s="7">
        <v>8</v>
      </c>
      <c r="H112" s="7">
        <v>12</v>
      </c>
      <c r="I112" s="7">
        <v>7</v>
      </c>
      <c r="J112" s="7">
        <v>7</v>
      </c>
      <c r="K112" s="7">
        <v>10</v>
      </c>
      <c r="L112" s="7">
        <v>8</v>
      </c>
      <c r="M112" s="7">
        <v>4</v>
      </c>
      <c r="N112" s="7">
        <v>5</v>
      </c>
      <c r="O112" s="7">
        <v>10</v>
      </c>
      <c r="P112" s="7">
        <v>10</v>
      </c>
      <c r="Q112" s="7">
        <v>8</v>
      </c>
      <c r="R112" s="7">
        <v>7</v>
      </c>
      <c r="S112" s="7">
        <v>8</v>
      </c>
      <c r="T112" s="7">
        <v>4</v>
      </c>
      <c r="U112" s="7">
        <v>8</v>
      </c>
      <c r="V112" s="7">
        <v>4</v>
      </c>
      <c r="W112" s="7">
        <v>5</v>
      </c>
      <c r="X112" s="7">
        <v>6</v>
      </c>
      <c r="Y112" s="7">
        <v>9</v>
      </c>
      <c r="Z112" s="7">
        <v>5</v>
      </c>
      <c r="AA112" s="7">
        <v>7</v>
      </c>
      <c r="AB112" s="7">
        <v>4</v>
      </c>
      <c r="AC112" s="7">
        <v>5</v>
      </c>
      <c r="AD112" s="7">
        <v>7</v>
      </c>
      <c r="AE112" s="7">
        <v>12</v>
      </c>
      <c r="AF112" s="8">
        <v>4</v>
      </c>
      <c r="AG112" s="4">
        <f>SUM(B112:AF112)</f>
        <v>216</v>
      </c>
    </row>
    <row r="113" spans="1:33" ht="18.75" x14ac:dyDescent="0.25">
      <c r="A113" s="49" t="s">
        <v>20</v>
      </c>
      <c r="B113" s="7">
        <v>4</v>
      </c>
      <c r="C113" s="7">
        <v>6</v>
      </c>
      <c r="D113" s="7">
        <v>4</v>
      </c>
      <c r="E113" s="7">
        <v>2</v>
      </c>
      <c r="F113" s="7">
        <v>4</v>
      </c>
      <c r="G113" s="7">
        <v>4</v>
      </c>
      <c r="H113" s="7">
        <v>4</v>
      </c>
      <c r="I113" s="7">
        <v>2</v>
      </c>
      <c r="J113" s="7">
        <v>5</v>
      </c>
      <c r="K113" s="7">
        <v>11</v>
      </c>
      <c r="L113" s="7">
        <v>6</v>
      </c>
      <c r="M113" s="7">
        <v>3</v>
      </c>
      <c r="N113" s="7">
        <v>4</v>
      </c>
      <c r="O113" s="7">
        <v>3</v>
      </c>
      <c r="P113" s="7">
        <v>7</v>
      </c>
      <c r="Q113" s="7">
        <v>8</v>
      </c>
      <c r="R113" s="7">
        <v>10</v>
      </c>
      <c r="S113" s="7">
        <v>6</v>
      </c>
      <c r="T113" s="7">
        <v>6</v>
      </c>
      <c r="U113" s="7">
        <v>3</v>
      </c>
      <c r="V113" s="7">
        <v>4</v>
      </c>
      <c r="W113" s="7">
        <v>5</v>
      </c>
      <c r="X113" s="7">
        <v>7</v>
      </c>
      <c r="Y113" s="7">
        <v>6</v>
      </c>
      <c r="Z113" s="7">
        <v>5</v>
      </c>
      <c r="AA113" s="7">
        <v>12</v>
      </c>
      <c r="AB113" s="7">
        <v>2</v>
      </c>
      <c r="AC113" s="7">
        <v>3</v>
      </c>
      <c r="AD113" s="7">
        <v>4</v>
      </c>
      <c r="AE113" s="7">
        <v>9</v>
      </c>
      <c r="AF113" s="8">
        <v>5</v>
      </c>
      <c r="AG113" s="4">
        <f t="shared" si="13"/>
        <v>164</v>
      </c>
    </row>
    <row r="114" spans="1:33" ht="18.75" x14ac:dyDescent="0.25">
      <c r="A114" s="49" t="s">
        <v>21</v>
      </c>
      <c r="B114" s="7">
        <v>10</v>
      </c>
      <c r="C114" s="7">
        <v>7</v>
      </c>
      <c r="D114" s="7">
        <v>6</v>
      </c>
      <c r="E114" s="7">
        <v>5</v>
      </c>
      <c r="F114" s="7">
        <v>1</v>
      </c>
      <c r="G114" s="7">
        <v>9</v>
      </c>
      <c r="H114" s="7">
        <v>8</v>
      </c>
      <c r="I114" s="7">
        <v>7</v>
      </c>
      <c r="J114" s="7">
        <v>9</v>
      </c>
      <c r="K114" s="7">
        <v>2</v>
      </c>
      <c r="L114" s="7">
        <v>1</v>
      </c>
      <c r="M114" s="7">
        <v>3</v>
      </c>
      <c r="N114" s="7">
        <v>5</v>
      </c>
      <c r="O114" s="7">
        <v>9</v>
      </c>
      <c r="P114" s="7">
        <v>5</v>
      </c>
      <c r="Q114" s="7">
        <v>12</v>
      </c>
      <c r="R114" s="7">
        <v>6</v>
      </c>
      <c r="S114" s="7">
        <v>9</v>
      </c>
      <c r="T114" s="7">
        <v>5</v>
      </c>
      <c r="U114" s="7">
        <v>8</v>
      </c>
      <c r="V114" s="7">
        <v>8</v>
      </c>
      <c r="W114" s="7">
        <v>13</v>
      </c>
      <c r="X114" s="7">
        <v>12</v>
      </c>
      <c r="Y114" s="7">
        <v>6</v>
      </c>
      <c r="Z114" s="7">
        <v>11</v>
      </c>
      <c r="AA114" s="7">
        <v>4</v>
      </c>
      <c r="AB114" s="7">
        <v>7</v>
      </c>
      <c r="AC114" s="7">
        <v>5</v>
      </c>
      <c r="AD114" s="7">
        <v>4</v>
      </c>
      <c r="AE114" s="7">
        <v>10</v>
      </c>
      <c r="AF114" s="8">
        <v>9</v>
      </c>
      <c r="AG114" s="4">
        <f t="shared" si="13"/>
        <v>216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77</v>
      </c>
      <c r="C116" s="74">
        <f t="shared" si="18"/>
        <v>101</v>
      </c>
      <c r="D116" s="74">
        <f t="shared" si="18"/>
        <v>89</v>
      </c>
      <c r="E116" s="74">
        <f t="shared" si="18"/>
        <v>76</v>
      </c>
      <c r="F116" s="74">
        <f t="shared" si="18"/>
        <v>88</v>
      </c>
      <c r="G116" s="74">
        <f t="shared" si="18"/>
        <v>73</v>
      </c>
      <c r="H116" s="74">
        <f t="shared" si="18"/>
        <v>87</v>
      </c>
      <c r="I116" s="74">
        <f t="shared" si="18"/>
        <v>79</v>
      </c>
      <c r="J116" s="74">
        <f t="shared" si="18"/>
        <v>100</v>
      </c>
      <c r="K116" s="74">
        <f t="shared" si="18"/>
        <v>94</v>
      </c>
      <c r="L116" s="74">
        <f t="shared" si="18"/>
        <v>89</v>
      </c>
      <c r="M116" s="74">
        <f t="shared" si="18"/>
        <v>75</v>
      </c>
      <c r="N116" s="74">
        <f t="shared" si="18"/>
        <v>90</v>
      </c>
      <c r="O116" s="74">
        <f t="shared" si="18"/>
        <v>78</v>
      </c>
      <c r="P116" s="74">
        <f t="shared" si="18"/>
        <v>30</v>
      </c>
      <c r="Q116" s="74">
        <f t="shared" si="18"/>
        <v>134</v>
      </c>
      <c r="R116" s="74">
        <f t="shared" si="18"/>
        <v>115</v>
      </c>
      <c r="S116" s="74">
        <f t="shared" si="18"/>
        <v>90</v>
      </c>
      <c r="T116" s="74">
        <f t="shared" si="18"/>
        <v>104</v>
      </c>
      <c r="U116" s="74">
        <f t="shared" si="18"/>
        <v>87</v>
      </c>
      <c r="V116" s="74">
        <f t="shared" si="18"/>
        <v>82</v>
      </c>
      <c r="W116" s="74">
        <f t="shared" si="18"/>
        <v>95</v>
      </c>
      <c r="X116" s="74">
        <f t="shared" si="18"/>
        <v>116</v>
      </c>
      <c r="Y116" s="74">
        <f t="shared" si="18"/>
        <v>115</v>
      </c>
      <c r="Z116" s="74">
        <f t="shared" si="18"/>
        <v>120</v>
      </c>
      <c r="AA116" s="74">
        <f t="shared" si="18"/>
        <v>86</v>
      </c>
      <c r="AB116" s="74">
        <f t="shared" si="18"/>
        <v>85</v>
      </c>
      <c r="AC116" s="74">
        <f t="shared" si="18"/>
        <v>70</v>
      </c>
      <c r="AD116" s="74">
        <f t="shared" si="18"/>
        <v>85</v>
      </c>
      <c r="AE116" s="74">
        <f t="shared" si="18"/>
        <v>105</v>
      </c>
      <c r="AF116" s="84">
        <f t="shared" si="18"/>
        <v>104</v>
      </c>
      <c r="AG116" s="4">
        <f t="shared" si="13"/>
        <v>2819</v>
      </c>
    </row>
    <row r="117" spans="1:33" ht="18.75" x14ac:dyDescent="0.25">
      <c r="A117" s="43" t="s">
        <v>59</v>
      </c>
      <c r="B117" s="7">
        <v>53</v>
      </c>
      <c r="C117" s="7">
        <v>62</v>
      </c>
      <c r="D117" s="7">
        <v>51</v>
      </c>
      <c r="E117" s="7">
        <v>44</v>
      </c>
      <c r="F117" s="7">
        <v>52</v>
      </c>
      <c r="G117" s="7">
        <v>55</v>
      </c>
      <c r="H117" s="7">
        <v>63</v>
      </c>
      <c r="I117" s="7">
        <v>48</v>
      </c>
      <c r="J117" s="7">
        <v>65</v>
      </c>
      <c r="K117" s="7">
        <v>67</v>
      </c>
      <c r="L117" s="7">
        <v>56</v>
      </c>
      <c r="M117" s="7">
        <v>43</v>
      </c>
      <c r="N117" s="7">
        <v>67</v>
      </c>
      <c r="O117" s="7">
        <v>54</v>
      </c>
      <c r="P117" s="7">
        <v>1</v>
      </c>
      <c r="Q117" s="7">
        <v>85</v>
      </c>
      <c r="R117" s="7">
        <v>77</v>
      </c>
      <c r="S117" s="7">
        <v>66</v>
      </c>
      <c r="T117" s="7">
        <v>74</v>
      </c>
      <c r="U117" s="7">
        <v>60</v>
      </c>
      <c r="V117" s="7">
        <v>47</v>
      </c>
      <c r="W117" s="7">
        <v>60</v>
      </c>
      <c r="X117" s="7">
        <v>77</v>
      </c>
      <c r="Y117" s="7">
        <v>91</v>
      </c>
      <c r="Z117" s="7">
        <v>87</v>
      </c>
      <c r="AA117" s="7">
        <v>60</v>
      </c>
      <c r="AB117" s="7">
        <v>63</v>
      </c>
      <c r="AC117" s="7">
        <v>42</v>
      </c>
      <c r="AD117" s="7">
        <v>58</v>
      </c>
      <c r="AE117" s="7">
        <v>71</v>
      </c>
      <c r="AF117" s="8">
        <v>68</v>
      </c>
      <c r="AG117" s="4">
        <f t="shared" si="13"/>
        <v>1867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15+9</f>
        <v>24</v>
      </c>
      <c r="C129" s="13">
        <f>20+19</f>
        <v>39</v>
      </c>
      <c r="D129" s="13">
        <f>18+20</f>
        <v>38</v>
      </c>
      <c r="E129" s="13">
        <f>8+1+23</f>
        <v>32</v>
      </c>
      <c r="F129" s="13">
        <f>10+1+25</f>
        <v>36</v>
      </c>
      <c r="G129" s="13">
        <f>5+12+1</f>
        <v>18</v>
      </c>
      <c r="H129" s="13">
        <f>12+12</f>
        <v>24</v>
      </c>
      <c r="I129" s="13">
        <f>17+14</f>
        <v>31</v>
      </c>
      <c r="J129" s="13">
        <f>17+18</f>
        <v>35</v>
      </c>
      <c r="K129" s="13">
        <f>12+15</f>
        <v>27</v>
      </c>
      <c r="L129" s="13">
        <f>22+1+10</f>
        <v>33</v>
      </c>
      <c r="M129" s="13">
        <f>13+19</f>
        <v>32</v>
      </c>
      <c r="N129" s="13">
        <f>9+14</f>
        <v>23</v>
      </c>
      <c r="O129" s="13">
        <f>10+14</f>
        <v>24</v>
      </c>
      <c r="P129" s="13">
        <f>13+1+15</f>
        <v>29</v>
      </c>
      <c r="Q129" s="13">
        <f>30+19</f>
        <v>49</v>
      </c>
      <c r="R129" s="13">
        <f>23+15</f>
        <v>38</v>
      </c>
      <c r="S129" s="13">
        <f>10+14</f>
        <v>24</v>
      </c>
      <c r="T129" s="13">
        <f>15+15</f>
        <v>30</v>
      </c>
      <c r="U129" s="13">
        <f>11+16</f>
        <v>27</v>
      </c>
      <c r="V129" s="13">
        <f>18+17</f>
        <v>35</v>
      </c>
      <c r="W129" s="13">
        <f>16+1+18</f>
        <v>35</v>
      </c>
      <c r="X129" s="13">
        <f>22+17</f>
        <v>39</v>
      </c>
      <c r="Y129" s="13">
        <f>10+14</f>
        <v>24</v>
      </c>
      <c r="Z129" s="13">
        <f>1+15+17</f>
        <v>33</v>
      </c>
      <c r="AA129" s="13">
        <f>9+17</f>
        <v>26</v>
      </c>
      <c r="AB129" s="13">
        <f>1+7+14</f>
        <v>22</v>
      </c>
      <c r="AC129" s="13">
        <f>15+13</f>
        <v>28</v>
      </c>
      <c r="AD129" s="13">
        <f>13+14</f>
        <v>27</v>
      </c>
      <c r="AE129" s="13">
        <f>16+18</f>
        <v>34</v>
      </c>
      <c r="AF129" s="14">
        <f>17+19</f>
        <v>36</v>
      </c>
      <c r="AG129" s="4">
        <f t="shared" si="19"/>
        <v>952</v>
      </c>
    </row>
    <row r="130" spans="1:35" ht="18.75" x14ac:dyDescent="0.25">
      <c r="A130" s="73" t="s">
        <v>109</v>
      </c>
      <c r="B130" s="74">
        <f t="shared" ref="B130:AF130" si="20">SUM(B131:B143)</f>
        <v>172</v>
      </c>
      <c r="C130" s="74">
        <f t="shared" si="20"/>
        <v>219</v>
      </c>
      <c r="D130" s="74">
        <f t="shared" si="20"/>
        <v>194</v>
      </c>
      <c r="E130" s="74">
        <f t="shared" si="20"/>
        <v>170</v>
      </c>
      <c r="F130" s="74">
        <f t="shared" si="20"/>
        <v>174</v>
      </c>
      <c r="G130" s="74">
        <f t="shared" si="20"/>
        <v>154</v>
      </c>
      <c r="H130" s="74">
        <f t="shared" si="20"/>
        <v>158</v>
      </c>
      <c r="I130" s="74">
        <f t="shared" si="20"/>
        <v>157</v>
      </c>
      <c r="J130" s="74">
        <f t="shared" si="20"/>
        <v>197</v>
      </c>
      <c r="K130" s="74">
        <f t="shared" si="20"/>
        <v>195</v>
      </c>
      <c r="L130" s="74">
        <f t="shared" si="20"/>
        <v>178</v>
      </c>
      <c r="M130" s="74">
        <f t="shared" si="20"/>
        <v>146</v>
      </c>
      <c r="N130" s="74">
        <f t="shared" si="20"/>
        <v>164</v>
      </c>
      <c r="O130" s="74">
        <f t="shared" si="20"/>
        <v>151</v>
      </c>
      <c r="P130" s="74">
        <f t="shared" si="20"/>
        <v>177</v>
      </c>
      <c r="Q130" s="74">
        <f t="shared" si="20"/>
        <v>220</v>
      </c>
      <c r="R130" s="74">
        <f t="shared" si="20"/>
        <v>221</v>
      </c>
      <c r="S130" s="74">
        <f t="shared" si="20"/>
        <v>181</v>
      </c>
      <c r="T130" s="74">
        <f t="shared" si="20"/>
        <v>190</v>
      </c>
      <c r="U130" s="74">
        <f t="shared" si="20"/>
        <v>177</v>
      </c>
      <c r="V130" s="74">
        <f t="shared" si="20"/>
        <v>176</v>
      </c>
      <c r="W130" s="74">
        <f t="shared" si="20"/>
        <v>187</v>
      </c>
      <c r="X130" s="74">
        <f t="shared" si="20"/>
        <v>211</v>
      </c>
      <c r="Y130" s="74">
        <f t="shared" si="20"/>
        <v>197</v>
      </c>
      <c r="Z130" s="74">
        <f t="shared" si="20"/>
        <v>243</v>
      </c>
      <c r="AA130" s="74">
        <f t="shared" si="20"/>
        <v>177</v>
      </c>
      <c r="AB130" s="74">
        <f t="shared" si="20"/>
        <v>173</v>
      </c>
      <c r="AC130" s="74">
        <f t="shared" si="20"/>
        <v>158</v>
      </c>
      <c r="AD130" s="74">
        <f t="shared" si="20"/>
        <v>177</v>
      </c>
      <c r="AE130" s="74">
        <f t="shared" si="20"/>
        <v>217</v>
      </c>
      <c r="AF130" s="84">
        <f t="shared" si="20"/>
        <v>223</v>
      </c>
      <c r="AG130" s="150">
        <f t="shared" si="19"/>
        <v>5734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48</v>
      </c>
      <c r="C131" s="7">
        <v>61</v>
      </c>
      <c r="D131" s="7">
        <v>50</v>
      </c>
      <c r="E131" s="7">
        <v>38</v>
      </c>
      <c r="F131" s="7">
        <v>48</v>
      </c>
      <c r="G131" s="7">
        <v>49</v>
      </c>
      <c r="H131" s="7">
        <v>58</v>
      </c>
      <c r="I131" s="7">
        <v>43</v>
      </c>
      <c r="J131" s="7">
        <v>54</v>
      </c>
      <c r="K131" s="7">
        <v>67</v>
      </c>
      <c r="L131" s="7">
        <v>52</v>
      </c>
      <c r="M131" s="7">
        <v>33</v>
      </c>
      <c r="N131" s="7">
        <v>54</v>
      </c>
      <c r="O131" s="7">
        <v>48</v>
      </c>
      <c r="P131" s="7">
        <v>62</v>
      </c>
      <c r="Q131" s="7">
        <v>71</v>
      </c>
      <c r="R131" s="7">
        <v>67</v>
      </c>
      <c r="S131" s="7">
        <v>49</v>
      </c>
      <c r="T131" s="7">
        <v>61</v>
      </c>
      <c r="U131" s="7">
        <v>51</v>
      </c>
      <c r="V131" s="7">
        <v>45</v>
      </c>
      <c r="W131" s="7">
        <v>54</v>
      </c>
      <c r="X131" s="7">
        <v>65</v>
      </c>
      <c r="Y131" s="7">
        <v>80</v>
      </c>
      <c r="Z131" s="7">
        <v>75</v>
      </c>
      <c r="AA131" s="7">
        <v>47</v>
      </c>
      <c r="AB131" s="7">
        <v>58</v>
      </c>
      <c r="AC131" s="7">
        <v>33</v>
      </c>
      <c r="AD131" s="7">
        <v>46</v>
      </c>
      <c r="AE131" s="7">
        <v>61</v>
      </c>
      <c r="AF131" s="8">
        <v>63</v>
      </c>
      <c r="AG131" s="4">
        <f t="shared" si="19"/>
        <v>1691</v>
      </c>
    </row>
    <row r="132" spans="1:35" ht="18.75" x14ac:dyDescent="0.25">
      <c r="A132" s="43" t="s">
        <v>23</v>
      </c>
      <c r="B132" s="7">
        <v>13</v>
      </c>
      <c r="C132" s="7">
        <v>4</v>
      </c>
      <c r="D132" s="7">
        <v>11</v>
      </c>
      <c r="E132" s="7">
        <v>14</v>
      </c>
      <c r="F132" s="7">
        <v>6</v>
      </c>
      <c r="G132" s="7">
        <v>9</v>
      </c>
      <c r="H132" s="7">
        <v>9</v>
      </c>
      <c r="I132" s="7">
        <v>11</v>
      </c>
      <c r="J132" s="7">
        <v>9</v>
      </c>
      <c r="K132" s="7">
        <v>8</v>
      </c>
      <c r="L132" s="7">
        <v>9</v>
      </c>
      <c r="M132" s="7">
        <v>13</v>
      </c>
      <c r="N132" s="7">
        <v>7</v>
      </c>
      <c r="O132" s="7">
        <v>6</v>
      </c>
      <c r="P132" s="7">
        <v>9</v>
      </c>
      <c r="Q132" s="7">
        <v>14</v>
      </c>
      <c r="R132" s="7">
        <v>14</v>
      </c>
      <c r="S132" s="7">
        <v>12</v>
      </c>
      <c r="T132" s="7">
        <v>10</v>
      </c>
      <c r="U132" s="7">
        <v>10</v>
      </c>
      <c r="V132" s="7">
        <v>14</v>
      </c>
      <c r="W132" s="7">
        <v>9</v>
      </c>
      <c r="X132" s="7">
        <v>11</v>
      </c>
      <c r="Y132" s="7">
        <v>8</v>
      </c>
      <c r="Z132" s="7">
        <v>13</v>
      </c>
      <c r="AA132" s="7">
        <v>14</v>
      </c>
      <c r="AB132" s="7">
        <v>10</v>
      </c>
      <c r="AC132" s="7">
        <v>5</v>
      </c>
      <c r="AD132" s="7">
        <v>14</v>
      </c>
      <c r="AE132" s="7">
        <v>9</v>
      </c>
      <c r="AF132" s="8">
        <v>11</v>
      </c>
      <c r="AG132" s="4">
        <f t="shared" si="19"/>
        <v>316</v>
      </c>
    </row>
    <row r="133" spans="1:35" ht="18.75" x14ac:dyDescent="0.25">
      <c r="A133" s="43" t="s">
        <v>24</v>
      </c>
      <c r="B133" s="7">
        <v>12</v>
      </c>
      <c r="C133" s="7">
        <v>18</v>
      </c>
      <c r="D133" s="7">
        <v>15</v>
      </c>
      <c r="E133" s="7">
        <v>7</v>
      </c>
      <c r="F133" s="7">
        <v>2</v>
      </c>
      <c r="G133" s="7">
        <v>10</v>
      </c>
      <c r="H133" s="7">
        <v>14</v>
      </c>
      <c r="I133" s="7">
        <v>11</v>
      </c>
      <c r="J133" s="7">
        <v>13</v>
      </c>
      <c r="K133" s="7">
        <v>13</v>
      </c>
      <c r="L133" s="7">
        <v>15</v>
      </c>
      <c r="M133" s="7">
        <v>12</v>
      </c>
      <c r="N133" s="7">
        <v>9</v>
      </c>
      <c r="O133" s="7">
        <v>6</v>
      </c>
      <c r="P133" s="7">
        <v>10</v>
      </c>
      <c r="Q133" s="7">
        <v>8</v>
      </c>
      <c r="R133" s="7">
        <v>13</v>
      </c>
      <c r="S133" s="7">
        <v>19</v>
      </c>
      <c r="T133" s="7">
        <v>10</v>
      </c>
      <c r="U133" s="7">
        <v>12</v>
      </c>
      <c r="V133" s="7">
        <v>12</v>
      </c>
      <c r="W133" s="7">
        <v>12</v>
      </c>
      <c r="X133" s="7">
        <v>19</v>
      </c>
      <c r="Y133" s="7">
        <v>5</v>
      </c>
      <c r="Z133" s="7">
        <v>14</v>
      </c>
      <c r="AA133" s="7">
        <v>13</v>
      </c>
      <c r="AB133" s="7">
        <v>18</v>
      </c>
      <c r="AC133" s="7">
        <v>13</v>
      </c>
      <c r="AD133" s="7">
        <v>13</v>
      </c>
      <c r="AE133" s="7">
        <v>14</v>
      </c>
      <c r="AF133" s="8">
        <v>19</v>
      </c>
      <c r="AG133" s="4">
        <f t="shared" si="19"/>
        <v>381</v>
      </c>
    </row>
    <row r="134" spans="1:35" ht="18.75" x14ac:dyDescent="0.25">
      <c r="A134" s="43" t="s">
        <v>25</v>
      </c>
      <c r="B134" s="7">
        <f>1+12</f>
        <v>13</v>
      </c>
      <c r="C134" s="7">
        <f>1+10</f>
        <v>11</v>
      </c>
      <c r="D134" s="7">
        <v>6</v>
      </c>
      <c r="E134" s="7">
        <f>1+12+2</f>
        <v>15</v>
      </c>
      <c r="F134" s="7">
        <f>13+1</f>
        <v>14</v>
      </c>
      <c r="G134" s="7">
        <v>9</v>
      </c>
      <c r="H134" s="7">
        <f>4+1</f>
        <v>5</v>
      </c>
      <c r="I134" s="7">
        <f>1+6</f>
        <v>7</v>
      </c>
      <c r="J134" s="7">
        <f>12+1</f>
        <v>13</v>
      </c>
      <c r="K134" s="7">
        <v>11</v>
      </c>
      <c r="L134" s="7">
        <v>8</v>
      </c>
      <c r="M134" s="7">
        <f>1+5+1</f>
        <v>7</v>
      </c>
      <c r="N134" s="7">
        <v>6</v>
      </c>
      <c r="O134" s="7">
        <f>1+7+1</f>
        <v>9</v>
      </c>
      <c r="P134" s="7">
        <v>9</v>
      </c>
      <c r="Q134" s="7">
        <v>12</v>
      </c>
      <c r="R134" s="7">
        <f>1+8</f>
        <v>9</v>
      </c>
      <c r="S134" s="7">
        <v>10</v>
      </c>
      <c r="T134" s="7">
        <f>1+18+1</f>
        <v>20</v>
      </c>
      <c r="U134" s="7">
        <f>1+4</f>
        <v>5</v>
      </c>
      <c r="V134" s="7">
        <v>10</v>
      </c>
      <c r="W134" s="7">
        <v>11</v>
      </c>
      <c r="X134" s="7">
        <v>14</v>
      </c>
      <c r="Y134" s="7">
        <v>10</v>
      </c>
      <c r="Z134" s="7">
        <f>1+12</f>
        <v>13</v>
      </c>
      <c r="AA134" s="7">
        <v>9</v>
      </c>
      <c r="AB134" s="7">
        <v>10</v>
      </c>
      <c r="AC134" s="7">
        <v>9</v>
      </c>
      <c r="AD134" s="7">
        <f>1+10+1</f>
        <v>12</v>
      </c>
      <c r="AE134" s="7">
        <f>11</f>
        <v>11</v>
      </c>
      <c r="AF134" s="8">
        <f>1+12</f>
        <v>13</v>
      </c>
      <c r="AG134" s="4">
        <f t="shared" ref="AG134:AG147" si="21">SUM(B134:AF134)</f>
        <v>321</v>
      </c>
    </row>
    <row r="135" spans="1:35" ht="18.75" x14ac:dyDescent="0.25">
      <c r="A135" s="43" t="s">
        <v>26</v>
      </c>
      <c r="B135" s="7">
        <v>10</v>
      </c>
      <c r="C135" s="7">
        <v>13</v>
      </c>
      <c r="D135" s="7">
        <v>13</v>
      </c>
      <c r="E135" s="7">
        <v>9</v>
      </c>
      <c r="F135" s="7">
        <v>9</v>
      </c>
      <c r="G135" s="7">
        <v>6</v>
      </c>
      <c r="H135" s="7">
        <v>5</v>
      </c>
      <c r="I135" s="7">
        <v>10</v>
      </c>
      <c r="J135" s="7">
        <v>17</v>
      </c>
      <c r="K135" s="7">
        <v>9</v>
      </c>
      <c r="L135" s="7">
        <v>9</v>
      </c>
      <c r="M135" s="7">
        <v>12</v>
      </c>
      <c r="N135" s="7">
        <v>12</v>
      </c>
      <c r="O135" s="7">
        <v>6</v>
      </c>
      <c r="P135" s="7">
        <v>6</v>
      </c>
      <c r="Q135" s="7">
        <v>9</v>
      </c>
      <c r="R135" s="7">
        <v>18</v>
      </c>
      <c r="S135" s="7">
        <v>16</v>
      </c>
      <c r="T135" s="7">
        <v>9</v>
      </c>
      <c r="U135" s="7">
        <v>8</v>
      </c>
      <c r="V135" s="7">
        <v>9</v>
      </c>
      <c r="W135" s="7">
        <v>7</v>
      </c>
      <c r="X135" s="7">
        <v>16</v>
      </c>
      <c r="Y135" s="7">
        <v>20</v>
      </c>
      <c r="Z135" s="7">
        <v>13</v>
      </c>
      <c r="AA135" s="7">
        <v>12</v>
      </c>
      <c r="AB135" s="7">
        <v>8</v>
      </c>
      <c r="AC135" s="7">
        <v>6</v>
      </c>
      <c r="AD135" s="7">
        <v>9</v>
      </c>
      <c r="AE135" s="7">
        <v>14</v>
      </c>
      <c r="AF135" s="8">
        <v>17</v>
      </c>
      <c r="AG135" s="4">
        <f t="shared" si="21"/>
        <v>337</v>
      </c>
    </row>
    <row r="136" spans="1:35" ht="18.75" x14ac:dyDescent="0.25">
      <c r="A136" s="43" t="s">
        <v>27</v>
      </c>
      <c r="B136" s="7">
        <v>24</v>
      </c>
      <c r="C136" s="7">
        <v>41</v>
      </c>
      <c r="D136" s="7">
        <v>37</v>
      </c>
      <c r="E136" s="7">
        <v>33</v>
      </c>
      <c r="F136" s="7">
        <v>28</v>
      </c>
      <c r="G136" s="7">
        <v>25</v>
      </c>
      <c r="H136" s="7">
        <v>32</v>
      </c>
      <c r="I136" s="7">
        <v>31</v>
      </c>
      <c r="J136" s="7">
        <v>36</v>
      </c>
      <c r="K136" s="7">
        <v>28</v>
      </c>
      <c r="L136" s="7">
        <v>32</v>
      </c>
      <c r="M136" s="7">
        <v>28</v>
      </c>
      <c r="N136" s="7">
        <v>19</v>
      </c>
      <c r="O136" s="7">
        <v>33</v>
      </c>
      <c r="P136" s="7">
        <v>28</v>
      </c>
      <c r="Q136" s="7">
        <v>43</v>
      </c>
      <c r="R136" s="7">
        <v>43</v>
      </c>
      <c r="S136" s="7">
        <v>21</v>
      </c>
      <c r="T136" s="7">
        <v>24</v>
      </c>
      <c r="U136" s="7">
        <v>42</v>
      </c>
      <c r="V136" s="7">
        <v>35</v>
      </c>
      <c r="W136" s="7">
        <v>33</v>
      </c>
      <c r="X136" s="7">
        <v>36</v>
      </c>
      <c r="Y136" s="7">
        <v>29</v>
      </c>
      <c r="Z136" s="7">
        <v>47</v>
      </c>
      <c r="AA136" s="7">
        <v>34</v>
      </c>
      <c r="AB136" s="7">
        <v>29</v>
      </c>
      <c r="AC136" s="7">
        <v>39</v>
      </c>
      <c r="AD136" s="7">
        <v>36</v>
      </c>
      <c r="AE136" s="7">
        <v>49</v>
      </c>
      <c r="AF136" s="8">
        <v>38</v>
      </c>
      <c r="AG136" s="4">
        <f t="shared" si="21"/>
        <v>1033</v>
      </c>
    </row>
    <row r="137" spans="1:35" ht="18.75" x14ac:dyDescent="0.25">
      <c r="A137" s="43" t="s">
        <v>28</v>
      </c>
      <c r="B137" s="7">
        <f>6+2</f>
        <v>8</v>
      </c>
      <c r="C137" s="7">
        <v>8</v>
      </c>
      <c r="D137" s="7">
        <f>2+1</f>
        <v>3</v>
      </c>
      <c r="E137" s="7">
        <f>9+3</f>
        <v>12</v>
      </c>
      <c r="F137" s="7">
        <v>11</v>
      </c>
      <c r="G137" s="7">
        <f>4+2</f>
        <v>6</v>
      </c>
      <c r="H137" s="7">
        <v>7</v>
      </c>
      <c r="I137" s="7">
        <f>5+1</f>
        <v>6</v>
      </c>
      <c r="J137" s="7">
        <v>6</v>
      </c>
      <c r="K137" s="7">
        <f>7+1</f>
        <v>8</v>
      </c>
      <c r="L137" s="7">
        <v>7</v>
      </c>
      <c r="M137" s="7">
        <v>5</v>
      </c>
      <c r="N137" s="7">
        <f>10+2</f>
        <v>12</v>
      </c>
      <c r="O137" s="7">
        <f>5+2</f>
        <v>7</v>
      </c>
      <c r="P137" s="7">
        <f>4+1</f>
        <v>5</v>
      </c>
      <c r="Q137" s="7">
        <f>6+1</f>
        <v>7</v>
      </c>
      <c r="R137" s="7">
        <v>7</v>
      </c>
      <c r="S137" s="7">
        <f>10+3</f>
        <v>13</v>
      </c>
      <c r="T137" s="7">
        <f>9+1</f>
        <v>10</v>
      </c>
      <c r="U137" s="7">
        <f>8+1</f>
        <v>9</v>
      </c>
      <c r="V137" s="7">
        <f>8+2</f>
        <v>10</v>
      </c>
      <c r="W137" s="7">
        <f>8+3</f>
        <v>11</v>
      </c>
      <c r="X137" s="7">
        <f>5+3</f>
        <v>8</v>
      </c>
      <c r="Y137" s="7">
        <f>6+3</f>
        <v>9</v>
      </c>
      <c r="Z137" s="7">
        <f>6+1</f>
        <v>7</v>
      </c>
      <c r="AA137" s="7">
        <f>6+2</f>
        <v>8</v>
      </c>
      <c r="AB137" s="7">
        <v>3</v>
      </c>
      <c r="AC137" s="7">
        <f>5+2</f>
        <v>7</v>
      </c>
      <c r="AD137" s="7">
        <f>9+2</f>
        <v>11</v>
      </c>
      <c r="AE137" s="7">
        <v>9</v>
      </c>
      <c r="AF137" s="8">
        <v>9</v>
      </c>
      <c r="AG137" s="4">
        <f t="shared" si="21"/>
        <v>249</v>
      </c>
    </row>
    <row r="138" spans="1:35" ht="18.75" x14ac:dyDescent="0.25">
      <c r="A138" s="43" t="s">
        <v>29</v>
      </c>
      <c r="B138" s="7">
        <v>6</v>
      </c>
      <c r="C138" s="7">
        <v>8</v>
      </c>
      <c r="D138" s="7">
        <v>5</v>
      </c>
      <c r="E138" s="7">
        <v>5</v>
      </c>
      <c r="F138" s="7">
        <v>9</v>
      </c>
      <c r="G138" s="7">
        <v>7</v>
      </c>
      <c r="H138" s="7">
        <v>1</v>
      </c>
      <c r="I138" s="7">
        <v>1</v>
      </c>
      <c r="J138" s="7">
        <v>6</v>
      </c>
      <c r="K138" s="7">
        <v>10</v>
      </c>
      <c r="L138" s="7">
        <v>7</v>
      </c>
      <c r="M138" s="7">
        <v>4</v>
      </c>
      <c r="N138" s="7">
        <v>4</v>
      </c>
      <c r="O138" s="7">
        <v>7</v>
      </c>
      <c r="P138" s="7">
        <v>5</v>
      </c>
      <c r="Q138" s="7">
        <v>5</v>
      </c>
      <c r="R138" s="7">
        <v>3</v>
      </c>
      <c r="S138" s="7">
        <v>7</v>
      </c>
      <c r="T138" s="7">
        <v>4</v>
      </c>
      <c r="U138" s="7">
        <v>6</v>
      </c>
      <c r="V138" s="7">
        <v>9</v>
      </c>
      <c r="W138" s="7">
        <v>4</v>
      </c>
      <c r="X138" s="7">
        <v>4</v>
      </c>
      <c r="Y138" s="7">
        <v>8</v>
      </c>
      <c r="Z138" s="7">
        <v>10</v>
      </c>
      <c r="AA138" s="7">
        <v>4</v>
      </c>
      <c r="AB138" s="7">
        <v>3</v>
      </c>
      <c r="AC138" s="7">
        <v>9</v>
      </c>
      <c r="AD138" s="7">
        <v>6</v>
      </c>
      <c r="AE138" s="7">
        <v>6</v>
      </c>
      <c r="AF138" s="8">
        <v>7</v>
      </c>
      <c r="AG138" s="4">
        <f t="shared" si="21"/>
        <v>180</v>
      </c>
    </row>
    <row r="139" spans="1:35" ht="18.75" x14ac:dyDescent="0.25">
      <c r="A139" s="41" t="s">
        <v>30</v>
      </c>
      <c r="B139" s="7">
        <v>3</v>
      </c>
      <c r="C139" s="7">
        <f>2+2</f>
        <v>4</v>
      </c>
      <c r="D139" s="7">
        <f>3+1</f>
        <v>4</v>
      </c>
      <c r="E139" s="7">
        <v>5</v>
      </c>
      <c r="F139" s="7">
        <v>2</v>
      </c>
      <c r="G139" s="7">
        <f>3+2</f>
        <v>5</v>
      </c>
      <c r="H139" s="7"/>
      <c r="I139" s="7">
        <v>2</v>
      </c>
      <c r="J139" s="7">
        <f>2+3</f>
        <v>5</v>
      </c>
      <c r="K139" s="7">
        <v>2</v>
      </c>
      <c r="L139" s="7">
        <v>4</v>
      </c>
      <c r="M139" s="7">
        <v>5</v>
      </c>
      <c r="N139" s="7">
        <f>2+2</f>
        <v>4</v>
      </c>
      <c r="O139" s="7">
        <f>1+1</f>
        <v>2</v>
      </c>
      <c r="P139" s="7">
        <f>3+1</f>
        <v>4</v>
      </c>
      <c r="Q139" s="7">
        <v>3</v>
      </c>
      <c r="R139" s="7">
        <f>4+1</f>
        <v>5</v>
      </c>
      <c r="S139" s="7">
        <v>2</v>
      </c>
      <c r="T139" s="7">
        <v>3</v>
      </c>
      <c r="U139" s="7">
        <v>2</v>
      </c>
      <c r="V139" s="7">
        <v>3</v>
      </c>
      <c r="W139" s="7">
        <v>2</v>
      </c>
      <c r="X139" s="7">
        <f>4+1</f>
        <v>5</v>
      </c>
      <c r="Y139" s="7">
        <f>2+1</f>
        <v>3</v>
      </c>
      <c r="Z139" s="7">
        <f>2+2</f>
        <v>4</v>
      </c>
      <c r="AA139" s="7">
        <v>3</v>
      </c>
      <c r="AB139" s="7">
        <f>2+1</f>
        <v>3</v>
      </c>
      <c r="AC139" s="7">
        <f>1+1</f>
        <v>2</v>
      </c>
      <c r="AD139" s="7">
        <f>2+1</f>
        <v>3</v>
      </c>
      <c r="AE139" s="7">
        <f>2+2</f>
        <v>4</v>
      </c>
      <c r="AF139" s="8">
        <f>1+1</f>
        <v>2</v>
      </c>
      <c r="AG139" s="4">
        <f t="shared" si="21"/>
        <v>100</v>
      </c>
    </row>
    <row r="140" spans="1:35" ht="18.75" x14ac:dyDescent="0.25">
      <c r="A140" s="41" t="s">
        <v>31</v>
      </c>
      <c r="B140" s="7">
        <v>3</v>
      </c>
      <c r="C140" s="7">
        <v>1</v>
      </c>
      <c r="D140" s="7">
        <v>3</v>
      </c>
      <c r="E140" s="7"/>
      <c r="F140" s="7">
        <v>2</v>
      </c>
      <c r="G140" s="7">
        <v>3</v>
      </c>
      <c r="H140" s="7">
        <v>2</v>
      </c>
      <c r="I140" s="7"/>
      <c r="J140" s="7">
        <v>3</v>
      </c>
      <c r="K140" s="7">
        <v>4</v>
      </c>
      <c r="L140" s="7">
        <v>2</v>
      </c>
      <c r="M140" s="7"/>
      <c r="N140" s="7">
        <v>5</v>
      </c>
      <c r="O140" s="7">
        <v>2</v>
      </c>
      <c r="P140" s="7"/>
      <c r="Q140" s="7">
        <v>2</v>
      </c>
      <c r="R140" s="7">
        <v>1</v>
      </c>
      <c r="S140" s="7"/>
      <c r="T140" s="7">
        <v>2</v>
      </c>
      <c r="U140" s="7"/>
      <c r="V140" s="7">
        <v>1</v>
      </c>
      <c r="W140" s="7">
        <v>6</v>
      </c>
      <c r="X140" s="7">
        <v>3</v>
      </c>
      <c r="Y140" s="7"/>
      <c r="Z140" s="7">
        <v>4</v>
      </c>
      <c r="AA140" s="7">
        <v>1</v>
      </c>
      <c r="AB140" s="7">
        <v>1</v>
      </c>
      <c r="AC140" s="7">
        <v>1</v>
      </c>
      <c r="AD140" s="7">
        <v>2</v>
      </c>
      <c r="AE140" s="7">
        <v>4</v>
      </c>
      <c r="AF140" s="8"/>
      <c r="AG140" s="4">
        <f t="shared" si="21"/>
        <v>58</v>
      </c>
    </row>
    <row r="141" spans="1:35" ht="18.75" x14ac:dyDescent="0.25">
      <c r="A141" s="41" t="s">
        <v>32</v>
      </c>
      <c r="B141" s="7"/>
      <c r="C141" s="7">
        <v>1</v>
      </c>
      <c r="D141" s="7">
        <v>1</v>
      </c>
      <c r="E141" s="7"/>
      <c r="F141" s="7">
        <v>1</v>
      </c>
      <c r="G141" s="7"/>
      <c r="H141" s="7">
        <v>1</v>
      </c>
      <c r="I141" s="7">
        <v>1</v>
      </c>
      <c r="J141" s="7"/>
      <c r="K141" s="7">
        <v>2</v>
      </c>
      <c r="L141" s="7">
        <v>1</v>
      </c>
      <c r="M141" s="7"/>
      <c r="N141" s="7">
        <v>1</v>
      </c>
      <c r="O141" s="7"/>
      <c r="P141" s="7">
        <v>1</v>
      </c>
      <c r="Q141" s="7">
        <v>1</v>
      </c>
      <c r="R141" s="7"/>
      <c r="S141" s="7"/>
      <c r="T141" s="7">
        <v>2</v>
      </c>
      <c r="U141" s="7"/>
      <c r="V141" s="7"/>
      <c r="W141" s="7">
        <v>1</v>
      </c>
      <c r="X141" s="7"/>
      <c r="Y141" s="7">
        <v>2</v>
      </c>
      <c r="Z141" s="7">
        <v>1</v>
      </c>
      <c r="AA141" s="7"/>
      <c r="AB141" s="7">
        <v>2</v>
      </c>
      <c r="AC141" s="7">
        <v>3</v>
      </c>
      <c r="AD141" s="7"/>
      <c r="AE141" s="7">
        <v>1</v>
      </c>
      <c r="AF141" s="8">
        <v>2</v>
      </c>
      <c r="AG141" s="4">
        <f t="shared" si="21"/>
        <v>25</v>
      </c>
    </row>
    <row r="142" spans="1:35" ht="18.75" x14ac:dyDescent="0.25">
      <c r="A142" s="43" t="s">
        <v>60</v>
      </c>
      <c r="B142" s="7">
        <f>1+1+2+2+1+1+2</f>
        <v>10</v>
      </c>
      <c r="C142" s="7">
        <f>2+1+1+3+1+2+1+1</f>
        <v>12</v>
      </c>
      <c r="D142" s="7">
        <f>1+1+1+1+1+1+1+1+1</f>
        <v>9</v>
      </c>
      <c r="E142" s="7">
        <f>2+1+1</f>
        <v>4</v>
      </c>
      <c r="F142" s="7">
        <f>1+1+1+3+1+1+1+1+23</f>
        <v>33</v>
      </c>
      <c r="G142" s="7">
        <f>3+2+1+1+1</f>
        <v>8</v>
      </c>
      <c r="H142" s="7">
        <f>2</f>
        <v>2</v>
      </c>
      <c r="I142" s="7">
        <f>1+1+1+1+1</f>
        <v>5</v>
      </c>
      <c r="J142" s="7">
        <f>1+1+1+2+1</f>
        <v>6</v>
      </c>
      <c r="K142" s="7">
        <f>1+1+1+1+1+2+1</f>
        <v>8</v>
      </c>
      <c r="L142" s="7">
        <f>3+1+1+1+1</f>
        <v>7</v>
      </c>
      <c r="M142" s="7">
        <f>1+1+1</f>
        <v>3</v>
      </c>
      <c r="N142" s="7">
        <f>2+1+1+1+1+1+1+1</f>
        <v>9</v>
      </c>
      <c r="O142" s="7">
        <f>1+1+1+3</f>
        <v>6</v>
      </c>
      <c r="P142" s="7">
        <f>4+1+3+1</f>
        <v>9</v>
      </c>
      <c r="Q142" s="7">
        <f>4+2+1</f>
        <v>7</v>
      </c>
      <c r="R142" s="7">
        <f>1+1+1+1+2+1</f>
        <v>7</v>
      </c>
      <c r="S142" s="7">
        <f>5+1+3+1+1+1</f>
        <v>12</v>
      </c>
      <c r="T142" s="7">
        <f>1+1+1+1+2+2</f>
        <v>8</v>
      </c>
      <c r="U142" s="7">
        <f>1+1+1+1+1+1</f>
        <v>6</v>
      </c>
      <c r="V142" s="7">
        <v>1</v>
      </c>
      <c r="W142" s="7">
        <f>2+2+2+1</f>
        <v>7</v>
      </c>
      <c r="X142" s="7">
        <f>18+1</f>
        <v>19</v>
      </c>
      <c r="Y142" s="7">
        <f>1+1+1+1</f>
        <v>4</v>
      </c>
      <c r="Z142" s="7">
        <f>1+4+2+1+1+1+2+1</f>
        <v>13</v>
      </c>
      <c r="AA142" s="7">
        <f>2+1+1+1+1+1+1</f>
        <v>8</v>
      </c>
      <c r="AB142" s="7">
        <f>1+1+1+1+1+2</f>
        <v>7</v>
      </c>
      <c r="AC142" s="7">
        <f>2+1+1</f>
        <v>4</v>
      </c>
      <c r="AD142" s="7">
        <f>1+1+1</f>
        <v>3</v>
      </c>
      <c r="AE142" s="7">
        <f>1+1+1+1+1+1+1</f>
        <v>7</v>
      </c>
      <c r="AF142" s="8">
        <f>3+1+1+1+1+1</f>
        <v>8</v>
      </c>
      <c r="AG142" s="4">
        <f t="shared" si="21"/>
        <v>252</v>
      </c>
    </row>
    <row r="143" spans="1:35" ht="19.5" thickBot="1" x14ac:dyDescent="0.3">
      <c r="A143" s="75" t="s">
        <v>86</v>
      </c>
      <c r="B143" s="13">
        <f>14+8</f>
        <v>22</v>
      </c>
      <c r="C143" s="13">
        <f>18+19</f>
        <v>37</v>
      </c>
      <c r="D143" s="13">
        <f>18+19</f>
        <v>37</v>
      </c>
      <c r="E143" s="13">
        <f>7+1+20</f>
        <v>28</v>
      </c>
      <c r="F143" s="13">
        <v>9</v>
      </c>
      <c r="G143" s="13">
        <f>5+11+1</f>
        <v>17</v>
      </c>
      <c r="H143" s="13">
        <f>12+10</f>
        <v>22</v>
      </c>
      <c r="I143" s="13">
        <f>15+14</f>
        <v>29</v>
      </c>
      <c r="J143" s="13">
        <f>14+15</f>
        <v>29</v>
      </c>
      <c r="K143" s="13">
        <f>12+13</f>
        <v>25</v>
      </c>
      <c r="L143" s="13">
        <f>16+1+8</f>
        <v>25</v>
      </c>
      <c r="M143" s="13">
        <f>8+16</f>
        <v>24</v>
      </c>
      <c r="N143" s="13">
        <f>8+14</f>
        <v>22</v>
      </c>
      <c r="O143" s="13">
        <f>8+11</f>
        <v>19</v>
      </c>
      <c r="P143" s="13">
        <f>13+1+15</f>
        <v>29</v>
      </c>
      <c r="Q143" s="13">
        <f>21+17</f>
        <v>38</v>
      </c>
      <c r="R143" s="13">
        <f>20+14</f>
        <v>34</v>
      </c>
      <c r="S143" s="13">
        <f>9+11</f>
        <v>20</v>
      </c>
      <c r="T143" s="13">
        <f>13+14</f>
        <v>27</v>
      </c>
      <c r="U143" s="13">
        <f>10+16</f>
        <v>26</v>
      </c>
      <c r="V143" s="13">
        <f>15+12</f>
        <v>27</v>
      </c>
      <c r="W143" s="13">
        <f>13+1+16</f>
        <v>30</v>
      </c>
      <c r="X143" s="13">
        <v>11</v>
      </c>
      <c r="Y143" s="13">
        <f>7+12</f>
        <v>19</v>
      </c>
      <c r="Z143" s="13">
        <f>1+12+16</f>
        <v>29</v>
      </c>
      <c r="AA143" s="13">
        <f>8+1+15</f>
        <v>24</v>
      </c>
      <c r="AB143" s="13">
        <f>1+6+14</f>
        <v>21</v>
      </c>
      <c r="AC143" s="13">
        <f>14+13</f>
        <v>27</v>
      </c>
      <c r="AD143" s="13">
        <f>11+11</f>
        <v>22</v>
      </c>
      <c r="AE143" s="13">
        <f>14+14</f>
        <v>28</v>
      </c>
      <c r="AF143" s="14">
        <f>16+18</f>
        <v>34</v>
      </c>
      <c r="AG143" s="108">
        <f t="shared" si="21"/>
        <v>791</v>
      </c>
    </row>
    <row r="144" spans="1:35" ht="19.5" thickBot="1" x14ac:dyDescent="0.3">
      <c r="A144" s="164" t="s">
        <v>89</v>
      </c>
      <c r="B144" s="165">
        <f t="shared" ref="B144:AD144" si="22">+B146+B156+B158+B167</f>
        <v>172</v>
      </c>
      <c r="C144" s="165">
        <f t="shared" si="22"/>
        <v>219</v>
      </c>
      <c r="D144" s="165">
        <f t="shared" si="22"/>
        <v>194</v>
      </c>
      <c r="E144" s="165">
        <f t="shared" si="22"/>
        <v>170</v>
      </c>
      <c r="F144" s="165">
        <f t="shared" si="22"/>
        <v>174</v>
      </c>
      <c r="G144" s="165">
        <f t="shared" si="22"/>
        <v>154</v>
      </c>
      <c r="H144" s="165">
        <f t="shared" si="22"/>
        <v>158</v>
      </c>
      <c r="I144" s="165">
        <f t="shared" si="22"/>
        <v>157</v>
      </c>
      <c r="J144" s="165">
        <f t="shared" si="22"/>
        <v>197</v>
      </c>
      <c r="K144" s="165">
        <f t="shared" si="22"/>
        <v>195</v>
      </c>
      <c r="L144" s="165">
        <f t="shared" si="22"/>
        <v>178</v>
      </c>
      <c r="M144" s="165">
        <f t="shared" si="22"/>
        <v>146</v>
      </c>
      <c r="N144" s="165">
        <f t="shared" si="22"/>
        <v>164</v>
      </c>
      <c r="O144" s="165">
        <f t="shared" si="22"/>
        <v>151</v>
      </c>
      <c r="P144" s="165">
        <f t="shared" si="22"/>
        <v>177</v>
      </c>
      <c r="Q144" s="165">
        <f t="shared" si="22"/>
        <v>220</v>
      </c>
      <c r="R144" s="165">
        <f t="shared" si="22"/>
        <v>221</v>
      </c>
      <c r="S144" s="165">
        <f t="shared" si="22"/>
        <v>181</v>
      </c>
      <c r="T144" s="165">
        <f t="shared" si="22"/>
        <v>190</v>
      </c>
      <c r="U144" s="165">
        <f t="shared" si="22"/>
        <v>177</v>
      </c>
      <c r="V144" s="165">
        <f t="shared" si="22"/>
        <v>176</v>
      </c>
      <c r="W144" s="165">
        <f t="shared" si="22"/>
        <v>187</v>
      </c>
      <c r="X144" s="165">
        <f t="shared" si="22"/>
        <v>211</v>
      </c>
      <c r="Y144" s="165">
        <f t="shared" si="22"/>
        <v>197</v>
      </c>
      <c r="Z144" s="165">
        <f t="shared" si="22"/>
        <v>243</v>
      </c>
      <c r="AA144" s="165">
        <f t="shared" si="22"/>
        <v>177</v>
      </c>
      <c r="AB144" s="165">
        <f t="shared" si="22"/>
        <v>173</v>
      </c>
      <c r="AC144" s="165">
        <f t="shared" si="22"/>
        <v>158</v>
      </c>
      <c r="AD144" s="165">
        <f t="shared" si="22"/>
        <v>177</v>
      </c>
      <c r="AE144" s="165">
        <f>+AE146+AE156+AE158+AE167</f>
        <v>217</v>
      </c>
      <c r="AF144" s="165">
        <f t="shared" ref="AF144" si="23">+AF146+AF156+AF158+AF167</f>
        <v>223</v>
      </c>
      <c r="AG144" s="116">
        <f t="shared" si="21"/>
        <v>5734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16</v>
      </c>
      <c r="C145" s="161">
        <f t="shared" si="24"/>
        <v>5</v>
      </c>
      <c r="D145" s="161">
        <f t="shared" si="24"/>
        <v>3</v>
      </c>
      <c r="E145" s="161">
        <f t="shared" si="24"/>
        <v>16</v>
      </c>
      <c r="F145" s="161">
        <f t="shared" si="24"/>
        <v>11</v>
      </c>
      <c r="G145" s="161">
        <f t="shared" si="24"/>
        <v>14</v>
      </c>
      <c r="H145" s="161">
        <f t="shared" si="24"/>
        <v>16</v>
      </c>
      <c r="I145" s="161">
        <f t="shared" si="24"/>
        <v>10</v>
      </c>
      <c r="J145" s="161">
        <f t="shared" si="24"/>
        <v>27</v>
      </c>
      <c r="K145" s="161">
        <f t="shared" si="24"/>
        <v>3</v>
      </c>
      <c r="L145" s="161">
        <f t="shared" si="24"/>
        <v>19</v>
      </c>
      <c r="M145" s="161">
        <f t="shared" si="24"/>
        <v>45</v>
      </c>
      <c r="N145" s="161">
        <f t="shared" si="24"/>
        <v>28</v>
      </c>
      <c r="O145" s="161">
        <f t="shared" si="24"/>
        <v>15</v>
      </c>
      <c r="P145" s="161">
        <f t="shared" si="24"/>
        <v>5</v>
      </c>
      <c r="Q145" s="161">
        <f t="shared" si="24"/>
        <v>49</v>
      </c>
      <c r="R145" s="161">
        <f t="shared" si="24"/>
        <v>25</v>
      </c>
      <c r="S145" s="161">
        <f t="shared" si="24"/>
        <v>46</v>
      </c>
      <c r="T145" s="161">
        <f t="shared" si="24"/>
        <v>31</v>
      </c>
      <c r="U145" s="161">
        <f t="shared" si="24"/>
        <v>25</v>
      </c>
      <c r="V145" s="161">
        <f t="shared" si="24"/>
        <v>24</v>
      </c>
      <c r="W145" s="161">
        <f t="shared" si="24"/>
        <v>21</v>
      </c>
      <c r="X145" s="161">
        <f t="shared" si="24"/>
        <v>38</v>
      </c>
      <c r="Y145" s="161">
        <f t="shared" si="24"/>
        <v>50</v>
      </c>
      <c r="Z145" s="161">
        <f t="shared" si="24"/>
        <v>31</v>
      </c>
      <c r="AA145" s="161">
        <f t="shared" si="24"/>
        <v>30</v>
      </c>
      <c r="AB145" s="161">
        <f t="shared" si="24"/>
        <v>17</v>
      </c>
      <c r="AC145" s="161">
        <f t="shared" si="24"/>
        <v>18</v>
      </c>
      <c r="AD145" s="161">
        <f t="shared" si="24"/>
        <v>31</v>
      </c>
      <c r="AE145" s="161">
        <f>+AE149+AE155+AE157+AE172</f>
        <v>31</v>
      </c>
      <c r="AF145" s="162">
        <f t="shared" ref="AF145" si="25">+AF149+AF155+AF157+AF172</f>
        <v>14</v>
      </c>
      <c r="AG145" s="163">
        <f t="shared" si="21"/>
        <v>714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51</v>
      </c>
      <c r="C146" s="118">
        <f t="shared" si="26"/>
        <v>26</v>
      </c>
      <c r="D146" s="118">
        <f t="shared" si="26"/>
        <v>19</v>
      </c>
      <c r="E146" s="118">
        <f t="shared" si="26"/>
        <v>44</v>
      </c>
      <c r="F146" s="118">
        <f t="shared" si="26"/>
        <v>58</v>
      </c>
      <c r="G146" s="118">
        <f t="shared" si="26"/>
        <v>37</v>
      </c>
      <c r="H146" s="118">
        <f t="shared" si="26"/>
        <v>39</v>
      </c>
      <c r="I146" s="118">
        <f t="shared" si="26"/>
        <v>29</v>
      </c>
      <c r="J146" s="118">
        <f t="shared" si="26"/>
        <v>27</v>
      </c>
      <c r="K146" s="118">
        <f t="shared" si="26"/>
        <v>21</v>
      </c>
      <c r="L146" s="118">
        <f t="shared" si="26"/>
        <v>43</v>
      </c>
      <c r="M146" s="118">
        <f t="shared" si="26"/>
        <v>41</v>
      </c>
      <c r="N146" s="118">
        <f t="shared" si="26"/>
        <v>46</v>
      </c>
      <c r="O146" s="118">
        <f t="shared" si="26"/>
        <v>28</v>
      </c>
      <c r="P146" s="118">
        <f t="shared" si="26"/>
        <v>40</v>
      </c>
      <c r="Q146" s="118">
        <f t="shared" si="26"/>
        <v>21</v>
      </c>
      <c r="R146" s="118">
        <f t="shared" si="26"/>
        <v>29</v>
      </c>
      <c r="S146" s="118">
        <f t="shared" si="26"/>
        <v>45</v>
      </c>
      <c r="T146" s="118">
        <f t="shared" si="26"/>
        <v>52</v>
      </c>
      <c r="U146" s="118">
        <f t="shared" si="26"/>
        <v>51</v>
      </c>
      <c r="V146" s="118">
        <f t="shared" si="26"/>
        <v>49</v>
      </c>
      <c r="W146" s="118">
        <f t="shared" si="26"/>
        <v>45</v>
      </c>
      <c r="X146" s="118">
        <f t="shared" si="26"/>
        <v>13</v>
      </c>
      <c r="Y146" s="118">
        <f t="shared" si="26"/>
        <v>29</v>
      </c>
      <c r="Z146" s="118">
        <f t="shared" si="26"/>
        <v>67</v>
      </c>
      <c r="AA146" s="118">
        <f t="shared" si="26"/>
        <v>41</v>
      </c>
      <c r="AB146" s="118">
        <f t="shared" si="26"/>
        <v>35</v>
      </c>
      <c r="AC146" s="118">
        <f t="shared" si="26"/>
        <v>42</v>
      </c>
      <c r="AD146" s="118">
        <f t="shared" si="26"/>
        <v>39</v>
      </c>
      <c r="AE146" s="118">
        <f t="shared" si="26"/>
        <v>16</v>
      </c>
      <c r="AF146" s="119">
        <f t="shared" si="26"/>
        <v>39</v>
      </c>
      <c r="AG146" s="120">
        <f t="shared" si="26"/>
        <v>1162</v>
      </c>
    </row>
    <row r="147" spans="1:34" ht="19.5" thickBot="1" x14ac:dyDescent="0.3">
      <c r="A147" s="153" t="s">
        <v>130</v>
      </c>
      <c r="B147" s="154">
        <f t="shared" si="26"/>
        <v>3</v>
      </c>
      <c r="C147" s="154">
        <f t="shared" si="26"/>
        <v>0</v>
      </c>
      <c r="D147" s="154">
        <f t="shared" si="26"/>
        <v>0</v>
      </c>
      <c r="E147" s="154">
        <f t="shared" si="26"/>
        <v>5</v>
      </c>
      <c r="F147" s="154">
        <f t="shared" si="26"/>
        <v>0</v>
      </c>
      <c r="G147" s="154">
        <f t="shared" si="26"/>
        <v>1</v>
      </c>
      <c r="H147" s="154">
        <f t="shared" si="26"/>
        <v>2</v>
      </c>
      <c r="I147" s="154">
        <f t="shared" si="26"/>
        <v>2</v>
      </c>
      <c r="J147" s="154">
        <f t="shared" si="26"/>
        <v>2</v>
      </c>
      <c r="K147" s="154">
        <f t="shared" si="26"/>
        <v>0</v>
      </c>
      <c r="L147" s="154">
        <f t="shared" si="26"/>
        <v>2</v>
      </c>
      <c r="M147" s="154">
        <f t="shared" si="26"/>
        <v>11</v>
      </c>
      <c r="N147" s="154">
        <f t="shared" si="26"/>
        <v>2</v>
      </c>
      <c r="O147" s="154">
        <f t="shared" si="26"/>
        <v>3</v>
      </c>
      <c r="P147" s="154">
        <f t="shared" si="26"/>
        <v>0</v>
      </c>
      <c r="Q147" s="154">
        <f t="shared" si="26"/>
        <v>0</v>
      </c>
      <c r="R147" s="154">
        <f t="shared" si="26"/>
        <v>3</v>
      </c>
      <c r="S147" s="154">
        <f t="shared" si="26"/>
        <v>2</v>
      </c>
      <c r="T147" s="154">
        <f t="shared" si="26"/>
        <v>3</v>
      </c>
      <c r="U147" s="154">
        <f t="shared" si="26"/>
        <v>2</v>
      </c>
      <c r="V147" s="154">
        <f t="shared" si="26"/>
        <v>1</v>
      </c>
      <c r="W147" s="154">
        <f t="shared" si="26"/>
        <v>1</v>
      </c>
      <c r="X147" s="154">
        <f t="shared" si="26"/>
        <v>5</v>
      </c>
      <c r="Y147" s="154">
        <f t="shared" si="26"/>
        <v>2</v>
      </c>
      <c r="Z147" s="154">
        <f t="shared" si="26"/>
        <v>2</v>
      </c>
      <c r="AA147" s="154">
        <f t="shared" si="26"/>
        <v>8</v>
      </c>
      <c r="AB147" s="154">
        <f>+AB149+AB155</f>
        <v>1</v>
      </c>
      <c r="AC147" s="154">
        <f t="shared" si="26"/>
        <v>0</v>
      </c>
      <c r="AD147" s="154">
        <f t="shared" si="26"/>
        <v>4</v>
      </c>
      <c r="AE147" s="154">
        <f t="shared" si="26"/>
        <v>3</v>
      </c>
      <c r="AF147" s="155"/>
      <c r="AG147" s="156">
        <f t="shared" si="21"/>
        <v>70</v>
      </c>
    </row>
    <row r="148" spans="1:34" ht="19.5" thickBot="1" x14ac:dyDescent="0.3">
      <c r="A148" s="125" t="s">
        <v>68</v>
      </c>
      <c r="B148" s="126">
        <f>SUM(B150:B153)</f>
        <v>1</v>
      </c>
      <c r="C148" s="126">
        <f t="shared" ref="C148:AF148" si="27">SUM(C150:C153)</f>
        <v>0</v>
      </c>
      <c r="D148" s="126">
        <f t="shared" si="27"/>
        <v>1</v>
      </c>
      <c r="E148" s="126">
        <f t="shared" si="27"/>
        <v>3</v>
      </c>
      <c r="F148" s="126">
        <f t="shared" si="27"/>
        <v>1</v>
      </c>
      <c r="G148" s="126">
        <f t="shared" si="27"/>
        <v>3</v>
      </c>
      <c r="H148" s="126">
        <f t="shared" si="27"/>
        <v>1</v>
      </c>
      <c r="I148" s="126">
        <f t="shared" si="27"/>
        <v>2</v>
      </c>
      <c r="J148" s="126">
        <f t="shared" si="27"/>
        <v>2</v>
      </c>
      <c r="K148" s="126">
        <f t="shared" si="27"/>
        <v>0</v>
      </c>
      <c r="L148" s="126">
        <f t="shared" si="27"/>
        <v>6</v>
      </c>
      <c r="M148" s="126">
        <f t="shared" si="27"/>
        <v>8</v>
      </c>
      <c r="N148" s="126">
        <f t="shared" si="27"/>
        <v>3</v>
      </c>
      <c r="O148" s="126">
        <f t="shared" si="27"/>
        <v>3</v>
      </c>
      <c r="P148" s="126">
        <f t="shared" si="27"/>
        <v>6</v>
      </c>
      <c r="Q148" s="126">
        <f t="shared" si="27"/>
        <v>1</v>
      </c>
      <c r="R148" s="126">
        <f t="shared" si="27"/>
        <v>0</v>
      </c>
      <c r="S148" s="126">
        <f t="shared" si="27"/>
        <v>2</v>
      </c>
      <c r="T148" s="126">
        <f t="shared" si="27"/>
        <v>8</v>
      </c>
      <c r="U148" s="126">
        <f t="shared" si="27"/>
        <v>2</v>
      </c>
      <c r="V148" s="126">
        <f t="shared" si="27"/>
        <v>1</v>
      </c>
      <c r="W148" s="126">
        <f t="shared" si="27"/>
        <v>2</v>
      </c>
      <c r="X148" s="126">
        <f t="shared" si="27"/>
        <v>3</v>
      </c>
      <c r="Y148" s="126">
        <f t="shared" si="27"/>
        <v>5</v>
      </c>
      <c r="Z148" s="126">
        <f t="shared" si="27"/>
        <v>2</v>
      </c>
      <c r="AA148" s="126">
        <f t="shared" si="27"/>
        <v>13</v>
      </c>
      <c r="AB148" s="126">
        <f t="shared" si="27"/>
        <v>7</v>
      </c>
      <c r="AC148" s="126">
        <f t="shared" si="27"/>
        <v>4</v>
      </c>
      <c r="AD148" s="126">
        <f t="shared" si="27"/>
        <v>2</v>
      </c>
      <c r="AE148" s="126">
        <f t="shared" si="27"/>
        <v>0</v>
      </c>
      <c r="AF148" s="127">
        <f t="shared" si="27"/>
        <v>9</v>
      </c>
      <c r="AG148" s="128">
        <f t="shared" ref="AG148:AG209" si="28">SUM(B148:AF148)</f>
        <v>101</v>
      </c>
    </row>
    <row r="149" spans="1:34" ht="19.5" thickBot="1" x14ac:dyDescent="0.3">
      <c r="A149" s="153" t="s">
        <v>131</v>
      </c>
      <c r="B149" s="154">
        <v>0</v>
      </c>
      <c r="C149" s="154">
        <v>0</v>
      </c>
      <c r="D149" s="154">
        <v>0</v>
      </c>
      <c r="E149" s="154">
        <v>1</v>
      </c>
      <c r="F149" s="154">
        <v>0</v>
      </c>
      <c r="G149" s="154">
        <v>0</v>
      </c>
      <c r="H149" s="154">
        <v>0</v>
      </c>
      <c r="I149" s="154">
        <v>0</v>
      </c>
      <c r="J149" s="154">
        <v>0</v>
      </c>
      <c r="K149" s="154">
        <v>0</v>
      </c>
      <c r="L149" s="154">
        <v>0</v>
      </c>
      <c r="M149" s="154">
        <v>4</v>
      </c>
      <c r="N149" s="154">
        <v>1</v>
      </c>
      <c r="O149" s="154">
        <v>0</v>
      </c>
      <c r="P149" s="154">
        <v>0</v>
      </c>
      <c r="Q149" s="154">
        <v>0</v>
      </c>
      <c r="R149" s="154">
        <v>0</v>
      </c>
      <c r="S149" s="154">
        <v>0</v>
      </c>
      <c r="T149" s="154">
        <v>1</v>
      </c>
      <c r="U149" s="154">
        <v>0</v>
      </c>
      <c r="V149" s="154">
        <v>0</v>
      </c>
      <c r="W149" s="154">
        <v>0</v>
      </c>
      <c r="X149" s="154">
        <v>1</v>
      </c>
      <c r="Y149" s="154">
        <v>1</v>
      </c>
      <c r="Z149" s="154">
        <v>0</v>
      </c>
      <c r="AA149" s="154">
        <v>2</v>
      </c>
      <c r="AB149" s="154">
        <v>0</v>
      </c>
      <c r="AC149" s="154">
        <v>0</v>
      </c>
      <c r="AD149" s="154">
        <v>1</v>
      </c>
      <c r="AE149" s="154"/>
      <c r="AF149" s="155">
        <v>1</v>
      </c>
      <c r="AG149" s="156">
        <f t="shared" si="28"/>
        <v>13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>
        <v>1</v>
      </c>
      <c r="AB151" s="29"/>
      <c r="AC151" s="29"/>
      <c r="AD151" s="29"/>
      <c r="AE151" s="29"/>
      <c r="AF151" s="21"/>
      <c r="AG151" s="4">
        <f t="shared" si="28"/>
        <v>1</v>
      </c>
    </row>
    <row r="152" spans="1:34" ht="18.75" x14ac:dyDescent="0.25">
      <c r="A152" s="50" t="s">
        <v>102</v>
      </c>
      <c r="B152" s="29">
        <v>1</v>
      </c>
      <c r="C152" s="29"/>
      <c r="D152" s="29"/>
      <c r="E152" s="29"/>
      <c r="F152" s="29"/>
      <c r="G152" s="29">
        <v>2</v>
      </c>
      <c r="H152" s="29"/>
      <c r="I152" s="29">
        <v>1</v>
      </c>
      <c r="J152" s="29"/>
      <c r="K152" s="29"/>
      <c r="L152" s="29">
        <v>4</v>
      </c>
      <c r="M152" s="29">
        <v>3</v>
      </c>
      <c r="N152" s="29">
        <v>1</v>
      </c>
      <c r="O152" s="29">
        <v>3</v>
      </c>
      <c r="P152" s="29">
        <v>5</v>
      </c>
      <c r="Q152" s="29">
        <v>1</v>
      </c>
      <c r="R152" s="29"/>
      <c r="S152" s="29"/>
      <c r="T152" s="29">
        <v>4</v>
      </c>
      <c r="U152" s="29">
        <v>1</v>
      </c>
      <c r="V152" s="29">
        <v>1</v>
      </c>
      <c r="W152" s="29">
        <v>2</v>
      </c>
      <c r="X152" s="29">
        <v>2</v>
      </c>
      <c r="Y152" s="29">
        <v>4</v>
      </c>
      <c r="Z152" s="29">
        <v>1</v>
      </c>
      <c r="AA152" s="29">
        <v>6</v>
      </c>
      <c r="AB152" s="29">
        <v>2</v>
      </c>
      <c r="AC152" s="29"/>
      <c r="AD152" s="29">
        <v>1</v>
      </c>
      <c r="AE152" s="29"/>
      <c r="AF152" s="21">
        <v>7</v>
      </c>
      <c r="AG152" s="4">
        <f t="shared" si="28"/>
        <v>52</v>
      </c>
    </row>
    <row r="153" spans="1:34" ht="19.5" thickBot="1" x14ac:dyDescent="0.3">
      <c r="A153" s="71" t="s">
        <v>103</v>
      </c>
      <c r="B153" s="30"/>
      <c r="C153" s="30"/>
      <c r="D153" s="30">
        <v>1</v>
      </c>
      <c r="E153" s="30">
        <v>3</v>
      </c>
      <c r="F153" s="30">
        <v>1</v>
      </c>
      <c r="G153" s="30">
        <v>1</v>
      </c>
      <c r="H153" s="30">
        <v>1</v>
      </c>
      <c r="I153" s="30">
        <v>1</v>
      </c>
      <c r="J153" s="30">
        <v>2</v>
      </c>
      <c r="K153" s="30"/>
      <c r="L153" s="30">
        <v>2</v>
      </c>
      <c r="M153" s="30">
        <v>5</v>
      </c>
      <c r="N153" s="30">
        <v>2</v>
      </c>
      <c r="O153" s="30"/>
      <c r="P153" s="30">
        <v>1</v>
      </c>
      <c r="Q153" s="30"/>
      <c r="R153" s="30"/>
      <c r="S153" s="30">
        <v>2</v>
      </c>
      <c r="T153" s="30">
        <v>4</v>
      </c>
      <c r="U153" s="30">
        <v>1</v>
      </c>
      <c r="V153" s="30"/>
      <c r="W153" s="30"/>
      <c r="X153" s="30">
        <v>1</v>
      </c>
      <c r="Y153" s="30">
        <v>1</v>
      </c>
      <c r="Z153" s="30">
        <v>1</v>
      </c>
      <c r="AA153" s="30">
        <v>6</v>
      </c>
      <c r="AB153" s="30">
        <v>5</v>
      </c>
      <c r="AC153" s="30">
        <v>4</v>
      </c>
      <c r="AD153" s="30">
        <v>1</v>
      </c>
      <c r="AE153" s="30"/>
      <c r="AF153" s="22">
        <v>2</v>
      </c>
      <c r="AG153" s="28">
        <f t="shared" si="28"/>
        <v>48</v>
      </c>
    </row>
    <row r="154" spans="1:34" ht="19.5" thickBot="1" x14ac:dyDescent="0.3">
      <c r="A154" s="125" t="s">
        <v>67</v>
      </c>
      <c r="B154" s="126">
        <v>50</v>
      </c>
      <c r="C154" s="126">
        <v>26</v>
      </c>
      <c r="D154" s="126">
        <v>18</v>
      </c>
      <c r="E154" s="126">
        <v>41</v>
      </c>
      <c r="F154" s="126">
        <v>57</v>
      </c>
      <c r="G154" s="126">
        <v>34</v>
      </c>
      <c r="H154" s="126">
        <v>38</v>
      </c>
      <c r="I154" s="126">
        <v>27</v>
      </c>
      <c r="J154" s="126">
        <v>25</v>
      </c>
      <c r="K154" s="126">
        <v>21</v>
      </c>
      <c r="L154" s="126">
        <v>37</v>
      </c>
      <c r="M154" s="126">
        <v>33</v>
      </c>
      <c r="N154" s="126">
        <v>43</v>
      </c>
      <c r="O154" s="126">
        <v>25</v>
      </c>
      <c r="P154" s="126">
        <v>34</v>
      </c>
      <c r="Q154" s="126">
        <v>20</v>
      </c>
      <c r="R154" s="126">
        <v>29</v>
      </c>
      <c r="S154" s="126">
        <v>43</v>
      </c>
      <c r="T154" s="126">
        <v>44</v>
      </c>
      <c r="U154" s="126">
        <v>49</v>
      </c>
      <c r="V154" s="126">
        <v>48</v>
      </c>
      <c r="W154" s="126">
        <v>43</v>
      </c>
      <c r="X154" s="126">
        <v>10</v>
      </c>
      <c r="Y154" s="126">
        <v>24</v>
      </c>
      <c r="Z154" s="126">
        <v>65</v>
      </c>
      <c r="AA154" s="126">
        <v>28</v>
      </c>
      <c r="AB154" s="126">
        <v>28</v>
      </c>
      <c r="AC154" s="126">
        <v>38</v>
      </c>
      <c r="AD154" s="126">
        <v>37</v>
      </c>
      <c r="AE154" s="126">
        <v>16</v>
      </c>
      <c r="AF154" s="127">
        <v>30</v>
      </c>
      <c r="AG154" s="128">
        <f t="shared" si="28"/>
        <v>1061</v>
      </c>
    </row>
    <row r="155" spans="1:34" ht="19.5" thickBot="1" x14ac:dyDescent="0.3">
      <c r="A155" s="153" t="s">
        <v>132</v>
      </c>
      <c r="B155" s="154">
        <v>3</v>
      </c>
      <c r="C155" s="154">
        <v>0</v>
      </c>
      <c r="D155" s="154">
        <v>0</v>
      </c>
      <c r="E155" s="154">
        <v>4</v>
      </c>
      <c r="F155" s="154">
        <v>0</v>
      </c>
      <c r="G155" s="154">
        <v>1</v>
      </c>
      <c r="H155" s="154">
        <v>2</v>
      </c>
      <c r="I155" s="154">
        <v>2</v>
      </c>
      <c r="J155" s="154">
        <v>2</v>
      </c>
      <c r="K155" s="154">
        <v>0</v>
      </c>
      <c r="L155" s="154">
        <v>2</v>
      </c>
      <c r="M155" s="154">
        <v>7</v>
      </c>
      <c r="N155" s="154">
        <v>1</v>
      </c>
      <c r="O155" s="154">
        <v>3</v>
      </c>
      <c r="P155" s="154">
        <v>0</v>
      </c>
      <c r="Q155" s="154">
        <v>0</v>
      </c>
      <c r="R155" s="154">
        <v>3</v>
      </c>
      <c r="S155" s="154">
        <v>2</v>
      </c>
      <c r="T155" s="154">
        <v>2</v>
      </c>
      <c r="U155" s="154">
        <v>2</v>
      </c>
      <c r="V155" s="154">
        <v>1</v>
      </c>
      <c r="W155" s="154">
        <v>1</v>
      </c>
      <c r="X155" s="154">
        <v>4</v>
      </c>
      <c r="Y155" s="154">
        <v>1</v>
      </c>
      <c r="Z155" s="154">
        <v>2</v>
      </c>
      <c r="AA155" s="154">
        <v>6</v>
      </c>
      <c r="AB155" s="154">
        <v>1</v>
      </c>
      <c r="AC155" s="154">
        <v>0</v>
      </c>
      <c r="AD155" s="154">
        <v>3</v>
      </c>
      <c r="AE155" s="154">
        <v>3</v>
      </c>
      <c r="AF155" s="155">
        <v>0</v>
      </c>
      <c r="AG155" s="156">
        <f t="shared" si="28"/>
        <v>58</v>
      </c>
    </row>
    <row r="156" spans="1:34" ht="18.75" x14ac:dyDescent="0.25">
      <c r="A156" s="69" t="s">
        <v>62</v>
      </c>
      <c r="B156" s="56">
        <v>118</v>
      </c>
      <c r="C156" s="56">
        <v>189</v>
      </c>
      <c r="D156" s="56">
        <v>173</v>
      </c>
      <c r="E156" s="56">
        <v>124</v>
      </c>
      <c r="F156" s="56">
        <v>116</v>
      </c>
      <c r="G156" s="56">
        <v>117</v>
      </c>
      <c r="H156" s="56">
        <v>117</v>
      </c>
      <c r="I156" s="56">
        <v>125</v>
      </c>
      <c r="J156" s="56">
        <v>168</v>
      </c>
      <c r="K156" s="56">
        <v>173</v>
      </c>
      <c r="L156" s="56">
        <v>135</v>
      </c>
      <c r="M156" s="56">
        <v>105</v>
      </c>
      <c r="N156" s="56">
        <v>118</v>
      </c>
      <c r="O156" s="56">
        <v>120</v>
      </c>
      <c r="P156" s="56">
        <v>136</v>
      </c>
      <c r="Q156" s="56">
        <v>199</v>
      </c>
      <c r="R156" s="56">
        <v>192</v>
      </c>
      <c r="S156" s="56">
        <v>136</v>
      </c>
      <c r="T156" s="56">
        <v>137</v>
      </c>
      <c r="U156" s="56">
        <v>125</v>
      </c>
      <c r="V156" s="56">
        <v>127</v>
      </c>
      <c r="W156" s="56">
        <v>138</v>
      </c>
      <c r="X156" s="56">
        <v>197</v>
      </c>
      <c r="Y156" s="56">
        <v>168</v>
      </c>
      <c r="Z156" s="56">
        <v>176</v>
      </c>
      <c r="AA156" s="56">
        <v>136</v>
      </c>
      <c r="AB156" s="56">
        <v>137</v>
      </c>
      <c r="AC156" s="56">
        <v>116</v>
      </c>
      <c r="AD156" s="56">
        <v>137</v>
      </c>
      <c r="AE156" s="56">
        <v>200</v>
      </c>
      <c r="AF156" s="85">
        <v>184</v>
      </c>
      <c r="AG156" s="95">
        <f t="shared" si="28"/>
        <v>4539</v>
      </c>
      <c r="AH156" s="2" t="s">
        <v>84</v>
      </c>
    </row>
    <row r="157" spans="1:34" ht="19.5" thickBot="1" x14ac:dyDescent="0.3">
      <c r="A157" s="75" t="s">
        <v>1</v>
      </c>
      <c r="B157" s="13">
        <v>12</v>
      </c>
      <c r="C157" s="13">
        <v>5</v>
      </c>
      <c r="D157" s="13">
        <v>3</v>
      </c>
      <c r="E157" s="13">
        <v>11</v>
      </c>
      <c r="F157" s="13">
        <v>11</v>
      </c>
      <c r="G157" s="13">
        <v>13</v>
      </c>
      <c r="H157" s="13">
        <v>14</v>
      </c>
      <c r="I157" s="13">
        <v>8</v>
      </c>
      <c r="J157" s="13">
        <v>25</v>
      </c>
      <c r="K157" s="13">
        <v>3</v>
      </c>
      <c r="L157" s="13">
        <v>17</v>
      </c>
      <c r="M157" s="13">
        <v>34</v>
      </c>
      <c r="N157" s="13">
        <v>26</v>
      </c>
      <c r="O157" s="13">
        <v>12</v>
      </c>
      <c r="P157" s="13">
        <v>5</v>
      </c>
      <c r="Q157" s="13">
        <v>49</v>
      </c>
      <c r="R157" s="13">
        <v>22</v>
      </c>
      <c r="S157" s="13">
        <v>44</v>
      </c>
      <c r="T157" s="13">
        <v>28</v>
      </c>
      <c r="U157" s="13">
        <v>23</v>
      </c>
      <c r="V157" s="13">
        <v>23</v>
      </c>
      <c r="W157" s="13">
        <v>19</v>
      </c>
      <c r="X157" s="13">
        <v>33</v>
      </c>
      <c r="Y157" s="13">
        <v>48</v>
      </c>
      <c r="Z157" s="13">
        <v>29</v>
      </c>
      <c r="AA157" s="13">
        <v>22</v>
      </c>
      <c r="AB157" s="13">
        <v>15</v>
      </c>
      <c r="AC157" s="13">
        <v>18</v>
      </c>
      <c r="AD157" s="13">
        <v>27</v>
      </c>
      <c r="AE157" s="13">
        <v>27</v>
      </c>
      <c r="AF157" s="14">
        <v>13</v>
      </c>
      <c r="AG157" s="157">
        <f t="shared" si="28"/>
        <v>639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1</v>
      </c>
      <c r="D158" s="122">
        <f t="shared" si="29"/>
        <v>1</v>
      </c>
      <c r="E158" s="122">
        <f t="shared" si="29"/>
        <v>2</v>
      </c>
      <c r="F158" s="122">
        <f t="shared" si="29"/>
        <v>0</v>
      </c>
      <c r="G158" s="122">
        <f t="shared" si="29"/>
        <v>0</v>
      </c>
      <c r="H158" s="122">
        <f t="shared" si="29"/>
        <v>0</v>
      </c>
      <c r="I158" s="122">
        <f t="shared" si="29"/>
        <v>3</v>
      </c>
      <c r="J158" s="122">
        <f t="shared" si="29"/>
        <v>1</v>
      </c>
      <c r="K158" s="122">
        <f t="shared" si="29"/>
        <v>1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2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0</v>
      </c>
      <c r="T158" s="122">
        <f t="shared" si="29"/>
        <v>1</v>
      </c>
      <c r="U158" s="122">
        <f t="shared" si="29"/>
        <v>0</v>
      </c>
      <c r="V158" s="122">
        <f t="shared" si="29"/>
        <v>0</v>
      </c>
      <c r="W158" s="122">
        <f t="shared" si="29"/>
        <v>1</v>
      </c>
      <c r="X158" s="122">
        <f t="shared" si="29"/>
        <v>0</v>
      </c>
      <c r="Y158" s="122">
        <f t="shared" si="29"/>
        <v>0</v>
      </c>
      <c r="Z158" s="122">
        <f t="shared" si="29"/>
        <v>0</v>
      </c>
      <c r="AA158" s="122">
        <f t="shared" si="29"/>
        <v>0</v>
      </c>
      <c r="AB158" s="122">
        <f t="shared" si="29"/>
        <v>1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14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>
        <v>1</v>
      </c>
      <c r="L159" s="130"/>
      <c r="M159" s="130"/>
      <c r="N159" s="130"/>
      <c r="O159" s="130">
        <v>1</v>
      </c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2</v>
      </c>
    </row>
    <row r="160" spans="1:34" ht="18.75" x14ac:dyDescent="0.25">
      <c r="A160" s="50" t="s">
        <v>24</v>
      </c>
      <c r="B160" s="29"/>
      <c r="C160" s="29"/>
      <c r="D160" s="29">
        <v>1</v>
      </c>
      <c r="E160" s="29"/>
      <c r="F160" s="29"/>
      <c r="G160" s="29"/>
      <c r="H160" s="29"/>
      <c r="I160" s="29">
        <v>1</v>
      </c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>
        <v>1</v>
      </c>
      <c r="U160" s="29"/>
      <c r="V160" s="29"/>
      <c r="W160" s="29"/>
      <c r="X160" s="29"/>
      <c r="Y160" s="29"/>
      <c r="Z160" s="29"/>
      <c r="AA160" s="29"/>
      <c r="AB160" s="29">
        <v>1</v>
      </c>
      <c r="AC160" s="29"/>
      <c r="AD160" s="29"/>
      <c r="AE160" s="29"/>
      <c r="AF160" s="21"/>
      <c r="AG160" s="4">
        <f t="shared" si="28"/>
        <v>4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0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/>
      <c r="I162" s="29">
        <v>2</v>
      </c>
      <c r="J162" s="29">
        <v>1</v>
      </c>
      <c r="K162" s="29"/>
      <c r="L162" s="29"/>
      <c r="M162" s="29"/>
      <c r="N162" s="29"/>
      <c r="O162" s="29">
        <v>1</v>
      </c>
      <c r="P162" s="29"/>
      <c r="Q162" s="29"/>
      <c r="R162" s="29"/>
      <c r="S162" s="29"/>
      <c r="T162" s="29"/>
      <c r="U162" s="29"/>
      <c r="V162" s="29"/>
      <c r="W162" s="29">
        <v>1</v>
      </c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5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>
        <v>2</v>
      </c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2</v>
      </c>
    </row>
    <row r="165" spans="1:34" ht="18.75" x14ac:dyDescent="0.25">
      <c r="A165" s="50" t="s">
        <v>28</v>
      </c>
      <c r="B165" s="29"/>
      <c r="C165" s="29">
        <v>1</v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1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3</v>
      </c>
      <c r="C167" s="56">
        <f t="shared" si="30"/>
        <v>3</v>
      </c>
      <c r="D167" s="56">
        <f t="shared" si="30"/>
        <v>1</v>
      </c>
      <c r="E167" s="56">
        <f t="shared" si="30"/>
        <v>0</v>
      </c>
      <c r="F167" s="56">
        <f t="shared" si="30"/>
        <v>0</v>
      </c>
      <c r="G167" s="56">
        <f t="shared" si="30"/>
        <v>0</v>
      </c>
      <c r="H167" s="56">
        <f t="shared" si="30"/>
        <v>2</v>
      </c>
      <c r="I167" s="56">
        <f t="shared" si="30"/>
        <v>0</v>
      </c>
      <c r="J167" s="56">
        <f t="shared" si="30"/>
        <v>1</v>
      </c>
      <c r="K167" s="56">
        <f t="shared" si="30"/>
        <v>0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1</v>
      </c>
      <c r="P167" s="56">
        <f t="shared" si="30"/>
        <v>1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1</v>
      </c>
      <c r="V167" s="56">
        <f t="shared" si="30"/>
        <v>0</v>
      </c>
      <c r="W167" s="56">
        <f t="shared" si="30"/>
        <v>3</v>
      </c>
      <c r="X167" s="56">
        <f t="shared" si="30"/>
        <v>1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0</v>
      </c>
      <c r="AD167" s="56">
        <f t="shared" si="30"/>
        <v>1</v>
      </c>
      <c r="AE167" s="56">
        <f t="shared" si="30"/>
        <v>1</v>
      </c>
      <c r="AF167" s="85">
        <f t="shared" si="30"/>
        <v>0</v>
      </c>
      <c r="AG167" s="95">
        <f t="shared" si="28"/>
        <v>19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>
        <v>1</v>
      </c>
      <c r="X168" s="29">
        <v>1</v>
      </c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2</v>
      </c>
    </row>
    <row r="169" spans="1:34" ht="18.75" x14ac:dyDescent="0.25">
      <c r="A169" s="51" t="s">
        <v>31</v>
      </c>
      <c r="B169" s="29">
        <v>2</v>
      </c>
      <c r="C169" s="29"/>
      <c r="D169" s="29"/>
      <c r="E169" s="29"/>
      <c r="F169" s="29"/>
      <c r="G169" s="29"/>
      <c r="H169" s="29">
        <v>1</v>
      </c>
      <c r="I169" s="29"/>
      <c r="J169" s="29"/>
      <c r="K169" s="29"/>
      <c r="L169" s="29"/>
      <c r="M169" s="29"/>
      <c r="N169" s="29"/>
      <c r="O169" s="29">
        <v>1</v>
      </c>
      <c r="P169" s="29"/>
      <c r="Q169" s="29"/>
      <c r="R169" s="29"/>
      <c r="S169" s="29"/>
      <c r="T169" s="29"/>
      <c r="U169" s="29"/>
      <c r="V169" s="29"/>
      <c r="W169" s="29">
        <v>2</v>
      </c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6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>
        <v>1</v>
      </c>
      <c r="C171" s="30">
        <v>3</v>
      </c>
      <c r="D171" s="30">
        <v>1</v>
      </c>
      <c r="E171" s="30"/>
      <c r="F171" s="30"/>
      <c r="G171" s="30"/>
      <c r="H171" s="30">
        <v>1</v>
      </c>
      <c r="I171" s="30"/>
      <c r="J171" s="30">
        <v>1</v>
      </c>
      <c r="K171" s="30"/>
      <c r="L171" s="30"/>
      <c r="M171" s="30"/>
      <c r="N171" s="30"/>
      <c r="O171" s="30"/>
      <c r="P171" s="30">
        <v>1</v>
      </c>
      <c r="Q171" s="30"/>
      <c r="R171" s="30"/>
      <c r="S171" s="30"/>
      <c r="T171" s="30"/>
      <c r="U171" s="30">
        <v>1</v>
      </c>
      <c r="V171" s="30"/>
      <c r="W171" s="30"/>
      <c r="X171" s="30"/>
      <c r="Y171" s="30"/>
      <c r="Z171" s="30"/>
      <c r="AA171" s="30"/>
      <c r="AB171" s="30"/>
      <c r="AC171" s="30"/>
      <c r="AD171" s="30">
        <v>1</v>
      </c>
      <c r="AE171" s="30">
        <v>1</v>
      </c>
      <c r="AF171" s="22"/>
      <c r="AG171" s="28">
        <f t="shared" si="28"/>
        <v>11</v>
      </c>
    </row>
    <row r="172" spans="1:34" ht="19.5" thickBot="1" x14ac:dyDescent="0.3">
      <c r="A172" s="158" t="s">
        <v>128</v>
      </c>
      <c r="B172" s="151">
        <v>1</v>
      </c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>
        <v>1</v>
      </c>
      <c r="X172" s="151"/>
      <c r="Y172" s="151"/>
      <c r="Z172" s="151"/>
      <c r="AA172" s="151"/>
      <c r="AB172" s="151">
        <v>1</v>
      </c>
      <c r="AC172" s="151"/>
      <c r="AD172" s="151"/>
      <c r="AE172" s="151">
        <v>1</v>
      </c>
      <c r="AF172" s="152"/>
      <c r="AG172" s="159">
        <f t="shared" si="28"/>
        <v>4</v>
      </c>
    </row>
    <row r="173" spans="1:34" ht="18.75" x14ac:dyDescent="0.25">
      <c r="A173" s="68" t="s">
        <v>2</v>
      </c>
      <c r="B173" s="15">
        <v>0</v>
      </c>
      <c r="C173" s="15">
        <f>1+2</f>
        <v>3</v>
      </c>
      <c r="D173" s="15">
        <v>0</v>
      </c>
      <c r="E173" s="15">
        <v>0</v>
      </c>
      <c r="F173" s="15">
        <v>0</v>
      </c>
      <c r="G173" s="15">
        <v>1</v>
      </c>
      <c r="H173" s="15">
        <v>0</v>
      </c>
      <c r="I173" s="15">
        <v>0</v>
      </c>
      <c r="J173" s="15">
        <v>0</v>
      </c>
      <c r="K173" s="15">
        <v>0</v>
      </c>
      <c r="L173" s="15">
        <v>3</v>
      </c>
      <c r="M173" s="15">
        <v>1</v>
      </c>
      <c r="N173" s="15">
        <v>1</v>
      </c>
      <c r="O173" s="15">
        <v>0</v>
      </c>
      <c r="P173" s="15">
        <v>0</v>
      </c>
      <c r="Q173" s="15">
        <v>0</v>
      </c>
      <c r="R173" s="15">
        <v>1</v>
      </c>
      <c r="S173" s="15">
        <v>0</v>
      </c>
      <c r="T173" s="15">
        <v>0</v>
      </c>
      <c r="U173" s="15">
        <v>0</v>
      </c>
      <c r="V173" s="15">
        <v>0</v>
      </c>
      <c r="W173" s="15">
        <v>1</v>
      </c>
      <c r="X173" s="15">
        <v>1</v>
      </c>
      <c r="Y173" s="15">
        <v>1</v>
      </c>
      <c r="Z173" s="15">
        <v>1</v>
      </c>
      <c r="AA173" s="15">
        <v>1</v>
      </c>
      <c r="AB173" s="15">
        <f>1+1</f>
        <v>2</v>
      </c>
      <c r="AC173" s="15">
        <v>0</v>
      </c>
      <c r="AD173" s="15">
        <v>1</v>
      </c>
      <c r="AE173" s="15">
        <v>0</v>
      </c>
      <c r="AF173" s="23">
        <v>1</v>
      </c>
      <c r="AG173" s="5">
        <f t="shared" si="28"/>
        <v>19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4</v>
      </c>
      <c r="C174" s="16">
        <f t="shared" ref="C174:AF174" si="31">SUM(C175:C176)</f>
        <v>9</v>
      </c>
      <c r="D174" s="16">
        <f t="shared" si="31"/>
        <v>10</v>
      </c>
      <c r="E174" s="16">
        <f t="shared" si="31"/>
        <v>6</v>
      </c>
      <c r="F174" s="16">
        <f t="shared" si="31"/>
        <v>2</v>
      </c>
      <c r="G174" s="16">
        <f t="shared" si="31"/>
        <v>6</v>
      </c>
      <c r="H174" s="16">
        <f t="shared" si="31"/>
        <v>3</v>
      </c>
      <c r="I174" s="16">
        <f t="shared" si="31"/>
        <v>4</v>
      </c>
      <c r="J174" s="16">
        <f t="shared" si="31"/>
        <v>9</v>
      </c>
      <c r="K174" s="16">
        <f t="shared" si="31"/>
        <v>4</v>
      </c>
      <c r="L174" s="16">
        <f t="shared" si="31"/>
        <v>6</v>
      </c>
      <c r="M174" s="16">
        <f t="shared" si="31"/>
        <v>7</v>
      </c>
      <c r="N174" s="16">
        <f t="shared" si="31"/>
        <v>7</v>
      </c>
      <c r="O174" s="16">
        <f t="shared" si="31"/>
        <v>6</v>
      </c>
      <c r="P174" s="16">
        <f t="shared" si="31"/>
        <v>6</v>
      </c>
      <c r="Q174" s="16">
        <f t="shared" si="31"/>
        <v>18</v>
      </c>
      <c r="R174" s="16">
        <f t="shared" si="31"/>
        <v>13</v>
      </c>
      <c r="S174" s="16">
        <f t="shared" si="31"/>
        <v>11</v>
      </c>
      <c r="T174" s="16">
        <f t="shared" si="31"/>
        <v>4</v>
      </c>
      <c r="U174" s="16">
        <f t="shared" si="31"/>
        <v>5</v>
      </c>
      <c r="V174" s="16">
        <f t="shared" si="31"/>
        <v>4</v>
      </c>
      <c r="W174" s="16">
        <f t="shared" si="31"/>
        <v>6</v>
      </c>
      <c r="X174" s="16">
        <f t="shared" si="31"/>
        <v>11</v>
      </c>
      <c r="Y174" s="16">
        <f t="shared" si="31"/>
        <v>7</v>
      </c>
      <c r="Z174" s="16">
        <f t="shared" si="31"/>
        <v>8</v>
      </c>
      <c r="AA174" s="16">
        <f t="shared" si="31"/>
        <v>4</v>
      </c>
      <c r="AB174" s="16">
        <f t="shared" si="31"/>
        <v>5</v>
      </c>
      <c r="AC174" s="16">
        <f t="shared" si="31"/>
        <v>6</v>
      </c>
      <c r="AD174" s="16">
        <f t="shared" si="31"/>
        <v>4</v>
      </c>
      <c r="AE174" s="16">
        <f t="shared" si="31"/>
        <v>10</v>
      </c>
      <c r="AF174" s="24">
        <f t="shared" si="31"/>
        <v>13</v>
      </c>
      <c r="AG174" s="6">
        <f t="shared" si="28"/>
        <v>218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2</v>
      </c>
      <c r="D175" s="15">
        <v>3</v>
      </c>
      <c r="E175" s="15">
        <v>0</v>
      </c>
      <c r="F175" s="15">
        <v>1</v>
      </c>
      <c r="G175" s="15">
        <v>0</v>
      </c>
      <c r="H175" s="15">
        <v>0</v>
      </c>
      <c r="I175" s="15">
        <v>1</v>
      </c>
      <c r="J175" s="15">
        <v>2</v>
      </c>
      <c r="K175" s="15">
        <v>0</v>
      </c>
      <c r="L175" s="15">
        <v>1</v>
      </c>
      <c r="M175" s="15">
        <v>0</v>
      </c>
      <c r="N175" s="15">
        <v>1</v>
      </c>
      <c r="O175" s="15">
        <v>0</v>
      </c>
      <c r="P175" s="15">
        <v>1</v>
      </c>
      <c r="Q175" s="15">
        <v>2</v>
      </c>
      <c r="R175" s="15">
        <v>2</v>
      </c>
      <c r="S175" s="15">
        <v>2</v>
      </c>
      <c r="T175" s="15">
        <v>0</v>
      </c>
      <c r="U175" s="15">
        <v>0</v>
      </c>
      <c r="V175" s="15">
        <v>1</v>
      </c>
      <c r="W175" s="15">
        <v>1</v>
      </c>
      <c r="X175" s="15">
        <v>1</v>
      </c>
      <c r="Y175" s="15">
        <v>2</v>
      </c>
      <c r="Z175" s="15">
        <v>1</v>
      </c>
      <c r="AA175" s="15">
        <v>0</v>
      </c>
      <c r="AB175" s="15">
        <v>0</v>
      </c>
      <c r="AC175" s="15">
        <v>2</v>
      </c>
      <c r="AD175" s="15">
        <v>0</v>
      </c>
      <c r="AE175" s="15">
        <v>0</v>
      </c>
      <c r="AF175" s="23">
        <v>2</v>
      </c>
      <c r="AG175" s="5">
        <f t="shared" si="28"/>
        <v>29</v>
      </c>
      <c r="AH175" s="2" t="s">
        <v>138</v>
      </c>
    </row>
    <row r="176" spans="1:34" ht="19.5" thickBot="1" x14ac:dyDescent="0.3">
      <c r="A176" s="104" t="s">
        <v>119</v>
      </c>
      <c r="B176" s="101">
        <v>3</v>
      </c>
      <c r="C176" s="101">
        <v>7</v>
      </c>
      <c r="D176" s="101">
        <v>7</v>
      </c>
      <c r="E176" s="101">
        <v>6</v>
      </c>
      <c r="F176" s="101">
        <v>1</v>
      </c>
      <c r="G176" s="101">
        <v>6</v>
      </c>
      <c r="H176" s="101">
        <v>3</v>
      </c>
      <c r="I176" s="101">
        <v>3</v>
      </c>
      <c r="J176" s="101">
        <v>7</v>
      </c>
      <c r="K176" s="101">
        <v>4</v>
      </c>
      <c r="L176" s="101">
        <v>5</v>
      </c>
      <c r="M176" s="101">
        <v>7</v>
      </c>
      <c r="N176" s="101">
        <v>6</v>
      </c>
      <c r="O176" s="101">
        <v>6</v>
      </c>
      <c r="P176" s="101">
        <v>5</v>
      </c>
      <c r="Q176" s="101">
        <v>16</v>
      </c>
      <c r="R176" s="101">
        <v>11</v>
      </c>
      <c r="S176" s="101">
        <v>9</v>
      </c>
      <c r="T176" s="101">
        <v>4</v>
      </c>
      <c r="U176" s="101">
        <v>5</v>
      </c>
      <c r="V176" s="101">
        <v>3</v>
      </c>
      <c r="W176" s="101">
        <v>5</v>
      </c>
      <c r="X176" s="101">
        <v>10</v>
      </c>
      <c r="Y176" s="101">
        <v>5</v>
      </c>
      <c r="Z176" s="101">
        <v>7</v>
      </c>
      <c r="AA176" s="101">
        <v>4</v>
      </c>
      <c r="AB176" s="101">
        <v>5</v>
      </c>
      <c r="AC176" s="101">
        <v>4</v>
      </c>
      <c r="AD176" s="101">
        <v>4</v>
      </c>
      <c r="AE176" s="101">
        <v>10</v>
      </c>
      <c r="AF176" s="102">
        <v>11</v>
      </c>
      <c r="AG176" s="103">
        <f t="shared" si="28"/>
        <v>189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17</v>
      </c>
      <c r="C179" s="220">
        <f t="shared" si="32"/>
        <v>23</v>
      </c>
      <c r="D179" s="220">
        <f t="shared" si="32"/>
        <v>22</v>
      </c>
      <c r="E179" s="220">
        <f t="shared" si="32"/>
        <v>9</v>
      </c>
      <c r="F179" s="220">
        <f t="shared" si="32"/>
        <v>12</v>
      </c>
      <c r="G179" s="220">
        <f t="shared" si="32"/>
        <v>9</v>
      </c>
      <c r="H179" s="220">
        <f t="shared" si="32"/>
        <v>9</v>
      </c>
      <c r="I179" s="220">
        <f t="shared" si="32"/>
        <v>22</v>
      </c>
      <c r="J179" s="220">
        <f t="shared" si="32"/>
        <v>17</v>
      </c>
      <c r="K179" s="220">
        <f t="shared" si="32"/>
        <v>9</v>
      </c>
      <c r="L179" s="220">
        <f t="shared" si="32"/>
        <v>16</v>
      </c>
      <c r="M179" s="220">
        <f t="shared" si="32"/>
        <v>18</v>
      </c>
      <c r="N179" s="220">
        <f t="shared" si="32"/>
        <v>16</v>
      </c>
      <c r="O179" s="220">
        <f t="shared" si="32"/>
        <v>10</v>
      </c>
      <c r="P179" s="220">
        <f t="shared" si="32"/>
        <v>23</v>
      </c>
      <c r="Q179" s="220">
        <f t="shared" si="32"/>
        <v>20</v>
      </c>
      <c r="R179" s="220">
        <f t="shared" si="32"/>
        <v>30</v>
      </c>
      <c r="S179" s="220">
        <f t="shared" si="32"/>
        <v>20</v>
      </c>
      <c r="T179" s="220">
        <f t="shared" si="32"/>
        <v>13</v>
      </c>
      <c r="U179" s="220">
        <f t="shared" si="32"/>
        <v>7</v>
      </c>
      <c r="V179" s="220">
        <f t="shared" si="32"/>
        <v>16</v>
      </c>
      <c r="W179" s="220">
        <f t="shared" si="32"/>
        <v>16</v>
      </c>
      <c r="X179" s="220">
        <f t="shared" si="32"/>
        <v>17</v>
      </c>
      <c r="Y179" s="220">
        <f t="shared" si="32"/>
        <v>21</v>
      </c>
      <c r="Z179" s="220">
        <f t="shared" si="32"/>
        <v>18</v>
      </c>
      <c r="AA179" s="220">
        <f t="shared" si="32"/>
        <v>19</v>
      </c>
      <c r="AB179" s="220">
        <f t="shared" si="32"/>
        <v>9</v>
      </c>
      <c r="AC179" s="220">
        <f t="shared" si="32"/>
        <v>13</v>
      </c>
      <c r="AD179" s="220">
        <f t="shared" si="32"/>
        <v>11</v>
      </c>
      <c r="AE179" s="220">
        <f t="shared" si="32"/>
        <v>17</v>
      </c>
      <c r="AF179" s="221">
        <f t="shared" si="32"/>
        <v>27</v>
      </c>
      <c r="AG179" s="156">
        <f t="shared" si="28"/>
        <v>506</v>
      </c>
      <c r="AH179" s="38"/>
    </row>
    <row r="180" spans="1:34" ht="18.75" x14ac:dyDescent="0.25">
      <c r="A180" s="109" t="s">
        <v>4</v>
      </c>
      <c r="B180" s="216">
        <v>5</v>
      </c>
      <c r="C180" s="216">
        <v>5</v>
      </c>
      <c r="D180" s="216">
        <v>7</v>
      </c>
      <c r="E180" s="216">
        <v>4</v>
      </c>
      <c r="F180" s="216">
        <v>3</v>
      </c>
      <c r="G180" s="216">
        <v>1</v>
      </c>
      <c r="H180" s="216">
        <f>1</f>
        <v>1</v>
      </c>
      <c r="I180" s="216">
        <v>10</v>
      </c>
      <c r="J180" s="216">
        <v>8</v>
      </c>
      <c r="K180" s="216">
        <v>7</v>
      </c>
      <c r="L180" s="216">
        <v>5</v>
      </c>
      <c r="M180" s="216">
        <v>4</v>
      </c>
      <c r="N180" s="217">
        <v>9</v>
      </c>
      <c r="O180" s="217">
        <v>4</v>
      </c>
      <c r="P180" s="217">
        <v>8</v>
      </c>
      <c r="Q180" s="217">
        <v>12</v>
      </c>
      <c r="R180" s="217">
        <v>10</v>
      </c>
      <c r="S180" s="217">
        <v>4</v>
      </c>
      <c r="T180" s="217">
        <v>4</v>
      </c>
      <c r="U180" s="217">
        <v>5</v>
      </c>
      <c r="V180" s="217">
        <v>1</v>
      </c>
      <c r="W180" s="217">
        <v>3</v>
      </c>
      <c r="X180" s="217">
        <v>9</v>
      </c>
      <c r="Y180" s="217">
        <v>5</v>
      </c>
      <c r="Z180" s="217">
        <v>7</v>
      </c>
      <c r="AA180" s="217">
        <v>8</v>
      </c>
      <c r="AB180" s="217">
        <v>2</v>
      </c>
      <c r="AC180" s="217">
        <v>6</v>
      </c>
      <c r="AD180" s="217">
        <v>7</v>
      </c>
      <c r="AE180" s="217">
        <v>10</v>
      </c>
      <c r="AF180" s="218">
        <v>8</v>
      </c>
      <c r="AG180" s="31">
        <f t="shared" si="28"/>
        <v>182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>
        <v>2</v>
      </c>
      <c r="I181" s="147"/>
      <c r="J181" s="147"/>
      <c r="K181" s="147"/>
      <c r="L181" s="147"/>
      <c r="M181" s="147"/>
      <c r="N181" s="17"/>
      <c r="O181" s="17">
        <v>1</v>
      </c>
      <c r="P181" s="17"/>
      <c r="Q181" s="17"/>
      <c r="R181" s="17"/>
      <c r="S181" s="17"/>
      <c r="T181" s="17"/>
      <c r="U181" s="17"/>
      <c r="V181" s="17">
        <v>1</v>
      </c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4</v>
      </c>
    </row>
    <row r="182" spans="1:34" ht="18.75" x14ac:dyDescent="0.25">
      <c r="A182" s="109" t="s">
        <v>123</v>
      </c>
      <c r="B182" s="147">
        <v>8</v>
      </c>
      <c r="C182" s="147">
        <v>4</v>
      </c>
      <c r="D182" s="147">
        <v>11</v>
      </c>
      <c r="E182" s="147">
        <v>2</v>
      </c>
      <c r="F182" s="147">
        <v>7</v>
      </c>
      <c r="G182" s="147">
        <v>4</v>
      </c>
      <c r="H182" s="147"/>
      <c r="I182" s="147">
        <v>7</v>
      </c>
      <c r="J182" s="147">
        <v>5</v>
      </c>
      <c r="K182" s="147">
        <v>2</v>
      </c>
      <c r="L182" s="147">
        <v>9</v>
      </c>
      <c r="M182" s="147">
        <v>9</v>
      </c>
      <c r="N182" s="17">
        <v>5</v>
      </c>
      <c r="O182" s="17"/>
      <c r="P182" s="17">
        <v>10</v>
      </c>
      <c r="Q182" s="17">
        <v>4</v>
      </c>
      <c r="R182" s="17">
        <v>17</v>
      </c>
      <c r="S182" s="17">
        <v>15</v>
      </c>
      <c r="T182" s="17">
        <v>5</v>
      </c>
      <c r="U182" s="17">
        <v>2</v>
      </c>
      <c r="V182" s="17">
        <v>2</v>
      </c>
      <c r="W182" s="17">
        <v>11</v>
      </c>
      <c r="X182" s="17">
        <v>1</v>
      </c>
      <c r="Y182" s="17">
        <v>14</v>
      </c>
      <c r="Z182" s="17">
        <v>11</v>
      </c>
      <c r="AA182" s="17">
        <v>8</v>
      </c>
      <c r="AB182" s="17">
        <v>6</v>
      </c>
      <c r="AC182" s="17"/>
      <c r="AD182" s="17">
        <v>1</v>
      </c>
      <c r="AE182" s="17"/>
      <c r="AF182" s="18">
        <v>11</v>
      </c>
      <c r="AG182" s="4">
        <f t="shared" si="28"/>
        <v>191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>
        <v>1</v>
      </c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1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ref="AG186" si="33">SUM(B186:AF186)</f>
        <v>0</v>
      </c>
    </row>
    <row r="187" spans="1:34" ht="18.75" x14ac:dyDescent="0.25">
      <c r="A187" s="109" t="s">
        <v>139</v>
      </c>
      <c r="B187" s="147"/>
      <c r="C187" s="147">
        <v>10</v>
      </c>
      <c r="D187" s="147"/>
      <c r="E187" s="147"/>
      <c r="F187" s="147"/>
      <c r="G187" s="147"/>
      <c r="H187" s="147"/>
      <c r="I187" s="147">
        <v>1</v>
      </c>
      <c r="J187" s="147"/>
      <c r="K187" s="147"/>
      <c r="L187" s="147"/>
      <c r="M187" s="147"/>
      <c r="N187" s="17"/>
      <c r="O187" s="17">
        <v>3</v>
      </c>
      <c r="P187" s="17"/>
      <c r="Q187" s="17"/>
      <c r="R187" s="17"/>
      <c r="S187" s="17"/>
      <c r="T187" s="17">
        <v>2</v>
      </c>
      <c r="U187" s="17"/>
      <c r="V187" s="17">
        <v>8</v>
      </c>
      <c r="W187" s="17"/>
      <c r="X187" s="17">
        <v>2</v>
      </c>
      <c r="Y187" s="17"/>
      <c r="Z187" s="17"/>
      <c r="AA187" s="17"/>
      <c r="AB187" s="17"/>
      <c r="AC187" s="17">
        <v>3</v>
      </c>
      <c r="AD187" s="17"/>
      <c r="AE187" s="17">
        <v>2</v>
      </c>
      <c r="AF187" s="18"/>
      <c r="AG187" s="4">
        <f t="shared" si="28"/>
        <v>31</v>
      </c>
    </row>
    <row r="188" spans="1:34" ht="18.75" x14ac:dyDescent="0.25">
      <c r="A188" s="110" t="s">
        <v>63</v>
      </c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>
        <v>1</v>
      </c>
      <c r="T188" s="17">
        <v>1</v>
      </c>
      <c r="U188" s="17"/>
      <c r="V188" s="17"/>
      <c r="W188" s="17"/>
      <c r="X188" s="17"/>
      <c r="Y188" s="17"/>
      <c r="Z188" s="17"/>
      <c r="AA188" s="17">
        <v>3</v>
      </c>
      <c r="AB188" s="17"/>
      <c r="AC188" s="17"/>
      <c r="AD188" s="17"/>
      <c r="AE188" s="17"/>
      <c r="AF188" s="18"/>
      <c r="AG188" s="4">
        <f t="shared" si="28"/>
        <v>5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>
        <v>1</v>
      </c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1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>
        <v>3</v>
      </c>
      <c r="C192" s="244">
        <v>3</v>
      </c>
      <c r="D192" s="244"/>
      <c r="E192" s="244"/>
      <c r="F192" s="244">
        <v>2</v>
      </c>
      <c r="G192" s="244">
        <v>1</v>
      </c>
      <c r="H192" s="244">
        <v>4</v>
      </c>
      <c r="I192" s="244">
        <v>1</v>
      </c>
      <c r="J192" s="244">
        <v>2</v>
      </c>
      <c r="K192" s="244"/>
      <c r="L192" s="244"/>
      <c r="M192" s="244">
        <v>2</v>
      </c>
      <c r="N192" s="245"/>
      <c r="O192" s="245"/>
      <c r="P192" s="245"/>
      <c r="Q192" s="245"/>
      <c r="R192" s="245">
        <v>1</v>
      </c>
      <c r="S192" s="245"/>
      <c r="T192" s="245"/>
      <c r="U192" s="245"/>
      <c r="V192" s="245">
        <v>3</v>
      </c>
      <c r="W192" s="245">
        <v>1</v>
      </c>
      <c r="X192" s="245">
        <v>3</v>
      </c>
      <c r="Y192" s="245"/>
      <c r="Z192" s="245"/>
      <c r="AA192" s="245"/>
      <c r="AB192" s="245"/>
      <c r="AC192" s="245"/>
      <c r="AD192" s="245">
        <v>2</v>
      </c>
      <c r="AE192" s="245">
        <v>4</v>
      </c>
      <c r="AF192" s="246">
        <v>2</v>
      </c>
      <c r="AG192" s="247">
        <f t="shared" si="28"/>
        <v>34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>
        <v>1</v>
      </c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1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>
        <v>1</v>
      </c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1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>
        <v>1</v>
      </c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1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>
        <v>1</v>
      </c>
      <c r="M196" s="147"/>
      <c r="N196" s="17"/>
      <c r="O196" s="17"/>
      <c r="P196" s="17">
        <v>2</v>
      </c>
      <c r="Q196" s="17"/>
      <c r="R196" s="17"/>
      <c r="S196" s="17"/>
      <c r="T196" s="17"/>
      <c r="U196" s="17"/>
      <c r="V196" s="17"/>
      <c r="W196" s="17"/>
      <c r="X196" s="17">
        <v>1</v>
      </c>
      <c r="Y196" s="17"/>
      <c r="Z196" s="17"/>
      <c r="AA196" s="17"/>
      <c r="AB196" s="17"/>
      <c r="AC196" s="17">
        <v>2</v>
      </c>
      <c r="AD196" s="17"/>
      <c r="AE196" s="17"/>
      <c r="AF196" s="18"/>
      <c r="AG196" s="4">
        <f t="shared" si="28"/>
        <v>6</v>
      </c>
    </row>
    <row r="197" spans="1:34" ht="18.75" x14ac:dyDescent="0.25">
      <c r="A197" s="111" t="s">
        <v>143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>
        <v>1</v>
      </c>
      <c r="N197" s="17"/>
      <c r="O197" s="17"/>
      <c r="P197" s="17"/>
      <c r="Q197" s="17">
        <v>1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>
        <v>1</v>
      </c>
      <c r="AD197" s="17"/>
      <c r="AE197" s="17"/>
      <c r="AF197" s="18"/>
      <c r="AG197" s="4">
        <f t="shared" si="28"/>
        <v>3</v>
      </c>
    </row>
    <row r="198" spans="1:34" ht="18.75" x14ac:dyDescent="0.25">
      <c r="A198" s="110" t="s">
        <v>124</v>
      </c>
      <c r="B198" s="147"/>
      <c r="C198" s="147"/>
      <c r="D198" s="147">
        <v>1</v>
      </c>
      <c r="E198" s="147">
        <v>1</v>
      </c>
      <c r="F198" s="147"/>
      <c r="G198" s="147">
        <v>2</v>
      </c>
      <c r="H198" s="147"/>
      <c r="I198" s="147"/>
      <c r="J198" s="147">
        <v>1</v>
      </c>
      <c r="K198" s="147"/>
      <c r="L198" s="147">
        <v>1</v>
      </c>
      <c r="M198" s="147"/>
      <c r="N198" s="17"/>
      <c r="O198" s="17">
        <v>1</v>
      </c>
      <c r="P198" s="17">
        <v>1</v>
      </c>
      <c r="Q198" s="17">
        <v>1</v>
      </c>
      <c r="R198" s="17"/>
      <c r="S198" s="17"/>
      <c r="T198" s="17"/>
      <c r="U198" s="17"/>
      <c r="V198" s="17"/>
      <c r="W198" s="17"/>
      <c r="X198" s="17"/>
      <c r="Y198" s="17">
        <v>1</v>
      </c>
      <c r="Z198" s="17"/>
      <c r="AA198" s="17"/>
      <c r="AB198" s="17"/>
      <c r="AC198" s="17"/>
      <c r="AD198" s="17"/>
      <c r="AE198" s="17">
        <v>1</v>
      </c>
      <c r="AF198" s="18">
        <v>5</v>
      </c>
      <c r="AG198" s="4">
        <f t="shared" si="28"/>
        <v>16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>
        <v>1</v>
      </c>
      <c r="AC200" s="17"/>
      <c r="AD200" s="17"/>
      <c r="AE200" s="17"/>
      <c r="AF200" s="18"/>
      <c r="AG200" s="4">
        <f t="shared" si="28"/>
        <v>1</v>
      </c>
    </row>
    <row r="201" spans="1:34" ht="18.75" x14ac:dyDescent="0.25">
      <c r="A201" s="110" t="s">
        <v>126</v>
      </c>
      <c r="B201" s="202">
        <v>1</v>
      </c>
      <c r="C201" s="202"/>
      <c r="D201" s="202">
        <v>2</v>
      </c>
      <c r="E201" s="202">
        <v>1</v>
      </c>
      <c r="F201" s="202"/>
      <c r="G201" s="202">
        <v>1</v>
      </c>
      <c r="H201" s="202"/>
      <c r="I201" s="202">
        <v>1</v>
      </c>
      <c r="J201" s="202">
        <v>1</v>
      </c>
      <c r="K201" s="202"/>
      <c r="L201" s="202"/>
      <c r="M201" s="202">
        <v>1</v>
      </c>
      <c r="N201" s="203"/>
      <c r="O201" s="203"/>
      <c r="P201" s="203">
        <v>1</v>
      </c>
      <c r="Q201" s="203">
        <v>2</v>
      </c>
      <c r="R201" s="203">
        <v>1</v>
      </c>
      <c r="S201" s="203"/>
      <c r="T201" s="203"/>
      <c r="U201" s="203"/>
      <c r="V201" s="203">
        <v>1</v>
      </c>
      <c r="W201" s="203">
        <v>1</v>
      </c>
      <c r="X201" s="203"/>
      <c r="Y201" s="203">
        <v>1</v>
      </c>
      <c r="Z201" s="203"/>
      <c r="AA201" s="203"/>
      <c r="AB201" s="203"/>
      <c r="AC201" s="203"/>
      <c r="AD201" s="203">
        <v>1</v>
      </c>
      <c r="AE201" s="203"/>
      <c r="AF201" s="204"/>
      <c r="AG201" s="4">
        <f t="shared" si="28"/>
        <v>16</v>
      </c>
    </row>
    <row r="202" spans="1:34" ht="18.75" x14ac:dyDescent="0.25">
      <c r="A202" s="112" t="s">
        <v>170</v>
      </c>
      <c r="B202" s="202"/>
      <c r="C202" s="202">
        <v>1</v>
      </c>
      <c r="D202" s="202">
        <v>1</v>
      </c>
      <c r="E202" s="202">
        <v>1</v>
      </c>
      <c r="F202" s="202"/>
      <c r="G202" s="202"/>
      <c r="H202" s="202">
        <v>1</v>
      </c>
      <c r="I202" s="202"/>
      <c r="J202" s="202"/>
      <c r="K202" s="202"/>
      <c r="L202" s="202"/>
      <c r="M202" s="202"/>
      <c r="N202" s="203">
        <v>1</v>
      </c>
      <c r="O202" s="203"/>
      <c r="P202" s="203"/>
      <c r="Q202" s="203"/>
      <c r="R202" s="203">
        <v>1</v>
      </c>
      <c r="S202" s="203"/>
      <c r="T202" s="203">
        <v>1</v>
      </c>
      <c r="U202" s="203"/>
      <c r="V202" s="203"/>
      <c r="W202" s="203"/>
      <c r="X202" s="203">
        <v>1</v>
      </c>
      <c r="Y202" s="203"/>
      <c r="Z202" s="203"/>
      <c r="AA202" s="203"/>
      <c r="AB202" s="203"/>
      <c r="AC202" s="203">
        <v>1</v>
      </c>
      <c r="AD202" s="203"/>
      <c r="AE202" s="203"/>
      <c r="AF202" s="204">
        <v>1</v>
      </c>
      <c r="AG202" s="4">
        <f t="shared" si="28"/>
        <v>10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>
        <v>1</v>
      </c>
      <c r="J203" s="202"/>
      <c r="K203" s="202"/>
      <c r="L203" s="202"/>
      <c r="M203" s="202"/>
      <c r="N203" s="203">
        <v>1</v>
      </c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2</v>
      </c>
    </row>
    <row r="204" spans="1:34" ht="19.5" thickBot="1" x14ac:dyDescent="0.3">
      <c r="A204" s="215" t="s">
        <v>83</v>
      </c>
      <c r="B204" s="209">
        <f>SUM(B205:B209)</f>
        <v>172</v>
      </c>
      <c r="C204" s="210">
        <f t="shared" ref="C204:AF204" si="34">SUM(C205:C209)</f>
        <v>219</v>
      </c>
      <c r="D204" s="210">
        <f t="shared" si="34"/>
        <v>194</v>
      </c>
      <c r="E204" s="210">
        <f t="shared" si="34"/>
        <v>170</v>
      </c>
      <c r="F204" s="210">
        <f t="shared" si="34"/>
        <v>174</v>
      </c>
      <c r="G204" s="210">
        <f t="shared" si="34"/>
        <v>154</v>
      </c>
      <c r="H204" s="210">
        <f t="shared" si="34"/>
        <v>158</v>
      </c>
      <c r="I204" s="210">
        <f t="shared" si="34"/>
        <v>157</v>
      </c>
      <c r="J204" s="210">
        <f t="shared" si="34"/>
        <v>197</v>
      </c>
      <c r="K204" s="210">
        <f t="shared" si="34"/>
        <v>195</v>
      </c>
      <c r="L204" s="210">
        <f t="shared" si="34"/>
        <v>178</v>
      </c>
      <c r="M204" s="210">
        <f t="shared" si="34"/>
        <v>146</v>
      </c>
      <c r="N204" s="211">
        <f t="shared" si="34"/>
        <v>164</v>
      </c>
      <c r="O204" s="211">
        <f t="shared" si="34"/>
        <v>151</v>
      </c>
      <c r="P204" s="211">
        <f t="shared" si="34"/>
        <v>177</v>
      </c>
      <c r="Q204" s="211">
        <f t="shared" si="34"/>
        <v>220</v>
      </c>
      <c r="R204" s="211">
        <f t="shared" si="34"/>
        <v>221</v>
      </c>
      <c r="S204" s="211">
        <f t="shared" si="34"/>
        <v>181</v>
      </c>
      <c r="T204" s="211">
        <f t="shared" si="34"/>
        <v>190</v>
      </c>
      <c r="U204" s="211">
        <f t="shared" si="34"/>
        <v>177</v>
      </c>
      <c r="V204" s="211">
        <f t="shared" si="34"/>
        <v>176</v>
      </c>
      <c r="W204" s="211">
        <f t="shared" si="34"/>
        <v>187</v>
      </c>
      <c r="X204" s="211">
        <f t="shared" si="34"/>
        <v>211</v>
      </c>
      <c r="Y204" s="211">
        <f t="shared" si="34"/>
        <v>197</v>
      </c>
      <c r="Z204" s="211">
        <f t="shared" si="34"/>
        <v>243</v>
      </c>
      <c r="AA204" s="211">
        <f t="shared" si="34"/>
        <v>177</v>
      </c>
      <c r="AB204" s="211">
        <f t="shared" si="34"/>
        <v>173</v>
      </c>
      <c r="AC204" s="211">
        <f t="shared" si="34"/>
        <v>158</v>
      </c>
      <c r="AD204" s="211">
        <f t="shared" si="34"/>
        <v>177</v>
      </c>
      <c r="AE204" s="211">
        <f t="shared" si="34"/>
        <v>217</v>
      </c>
      <c r="AF204" s="212">
        <f t="shared" si="34"/>
        <v>223</v>
      </c>
      <c r="AG204" s="213">
        <f t="shared" si="28"/>
        <v>5734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/>
      <c r="H205" s="205"/>
      <c r="I205" s="205">
        <v>1</v>
      </c>
      <c r="J205" s="205"/>
      <c r="K205" s="205"/>
      <c r="L205" s="205"/>
      <c r="M205" s="205"/>
      <c r="N205" s="206"/>
      <c r="O205" s="206"/>
      <c r="P205" s="206"/>
      <c r="Q205" s="206"/>
      <c r="R205" s="206">
        <v>1</v>
      </c>
      <c r="S205" s="206"/>
      <c r="T205" s="206"/>
      <c r="U205" s="206"/>
      <c r="V205" s="206"/>
      <c r="W205" s="206">
        <v>1</v>
      </c>
      <c r="X205" s="206"/>
      <c r="Y205" s="206"/>
      <c r="Z205" s="206"/>
      <c r="AA205" s="206"/>
      <c r="AB205" s="206">
        <v>1</v>
      </c>
      <c r="AC205" s="206"/>
      <c r="AD205" s="206">
        <v>1</v>
      </c>
      <c r="AE205" s="206"/>
      <c r="AF205" s="207"/>
      <c r="AG205" s="208">
        <f t="shared" si="28"/>
        <v>5</v>
      </c>
    </row>
    <row r="206" spans="1:34" ht="18.75" x14ac:dyDescent="0.25">
      <c r="A206" s="52" t="s">
        <v>73</v>
      </c>
      <c r="B206" s="148">
        <v>4</v>
      </c>
      <c r="C206" s="148">
        <v>1</v>
      </c>
      <c r="D206" s="148">
        <v>2</v>
      </c>
      <c r="E206" s="148"/>
      <c r="F206" s="148"/>
      <c r="G206" s="148">
        <v>1</v>
      </c>
      <c r="H206" s="148"/>
      <c r="I206" s="148"/>
      <c r="J206" s="148">
        <v>1</v>
      </c>
      <c r="K206" s="148">
        <v>2</v>
      </c>
      <c r="L206" s="148">
        <v>1</v>
      </c>
      <c r="M206" s="148">
        <v>1</v>
      </c>
      <c r="N206" s="33">
        <v>2</v>
      </c>
      <c r="O206" s="33"/>
      <c r="P206" s="33">
        <v>1</v>
      </c>
      <c r="Q206" s="33">
        <v>6</v>
      </c>
      <c r="R206" s="33">
        <v>7</v>
      </c>
      <c r="S206" s="33">
        <v>1</v>
      </c>
      <c r="T206" s="33">
        <v>1</v>
      </c>
      <c r="U206" s="33"/>
      <c r="V206" s="33"/>
      <c r="W206" s="33">
        <v>2</v>
      </c>
      <c r="X206" s="33">
        <v>2</v>
      </c>
      <c r="Y206" s="33">
        <v>3</v>
      </c>
      <c r="Z206" s="33">
        <v>1</v>
      </c>
      <c r="AA206" s="33">
        <v>2</v>
      </c>
      <c r="AB206" s="33"/>
      <c r="AC206" s="33"/>
      <c r="AD206" s="33">
        <v>3</v>
      </c>
      <c r="AE206" s="33">
        <v>4</v>
      </c>
      <c r="AF206" s="88">
        <v>1</v>
      </c>
      <c r="AG206" s="97">
        <f t="shared" si="28"/>
        <v>49</v>
      </c>
    </row>
    <row r="207" spans="1:34" ht="18.75" x14ac:dyDescent="0.25">
      <c r="A207" s="52" t="s">
        <v>74</v>
      </c>
      <c r="B207" s="148">
        <v>16</v>
      </c>
      <c r="C207" s="148">
        <v>10</v>
      </c>
      <c r="D207" s="148">
        <v>11</v>
      </c>
      <c r="E207" s="148">
        <v>11</v>
      </c>
      <c r="F207" s="148">
        <v>10</v>
      </c>
      <c r="G207" s="148">
        <v>11</v>
      </c>
      <c r="H207" s="148">
        <v>14</v>
      </c>
      <c r="I207" s="148">
        <v>22</v>
      </c>
      <c r="J207" s="148">
        <v>17</v>
      </c>
      <c r="K207" s="148">
        <v>14</v>
      </c>
      <c r="L207" s="148">
        <v>16</v>
      </c>
      <c r="M207" s="148">
        <v>14</v>
      </c>
      <c r="N207" s="33">
        <v>22</v>
      </c>
      <c r="O207" s="33">
        <v>22</v>
      </c>
      <c r="P207" s="33">
        <v>16</v>
      </c>
      <c r="Q207" s="33">
        <v>36</v>
      </c>
      <c r="R207" s="33">
        <v>18</v>
      </c>
      <c r="S207" s="33">
        <v>19</v>
      </c>
      <c r="T207" s="33">
        <v>7</v>
      </c>
      <c r="U207" s="33">
        <v>15</v>
      </c>
      <c r="V207" s="33">
        <v>16</v>
      </c>
      <c r="W207" s="33">
        <v>22</v>
      </c>
      <c r="X207" s="33">
        <v>31</v>
      </c>
      <c r="Y207" s="33">
        <v>24</v>
      </c>
      <c r="Z207" s="33">
        <v>25</v>
      </c>
      <c r="AA207" s="33">
        <v>28</v>
      </c>
      <c r="AB207" s="33">
        <v>15</v>
      </c>
      <c r="AC207" s="33">
        <v>20</v>
      </c>
      <c r="AD207" s="33">
        <v>19</v>
      </c>
      <c r="AE207" s="33">
        <v>28</v>
      </c>
      <c r="AF207" s="88">
        <v>18</v>
      </c>
      <c r="AG207" s="97">
        <f t="shared" si="28"/>
        <v>567</v>
      </c>
    </row>
    <row r="208" spans="1:34" ht="18.75" x14ac:dyDescent="0.25">
      <c r="A208" s="52" t="s">
        <v>75</v>
      </c>
      <c r="B208" s="148">
        <v>136</v>
      </c>
      <c r="C208" s="148">
        <v>157</v>
      </c>
      <c r="D208" s="148">
        <v>142</v>
      </c>
      <c r="E208" s="148">
        <v>131</v>
      </c>
      <c r="F208" s="148">
        <v>149</v>
      </c>
      <c r="G208" s="148">
        <v>130</v>
      </c>
      <c r="H208" s="148">
        <v>123</v>
      </c>
      <c r="I208" s="148">
        <v>123</v>
      </c>
      <c r="J208" s="148">
        <v>156</v>
      </c>
      <c r="K208" s="148">
        <v>108</v>
      </c>
      <c r="L208" s="148">
        <v>139</v>
      </c>
      <c r="M208" s="148">
        <v>126</v>
      </c>
      <c r="N208" s="33">
        <v>132</v>
      </c>
      <c r="O208" s="33">
        <v>117</v>
      </c>
      <c r="P208" s="33">
        <v>113</v>
      </c>
      <c r="Q208" s="33">
        <v>142</v>
      </c>
      <c r="R208" s="33">
        <v>163</v>
      </c>
      <c r="S208" s="33">
        <v>155</v>
      </c>
      <c r="T208" s="33">
        <v>163</v>
      </c>
      <c r="U208" s="33">
        <v>151</v>
      </c>
      <c r="V208" s="33">
        <v>147</v>
      </c>
      <c r="W208" s="33">
        <v>134</v>
      </c>
      <c r="X208" s="33">
        <v>144</v>
      </c>
      <c r="Y208" s="33">
        <v>151</v>
      </c>
      <c r="Z208" s="33">
        <v>198</v>
      </c>
      <c r="AA208" s="33">
        <v>135</v>
      </c>
      <c r="AB208" s="33">
        <v>140</v>
      </c>
      <c r="AC208" s="33">
        <v>128</v>
      </c>
      <c r="AD208" s="33">
        <v>136</v>
      </c>
      <c r="AE208" s="33">
        <v>159</v>
      </c>
      <c r="AF208" s="88">
        <v>148</v>
      </c>
      <c r="AG208" s="97">
        <f t="shared" si="28"/>
        <v>4376</v>
      </c>
    </row>
    <row r="209" spans="1:34" ht="19.5" thickBot="1" x14ac:dyDescent="0.3">
      <c r="A209" s="63" t="s">
        <v>76</v>
      </c>
      <c r="B209" s="149">
        <v>16</v>
      </c>
      <c r="C209" s="149">
        <v>51</v>
      </c>
      <c r="D209" s="149">
        <v>39</v>
      </c>
      <c r="E209" s="149">
        <v>28</v>
      </c>
      <c r="F209" s="149">
        <v>15</v>
      </c>
      <c r="G209" s="149">
        <v>12</v>
      </c>
      <c r="H209" s="149">
        <v>21</v>
      </c>
      <c r="I209" s="149">
        <v>11</v>
      </c>
      <c r="J209" s="149">
        <v>23</v>
      </c>
      <c r="K209" s="149">
        <v>71</v>
      </c>
      <c r="L209" s="149">
        <v>22</v>
      </c>
      <c r="M209" s="149">
        <v>5</v>
      </c>
      <c r="N209" s="34">
        <v>8</v>
      </c>
      <c r="O209" s="34">
        <v>12</v>
      </c>
      <c r="P209" s="34">
        <v>47</v>
      </c>
      <c r="Q209" s="34">
        <v>36</v>
      </c>
      <c r="R209" s="34">
        <v>32</v>
      </c>
      <c r="S209" s="34">
        <v>6</v>
      </c>
      <c r="T209" s="34">
        <v>19</v>
      </c>
      <c r="U209" s="34">
        <v>11</v>
      </c>
      <c r="V209" s="34">
        <v>13</v>
      </c>
      <c r="W209" s="34">
        <v>28</v>
      </c>
      <c r="X209" s="34">
        <v>34</v>
      </c>
      <c r="Y209" s="34">
        <v>19</v>
      </c>
      <c r="Z209" s="34">
        <v>19</v>
      </c>
      <c r="AA209" s="34">
        <v>12</v>
      </c>
      <c r="AB209" s="34">
        <v>17</v>
      </c>
      <c r="AC209" s="34">
        <v>10</v>
      </c>
      <c r="AD209" s="34">
        <v>18</v>
      </c>
      <c r="AE209" s="34">
        <v>26</v>
      </c>
      <c r="AF209" s="89">
        <v>56</v>
      </c>
      <c r="AG209" s="35">
        <f t="shared" si="28"/>
        <v>737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21" x14ac:dyDescent="0.25">
      <c r="A211" s="43" t="s">
        <v>77</v>
      </c>
      <c r="B211" s="19">
        <v>9.9768518518518531E-3</v>
      </c>
      <c r="C211" s="19">
        <v>6.851851851851852E-3</v>
      </c>
      <c r="D211" s="19">
        <v>6.9444444444444441E-3</v>
      </c>
      <c r="E211" s="19">
        <v>9.7222222222222224E-3</v>
      </c>
      <c r="F211" s="19">
        <v>1.0416666666666666E-2</v>
      </c>
      <c r="G211" s="19">
        <v>1.3888888888888888E-2</v>
      </c>
      <c r="H211" s="19">
        <v>1.3888888888888888E-2</v>
      </c>
      <c r="I211" s="19">
        <v>9.9768518518518531E-3</v>
      </c>
      <c r="J211" s="19">
        <v>8.3333333333333332E-3</v>
      </c>
      <c r="K211" s="19">
        <v>4.8611111111111112E-3</v>
      </c>
      <c r="L211" s="19">
        <v>1.074074074074074E-2</v>
      </c>
      <c r="M211" s="19">
        <v>1.6666666666666666E-2</v>
      </c>
      <c r="N211" s="19">
        <v>1.4583333333333332E-2</v>
      </c>
      <c r="O211" s="19">
        <v>1.8749999999999999E-2</v>
      </c>
      <c r="P211" s="19">
        <v>8.3333333333333332E-3</v>
      </c>
      <c r="Q211" s="19">
        <v>9.0277777777777787E-3</v>
      </c>
      <c r="R211" s="19">
        <v>8.4837962962962966E-3</v>
      </c>
      <c r="S211" s="19">
        <v>2.1527777777777781E-2</v>
      </c>
      <c r="T211" s="19">
        <v>1.2499999999999999E-2</v>
      </c>
      <c r="U211" s="19">
        <v>1.3888888888888888E-2</v>
      </c>
      <c r="V211" s="19">
        <v>1.3888888888888888E-2</v>
      </c>
      <c r="W211" s="19">
        <v>1.4282407407407409E-2</v>
      </c>
      <c r="X211" s="19">
        <v>1.2499999999999999E-2</v>
      </c>
      <c r="Y211" s="19">
        <v>1.0416666666666666E-2</v>
      </c>
      <c r="Z211" s="19">
        <v>1.5972222222222224E-2</v>
      </c>
      <c r="AA211" s="19">
        <v>1.6666666666666666E-2</v>
      </c>
      <c r="AB211" s="19">
        <v>1.6666666666666666E-2</v>
      </c>
      <c r="AC211" s="19">
        <v>1.050925925925926E-2</v>
      </c>
      <c r="AD211" s="19">
        <v>1.3113425925925926E-2</v>
      </c>
      <c r="AE211" s="19">
        <v>8.3333333333333332E-3</v>
      </c>
      <c r="AF211" s="25">
        <v>6.8981481481481489E-3</v>
      </c>
      <c r="AG211" s="325">
        <f t="shared" ref="AG211:AG223" si="35">SUM(B211:AF211)</f>
        <v>0.36861111111111117</v>
      </c>
      <c r="AH211" s="376" t="s">
        <v>85</v>
      </c>
    </row>
    <row r="212" spans="1:34" ht="21" x14ac:dyDescent="0.25">
      <c r="A212" s="53" t="s">
        <v>110</v>
      </c>
      <c r="B212" s="39">
        <v>9.0972222222222218E-3</v>
      </c>
      <c r="C212" s="39">
        <v>4.7800925925925919E-3</v>
      </c>
      <c r="D212" s="39">
        <v>9.0277777777777787E-3</v>
      </c>
      <c r="E212" s="39">
        <v>1.1111111111111112E-2</v>
      </c>
      <c r="F212" s="39">
        <v>1.6666666666666666E-2</v>
      </c>
      <c r="G212" s="39">
        <v>2.7777777777777776E-2</v>
      </c>
      <c r="H212" s="39">
        <v>2.4305555555555556E-2</v>
      </c>
      <c r="I212" s="39">
        <v>1.1805555555555555E-2</v>
      </c>
      <c r="J212" s="39">
        <v>5.5555555555555558E-3</v>
      </c>
      <c r="K212" s="39">
        <v>3.8194444444444443E-3</v>
      </c>
      <c r="L212" s="39">
        <v>1.7361111111111112E-2</v>
      </c>
      <c r="M212" s="39">
        <v>2.4305555555555556E-2</v>
      </c>
      <c r="N212" s="39">
        <v>1.6666666666666666E-2</v>
      </c>
      <c r="O212" s="39">
        <v>1.8749999999999999E-2</v>
      </c>
      <c r="P212" s="39">
        <v>1.3888888888888888E-2</v>
      </c>
      <c r="Q212" s="39">
        <v>1.2499999999999999E-2</v>
      </c>
      <c r="R212" s="39">
        <v>4.2708333333333339E-3</v>
      </c>
      <c r="S212" s="39">
        <v>2.9861111111111113E-2</v>
      </c>
      <c r="T212" s="39">
        <v>1.5972222222222224E-2</v>
      </c>
      <c r="U212" s="39">
        <v>2.2916666666666669E-2</v>
      </c>
      <c r="V212" s="39">
        <v>1.9444444444444445E-2</v>
      </c>
      <c r="W212" s="39">
        <v>2.0833333333333332E-2</v>
      </c>
      <c r="X212" s="39">
        <v>1.3194444444444444E-2</v>
      </c>
      <c r="Y212" s="39">
        <v>8.3333333333333332E-3</v>
      </c>
      <c r="Z212" s="39">
        <v>3.125E-2</v>
      </c>
      <c r="AA212" s="39">
        <v>2.5694444444444447E-2</v>
      </c>
      <c r="AB212" s="39">
        <v>1.8055555555555557E-2</v>
      </c>
      <c r="AC212" s="39">
        <v>1.3194444444444444E-2</v>
      </c>
      <c r="AD212" s="39">
        <v>1.7361111111111112E-2</v>
      </c>
      <c r="AE212" s="39">
        <v>8.3333333333333332E-3</v>
      </c>
      <c r="AF212" s="91">
        <v>7.6388888888888886E-3</v>
      </c>
      <c r="AG212" s="326">
        <f t="shared" si="35"/>
        <v>0.4837731481481482</v>
      </c>
      <c r="AH212" s="377"/>
    </row>
    <row r="213" spans="1:34" ht="21" x14ac:dyDescent="0.25">
      <c r="A213" s="53" t="s">
        <v>111</v>
      </c>
      <c r="B213" s="39">
        <v>9.0277777777777787E-3</v>
      </c>
      <c r="C213" s="39">
        <v>7.3611111111111108E-3</v>
      </c>
      <c r="D213" s="39">
        <v>4.2361111111111106E-3</v>
      </c>
      <c r="E213" s="39">
        <v>5.5555555555555558E-3</v>
      </c>
      <c r="F213" s="39">
        <v>1.8749999999999999E-2</v>
      </c>
      <c r="G213" s="39">
        <v>2.013888888888889E-2</v>
      </c>
      <c r="H213" s="39">
        <v>2.0833333333333332E-2</v>
      </c>
      <c r="I213" s="39">
        <v>1.0416666666666666E-2</v>
      </c>
      <c r="J213" s="39">
        <v>1.1111111111111112E-2</v>
      </c>
      <c r="K213" s="39">
        <v>4.9074074074074072E-3</v>
      </c>
      <c r="L213" s="39">
        <v>1.0416666666666666E-2</v>
      </c>
      <c r="M213" s="39">
        <v>2.361111111111111E-2</v>
      </c>
      <c r="N213" s="39">
        <v>2.1527777777777781E-2</v>
      </c>
      <c r="O213" s="39">
        <v>3.4027777777777775E-2</v>
      </c>
      <c r="P213" s="39">
        <v>5.5555555555555558E-3</v>
      </c>
      <c r="Q213" s="39">
        <v>1.4583333333333332E-2</v>
      </c>
      <c r="R213" s="39">
        <v>5.5555555555555558E-3</v>
      </c>
      <c r="S213" s="39">
        <v>3.6111111111111115E-2</v>
      </c>
      <c r="T213" s="39">
        <v>9.0277777777777787E-3</v>
      </c>
      <c r="U213" s="39">
        <v>3.1944444444444449E-2</v>
      </c>
      <c r="V213" s="39">
        <v>2.0833333333333332E-2</v>
      </c>
      <c r="W213" s="39">
        <v>1.8055555555555557E-2</v>
      </c>
      <c r="X213" s="39">
        <v>5.5555555555555558E-3</v>
      </c>
      <c r="Y213" s="39">
        <v>1.0416666666666666E-2</v>
      </c>
      <c r="Z213" s="39">
        <v>2.1527777777777781E-2</v>
      </c>
      <c r="AA213" s="39">
        <v>3.6805555555555557E-2</v>
      </c>
      <c r="AB213" s="39">
        <v>2.1527777777777781E-2</v>
      </c>
      <c r="AC213" s="39">
        <v>5.5555555555555558E-3</v>
      </c>
      <c r="AD213" s="39">
        <v>1.1111111111111112E-2</v>
      </c>
      <c r="AE213" s="39">
        <v>1.2499999999999999E-2</v>
      </c>
      <c r="AF213" s="91">
        <v>8.3333333333333332E-3</v>
      </c>
      <c r="AG213" s="326">
        <f t="shared" si="35"/>
        <v>0.47692129629629626</v>
      </c>
      <c r="AH213" s="377"/>
    </row>
    <row r="214" spans="1:34" ht="21" x14ac:dyDescent="0.25">
      <c r="A214" s="53" t="s">
        <v>112</v>
      </c>
      <c r="B214" s="39">
        <v>8.518518518518519E-3</v>
      </c>
      <c r="C214" s="39">
        <v>9.1898148148148139E-3</v>
      </c>
      <c r="D214" s="39">
        <v>6.2499999999999995E-3</v>
      </c>
      <c r="E214" s="39">
        <v>9.7222222222222224E-3</v>
      </c>
      <c r="F214" s="39">
        <v>9.0277777777777787E-3</v>
      </c>
      <c r="G214" s="39">
        <v>1.2499999999999999E-2</v>
      </c>
      <c r="H214" s="39">
        <v>1.3194444444444444E-2</v>
      </c>
      <c r="I214" s="39">
        <v>6.9444444444444441E-3</v>
      </c>
      <c r="J214" s="39">
        <v>3.5416666666666666E-2</v>
      </c>
      <c r="K214" s="39">
        <v>4.1666666666666666E-3</v>
      </c>
      <c r="L214" s="39">
        <v>1.5972222222222224E-2</v>
      </c>
      <c r="M214" s="39">
        <v>1.4583333333333332E-2</v>
      </c>
      <c r="N214" s="39">
        <v>1.3888888888888888E-2</v>
      </c>
      <c r="O214" s="39">
        <v>4.3750000000000004E-2</v>
      </c>
      <c r="P214" s="39">
        <v>5.5555555555555558E-3</v>
      </c>
      <c r="Q214" s="39">
        <v>6.9444444444444441E-3</v>
      </c>
      <c r="R214" s="39">
        <v>9.0277777777777787E-3</v>
      </c>
      <c r="S214" s="39">
        <v>3.0555555555555555E-2</v>
      </c>
      <c r="T214" s="39">
        <v>1.2499999999999999E-2</v>
      </c>
      <c r="U214" s="39">
        <v>1.4583333333333332E-2</v>
      </c>
      <c r="V214" s="39">
        <v>1.3888888888888888E-2</v>
      </c>
      <c r="W214" s="39">
        <v>2.361111111111111E-2</v>
      </c>
      <c r="X214" s="39">
        <v>6.2499999999999995E-3</v>
      </c>
      <c r="Y214" s="39">
        <v>6.2499999999999995E-3</v>
      </c>
      <c r="Z214" s="39">
        <v>7.6388888888888886E-3</v>
      </c>
      <c r="AA214" s="39">
        <v>1.7361111111111112E-2</v>
      </c>
      <c r="AB214" s="39">
        <v>2.8472222222222222E-2</v>
      </c>
      <c r="AC214" s="39">
        <v>6.9444444444444441E-3</v>
      </c>
      <c r="AD214" s="39">
        <v>9.7222222222222224E-3</v>
      </c>
      <c r="AE214" s="39">
        <v>6.2499999999999995E-3</v>
      </c>
      <c r="AF214" s="91">
        <v>5.5555555555555558E-3</v>
      </c>
      <c r="AG214" s="326">
        <f t="shared" si="35"/>
        <v>0.41423611111111103</v>
      </c>
      <c r="AH214" s="377"/>
    </row>
    <row r="215" spans="1:34" ht="21" x14ac:dyDescent="0.25">
      <c r="A215" s="53" t="s">
        <v>113</v>
      </c>
      <c r="B215" s="39">
        <v>4.2592592592592595E-3</v>
      </c>
      <c r="C215" s="39">
        <v>1.0416666666666666E-2</v>
      </c>
      <c r="D215" s="39">
        <v>6.4699074074074069E-3</v>
      </c>
      <c r="E215" s="39">
        <v>1.3888888888888888E-2</v>
      </c>
      <c r="F215" s="39">
        <v>4.1666666666666666E-3</v>
      </c>
      <c r="G215" s="39">
        <v>6.9444444444444441E-3</v>
      </c>
      <c r="H215" s="39">
        <v>7.6388888888888886E-3</v>
      </c>
      <c r="I215" s="39">
        <v>9.0277777777777787E-3</v>
      </c>
      <c r="J215" s="39">
        <v>2.2222222222222223E-2</v>
      </c>
      <c r="K215" s="39">
        <v>4.1666666666666666E-3</v>
      </c>
      <c r="L215" s="39">
        <v>6.9444444444444441E-3</v>
      </c>
      <c r="M215" s="39">
        <v>1.8749999999999999E-2</v>
      </c>
      <c r="N215" s="39">
        <v>1.9444444444444445E-2</v>
      </c>
      <c r="O215" s="39">
        <v>1.2499999999999999E-2</v>
      </c>
      <c r="P215" s="39">
        <v>5.5555555555555558E-3</v>
      </c>
      <c r="Q215" s="39">
        <v>9.0277777777777787E-3</v>
      </c>
      <c r="R215" s="39">
        <v>5.5555555555555558E-3</v>
      </c>
      <c r="S215" s="39">
        <v>2.361111111111111E-2</v>
      </c>
      <c r="T215" s="39">
        <v>9.7222222222222224E-3</v>
      </c>
      <c r="U215" s="39">
        <v>8.3333333333333332E-3</v>
      </c>
      <c r="V215" s="39">
        <v>6.9444444444444441E-3</v>
      </c>
      <c r="W215" s="39">
        <v>7.6388888888888886E-3</v>
      </c>
      <c r="X215" s="39">
        <v>2.6388888888888889E-2</v>
      </c>
      <c r="Y215" s="39">
        <v>8.3333333333333332E-3</v>
      </c>
      <c r="Z215" s="39">
        <v>1.1805555555555555E-2</v>
      </c>
      <c r="AA215" s="39">
        <v>1.4583333333333332E-2</v>
      </c>
      <c r="AB215" s="39">
        <v>1.8749999999999999E-2</v>
      </c>
      <c r="AC215" s="39">
        <v>1.3194444444444444E-2</v>
      </c>
      <c r="AD215" s="39">
        <v>5.5555555555555558E-3</v>
      </c>
      <c r="AE215" s="39">
        <v>4.8611111111111112E-3</v>
      </c>
      <c r="AF215" s="91">
        <v>6.2499999999999995E-3</v>
      </c>
      <c r="AG215" s="326">
        <f t="shared" si="35"/>
        <v>0.33295138888888887</v>
      </c>
      <c r="AH215" s="377"/>
    </row>
    <row r="216" spans="1:34" ht="21" x14ac:dyDescent="0.25">
      <c r="A216" s="53" t="s">
        <v>114</v>
      </c>
      <c r="B216" s="39">
        <v>6.3541666666666668E-3</v>
      </c>
      <c r="C216" s="39">
        <v>8.6342592592592599E-3</v>
      </c>
      <c r="D216" s="39">
        <v>7.6388888888888886E-3</v>
      </c>
      <c r="E216" s="39">
        <v>9.7222222222222224E-3</v>
      </c>
      <c r="F216" s="39">
        <v>3.472222222222222E-3</v>
      </c>
      <c r="G216" s="39">
        <v>7.6388888888888886E-3</v>
      </c>
      <c r="H216" s="39">
        <v>6.2499999999999995E-3</v>
      </c>
      <c r="I216" s="39">
        <v>1.0416666666666666E-2</v>
      </c>
      <c r="J216" s="39">
        <v>7.7314814814814815E-3</v>
      </c>
      <c r="K216" s="39">
        <v>5.6134259259259271E-3</v>
      </c>
      <c r="L216" s="39">
        <v>3.472222222222222E-3</v>
      </c>
      <c r="M216" s="39">
        <v>1.3888888888888888E-2</v>
      </c>
      <c r="N216" s="39">
        <v>9.7222222222222224E-3</v>
      </c>
      <c r="O216" s="39">
        <v>1.3888888888888888E-2</v>
      </c>
      <c r="P216" s="39">
        <v>7.6388888888888886E-3</v>
      </c>
      <c r="Q216" s="39">
        <v>9.0277777777777787E-3</v>
      </c>
      <c r="R216" s="39">
        <v>9.0856481481481483E-3</v>
      </c>
      <c r="S216" s="39">
        <v>9.7222222222222224E-3</v>
      </c>
      <c r="T216" s="39">
        <v>9.7222222222222224E-3</v>
      </c>
      <c r="U216" s="39">
        <v>5.5555555555555558E-3</v>
      </c>
      <c r="V216" s="39">
        <v>1.3888888888888888E-2</v>
      </c>
      <c r="W216" s="39">
        <v>1.3194444444444444E-2</v>
      </c>
      <c r="X216" s="39">
        <v>1.0416666666666666E-2</v>
      </c>
      <c r="Y216" s="39">
        <v>6.9444444444444441E-3</v>
      </c>
      <c r="Z216" s="39">
        <v>1.1111111111111112E-2</v>
      </c>
      <c r="AA216" s="39">
        <v>6.9444444444444441E-3</v>
      </c>
      <c r="AB216" s="39">
        <v>1.5972222222222224E-2</v>
      </c>
      <c r="AC216" s="39">
        <v>7.6388888888888886E-3</v>
      </c>
      <c r="AD216" s="39">
        <v>1.0416666666666666E-2</v>
      </c>
      <c r="AE216" s="39">
        <v>3.5648148148148154E-3</v>
      </c>
      <c r="AF216" s="91">
        <v>7.6388888888888886E-3</v>
      </c>
      <c r="AG216" s="326">
        <f>SUM(B216:AF216)</f>
        <v>0.27292824074074068</v>
      </c>
      <c r="AH216" s="377"/>
    </row>
    <row r="217" spans="1:34" ht="21" x14ac:dyDescent="0.25">
      <c r="A217" s="53" t="s">
        <v>115</v>
      </c>
      <c r="B217" s="39">
        <v>6.2499999999999995E-3</v>
      </c>
      <c r="C217" s="39">
        <v>4.8263888888888887E-3</v>
      </c>
      <c r="D217" s="39">
        <v>8.3333333333333332E-3</v>
      </c>
      <c r="E217" s="39">
        <v>7.6388888888888886E-3</v>
      </c>
      <c r="F217" s="39">
        <v>3.472222222222222E-3</v>
      </c>
      <c r="G217" s="39">
        <v>5.5555555555555558E-3</v>
      </c>
      <c r="H217" s="39">
        <v>6.2499999999999995E-3</v>
      </c>
      <c r="I217" s="39">
        <v>5.0694444444444441E-3</v>
      </c>
      <c r="J217" s="39">
        <v>4.1666666666666666E-3</v>
      </c>
      <c r="K217" s="39">
        <v>7.6388888888888886E-3</v>
      </c>
      <c r="L217" s="39">
        <v>7.9629629629629634E-3</v>
      </c>
      <c r="M217" s="39">
        <v>6.2499999999999995E-3</v>
      </c>
      <c r="N217" s="39">
        <v>1.2499999999999999E-2</v>
      </c>
      <c r="O217" s="39">
        <v>6.9444444444444441E-3</v>
      </c>
      <c r="P217" s="39">
        <v>5.5555555555555558E-3</v>
      </c>
      <c r="Q217" s="39">
        <v>8.3333333333333332E-3</v>
      </c>
      <c r="R217" s="39">
        <v>4.1666666666666666E-3</v>
      </c>
      <c r="S217" s="39">
        <v>1.1111111111111112E-2</v>
      </c>
      <c r="T217" s="39">
        <v>6.2499999999999995E-3</v>
      </c>
      <c r="U217" s="39">
        <v>9.7222222222222224E-3</v>
      </c>
      <c r="V217" s="39">
        <v>6.2499999999999995E-3</v>
      </c>
      <c r="W217" s="39">
        <v>1.1111111111111112E-2</v>
      </c>
      <c r="X217" s="39">
        <v>8.3333333333333332E-3</v>
      </c>
      <c r="Y217" s="39">
        <v>8.3333333333333332E-3</v>
      </c>
      <c r="Z217" s="39">
        <v>1.6666666666666666E-2</v>
      </c>
      <c r="AA217" s="39">
        <v>6.2499999999999995E-3</v>
      </c>
      <c r="AB217" s="39">
        <v>1.0416666666666666E-2</v>
      </c>
      <c r="AC217" s="39">
        <v>1.3194444444444444E-2</v>
      </c>
      <c r="AD217" s="39">
        <v>3.4027777777777775E-2</v>
      </c>
      <c r="AE217" s="39">
        <v>4.9537037037037041E-3</v>
      </c>
      <c r="AF217" s="91">
        <v>2.7777777777777779E-3</v>
      </c>
      <c r="AG217" s="326">
        <f>SUM(B217:AF217)</f>
        <v>0.26031249999999995</v>
      </c>
      <c r="AH217" s="377"/>
    </row>
    <row r="218" spans="1:34" ht="21" x14ac:dyDescent="0.25">
      <c r="A218" s="53" t="s">
        <v>116</v>
      </c>
      <c r="B218" s="39">
        <v>4.1666666666666666E-3</v>
      </c>
      <c r="C218" s="39">
        <v>5.8680555555555543E-3</v>
      </c>
      <c r="D218" s="39">
        <v>6.2499999999999995E-3</v>
      </c>
      <c r="E218" s="39">
        <v>2.0833333333333333E-3</v>
      </c>
      <c r="F218" s="39">
        <v>4.8611111111111112E-3</v>
      </c>
      <c r="G218" s="39">
        <v>4.8611111111111112E-3</v>
      </c>
      <c r="H218" s="39">
        <v>9.0277777777777787E-3</v>
      </c>
      <c r="I218" s="39">
        <v>6.9444444444444441E-3</v>
      </c>
      <c r="J218" s="39">
        <v>6.9444444444444441E-3</v>
      </c>
      <c r="K218" s="39">
        <v>4.9189814814814816E-3</v>
      </c>
      <c r="L218" s="39">
        <v>2.0833333333333333E-3</v>
      </c>
      <c r="M218" s="39">
        <v>5.5555555555555558E-3</v>
      </c>
      <c r="N218" s="39">
        <v>6.2499999999999995E-3</v>
      </c>
      <c r="O218" s="39">
        <v>4.8611111111111112E-3</v>
      </c>
      <c r="P218" s="39">
        <v>5.5555555555555558E-3</v>
      </c>
      <c r="Q218" s="39">
        <v>4.1666666666666666E-3</v>
      </c>
      <c r="R218" s="39">
        <v>4.8611111111111112E-3</v>
      </c>
      <c r="S218" s="39">
        <v>9.7222222222222224E-3</v>
      </c>
      <c r="T218" s="39">
        <v>9.0277777777777787E-3</v>
      </c>
      <c r="U218" s="39">
        <v>6.9444444444444441E-3</v>
      </c>
      <c r="V218" s="39">
        <v>8.3333333333333332E-3</v>
      </c>
      <c r="W218" s="39">
        <v>9.7222222222222224E-3</v>
      </c>
      <c r="X218" s="39">
        <v>2.2916666666666669E-2</v>
      </c>
      <c r="Y218" s="39">
        <v>4.1666666666666666E-3</v>
      </c>
      <c r="Z218" s="39">
        <v>5.5555555555555558E-3</v>
      </c>
      <c r="AA218" s="39">
        <v>6.9444444444444441E-3</v>
      </c>
      <c r="AB218" s="39">
        <v>7.6388888888888886E-3</v>
      </c>
      <c r="AC218" s="39">
        <v>1.3194444444444444E-2</v>
      </c>
      <c r="AD218" s="39">
        <v>5.5555555555555558E-3</v>
      </c>
      <c r="AE218" s="39">
        <v>8.3333333333333332E-3</v>
      </c>
      <c r="AF218" s="91">
        <v>0</v>
      </c>
      <c r="AG218" s="326">
        <f>SUM(B218:AF218)</f>
        <v>0.20731481481481484</v>
      </c>
      <c r="AH218" s="377"/>
    </row>
    <row r="219" spans="1:34" ht="21" x14ac:dyDescent="0.25">
      <c r="A219" s="53" t="s">
        <v>117</v>
      </c>
      <c r="B219" s="39">
        <v>9.0277777777777787E-3</v>
      </c>
      <c r="C219" s="39">
        <v>3.5763888888888894E-3</v>
      </c>
      <c r="D219" s="39">
        <v>1.5277777777777777E-2</v>
      </c>
      <c r="E219" s="39">
        <v>1.2499999999999999E-2</v>
      </c>
      <c r="F219" s="39">
        <v>5.5555555555555558E-3</v>
      </c>
      <c r="G219" s="39">
        <v>5.5555555555555558E-3</v>
      </c>
      <c r="H219" s="39">
        <v>0</v>
      </c>
      <c r="I219" s="39">
        <v>1.3888888888888888E-2</v>
      </c>
      <c r="J219" s="39">
        <v>7.0023148148148154E-3</v>
      </c>
      <c r="K219" s="39">
        <v>4.1666666666666666E-3</v>
      </c>
      <c r="L219" s="39">
        <v>8.3912037037037045E-3</v>
      </c>
      <c r="M219" s="39">
        <v>9.0277777777777787E-3</v>
      </c>
      <c r="N219" s="39">
        <v>1.5972222222222224E-2</v>
      </c>
      <c r="O219" s="39">
        <v>7.6388888888888886E-3</v>
      </c>
      <c r="P219" s="39">
        <v>9.0277777777777787E-3</v>
      </c>
      <c r="Q219" s="39">
        <v>2.5694444444444447E-2</v>
      </c>
      <c r="R219" s="39">
        <v>3.472222222222222E-3</v>
      </c>
      <c r="S219" s="39">
        <v>4.8611111111111112E-3</v>
      </c>
      <c r="T219" s="39">
        <v>5.5555555555555558E-3</v>
      </c>
      <c r="U219" s="39">
        <v>1.3194444444444444E-2</v>
      </c>
      <c r="V219" s="39">
        <v>1.255787037037037E-2</v>
      </c>
      <c r="W219" s="39">
        <v>5.5555555555555558E-3</v>
      </c>
      <c r="X219" s="39">
        <v>1.4583333333333332E-2</v>
      </c>
      <c r="Y219" s="39">
        <v>1.1805555555555555E-2</v>
      </c>
      <c r="Z219" s="39">
        <v>7.6388888888888886E-3</v>
      </c>
      <c r="AA219" s="39">
        <v>4.1666666666666666E-3</v>
      </c>
      <c r="AB219" s="39">
        <v>4.1666666666666666E-3</v>
      </c>
      <c r="AC219" s="39">
        <v>8.3333333333333332E-3</v>
      </c>
      <c r="AD219" s="39">
        <v>8.3333333333333332E-3</v>
      </c>
      <c r="AE219" s="39">
        <v>5.0347222222222225E-3</v>
      </c>
      <c r="AF219" s="91">
        <v>3.472222222222222E-3</v>
      </c>
      <c r="AG219" s="326">
        <f t="shared" si="35"/>
        <v>0.2650347222222223</v>
      </c>
      <c r="AH219" s="377"/>
    </row>
    <row r="220" spans="1:34" ht="21" x14ac:dyDescent="0.25">
      <c r="A220" s="43" t="s">
        <v>150</v>
      </c>
      <c r="B220" s="19">
        <v>4.9305555555555554E-2</v>
      </c>
      <c r="C220" s="19">
        <v>1.2164351851851852E-2</v>
      </c>
      <c r="D220" s="19">
        <v>1.7407407407407406E-2</v>
      </c>
      <c r="E220" s="19">
        <v>3.0555555555555555E-2</v>
      </c>
      <c r="F220" s="19">
        <v>2.2916666666666669E-2</v>
      </c>
      <c r="G220" s="19">
        <v>3.125E-2</v>
      </c>
      <c r="H220" s="19">
        <v>3.4027777777777775E-2</v>
      </c>
      <c r="I220" s="19">
        <v>3.125E-2</v>
      </c>
      <c r="J220" s="19">
        <v>2.5694444444444447E-2</v>
      </c>
      <c r="K220" s="19">
        <v>1.2499999999999999E-2</v>
      </c>
      <c r="L220" s="19">
        <v>2.8472222222222222E-2</v>
      </c>
      <c r="M220" s="19">
        <v>6.5277777777777782E-2</v>
      </c>
      <c r="N220" s="19">
        <v>5.4166666666666669E-2</v>
      </c>
      <c r="O220" s="19">
        <v>3.3333333333333333E-2</v>
      </c>
      <c r="P220" s="19">
        <v>2.4999999999999998E-2</v>
      </c>
      <c r="Q220" s="19">
        <v>4.9999999999999996E-2</v>
      </c>
      <c r="R220" s="19">
        <v>3.6805555555555557E-2</v>
      </c>
      <c r="S220" s="19">
        <v>4.3750000000000004E-2</v>
      </c>
      <c r="T220" s="19">
        <v>3.9583333333333331E-2</v>
      </c>
      <c r="U220" s="19">
        <v>3.7499999999999999E-2</v>
      </c>
      <c r="V220" s="19">
        <v>3.3333333333333333E-2</v>
      </c>
      <c r="W220" s="19">
        <v>4.027777777777778E-2</v>
      </c>
      <c r="X220" s="19">
        <v>5.6944444444444443E-2</v>
      </c>
      <c r="Y220" s="19">
        <v>4.7222222222222221E-2</v>
      </c>
      <c r="Z220" s="19">
        <v>4.3055555555555562E-2</v>
      </c>
      <c r="AA220" s="19">
        <v>4.7916666666666663E-2</v>
      </c>
      <c r="AB220" s="19">
        <v>3.7499999999999999E-2</v>
      </c>
      <c r="AC220" s="19">
        <v>4.1666666666666664E-2</v>
      </c>
      <c r="AD220" s="19">
        <v>5.6250000000000001E-2</v>
      </c>
      <c r="AE220" s="19">
        <v>5.0694444444444438E-2</v>
      </c>
      <c r="AF220" s="25">
        <v>2.7083333333333334E-2</v>
      </c>
      <c r="AG220" s="325">
        <f t="shared" si="35"/>
        <v>1.1629050925925923</v>
      </c>
      <c r="AH220" s="377"/>
    </row>
    <row r="221" spans="1:34" ht="21" x14ac:dyDescent="0.25">
      <c r="A221" s="43" t="s">
        <v>78</v>
      </c>
      <c r="B221" s="19">
        <v>5.486111111111111E-2</v>
      </c>
      <c r="C221" s="19">
        <v>1.5891203703703703E-2</v>
      </c>
      <c r="D221" s="19">
        <v>2.2222222222222223E-2</v>
      </c>
      <c r="E221" s="19">
        <v>3.5416666666666666E-2</v>
      </c>
      <c r="F221" s="19">
        <v>2.7777777777777776E-2</v>
      </c>
      <c r="G221" s="19">
        <v>3.7499999999999999E-2</v>
      </c>
      <c r="H221" s="19">
        <v>3.8194444444444441E-2</v>
      </c>
      <c r="I221" s="19">
        <v>3.7499999999999999E-2</v>
      </c>
      <c r="J221" s="19">
        <v>3.125E-2</v>
      </c>
      <c r="K221" s="19">
        <v>1.8055555555555557E-2</v>
      </c>
      <c r="L221" s="19">
        <v>3.3333333333333333E-2</v>
      </c>
      <c r="M221" s="19">
        <v>7.0833333333333331E-2</v>
      </c>
      <c r="N221" s="19">
        <v>5.9722222222222225E-2</v>
      </c>
      <c r="O221" s="19">
        <v>3.7499999999999999E-2</v>
      </c>
      <c r="P221" s="19">
        <v>3.125E-2</v>
      </c>
      <c r="Q221" s="19">
        <v>5.6944444444444443E-2</v>
      </c>
      <c r="R221" s="19">
        <v>4.0972222222222222E-2</v>
      </c>
      <c r="S221" s="19">
        <v>4.7916666666666663E-2</v>
      </c>
      <c r="T221" s="19">
        <v>4.5833333333333337E-2</v>
      </c>
      <c r="U221" s="19">
        <v>4.3750000000000004E-2</v>
      </c>
      <c r="V221" s="19">
        <v>3.8194444444444441E-2</v>
      </c>
      <c r="W221" s="19">
        <v>4.5833333333333337E-2</v>
      </c>
      <c r="X221" s="19">
        <v>6.25E-2</v>
      </c>
      <c r="Y221" s="19">
        <v>5.2777777777777778E-2</v>
      </c>
      <c r="Z221" s="19">
        <v>4.5833333333333337E-2</v>
      </c>
      <c r="AA221" s="19">
        <v>5.2083333333333336E-2</v>
      </c>
      <c r="AB221" s="19">
        <v>4.3055555555555562E-2</v>
      </c>
      <c r="AC221" s="19">
        <v>4.5833333333333337E-2</v>
      </c>
      <c r="AD221" s="19">
        <v>6.3194444444444442E-2</v>
      </c>
      <c r="AE221" s="19">
        <v>5.5555555555555552E-2</v>
      </c>
      <c r="AF221" s="25">
        <v>3.2638888888888891E-2</v>
      </c>
      <c r="AG221" s="325">
        <f t="shared" si="35"/>
        <v>1.3242245370370371</v>
      </c>
      <c r="AH221" s="377"/>
    </row>
    <row r="222" spans="1:34" ht="21.75" thickBot="1" x14ac:dyDescent="0.3">
      <c r="A222" s="43" t="s">
        <v>79</v>
      </c>
      <c r="B222" s="19">
        <v>2.7777777777777776E-2</v>
      </c>
      <c r="C222" s="19">
        <v>2.7777777777777776E-2</v>
      </c>
      <c r="D222" s="19">
        <v>2.8472222222222222E-2</v>
      </c>
      <c r="E222" s="19">
        <v>2.6388888888888889E-2</v>
      </c>
      <c r="F222" s="19">
        <v>1.6666666666666666E-2</v>
      </c>
      <c r="G222" s="19">
        <v>2.7083333333333334E-2</v>
      </c>
      <c r="H222" s="19">
        <v>2.1527777777777781E-2</v>
      </c>
      <c r="I222" s="19">
        <v>2.9861111111111113E-2</v>
      </c>
      <c r="J222" s="19">
        <v>3.2638888888888891E-2</v>
      </c>
      <c r="K222" s="19">
        <v>2.6388888888888889E-2</v>
      </c>
      <c r="L222" s="19">
        <v>2.4305555555555556E-2</v>
      </c>
      <c r="M222" s="19">
        <v>2.9861111111111113E-2</v>
      </c>
      <c r="N222" s="19">
        <v>2.9166666666666664E-2</v>
      </c>
      <c r="O222" s="19">
        <v>2.7083333333333334E-2</v>
      </c>
      <c r="P222" s="19">
        <v>2.2916666666666669E-2</v>
      </c>
      <c r="Q222" s="19">
        <v>3.4722222222222224E-2</v>
      </c>
      <c r="R222" s="19">
        <v>3.6111111111111115E-2</v>
      </c>
      <c r="S222" s="19">
        <v>2.6388888888888889E-2</v>
      </c>
      <c r="T222" s="19">
        <v>2.361111111111111E-2</v>
      </c>
      <c r="U222" s="19">
        <v>2.1527777777777781E-2</v>
      </c>
      <c r="V222" s="19">
        <v>2.1527777777777781E-2</v>
      </c>
      <c r="W222" s="19">
        <v>3.2638888888888891E-2</v>
      </c>
      <c r="X222" s="19">
        <v>2.9861111111111113E-2</v>
      </c>
      <c r="Y222" s="19">
        <v>2.4999999999999998E-2</v>
      </c>
      <c r="Z222" s="19">
        <v>2.2916666666666669E-2</v>
      </c>
      <c r="AA222" s="19">
        <v>2.2222222222222223E-2</v>
      </c>
      <c r="AB222" s="19">
        <v>2.2222222222222223E-2</v>
      </c>
      <c r="AC222" s="19">
        <v>2.4305555555555556E-2</v>
      </c>
      <c r="AD222" s="19">
        <v>2.9166666666666664E-2</v>
      </c>
      <c r="AE222" s="19">
        <v>2.7777777777777776E-2</v>
      </c>
      <c r="AF222" s="25">
        <v>2.7083333333333334E-2</v>
      </c>
      <c r="AG222" s="325">
        <f t="shared" si="35"/>
        <v>0.82500000000000029</v>
      </c>
      <c r="AH222" s="378"/>
    </row>
    <row r="223" spans="1:34" ht="24" thickBot="1" x14ac:dyDescent="0.3">
      <c r="A223" s="62" t="s">
        <v>118</v>
      </c>
      <c r="B223" s="20">
        <f>+B222+B221+B211+B220</f>
        <v>0.1419212962962963</v>
      </c>
      <c r="C223" s="20">
        <f t="shared" ref="C223:AF223" si="36">+C222+C221+C211+C220</f>
        <v>6.2685185185185177E-2</v>
      </c>
      <c r="D223" s="20">
        <f t="shared" si="36"/>
        <v>7.5046296296296305E-2</v>
      </c>
      <c r="E223" s="20">
        <f t="shared" si="36"/>
        <v>0.10208333333333333</v>
      </c>
      <c r="F223" s="20">
        <f t="shared" si="36"/>
        <v>7.7777777777777779E-2</v>
      </c>
      <c r="G223" s="20">
        <f t="shared" si="36"/>
        <v>0.10972222222222222</v>
      </c>
      <c r="H223" s="20">
        <f t="shared" si="36"/>
        <v>0.10763888888888887</v>
      </c>
      <c r="I223" s="20">
        <f t="shared" si="36"/>
        <v>0.10858796296296296</v>
      </c>
      <c r="J223" s="20">
        <f t="shared" si="36"/>
        <v>9.7916666666666666E-2</v>
      </c>
      <c r="K223" s="20">
        <f t="shared" si="36"/>
        <v>6.1805555555555558E-2</v>
      </c>
      <c r="L223" s="20">
        <f t="shared" si="36"/>
        <v>9.6851851851851856E-2</v>
      </c>
      <c r="M223" s="20">
        <f t="shared" si="36"/>
        <v>0.18263888888888891</v>
      </c>
      <c r="N223" s="20">
        <f t="shared" si="36"/>
        <v>0.15763888888888888</v>
      </c>
      <c r="O223" s="20">
        <f t="shared" si="36"/>
        <v>0.11666666666666667</v>
      </c>
      <c r="P223" s="20">
        <f t="shared" si="36"/>
        <v>8.7499999999999994E-2</v>
      </c>
      <c r="Q223" s="20">
        <f t="shared" si="36"/>
        <v>0.15069444444444444</v>
      </c>
      <c r="R223" s="20">
        <f t="shared" si="36"/>
        <v>0.12237268518518518</v>
      </c>
      <c r="S223" s="20">
        <f t="shared" si="36"/>
        <v>0.13958333333333334</v>
      </c>
      <c r="T223" s="20">
        <f t="shared" si="36"/>
        <v>0.12152777777777778</v>
      </c>
      <c r="U223" s="20">
        <f t="shared" si="36"/>
        <v>0.11666666666666667</v>
      </c>
      <c r="V223" s="20">
        <f t="shared" si="36"/>
        <v>0.10694444444444443</v>
      </c>
      <c r="W223" s="20">
        <f t="shared" si="36"/>
        <v>0.1330324074074074</v>
      </c>
      <c r="X223" s="20">
        <f t="shared" si="36"/>
        <v>0.16180555555555556</v>
      </c>
      <c r="Y223" s="20">
        <f t="shared" si="36"/>
        <v>0.13541666666666669</v>
      </c>
      <c r="Z223" s="20">
        <f t="shared" si="36"/>
        <v>0.1277777777777778</v>
      </c>
      <c r="AA223" s="20">
        <f t="shared" si="36"/>
        <v>0.1388888888888889</v>
      </c>
      <c r="AB223" s="20">
        <f t="shared" si="36"/>
        <v>0.11944444444444444</v>
      </c>
      <c r="AC223" s="20">
        <f t="shared" si="36"/>
        <v>0.12231481481481482</v>
      </c>
      <c r="AD223" s="20">
        <f t="shared" si="36"/>
        <v>0.16172453703703704</v>
      </c>
      <c r="AE223" s="20">
        <f t="shared" si="36"/>
        <v>0.1423611111111111</v>
      </c>
      <c r="AF223" s="26">
        <f t="shared" si="36"/>
        <v>9.3703703703703706E-2</v>
      </c>
      <c r="AG223" s="325">
        <f t="shared" si="35"/>
        <v>3.6807407407407404</v>
      </c>
      <c r="AH223" s="36"/>
    </row>
    <row r="224" spans="1:34" ht="21" x14ac:dyDescent="0.25">
      <c r="A224" s="57" t="s">
        <v>90</v>
      </c>
      <c r="B224" s="27">
        <v>26</v>
      </c>
      <c r="C224" s="27">
        <v>13</v>
      </c>
      <c r="D224" s="27">
        <v>16</v>
      </c>
      <c r="E224" s="27">
        <v>16</v>
      </c>
      <c r="F224" s="27">
        <v>10</v>
      </c>
      <c r="G224" s="27">
        <v>36</v>
      </c>
      <c r="H224" s="27">
        <v>34</v>
      </c>
      <c r="I224" s="27">
        <v>20</v>
      </c>
      <c r="J224" s="27">
        <v>13</v>
      </c>
      <c r="K224" s="27">
        <v>13</v>
      </c>
      <c r="L224" s="27">
        <v>17</v>
      </c>
      <c r="M224" s="27">
        <v>24</v>
      </c>
      <c r="N224" s="27">
        <v>27</v>
      </c>
      <c r="O224" s="27">
        <v>40</v>
      </c>
      <c r="P224" s="27">
        <v>15</v>
      </c>
      <c r="Q224" s="27">
        <v>20</v>
      </c>
      <c r="R224" s="27">
        <v>25</v>
      </c>
      <c r="S224" s="27">
        <v>23</v>
      </c>
      <c r="T224" s="27">
        <v>29</v>
      </c>
      <c r="U224" s="27">
        <v>30</v>
      </c>
      <c r="V224" s="327">
        <v>26</v>
      </c>
      <c r="W224" s="327">
        <v>31</v>
      </c>
      <c r="X224" s="327">
        <v>11</v>
      </c>
      <c r="Y224" s="327">
        <v>17</v>
      </c>
      <c r="Z224" s="27">
        <v>37</v>
      </c>
      <c r="AA224" s="27">
        <v>23</v>
      </c>
      <c r="AB224" s="27">
        <v>37</v>
      </c>
      <c r="AC224" s="27">
        <v>33</v>
      </c>
      <c r="AD224" s="27">
        <v>16</v>
      </c>
      <c r="AE224" s="27">
        <v>13</v>
      </c>
      <c r="AF224" s="92">
        <v>23</v>
      </c>
      <c r="AG224" s="328">
        <f t="shared" ref="AG224:AG237" si="37">SUM(B224:AF224)</f>
        <v>714</v>
      </c>
      <c r="AH224" s="379" t="s">
        <v>96</v>
      </c>
    </row>
    <row r="225" spans="1:34" ht="21" x14ac:dyDescent="0.25">
      <c r="A225" s="54" t="s">
        <v>91</v>
      </c>
      <c r="B225" s="40"/>
      <c r="C225" s="40"/>
      <c r="D225" s="40">
        <v>0.32500000000000001</v>
      </c>
      <c r="E225" s="40">
        <v>0.33333333333333331</v>
      </c>
      <c r="F225" s="40">
        <v>0.33333333333333331</v>
      </c>
      <c r="G225" s="40">
        <v>0.33333333333333331</v>
      </c>
      <c r="H225" s="40">
        <v>0.33333333333333331</v>
      </c>
      <c r="I225" s="40"/>
      <c r="J225" s="40"/>
      <c r="K225" s="40">
        <v>0.33333333333333331</v>
      </c>
      <c r="L225" s="40">
        <v>0.33333333333333331</v>
      </c>
      <c r="M225" s="40">
        <v>0.33333333333333331</v>
      </c>
      <c r="N225" s="40">
        <v>0.33333333333333331</v>
      </c>
      <c r="O225" s="40">
        <v>0.33333333333333331</v>
      </c>
      <c r="P225" s="40"/>
      <c r="Q225" s="40"/>
      <c r="R225" s="40">
        <v>0.33333333333333331</v>
      </c>
      <c r="S225" s="40">
        <v>0.33333333333333331</v>
      </c>
      <c r="T225" s="40">
        <v>0.33333333333333331</v>
      </c>
      <c r="U225" s="329">
        <v>0.33333333333333331</v>
      </c>
      <c r="V225" s="330">
        <v>0.33333333333333331</v>
      </c>
      <c r="W225" s="330"/>
      <c r="X225" s="330"/>
      <c r="Y225" s="330">
        <v>0.33333333333333331</v>
      </c>
      <c r="Z225" s="329">
        <v>0.33333333333333331</v>
      </c>
      <c r="AA225" s="40">
        <v>0.33333333333333331</v>
      </c>
      <c r="AB225" s="40">
        <v>0.33333333333333331</v>
      </c>
      <c r="AC225" s="40">
        <v>0.33333333333333331</v>
      </c>
      <c r="AD225" s="40"/>
      <c r="AE225" s="40"/>
      <c r="AF225" s="93">
        <v>0.33333333333333331</v>
      </c>
      <c r="AG225" s="325">
        <f t="shared" si="37"/>
        <v>6.9916666666666645</v>
      </c>
      <c r="AH225" s="380"/>
    </row>
    <row r="226" spans="1:34" ht="21.75" thickBot="1" x14ac:dyDescent="0.3">
      <c r="A226" s="58" t="s">
        <v>97</v>
      </c>
      <c r="B226" s="59">
        <v>0</v>
      </c>
      <c r="C226" s="59">
        <v>0</v>
      </c>
      <c r="D226" s="59">
        <v>1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331">
        <v>0</v>
      </c>
      <c r="V226" s="332">
        <v>0</v>
      </c>
      <c r="W226" s="332">
        <v>0</v>
      </c>
      <c r="X226" s="332">
        <v>0</v>
      </c>
      <c r="Y226" s="332">
        <v>0</v>
      </c>
      <c r="Z226" s="331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>
        <v>0</v>
      </c>
      <c r="AG226" s="333">
        <f t="shared" si="37"/>
        <v>1</v>
      </c>
      <c r="AH226" s="381"/>
    </row>
    <row r="227" spans="1:34" ht="21" x14ac:dyDescent="0.25">
      <c r="A227" s="55" t="s">
        <v>92</v>
      </c>
      <c r="B227" s="118">
        <v>4</v>
      </c>
      <c r="C227" s="118">
        <v>5</v>
      </c>
      <c r="D227" s="118">
        <v>8</v>
      </c>
      <c r="E227" s="118">
        <v>2</v>
      </c>
      <c r="F227" s="118">
        <v>2</v>
      </c>
      <c r="G227" s="118">
        <v>4</v>
      </c>
      <c r="H227" s="118">
        <v>3</v>
      </c>
      <c r="I227" s="118">
        <v>1</v>
      </c>
      <c r="J227" s="118">
        <v>4</v>
      </c>
      <c r="K227" s="118">
        <v>4</v>
      </c>
      <c r="L227" s="118">
        <v>4</v>
      </c>
      <c r="M227" s="118">
        <v>6</v>
      </c>
      <c r="N227" s="118">
        <v>5</v>
      </c>
      <c r="O227" s="118">
        <v>6</v>
      </c>
      <c r="P227" s="118">
        <v>5</v>
      </c>
      <c r="Q227" s="118">
        <v>10</v>
      </c>
      <c r="R227" s="118">
        <v>8</v>
      </c>
      <c r="S227" s="118">
        <v>7</v>
      </c>
      <c r="T227" s="118">
        <v>2</v>
      </c>
      <c r="U227" s="118">
        <v>4</v>
      </c>
      <c r="V227" s="118">
        <v>4</v>
      </c>
      <c r="W227" s="118">
        <v>11</v>
      </c>
      <c r="X227" s="118">
        <v>10</v>
      </c>
      <c r="Y227" s="118">
        <v>3</v>
      </c>
      <c r="Z227" s="118">
        <v>6</v>
      </c>
      <c r="AA227" s="118">
        <v>9</v>
      </c>
      <c r="AB227" s="118">
        <v>7</v>
      </c>
      <c r="AC227" s="118">
        <v>6</v>
      </c>
      <c r="AD227" s="118">
        <v>6</v>
      </c>
      <c r="AE227" s="118">
        <v>4</v>
      </c>
      <c r="AF227" s="118">
        <v>2</v>
      </c>
      <c r="AG227" s="334">
        <f t="shared" si="37"/>
        <v>162</v>
      </c>
      <c r="AH227" s="379" t="s">
        <v>93</v>
      </c>
    </row>
    <row r="228" spans="1:34" ht="21" x14ac:dyDescent="0.25">
      <c r="A228" s="139" t="s">
        <v>94</v>
      </c>
      <c r="B228" s="140">
        <v>1</v>
      </c>
      <c r="C228" s="140">
        <v>2</v>
      </c>
      <c r="D228" s="140">
        <v>3</v>
      </c>
      <c r="E228" s="140">
        <v>0</v>
      </c>
      <c r="F228" s="140">
        <v>1</v>
      </c>
      <c r="G228" s="140">
        <v>1</v>
      </c>
      <c r="H228" s="140">
        <v>1</v>
      </c>
      <c r="I228" s="140">
        <v>0</v>
      </c>
      <c r="J228" s="140">
        <v>2</v>
      </c>
      <c r="K228" s="140">
        <v>1</v>
      </c>
      <c r="L228" s="140">
        <v>0</v>
      </c>
      <c r="M228" s="140">
        <v>2</v>
      </c>
      <c r="N228" s="145">
        <v>0</v>
      </c>
      <c r="O228" s="140">
        <v>0</v>
      </c>
      <c r="P228" s="140">
        <v>1</v>
      </c>
      <c r="Q228" s="140">
        <v>2</v>
      </c>
      <c r="R228" s="140">
        <v>4</v>
      </c>
      <c r="S228" s="140">
        <v>2</v>
      </c>
      <c r="T228" s="140">
        <v>1</v>
      </c>
      <c r="U228" s="140">
        <v>1</v>
      </c>
      <c r="V228" s="140">
        <v>0</v>
      </c>
      <c r="W228" s="140">
        <v>2</v>
      </c>
      <c r="X228" s="140">
        <v>2</v>
      </c>
      <c r="Y228" s="140">
        <v>0</v>
      </c>
      <c r="Z228" s="142">
        <v>0</v>
      </c>
      <c r="AA228" s="140">
        <v>3</v>
      </c>
      <c r="AB228" s="140">
        <v>3</v>
      </c>
      <c r="AC228" s="140">
        <v>2</v>
      </c>
      <c r="AD228" s="140">
        <v>2</v>
      </c>
      <c r="AE228" s="140">
        <v>3</v>
      </c>
      <c r="AF228" s="144">
        <v>1</v>
      </c>
      <c r="AG228" s="335">
        <f t="shared" si="37"/>
        <v>43</v>
      </c>
      <c r="AH228" s="380"/>
    </row>
    <row r="229" spans="1:34" ht="21" x14ac:dyDescent="0.25">
      <c r="A229" s="139" t="s">
        <v>95</v>
      </c>
      <c r="B229" s="140">
        <v>3</v>
      </c>
      <c r="C229" s="140">
        <v>3</v>
      </c>
      <c r="D229" s="140">
        <v>5</v>
      </c>
      <c r="E229" s="140">
        <v>2</v>
      </c>
      <c r="F229" s="140">
        <v>1</v>
      </c>
      <c r="G229" s="140">
        <v>3</v>
      </c>
      <c r="H229" s="140">
        <v>2</v>
      </c>
      <c r="I229" s="140">
        <v>1</v>
      </c>
      <c r="J229" s="140">
        <v>2</v>
      </c>
      <c r="K229" s="140">
        <v>3</v>
      </c>
      <c r="L229" s="140">
        <v>4</v>
      </c>
      <c r="M229" s="140">
        <v>4</v>
      </c>
      <c r="N229" s="145">
        <v>5</v>
      </c>
      <c r="O229" s="140">
        <v>6</v>
      </c>
      <c r="P229" s="140">
        <v>4</v>
      </c>
      <c r="Q229" s="140">
        <v>8</v>
      </c>
      <c r="R229" s="140">
        <v>4</v>
      </c>
      <c r="S229" s="140">
        <v>5</v>
      </c>
      <c r="T229" s="140">
        <v>1</v>
      </c>
      <c r="U229" s="140">
        <v>3</v>
      </c>
      <c r="V229" s="140">
        <v>4</v>
      </c>
      <c r="W229" s="140">
        <v>9</v>
      </c>
      <c r="X229" s="140">
        <v>8</v>
      </c>
      <c r="Y229" s="140">
        <v>3</v>
      </c>
      <c r="Z229" s="142">
        <v>6</v>
      </c>
      <c r="AA229" s="140">
        <v>6</v>
      </c>
      <c r="AB229" s="140">
        <v>4</v>
      </c>
      <c r="AC229" s="140">
        <v>4</v>
      </c>
      <c r="AD229" s="140">
        <v>4</v>
      </c>
      <c r="AE229" s="140">
        <v>1</v>
      </c>
      <c r="AF229" s="144">
        <v>1</v>
      </c>
      <c r="AG229" s="335">
        <f t="shared" si="37"/>
        <v>119</v>
      </c>
      <c r="AH229" s="380"/>
    </row>
    <row r="230" spans="1:34" ht="21.7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336">
        <f t="shared" si="37"/>
        <v>0</v>
      </c>
      <c r="AH230" s="381"/>
    </row>
    <row r="231" spans="1:34" ht="29.25" thickBot="1" x14ac:dyDescent="0.3">
      <c r="A231" s="337" t="s">
        <v>148</v>
      </c>
      <c r="B231" s="338">
        <f>SUM(B232:B237)</f>
        <v>26</v>
      </c>
      <c r="C231" s="338">
        <f t="shared" ref="C231:AF231" si="38">SUM(C232:C237)</f>
        <v>30</v>
      </c>
      <c r="D231" s="338">
        <f t="shared" si="38"/>
        <v>25</v>
      </c>
      <c r="E231" s="338">
        <f t="shared" si="38"/>
        <v>28</v>
      </c>
      <c r="F231" s="338">
        <f t="shared" si="38"/>
        <v>25</v>
      </c>
      <c r="G231" s="338">
        <f t="shared" si="38"/>
        <v>20</v>
      </c>
      <c r="H231" s="338">
        <f t="shared" si="38"/>
        <v>29</v>
      </c>
      <c r="I231" s="338">
        <f t="shared" si="38"/>
        <v>18</v>
      </c>
      <c r="J231" s="338">
        <f t="shared" si="38"/>
        <v>42</v>
      </c>
      <c r="K231" s="338">
        <f t="shared" si="38"/>
        <v>28</v>
      </c>
      <c r="L231" s="338">
        <f t="shared" si="38"/>
        <v>24</v>
      </c>
      <c r="M231" s="338">
        <f t="shared" si="38"/>
        <v>20</v>
      </c>
      <c r="N231" s="338">
        <f t="shared" si="38"/>
        <v>19</v>
      </c>
      <c r="O231" s="338">
        <f t="shared" si="38"/>
        <v>30</v>
      </c>
      <c r="P231" s="338">
        <f t="shared" si="38"/>
        <v>38</v>
      </c>
      <c r="Q231" s="338">
        <f t="shared" si="38"/>
        <v>33</v>
      </c>
      <c r="R231" s="338">
        <f t="shared" si="38"/>
        <v>36</v>
      </c>
      <c r="S231" s="338">
        <f t="shared" si="38"/>
        <v>28</v>
      </c>
      <c r="T231" s="338">
        <f t="shared" si="38"/>
        <v>45</v>
      </c>
      <c r="U231" s="338">
        <f t="shared" si="38"/>
        <v>37</v>
      </c>
      <c r="V231" s="338">
        <f t="shared" si="38"/>
        <v>34</v>
      </c>
      <c r="W231" s="338">
        <f t="shared" si="38"/>
        <v>30</v>
      </c>
      <c r="X231" s="338">
        <f t="shared" si="38"/>
        <v>51</v>
      </c>
      <c r="Y231" s="338">
        <f t="shared" si="38"/>
        <v>49</v>
      </c>
      <c r="Z231" s="338">
        <f t="shared" si="38"/>
        <v>46</v>
      </c>
      <c r="AA231" s="338">
        <f t="shared" si="38"/>
        <v>48</v>
      </c>
      <c r="AB231" s="338">
        <f t="shared" si="38"/>
        <v>40</v>
      </c>
      <c r="AC231" s="338">
        <f t="shared" si="38"/>
        <v>37</v>
      </c>
      <c r="AD231" s="338">
        <f t="shared" si="38"/>
        <v>38</v>
      </c>
      <c r="AE231" s="338">
        <f t="shared" si="38"/>
        <v>46</v>
      </c>
      <c r="AF231" s="339">
        <f t="shared" si="38"/>
        <v>56</v>
      </c>
      <c r="AG231" s="340">
        <f t="shared" si="37"/>
        <v>1056</v>
      </c>
    </row>
    <row r="232" spans="1:34" ht="38.25" customHeight="1" x14ac:dyDescent="0.25">
      <c r="A232" s="231" t="s">
        <v>159</v>
      </c>
      <c r="B232" s="189">
        <v>16</v>
      </c>
      <c r="C232" s="189">
        <v>20</v>
      </c>
      <c r="D232" s="189">
        <v>18</v>
      </c>
      <c r="E232" s="189">
        <v>22</v>
      </c>
      <c r="F232" s="189">
        <v>16</v>
      </c>
      <c r="G232" s="189">
        <v>14</v>
      </c>
      <c r="H232" s="189">
        <v>17</v>
      </c>
      <c r="I232" s="189">
        <v>13</v>
      </c>
      <c r="J232" s="189">
        <v>30</v>
      </c>
      <c r="K232" s="189">
        <v>23</v>
      </c>
      <c r="L232" s="189">
        <v>19</v>
      </c>
      <c r="M232" s="189">
        <v>14</v>
      </c>
      <c r="N232" s="189">
        <v>12</v>
      </c>
      <c r="O232" s="189">
        <v>19</v>
      </c>
      <c r="P232" s="189">
        <v>21</v>
      </c>
      <c r="Q232" s="189">
        <v>25</v>
      </c>
      <c r="R232" s="189">
        <v>23</v>
      </c>
      <c r="S232" s="189">
        <v>13</v>
      </c>
      <c r="T232" s="189">
        <v>30</v>
      </c>
      <c r="U232" s="189">
        <v>26</v>
      </c>
      <c r="V232" s="189">
        <v>30</v>
      </c>
      <c r="W232" s="189">
        <v>23</v>
      </c>
      <c r="X232" s="189">
        <v>36</v>
      </c>
      <c r="Y232" s="189">
        <v>37</v>
      </c>
      <c r="Z232" s="189">
        <v>30</v>
      </c>
      <c r="AA232" s="189">
        <v>35</v>
      </c>
      <c r="AB232" s="189">
        <v>28</v>
      </c>
      <c r="AC232" s="189">
        <v>24</v>
      </c>
      <c r="AD232" s="189">
        <v>24</v>
      </c>
      <c r="AE232" s="189">
        <v>33</v>
      </c>
      <c r="AF232" s="196">
        <v>36</v>
      </c>
      <c r="AG232" s="341">
        <f t="shared" si="37"/>
        <v>727</v>
      </c>
    </row>
    <row r="233" spans="1:34" ht="40.5" customHeight="1" x14ac:dyDescent="0.25">
      <c r="A233" s="231" t="s">
        <v>160</v>
      </c>
      <c r="B233" s="189">
        <v>1</v>
      </c>
      <c r="C233" s="189">
        <v>0</v>
      </c>
      <c r="D233" s="189">
        <v>0</v>
      </c>
      <c r="E233" s="189">
        <v>0</v>
      </c>
      <c r="F233" s="189">
        <v>1</v>
      </c>
      <c r="G233" s="189">
        <v>1</v>
      </c>
      <c r="H233" s="189">
        <v>1</v>
      </c>
      <c r="I233" s="189">
        <v>0</v>
      </c>
      <c r="J233" s="189">
        <v>0</v>
      </c>
      <c r="K233" s="189">
        <v>0</v>
      </c>
      <c r="L233" s="189">
        <v>0</v>
      </c>
      <c r="M233" s="189">
        <v>0</v>
      </c>
      <c r="N233" s="189">
        <v>1</v>
      </c>
      <c r="O233" s="189">
        <v>2</v>
      </c>
      <c r="P233" s="189">
        <v>0</v>
      </c>
      <c r="Q233" s="189">
        <v>0</v>
      </c>
      <c r="R233" s="189">
        <v>0</v>
      </c>
      <c r="S233" s="189">
        <v>1</v>
      </c>
      <c r="T233" s="189">
        <v>0</v>
      </c>
      <c r="U233" s="189">
        <v>0</v>
      </c>
      <c r="V233" s="189">
        <v>0</v>
      </c>
      <c r="W233" s="189">
        <v>0</v>
      </c>
      <c r="X233" s="189">
        <v>0</v>
      </c>
      <c r="Y233" s="189">
        <v>1</v>
      </c>
      <c r="Z233" s="189">
        <v>0</v>
      </c>
      <c r="AA233" s="189">
        <v>2</v>
      </c>
      <c r="AB233" s="189">
        <v>2</v>
      </c>
      <c r="AC233" s="189">
        <v>1</v>
      </c>
      <c r="AD233" s="189">
        <v>0</v>
      </c>
      <c r="AE233" s="189">
        <v>0</v>
      </c>
      <c r="AF233" s="196">
        <v>0</v>
      </c>
      <c r="AG233" s="341">
        <f t="shared" si="37"/>
        <v>14</v>
      </c>
    </row>
    <row r="234" spans="1:34" ht="40.5" customHeight="1" x14ac:dyDescent="0.25">
      <c r="A234" s="231" t="s">
        <v>161</v>
      </c>
      <c r="B234" s="189">
        <v>0</v>
      </c>
      <c r="C234" s="189">
        <v>2</v>
      </c>
      <c r="D234" s="189">
        <v>1</v>
      </c>
      <c r="E234" s="189">
        <v>1</v>
      </c>
      <c r="F234" s="189">
        <v>1</v>
      </c>
      <c r="G234" s="189">
        <v>0</v>
      </c>
      <c r="H234" s="189">
        <v>0</v>
      </c>
      <c r="I234" s="189">
        <v>0</v>
      </c>
      <c r="J234" s="189">
        <v>3</v>
      </c>
      <c r="K234" s="189">
        <v>1</v>
      </c>
      <c r="L234" s="189">
        <v>0</v>
      </c>
      <c r="M234" s="189">
        <v>1</v>
      </c>
      <c r="N234" s="189">
        <v>1</v>
      </c>
      <c r="O234" s="189">
        <v>1</v>
      </c>
      <c r="P234" s="189">
        <v>0</v>
      </c>
      <c r="Q234" s="189">
        <v>0</v>
      </c>
      <c r="R234" s="189">
        <v>3</v>
      </c>
      <c r="S234" s="189">
        <v>4</v>
      </c>
      <c r="T234" s="189">
        <v>0</v>
      </c>
      <c r="U234" s="189">
        <v>0</v>
      </c>
      <c r="V234" s="189">
        <v>0</v>
      </c>
      <c r="W234" s="189">
        <v>0</v>
      </c>
      <c r="X234" s="189">
        <v>2</v>
      </c>
      <c r="Y234" s="189">
        <v>1</v>
      </c>
      <c r="Z234" s="189">
        <v>2</v>
      </c>
      <c r="AA234" s="189">
        <v>2</v>
      </c>
      <c r="AB234" s="189">
        <v>2</v>
      </c>
      <c r="AC234" s="189">
        <v>1</v>
      </c>
      <c r="AD234" s="189">
        <v>0</v>
      </c>
      <c r="AE234" s="189">
        <v>1</v>
      </c>
      <c r="AF234" s="196">
        <v>4</v>
      </c>
      <c r="AG234" s="341">
        <f t="shared" si="37"/>
        <v>34</v>
      </c>
    </row>
    <row r="235" spans="1:34" ht="40.5" customHeight="1" x14ac:dyDescent="0.25">
      <c r="A235" s="231" t="s">
        <v>162</v>
      </c>
      <c r="B235" s="189">
        <v>6</v>
      </c>
      <c r="C235" s="189">
        <v>5</v>
      </c>
      <c r="D235" s="189">
        <v>5</v>
      </c>
      <c r="E235" s="189">
        <v>3</v>
      </c>
      <c r="F235" s="189">
        <v>6</v>
      </c>
      <c r="G235" s="189">
        <v>4</v>
      </c>
      <c r="H235" s="189">
        <v>7</v>
      </c>
      <c r="I235" s="189">
        <v>3</v>
      </c>
      <c r="J235" s="189">
        <v>6</v>
      </c>
      <c r="K235" s="189">
        <v>3</v>
      </c>
      <c r="L235" s="189">
        <v>4</v>
      </c>
      <c r="M235" s="189">
        <v>3</v>
      </c>
      <c r="N235" s="189">
        <v>4</v>
      </c>
      <c r="O235" s="189">
        <v>5</v>
      </c>
      <c r="P235" s="189">
        <v>15</v>
      </c>
      <c r="Q235" s="189">
        <v>6</v>
      </c>
      <c r="R235" s="189">
        <v>4</v>
      </c>
      <c r="S235" s="189">
        <v>5</v>
      </c>
      <c r="T235" s="189">
        <v>14</v>
      </c>
      <c r="U235" s="189">
        <v>10</v>
      </c>
      <c r="V235" s="189">
        <v>3</v>
      </c>
      <c r="W235" s="189">
        <v>3</v>
      </c>
      <c r="X235" s="189">
        <v>9</v>
      </c>
      <c r="Y235" s="189">
        <v>7</v>
      </c>
      <c r="Z235" s="189">
        <v>10</v>
      </c>
      <c r="AA235" s="189">
        <v>9</v>
      </c>
      <c r="AB235" s="189">
        <v>6</v>
      </c>
      <c r="AC235" s="189">
        <v>6</v>
      </c>
      <c r="AD235" s="189">
        <v>12</v>
      </c>
      <c r="AE235" s="189">
        <v>7</v>
      </c>
      <c r="AF235" s="196">
        <v>11</v>
      </c>
      <c r="AG235" s="341">
        <f t="shared" si="37"/>
        <v>201</v>
      </c>
    </row>
    <row r="236" spans="1:34" ht="40.5" customHeight="1" x14ac:dyDescent="0.25">
      <c r="A236" s="232" t="s">
        <v>163</v>
      </c>
      <c r="B236" s="137">
        <v>2</v>
      </c>
      <c r="C236" s="137">
        <v>0</v>
      </c>
      <c r="D236" s="137">
        <v>0</v>
      </c>
      <c r="E236" s="137">
        <v>0</v>
      </c>
      <c r="F236" s="137">
        <v>1</v>
      </c>
      <c r="G236" s="137">
        <v>1</v>
      </c>
      <c r="H236" s="137">
        <v>1</v>
      </c>
      <c r="I236" s="137">
        <v>1</v>
      </c>
      <c r="J236" s="137">
        <v>2</v>
      </c>
      <c r="K236" s="137">
        <v>1</v>
      </c>
      <c r="L236" s="137">
        <v>0</v>
      </c>
      <c r="M236" s="137">
        <v>2</v>
      </c>
      <c r="N236" s="137">
        <v>1</v>
      </c>
      <c r="O236" s="137">
        <v>2</v>
      </c>
      <c r="P236" s="137">
        <v>2</v>
      </c>
      <c r="Q236" s="137">
        <v>2</v>
      </c>
      <c r="R236" s="137">
        <v>1</v>
      </c>
      <c r="S236" s="137">
        <v>4</v>
      </c>
      <c r="T236" s="137">
        <v>1</v>
      </c>
      <c r="U236" s="137">
        <v>1</v>
      </c>
      <c r="V236" s="137">
        <v>0</v>
      </c>
      <c r="W236" s="137">
        <v>3</v>
      </c>
      <c r="X236" s="137">
        <v>3</v>
      </c>
      <c r="Y236" s="137">
        <v>2</v>
      </c>
      <c r="Z236" s="137">
        <v>2</v>
      </c>
      <c r="AA236" s="137">
        <v>0</v>
      </c>
      <c r="AB236" s="137">
        <v>2</v>
      </c>
      <c r="AC236" s="137">
        <v>4</v>
      </c>
      <c r="AD236" s="137">
        <v>1</v>
      </c>
      <c r="AE236" s="137">
        <v>2</v>
      </c>
      <c r="AF236" s="188">
        <v>3</v>
      </c>
      <c r="AG236" s="342">
        <f t="shared" si="37"/>
        <v>47</v>
      </c>
    </row>
    <row r="237" spans="1:34" ht="39.75" customHeight="1" thickBot="1" x14ac:dyDescent="0.3">
      <c r="A237" s="233" t="s">
        <v>164</v>
      </c>
      <c r="B237" s="222">
        <v>1</v>
      </c>
      <c r="C237" s="222">
        <v>3</v>
      </c>
      <c r="D237" s="222">
        <v>1</v>
      </c>
      <c r="E237" s="222">
        <v>2</v>
      </c>
      <c r="F237" s="222">
        <v>0</v>
      </c>
      <c r="G237" s="222">
        <v>0</v>
      </c>
      <c r="H237" s="222">
        <v>3</v>
      </c>
      <c r="I237" s="222">
        <v>1</v>
      </c>
      <c r="J237" s="222">
        <v>1</v>
      </c>
      <c r="K237" s="222">
        <v>0</v>
      </c>
      <c r="L237" s="222">
        <v>1</v>
      </c>
      <c r="M237" s="222">
        <v>0</v>
      </c>
      <c r="N237" s="222">
        <v>0</v>
      </c>
      <c r="O237" s="222">
        <v>1</v>
      </c>
      <c r="P237" s="222">
        <v>0</v>
      </c>
      <c r="Q237" s="222">
        <v>0</v>
      </c>
      <c r="R237" s="222">
        <v>5</v>
      </c>
      <c r="S237" s="222">
        <v>1</v>
      </c>
      <c r="T237" s="222">
        <v>0</v>
      </c>
      <c r="U237" s="222">
        <v>0</v>
      </c>
      <c r="V237" s="222">
        <v>1</v>
      </c>
      <c r="W237" s="222">
        <v>1</v>
      </c>
      <c r="X237" s="222">
        <v>1</v>
      </c>
      <c r="Y237" s="222">
        <v>1</v>
      </c>
      <c r="Z237" s="222">
        <v>2</v>
      </c>
      <c r="AA237" s="222">
        <v>0</v>
      </c>
      <c r="AB237" s="222">
        <v>0</v>
      </c>
      <c r="AC237" s="222">
        <v>1</v>
      </c>
      <c r="AD237" s="222">
        <v>1</v>
      </c>
      <c r="AE237" s="222">
        <v>3</v>
      </c>
      <c r="AF237" s="223">
        <v>2</v>
      </c>
      <c r="AG237" s="343">
        <f t="shared" si="37"/>
        <v>33</v>
      </c>
    </row>
    <row r="238" spans="1:34" ht="21.75" x14ac:dyDescent="0.35">
      <c r="A238" s="225" t="s">
        <v>151</v>
      </c>
      <c r="B238" s="344">
        <v>8.1250000000000003E-2</v>
      </c>
      <c r="C238" s="344">
        <v>4.1666666666666664E-2</v>
      </c>
      <c r="D238" s="344">
        <v>4.9305555555555554E-2</v>
      </c>
      <c r="E238" s="344">
        <v>6.0416666666666667E-2</v>
      </c>
      <c r="F238" s="344">
        <v>4.0972222222222222E-2</v>
      </c>
      <c r="G238" s="344">
        <v>6.3194444444444442E-2</v>
      </c>
      <c r="H238" s="344">
        <v>5.9722222222222225E-2</v>
      </c>
      <c r="I238" s="344">
        <v>6.6666666666666666E-2</v>
      </c>
      <c r="J238" s="344">
        <v>6.458333333333334E-2</v>
      </c>
      <c r="K238" s="344">
        <v>4.3750000000000004E-2</v>
      </c>
      <c r="L238" s="344">
        <v>5.9027777777777783E-2</v>
      </c>
      <c r="M238" s="344">
        <v>9.930555555555555E-2</v>
      </c>
      <c r="N238" s="344">
        <v>8.7500000000000008E-2</v>
      </c>
      <c r="O238" s="344">
        <v>6.458333333333334E-2</v>
      </c>
      <c r="P238" s="344">
        <v>5.2083333333333336E-2</v>
      </c>
      <c r="Q238" s="344">
        <v>9.0972222222222218E-2</v>
      </c>
      <c r="R238" s="344">
        <v>6.8749999999999992E-2</v>
      </c>
      <c r="S238" s="344">
        <v>7.4305555555555555E-2</v>
      </c>
      <c r="T238" s="344">
        <v>6.8749999999999992E-2</v>
      </c>
      <c r="U238" s="344">
        <v>6.458333333333334E-2</v>
      </c>
      <c r="V238" s="344">
        <v>5.9027777777777783E-2</v>
      </c>
      <c r="W238" s="344">
        <v>7.6388888888888881E-2</v>
      </c>
      <c r="X238" s="344">
        <v>9.0277777777777776E-2</v>
      </c>
      <c r="Y238" s="344">
        <v>7.7083333333333337E-2</v>
      </c>
      <c r="Z238" s="344">
        <v>6.8749999999999992E-2</v>
      </c>
      <c r="AA238" s="344">
        <v>7.4999999999999997E-2</v>
      </c>
      <c r="AB238" s="344">
        <v>6.3888888888888898E-2</v>
      </c>
      <c r="AC238" s="344">
        <v>6.9444444444444448E-2</v>
      </c>
      <c r="AD238" s="344">
        <v>9.0277777777777776E-2</v>
      </c>
      <c r="AE238" s="344">
        <v>8.2638888888888887E-2</v>
      </c>
      <c r="AF238" s="344">
        <v>5.9722222222222225E-2</v>
      </c>
      <c r="AG238" s="345">
        <f>SUM(B238:AF238)</f>
        <v>2.1138888888888889</v>
      </c>
    </row>
    <row r="239" spans="1:34" ht="22.5" thickBot="1" x14ac:dyDescent="0.4">
      <c r="A239" s="228" t="s">
        <v>152</v>
      </c>
      <c r="B239" s="346">
        <v>0.10347222222222223</v>
      </c>
      <c r="C239" s="346">
        <v>2.6388888888888889E-2</v>
      </c>
      <c r="D239" s="346">
        <v>3.888888888888889E-2</v>
      </c>
      <c r="E239" s="346">
        <v>6.6666666666666666E-2</v>
      </c>
      <c r="F239" s="346">
        <v>4.7916666666666663E-2</v>
      </c>
      <c r="G239" s="346">
        <v>6.8749999999999992E-2</v>
      </c>
      <c r="H239" s="346">
        <v>7.2222222222222229E-2</v>
      </c>
      <c r="I239" s="346">
        <v>6.8749999999999992E-2</v>
      </c>
      <c r="J239" s="346">
        <v>5.6944444444444443E-2</v>
      </c>
      <c r="K239" s="346">
        <v>3.125E-2</v>
      </c>
      <c r="L239" s="346">
        <v>6.1805555555555558E-2</v>
      </c>
      <c r="M239" s="346">
        <v>0.13541666666666666</v>
      </c>
      <c r="N239" s="346">
        <v>0.11388888888888889</v>
      </c>
      <c r="O239" s="346">
        <v>7.0833333333333331E-2</v>
      </c>
      <c r="P239" s="346">
        <v>5.5555555555555552E-2</v>
      </c>
      <c r="Q239" s="346">
        <v>0.10347222222222223</v>
      </c>
      <c r="R239" s="346">
        <v>6.8749999999999992E-2</v>
      </c>
      <c r="S239" s="346">
        <v>9.1666666666666674E-2</v>
      </c>
      <c r="T239" s="346">
        <v>8.5416666666666655E-2</v>
      </c>
      <c r="U239" s="346">
        <v>8.1250000000000003E-2</v>
      </c>
      <c r="V239" s="346">
        <v>7.2222222222222229E-2</v>
      </c>
      <c r="W239" s="346">
        <v>8.6111111111111124E-2</v>
      </c>
      <c r="X239" s="346">
        <v>0.11805555555555557</v>
      </c>
      <c r="Y239" s="346">
        <v>9.930555555555555E-2</v>
      </c>
      <c r="Z239" s="346">
        <v>8.819444444444445E-2</v>
      </c>
      <c r="AA239" s="346">
        <v>9.930555555555555E-2</v>
      </c>
      <c r="AB239" s="346">
        <v>8.0555555555555561E-2</v>
      </c>
      <c r="AC239" s="346">
        <v>8.7500000000000008E-2</v>
      </c>
      <c r="AD239" s="346">
        <v>0.11875000000000001</v>
      </c>
      <c r="AE239" s="346">
        <v>0.10555555555555556</v>
      </c>
      <c r="AF239" s="346">
        <v>6.0416666666666667E-2</v>
      </c>
      <c r="AG239" s="347">
        <f>SUM(B239:AF239)</f>
        <v>2.4652777777777777</v>
      </c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54">
        <v>0</v>
      </c>
      <c r="C241" s="255">
        <v>0</v>
      </c>
      <c r="D241" s="255">
        <v>0</v>
      </c>
      <c r="E241" s="255">
        <v>0</v>
      </c>
      <c r="F241" s="255">
        <v>0</v>
      </c>
      <c r="G241" s="255">
        <v>0</v>
      </c>
      <c r="H241" s="255">
        <v>0</v>
      </c>
      <c r="I241" s="348">
        <v>0.16805555555555554</v>
      </c>
      <c r="J241" s="255">
        <v>0</v>
      </c>
      <c r="K241" s="255">
        <v>0</v>
      </c>
      <c r="L241" s="255">
        <v>0</v>
      </c>
      <c r="M241" s="255">
        <v>0</v>
      </c>
      <c r="N241" s="255">
        <v>0</v>
      </c>
      <c r="O241" s="255">
        <v>0</v>
      </c>
      <c r="P241" s="255">
        <v>0</v>
      </c>
      <c r="Q241" s="255">
        <v>0</v>
      </c>
      <c r="R241" s="255">
        <v>7.6388888888888886E-3</v>
      </c>
      <c r="S241" s="255">
        <v>0</v>
      </c>
      <c r="T241" s="255">
        <v>0</v>
      </c>
      <c r="U241" s="255">
        <v>0</v>
      </c>
      <c r="V241" s="255">
        <v>0</v>
      </c>
      <c r="W241" s="255">
        <v>2.8472222222222222E-2</v>
      </c>
      <c r="X241" s="255">
        <v>0</v>
      </c>
      <c r="Y241" s="255">
        <v>0</v>
      </c>
      <c r="Z241" s="255">
        <v>0</v>
      </c>
      <c r="AA241" s="255">
        <v>0</v>
      </c>
      <c r="AB241" s="255">
        <v>1.4583333333333332E-2</v>
      </c>
      <c r="AC241" s="255">
        <v>0</v>
      </c>
      <c r="AD241" s="349">
        <v>4.8611111111111112E-2</v>
      </c>
      <c r="AE241" s="255">
        <v>0</v>
      </c>
      <c r="AF241" s="256">
        <v>0</v>
      </c>
      <c r="AG241" s="257">
        <f>AVERAGE(B241:AF241)</f>
        <v>8.6245519713261647E-3</v>
      </c>
    </row>
    <row r="242" spans="1:33" ht="23.25" x14ac:dyDescent="0.35">
      <c r="A242" s="253" t="s">
        <v>73</v>
      </c>
      <c r="B242" s="258">
        <v>6.25E-2</v>
      </c>
      <c r="C242" s="259">
        <v>3.0555555555555555E-2</v>
      </c>
      <c r="D242" s="259">
        <v>8.6805555555555566E-2</v>
      </c>
      <c r="E242" s="259">
        <v>0</v>
      </c>
      <c r="F242" s="259">
        <v>0</v>
      </c>
      <c r="G242" s="259">
        <v>2.9166666666666664E-2</v>
      </c>
      <c r="H242" s="259">
        <v>0</v>
      </c>
      <c r="I242" s="259">
        <v>0</v>
      </c>
      <c r="J242" s="259">
        <v>4.9305555555555554E-2</v>
      </c>
      <c r="K242" s="259">
        <v>1.1863425925925925E-2</v>
      </c>
      <c r="L242" s="259">
        <v>2.1527777777777781E-2</v>
      </c>
      <c r="M242" s="259">
        <v>2.7083333333333334E-2</v>
      </c>
      <c r="N242" s="259">
        <v>3.125E-2</v>
      </c>
      <c r="O242" s="259">
        <v>0</v>
      </c>
      <c r="P242" s="259">
        <v>1.1111111111111112E-2</v>
      </c>
      <c r="Q242" s="259">
        <v>3.6805555555555557E-2</v>
      </c>
      <c r="R242" s="259">
        <v>2.6388888888888889E-2</v>
      </c>
      <c r="S242" s="259">
        <v>9.7222222222222224E-3</v>
      </c>
      <c r="T242" s="259">
        <v>9.7222222222222224E-3</v>
      </c>
      <c r="U242" s="259">
        <v>0</v>
      </c>
      <c r="V242" s="259">
        <v>0</v>
      </c>
      <c r="W242" s="259">
        <v>3.6111111111111115E-2</v>
      </c>
      <c r="X242" s="259">
        <v>2.2222222222222223E-2</v>
      </c>
      <c r="Y242" s="259">
        <v>2.2222222222222223E-2</v>
      </c>
      <c r="Z242" s="259">
        <v>1.6666666666666666E-2</v>
      </c>
      <c r="AA242" s="259">
        <v>2.361111111111111E-2</v>
      </c>
      <c r="AB242" s="259">
        <v>0</v>
      </c>
      <c r="AC242" s="259">
        <v>0</v>
      </c>
      <c r="AD242" s="350">
        <v>0.10625</v>
      </c>
      <c r="AE242" s="259">
        <v>1.8055555555555557E-2</v>
      </c>
      <c r="AF242" s="260">
        <v>6.9444444444444441E-3</v>
      </c>
      <c r="AG242" s="261">
        <f>AVERAGE(B242:AF242)</f>
        <v>2.244810334528077E-2</v>
      </c>
    </row>
    <row r="243" spans="1:33" ht="23.25" x14ac:dyDescent="0.35">
      <c r="A243" s="253" t="s">
        <v>74</v>
      </c>
      <c r="B243" s="258">
        <v>4.1956018518518517E-2</v>
      </c>
      <c r="C243" s="259">
        <v>2.2268518518518521E-2</v>
      </c>
      <c r="D243" s="259">
        <v>2.1527777777777781E-2</v>
      </c>
      <c r="E243" s="259">
        <v>2.2916666666666669E-2</v>
      </c>
      <c r="F243" s="259">
        <v>3.1944444444444449E-2</v>
      </c>
      <c r="G243" s="259">
        <v>3.1944444444444449E-2</v>
      </c>
      <c r="H243" s="259">
        <v>2.9166666666666664E-2</v>
      </c>
      <c r="I243" s="259">
        <v>3.3333333333333333E-2</v>
      </c>
      <c r="J243" s="259">
        <v>3.3333333333333333E-2</v>
      </c>
      <c r="K243" s="259">
        <v>2.5694444444444447E-2</v>
      </c>
      <c r="L243" s="259">
        <v>4.2361111111111106E-2</v>
      </c>
      <c r="M243" s="259">
        <v>4.0972222222222222E-2</v>
      </c>
      <c r="N243" s="259">
        <v>4.027777777777778E-2</v>
      </c>
      <c r="O243" s="259">
        <v>3.1944444444444449E-2</v>
      </c>
      <c r="P243" s="259">
        <v>2.4305555555555556E-2</v>
      </c>
      <c r="Q243" s="259">
        <v>5.1388888888888894E-2</v>
      </c>
      <c r="R243" s="259">
        <v>3.2638888888888891E-2</v>
      </c>
      <c r="S243" s="259">
        <v>4.3055555555555562E-2</v>
      </c>
      <c r="T243" s="259">
        <v>2.7083333333333334E-2</v>
      </c>
      <c r="U243" s="259">
        <v>4.0972222222222222E-2</v>
      </c>
      <c r="V243" s="259">
        <v>2.7777777777777776E-2</v>
      </c>
      <c r="W243" s="259">
        <v>3.3333333333333333E-2</v>
      </c>
      <c r="X243" s="259">
        <v>4.3055555555555562E-2</v>
      </c>
      <c r="Y243" s="259">
        <v>4.7222222222222221E-2</v>
      </c>
      <c r="Z243" s="259">
        <v>3.0555555555555555E-2</v>
      </c>
      <c r="AA243" s="259">
        <v>4.027777777777778E-2</v>
      </c>
      <c r="AB243" s="259">
        <v>4.5138888888888888E-2</v>
      </c>
      <c r="AC243" s="259">
        <v>3.4027777777777775E-2</v>
      </c>
      <c r="AD243" s="259">
        <v>5.3472222222222227E-2</v>
      </c>
      <c r="AE243" s="259">
        <v>3.6111111111111115E-2</v>
      </c>
      <c r="AF243" s="260">
        <v>2.5694444444444447E-2</v>
      </c>
      <c r="AG243" s="261">
        <f>AVERAGE(B243:AF243)</f>
        <v>3.5024268219832733E-2</v>
      </c>
    </row>
    <row r="244" spans="1:33" ht="23.25" x14ac:dyDescent="0.35">
      <c r="A244" s="253" t="s">
        <v>75</v>
      </c>
      <c r="B244" s="258">
        <v>0.125</v>
      </c>
      <c r="C244" s="259">
        <v>3.125E-2</v>
      </c>
      <c r="D244" s="259">
        <v>4.7222222222222221E-2</v>
      </c>
      <c r="E244" s="259">
        <v>6.8749999999999992E-2</v>
      </c>
      <c r="F244" s="259">
        <v>5.6944444444444443E-2</v>
      </c>
      <c r="G244" s="259">
        <v>8.1944444444444445E-2</v>
      </c>
      <c r="H244" s="259">
        <v>8.1250000000000003E-2</v>
      </c>
      <c r="I244" s="259">
        <v>7.9861111111111119E-2</v>
      </c>
      <c r="J244" s="259">
        <v>7.2916666666666671E-2</v>
      </c>
      <c r="K244" s="259">
        <v>2.9166666666666664E-2</v>
      </c>
      <c r="L244" s="259">
        <v>7.7777777777777779E-2</v>
      </c>
      <c r="M244" s="259">
        <v>0.16388888888888889</v>
      </c>
      <c r="N244" s="259">
        <v>0.14930555555555555</v>
      </c>
      <c r="O244" s="259">
        <v>9.0972222222222218E-2</v>
      </c>
      <c r="P244" s="259">
        <v>5.6250000000000001E-2</v>
      </c>
      <c r="Q244" s="259">
        <v>0.12291666666666667</v>
      </c>
      <c r="R244" s="259">
        <v>7.9861111111111119E-2</v>
      </c>
      <c r="S244" s="259">
        <v>0.125</v>
      </c>
      <c r="T244" s="259">
        <v>9.375E-2</v>
      </c>
      <c r="U244" s="259">
        <v>0.10069444444444443</v>
      </c>
      <c r="V244" s="259">
        <v>8.6111111111111124E-2</v>
      </c>
      <c r="W244" s="259">
        <v>9.9999999999999992E-2</v>
      </c>
      <c r="X244" s="259">
        <v>0.13333333333333333</v>
      </c>
      <c r="Y244" s="259">
        <v>0.12222222222222222</v>
      </c>
      <c r="Z244" s="259">
        <v>0.10416666666666667</v>
      </c>
      <c r="AA244" s="259">
        <v>0.12361111111111112</v>
      </c>
      <c r="AB244" s="259">
        <v>0.10208333333333335</v>
      </c>
      <c r="AC244" s="259">
        <v>0.10069444444444443</v>
      </c>
      <c r="AD244" s="259">
        <v>0.14652777777777778</v>
      </c>
      <c r="AE244" s="259">
        <v>0.125</v>
      </c>
      <c r="AF244" s="260">
        <v>6.458333333333334E-2</v>
      </c>
      <c r="AG244" s="261">
        <f>AVERAGE(B244:AF244)</f>
        <v>9.4937275985663053E-2</v>
      </c>
    </row>
    <row r="245" spans="1:33" ht="24" thickBot="1" x14ac:dyDescent="0.4">
      <c r="A245" s="262" t="s">
        <v>76</v>
      </c>
      <c r="B245" s="263">
        <v>9.7222222222222224E-2</v>
      </c>
      <c r="C245" s="264">
        <v>4.5138888888888888E-2</v>
      </c>
      <c r="D245" s="264">
        <v>4.4444444444444446E-2</v>
      </c>
      <c r="E245" s="264">
        <v>0.13194444444444445</v>
      </c>
      <c r="F245" s="264">
        <v>0.1277777777777778</v>
      </c>
      <c r="G245" s="264">
        <v>0.14375000000000002</v>
      </c>
      <c r="H245" s="264">
        <v>0.15486111111111112</v>
      </c>
      <c r="I245" s="264">
        <v>0.14305555555555555</v>
      </c>
      <c r="J245" s="264">
        <v>4.0972222222222222E-2</v>
      </c>
      <c r="K245" s="264">
        <v>4.9999999999999996E-2</v>
      </c>
      <c r="L245" s="264">
        <v>6.25E-2</v>
      </c>
      <c r="M245" s="264">
        <v>0.19444444444444445</v>
      </c>
      <c r="N245" s="264">
        <v>5.4166666666666669E-2</v>
      </c>
      <c r="O245" s="264">
        <v>0.18333333333333335</v>
      </c>
      <c r="P245" s="264">
        <v>9.8611111111111108E-2</v>
      </c>
      <c r="Q245" s="264">
        <v>0.15069444444444444</v>
      </c>
      <c r="R245" s="264">
        <v>8.6111111111111124E-2</v>
      </c>
      <c r="S245" s="264">
        <v>4.7916666666666663E-2</v>
      </c>
      <c r="T245" s="264">
        <v>0.15277777777777776</v>
      </c>
      <c r="U245" s="264">
        <v>0.10069444444444443</v>
      </c>
      <c r="V245" s="264">
        <v>0.15486111111111112</v>
      </c>
      <c r="W245" s="264">
        <v>0.15833333333333333</v>
      </c>
      <c r="X245" s="264">
        <v>0.19305555555555556</v>
      </c>
      <c r="Y245" s="264">
        <v>0.11458333333333333</v>
      </c>
      <c r="Z245" s="264">
        <v>0.21180555555555555</v>
      </c>
      <c r="AA245" s="264">
        <v>0.22222222222222221</v>
      </c>
      <c r="AB245" s="264">
        <v>0.10625</v>
      </c>
      <c r="AC245" s="264">
        <v>0.18472222222222223</v>
      </c>
      <c r="AD245" s="264">
        <v>0.10902777777777778</v>
      </c>
      <c r="AE245" s="264">
        <v>0.1451388888888889</v>
      </c>
      <c r="AF245" s="265">
        <v>8.7500000000000008E-2</v>
      </c>
      <c r="AG245" s="266">
        <f>AVERAGE(B245:AF245)</f>
        <v>0.12251344086021508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106" priority="6" operator="lessThan">
      <formula>0</formula>
    </cfRule>
  </conditionalFormatting>
  <conditionalFormatting sqref="D54:D77">
    <cfRule type="cellIs" dxfId="105" priority="2" operator="lessThan">
      <formula>0</formula>
    </cfRule>
  </conditionalFormatting>
  <conditionalFormatting sqref="G54:G77">
    <cfRule type="cellIs" dxfId="104" priority="1" operator="lessThan">
      <formula>0</formula>
    </cfRule>
  </conditionalFormatting>
  <conditionalFormatting sqref="AH81">
    <cfRule type="cellIs" dxfId="103" priority="4" operator="equal">
      <formula>"*"</formula>
    </cfRule>
  </conditionalFormatting>
  <conditionalFormatting sqref="AH84 AH87">
    <cfRule type="cellIs" dxfId="102" priority="5" operator="equal">
      <formula>"*"</formula>
    </cfRule>
  </conditionalFormatting>
  <conditionalFormatting sqref="AH93">
    <cfRule type="cellIs" dxfId="101" priority="10" operator="equal">
      <formula>"*"</formula>
    </cfRule>
  </conditionalFormatting>
  <conditionalFormatting sqref="AH130">
    <cfRule type="cellIs" dxfId="100" priority="8" operator="equal">
      <formula>"*"</formula>
    </cfRule>
  </conditionalFormatting>
  <conditionalFormatting sqref="AH144:AH145">
    <cfRule type="cellIs" dxfId="99" priority="9" operator="equal">
      <formula>"*"</formula>
    </cfRule>
  </conditionalFormatting>
  <conditionalFormatting sqref="AH179">
    <cfRule type="cellIs" dxfId="98" priority="7" operator="equal">
      <formula>"*"</formula>
    </cfRule>
  </conditionalFormatting>
  <conditionalFormatting sqref="AH204">
    <cfRule type="cellIs" dxfId="97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5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75"/>
  <sheetViews>
    <sheetView zoomScale="80" zoomScaleNormal="80" workbookViewId="0">
      <pane xSplit="1" ySplit="3" topLeftCell="I13" activePane="bottomRight" state="frozen"/>
      <selection pane="topRight"/>
      <selection pane="bottomLeft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156</v>
      </c>
      <c r="B2" s="234">
        <v>1</v>
      </c>
      <c r="C2" s="234">
        <f t="shared" ref="C2:AA2" si="0">+B2+1</f>
        <v>2</v>
      </c>
      <c r="D2" s="234">
        <f t="shared" si="0"/>
        <v>3</v>
      </c>
      <c r="E2" s="234">
        <f t="shared" si="0"/>
        <v>4</v>
      </c>
      <c r="F2" s="234">
        <f t="shared" si="0"/>
        <v>5</v>
      </c>
      <c r="G2" s="106">
        <f t="shared" si="0"/>
        <v>6</v>
      </c>
      <c r="H2" s="106">
        <f t="shared" si="0"/>
        <v>7</v>
      </c>
      <c r="I2" s="234">
        <f t="shared" si="0"/>
        <v>8</v>
      </c>
      <c r="J2" s="234">
        <f t="shared" si="0"/>
        <v>9</v>
      </c>
      <c r="K2" s="234">
        <f t="shared" si="0"/>
        <v>10</v>
      </c>
      <c r="L2" s="234">
        <f t="shared" si="0"/>
        <v>11</v>
      </c>
      <c r="M2" s="234">
        <f t="shared" si="0"/>
        <v>12</v>
      </c>
      <c r="N2" s="106">
        <f t="shared" si="0"/>
        <v>13</v>
      </c>
      <c r="O2" s="106">
        <f t="shared" si="0"/>
        <v>14</v>
      </c>
      <c r="P2" s="234">
        <f t="shared" si="0"/>
        <v>15</v>
      </c>
      <c r="Q2" s="234">
        <f t="shared" si="0"/>
        <v>16</v>
      </c>
      <c r="R2" s="234">
        <f t="shared" si="0"/>
        <v>17</v>
      </c>
      <c r="S2" s="234">
        <f t="shared" si="0"/>
        <v>18</v>
      </c>
      <c r="T2" s="106">
        <f t="shared" si="0"/>
        <v>19</v>
      </c>
      <c r="U2" s="106">
        <f t="shared" si="0"/>
        <v>20</v>
      </c>
      <c r="V2" s="106">
        <f t="shared" si="0"/>
        <v>21</v>
      </c>
      <c r="W2" s="234">
        <f t="shared" si="0"/>
        <v>22</v>
      </c>
      <c r="X2" s="234">
        <f t="shared" si="0"/>
        <v>23</v>
      </c>
      <c r="Y2" s="234">
        <f t="shared" si="0"/>
        <v>24</v>
      </c>
      <c r="Z2" s="234">
        <f t="shared" si="0"/>
        <v>25</v>
      </c>
      <c r="AA2" s="234">
        <f t="shared" si="0"/>
        <v>26</v>
      </c>
      <c r="AB2" s="106">
        <v>27</v>
      </c>
      <c r="AC2" s="106">
        <f>+AB2+1</f>
        <v>28</v>
      </c>
      <c r="AD2" s="234">
        <v>29</v>
      </c>
      <c r="AE2" s="234">
        <v>30</v>
      </c>
      <c r="AF2" s="234"/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221</v>
      </c>
      <c r="C3" s="135">
        <f t="shared" si="1"/>
        <v>209</v>
      </c>
      <c r="D3" s="135">
        <f t="shared" si="1"/>
        <v>189</v>
      </c>
      <c r="E3" s="135">
        <f t="shared" si="1"/>
        <v>164</v>
      </c>
      <c r="F3" s="135">
        <f t="shared" si="1"/>
        <v>161</v>
      </c>
      <c r="G3" s="135">
        <f t="shared" si="1"/>
        <v>233</v>
      </c>
      <c r="H3" s="135">
        <f t="shared" si="1"/>
        <v>247</v>
      </c>
      <c r="I3" s="135">
        <f t="shared" si="1"/>
        <v>178</v>
      </c>
      <c r="J3" s="135">
        <f t="shared" si="1"/>
        <v>158</v>
      </c>
      <c r="K3" s="135">
        <f t="shared" si="1"/>
        <v>171</v>
      </c>
      <c r="L3" s="135">
        <f t="shared" si="1"/>
        <v>143</v>
      </c>
      <c r="M3" s="135">
        <f t="shared" si="1"/>
        <v>150</v>
      </c>
      <c r="N3" s="135">
        <f t="shared" si="1"/>
        <v>228</v>
      </c>
      <c r="O3" s="135">
        <f t="shared" si="1"/>
        <v>216</v>
      </c>
      <c r="P3" s="135">
        <f t="shared" si="1"/>
        <v>203</v>
      </c>
      <c r="Q3" s="135">
        <f t="shared" si="1"/>
        <v>169</v>
      </c>
      <c r="R3" s="135">
        <f t="shared" si="1"/>
        <v>174</v>
      </c>
      <c r="S3" s="135">
        <f t="shared" si="1"/>
        <v>160</v>
      </c>
      <c r="T3" s="135">
        <f t="shared" si="1"/>
        <v>194</v>
      </c>
      <c r="U3" s="135">
        <f t="shared" si="1"/>
        <v>229</v>
      </c>
      <c r="V3" s="135">
        <f t="shared" si="1"/>
        <v>240</v>
      </c>
      <c r="W3" s="135">
        <f t="shared" si="1"/>
        <v>177</v>
      </c>
      <c r="X3" s="135">
        <f t="shared" si="1"/>
        <v>161</v>
      </c>
      <c r="Y3" s="135">
        <f t="shared" si="1"/>
        <v>161</v>
      </c>
      <c r="Z3" s="135">
        <f t="shared" si="1"/>
        <v>144</v>
      </c>
      <c r="AA3" s="135">
        <f t="shared" si="1"/>
        <v>172</v>
      </c>
      <c r="AB3" s="135">
        <f t="shared" si="1"/>
        <v>238</v>
      </c>
      <c r="AC3" s="135">
        <f t="shared" si="1"/>
        <v>233</v>
      </c>
      <c r="AD3" s="135">
        <f t="shared" si="1"/>
        <v>177</v>
      </c>
      <c r="AE3" s="135">
        <f t="shared" si="1"/>
        <v>162</v>
      </c>
      <c r="AF3" s="135">
        <f t="shared" si="1"/>
        <v>0</v>
      </c>
      <c r="AG3" s="187">
        <f>SUM(B3:AF3)</f>
        <v>5662</v>
      </c>
    </row>
    <row r="4" spans="1:33" ht="18.75" x14ac:dyDescent="0.25">
      <c r="A4" s="113" t="s">
        <v>54</v>
      </c>
      <c r="B4" s="114"/>
      <c r="C4" s="114"/>
      <c r="D4" s="114"/>
      <c r="E4" s="114"/>
      <c r="F4" s="114"/>
      <c r="G4" s="114">
        <v>8</v>
      </c>
      <c r="H4" s="114">
        <v>5</v>
      </c>
      <c r="I4" s="114"/>
      <c r="J4" s="114"/>
      <c r="K4" s="114"/>
      <c r="L4" s="114"/>
      <c r="M4" s="114"/>
      <c r="N4" s="114">
        <v>4</v>
      </c>
      <c r="O4" s="114">
        <v>3</v>
      </c>
      <c r="P4" s="114"/>
      <c r="Q4" s="114"/>
      <c r="R4" s="114"/>
      <c r="S4" s="114"/>
      <c r="T4" s="114">
        <v>7</v>
      </c>
      <c r="U4" s="114">
        <v>3</v>
      </c>
      <c r="V4" s="114">
        <v>6</v>
      </c>
      <c r="W4" s="114"/>
      <c r="X4" s="114"/>
      <c r="Y4" s="114"/>
      <c r="Z4" s="114"/>
      <c r="AA4" s="114"/>
      <c r="AB4" s="114">
        <v>12</v>
      </c>
      <c r="AC4" s="114">
        <v>2</v>
      </c>
      <c r="AD4" s="114"/>
      <c r="AE4" s="114"/>
      <c r="AF4" s="115"/>
      <c r="AG4" s="132">
        <f t="shared" ref="AG4:AG83" si="2">SUM(B4:AF4)</f>
        <v>50</v>
      </c>
    </row>
    <row r="5" spans="1:33" ht="18.75" x14ac:dyDescent="0.25">
      <c r="A5" s="41" t="s">
        <v>55</v>
      </c>
      <c r="B5" s="7"/>
      <c r="C5" s="7"/>
      <c r="D5" s="7"/>
      <c r="E5" s="7"/>
      <c r="F5" s="7"/>
      <c r="G5" s="7">
        <v>10</v>
      </c>
      <c r="H5" s="7">
        <v>10</v>
      </c>
      <c r="I5" s="7"/>
      <c r="J5" s="7"/>
      <c r="K5" s="7"/>
      <c r="L5" s="7"/>
      <c r="M5" s="7"/>
      <c r="N5" s="7">
        <v>6</v>
      </c>
      <c r="O5" s="7">
        <v>9</v>
      </c>
      <c r="P5" s="7"/>
      <c r="Q5" s="7"/>
      <c r="R5" s="7"/>
      <c r="S5" s="7"/>
      <c r="T5" s="7">
        <v>10</v>
      </c>
      <c r="U5" s="7">
        <v>5</v>
      </c>
      <c r="V5" s="7">
        <v>13</v>
      </c>
      <c r="W5" s="7"/>
      <c r="X5" s="7"/>
      <c r="Y5" s="7"/>
      <c r="Z5" s="7"/>
      <c r="AA5" s="7"/>
      <c r="AB5" s="7">
        <v>14</v>
      </c>
      <c r="AC5" s="7">
        <v>8</v>
      </c>
      <c r="AD5" s="7"/>
      <c r="AE5" s="7"/>
      <c r="AF5" s="8"/>
      <c r="AG5" s="4">
        <f t="shared" si="2"/>
        <v>85</v>
      </c>
    </row>
    <row r="6" spans="1:33" ht="18.75" x14ac:dyDescent="0.25">
      <c r="A6" s="41" t="s">
        <v>56</v>
      </c>
      <c r="B6" s="7"/>
      <c r="C6" s="7"/>
      <c r="D6" s="7"/>
      <c r="E6" s="7"/>
      <c r="F6" s="7"/>
      <c r="G6" s="7">
        <v>20</v>
      </c>
      <c r="H6" s="7">
        <v>23</v>
      </c>
      <c r="I6" s="7"/>
      <c r="J6" s="7"/>
      <c r="K6" s="7"/>
      <c r="L6" s="7"/>
      <c r="M6" s="7"/>
      <c r="N6" s="7">
        <v>22</v>
      </c>
      <c r="O6" s="7">
        <v>7</v>
      </c>
      <c r="P6" s="7"/>
      <c r="Q6" s="7"/>
      <c r="R6" s="7"/>
      <c r="S6" s="7"/>
      <c r="T6" s="7">
        <v>9</v>
      </c>
      <c r="U6" s="7">
        <v>18</v>
      </c>
      <c r="V6" s="7">
        <v>11</v>
      </c>
      <c r="W6" s="7"/>
      <c r="X6" s="7"/>
      <c r="Y6" s="7"/>
      <c r="Z6" s="7"/>
      <c r="AA6" s="7"/>
      <c r="AB6" s="7">
        <v>20</v>
      </c>
      <c r="AC6" s="7">
        <v>18</v>
      </c>
      <c r="AD6" s="7"/>
      <c r="AE6" s="7"/>
      <c r="AF6" s="8"/>
      <c r="AG6" s="4">
        <f t="shared" si="2"/>
        <v>148</v>
      </c>
    </row>
    <row r="7" spans="1:33" ht="18.75" x14ac:dyDescent="0.25">
      <c r="A7" s="41" t="s">
        <v>38</v>
      </c>
      <c r="B7" s="7">
        <v>11</v>
      </c>
      <c r="C7" s="7">
        <v>15</v>
      </c>
      <c r="D7" s="7">
        <v>7</v>
      </c>
      <c r="E7" s="7">
        <v>1</v>
      </c>
      <c r="F7" s="7"/>
      <c r="G7" s="7">
        <v>25</v>
      </c>
      <c r="H7" s="7">
        <v>26</v>
      </c>
      <c r="I7" s="7"/>
      <c r="J7" s="7">
        <v>1</v>
      </c>
      <c r="K7" s="7">
        <v>4</v>
      </c>
      <c r="L7" s="7"/>
      <c r="M7" s="7">
        <v>1</v>
      </c>
      <c r="N7" s="7">
        <v>22</v>
      </c>
      <c r="O7" s="7">
        <v>15</v>
      </c>
      <c r="P7" s="7">
        <v>4</v>
      </c>
      <c r="Q7" s="7">
        <v>3</v>
      </c>
      <c r="R7" s="7">
        <v>1</v>
      </c>
      <c r="S7" s="7"/>
      <c r="T7" s="7">
        <v>11</v>
      </c>
      <c r="U7" s="7">
        <v>27</v>
      </c>
      <c r="V7" s="7">
        <v>14</v>
      </c>
      <c r="W7" s="7">
        <v>4</v>
      </c>
      <c r="X7" s="7"/>
      <c r="Y7" s="7"/>
      <c r="Z7" s="7"/>
      <c r="AA7" s="7">
        <v>2</v>
      </c>
      <c r="AB7" s="7">
        <v>10</v>
      </c>
      <c r="AC7" s="7">
        <v>14</v>
      </c>
      <c r="AD7" s="7">
        <v>1</v>
      </c>
      <c r="AE7" s="7"/>
      <c r="AF7" s="8"/>
      <c r="AG7" s="4">
        <f t="shared" si="2"/>
        <v>219</v>
      </c>
    </row>
    <row r="8" spans="1:33" ht="18.75" x14ac:dyDescent="0.25">
      <c r="A8" s="41" t="s">
        <v>39</v>
      </c>
      <c r="B8" s="7">
        <v>2</v>
      </c>
      <c r="C8" s="7">
        <v>4</v>
      </c>
      <c r="D8" s="7">
        <v>6</v>
      </c>
      <c r="E8" s="7"/>
      <c r="F8" s="7"/>
      <c r="G8" s="7">
        <v>15</v>
      </c>
      <c r="H8" s="7">
        <v>15</v>
      </c>
      <c r="I8" s="7">
        <v>1</v>
      </c>
      <c r="J8" s="7"/>
      <c r="K8" s="7"/>
      <c r="L8" s="7">
        <v>1</v>
      </c>
      <c r="M8" s="7"/>
      <c r="N8" s="7">
        <v>19</v>
      </c>
      <c r="O8" s="7">
        <v>18</v>
      </c>
      <c r="P8" s="7">
        <v>1</v>
      </c>
      <c r="Q8" s="7"/>
      <c r="R8" s="7">
        <v>1</v>
      </c>
      <c r="S8" s="7"/>
      <c r="T8" s="7">
        <v>15</v>
      </c>
      <c r="U8" s="7">
        <v>18</v>
      </c>
      <c r="V8" s="7">
        <v>14</v>
      </c>
      <c r="W8" s="7"/>
      <c r="X8" s="7"/>
      <c r="Y8" s="7"/>
      <c r="Z8" s="7"/>
      <c r="AA8" s="7"/>
      <c r="AB8" s="7">
        <v>17</v>
      </c>
      <c r="AC8" s="7">
        <v>17</v>
      </c>
      <c r="AD8" s="7">
        <v>2</v>
      </c>
      <c r="AE8" s="7"/>
      <c r="AF8" s="8"/>
      <c r="AG8" s="4">
        <f t="shared" si="2"/>
        <v>166</v>
      </c>
    </row>
    <row r="9" spans="1:33" ht="18.75" x14ac:dyDescent="0.25">
      <c r="A9" s="41" t="s">
        <v>40</v>
      </c>
      <c r="B9" s="7">
        <v>4</v>
      </c>
      <c r="C9" s="7"/>
      <c r="D9" s="7">
        <v>5</v>
      </c>
      <c r="E9" s="7"/>
      <c r="F9" s="7"/>
      <c r="G9" s="7">
        <v>13</v>
      </c>
      <c r="H9" s="7">
        <v>11</v>
      </c>
      <c r="I9" s="7"/>
      <c r="J9" s="7"/>
      <c r="K9" s="7">
        <v>4</v>
      </c>
      <c r="L9" s="7"/>
      <c r="M9" s="7"/>
      <c r="N9" s="7">
        <v>23</v>
      </c>
      <c r="O9" s="7">
        <v>23</v>
      </c>
      <c r="P9" s="7">
        <v>1</v>
      </c>
      <c r="Q9" s="7"/>
      <c r="R9" s="7"/>
      <c r="S9" s="7"/>
      <c r="T9" s="7">
        <v>14</v>
      </c>
      <c r="U9" s="7">
        <v>10</v>
      </c>
      <c r="V9" s="7">
        <v>10</v>
      </c>
      <c r="W9" s="7"/>
      <c r="X9" s="7"/>
      <c r="Y9" s="7">
        <v>1</v>
      </c>
      <c r="Z9" s="7"/>
      <c r="AA9" s="7"/>
      <c r="AB9" s="7">
        <v>23</v>
      </c>
      <c r="AC9" s="7">
        <v>17</v>
      </c>
      <c r="AD9" s="7"/>
      <c r="AE9" s="7"/>
      <c r="AF9" s="8"/>
      <c r="AG9" s="4">
        <f t="shared" si="2"/>
        <v>159</v>
      </c>
    </row>
    <row r="10" spans="1:33" ht="18.75" x14ac:dyDescent="0.25">
      <c r="A10" s="41" t="s">
        <v>41</v>
      </c>
      <c r="B10" s="7">
        <v>3</v>
      </c>
      <c r="C10" s="7">
        <v>6</v>
      </c>
      <c r="D10" s="7">
        <v>6</v>
      </c>
      <c r="E10" s="7"/>
      <c r="F10" s="7">
        <v>1</v>
      </c>
      <c r="G10" s="7">
        <v>12</v>
      </c>
      <c r="H10" s="7">
        <v>7</v>
      </c>
      <c r="I10" s="7"/>
      <c r="J10" s="7"/>
      <c r="K10" s="7">
        <v>2</v>
      </c>
      <c r="L10" s="7"/>
      <c r="M10" s="7"/>
      <c r="N10" s="7">
        <v>7</v>
      </c>
      <c r="O10" s="7">
        <v>14</v>
      </c>
      <c r="P10" s="7">
        <v>3</v>
      </c>
      <c r="Q10" s="7">
        <v>2</v>
      </c>
      <c r="R10" s="7">
        <v>2</v>
      </c>
      <c r="S10" s="7">
        <v>1</v>
      </c>
      <c r="T10" s="7">
        <v>8</v>
      </c>
      <c r="U10" s="7">
        <v>12</v>
      </c>
      <c r="V10" s="7">
        <v>14</v>
      </c>
      <c r="W10" s="7">
        <v>1</v>
      </c>
      <c r="X10" s="7"/>
      <c r="Y10" s="7"/>
      <c r="Z10" s="7"/>
      <c r="AA10" s="7">
        <v>2</v>
      </c>
      <c r="AB10" s="7">
        <v>19</v>
      </c>
      <c r="AC10" s="7">
        <v>10</v>
      </c>
      <c r="AD10" s="7">
        <v>2</v>
      </c>
      <c r="AE10" s="7">
        <v>3</v>
      </c>
      <c r="AF10" s="8"/>
      <c r="AG10" s="4">
        <f t="shared" si="2"/>
        <v>137</v>
      </c>
    </row>
    <row r="11" spans="1:33" ht="18.75" x14ac:dyDescent="0.25">
      <c r="A11" s="41" t="s">
        <v>42</v>
      </c>
      <c r="B11" s="7">
        <v>5</v>
      </c>
      <c r="C11" s="7">
        <v>7</v>
      </c>
      <c r="D11" s="7">
        <v>9</v>
      </c>
      <c r="E11" s="7"/>
      <c r="F11" s="7"/>
      <c r="G11" s="7">
        <v>9</v>
      </c>
      <c r="H11" s="7">
        <v>11</v>
      </c>
      <c r="I11" s="7"/>
      <c r="J11" s="7">
        <v>1</v>
      </c>
      <c r="K11" s="7">
        <v>3</v>
      </c>
      <c r="L11" s="7"/>
      <c r="M11" s="7">
        <v>3</v>
      </c>
      <c r="N11" s="7">
        <v>11</v>
      </c>
      <c r="O11" s="7">
        <v>24</v>
      </c>
      <c r="P11" s="7"/>
      <c r="Q11" s="7">
        <v>1</v>
      </c>
      <c r="R11" s="7">
        <v>1</v>
      </c>
      <c r="S11" s="7">
        <v>2</v>
      </c>
      <c r="T11" s="7">
        <v>12</v>
      </c>
      <c r="U11" s="7">
        <v>23</v>
      </c>
      <c r="V11" s="7">
        <v>19</v>
      </c>
      <c r="W11" s="7">
        <v>1</v>
      </c>
      <c r="X11" s="7"/>
      <c r="Y11" s="7"/>
      <c r="Z11" s="7">
        <v>1</v>
      </c>
      <c r="AA11" s="7">
        <v>1</v>
      </c>
      <c r="AB11" s="7">
        <v>23</v>
      </c>
      <c r="AC11" s="7">
        <v>21</v>
      </c>
      <c r="AD11" s="7"/>
      <c r="AE11" s="7">
        <v>2</v>
      </c>
      <c r="AF11" s="8"/>
      <c r="AG11" s="4">
        <f t="shared" si="2"/>
        <v>190</v>
      </c>
    </row>
    <row r="12" spans="1:33" ht="18.75" x14ac:dyDescent="0.25">
      <c r="A12" s="41" t="s">
        <v>43</v>
      </c>
      <c r="B12" s="7">
        <v>6</v>
      </c>
      <c r="C12" s="7">
        <v>8</v>
      </c>
      <c r="D12" s="7">
        <v>5</v>
      </c>
      <c r="E12" s="7">
        <v>1</v>
      </c>
      <c r="F12" s="7"/>
      <c r="G12" s="7">
        <v>8</v>
      </c>
      <c r="H12" s="7">
        <v>22</v>
      </c>
      <c r="I12" s="7"/>
      <c r="J12" s="7">
        <v>2</v>
      </c>
      <c r="K12" s="7">
        <v>3</v>
      </c>
      <c r="L12" s="7"/>
      <c r="M12" s="7"/>
      <c r="N12" s="7">
        <v>26</v>
      </c>
      <c r="O12" s="7">
        <v>19</v>
      </c>
      <c r="P12" s="7"/>
      <c r="Q12" s="7"/>
      <c r="R12" s="7">
        <v>1</v>
      </c>
      <c r="S12" s="7"/>
      <c r="T12" s="7">
        <v>14</v>
      </c>
      <c r="U12" s="7">
        <v>10</v>
      </c>
      <c r="V12" s="7">
        <v>17</v>
      </c>
      <c r="W12" s="7"/>
      <c r="X12" s="7"/>
      <c r="Y12" s="7">
        <v>1</v>
      </c>
      <c r="Z12" s="7"/>
      <c r="AA12" s="7"/>
      <c r="AB12" s="7">
        <v>19</v>
      </c>
      <c r="AC12" s="7">
        <v>17</v>
      </c>
      <c r="AD12" s="7"/>
      <c r="AE12" s="7"/>
      <c r="AF12" s="8"/>
      <c r="AG12" s="4">
        <f t="shared" si="2"/>
        <v>179</v>
      </c>
    </row>
    <row r="13" spans="1:33" ht="18.75" x14ac:dyDescent="0.25">
      <c r="A13" s="41" t="s">
        <v>44</v>
      </c>
      <c r="B13" s="7">
        <v>60</v>
      </c>
      <c r="C13" s="7">
        <v>55</v>
      </c>
      <c r="D13" s="7">
        <v>47</v>
      </c>
      <c r="E13" s="7">
        <v>53</v>
      </c>
      <c r="F13" s="7">
        <v>57</v>
      </c>
      <c r="G13" s="7">
        <v>15</v>
      </c>
      <c r="H13" s="7">
        <v>27</v>
      </c>
      <c r="I13" s="7"/>
      <c r="J13" s="7">
        <v>63</v>
      </c>
      <c r="K13" s="7">
        <v>52</v>
      </c>
      <c r="L13" s="7">
        <v>64</v>
      </c>
      <c r="M13" s="7">
        <v>55</v>
      </c>
      <c r="N13" s="7">
        <v>23</v>
      </c>
      <c r="O13" s="7">
        <v>14</v>
      </c>
      <c r="P13" s="7">
        <v>60</v>
      </c>
      <c r="Q13" s="7">
        <v>67</v>
      </c>
      <c r="R13" s="7">
        <v>64</v>
      </c>
      <c r="S13" s="7">
        <v>56</v>
      </c>
      <c r="T13" s="7">
        <v>14</v>
      </c>
      <c r="U13" s="7">
        <v>13</v>
      </c>
      <c r="V13" s="7">
        <v>25</v>
      </c>
      <c r="W13" s="7">
        <v>67</v>
      </c>
      <c r="X13" s="7">
        <v>73</v>
      </c>
      <c r="Y13" s="7">
        <v>62</v>
      </c>
      <c r="Z13" s="7">
        <v>55</v>
      </c>
      <c r="AA13" s="7">
        <v>58</v>
      </c>
      <c r="AB13" s="7">
        <v>16</v>
      </c>
      <c r="AC13" s="7">
        <v>24</v>
      </c>
      <c r="AD13" s="7">
        <v>71</v>
      </c>
      <c r="AE13" s="7">
        <v>65</v>
      </c>
      <c r="AF13" s="8"/>
      <c r="AG13" s="4">
        <f t="shared" si="2"/>
        <v>1375</v>
      </c>
    </row>
    <row r="14" spans="1:33" ht="18.75" x14ac:dyDescent="0.25">
      <c r="A14" s="41" t="s">
        <v>45</v>
      </c>
      <c r="B14" s="7">
        <v>20</v>
      </c>
      <c r="C14" s="7">
        <v>25</v>
      </c>
      <c r="D14" s="7">
        <v>23</v>
      </c>
      <c r="E14" s="7">
        <v>11</v>
      </c>
      <c r="F14" s="7">
        <v>17</v>
      </c>
      <c r="G14" s="7">
        <v>24</v>
      </c>
      <c r="H14" s="7">
        <v>16</v>
      </c>
      <c r="I14" s="7">
        <v>67</v>
      </c>
      <c r="J14" s="7">
        <v>21</v>
      </c>
      <c r="K14" s="7">
        <v>28</v>
      </c>
      <c r="L14" s="7">
        <v>18</v>
      </c>
      <c r="M14" s="7">
        <v>12</v>
      </c>
      <c r="N14" s="7">
        <v>9</v>
      </c>
      <c r="O14" s="7">
        <v>5</v>
      </c>
      <c r="P14" s="7">
        <v>26</v>
      </c>
      <c r="Q14" s="7">
        <v>19</v>
      </c>
      <c r="R14" s="7">
        <v>14</v>
      </c>
      <c r="S14" s="7">
        <v>19</v>
      </c>
      <c r="T14" s="7">
        <v>17</v>
      </c>
      <c r="U14" s="7">
        <v>19</v>
      </c>
      <c r="V14" s="7">
        <v>33</v>
      </c>
      <c r="W14" s="7">
        <v>37</v>
      </c>
      <c r="X14" s="7">
        <v>16</v>
      </c>
      <c r="Y14" s="7">
        <v>19</v>
      </c>
      <c r="Z14" s="7">
        <v>28</v>
      </c>
      <c r="AA14" s="7">
        <v>21</v>
      </c>
      <c r="AB14" s="7">
        <v>19</v>
      </c>
      <c r="AC14" s="7">
        <v>12</v>
      </c>
      <c r="AD14" s="7">
        <v>27</v>
      </c>
      <c r="AE14" s="7">
        <v>18</v>
      </c>
      <c r="AF14" s="8"/>
      <c r="AG14" s="4">
        <f t="shared" si="2"/>
        <v>640</v>
      </c>
    </row>
    <row r="15" spans="1:33" ht="18.75" x14ac:dyDescent="0.25">
      <c r="A15" s="41" t="s">
        <v>46</v>
      </c>
      <c r="B15" s="7">
        <v>21</v>
      </c>
      <c r="C15" s="7">
        <v>18</v>
      </c>
      <c r="D15" s="7">
        <v>22</v>
      </c>
      <c r="E15" s="7">
        <v>24</v>
      </c>
      <c r="F15" s="7">
        <v>19</v>
      </c>
      <c r="G15" s="7">
        <v>16</v>
      </c>
      <c r="H15" s="7">
        <v>18</v>
      </c>
      <c r="I15" s="7">
        <v>22</v>
      </c>
      <c r="J15" s="7">
        <v>23</v>
      </c>
      <c r="K15" s="7">
        <v>17</v>
      </c>
      <c r="L15" s="7">
        <v>11</v>
      </c>
      <c r="M15" s="7">
        <v>11</v>
      </c>
      <c r="N15" s="7">
        <v>19</v>
      </c>
      <c r="O15" s="7">
        <v>14</v>
      </c>
      <c r="P15" s="7">
        <v>29</v>
      </c>
      <c r="Q15" s="7">
        <v>20</v>
      </c>
      <c r="R15" s="7">
        <v>22</v>
      </c>
      <c r="S15" s="7">
        <v>16</v>
      </c>
      <c r="T15" s="7">
        <v>19</v>
      </c>
      <c r="U15" s="7">
        <v>19</v>
      </c>
      <c r="V15" s="7">
        <v>9</v>
      </c>
      <c r="W15" s="7">
        <v>22</v>
      </c>
      <c r="X15" s="7">
        <v>15</v>
      </c>
      <c r="Y15" s="7">
        <v>20</v>
      </c>
      <c r="Z15" s="7">
        <v>20</v>
      </c>
      <c r="AA15" s="7">
        <v>17</v>
      </c>
      <c r="AB15" s="7">
        <v>6</v>
      </c>
      <c r="AC15" s="7">
        <v>13</v>
      </c>
      <c r="AD15" s="7">
        <v>20</v>
      </c>
      <c r="AE15" s="7">
        <v>11</v>
      </c>
      <c r="AF15" s="8"/>
      <c r="AG15" s="4">
        <f t="shared" si="2"/>
        <v>533</v>
      </c>
    </row>
    <row r="16" spans="1:33" ht="18.75" x14ac:dyDescent="0.25">
      <c r="A16" s="41" t="s">
        <v>47</v>
      </c>
      <c r="B16" s="7">
        <v>21</v>
      </c>
      <c r="C16" s="7">
        <v>18</v>
      </c>
      <c r="D16" s="7">
        <v>18</v>
      </c>
      <c r="E16" s="7">
        <v>13</v>
      </c>
      <c r="F16" s="7">
        <v>20</v>
      </c>
      <c r="G16" s="7">
        <v>16</v>
      </c>
      <c r="H16" s="7">
        <v>8</v>
      </c>
      <c r="I16" s="7">
        <v>21</v>
      </c>
      <c r="J16" s="7">
        <v>14</v>
      </c>
      <c r="K16" s="7">
        <v>15</v>
      </c>
      <c r="L16" s="7">
        <v>13</v>
      </c>
      <c r="M16" s="7">
        <v>19</v>
      </c>
      <c r="N16" s="7">
        <v>9</v>
      </c>
      <c r="O16" s="7">
        <v>14</v>
      </c>
      <c r="P16" s="7">
        <v>22</v>
      </c>
      <c r="Q16" s="7">
        <v>16</v>
      </c>
      <c r="R16" s="7">
        <v>11</v>
      </c>
      <c r="S16" s="7">
        <v>14</v>
      </c>
      <c r="T16" s="7">
        <v>6</v>
      </c>
      <c r="U16" s="7">
        <v>10</v>
      </c>
      <c r="V16" s="7">
        <v>12</v>
      </c>
      <c r="W16" s="7">
        <v>13</v>
      </c>
      <c r="X16" s="7">
        <v>16</v>
      </c>
      <c r="Y16" s="7">
        <v>15</v>
      </c>
      <c r="Z16" s="7">
        <v>11</v>
      </c>
      <c r="AA16" s="7">
        <v>12</v>
      </c>
      <c r="AB16" s="7">
        <v>6</v>
      </c>
      <c r="AC16" s="7">
        <v>16</v>
      </c>
      <c r="AD16" s="7">
        <v>15</v>
      </c>
      <c r="AE16" s="7">
        <v>14</v>
      </c>
      <c r="AF16" s="8"/>
      <c r="AG16" s="4">
        <f t="shared" si="2"/>
        <v>428</v>
      </c>
    </row>
    <row r="17" spans="1:33" ht="18.75" x14ac:dyDescent="0.25">
      <c r="A17" s="41" t="s">
        <v>48</v>
      </c>
      <c r="B17" s="7">
        <v>24</v>
      </c>
      <c r="C17" s="7">
        <v>18</v>
      </c>
      <c r="D17" s="7">
        <v>16</v>
      </c>
      <c r="E17" s="7">
        <v>22</v>
      </c>
      <c r="F17" s="7">
        <v>18</v>
      </c>
      <c r="G17" s="7">
        <v>9</v>
      </c>
      <c r="H17" s="7">
        <v>19</v>
      </c>
      <c r="I17" s="7">
        <v>23</v>
      </c>
      <c r="J17" s="7">
        <v>7</v>
      </c>
      <c r="K17" s="7">
        <v>15</v>
      </c>
      <c r="L17" s="7">
        <v>12</v>
      </c>
      <c r="M17" s="7">
        <v>14</v>
      </c>
      <c r="N17" s="7">
        <v>9</v>
      </c>
      <c r="O17" s="7">
        <v>8</v>
      </c>
      <c r="P17" s="7">
        <v>25</v>
      </c>
      <c r="Q17" s="7">
        <v>11</v>
      </c>
      <c r="R17" s="7">
        <v>19</v>
      </c>
      <c r="S17" s="7">
        <v>11</v>
      </c>
      <c r="T17" s="7">
        <v>10</v>
      </c>
      <c r="U17" s="7">
        <v>9</v>
      </c>
      <c r="V17" s="7">
        <v>11</v>
      </c>
      <c r="W17" s="7">
        <v>14</v>
      </c>
      <c r="X17" s="7">
        <v>14</v>
      </c>
      <c r="Y17" s="7">
        <v>15</v>
      </c>
      <c r="Z17" s="7">
        <v>7</v>
      </c>
      <c r="AA17" s="7">
        <v>26</v>
      </c>
      <c r="AB17" s="7">
        <v>12</v>
      </c>
      <c r="AC17" s="7">
        <v>11</v>
      </c>
      <c r="AD17" s="7">
        <v>12</v>
      </c>
      <c r="AE17" s="7">
        <v>12</v>
      </c>
      <c r="AF17" s="8"/>
      <c r="AG17" s="4">
        <f t="shared" si="2"/>
        <v>433</v>
      </c>
    </row>
    <row r="18" spans="1:33" ht="18.75" x14ac:dyDescent="0.25">
      <c r="A18" s="41" t="s">
        <v>49</v>
      </c>
      <c r="B18" s="7">
        <v>14</v>
      </c>
      <c r="C18" s="7">
        <v>19</v>
      </c>
      <c r="D18" s="7">
        <v>8</v>
      </c>
      <c r="E18" s="7">
        <v>19</v>
      </c>
      <c r="F18" s="7">
        <v>6</v>
      </c>
      <c r="G18" s="7">
        <v>11</v>
      </c>
      <c r="H18" s="7">
        <v>9</v>
      </c>
      <c r="I18" s="7">
        <v>15</v>
      </c>
      <c r="J18" s="7">
        <v>6</v>
      </c>
      <c r="K18" s="7">
        <v>6</v>
      </c>
      <c r="L18" s="7">
        <v>8</v>
      </c>
      <c r="M18" s="7">
        <v>8</v>
      </c>
      <c r="N18" s="7">
        <v>2</v>
      </c>
      <c r="O18" s="7">
        <v>10</v>
      </c>
      <c r="P18" s="7">
        <v>14</v>
      </c>
      <c r="Q18" s="7">
        <v>12</v>
      </c>
      <c r="R18" s="7">
        <v>14</v>
      </c>
      <c r="S18" s="7">
        <v>12</v>
      </c>
      <c r="T18" s="7">
        <v>11</v>
      </c>
      <c r="U18" s="7">
        <v>7</v>
      </c>
      <c r="V18" s="7">
        <v>12</v>
      </c>
      <c r="W18" s="7">
        <v>13</v>
      </c>
      <c r="X18" s="7">
        <v>11</v>
      </c>
      <c r="Y18" s="7">
        <v>9</v>
      </c>
      <c r="Z18" s="7">
        <v>3</v>
      </c>
      <c r="AA18" s="7">
        <v>10</v>
      </c>
      <c r="AB18" s="7">
        <v>5</v>
      </c>
      <c r="AC18" s="7">
        <v>18</v>
      </c>
      <c r="AD18" s="7">
        <v>12</v>
      </c>
      <c r="AE18" s="7">
        <v>9</v>
      </c>
      <c r="AF18" s="8"/>
      <c r="AG18" s="4">
        <f t="shared" si="2"/>
        <v>313</v>
      </c>
    </row>
    <row r="19" spans="1:33" ht="18.75" x14ac:dyDescent="0.25">
      <c r="A19" s="41" t="s">
        <v>50</v>
      </c>
      <c r="B19" s="7">
        <v>12</v>
      </c>
      <c r="C19" s="7">
        <v>5</v>
      </c>
      <c r="D19" s="7">
        <v>2</v>
      </c>
      <c r="E19" s="7">
        <v>5</v>
      </c>
      <c r="F19" s="7">
        <v>3</v>
      </c>
      <c r="G19" s="7">
        <v>7</v>
      </c>
      <c r="H19" s="7">
        <v>10</v>
      </c>
      <c r="I19" s="7">
        <v>16</v>
      </c>
      <c r="J19" s="7">
        <v>9</v>
      </c>
      <c r="K19" s="7">
        <v>14</v>
      </c>
      <c r="L19" s="7">
        <v>3</v>
      </c>
      <c r="M19" s="7">
        <v>5</v>
      </c>
      <c r="N19" s="7">
        <v>2</v>
      </c>
      <c r="O19" s="7">
        <v>4</v>
      </c>
      <c r="P19" s="7">
        <v>8</v>
      </c>
      <c r="Q19" s="7">
        <v>6</v>
      </c>
      <c r="R19" s="7">
        <v>4</v>
      </c>
      <c r="S19" s="7">
        <v>7</v>
      </c>
      <c r="T19" s="7">
        <v>5</v>
      </c>
      <c r="U19" s="7">
        <v>7</v>
      </c>
      <c r="V19" s="7">
        <v>6</v>
      </c>
      <c r="W19" s="7">
        <v>2</v>
      </c>
      <c r="X19" s="7">
        <v>8</v>
      </c>
      <c r="Y19" s="7">
        <v>8</v>
      </c>
      <c r="Z19" s="7">
        <v>9</v>
      </c>
      <c r="AA19" s="7">
        <v>9</v>
      </c>
      <c r="AB19" s="7">
        <v>9</v>
      </c>
      <c r="AC19" s="7">
        <v>4</v>
      </c>
      <c r="AD19" s="7">
        <v>10</v>
      </c>
      <c r="AE19" s="7">
        <v>3</v>
      </c>
      <c r="AF19" s="8"/>
      <c r="AG19" s="4">
        <f t="shared" si="2"/>
        <v>202</v>
      </c>
    </row>
    <row r="20" spans="1:33" ht="18.75" x14ac:dyDescent="0.25">
      <c r="A20" s="41" t="s">
        <v>33</v>
      </c>
      <c r="B20" s="7">
        <v>8</v>
      </c>
      <c r="C20" s="7">
        <v>5</v>
      </c>
      <c r="D20" s="7">
        <v>2</v>
      </c>
      <c r="E20" s="7">
        <v>2</v>
      </c>
      <c r="F20" s="7">
        <v>7</v>
      </c>
      <c r="G20" s="7">
        <v>7</v>
      </c>
      <c r="H20" s="7">
        <v>2</v>
      </c>
      <c r="I20" s="7">
        <v>7</v>
      </c>
      <c r="J20" s="7">
        <v>2</v>
      </c>
      <c r="K20" s="7">
        <v>1</v>
      </c>
      <c r="L20" s="7">
        <v>4</v>
      </c>
      <c r="M20" s="7">
        <v>4</v>
      </c>
      <c r="N20" s="7">
        <v>4</v>
      </c>
      <c r="O20" s="7">
        <v>7</v>
      </c>
      <c r="P20" s="7"/>
      <c r="Q20" s="7">
        <v>2</v>
      </c>
      <c r="R20" s="7">
        <v>8</v>
      </c>
      <c r="S20" s="7">
        <v>6</v>
      </c>
      <c r="T20" s="7">
        <v>1</v>
      </c>
      <c r="U20" s="7">
        <v>6</v>
      </c>
      <c r="V20" s="7">
        <v>3</v>
      </c>
      <c r="W20" s="7">
        <v>1</v>
      </c>
      <c r="X20" s="7">
        <v>3</v>
      </c>
      <c r="Y20" s="7">
        <v>4</v>
      </c>
      <c r="Z20" s="7">
        <v>4</v>
      </c>
      <c r="AA20" s="7">
        <v>3</v>
      </c>
      <c r="AB20" s="7">
        <v>1</v>
      </c>
      <c r="AC20" s="7">
        <v>6</v>
      </c>
      <c r="AD20" s="7">
        <v>3</v>
      </c>
      <c r="AE20" s="7">
        <v>6</v>
      </c>
      <c r="AF20" s="8"/>
      <c r="AG20" s="4">
        <f t="shared" si="2"/>
        <v>119</v>
      </c>
    </row>
    <row r="21" spans="1:33" ht="18.75" x14ac:dyDescent="0.25">
      <c r="A21" s="41" t="s">
        <v>34</v>
      </c>
      <c r="B21" s="7">
        <v>2</v>
      </c>
      <c r="C21" s="7">
        <v>2</v>
      </c>
      <c r="D21" s="7">
        <v>5</v>
      </c>
      <c r="E21" s="7">
        <v>6</v>
      </c>
      <c r="F21" s="7">
        <v>2</v>
      </c>
      <c r="G21" s="7">
        <v>1</v>
      </c>
      <c r="H21" s="7">
        <v>3</v>
      </c>
      <c r="I21" s="7"/>
      <c r="J21" s="7">
        <v>1</v>
      </c>
      <c r="K21" s="7"/>
      <c r="L21" s="7">
        <v>5</v>
      </c>
      <c r="M21" s="7">
        <v>3</v>
      </c>
      <c r="N21" s="7">
        <v>3</v>
      </c>
      <c r="O21" s="7">
        <v>2</v>
      </c>
      <c r="P21" s="7"/>
      <c r="Q21" s="7">
        <v>3</v>
      </c>
      <c r="R21" s="7">
        <v>3</v>
      </c>
      <c r="S21" s="7">
        <v>3</v>
      </c>
      <c r="T21" s="7">
        <v>1</v>
      </c>
      <c r="U21" s="7">
        <v>4</v>
      </c>
      <c r="V21" s="7">
        <v>4</v>
      </c>
      <c r="W21" s="7">
        <v>1</v>
      </c>
      <c r="X21" s="7">
        <v>1</v>
      </c>
      <c r="Y21" s="7">
        <v>5</v>
      </c>
      <c r="Z21" s="7">
        <v>5</v>
      </c>
      <c r="AA21" s="7">
        <v>6</v>
      </c>
      <c r="AB21" s="7">
        <v>1</v>
      </c>
      <c r="AC21" s="7">
        <v>1</v>
      </c>
      <c r="AD21" s="7"/>
      <c r="AE21" s="7">
        <v>4</v>
      </c>
      <c r="AF21" s="8"/>
      <c r="AG21" s="4">
        <f t="shared" si="2"/>
        <v>77</v>
      </c>
    </row>
    <row r="22" spans="1:33" ht="18.75" x14ac:dyDescent="0.25">
      <c r="A22" s="41" t="s">
        <v>35</v>
      </c>
      <c r="B22" s="7">
        <v>6</v>
      </c>
      <c r="C22" s="7"/>
      <c r="D22" s="7">
        <v>2</v>
      </c>
      <c r="E22" s="7">
        <v>1</v>
      </c>
      <c r="F22" s="7">
        <v>3</v>
      </c>
      <c r="G22" s="7">
        <v>3</v>
      </c>
      <c r="H22" s="7">
        <v>1</v>
      </c>
      <c r="I22" s="7">
        <v>1</v>
      </c>
      <c r="J22" s="7">
        <v>1</v>
      </c>
      <c r="K22" s="7">
        <v>2</v>
      </c>
      <c r="L22" s="7"/>
      <c r="M22" s="7">
        <v>4</v>
      </c>
      <c r="N22" s="7">
        <v>2</v>
      </c>
      <c r="O22" s="7">
        <v>2</v>
      </c>
      <c r="P22" s="7">
        <v>5</v>
      </c>
      <c r="Q22" s="7"/>
      <c r="R22" s="7">
        <v>4</v>
      </c>
      <c r="S22" s="7">
        <v>3</v>
      </c>
      <c r="T22" s="7">
        <v>3</v>
      </c>
      <c r="U22" s="7">
        <v>2</v>
      </c>
      <c r="V22" s="7">
        <v>2</v>
      </c>
      <c r="W22" s="7"/>
      <c r="X22" s="7"/>
      <c r="Y22" s="7"/>
      <c r="Z22" s="7"/>
      <c r="AA22" s="7"/>
      <c r="AB22" s="7">
        <v>2</v>
      </c>
      <c r="AC22" s="7">
        <v>1</v>
      </c>
      <c r="AD22" s="7">
        <v>1</v>
      </c>
      <c r="AE22" s="7">
        <v>8</v>
      </c>
      <c r="AF22" s="8"/>
      <c r="AG22" s="4">
        <f t="shared" si="2"/>
        <v>59</v>
      </c>
    </row>
    <row r="23" spans="1:33" ht="18.75" x14ac:dyDescent="0.25">
      <c r="A23" s="41" t="s">
        <v>36</v>
      </c>
      <c r="B23" s="7">
        <v>1</v>
      </c>
      <c r="C23" s="7">
        <v>1</v>
      </c>
      <c r="D23" s="7">
        <v>4</v>
      </c>
      <c r="E23" s="7">
        <v>2</v>
      </c>
      <c r="F23" s="7">
        <v>2</v>
      </c>
      <c r="G23" s="7"/>
      <c r="H23" s="7">
        <v>1</v>
      </c>
      <c r="I23" s="7"/>
      <c r="J23" s="7"/>
      <c r="K23" s="7"/>
      <c r="L23" s="7">
        <v>2</v>
      </c>
      <c r="M23" s="7">
        <v>2</v>
      </c>
      <c r="N23" s="7">
        <v>1</v>
      </c>
      <c r="O23" s="7">
        <v>2</v>
      </c>
      <c r="P23" s="7">
        <v>2</v>
      </c>
      <c r="Q23" s="7">
        <v>4</v>
      </c>
      <c r="R23" s="7">
        <v>1</v>
      </c>
      <c r="S23" s="7">
        <v>2</v>
      </c>
      <c r="T23" s="7">
        <v>2</v>
      </c>
      <c r="U23" s="7">
        <v>2</v>
      </c>
      <c r="V23" s="7">
        <v>2</v>
      </c>
      <c r="W23" s="7"/>
      <c r="X23" s="7"/>
      <c r="Y23" s="7">
        <v>1</v>
      </c>
      <c r="Z23" s="7"/>
      <c r="AA23" s="7">
        <v>1</v>
      </c>
      <c r="AB23" s="7"/>
      <c r="AC23" s="7"/>
      <c r="AD23" s="7"/>
      <c r="AE23" s="7">
        <v>2</v>
      </c>
      <c r="AF23" s="8"/>
      <c r="AG23" s="4">
        <f t="shared" si="2"/>
        <v>37</v>
      </c>
    </row>
    <row r="24" spans="1:33" ht="18.75" x14ac:dyDescent="0.25">
      <c r="A24" s="41" t="s">
        <v>51</v>
      </c>
      <c r="B24" s="7">
        <v>1</v>
      </c>
      <c r="C24" s="7">
        <v>1</v>
      </c>
      <c r="D24" s="7">
        <v>2</v>
      </c>
      <c r="E24" s="7">
        <v>1</v>
      </c>
      <c r="F24" s="7">
        <v>2</v>
      </c>
      <c r="G24" s="7"/>
      <c r="H24" s="7"/>
      <c r="I24" s="7">
        <v>5</v>
      </c>
      <c r="J24" s="7"/>
      <c r="K24" s="7"/>
      <c r="L24" s="7"/>
      <c r="M24" s="7">
        <v>3</v>
      </c>
      <c r="N24" s="7">
        <v>1</v>
      </c>
      <c r="O24" s="7">
        <v>2</v>
      </c>
      <c r="P24" s="7">
        <v>2</v>
      </c>
      <c r="Q24" s="7"/>
      <c r="R24" s="7">
        <v>1</v>
      </c>
      <c r="S24" s="7">
        <v>4</v>
      </c>
      <c r="T24" s="7">
        <v>1</v>
      </c>
      <c r="U24" s="7"/>
      <c r="V24" s="7">
        <v>1</v>
      </c>
      <c r="W24" s="7"/>
      <c r="X24" s="7">
        <v>3</v>
      </c>
      <c r="Y24" s="7"/>
      <c r="Z24" s="7">
        <v>1</v>
      </c>
      <c r="AA24" s="7">
        <v>2</v>
      </c>
      <c r="AB24" s="7">
        <v>1</v>
      </c>
      <c r="AC24" s="7">
        <v>1</v>
      </c>
      <c r="AD24" s="7"/>
      <c r="AE24" s="7">
        <v>2</v>
      </c>
      <c r="AF24" s="8"/>
      <c r="AG24" s="4">
        <f t="shared" si="2"/>
        <v>37</v>
      </c>
    </row>
    <row r="25" spans="1:33" ht="18.75" x14ac:dyDescent="0.25">
      <c r="A25" s="41" t="s">
        <v>52</v>
      </c>
      <c r="B25" s="7"/>
      <c r="C25" s="7">
        <v>1</v>
      </c>
      <c r="D25" s="7"/>
      <c r="E25" s="7"/>
      <c r="F25" s="7">
        <v>2</v>
      </c>
      <c r="G25" s="7"/>
      <c r="H25" s="7"/>
      <c r="I25" s="7"/>
      <c r="J25" s="7">
        <v>1</v>
      </c>
      <c r="K25" s="7">
        <v>5</v>
      </c>
      <c r="L25" s="7">
        <v>1</v>
      </c>
      <c r="M25" s="7">
        <v>1</v>
      </c>
      <c r="N25" s="7">
        <v>2</v>
      </c>
      <c r="O25" s="7"/>
      <c r="P25" s="7"/>
      <c r="Q25" s="7"/>
      <c r="R25" s="7">
        <v>1</v>
      </c>
      <c r="S25" s="7">
        <v>1</v>
      </c>
      <c r="T25" s="7"/>
      <c r="U25" s="7">
        <v>2</v>
      </c>
      <c r="V25" s="7">
        <v>1</v>
      </c>
      <c r="W25" s="7"/>
      <c r="X25" s="7">
        <v>1</v>
      </c>
      <c r="Y25" s="7"/>
      <c r="Z25" s="7"/>
      <c r="AA25" s="7">
        <v>1</v>
      </c>
      <c r="AB25" s="7">
        <v>2</v>
      </c>
      <c r="AC25" s="7"/>
      <c r="AD25" s="7"/>
      <c r="AE25" s="7"/>
      <c r="AF25" s="8"/>
      <c r="AG25" s="4">
        <f t="shared" si="2"/>
        <v>22</v>
      </c>
    </row>
    <row r="26" spans="1:33" ht="18.75" x14ac:dyDescent="0.25">
      <c r="A26" s="41" t="s">
        <v>37</v>
      </c>
      <c r="B26" s="7"/>
      <c r="C26" s="7">
        <v>1</v>
      </c>
      <c r="D26" s="7"/>
      <c r="E26" s="7">
        <v>2</v>
      </c>
      <c r="F26" s="7">
        <v>1</v>
      </c>
      <c r="G26" s="7">
        <v>2</v>
      </c>
      <c r="H26" s="7">
        <v>2</v>
      </c>
      <c r="I26" s="7"/>
      <c r="J26" s="7">
        <v>4</v>
      </c>
      <c r="K26" s="7"/>
      <c r="L26" s="7">
        <v>1</v>
      </c>
      <c r="M26" s="7">
        <v>1</v>
      </c>
      <c r="N26" s="7"/>
      <c r="O26" s="7"/>
      <c r="P26" s="7"/>
      <c r="Q26" s="7">
        <v>3</v>
      </c>
      <c r="R26" s="7">
        <v>2</v>
      </c>
      <c r="S26" s="7">
        <v>3</v>
      </c>
      <c r="T26" s="7">
        <v>3</v>
      </c>
      <c r="U26" s="7">
        <v>2</v>
      </c>
      <c r="V26" s="7"/>
      <c r="W26" s="7"/>
      <c r="X26" s="7"/>
      <c r="Y26" s="7">
        <v>1</v>
      </c>
      <c r="Z26" s="7"/>
      <c r="AA26" s="7"/>
      <c r="AB26" s="7">
        <v>1</v>
      </c>
      <c r="AC26" s="7"/>
      <c r="AD26" s="7">
        <v>1</v>
      </c>
      <c r="AE26" s="7">
        <v>2</v>
      </c>
      <c r="AF26" s="8"/>
      <c r="AG26" s="4">
        <f t="shared" si="2"/>
        <v>32</v>
      </c>
    </row>
    <row r="27" spans="1:33" ht="19.5" thickBot="1" x14ac:dyDescent="0.3">
      <c r="A27" s="81" t="s">
        <v>53</v>
      </c>
      <c r="B27" s="78"/>
      <c r="C27" s="78"/>
      <c r="D27" s="78"/>
      <c r="E27" s="78">
        <v>1</v>
      </c>
      <c r="F27" s="78">
        <v>1</v>
      </c>
      <c r="G27" s="78">
        <v>2</v>
      </c>
      <c r="H27" s="78">
        <v>1</v>
      </c>
      <c r="I27" s="78"/>
      <c r="J27" s="78">
        <v>2</v>
      </c>
      <c r="K27" s="78"/>
      <c r="L27" s="78"/>
      <c r="M27" s="78">
        <v>4</v>
      </c>
      <c r="N27" s="78">
        <v>2</v>
      </c>
      <c r="O27" s="78"/>
      <c r="P27" s="78">
        <v>1</v>
      </c>
      <c r="Q27" s="78"/>
      <c r="R27" s="78"/>
      <c r="S27" s="78"/>
      <c r="T27" s="78">
        <v>1</v>
      </c>
      <c r="U27" s="78">
        <v>1</v>
      </c>
      <c r="V27" s="78">
        <v>1</v>
      </c>
      <c r="W27" s="78">
        <v>1</v>
      </c>
      <c r="X27" s="78"/>
      <c r="Y27" s="78"/>
      <c r="Z27" s="78"/>
      <c r="AA27" s="78">
        <v>1</v>
      </c>
      <c r="AB27" s="78"/>
      <c r="AC27" s="78">
        <v>2</v>
      </c>
      <c r="AD27" s="78"/>
      <c r="AE27" s="78">
        <v>1</v>
      </c>
      <c r="AF27" s="83"/>
      <c r="AG27" s="4">
        <f t="shared" si="2"/>
        <v>22</v>
      </c>
    </row>
    <row r="28" spans="1:33" ht="18.75" x14ac:dyDescent="0.25">
      <c r="A28" s="79" t="s">
        <v>107</v>
      </c>
      <c r="B28" s="80">
        <f>SUM(B29:B52)</f>
        <v>182</v>
      </c>
      <c r="C28" s="80">
        <f t="shared" ref="C28:AF28" si="3">SUM(C29:C52)</f>
        <v>193</v>
      </c>
      <c r="D28" s="80">
        <f t="shared" si="3"/>
        <v>176</v>
      </c>
      <c r="E28" s="80">
        <f t="shared" si="3"/>
        <v>146</v>
      </c>
      <c r="F28" s="80">
        <f t="shared" si="3"/>
        <v>137</v>
      </c>
      <c r="G28" s="80">
        <f t="shared" si="3"/>
        <v>222</v>
      </c>
      <c r="H28" s="80">
        <f t="shared" si="3"/>
        <v>216</v>
      </c>
      <c r="I28" s="80">
        <f t="shared" si="3"/>
        <v>153</v>
      </c>
      <c r="J28" s="80">
        <f t="shared" si="3"/>
        <v>142</v>
      </c>
      <c r="K28" s="80">
        <f t="shared" si="3"/>
        <v>156</v>
      </c>
      <c r="L28" s="80">
        <f t="shared" si="3"/>
        <v>129</v>
      </c>
      <c r="M28" s="80">
        <f t="shared" si="3"/>
        <v>141</v>
      </c>
      <c r="N28" s="80">
        <f t="shared" si="3"/>
        <v>205</v>
      </c>
      <c r="O28" s="80">
        <f t="shared" si="3"/>
        <v>200</v>
      </c>
      <c r="P28" s="80">
        <f t="shared" si="3"/>
        <v>163</v>
      </c>
      <c r="Q28" s="80">
        <f t="shared" si="3"/>
        <v>154</v>
      </c>
      <c r="R28" s="80">
        <f t="shared" si="3"/>
        <v>162</v>
      </c>
      <c r="S28" s="80">
        <f t="shared" si="3"/>
        <v>152</v>
      </c>
      <c r="T28" s="80">
        <f t="shared" si="3"/>
        <v>188</v>
      </c>
      <c r="U28" s="80">
        <f t="shared" si="3"/>
        <v>223</v>
      </c>
      <c r="V28" s="80">
        <f t="shared" si="3"/>
        <v>215</v>
      </c>
      <c r="W28" s="80">
        <f t="shared" si="3"/>
        <v>152</v>
      </c>
      <c r="X28" s="80">
        <f t="shared" si="3"/>
        <v>148</v>
      </c>
      <c r="Y28" s="80">
        <f t="shared" si="3"/>
        <v>149</v>
      </c>
      <c r="Z28" s="80">
        <f t="shared" si="3"/>
        <v>123</v>
      </c>
      <c r="AA28" s="80">
        <f t="shared" si="3"/>
        <v>152</v>
      </c>
      <c r="AB28" s="80">
        <f t="shared" si="3"/>
        <v>210</v>
      </c>
      <c r="AC28" s="80">
        <f t="shared" si="3"/>
        <v>219</v>
      </c>
      <c r="AD28" s="80">
        <f t="shared" si="3"/>
        <v>156</v>
      </c>
      <c r="AE28" s="80">
        <f>SUM(AE29:AE52)</f>
        <v>150</v>
      </c>
      <c r="AF28" s="80">
        <f t="shared" si="3"/>
        <v>0</v>
      </c>
      <c r="AG28" s="150">
        <f t="shared" si="2"/>
        <v>5114</v>
      </c>
    </row>
    <row r="29" spans="1:33" ht="18.75" x14ac:dyDescent="0.25">
      <c r="A29" s="41" t="s">
        <v>54</v>
      </c>
      <c r="B29" s="7"/>
      <c r="C29" s="7"/>
      <c r="D29" s="7"/>
      <c r="E29" s="7"/>
      <c r="F29" s="7"/>
      <c r="G29" s="7">
        <v>3</v>
      </c>
      <c r="H29" s="7">
        <v>2</v>
      </c>
      <c r="I29" s="7"/>
      <c r="J29" s="7">
        <v>1</v>
      </c>
      <c r="K29" s="7"/>
      <c r="L29" s="7"/>
      <c r="M29" s="7">
        <v>3</v>
      </c>
      <c r="N29" s="7">
        <v>4</v>
      </c>
      <c r="O29" s="7">
        <v>2</v>
      </c>
      <c r="P29" s="7"/>
      <c r="Q29" s="7"/>
      <c r="R29" s="7"/>
      <c r="S29" s="7"/>
      <c r="T29" s="7">
        <v>9</v>
      </c>
      <c r="U29" s="7">
        <v>1</v>
      </c>
      <c r="V29" s="7">
        <v>4</v>
      </c>
      <c r="W29" s="7"/>
      <c r="X29" s="7"/>
      <c r="Y29" s="7"/>
      <c r="Z29" s="7"/>
      <c r="AA29" s="7">
        <v>1</v>
      </c>
      <c r="AB29" s="7">
        <v>5</v>
      </c>
      <c r="AC29" s="7">
        <v>2</v>
      </c>
      <c r="AD29" s="7"/>
      <c r="AE29" s="7"/>
      <c r="AF29" s="8"/>
      <c r="AG29" s="4">
        <f t="shared" si="2"/>
        <v>37</v>
      </c>
    </row>
    <row r="30" spans="1:33" ht="18.75" x14ac:dyDescent="0.25">
      <c r="A30" s="41" t="s">
        <v>55</v>
      </c>
      <c r="B30" s="7"/>
      <c r="C30" s="7"/>
      <c r="D30" s="7"/>
      <c r="E30" s="7"/>
      <c r="F30" s="7"/>
      <c r="G30" s="7">
        <v>9</v>
      </c>
      <c r="H30" s="7">
        <v>4</v>
      </c>
      <c r="I30" s="7"/>
      <c r="J30" s="7"/>
      <c r="K30" s="7"/>
      <c r="L30" s="7"/>
      <c r="M30" s="7"/>
      <c r="N30" s="7">
        <v>6</v>
      </c>
      <c r="O30" s="7">
        <v>3</v>
      </c>
      <c r="P30" s="7"/>
      <c r="Q30" s="7"/>
      <c r="R30" s="7"/>
      <c r="S30" s="7"/>
      <c r="T30" s="7"/>
      <c r="U30" s="7">
        <v>4</v>
      </c>
      <c r="V30" s="7">
        <v>6</v>
      </c>
      <c r="W30" s="7"/>
      <c r="X30" s="7"/>
      <c r="Y30" s="7"/>
      <c r="Z30" s="7"/>
      <c r="AA30" s="7"/>
      <c r="AB30" s="7">
        <v>5</v>
      </c>
      <c r="AC30" s="7">
        <v>1</v>
      </c>
      <c r="AD30" s="7"/>
      <c r="AE30" s="7"/>
      <c r="AF30" s="8"/>
      <c r="AG30" s="4">
        <f t="shared" si="2"/>
        <v>38</v>
      </c>
    </row>
    <row r="31" spans="1:33" ht="18.75" x14ac:dyDescent="0.25">
      <c r="A31" s="41" t="s">
        <v>56</v>
      </c>
      <c r="B31" s="7"/>
      <c r="C31" s="7"/>
      <c r="D31" s="7"/>
      <c r="E31" s="7"/>
      <c r="F31" s="7"/>
      <c r="G31" s="7">
        <v>11</v>
      </c>
      <c r="H31" s="7">
        <v>13</v>
      </c>
      <c r="I31" s="7"/>
      <c r="J31" s="7"/>
      <c r="K31" s="7"/>
      <c r="L31" s="7"/>
      <c r="M31" s="7"/>
      <c r="N31" s="7">
        <v>12</v>
      </c>
      <c r="O31" s="7">
        <v>9</v>
      </c>
      <c r="P31" s="7"/>
      <c r="Q31" s="7"/>
      <c r="R31" s="7"/>
      <c r="S31" s="7"/>
      <c r="T31" s="7">
        <v>10</v>
      </c>
      <c r="U31" s="7">
        <v>13</v>
      </c>
      <c r="V31" s="7">
        <v>11</v>
      </c>
      <c r="W31" s="7"/>
      <c r="X31" s="7"/>
      <c r="Y31" s="7"/>
      <c r="Z31" s="7"/>
      <c r="AA31" s="7"/>
      <c r="AB31" s="7">
        <v>10</v>
      </c>
      <c r="AC31" s="7">
        <v>8</v>
      </c>
      <c r="AD31" s="7"/>
      <c r="AE31" s="7"/>
      <c r="AF31" s="8"/>
      <c r="AG31" s="4">
        <f t="shared" si="2"/>
        <v>97</v>
      </c>
    </row>
    <row r="32" spans="1:33" ht="18.75" x14ac:dyDescent="0.25">
      <c r="A32" s="41" t="s">
        <v>38</v>
      </c>
      <c r="B32" s="7">
        <v>4</v>
      </c>
      <c r="C32" s="7">
        <v>4</v>
      </c>
      <c r="D32" s="7">
        <v>4</v>
      </c>
      <c r="E32" s="7">
        <v>1</v>
      </c>
      <c r="F32" s="7"/>
      <c r="G32" s="7">
        <v>15</v>
      </c>
      <c r="H32" s="7">
        <v>13</v>
      </c>
      <c r="I32" s="7"/>
      <c r="J32" s="7"/>
      <c r="K32" s="7">
        <v>2</v>
      </c>
      <c r="L32" s="7"/>
      <c r="M32" s="7">
        <v>1</v>
      </c>
      <c r="N32" s="7">
        <v>18</v>
      </c>
      <c r="O32" s="7">
        <v>16</v>
      </c>
      <c r="P32" s="7">
        <v>3</v>
      </c>
      <c r="Q32" s="7">
        <v>2</v>
      </c>
      <c r="R32" s="7">
        <v>1</v>
      </c>
      <c r="S32" s="7"/>
      <c r="T32" s="7">
        <v>14</v>
      </c>
      <c r="U32" s="7">
        <v>17</v>
      </c>
      <c r="V32" s="7">
        <v>13</v>
      </c>
      <c r="W32" s="7">
        <v>2</v>
      </c>
      <c r="X32" s="7"/>
      <c r="Y32" s="7"/>
      <c r="Z32" s="7"/>
      <c r="AA32" s="7">
        <v>2</v>
      </c>
      <c r="AB32" s="7">
        <v>16</v>
      </c>
      <c r="AC32" s="7">
        <v>18</v>
      </c>
      <c r="AD32" s="7">
        <v>1</v>
      </c>
      <c r="AE32" s="7"/>
      <c r="AF32" s="8"/>
      <c r="AG32" s="4">
        <f t="shared" si="2"/>
        <v>167</v>
      </c>
    </row>
    <row r="33" spans="1:33" ht="18.75" x14ac:dyDescent="0.25">
      <c r="A33" s="41" t="s">
        <v>39</v>
      </c>
      <c r="B33" s="7">
        <v>6</v>
      </c>
      <c r="C33" s="7">
        <v>11</v>
      </c>
      <c r="D33" s="7">
        <v>5</v>
      </c>
      <c r="E33" s="7"/>
      <c r="F33" s="7"/>
      <c r="G33" s="7">
        <v>12</v>
      </c>
      <c r="H33" s="7">
        <v>13</v>
      </c>
      <c r="I33" s="7">
        <v>1</v>
      </c>
      <c r="J33" s="7">
        <v>1</v>
      </c>
      <c r="K33" s="7">
        <v>2</v>
      </c>
      <c r="L33" s="7">
        <v>1</v>
      </c>
      <c r="M33" s="7"/>
      <c r="N33" s="7">
        <v>12</v>
      </c>
      <c r="O33" s="7">
        <v>9</v>
      </c>
      <c r="P33" s="7">
        <v>1</v>
      </c>
      <c r="Q33" s="7">
        <v>1</v>
      </c>
      <c r="R33" s="7">
        <v>1</v>
      </c>
      <c r="S33" s="7"/>
      <c r="T33" s="7">
        <v>7</v>
      </c>
      <c r="U33" s="7">
        <v>14</v>
      </c>
      <c r="V33" s="7">
        <v>10</v>
      </c>
      <c r="W33" s="7">
        <v>2</v>
      </c>
      <c r="X33" s="7"/>
      <c r="Y33" s="7"/>
      <c r="Z33" s="7"/>
      <c r="AA33" s="7"/>
      <c r="AB33" s="7">
        <v>14</v>
      </c>
      <c r="AC33" s="7">
        <v>11</v>
      </c>
      <c r="AD33" s="7">
        <v>2</v>
      </c>
      <c r="AE33" s="7"/>
      <c r="AF33" s="8"/>
      <c r="AG33" s="4">
        <f t="shared" si="2"/>
        <v>136</v>
      </c>
    </row>
    <row r="34" spans="1:33" ht="18.75" x14ac:dyDescent="0.25">
      <c r="A34" s="41" t="s">
        <v>40</v>
      </c>
      <c r="B34" s="7">
        <v>6</v>
      </c>
      <c r="C34" s="7">
        <v>3</v>
      </c>
      <c r="D34" s="7">
        <v>2</v>
      </c>
      <c r="E34" s="7"/>
      <c r="F34" s="7"/>
      <c r="G34" s="7">
        <v>13</v>
      </c>
      <c r="H34" s="7">
        <v>7</v>
      </c>
      <c r="I34" s="7"/>
      <c r="J34" s="7"/>
      <c r="K34" s="7">
        <v>2</v>
      </c>
      <c r="L34" s="7"/>
      <c r="M34" s="7"/>
      <c r="N34" s="7">
        <v>8</v>
      </c>
      <c r="O34" s="7">
        <v>9</v>
      </c>
      <c r="P34" s="7"/>
      <c r="Q34" s="7"/>
      <c r="R34" s="7"/>
      <c r="S34" s="7"/>
      <c r="T34" s="7">
        <v>13</v>
      </c>
      <c r="U34" s="7">
        <v>13</v>
      </c>
      <c r="V34" s="7">
        <v>13</v>
      </c>
      <c r="W34" s="7"/>
      <c r="X34" s="7"/>
      <c r="Y34" s="7"/>
      <c r="Z34" s="7"/>
      <c r="AA34" s="7"/>
      <c r="AB34" s="7">
        <v>10</v>
      </c>
      <c r="AC34" s="7">
        <v>11</v>
      </c>
      <c r="AD34" s="7"/>
      <c r="AE34" s="7"/>
      <c r="AF34" s="8"/>
      <c r="AG34" s="4">
        <f t="shared" si="2"/>
        <v>110</v>
      </c>
    </row>
    <row r="35" spans="1:33" ht="18.75" x14ac:dyDescent="0.25">
      <c r="A35" s="41" t="s">
        <v>41</v>
      </c>
      <c r="B35" s="7">
        <v>3</v>
      </c>
      <c r="C35" s="7">
        <v>6</v>
      </c>
      <c r="D35" s="7">
        <v>10</v>
      </c>
      <c r="E35" s="7"/>
      <c r="F35" s="7"/>
      <c r="G35" s="7">
        <v>18</v>
      </c>
      <c r="H35" s="7">
        <v>11</v>
      </c>
      <c r="I35" s="7"/>
      <c r="J35" s="7"/>
      <c r="K35" s="7">
        <v>3</v>
      </c>
      <c r="L35" s="7"/>
      <c r="M35" s="7"/>
      <c r="N35" s="7">
        <v>10</v>
      </c>
      <c r="O35" s="7">
        <v>14</v>
      </c>
      <c r="P35" s="7">
        <v>2</v>
      </c>
      <c r="Q35" s="7">
        <v>2</v>
      </c>
      <c r="R35" s="7"/>
      <c r="S35" s="7"/>
      <c r="T35" s="7">
        <v>7</v>
      </c>
      <c r="U35" s="7">
        <v>13</v>
      </c>
      <c r="V35" s="7">
        <v>10</v>
      </c>
      <c r="W35" s="7"/>
      <c r="X35" s="7"/>
      <c r="Y35" s="7">
        <v>1</v>
      </c>
      <c r="Z35" s="7"/>
      <c r="AA35" s="7">
        <v>2</v>
      </c>
      <c r="AB35" s="7">
        <v>13</v>
      </c>
      <c r="AC35" s="7">
        <v>16</v>
      </c>
      <c r="AD35" s="7">
        <v>2</v>
      </c>
      <c r="AE35" s="7">
        <v>1</v>
      </c>
      <c r="AF35" s="8"/>
      <c r="AG35" s="4">
        <f t="shared" si="2"/>
        <v>144</v>
      </c>
    </row>
    <row r="36" spans="1:33" ht="18.75" x14ac:dyDescent="0.25">
      <c r="A36" s="41" t="s">
        <v>42</v>
      </c>
      <c r="B36" s="7">
        <v>6</v>
      </c>
      <c r="C36" s="7">
        <v>7</v>
      </c>
      <c r="D36" s="7">
        <v>7</v>
      </c>
      <c r="E36" s="7"/>
      <c r="F36" s="7">
        <v>1</v>
      </c>
      <c r="G36" s="7">
        <v>19</v>
      </c>
      <c r="H36" s="7">
        <v>12</v>
      </c>
      <c r="I36" s="7"/>
      <c r="J36" s="7"/>
      <c r="K36" s="7">
        <v>1</v>
      </c>
      <c r="L36" s="7"/>
      <c r="M36" s="7">
        <v>3</v>
      </c>
      <c r="N36" s="7">
        <v>16</v>
      </c>
      <c r="O36" s="7">
        <v>14</v>
      </c>
      <c r="P36" s="7">
        <v>2</v>
      </c>
      <c r="Q36" s="7">
        <v>1</v>
      </c>
      <c r="R36" s="7">
        <v>2</v>
      </c>
      <c r="S36" s="7">
        <v>3</v>
      </c>
      <c r="T36" s="7">
        <v>14</v>
      </c>
      <c r="U36" s="7">
        <v>13</v>
      </c>
      <c r="V36" s="7">
        <v>11</v>
      </c>
      <c r="W36" s="7">
        <v>1</v>
      </c>
      <c r="X36" s="7"/>
      <c r="Y36" s="7"/>
      <c r="Z36" s="7">
        <v>1</v>
      </c>
      <c r="AA36" s="7">
        <v>1</v>
      </c>
      <c r="AB36" s="7">
        <v>14</v>
      </c>
      <c r="AC36" s="7">
        <v>12</v>
      </c>
      <c r="AD36" s="7"/>
      <c r="AE36" s="7">
        <v>4</v>
      </c>
      <c r="AF36" s="8"/>
      <c r="AG36" s="4">
        <f t="shared" si="2"/>
        <v>165</v>
      </c>
    </row>
    <row r="37" spans="1:33" ht="18.75" x14ac:dyDescent="0.25">
      <c r="A37" s="41" t="s">
        <v>43</v>
      </c>
      <c r="B37" s="7">
        <v>4</v>
      </c>
      <c r="C37" s="7">
        <v>6</v>
      </c>
      <c r="D37" s="7">
        <v>5</v>
      </c>
      <c r="E37" s="7">
        <v>1</v>
      </c>
      <c r="F37" s="7"/>
      <c r="G37" s="7">
        <v>9</v>
      </c>
      <c r="H37" s="7">
        <v>16</v>
      </c>
      <c r="I37" s="7"/>
      <c r="J37" s="7">
        <v>1</v>
      </c>
      <c r="K37" s="7"/>
      <c r="L37" s="7"/>
      <c r="M37" s="7"/>
      <c r="N37" s="7">
        <v>13</v>
      </c>
      <c r="O37" s="7">
        <v>20</v>
      </c>
      <c r="P37" s="7"/>
      <c r="Q37" s="7"/>
      <c r="R37" s="7"/>
      <c r="S37" s="7"/>
      <c r="T37" s="7">
        <v>17</v>
      </c>
      <c r="U37" s="7">
        <v>12</v>
      </c>
      <c r="V37" s="7">
        <v>15</v>
      </c>
      <c r="W37" s="7"/>
      <c r="X37" s="7"/>
      <c r="Y37" s="7"/>
      <c r="Z37" s="7"/>
      <c r="AA37" s="7"/>
      <c r="AB37" s="7">
        <v>16</v>
      </c>
      <c r="AC37" s="7">
        <v>15</v>
      </c>
      <c r="AD37" s="7"/>
      <c r="AE37" s="7"/>
      <c r="AF37" s="8"/>
      <c r="AG37" s="4">
        <f t="shared" si="2"/>
        <v>150</v>
      </c>
    </row>
    <row r="38" spans="1:33" ht="18.75" x14ac:dyDescent="0.25">
      <c r="A38" s="41" t="s">
        <v>44</v>
      </c>
      <c r="B38" s="7">
        <v>9</v>
      </c>
      <c r="C38" s="7">
        <v>8</v>
      </c>
      <c r="D38" s="7">
        <v>13</v>
      </c>
      <c r="E38" s="7">
        <v>7</v>
      </c>
      <c r="F38" s="7">
        <v>6</v>
      </c>
      <c r="G38" s="7">
        <v>11</v>
      </c>
      <c r="H38" s="7">
        <v>21</v>
      </c>
      <c r="I38" s="7"/>
      <c r="J38" s="7">
        <v>12</v>
      </c>
      <c r="K38" s="7">
        <v>11</v>
      </c>
      <c r="L38" s="7">
        <v>5</v>
      </c>
      <c r="M38" s="7">
        <v>7</v>
      </c>
      <c r="N38" s="7">
        <v>16</v>
      </c>
      <c r="O38" s="7">
        <v>20</v>
      </c>
      <c r="P38" s="7">
        <v>1</v>
      </c>
      <c r="Q38" s="7">
        <v>8</v>
      </c>
      <c r="R38" s="7">
        <v>8</v>
      </c>
      <c r="S38" s="7">
        <v>9</v>
      </c>
      <c r="T38" s="7">
        <v>14</v>
      </c>
      <c r="U38" s="7">
        <v>20</v>
      </c>
      <c r="V38" s="7">
        <v>23</v>
      </c>
      <c r="W38" s="7">
        <v>11</v>
      </c>
      <c r="X38" s="7">
        <v>9</v>
      </c>
      <c r="Y38" s="7">
        <v>8</v>
      </c>
      <c r="Z38" s="7">
        <v>5</v>
      </c>
      <c r="AA38" s="7">
        <v>9</v>
      </c>
      <c r="AB38" s="7">
        <v>22</v>
      </c>
      <c r="AC38" s="7">
        <v>18</v>
      </c>
      <c r="AD38" s="7">
        <v>10</v>
      </c>
      <c r="AE38" s="7">
        <v>9</v>
      </c>
      <c r="AF38" s="8"/>
      <c r="AG38" s="4">
        <f t="shared" si="2"/>
        <v>330</v>
      </c>
    </row>
    <row r="39" spans="1:33" ht="18.75" x14ac:dyDescent="0.25">
      <c r="A39" s="41" t="s">
        <v>45</v>
      </c>
      <c r="B39" s="7">
        <v>21</v>
      </c>
      <c r="C39" s="7">
        <v>21</v>
      </c>
      <c r="D39" s="7">
        <v>24</v>
      </c>
      <c r="E39" s="7">
        <v>21</v>
      </c>
      <c r="F39" s="7">
        <v>17</v>
      </c>
      <c r="G39" s="7">
        <v>19</v>
      </c>
      <c r="H39" s="7">
        <v>13</v>
      </c>
      <c r="I39" s="7">
        <v>3</v>
      </c>
      <c r="J39" s="7">
        <v>19</v>
      </c>
      <c r="K39" s="7">
        <v>25</v>
      </c>
      <c r="L39" s="7">
        <v>17</v>
      </c>
      <c r="M39" s="7">
        <v>23</v>
      </c>
      <c r="N39" s="7">
        <v>13</v>
      </c>
      <c r="O39" s="7">
        <v>12</v>
      </c>
      <c r="P39" s="7">
        <v>13</v>
      </c>
      <c r="Q39" s="7">
        <v>19</v>
      </c>
      <c r="R39" s="7">
        <v>24</v>
      </c>
      <c r="S39" s="7">
        <v>19</v>
      </c>
      <c r="T39" s="7">
        <v>13</v>
      </c>
      <c r="U39" s="7">
        <v>23</v>
      </c>
      <c r="V39" s="7">
        <v>16</v>
      </c>
      <c r="W39" s="7">
        <v>27</v>
      </c>
      <c r="X39" s="7">
        <v>31</v>
      </c>
      <c r="Y39" s="7">
        <v>23</v>
      </c>
      <c r="Z39" s="7">
        <v>19</v>
      </c>
      <c r="AA39" s="7">
        <v>20</v>
      </c>
      <c r="AB39" s="7">
        <v>19</v>
      </c>
      <c r="AC39" s="7">
        <v>18</v>
      </c>
      <c r="AD39" s="7">
        <v>18</v>
      </c>
      <c r="AE39" s="7">
        <v>19</v>
      </c>
      <c r="AF39" s="8"/>
      <c r="AG39" s="4">
        <f t="shared" si="2"/>
        <v>569</v>
      </c>
    </row>
    <row r="40" spans="1:33" ht="18.75" x14ac:dyDescent="0.25">
      <c r="A40" s="41" t="s">
        <v>46</v>
      </c>
      <c r="B40" s="7">
        <v>19</v>
      </c>
      <c r="C40" s="7">
        <v>29</v>
      </c>
      <c r="D40" s="7">
        <v>26</v>
      </c>
      <c r="E40" s="7">
        <v>20</v>
      </c>
      <c r="F40" s="7">
        <v>25</v>
      </c>
      <c r="G40" s="7">
        <v>22</v>
      </c>
      <c r="H40" s="7">
        <v>18</v>
      </c>
      <c r="I40" s="7">
        <v>23</v>
      </c>
      <c r="J40" s="7">
        <v>26</v>
      </c>
      <c r="K40" s="7">
        <v>30</v>
      </c>
      <c r="L40" s="7">
        <v>24</v>
      </c>
      <c r="M40" s="7">
        <v>21</v>
      </c>
      <c r="N40" s="7">
        <v>19</v>
      </c>
      <c r="O40" s="7">
        <v>12</v>
      </c>
      <c r="P40" s="7">
        <v>19</v>
      </c>
      <c r="Q40" s="7">
        <v>31</v>
      </c>
      <c r="R40" s="7">
        <v>27</v>
      </c>
      <c r="S40" s="7">
        <v>21</v>
      </c>
      <c r="T40" s="7">
        <v>10</v>
      </c>
      <c r="U40" s="7">
        <v>17</v>
      </c>
      <c r="V40" s="7">
        <v>18</v>
      </c>
      <c r="W40" s="7">
        <v>23</v>
      </c>
      <c r="X40" s="7">
        <v>29</v>
      </c>
      <c r="Y40" s="7">
        <v>23</v>
      </c>
      <c r="Z40" s="7">
        <v>16</v>
      </c>
      <c r="AA40" s="7">
        <v>19</v>
      </c>
      <c r="AB40" s="7">
        <v>13</v>
      </c>
      <c r="AC40" s="7">
        <v>12</v>
      </c>
      <c r="AD40" s="7">
        <v>32</v>
      </c>
      <c r="AE40" s="7">
        <v>24</v>
      </c>
      <c r="AF40" s="8"/>
      <c r="AG40" s="4">
        <f t="shared" si="2"/>
        <v>648</v>
      </c>
    </row>
    <row r="41" spans="1:33" ht="18.75" x14ac:dyDescent="0.25">
      <c r="A41" s="41" t="s">
        <v>47</v>
      </c>
      <c r="B41" s="7">
        <v>15</v>
      </c>
      <c r="C41" s="7">
        <v>27</v>
      </c>
      <c r="D41" s="7">
        <v>21</v>
      </c>
      <c r="E41" s="7">
        <v>23</v>
      </c>
      <c r="F41" s="7">
        <v>22</v>
      </c>
      <c r="G41" s="7">
        <v>14</v>
      </c>
      <c r="H41" s="7">
        <v>15</v>
      </c>
      <c r="I41" s="7">
        <v>26</v>
      </c>
      <c r="J41" s="7">
        <v>18</v>
      </c>
      <c r="K41" s="7">
        <v>15</v>
      </c>
      <c r="L41" s="7">
        <v>20</v>
      </c>
      <c r="M41" s="7">
        <v>17</v>
      </c>
      <c r="N41" s="7">
        <v>16</v>
      </c>
      <c r="O41" s="7">
        <v>10</v>
      </c>
      <c r="P41" s="7">
        <v>33</v>
      </c>
      <c r="Q41" s="7">
        <v>25</v>
      </c>
      <c r="R41" s="7">
        <v>17</v>
      </c>
      <c r="S41" s="7">
        <v>23</v>
      </c>
      <c r="T41" s="7">
        <v>19</v>
      </c>
      <c r="U41" s="7">
        <v>9</v>
      </c>
      <c r="V41" s="7">
        <v>11</v>
      </c>
      <c r="W41" s="7">
        <v>35</v>
      </c>
      <c r="X41" s="7">
        <v>26</v>
      </c>
      <c r="Y41" s="7">
        <v>21</v>
      </c>
      <c r="Z41" s="7">
        <v>23</v>
      </c>
      <c r="AA41" s="7">
        <v>21</v>
      </c>
      <c r="AB41" s="7">
        <v>18</v>
      </c>
      <c r="AC41" s="7">
        <v>17</v>
      </c>
      <c r="AD41" s="7">
        <v>40</v>
      </c>
      <c r="AE41" s="7">
        <v>13</v>
      </c>
      <c r="AF41" s="8"/>
      <c r="AG41" s="4">
        <f t="shared" si="2"/>
        <v>610</v>
      </c>
    </row>
    <row r="42" spans="1:33" ht="18.75" x14ac:dyDescent="0.25">
      <c r="A42" s="41" t="s">
        <v>48</v>
      </c>
      <c r="B42" s="7">
        <v>29</v>
      </c>
      <c r="C42" s="7">
        <v>24</v>
      </c>
      <c r="D42" s="7">
        <v>13</v>
      </c>
      <c r="E42" s="7">
        <v>9</v>
      </c>
      <c r="F42" s="7">
        <v>15</v>
      </c>
      <c r="G42" s="7">
        <v>13</v>
      </c>
      <c r="H42" s="7">
        <v>15</v>
      </c>
      <c r="I42" s="7">
        <v>25</v>
      </c>
      <c r="J42" s="7">
        <v>21</v>
      </c>
      <c r="K42" s="7">
        <v>16</v>
      </c>
      <c r="L42" s="7">
        <v>21</v>
      </c>
      <c r="M42" s="7">
        <v>14</v>
      </c>
      <c r="N42" s="7">
        <v>14</v>
      </c>
      <c r="O42" s="7">
        <v>18</v>
      </c>
      <c r="P42" s="7">
        <v>29</v>
      </c>
      <c r="Q42" s="7">
        <v>21</v>
      </c>
      <c r="R42" s="7">
        <v>19</v>
      </c>
      <c r="S42" s="7">
        <v>23</v>
      </c>
      <c r="T42" s="7">
        <v>11</v>
      </c>
      <c r="U42" s="7">
        <v>13</v>
      </c>
      <c r="V42" s="7">
        <v>11</v>
      </c>
      <c r="W42" s="7">
        <v>23</v>
      </c>
      <c r="X42" s="7">
        <v>20</v>
      </c>
      <c r="Y42" s="7">
        <v>15</v>
      </c>
      <c r="Z42" s="7">
        <v>15</v>
      </c>
      <c r="AA42" s="7">
        <v>15</v>
      </c>
      <c r="AB42" s="7">
        <v>10</v>
      </c>
      <c r="AC42" s="7">
        <v>16</v>
      </c>
      <c r="AD42" s="7">
        <v>21</v>
      </c>
      <c r="AE42" s="7">
        <v>19</v>
      </c>
      <c r="AF42" s="8"/>
      <c r="AG42" s="4">
        <f t="shared" si="2"/>
        <v>528</v>
      </c>
    </row>
    <row r="43" spans="1:33" ht="18.75" x14ac:dyDescent="0.25">
      <c r="A43" s="41" t="s">
        <v>49</v>
      </c>
      <c r="B43" s="7">
        <v>10</v>
      </c>
      <c r="C43" s="7">
        <v>18</v>
      </c>
      <c r="D43" s="7">
        <v>17</v>
      </c>
      <c r="E43" s="7">
        <v>16</v>
      </c>
      <c r="F43" s="7">
        <v>13</v>
      </c>
      <c r="G43" s="7">
        <v>10</v>
      </c>
      <c r="H43" s="7">
        <v>10</v>
      </c>
      <c r="I43" s="7">
        <v>30</v>
      </c>
      <c r="J43" s="7">
        <v>20</v>
      </c>
      <c r="K43" s="7">
        <v>16</v>
      </c>
      <c r="L43" s="7">
        <v>21</v>
      </c>
      <c r="M43" s="7">
        <v>10</v>
      </c>
      <c r="N43" s="7">
        <v>6</v>
      </c>
      <c r="O43" s="7">
        <v>8</v>
      </c>
      <c r="P43" s="7">
        <v>19</v>
      </c>
      <c r="Q43" s="7">
        <v>17</v>
      </c>
      <c r="R43" s="7">
        <v>17</v>
      </c>
      <c r="S43" s="7">
        <v>21</v>
      </c>
      <c r="T43" s="7">
        <v>11</v>
      </c>
      <c r="U43" s="7">
        <v>14</v>
      </c>
      <c r="V43" s="7">
        <v>10</v>
      </c>
      <c r="W43" s="7">
        <v>17</v>
      </c>
      <c r="X43" s="7">
        <v>13</v>
      </c>
      <c r="Y43" s="7">
        <v>17</v>
      </c>
      <c r="Z43" s="7">
        <v>16</v>
      </c>
      <c r="AA43" s="7">
        <v>23</v>
      </c>
      <c r="AB43" s="7">
        <v>6</v>
      </c>
      <c r="AC43" s="7">
        <v>15</v>
      </c>
      <c r="AD43" s="7">
        <v>12</v>
      </c>
      <c r="AE43" s="7">
        <v>15</v>
      </c>
      <c r="AF43" s="8"/>
      <c r="AG43" s="4">
        <f t="shared" si="2"/>
        <v>448</v>
      </c>
    </row>
    <row r="44" spans="1:33" ht="18.75" x14ac:dyDescent="0.25">
      <c r="A44" s="41" t="s">
        <v>50</v>
      </c>
      <c r="B44" s="7">
        <v>10</v>
      </c>
      <c r="C44" s="7">
        <v>13</v>
      </c>
      <c r="D44" s="7">
        <v>3</v>
      </c>
      <c r="E44" s="7">
        <v>16</v>
      </c>
      <c r="F44" s="7">
        <v>7</v>
      </c>
      <c r="G44" s="7">
        <v>5</v>
      </c>
      <c r="H44" s="7">
        <v>12</v>
      </c>
      <c r="I44" s="7">
        <v>32</v>
      </c>
      <c r="J44" s="7">
        <v>9</v>
      </c>
      <c r="K44" s="7">
        <v>10</v>
      </c>
      <c r="L44" s="7">
        <v>6</v>
      </c>
      <c r="M44" s="7">
        <v>15</v>
      </c>
      <c r="N44" s="7">
        <v>9</v>
      </c>
      <c r="O44" s="7">
        <v>9</v>
      </c>
      <c r="P44" s="7">
        <v>15</v>
      </c>
      <c r="Q44" s="7">
        <v>4</v>
      </c>
      <c r="R44" s="7">
        <v>12</v>
      </c>
      <c r="S44" s="7">
        <v>9</v>
      </c>
      <c r="T44" s="7">
        <v>19</v>
      </c>
      <c r="U44" s="7">
        <v>7</v>
      </c>
      <c r="V44" s="7">
        <v>11</v>
      </c>
      <c r="W44" s="7">
        <v>6</v>
      </c>
      <c r="X44" s="7">
        <v>9</v>
      </c>
      <c r="Y44" s="7">
        <v>15</v>
      </c>
      <c r="Z44" s="7">
        <v>13</v>
      </c>
      <c r="AA44" s="7">
        <v>14</v>
      </c>
      <c r="AB44" s="7">
        <v>8</v>
      </c>
      <c r="AC44" s="7">
        <v>11</v>
      </c>
      <c r="AD44" s="7">
        <v>8</v>
      </c>
      <c r="AE44" s="7">
        <v>15</v>
      </c>
      <c r="AF44" s="8"/>
      <c r="AG44" s="4">
        <f t="shared" si="2"/>
        <v>332</v>
      </c>
    </row>
    <row r="45" spans="1:33" ht="18.75" x14ac:dyDescent="0.25">
      <c r="A45" s="41" t="s">
        <v>33</v>
      </c>
      <c r="B45" s="7">
        <v>10</v>
      </c>
      <c r="C45" s="7">
        <v>11</v>
      </c>
      <c r="D45" s="7">
        <v>6</v>
      </c>
      <c r="E45" s="7">
        <v>13</v>
      </c>
      <c r="F45" s="7">
        <v>5</v>
      </c>
      <c r="G45" s="7">
        <v>10</v>
      </c>
      <c r="H45" s="7">
        <v>10</v>
      </c>
      <c r="I45" s="7">
        <v>4</v>
      </c>
      <c r="J45" s="7">
        <v>2</v>
      </c>
      <c r="K45" s="7">
        <v>8</v>
      </c>
      <c r="L45" s="7">
        <v>4</v>
      </c>
      <c r="M45" s="7">
        <v>12</v>
      </c>
      <c r="N45" s="7">
        <v>13</v>
      </c>
      <c r="O45" s="7">
        <v>7</v>
      </c>
      <c r="P45" s="7">
        <v>5</v>
      </c>
      <c r="Q45" s="7">
        <v>4</v>
      </c>
      <c r="R45" s="7">
        <v>9</v>
      </c>
      <c r="S45" s="7">
        <v>4</v>
      </c>
      <c r="T45" s="7"/>
      <c r="U45" s="7">
        <v>5</v>
      </c>
      <c r="V45" s="7">
        <v>11</v>
      </c>
      <c r="W45" s="7">
        <v>3</v>
      </c>
      <c r="X45" s="7">
        <v>3</v>
      </c>
      <c r="Y45" s="7">
        <v>13</v>
      </c>
      <c r="Z45" s="7">
        <v>8</v>
      </c>
      <c r="AA45" s="7">
        <v>2</v>
      </c>
      <c r="AB45" s="7">
        <v>4</v>
      </c>
      <c r="AC45" s="7">
        <v>13</v>
      </c>
      <c r="AD45" s="7">
        <v>7</v>
      </c>
      <c r="AE45" s="7">
        <v>7</v>
      </c>
      <c r="AF45" s="8"/>
      <c r="AG45" s="4">
        <f t="shared" si="2"/>
        <v>213</v>
      </c>
    </row>
    <row r="46" spans="1:33" ht="18.75" x14ac:dyDescent="0.25">
      <c r="A46" s="41" t="s">
        <v>34</v>
      </c>
      <c r="B46" s="7">
        <v>11</v>
      </c>
      <c r="C46" s="7">
        <v>1</v>
      </c>
      <c r="D46" s="7">
        <v>10</v>
      </c>
      <c r="E46" s="7">
        <v>4</v>
      </c>
      <c r="F46" s="7">
        <v>7</v>
      </c>
      <c r="G46" s="7">
        <v>3</v>
      </c>
      <c r="H46" s="7">
        <v>5</v>
      </c>
      <c r="I46" s="7">
        <v>3</v>
      </c>
      <c r="J46" s="7">
        <v>4</v>
      </c>
      <c r="K46" s="7">
        <v>6</v>
      </c>
      <c r="L46" s="7">
        <v>5</v>
      </c>
      <c r="M46" s="7">
        <v>3</v>
      </c>
      <c r="N46" s="7"/>
      <c r="O46" s="7">
        <v>2</v>
      </c>
      <c r="P46" s="7">
        <v>5</v>
      </c>
      <c r="Q46" s="7">
        <v>8</v>
      </c>
      <c r="R46" s="7">
        <v>13</v>
      </c>
      <c r="S46" s="7">
        <v>6</v>
      </c>
      <c r="T46" s="7"/>
      <c r="U46" s="7">
        <v>6</v>
      </c>
      <c r="V46" s="7">
        <v>4</v>
      </c>
      <c r="W46" s="7"/>
      <c r="X46" s="7">
        <v>4</v>
      </c>
      <c r="Y46" s="7">
        <v>8</v>
      </c>
      <c r="Z46" s="7">
        <v>5</v>
      </c>
      <c r="AA46" s="7">
        <v>7</v>
      </c>
      <c r="AB46" s="7">
        <v>1</v>
      </c>
      <c r="AC46" s="7">
        <v>1</v>
      </c>
      <c r="AD46" s="7">
        <v>1</v>
      </c>
      <c r="AE46" s="7">
        <v>7</v>
      </c>
      <c r="AF46" s="8"/>
      <c r="AG46" s="4">
        <f t="shared" si="2"/>
        <v>140</v>
      </c>
    </row>
    <row r="47" spans="1:33" ht="18.75" x14ac:dyDescent="0.25">
      <c r="A47" s="41" t="s">
        <v>35</v>
      </c>
      <c r="B47" s="7">
        <v>7</v>
      </c>
      <c r="C47" s="7"/>
      <c r="D47" s="7">
        <v>4</v>
      </c>
      <c r="E47" s="7">
        <v>6</v>
      </c>
      <c r="F47" s="7">
        <v>5</v>
      </c>
      <c r="G47" s="7">
        <v>3</v>
      </c>
      <c r="H47" s="7">
        <v>2</v>
      </c>
      <c r="I47" s="7">
        <v>1</v>
      </c>
      <c r="J47" s="7">
        <v>2</v>
      </c>
      <c r="K47" s="7">
        <v>3</v>
      </c>
      <c r="L47" s="7">
        <v>1</v>
      </c>
      <c r="M47" s="7">
        <v>5</v>
      </c>
      <c r="N47" s="7"/>
      <c r="O47" s="7"/>
      <c r="P47" s="7">
        <v>8</v>
      </c>
      <c r="Q47" s="7">
        <v>4</v>
      </c>
      <c r="R47" s="7">
        <v>7</v>
      </c>
      <c r="S47" s="7">
        <v>2</v>
      </c>
      <c r="T47" s="7"/>
      <c r="U47" s="7">
        <v>2</v>
      </c>
      <c r="V47" s="7">
        <v>3</v>
      </c>
      <c r="W47" s="7">
        <v>1</v>
      </c>
      <c r="X47" s="7"/>
      <c r="Y47" s="7">
        <v>3</v>
      </c>
      <c r="Z47" s="7">
        <v>1</v>
      </c>
      <c r="AA47" s="7">
        <v>9</v>
      </c>
      <c r="AB47" s="7">
        <v>2</v>
      </c>
      <c r="AC47" s="7">
        <v>1</v>
      </c>
      <c r="AD47" s="7"/>
      <c r="AE47" s="7">
        <v>6</v>
      </c>
      <c r="AF47" s="8"/>
      <c r="AG47" s="4">
        <f t="shared" si="2"/>
        <v>88</v>
      </c>
    </row>
    <row r="48" spans="1:33" ht="18.75" x14ac:dyDescent="0.25">
      <c r="A48" s="41" t="s">
        <v>36</v>
      </c>
      <c r="B48" s="7">
        <v>9</v>
      </c>
      <c r="C48" s="7"/>
      <c r="D48" s="7">
        <v>4</v>
      </c>
      <c r="E48" s="7">
        <v>5</v>
      </c>
      <c r="F48" s="7">
        <v>6</v>
      </c>
      <c r="G48" s="7"/>
      <c r="H48" s="7"/>
      <c r="I48" s="7"/>
      <c r="J48" s="7"/>
      <c r="K48" s="7">
        <v>1</v>
      </c>
      <c r="L48" s="7">
        <v>2</v>
      </c>
      <c r="M48" s="7">
        <v>2</v>
      </c>
      <c r="N48" s="7"/>
      <c r="O48" s="7">
        <v>4</v>
      </c>
      <c r="P48" s="7">
        <v>5</v>
      </c>
      <c r="Q48" s="7">
        <v>1</v>
      </c>
      <c r="R48" s="7">
        <v>1</v>
      </c>
      <c r="S48" s="7">
        <v>4</v>
      </c>
      <c r="T48" s="7"/>
      <c r="U48" s="7">
        <v>2</v>
      </c>
      <c r="V48" s="7"/>
      <c r="W48" s="7"/>
      <c r="X48" s="7"/>
      <c r="Y48" s="7">
        <v>1</v>
      </c>
      <c r="Z48" s="7"/>
      <c r="AA48" s="7">
        <v>4</v>
      </c>
      <c r="AB48" s="7"/>
      <c r="AC48" s="7"/>
      <c r="AD48" s="7">
        <v>1</v>
      </c>
      <c r="AE48" s="7">
        <v>5</v>
      </c>
      <c r="AF48" s="8"/>
      <c r="AG48" s="4">
        <f t="shared" si="2"/>
        <v>57</v>
      </c>
    </row>
    <row r="49" spans="1:33" ht="18.75" x14ac:dyDescent="0.25">
      <c r="A49" s="41" t="s">
        <v>51</v>
      </c>
      <c r="B49" s="7">
        <v>3</v>
      </c>
      <c r="C49" s="7">
        <v>2</v>
      </c>
      <c r="D49" s="7">
        <v>2</v>
      </c>
      <c r="E49" s="7">
        <v>1</v>
      </c>
      <c r="F49" s="7">
        <v>3</v>
      </c>
      <c r="G49" s="7"/>
      <c r="H49" s="7">
        <v>1</v>
      </c>
      <c r="I49" s="7">
        <v>3</v>
      </c>
      <c r="J49" s="7"/>
      <c r="K49" s="7"/>
      <c r="L49" s="7"/>
      <c r="M49" s="7">
        <v>3</v>
      </c>
      <c r="N49" s="7"/>
      <c r="O49" s="7">
        <v>1</v>
      </c>
      <c r="P49" s="7"/>
      <c r="Q49" s="7">
        <v>3</v>
      </c>
      <c r="R49" s="7"/>
      <c r="S49" s="7">
        <v>4</v>
      </c>
      <c r="T49" s="7"/>
      <c r="U49" s="7"/>
      <c r="V49" s="7">
        <v>2</v>
      </c>
      <c r="W49" s="7"/>
      <c r="X49" s="7">
        <v>1</v>
      </c>
      <c r="Y49" s="7"/>
      <c r="Z49" s="7"/>
      <c r="AA49" s="7"/>
      <c r="AB49" s="7">
        <v>1</v>
      </c>
      <c r="AC49" s="7">
        <v>1</v>
      </c>
      <c r="AD49" s="7"/>
      <c r="AE49" s="7">
        <v>3</v>
      </c>
      <c r="AF49" s="8"/>
      <c r="AG49" s="4">
        <f t="shared" si="2"/>
        <v>34</v>
      </c>
    </row>
    <row r="50" spans="1:33" ht="18.75" x14ac:dyDescent="0.25">
      <c r="A50" s="41" t="s">
        <v>52</v>
      </c>
      <c r="B50" s="7"/>
      <c r="C50" s="7">
        <v>1</v>
      </c>
      <c r="D50" s="7"/>
      <c r="E50" s="7"/>
      <c r="F50" s="7">
        <v>1</v>
      </c>
      <c r="G50" s="7"/>
      <c r="H50" s="7"/>
      <c r="I50" s="7">
        <v>2</v>
      </c>
      <c r="J50" s="7">
        <v>1</v>
      </c>
      <c r="K50" s="7">
        <v>5</v>
      </c>
      <c r="L50" s="7">
        <v>1</v>
      </c>
      <c r="M50" s="7"/>
      <c r="N50" s="7"/>
      <c r="O50" s="7">
        <v>1</v>
      </c>
      <c r="P50" s="7">
        <v>2</v>
      </c>
      <c r="Q50" s="7"/>
      <c r="R50" s="7">
        <v>1</v>
      </c>
      <c r="S50" s="7"/>
      <c r="T50" s="7"/>
      <c r="U50" s="7"/>
      <c r="V50" s="7">
        <v>2</v>
      </c>
      <c r="W50" s="7"/>
      <c r="X50" s="7">
        <v>3</v>
      </c>
      <c r="Y50" s="7"/>
      <c r="Z50" s="7">
        <v>1</v>
      </c>
      <c r="AA50" s="7">
        <v>3</v>
      </c>
      <c r="AB50" s="7">
        <v>2</v>
      </c>
      <c r="AC50" s="7"/>
      <c r="AD50" s="7"/>
      <c r="AE50" s="7"/>
      <c r="AF50" s="8"/>
      <c r="AG50" s="4">
        <f t="shared" si="2"/>
        <v>26</v>
      </c>
    </row>
    <row r="51" spans="1:33" ht="18.75" x14ac:dyDescent="0.25">
      <c r="A51" s="41" t="s">
        <v>37</v>
      </c>
      <c r="B51" s="7"/>
      <c r="C51" s="7"/>
      <c r="D51" s="7"/>
      <c r="E51" s="7">
        <v>2</v>
      </c>
      <c r="F51" s="7">
        <v>2</v>
      </c>
      <c r="G51" s="7">
        <v>2</v>
      </c>
      <c r="H51" s="7"/>
      <c r="I51" s="7"/>
      <c r="J51" s="7">
        <v>2</v>
      </c>
      <c r="K51" s="7"/>
      <c r="L51" s="7">
        <v>1</v>
      </c>
      <c r="M51" s="7"/>
      <c r="N51" s="7"/>
      <c r="O51" s="7"/>
      <c r="P51" s="7"/>
      <c r="Q51" s="7">
        <v>3</v>
      </c>
      <c r="R51" s="7">
        <v>3</v>
      </c>
      <c r="S51" s="7">
        <v>3</v>
      </c>
      <c r="T51" s="7"/>
      <c r="U51" s="7">
        <v>3</v>
      </c>
      <c r="V51" s="7"/>
      <c r="W51" s="7"/>
      <c r="X51" s="7"/>
      <c r="Y51" s="7"/>
      <c r="Z51" s="7"/>
      <c r="AA51" s="7"/>
      <c r="AB51" s="7"/>
      <c r="AC51" s="7"/>
      <c r="AD51" s="7"/>
      <c r="AE51" s="7">
        <v>2</v>
      </c>
      <c r="AF51" s="8"/>
      <c r="AG51" s="4">
        <f t="shared" si="2"/>
        <v>23</v>
      </c>
    </row>
    <row r="52" spans="1:33" ht="19.5" thickBot="1" x14ac:dyDescent="0.3">
      <c r="A52" s="77" t="s">
        <v>53</v>
      </c>
      <c r="B52" s="9"/>
      <c r="C52" s="9">
        <v>1</v>
      </c>
      <c r="D52" s="9"/>
      <c r="E52" s="9">
        <v>1</v>
      </c>
      <c r="F52" s="9">
        <v>2</v>
      </c>
      <c r="G52" s="9">
        <v>1</v>
      </c>
      <c r="H52" s="9">
        <v>3</v>
      </c>
      <c r="I52" s="9"/>
      <c r="J52" s="9">
        <v>3</v>
      </c>
      <c r="K52" s="9"/>
      <c r="L52" s="9"/>
      <c r="M52" s="9">
        <v>2</v>
      </c>
      <c r="N52" s="9"/>
      <c r="O52" s="9"/>
      <c r="P52" s="9">
        <v>1</v>
      </c>
      <c r="Q52" s="9"/>
      <c r="R52" s="9"/>
      <c r="S52" s="9">
        <v>1</v>
      </c>
      <c r="T52" s="9"/>
      <c r="U52" s="9">
        <v>2</v>
      </c>
      <c r="V52" s="9"/>
      <c r="W52" s="9">
        <v>1</v>
      </c>
      <c r="X52" s="9"/>
      <c r="Y52" s="9">
        <v>1</v>
      </c>
      <c r="Z52" s="9"/>
      <c r="AA52" s="9"/>
      <c r="AB52" s="9">
        <v>1</v>
      </c>
      <c r="AC52" s="9">
        <v>2</v>
      </c>
      <c r="AD52" s="9">
        <v>1</v>
      </c>
      <c r="AE52" s="9">
        <v>1</v>
      </c>
      <c r="AF52" s="10"/>
      <c r="AG52" s="108">
        <f t="shared" si="2"/>
        <v>24</v>
      </c>
    </row>
    <row r="53" spans="1:33" ht="19.5" thickBot="1" x14ac:dyDescent="0.3">
      <c r="A53" s="136" t="s">
        <v>108</v>
      </c>
      <c r="B53" s="135">
        <f t="shared" ref="B53:AF53" si="4">SUM(B54:B77)</f>
        <v>39</v>
      </c>
      <c r="C53" s="135">
        <f t="shared" si="4"/>
        <v>16</v>
      </c>
      <c r="D53" s="135">
        <f t="shared" si="4"/>
        <v>13</v>
      </c>
      <c r="E53" s="135">
        <f t="shared" si="4"/>
        <v>18</v>
      </c>
      <c r="F53" s="135">
        <f t="shared" si="4"/>
        <v>24</v>
      </c>
      <c r="G53" s="135">
        <f t="shared" si="4"/>
        <v>11</v>
      </c>
      <c r="H53" s="135">
        <f t="shared" si="4"/>
        <v>31</v>
      </c>
      <c r="I53" s="135">
        <f t="shared" si="4"/>
        <v>25</v>
      </c>
      <c r="J53" s="135">
        <f t="shared" si="4"/>
        <v>16</v>
      </c>
      <c r="K53" s="135">
        <f t="shared" si="4"/>
        <v>15</v>
      </c>
      <c r="L53" s="135">
        <f t="shared" si="4"/>
        <v>14</v>
      </c>
      <c r="M53" s="135">
        <f t="shared" si="4"/>
        <v>9</v>
      </c>
      <c r="N53" s="135">
        <f t="shared" si="4"/>
        <v>23</v>
      </c>
      <c r="O53" s="135">
        <f t="shared" si="4"/>
        <v>16</v>
      </c>
      <c r="P53" s="135">
        <f t="shared" si="4"/>
        <v>40</v>
      </c>
      <c r="Q53" s="135">
        <f t="shared" si="4"/>
        <v>15</v>
      </c>
      <c r="R53" s="135">
        <f t="shared" si="4"/>
        <v>12</v>
      </c>
      <c r="S53" s="135">
        <f t="shared" si="4"/>
        <v>8</v>
      </c>
      <c r="T53" s="135">
        <f t="shared" si="4"/>
        <v>6</v>
      </c>
      <c r="U53" s="135">
        <f t="shared" si="4"/>
        <v>6</v>
      </c>
      <c r="V53" s="135">
        <f t="shared" si="4"/>
        <v>25</v>
      </c>
      <c r="W53" s="135">
        <f t="shared" si="4"/>
        <v>25</v>
      </c>
      <c r="X53" s="135">
        <f t="shared" si="4"/>
        <v>13</v>
      </c>
      <c r="Y53" s="135">
        <f t="shared" si="4"/>
        <v>12</v>
      </c>
      <c r="Z53" s="135">
        <f t="shared" si="4"/>
        <v>21</v>
      </c>
      <c r="AA53" s="135">
        <f t="shared" si="4"/>
        <v>20</v>
      </c>
      <c r="AB53" s="135">
        <f t="shared" si="4"/>
        <v>28</v>
      </c>
      <c r="AC53" s="135">
        <f t="shared" si="4"/>
        <v>14</v>
      </c>
      <c r="AD53" s="135">
        <f t="shared" si="4"/>
        <v>21</v>
      </c>
      <c r="AE53" s="135">
        <f t="shared" si="4"/>
        <v>12</v>
      </c>
      <c r="AF53" s="135">
        <f t="shared" si="4"/>
        <v>0</v>
      </c>
      <c r="AG53" s="116">
        <f t="shared" si="2"/>
        <v>548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7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>
        <v>1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1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>
        <v>1</v>
      </c>
      <c r="H56" s="7">
        <v>2</v>
      </c>
      <c r="I56" s="7"/>
      <c r="J56" s="7"/>
      <c r="K56" s="7"/>
      <c r="L56" s="7"/>
      <c r="M56" s="7"/>
      <c r="N56" s="7">
        <v>1</v>
      </c>
      <c r="O56" s="7"/>
      <c r="P56" s="7"/>
      <c r="Q56" s="7"/>
      <c r="R56" s="7"/>
      <c r="S56" s="7"/>
      <c r="T56" s="7"/>
      <c r="U56" s="7"/>
      <c r="V56" s="7">
        <v>1</v>
      </c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5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>
        <v>1</v>
      </c>
      <c r="H57" s="7"/>
      <c r="I57" s="7"/>
      <c r="J57" s="7"/>
      <c r="K57" s="7"/>
      <c r="L57" s="7"/>
      <c r="M57" s="7"/>
      <c r="N57" s="7"/>
      <c r="O57" s="7"/>
      <c r="P57" s="7">
        <v>1</v>
      </c>
      <c r="Q57" s="7"/>
      <c r="R57" s="7"/>
      <c r="S57" s="7"/>
      <c r="T57" s="7"/>
      <c r="U57" s="7"/>
      <c r="V57" s="7">
        <v>1</v>
      </c>
      <c r="W57" s="7"/>
      <c r="X57" s="7"/>
      <c r="Y57" s="7"/>
      <c r="Z57" s="7"/>
      <c r="AA57" s="7"/>
      <c r="AB57" s="7"/>
      <c r="AC57" s="7">
        <v>1</v>
      </c>
      <c r="AD57" s="7"/>
      <c r="AE57" s="7"/>
      <c r="AF57" s="8"/>
      <c r="AG57" s="4">
        <f t="shared" si="2"/>
        <v>4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>
        <v>1</v>
      </c>
      <c r="I58" s="7"/>
      <c r="J58" s="7"/>
      <c r="K58" s="7"/>
      <c r="L58" s="7"/>
      <c r="M58" s="7"/>
      <c r="N58" s="7">
        <v>1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>
        <v>1</v>
      </c>
      <c r="AC58" s="7"/>
      <c r="AD58" s="7"/>
      <c r="AE58" s="7"/>
      <c r="AF58" s="8"/>
      <c r="AG58" s="4">
        <f t="shared" si="2"/>
        <v>3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>
        <v>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>
        <v>2</v>
      </c>
      <c r="V59" s="7"/>
      <c r="W59" s="7"/>
      <c r="X59" s="7"/>
      <c r="Y59" s="7"/>
      <c r="Z59" s="7"/>
      <c r="AA59" s="7"/>
      <c r="AB59" s="7">
        <v>6</v>
      </c>
      <c r="AC59" s="7"/>
      <c r="AD59" s="7"/>
      <c r="AE59" s="7"/>
      <c r="AF59" s="8"/>
      <c r="AG59" s="4">
        <f t="shared" si="2"/>
        <v>10</v>
      </c>
    </row>
    <row r="60" spans="1:33" ht="18.75" x14ac:dyDescent="0.25">
      <c r="A60" s="41" t="s">
        <v>41</v>
      </c>
      <c r="B60" s="7"/>
      <c r="C60" s="7"/>
      <c r="D60" s="7">
        <v>1</v>
      </c>
      <c r="E60" s="7"/>
      <c r="F60" s="7"/>
      <c r="G60" s="7">
        <v>4</v>
      </c>
      <c r="H60" s="7">
        <v>3</v>
      </c>
      <c r="I60" s="7"/>
      <c r="J60" s="7"/>
      <c r="K60" s="7"/>
      <c r="L60" s="7"/>
      <c r="M60" s="7"/>
      <c r="N60" s="7"/>
      <c r="O60" s="7"/>
      <c r="P60" s="7"/>
      <c r="Q60" s="7"/>
      <c r="R60" s="7">
        <v>1</v>
      </c>
      <c r="S60" s="7"/>
      <c r="T60" s="7"/>
      <c r="U60" s="7"/>
      <c r="V60" s="7"/>
      <c r="W60" s="7"/>
      <c r="X60" s="7"/>
      <c r="Y60" s="7"/>
      <c r="Z60" s="7"/>
      <c r="AA60" s="7"/>
      <c r="AB60" s="7">
        <v>1</v>
      </c>
      <c r="AC60" s="7">
        <v>2</v>
      </c>
      <c r="AD60" s="7"/>
      <c r="AE60" s="7"/>
      <c r="AF60" s="8"/>
      <c r="AG60" s="4">
        <f t="shared" si="2"/>
        <v>12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>
        <v>5</v>
      </c>
      <c r="I61" s="7"/>
      <c r="J61" s="7"/>
      <c r="K61" s="7"/>
      <c r="L61" s="7"/>
      <c r="M61" s="7"/>
      <c r="N61" s="7">
        <v>3</v>
      </c>
      <c r="O61" s="7">
        <v>2</v>
      </c>
      <c r="P61" s="7"/>
      <c r="Q61" s="7"/>
      <c r="R61" s="7"/>
      <c r="S61" s="7"/>
      <c r="T61" s="7">
        <v>2</v>
      </c>
      <c r="U61" s="7">
        <v>2</v>
      </c>
      <c r="V61" s="7"/>
      <c r="W61" s="7">
        <v>1</v>
      </c>
      <c r="X61" s="7"/>
      <c r="Y61" s="7"/>
      <c r="Z61" s="7"/>
      <c r="AA61" s="7"/>
      <c r="AB61" s="7">
        <v>2</v>
      </c>
      <c r="AC61" s="7"/>
      <c r="AD61" s="7"/>
      <c r="AE61" s="7"/>
      <c r="AF61" s="8"/>
      <c r="AG61" s="4">
        <f t="shared" si="2"/>
        <v>17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>
        <v>1</v>
      </c>
      <c r="O62" s="7">
        <v>5</v>
      </c>
      <c r="P62" s="7"/>
      <c r="Q62" s="7"/>
      <c r="R62" s="7"/>
      <c r="S62" s="7"/>
      <c r="T62" s="7"/>
      <c r="U62" s="7">
        <v>1</v>
      </c>
      <c r="V62" s="7">
        <v>1</v>
      </c>
      <c r="W62" s="7"/>
      <c r="X62" s="7"/>
      <c r="Y62" s="7"/>
      <c r="Z62" s="7"/>
      <c r="AA62" s="7"/>
      <c r="AB62" s="7">
        <v>3</v>
      </c>
      <c r="AC62" s="7">
        <v>3</v>
      </c>
      <c r="AD62" s="7"/>
      <c r="AE62" s="7"/>
      <c r="AF62" s="8"/>
      <c r="AG62" s="4">
        <f t="shared" si="2"/>
        <v>14</v>
      </c>
    </row>
    <row r="63" spans="1:33" ht="18.75" x14ac:dyDescent="0.25">
      <c r="A63" s="41" t="s">
        <v>44</v>
      </c>
      <c r="B63" s="7"/>
      <c r="C63" s="7">
        <v>2</v>
      </c>
      <c r="D63" s="7"/>
      <c r="E63" s="7">
        <v>1</v>
      </c>
      <c r="F63" s="7"/>
      <c r="G63" s="7"/>
      <c r="H63" s="7">
        <v>2</v>
      </c>
      <c r="I63" s="7"/>
      <c r="J63" s="7"/>
      <c r="K63" s="7"/>
      <c r="L63" s="7"/>
      <c r="M63" s="7"/>
      <c r="N63" s="7">
        <v>2</v>
      </c>
      <c r="O63" s="7">
        <v>2</v>
      </c>
      <c r="P63" s="7">
        <v>1</v>
      </c>
      <c r="Q63" s="7"/>
      <c r="R63" s="7"/>
      <c r="S63" s="7"/>
      <c r="T63" s="7"/>
      <c r="U63" s="7"/>
      <c r="V63" s="7">
        <v>3</v>
      </c>
      <c r="W63" s="7"/>
      <c r="X63" s="7">
        <v>3</v>
      </c>
      <c r="Y63" s="7"/>
      <c r="Z63" s="7"/>
      <c r="AA63" s="7"/>
      <c r="AB63" s="7">
        <v>4</v>
      </c>
      <c r="AC63" s="7">
        <v>2</v>
      </c>
      <c r="AD63" s="7"/>
      <c r="AE63" s="7">
        <v>2</v>
      </c>
      <c r="AF63" s="8"/>
      <c r="AG63" s="4">
        <f t="shared" si="2"/>
        <v>24</v>
      </c>
    </row>
    <row r="64" spans="1:33" ht="18.75" x14ac:dyDescent="0.25">
      <c r="A64" s="41" t="s">
        <v>45</v>
      </c>
      <c r="B64" s="7">
        <v>1</v>
      </c>
      <c r="C64" s="7">
        <v>1</v>
      </c>
      <c r="D64" s="7">
        <v>1</v>
      </c>
      <c r="E64" s="7">
        <v>2</v>
      </c>
      <c r="F64" s="7">
        <v>4</v>
      </c>
      <c r="G64" s="7">
        <v>1</v>
      </c>
      <c r="H64" s="7">
        <v>1</v>
      </c>
      <c r="I64" s="7"/>
      <c r="J64" s="7">
        <v>2</v>
      </c>
      <c r="K64" s="7">
        <v>3</v>
      </c>
      <c r="L64" s="7"/>
      <c r="M64" s="7">
        <v>2</v>
      </c>
      <c r="N64" s="7">
        <v>2</v>
      </c>
      <c r="O64" s="7">
        <v>2</v>
      </c>
      <c r="P64" s="7">
        <v>1</v>
      </c>
      <c r="Q64" s="7">
        <v>4</v>
      </c>
      <c r="R64" s="7">
        <v>4</v>
      </c>
      <c r="S64" s="7">
        <v>3</v>
      </c>
      <c r="T64" s="7"/>
      <c r="U64" s="7">
        <v>1</v>
      </c>
      <c r="V64" s="7">
        <v>5</v>
      </c>
      <c r="W64" s="7">
        <v>6</v>
      </c>
      <c r="X64" s="7">
        <v>1</v>
      </c>
      <c r="Y64" s="7">
        <v>2</v>
      </c>
      <c r="Z64" s="7">
        <v>2</v>
      </c>
      <c r="AA64" s="7">
        <v>4</v>
      </c>
      <c r="AB64" s="7">
        <v>5</v>
      </c>
      <c r="AC64" s="7">
        <v>3</v>
      </c>
      <c r="AD64" s="7">
        <v>5</v>
      </c>
      <c r="AE64" s="7">
        <v>1</v>
      </c>
      <c r="AF64" s="8"/>
      <c r="AG64" s="4">
        <f t="shared" si="2"/>
        <v>69</v>
      </c>
    </row>
    <row r="65" spans="1:33" ht="18.75" x14ac:dyDescent="0.25">
      <c r="A65" s="41" t="s">
        <v>46</v>
      </c>
      <c r="B65" s="7">
        <v>2</v>
      </c>
      <c r="C65" s="7">
        <v>4</v>
      </c>
      <c r="D65" s="7"/>
      <c r="E65" s="7">
        <v>5</v>
      </c>
      <c r="F65" s="7">
        <v>1</v>
      </c>
      <c r="G65" s="7">
        <v>2</v>
      </c>
      <c r="H65" s="7">
        <v>3</v>
      </c>
      <c r="I65" s="7">
        <v>2</v>
      </c>
      <c r="J65" s="7">
        <v>3</v>
      </c>
      <c r="K65" s="7">
        <v>3</v>
      </c>
      <c r="L65" s="7">
        <v>2</v>
      </c>
      <c r="M65" s="7"/>
      <c r="N65" s="7">
        <v>6</v>
      </c>
      <c r="O65" s="7">
        <v>2</v>
      </c>
      <c r="P65" s="7">
        <v>8</v>
      </c>
      <c r="Q65" s="7">
        <v>4</v>
      </c>
      <c r="R65" s="7">
        <v>2</v>
      </c>
      <c r="S65" s="7">
        <v>2</v>
      </c>
      <c r="T65" s="7">
        <v>1</v>
      </c>
      <c r="U65" s="7"/>
      <c r="V65" s="7"/>
      <c r="W65" s="7">
        <v>3</v>
      </c>
      <c r="X65" s="7">
        <v>2</v>
      </c>
      <c r="Y65" s="7">
        <v>2</v>
      </c>
      <c r="Z65" s="7">
        <v>2</v>
      </c>
      <c r="AA65" s="7">
        <v>2</v>
      </c>
      <c r="AB65" s="7">
        <v>2</v>
      </c>
      <c r="AC65" s="7">
        <v>1</v>
      </c>
      <c r="AD65" s="7">
        <v>4</v>
      </c>
      <c r="AE65" s="7">
        <v>2</v>
      </c>
      <c r="AF65" s="8"/>
      <c r="AG65" s="4">
        <f t="shared" si="2"/>
        <v>72</v>
      </c>
    </row>
    <row r="66" spans="1:33" ht="18.75" x14ac:dyDescent="0.25">
      <c r="A66" s="41" t="s">
        <v>47</v>
      </c>
      <c r="B66" s="7">
        <v>1</v>
      </c>
      <c r="C66" s="7">
        <v>4</v>
      </c>
      <c r="D66" s="7">
        <v>1</v>
      </c>
      <c r="E66" s="7"/>
      <c r="F66" s="7">
        <v>2</v>
      </c>
      <c r="G66" s="7"/>
      <c r="H66" s="7">
        <v>2</v>
      </c>
      <c r="I66" s="7">
        <v>1</v>
      </c>
      <c r="J66" s="7"/>
      <c r="K66" s="7">
        <v>3</v>
      </c>
      <c r="L66" s="7">
        <v>1</v>
      </c>
      <c r="M66" s="7"/>
      <c r="N66" s="7">
        <v>2</v>
      </c>
      <c r="O66" s="7">
        <v>2</v>
      </c>
      <c r="P66" s="7">
        <v>12</v>
      </c>
      <c r="Q66" s="7"/>
      <c r="R66" s="7"/>
      <c r="S66" s="7">
        <v>3</v>
      </c>
      <c r="T66" s="7">
        <v>1</v>
      </c>
      <c r="U66" s="7"/>
      <c r="V66" s="7"/>
      <c r="W66" s="7">
        <v>6</v>
      </c>
      <c r="X66" s="7">
        <v>5</v>
      </c>
      <c r="Y66" s="7">
        <v>1</v>
      </c>
      <c r="Z66" s="7">
        <v>1</v>
      </c>
      <c r="AA66" s="7">
        <v>3</v>
      </c>
      <c r="AB66" s="7">
        <v>1</v>
      </c>
      <c r="AC66" s="7">
        <v>1</v>
      </c>
      <c r="AD66" s="7">
        <v>12</v>
      </c>
      <c r="AE66" s="7"/>
      <c r="AF66" s="8"/>
      <c r="AG66" s="4">
        <f t="shared" si="2"/>
        <v>65</v>
      </c>
    </row>
    <row r="67" spans="1:33" ht="18.75" x14ac:dyDescent="0.25">
      <c r="A67" s="41" t="s">
        <v>48</v>
      </c>
      <c r="B67" s="7">
        <v>12</v>
      </c>
      <c r="C67" s="7">
        <v>2</v>
      </c>
      <c r="D67" s="7">
        <v>4</v>
      </c>
      <c r="E67" s="7">
        <v>2</v>
      </c>
      <c r="F67" s="7"/>
      <c r="G67" s="7"/>
      <c r="H67" s="7">
        <v>2</v>
      </c>
      <c r="I67" s="7">
        <v>3</v>
      </c>
      <c r="J67" s="7">
        <v>2</v>
      </c>
      <c r="K67" s="7"/>
      <c r="L67" s="7">
        <v>10</v>
      </c>
      <c r="M67" s="7">
        <v>6</v>
      </c>
      <c r="N67" s="7">
        <v>2</v>
      </c>
      <c r="O67" s="7">
        <v>1</v>
      </c>
      <c r="P67" s="7">
        <v>12</v>
      </c>
      <c r="Q67" s="7">
        <v>2</v>
      </c>
      <c r="R67" s="7">
        <v>1</v>
      </c>
      <c r="S67" s="7"/>
      <c r="T67" s="7"/>
      <c r="U67" s="7"/>
      <c r="V67" s="7">
        <v>6</v>
      </c>
      <c r="W67" s="7">
        <v>8</v>
      </c>
      <c r="X67" s="7">
        <v>2</v>
      </c>
      <c r="Y67" s="7"/>
      <c r="Z67" s="7">
        <v>1</v>
      </c>
      <c r="AA67" s="7">
        <v>2</v>
      </c>
      <c r="AB67" s="7">
        <v>1</v>
      </c>
      <c r="AC67" s="7">
        <v>1</v>
      </c>
      <c r="AD67" s="7"/>
      <c r="AE67" s="7">
        <v>2</v>
      </c>
      <c r="AF67" s="8"/>
      <c r="AG67" s="4">
        <f t="shared" si="2"/>
        <v>84</v>
      </c>
    </row>
    <row r="68" spans="1:33" ht="18.75" x14ac:dyDescent="0.25">
      <c r="A68" s="41" t="s">
        <v>49</v>
      </c>
      <c r="B68" s="7">
        <v>6</v>
      </c>
      <c r="C68" s="7">
        <v>2</v>
      </c>
      <c r="D68" s="7">
        <v>1</v>
      </c>
      <c r="E68" s="7">
        <v>1</v>
      </c>
      <c r="F68" s="7">
        <v>1</v>
      </c>
      <c r="G68" s="7"/>
      <c r="H68" s="7">
        <v>4</v>
      </c>
      <c r="I68" s="7">
        <v>4</v>
      </c>
      <c r="J68" s="7">
        <v>8</v>
      </c>
      <c r="K68" s="7"/>
      <c r="L68" s="7">
        <v>1</v>
      </c>
      <c r="M68" s="7"/>
      <c r="N68" s="7">
        <v>1</v>
      </c>
      <c r="O68" s="7"/>
      <c r="P68" s="7"/>
      <c r="Q68" s="7">
        <v>2</v>
      </c>
      <c r="R68" s="7">
        <v>1</v>
      </c>
      <c r="S68" s="7"/>
      <c r="T68" s="7"/>
      <c r="U68" s="7"/>
      <c r="V68" s="7">
        <v>3</v>
      </c>
      <c r="W68" s="7">
        <v>1</v>
      </c>
      <c r="X68" s="7"/>
      <c r="Y68" s="7">
        <v>2</v>
      </c>
      <c r="Z68" s="7">
        <v>11</v>
      </c>
      <c r="AA68" s="7">
        <v>3</v>
      </c>
      <c r="AB68" s="7">
        <v>2</v>
      </c>
      <c r="AC68" s="7"/>
      <c r="AD68" s="7"/>
      <c r="AE68" s="7">
        <v>4</v>
      </c>
      <c r="AF68" s="8"/>
      <c r="AG68" s="4">
        <f t="shared" si="2"/>
        <v>58</v>
      </c>
    </row>
    <row r="69" spans="1:33" ht="18.75" x14ac:dyDescent="0.25">
      <c r="A69" s="41" t="s">
        <v>50</v>
      </c>
      <c r="B69" s="7"/>
      <c r="C69" s="7"/>
      <c r="D69" s="7"/>
      <c r="E69" s="7">
        <v>1</v>
      </c>
      <c r="F69" s="7"/>
      <c r="G69" s="7"/>
      <c r="H69" s="7"/>
      <c r="I69" s="7">
        <v>14</v>
      </c>
      <c r="J69" s="7">
        <v>1</v>
      </c>
      <c r="K69" s="7">
        <v>1</v>
      </c>
      <c r="L69" s="7"/>
      <c r="M69" s="7"/>
      <c r="N69" s="7">
        <v>1</v>
      </c>
      <c r="O69" s="7"/>
      <c r="P69" s="7">
        <v>1</v>
      </c>
      <c r="Q69" s="7"/>
      <c r="R69" s="7">
        <v>1</v>
      </c>
      <c r="S69" s="7"/>
      <c r="T69" s="7"/>
      <c r="U69" s="7"/>
      <c r="V69" s="7">
        <v>1</v>
      </c>
      <c r="W69" s="7"/>
      <c r="X69" s="7"/>
      <c r="Y69" s="7">
        <v>3</v>
      </c>
      <c r="Z69" s="7">
        <v>4</v>
      </c>
      <c r="AA69" s="7">
        <v>2</v>
      </c>
      <c r="AB69" s="7"/>
      <c r="AC69" s="7"/>
      <c r="AD69" s="7"/>
      <c r="AE69" s="7">
        <v>1</v>
      </c>
      <c r="AF69" s="8"/>
      <c r="AG69" s="4">
        <f t="shared" si="2"/>
        <v>31</v>
      </c>
    </row>
    <row r="70" spans="1:33" ht="18.75" x14ac:dyDescent="0.25">
      <c r="A70" s="41" t="s">
        <v>33</v>
      </c>
      <c r="B70" s="114">
        <v>6</v>
      </c>
      <c r="C70" s="114"/>
      <c r="D70" s="7">
        <v>1</v>
      </c>
      <c r="E70" s="114">
        <v>1</v>
      </c>
      <c r="F70" s="114"/>
      <c r="G70" s="7"/>
      <c r="H70" s="114">
        <v>3</v>
      </c>
      <c r="I70" s="7">
        <v>1</v>
      </c>
      <c r="J70" s="114"/>
      <c r="K70" s="114">
        <v>2</v>
      </c>
      <c r="L70" s="114"/>
      <c r="M70" s="114"/>
      <c r="N70" s="114"/>
      <c r="O70" s="114"/>
      <c r="P70" s="114"/>
      <c r="Q70" s="114">
        <v>1</v>
      </c>
      <c r="R70" s="7"/>
      <c r="S70" s="114"/>
      <c r="T70" s="114"/>
      <c r="U70" s="114"/>
      <c r="V70" s="114">
        <v>4</v>
      </c>
      <c r="W70" s="114"/>
      <c r="X70" s="114"/>
      <c r="Y70" s="114">
        <v>2</v>
      </c>
      <c r="Z70" s="114"/>
      <c r="AA70" s="114"/>
      <c r="AB70" s="114"/>
      <c r="AC70" s="114"/>
      <c r="AD70" s="114"/>
      <c r="AE70" s="114"/>
      <c r="AF70" s="115"/>
      <c r="AG70" s="4">
        <f t="shared" si="2"/>
        <v>21</v>
      </c>
    </row>
    <row r="71" spans="1:33" ht="18.75" x14ac:dyDescent="0.25">
      <c r="A71" s="41" t="s">
        <v>34</v>
      </c>
      <c r="B71" s="114">
        <v>2</v>
      </c>
      <c r="C71" s="114">
        <v>1</v>
      </c>
      <c r="D71" s="7">
        <v>4</v>
      </c>
      <c r="E71" s="114">
        <v>1</v>
      </c>
      <c r="F71" s="114">
        <v>10</v>
      </c>
      <c r="G71" s="7"/>
      <c r="H71" s="114">
        <v>2</v>
      </c>
      <c r="I71" s="7"/>
      <c r="J71" s="114"/>
      <c r="K71" s="114">
        <v>3</v>
      </c>
      <c r="L71" s="114"/>
      <c r="M71" s="114"/>
      <c r="N71" s="114"/>
      <c r="O71" s="114"/>
      <c r="P71" s="114">
        <v>1</v>
      </c>
      <c r="Q71" s="114">
        <v>1</v>
      </c>
      <c r="R71" s="7"/>
      <c r="S71" s="114"/>
      <c r="T71" s="114">
        <v>1</v>
      </c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26</v>
      </c>
    </row>
    <row r="72" spans="1:33" ht="18.75" x14ac:dyDescent="0.25">
      <c r="A72" s="41" t="s">
        <v>35</v>
      </c>
      <c r="B72" s="114">
        <v>1</v>
      </c>
      <c r="C72" s="114"/>
      <c r="D72" s="7"/>
      <c r="E72" s="114">
        <v>4</v>
      </c>
      <c r="F72" s="114">
        <v>5</v>
      </c>
      <c r="G72" s="7"/>
      <c r="H72" s="114"/>
      <c r="I72" s="7"/>
      <c r="J72" s="114"/>
      <c r="K72" s="114"/>
      <c r="L72" s="114"/>
      <c r="M72" s="114"/>
      <c r="N72" s="114"/>
      <c r="O72" s="114"/>
      <c r="P72" s="114">
        <v>3</v>
      </c>
      <c r="Q72" s="114">
        <v>1</v>
      </c>
      <c r="R72" s="7">
        <v>2</v>
      </c>
      <c r="S72" s="114"/>
      <c r="T72" s="114"/>
      <c r="U72" s="114"/>
      <c r="V72" s="114"/>
      <c r="W72" s="114"/>
      <c r="X72" s="114"/>
      <c r="Y72" s="114"/>
      <c r="Z72" s="114"/>
      <c r="AA72" s="114">
        <v>3</v>
      </c>
      <c r="AB72" s="114"/>
      <c r="AC72" s="114"/>
      <c r="AD72" s="114"/>
      <c r="AE72" s="114"/>
      <c r="AF72" s="115"/>
      <c r="AG72" s="4">
        <f t="shared" si="2"/>
        <v>19</v>
      </c>
    </row>
    <row r="73" spans="1:33" ht="18.75" x14ac:dyDescent="0.25">
      <c r="A73" s="41" t="s">
        <v>36</v>
      </c>
      <c r="B73" s="114">
        <v>8</v>
      </c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7"/>
      <c r="S73" s="114"/>
      <c r="T73" s="114"/>
      <c r="U73" s="114"/>
      <c r="V73" s="114"/>
      <c r="W73" s="114"/>
      <c r="X73" s="114"/>
      <c r="Y73" s="114"/>
      <c r="Z73" s="114"/>
      <c r="AA73" s="114">
        <v>1</v>
      </c>
      <c r="AB73" s="114"/>
      <c r="AC73" s="114"/>
      <c r="AD73" s="114"/>
      <c r="AE73" s="114"/>
      <c r="AF73" s="115"/>
      <c r="AG73" s="4">
        <f t="shared" si="2"/>
        <v>9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>
        <v>1</v>
      </c>
      <c r="G74" s="7"/>
      <c r="H74" s="114"/>
      <c r="I74" s="7"/>
      <c r="J74" s="114"/>
      <c r="K74" s="114"/>
      <c r="L74" s="114"/>
      <c r="M74" s="114"/>
      <c r="N74" s="114">
        <v>1</v>
      </c>
      <c r="O74" s="114"/>
      <c r="P74" s="114"/>
      <c r="Q74" s="114"/>
      <c r="R74" s="7"/>
      <c r="S74" s="114"/>
      <c r="T74" s="114">
        <v>1</v>
      </c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3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7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>
        <v>1</v>
      </c>
      <c r="N76" s="114"/>
      <c r="O76" s="114"/>
      <c r="P76" s="114"/>
      <c r="Q76" s="114"/>
      <c r="R76" s="7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9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221</v>
      </c>
      <c r="C78" s="185">
        <f t="shared" si="5"/>
        <v>209</v>
      </c>
      <c r="D78" s="185">
        <f t="shared" si="5"/>
        <v>189</v>
      </c>
      <c r="E78" s="184">
        <f t="shared" si="5"/>
        <v>164</v>
      </c>
      <c r="F78" s="184">
        <f t="shared" si="5"/>
        <v>161</v>
      </c>
      <c r="G78" s="184">
        <f t="shared" si="5"/>
        <v>233</v>
      </c>
      <c r="H78" s="184">
        <f t="shared" si="5"/>
        <v>247</v>
      </c>
      <c r="I78" s="184">
        <f t="shared" si="5"/>
        <v>178</v>
      </c>
      <c r="J78" s="184">
        <f t="shared" si="5"/>
        <v>158</v>
      </c>
      <c r="K78" s="184">
        <f t="shared" si="5"/>
        <v>171</v>
      </c>
      <c r="L78" s="184">
        <f t="shared" si="5"/>
        <v>143</v>
      </c>
      <c r="M78" s="184">
        <f t="shared" si="5"/>
        <v>150</v>
      </c>
      <c r="N78" s="184">
        <f t="shared" si="5"/>
        <v>228</v>
      </c>
      <c r="O78" s="184">
        <f>SUM(O79:O80)</f>
        <v>216</v>
      </c>
      <c r="P78" s="184">
        <f t="shared" si="5"/>
        <v>203</v>
      </c>
      <c r="Q78" s="184">
        <f t="shared" si="5"/>
        <v>169</v>
      </c>
      <c r="R78" s="184">
        <f t="shared" si="5"/>
        <v>174</v>
      </c>
      <c r="S78" s="184">
        <f t="shared" si="5"/>
        <v>160</v>
      </c>
      <c r="T78" s="184">
        <f t="shared" si="5"/>
        <v>194</v>
      </c>
      <c r="U78" s="184">
        <f t="shared" si="5"/>
        <v>229</v>
      </c>
      <c r="V78" s="184">
        <f t="shared" si="5"/>
        <v>240</v>
      </c>
      <c r="W78" s="184">
        <f t="shared" si="5"/>
        <v>177</v>
      </c>
      <c r="X78" s="184">
        <f t="shared" si="5"/>
        <v>161</v>
      </c>
      <c r="Y78" s="184">
        <f t="shared" si="5"/>
        <v>161</v>
      </c>
      <c r="Z78" s="184">
        <f t="shared" si="5"/>
        <v>144</v>
      </c>
      <c r="AA78" s="184">
        <f t="shared" si="5"/>
        <v>172</v>
      </c>
      <c r="AB78" s="184">
        <f t="shared" si="5"/>
        <v>238</v>
      </c>
      <c r="AC78" s="184">
        <f t="shared" si="5"/>
        <v>233</v>
      </c>
      <c r="AD78" s="184">
        <f t="shared" si="5"/>
        <v>177</v>
      </c>
      <c r="AE78" s="184">
        <f t="shared" si="5"/>
        <v>162</v>
      </c>
      <c r="AF78" s="186">
        <f t="shared" si="5"/>
        <v>0</v>
      </c>
      <c r="AG78" s="116">
        <f t="shared" si="2"/>
        <v>5662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221</v>
      </c>
      <c r="C79" s="114">
        <f t="shared" si="6"/>
        <v>209</v>
      </c>
      <c r="D79" s="114">
        <f t="shared" si="6"/>
        <v>189</v>
      </c>
      <c r="E79" s="114">
        <f t="shared" si="6"/>
        <v>164</v>
      </c>
      <c r="F79" s="114">
        <f t="shared" si="6"/>
        <v>160</v>
      </c>
      <c r="G79" s="114">
        <f t="shared" si="6"/>
        <v>113</v>
      </c>
      <c r="H79" s="114">
        <f t="shared" si="6"/>
        <v>117</v>
      </c>
      <c r="I79" s="114">
        <f t="shared" si="6"/>
        <v>178</v>
      </c>
      <c r="J79" s="114">
        <f t="shared" si="6"/>
        <v>158</v>
      </c>
      <c r="K79" s="114">
        <f t="shared" si="6"/>
        <v>171</v>
      </c>
      <c r="L79" s="114">
        <f t="shared" si="6"/>
        <v>143</v>
      </c>
      <c r="M79" s="114">
        <f t="shared" si="6"/>
        <v>146</v>
      </c>
      <c r="N79" s="114">
        <f t="shared" si="6"/>
        <v>88</v>
      </c>
      <c r="O79" s="114">
        <f t="shared" si="6"/>
        <v>84</v>
      </c>
      <c r="P79" s="114">
        <f t="shared" si="6"/>
        <v>203</v>
      </c>
      <c r="Q79" s="114">
        <f t="shared" si="6"/>
        <v>169</v>
      </c>
      <c r="R79" s="114">
        <f t="shared" si="6"/>
        <v>168</v>
      </c>
      <c r="S79" s="114">
        <f t="shared" si="6"/>
        <v>157</v>
      </c>
      <c r="T79" s="114">
        <f t="shared" si="6"/>
        <v>94</v>
      </c>
      <c r="U79" s="114">
        <f t="shared" si="6"/>
        <v>103</v>
      </c>
      <c r="V79" s="114">
        <f t="shared" si="6"/>
        <v>122</v>
      </c>
      <c r="W79" s="114">
        <f t="shared" si="6"/>
        <v>177</v>
      </c>
      <c r="X79" s="114">
        <f t="shared" si="6"/>
        <v>161</v>
      </c>
      <c r="Y79" s="114">
        <f t="shared" si="6"/>
        <v>159</v>
      </c>
      <c r="Z79" s="114">
        <f t="shared" si="6"/>
        <v>144</v>
      </c>
      <c r="AA79" s="114">
        <f t="shared" si="6"/>
        <v>167</v>
      </c>
      <c r="AB79" s="114">
        <f t="shared" si="6"/>
        <v>81</v>
      </c>
      <c r="AC79" s="114">
        <f t="shared" si="6"/>
        <v>109</v>
      </c>
      <c r="AD79" s="114">
        <f t="shared" si="6"/>
        <v>177</v>
      </c>
      <c r="AE79" s="114">
        <f t="shared" si="6"/>
        <v>162</v>
      </c>
      <c r="AF79" s="114">
        <f t="shared" si="6"/>
        <v>0</v>
      </c>
      <c r="AG79" s="132">
        <f t="shared" si="2"/>
        <v>4494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1</v>
      </c>
      <c r="G80" s="9">
        <f>SUM(G4:G12)</f>
        <v>120</v>
      </c>
      <c r="H80" s="9">
        <f>SUM(H4:H12)</f>
        <v>130</v>
      </c>
      <c r="I80" s="11"/>
      <c r="J80" s="11"/>
      <c r="K80" s="9">
        <v>0</v>
      </c>
      <c r="L80" s="9">
        <v>0</v>
      </c>
      <c r="M80" s="9">
        <f>SUM(M4:M12)</f>
        <v>4</v>
      </c>
      <c r="N80" s="9">
        <f>SUM(N4:N12)</f>
        <v>140</v>
      </c>
      <c r="O80" s="9">
        <f>SUM(O4:O12)</f>
        <v>132</v>
      </c>
      <c r="P80" s="11"/>
      <c r="Q80" s="11"/>
      <c r="R80" s="9">
        <f>SUM(R4:R12)</f>
        <v>6</v>
      </c>
      <c r="S80" s="9">
        <f>SUM(S4:S12)</f>
        <v>3</v>
      </c>
      <c r="T80" s="9">
        <f>SUM(T4:T12)</f>
        <v>100</v>
      </c>
      <c r="U80" s="9">
        <f>SUM(U4:U12)</f>
        <v>126</v>
      </c>
      <c r="V80" s="9">
        <f>SUM(V4:V12)</f>
        <v>118</v>
      </c>
      <c r="W80" s="11"/>
      <c r="X80" s="11"/>
      <c r="Y80" s="9">
        <f>SUM(Y4:Y12)</f>
        <v>2</v>
      </c>
      <c r="Z80" s="11"/>
      <c r="AA80" s="9">
        <f>SUM(AA4:AA12)</f>
        <v>5</v>
      </c>
      <c r="AB80" s="9">
        <f>SUM(AB4:AB12)</f>
        <v>157</v>
      </c>
      <c r="AC80" s="9">
        <f>SUM(AC4:AC12)</f>
        <v>124</v>
      </c>
      <c r="AD80" s="11"/>
      <c r="AE80" s="11"/>
      <c r="AF80" s="9">
        <f>SUM(AF4:AF12)</f>
        <v>0</v>
      </c>
      <c r="AG80" s="108">
        <f t="shared" si="2"/>
        <v>1168</v>
      </c>
    </row>
    <row r="81" spans="1:35" ht="19.5" thickBot="1" x14ac:dyDescent="0.3">
      <c r="A81" s="183" t="s">
        <v>98</v>
      </c>
      <c r="B81" s="184">
        <f t="shared" ref="B81:AF81" si="7">SUM(B82:B83)</f>
        <v>39</v>
      </c>
      <c r="C81" s="184">
        <f t="shared" si="7"/>
        <v>16</v>
      </c>
      <c r="D81" s="184">
        <f t="shared" si="7"/>
        <v>13</v>
      </c>
      <c r="E81" s="184">
        <f t="shared" si="7"/>
        <v>18</v>
      </c>
      <c r="F81" s="184">
        <f t="shared" si="7"/>
        <v>24</v>
      </c>
      <c r="G81" s="184">
        <f t="shared" si="7"/>
        <v>11</v>
      </c>
      <c r="H81" s="184">
        <f t="shared" si="7"/>
        <v>31</v>
      </c>
      <c r="I81" s="184">
        <f t="shared" si="7"/>
        <v>25</v>
      </c>
      <c r="J81" s="184">
        <f t="shared" si="7"/>
        <v>16</v>
      </c>
      <c r="K81" s="184">
        <f t="shared" si="7"/>
        <v>15</v>
      </c>
      <c r="L81" s="184">
        <f t="shared" si="7"/>
        <v>14</v>
      </c>
      <c r="M81" s="184">
        <f t="shared" si="7"/>
        <v>9</v>
      </c>
      <c r="N81" s="184">
        <f t="shared" si="7"/>
        <v>23</v>
      </c>
      <c r="O81" s="184">
        <f t="shared" si="7"/>
        <v>16</v>
      </c>
      <c r="P81" s="184">
        <f t="shared" si="7"/>
        <v>40</v>
      </c>
      <c r="Q81" s="184">
        <f t="shared" si="7"/>
        <v>15</v>
      </c>
      <c r="R81" s="184">
        <f t="shared" si="7"/>
        <v>12</v>
      </c>
      <c r="S81" s="184">
        <f t="shared" si="7"/>
        <v>8</v>
      </c>
      <c r="T81" s="184">
        <f t="shared" si="7"/>
        <v>6</v>
      </c>
      <c r="U81" s="184">
        <f t="shared" si="7"/>
        <v>6</v>
      </c>
      <c r="V81" s="184">
        <f t="shared" si="7"/>
        <v>25</v>
      </c>
      <c r="W81" s="184">
        <f t="shared" si="7"/>
        <v>25</v>
      </c>
      <c r="X81" s="184">
        <f t="shared" si="7"/>
        <v>13</v>
      </c>
      <c r="Y81" s="184">
        <f t="shared" si="7"/>
        <v>12</v>
      </c>
      <c r="Z81" s="184">
        <f>SUM(Z82:Z83)</f>
        <v>21</v>
      </c>
      <c r="AA81" s="184">
        <f t="shared" si="7"/>
        <v>20</v>
      </c>
      <c r="AB81" s="184">
        <f t="shared" si="7"/>
        <v>28</v>
      </c>
      <c r="AC81" s="184">
        <f t="shared" si="7"/>
        <v>14</v>
      </c>
      <c r="AD81" s="184">
        <f t="shared" si="7"/>
        <v>21</v>
      </c>
      <c r="AE81" s="184">
        <f t="shared" si="7"/>
        <v>12</v>
      </c>
      <c r="AF81" s="184">
        <f t="shared" si="7"/>
        <v>0</v>
      </c>
      <c r="AG81" s="116">
        <f t="shared" si="2"/>
        <v>548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14">
        <f t="shared" si="8"/>
        <v>0</v>
      </c>
      <c r="D82" s="114">
        <f t="shared" si="8"/>
        <v>1</v>
      </c>
      <c r="E82" s="114">
        <f t="shared" si="8"/>
        <v>0</v>
      </c>
      <c r="F82" s="114">
        <f t="shared" si="8"/>
        <v>0</v>
      </c>
      <c r="G82" s="182"/>
      <c r="H82" s="182"/>
      <c r="I82" s="114">
        <f t="shared" si="8"/>
        <v>0</v>
      </c>
      <c r="J82" s="114">
        <f t="shared" si="8"/>
        <v>0</v>
      </c>
      <c r="K82" s="114">
        <f t="shared" si="8"/>
        <v>0</v>
      </c>
      <c r="L82" s="114">
        <f t="shared" si="8"/>
        <v>0</v>
      </c>
      <c r="M82" s="114">
        <f t="shared" si="8"/>
        <v>0</v>
      </c>
      <c r="N82" s="182"/>
      <c r="O82" s="182"/>
      <c r="P82" s="114">
        <f t="shared" si="8"/>
        <v>1</v>
      </c>
      <c r="Q82" s="114">
        <f t="shared" si="8"/>
        <v>0</v>
      </c>
      <c r="R82" s="114">
        <f t="shared" si="8"/>
        <v>1</v>
      </c>
      <c r="S82" s="114">
        <f t="shared" si="8"/>
        <v>0</v>
      </c>
      <c r="T82" s="182"/>
      <c r="U82" s="182"/>
      <c r="V82" s="182"/>
      <c r="W82" s="114">
        <f t="shared" si="8"/>
        <v>1</v>
      </c>
      <c r="X82" s="114">
        <f t="shared" si="8"/>
        <v>0</v>
      </c>
      <c r="Y82" s="114">
        <f t="shared" si="8"/>
        <v>0</v>
      </c>
      <c r="Z82" s="114">
        <f t="shared" si="8"/>
        <v>0</v>
      </c>
      <c r="AA82" s="114">
        <f t="shared" si="8"/>
        <v>0</v>
      </c>
      <c r="AB82" s="182"/>
      <c r="AC82" s="182"/>
      <c r="AD82" s="114">
        <f t="shared" si="8"/>
        <v>0</v>
      </c>
      <c r="AE82" s="114">
        <f t="shared" si="8"/>
        <v>0</v>
      </c>
      <c r="AF82" s="114">
        <f t="shared" si="8"/>
        <v>0</v>
      </c>
      <c r="AG82" s="132">
        <f t="shared" si="2"/>
        <v>4</v>
      </c>
    </row>
    <row r="83" spans="1:35" ht="19.5" thickBot="1" x14ac:dyDescent="0.3">
      <c r="A83" s="107" t="s">
        <v>58</v>
      </c>
      <c r="B83" s="9">
        <f t="shared" ref="B83" si="9">SUM(B54:B77)-B82</f>
        <v>39</v>
      </c>
      <c r="C83" s="9">
        <f t="shared" ref="C83" si="10">SUM(C54:C77)-C82</f>
        <v>16</v>
      </c>
      <c r="D83" s="9">
        <f t="shared" ref="D83:AF83" si="11">SUM(D54:D77)-D82</f>
        <v>12</v>
      </c>
      <c r="E83" s="9">
        <f t="shared" si="11"/>
        <v>18</v>
      </c>
      <c r="F83" s="9">
        <f t="shared" si="11"/>
        <v>24</v>
      </c>
      <c r="G83" s="9">
        <f t="shared" si="11"/>
        <v>11</v>
      </c>
      <c r="H83" s="9">
        <f t="shared" si="11"/>
        <v>31</v>
      </c>
      <c r="I83" s="9">
        <f t="shared" si="11"/>
        <v>25</v>
      </c>
      <c r="J83" s="9">
        <f t="shared" si="11"/>
        <v>16</v>
      </c>
      <c r="K83" s="9">
        <f t="shared" si="11"/>
        <v>15</v>
      </c>
      <c r="L83" s="9">
        <f t="shared" si="11"/>
        <v>14</v>
      </c>
      <c r="M83" s="9">
        <f t="shared" si="11"/>
        <v>9</v>
      </c>
      <c r="N83" s="9">
        <f t="shared" si="11"/>
        <v>23</v>
      </c>
      <c r="O83" s="9">
        <f t="shared" si="11"/>
        <v>16</v>
      </c>
      <c r="P83" s="9">
        <f t="shared" si="11"/>
        <v>39</v>
      </c>
      <c r="Q83" s="9">
        <f t="shared" si="11"/>
        <v>15</v>
      </c>
      <c r="R83" s="9">
        <f t="shared" si="11"/>
        <v>11</v>
      </c>
      <c r="S83" s="9">
        <f t="shared" si="11"/>
        <v>8</v>
      </c>
      <c r="T83" s="9">
        <f t="shared" si="11"/>
        <v>6</v>
      </c>
      <c r="U83" s="9">
        <f t="shared" si="11"/>
        <v>6</v>
      </c>
      <c r="V83" s="9">
        <f t="shared" si="11"/>
        <v>25</v>
      </c>
      <c r="W83" s="9">
        <f t="shared" si="11"/>
        <v>24</v>
      </c>
      <c r="X83" s="9">
        <f t="shared" si="11"/>
        <v>13</v>
      </c>
      <c r="Y83" s="9">
        <f t="shared" si="11"/>
        <v>12</v>
      </c>
      <c r="Z83" s="9">
        <f t="shared" si="11"/>
        <v>21</v>
      </c>
      <c r="AA83" s="9">
        <f t="shared" si="11"/>
        <v>20</v>
      </c>
      <c r="AB83" s="9">
        <f t="shared" si="11"/>
        <v>28</v>
      </c>
      <c r="AC83" s="9">
        <f t="shared" si="11"/>
        <v>14</v>
      </c>
      <c r="AD83" s="9">
        <f t="shared" si="11"/>
        <v>21</v>
      </c>
      <c r="AE83" s="9">
        <f t="shared" si="11"/>
        <v>12</v>
      </c>
      <c r="AF83" s="9">
        <f t="shared" si="11"/>
        <v>0</v>
      </c>
      <c r="AG83" s="4">
        <f t="shared" si="2"/>
        <v>544</v>
      </c>
    </row>
    <row r="84" spans="1:35" ht="19.5" thickBot="1" x14ac:dyDescent="0.3">
      <c r="A84" s="164" t="s">
        <v>146</v>
      </c>
      <c r="B84" s="165">
        <f>SUM(B85:B86)</f>
        <v>39</v>
      </c>
      <c r="C84" s="165">
        <f t="shared" ref="C84:AF84" si="12">SUM(C85:C86)</f>
        <v>16</v>
      </c>
      <c r="D84" s="165">
        <f t="shared" si="12"/>
        <v>13</v>
      </c>
      <c r="E84" s="165">
        <f t="shared" si="12"/>
        <v>18</v>
      </c>
      <c r="F84" s="165">
        <f t="shared" si="12"/>
        <v>24</v>
      </c>
      <c r="G84" s="165">
        <f t="shared" si="12"/>
        <v>11</v>
      </c>
      <c r="H84" s="165">
        <f t="shared" si="12"/>
        <v>31</v>
      </c>
      <c r="I84" s="165">
        <f t="shared" si="12"/>
        <v>25</v>
      </c>
      <c r="J84" s="165">
        <f t="shared" si="12"/>
        <v>16</v>
      </c>
      <c r="K84" s="165">
        <f t="shared" si="12"/>
        <v>15</v>
      </c>
      <c r="L84" s="165">
        <f t="shared" si="12"/>
        <v>14</v>
      </c>
      <c r="M84" s="165">
        <f t="shared" si="12"/>
        <v>9</v>
      </c>
      <c r="N84" s="165">
        <f t="shared" si="12"/>
        <v>23</v>
      </c>
      <c r="O84" s="165">
        <f t="shared" si="12"/>
        <v>16</v>
      </c>
      <c r="P84" s="165">
        <f t="shared" si="12"/>
        <v>40</v>
      </c>
      <c r="Q84" s="165">
        <f t="shared" si="12"/>
        <v>15</v>
      </c>
      <c r="R84" s="165">
        <f t="shared" si="12"/>
        <v>12</v>
      </c>
      <c r="S84" s="165">
        <f t="shared" si="12"/>
        <v>8</v>
      </c>
      <c r="T84" s="165">
        <f t="shared" si="12"/>
        <v>6</v>
      </c>
      <c r="U84" s="165">
        <f t="shared" si="12"/>
        <v>6</v>
      </c>
      <c r="V84" s="165">
        <f t="shared" si="12"/>
        <v>25</v>
      </c>
      <c r="W84" s="165">
        <f t="shared" si="12"/>
        <v>25</v>
      </c>
      <c r="X84" s="165">
        <f t="shared" si="12"/>
        <v>13</v>
      </c>
      <c r="Y84" s="165">
        <f t="shared" si="12"/>
        <v>12</v>
      </c>
      <c r="Z84" s="165">
        <f t="shared" si="12"/>
        <v>21</v>
      </c>
      <c r="AA84" s="165">
        <f t="shared" si="12"/>
        <v>20</v>
      </c>
      <c r="AB84" s="165">
        <f t="shared" si="12"/>
        <v>28</v>
      </c>
      <c r="AC84" s="165">
        <f t="shared" si="12"/>
        <v>14</v>
      </c>
      <c r="AD84" s="165">
        <f t="shared" si="12"/>
        <v>21</v>
      </c>
      <c r="AE84" s="165">
        <f t="shared" si="12"/>
        <v>12</v>
      </c>
      <c r="AF84" s="165">
        <f t="shared" si="12"/>
        <v>0</v>
      </c>
      <c r="AG84" s="171">
        <f t="shared" ref="AG84:AG126" si="13">SUM(B84:AF84)</f>
        <v>548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10</v>
      </c>
      <c r="C85" s="169">
        <v>3</v>
      </c>
      <c r="D85" s="169">
        <v>1</v>
      </c>
      <c r="E85" s="169">
        <v>4</v>
      </c>
      <c r="F85" s="169">
        <v>4</v>
      </c>
      <c r="G85" s="169">
        <v>1</v>
      </c>
      <c r="H85" s="169">
        <v>10</v>
      </c>
      <c r="I85" s="169">
        <v>5</v>
      </c>
      <c r="J85" s="169">
        <v>4</v>
      </c>
      <c r="K85" s="169">
        <v>6</v>
      </c>
      <c r="L85" s="169">
        <v>3</v>
      </c>
      <c r="M85" s="169">
        <v>3</v>
      </c>
      <c r="N85" s="169">
        <v>7</v>
      </c>
      <c r="O85" s="169">
        <v>2</v>
      </c>
      <c r="P85" s="169">
        <v>8</v>
      </c>
      <c r="Q85" s="169">
        <v>4</v>
      </c>
      <c r="R85" s="169">
        <v>1</v>
      </c>
      <c r="S85" s="169">
        <v>1</v>
      </c>
      <c r="T85" s="169">
        <v>1</v>
      </c>
      <c r="U85" s="169">
        <v>2</v>
      </c>
      <c r="V85" s="169">
        <v>7</v>
      </c>
      <c r="W85" s="169">
        <v>3</v>
      </c>
      <c r="X85" s="169">
        <v>2</v>
      </c>
      <c r="Y85" s="169">
        <v>2</v>
      </c>
      <c r="Z85" s="169">
        <v>4</v>
      </c>
      <c r="AA85" s="169">
        <v>3</v>
      </c>
      <c r="AB85" s="169">
        <v>4</v>
      </c>
      <c r="AC85" s="169">
        <v>6</v>
      </c>
      <c r="AD85" s="169">
        <v>4</v>
      </c>
      <c r="AE85" s="169">
        <v>5</v>
      </c>
      <c r="AF85" s="170"/>
      <c r="AG85" s="168">
        <f t="shared" si="13"/>
        <v>120</v>
      </c>
      <c r="AI85" s="374"/>
    </row>
    <row r="86" spans="1:35" ht="19.5" thickBot="1" x14ac:dyDescent="0.3">
      <c r="A86" s="172" t="s">
        <v>145</v>
      </c>
      <c r="B86" s="173">
        <v>29</v>
      </c>
      <c r="C86" s="173">
        <v>13</v>
      </c>
      <c r="D86" s="173">
        <v>12</v>
      </c>
      <c r="E86" s="173">
        <v>14</v>
      </c>
      <c r="F86" s="173">
        <v>20</v>
      </c>
      <c r="G86" s="173">
        <v>10</v>
      </c>
      <c r="H86" s="173">
        <v>21</v>
      </c>
      <c r="I86" s="173">
        <v>20</v>
      </c>
      <c r="J86" s="173">
        <v>12</v>
      </c>
      <c r="K86" s="173">
        <v>9</v>
      </c>
      <c r="L86" s="173">
        <v>11</v>
      </c>
      <c r="M86" s="173">
        <v>6</v>
      </c>
      <c r="N86" s="173">
        <v>16</v>
      </c>
      <c r="O86" s="173">
        <v>14</v>
      </c>
      <c r="P86" s="173">
        <v>32</v>
      </c>
      <c r="Q86" s="173">
        <v>11</v>
      </c>
      <c r="R86" s="173">
        <v>11</v>
      </c>
      <c r="S86" s="173">
        <v>7</v>
      </c>
      <c r="T86" s="173">
        <v>5</v>
      </c>
      <c r="U86" s="173">
        <v>4</v>
      </c>
      <c r="V86" s="173">
        <v>18</v>
      </c>
      <c r="W86" s="173">
        <v>22</v>
      </c>
      <c r="X86" s="173">
        <v>11</v>
      </c>
      <c r="Y86" s="173">
        <v>10</v>
      </c>
      <c r="Z86" s="173">
        <v>17</v>
      </c>
      <c r="AA86" s="173">
        <v>17</v>
      </c>
      <c r="AB86" s="173">
        <v>24</v>
      </c>
      <c r="AC86" s="173">
        <v>8</v>
      </c>
      <c r="AD86" s="173">
        <v>17</v>
      </c>
      <c r="AE86" s="173">
        <v>7</v>
      </c>
      <c r="AF86" s="174"/>
      <c r="AG86" s="176">
        <f t="shared" si="13"/>
        <v>428</v>
      </c>
      <c r="AI86" s="375"/>
    </row>
    <row r="87" spans="1:35" ht="19.5" thickBot="1" x14ac:dyDescent="0.3">
      <c r="A87" s="177" t="s">
        <v>147</v>
      </c>
      <c r="B87" s="178">
        <f>SUM(B88:B92)</f>
        <v>39</v>
      </c>
      <c r="C87" s="178">
        <f t="shared" ref="C87:AF87" si="14">SUM(C88:C92)</f>
        <v>16</v>
      </c>
      <c r="D87" s="178">
        <f t="shared" si="14"/>
        <v>13</v>
      </c>
      <c r="E87" s="178">
        <f t="shared" si="14"/>
        <v>18</v>
      </c>
      <c r="F87" s="178">
        <f t="shared" si="14"/>
        <v>24</v>
      </c>
      <c r="G87" s="178">
        <f t="shared" si="14"/>
        <v>11</v>
      </c>
      <c r="H87" s="178">
        <f t="shared" si="14"/>
        <v>31</v>
      </c>
      <c r="I87" s="178">
        <f t="shared" si="14"/>
        <v>25</v>
      </c>
      <c r="J87" s="178">
        <f t="shared" si="14"/>
        <v>16</v>
      </c>
      <c r="K87" s="178">
        <f t="shared" si="14"/>
        <v>15</v>
      </c>
      <c r="L87" s="178">
        <f t="shared" si="14"/>
        <v>14</v>
      </c>
      <c r="M87" s="178">
        <f t="shared" si="14"/>
        <v>9</v>
      </c>
      <c r="N87" s="178">
        <f t="shared" si="14"/>
        <v>23</v>
      </c>
      <c r="O87" s="178">
        <f t="shared" si="14"/>
        <v>16</v>
      </c>
      <c r="P87" s="178">
        <f t="shared" si="14"/>
        <v>40</v>
      </c>
      <c r="Q87" s="178">
        <f t="shared" si="14"/>
        <v>15</v>
      </c>
      <c r="R87" s="178">
        <f t="shared" si="14"/>
        <v>12</v>
      </c>
      <c r="S87" s="178">
        <f t="shared" si="14"/>
        <v>8</v>
      </c>
      <c r="T87" s="178">
        <f t="shared" si="14"/>
        <v>6</v>
      </c>
      <c r="U87" s="178">
        <f t="shared" si="14"/>
        <v>6</v>
      </c>
      <c r="V87" s="178">
        <f t="shared" si="14"/>
        <v>25</v>
      </c>
      <c r="W87" s="178">
        <f t="shared" si="14"/>
        <v>25</v>
      </c>
      <c r="X87" s="178">
        <f t="shared" si="14"/>
        <v>13</v>
      </c>
      <c r="Y87" s="178">
        <f t="shared" si="14"/>
        <v>12</v>
      </c>
      <c r="Z87" s="178">
        <f t="shared" si="14"/>
        <v>21</v>
      </c>
      <c r="AA87" s="178">
        <f t="shared" si="14"/>
        <v>20</v>
      </c>
      <c r="AB87" s="178">
        <f t="shared" si="14"/>
        <v>28</v>
      </c>
      <c r="AC87" s="178">
        <f t="shared" si="14"/>
        <v>14</v>
      </c>
      <c r="AD87" s="178">
        <f t="shared" si="14"/>
        <v>21</v>
      </c>
      <c r="AE87" s="178">
        <f t="shared" si="14"/>
        <v>12</v>
      </c>
      <c r="AF87" s="178">
        <f t="shared" si="14"/>
        <v>0</v>
      </c>
      <c r="AG87" s="179">
        <f t="shared" si="13"/>
        <v>548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5</v>
      </c>
      <c r="C88" s="166">
        <v>5</v>
      </c>
      <c r="D88" s="166">
        <v>4</v>
      </c>
      <c r="E88" s="166">
        <v>7</v>
      </c>
      <c r="F88" s="166">
        <v>5</v>
      </c>
      <c r="G88" s="166">
        <v>6</v>
      </c>
      <c r="H88" s="166">
        <v>7</v>
      </c>
      <c r="I88" s="166">
        <v>5</v>
      </c>
      <c r="J88" s="166">
        <v>4</v>
      </c>
      <c r="K88" s="166">
        <v>7</v>
      </c>
      <c r="L88" s="166">
        <v>2</v>
      </c>
      <c r="M88" s="166">
        <v>3</v>
      </c>
      <c r="N88" s="166">
        <v>5</v>
      </c>
      <c r="O88" s="166">
        <v>2</v>
      </c>
      <c r="P88" s="166">
        <v>18</v>
      </c>
      <c r="Q88" s="166">
        <v>8</v>
      </c>
      <c r="R88" s="166">
        <v>3</v>
      </c>
      <c r="S88" s="166">
        <v>5</v>
      </c>
      <c r="T88" s="166">
        <v>2</v>
      </c>
      <c r="U88" s="166">
        <v>1</v>
      </c>
      <c r="V88" s="166">
        <v>7</v>
      </c>
      <c r="W88" s="166">
        <v>11</v>
      </c>
      <c r="X88" s="166">
        <v>5</v>
      </c>
      <c r="Y88" s="166">
        <v>3</v>
      </c>
      <c r="Z88" s="166">
        <v>5</v>
      </c>
      <c r="AA88" s="166">
        <v>7</v>
      </c>
      <c r="AB88" s="166">
        <v>12</v>
      </c>
      <c r="AC88" s="166">
        <v>5</v>
      </c>
      <c r="AD88" s="166">
        <v>9</v>
      </c>
      <c r="AE88" s="166">
        <v>5</v>
      </c>
      <c r="AF88" s="167"/>
      <c r="AG88" s="132">
        <f t="shared" si="13"/>
        <v>173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0</v>
      </c>
    </row>
    <row r="91" spans="1:35" ht="18.75" x14ac:dyDescent="0.25">
      <c r="A91" s="105" t="s">
        <v>75</v>
      </c>
      <c r="B91" s="9">
        <v>17</v>
      </c>
      <c r="C91" s="9">
        <v>4</v>
      </c>
      <c r="D91" s="9">
        <v>7</v>
      </c>
      <c r="E91" s="9">
        <v>5</v>
      </c>
      <c r="F91" s="9">
        <v>13</v>
      </c>
      <c r="G91" s="9">
        <v>4</v>
      </c>
      <c r="H91" s="9">
        <v>15</v>
      </c>
      <c r="I91" s="9">
        <v>6</v>
      </c>
      <c r="J91" s="9">
        <v>3</v>
      </c>
      <c r="K91" s="9">
        <v>6</v>
      </c>
      <c r="L91" s="9">
        <v>5</v>
      </c>
      <c r="M91" s="9">
        <v>2</v>
      </c>
      <c r="N91" s="9">
        <v>8</v>
      </c>
      <c r="O91" s="9">
        <v>3</v>
      </c>
      <c r="P91" s="9">
        <v>15</v>
      </c>
      <c r="Q91" s="9">
        <v>5</v>
      </c>
      <c r="R91" s="9">
        <v>4</v>
      </c>
      <c r="S91" s="9"/>
      <c r="T91" s="9">
        <v>1</v>
      </c>
      <c r="U91" s="9">
        <v>1</v>
      </c>
      <c r="V91" s="9">
        <v>2</v>
      </c>
      <c r="W91" s="9">
        <v>3</v>
      </c>
      <c r="X91" s="9">
        <v>1</v>
      </c>
      <c r="Y91" s="9">
        <v>4</v>
      </c>
      <c r="Z91" s="9">
        <v>5</v>
      </c>
      <c r="AA91" s="9">
        <v>7</v>
      </c>
      <c r="AB91" s="9">
        <v>4</v>
      </c>
      <c r="AC91" s="9">
        <v>3</v>
      </c>
      <c r="AD91" s="9">
        <v>1</v>
      </c>
      <c r="AE91" s="9">
        <v>2</v>
      </c>
      <c r="AF91" s="10"/>
      <c r="AG91" s="4">
        <f t="shared" si="13"/>
        <v>156</v>
      </c>
    </row>
    <row r="92" spans="1:35" ht="19.5" thickBot="1" x14ac:dyDescent="0.3">
      <c r="A92" s="105" t="s">
        <v>76</v>
      </c>
      <c r="B92" s="9">
        <v>17</v>
      </c>
      <c r="C92" s="9">
        <v>7</v>
      </c>
      <c r="D92" s="9">
        <v>2</v>
      </c>
      <c r="E92" s="9">
        <v>6</v>
      </c>
      <c r="F92" s="9">
        <v>6</v>
      </c>
      <c r="G92" s="9">
        <v>1</v>
      </c>
      <c r="H92" s="9">
        <v>9</v>
      </c>
      <c r="I92" s="9">
        <v>14</v>
      </c>
      <c r="J92" s="9">
        <v>9</v>
      </c>
      <c r="K92" s="9">
        <v>2</v>
      </c>
      <c r="L92" s="9">
        <v>7</v>
      </c>
      <c r="M92" s="9">
        <v>4</v>
      </c>
      <c r="N92" s="9">
        <v>10</v>
      </c>
      <c r="O92" s="9">
        <v>11</v>
      </c>
      <c r="P92" s="9">
        <v>7</v>
      </c>
      <c r="Q92" s="9">
        <v>2</v>
      </c>
      <c r="R92" s="9">
        <v>5</v>
      </c>
      <c r="S92" s="9">
        <v>3</v>
      </c>
      <c r="T92" s="9">
        <v>3</v>
      </c>
      <c r="U92" s="9">
        <v>4</v>
      </c>
      <c r="V92" s="9">
        <v>16</v>
      </c>
      <c r="W92" s="9">
        <v>11</v>
      </c>
      <c r="X92" s="9">
        <v>7</v>
      </c>
      <c r="Y92" s="9">
        <v>5</v>
      </c>
      <c r="Z92" s="9">
        <v>11</v>
      </c>
      <c r="AA92" s="9">
        <v>6</v>
      </c>
      <c r="AB92" s="9">
        <v>12</v>
      </c>
      <c r="AC92" s="9">
        <v>6</v>
      </c>
      <c r="AD92" s="9">
        <v>11</v>
      </c>
      <c r="AE92" s="9">
        <v>5</v>
      </c>
      <c r="AF92" s="10"/>
      <c r="AG92" s="4">
        <f t="shared" si="13"/>
        <v>219</v>
      </c>
    </row>
    <row r="93" spans="1:35" ht="18.75" x14ac:dyDescent="0.25">
      <c r="A93" s="73" t="s">
        <v>616</v>
      </c>
      <c r="B93" s="74">
        <f t="shared" ref="B93:AF93" si="15">+B94+B100</f>
        <v>182</v>
      </c>
      <c r="C93" s="74">
        <f t="shared" si="15"/>
        <v>193</v>
      </c>
      <c r="D93" s="74">
        <f t="shared" si="15"/>
        <v>176</v>
      </c>
      <c r="E93" s="74">
        <f t="shared" si="15"/>
        <v>146</v>
      </c>
      <c r="F93" s="74">
        <f t="shared" si="15"/>
        <v>137</v>
      </c>
      <c r="G93" s="74">
        <f t="shared" si="15"/>
        <v>222</v>
      </c>
      <c r="H93" s="74">
        <f t="shared" si="15"/>
        <v>216</v>
      </c>
      <c r="I93" s="74">
        <f t="shared" si="15"/>
        <v>153</v>
      </c>
      <c r="J93" s="74">
        <f t="shared" si="15"/>
        <v>142</v>
      </c>
      <c r="K93" s="74">
        <f t="shared" si="15"/>
        <v>156</v>
      </c>
      <c r="L93" s="74">
        <f t="shared" si="15"/>
        <v>129</v>
      </c>
      <c r="M93" s="74">
        <f t="shared" si="15"/>
        <v>141</v>
      </c>
      <c r="N93" s="74">
        <f t="shared" si="15"/>
        <v>205</v>
      </c>
      <c r="O93" s="74">
        <f t="shared" si="15"/>
        <v>200</v>
      </c>
      <c r="P93" s="74">
        <f t="shared" si="15"/>
        <v>163</v>
      </c>
      <c r="Q93" s="74">
        <f t="shared" si="15"/>
        <v>154</v>
      </c>
      <c r="R93" s="74">
        <f t="shared" si="15"/>
        <v>162</v>
      </c>
      <c r="S93" s="74">
        <f t="shared" si="15"/>
        <v>152</v>
      </c>
      <c r="T93" s="74">
        <f t="shared" si="15"/>
        <v>188</v>
      </c>
      <c r="U93" s="74">
        <f t="shared" si="15"/>
        <v>223</v>
      </c>
      <c r="V93" s="74">
        <f t="shared" si="15"/>
        <v>215</v>
      </c>
      <c r="W93" s="74">
        <f t="shared" si="15"/>
        <v>152</v>
      </c>
      <c r="X93" s="74">
        <f t="shared" si="15"/>
        <v>148</v>
      </c>
      <c r="Y93" s="74">
        <f t="shared" si="15"/>
        <v>149</v>
      </c>
      <c r="Z93" s="74">
        <f t="shared" si="15"/>
        <v>123</v>
      </c>
      <c r="AA93" s="74">
        <f t="shared" si="15"/>
        <v>152</v>
      </c>
      <c r="AB93" s="74">
        <f t="shared" si="15"/>
        <v>210</v>
      </c>
      <c r="AC93" s="74">
        <f t="shared" si="15"/>
        <v>219</v>
      </c>
      <c r="AD93" s="74">
        <f t="shared" si="15"/>
        <v>156</v>
      </c>
      <c r="AE93" s="74">
        <f t="shared" si="15"/>
        <v>150</v>
      </c>
      <c r="AF93" s="84">
        <f t="shared" si="15"/>
        <v>0</v>
      </c>
      <c r="AG93" s="150">
        <f t="shared" si="13"/>
        <v>5114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34</v>
      </c>
      <c r="C94" s="17">
        <f t="shared" si="16"/>
        <v>22</v>
      </c>
      <c r="D94" s="17">
        <f t="shared" si="16"/>
        <v>46</v>
      </c>
      <c r="E94" s="17">
        <f t="shared" si="16"/>
        <v>20</v>
      </c>
      <c r="F94" s="17">
        <f t="shared" si="16"/>
        <v>18</v>
      </c>
      <c r="G94" s="17">
        <f t="shared" si="16"/>
        <v>46</v>
      </c>
      <c r="H94" s="17">
        <f t="shared" si="16"/>
        <v>51</v>
      </c>
      <c r="I94" s="17">
        <f t="shared" si="16"/>
        <v>40</v>
      </c>
      <c r="J94" s="17">
        <f t="shared" si="16"/>
        <v>36</v>
      </c>
      <c r="K94" s="17">
        <f t="shared" si="16"/>
        <v>21</v>
      </c>
      <c r="L94" s="17">
        <f t="shared" si="16"/>
        <v>24</v>
      </c>
      <c r="M94" s="17">
        <f t="shared" si="16"/>
        <v>28</v>
      </c>
      <c r="N94" s="17">
        <f t="shared" si="16"/>
        <v>48</v>
      </c>
      <c r="O94" s="17">
        <f t="shared" si="16"/>
        <v>46</v>
      </c>
      <c r="P94" s="17">
        <f t="shared" si="16"/>
        <v>46</v>
      </c>
      <c r="Q94" s="17">
        <f t="shared" si="16"/>
        <v>43</v>
      </c>
      <c r="R94" s="17">
        <f t="shared" si="16"/>
        <v>31</v>
      </c>
      <c r="S94" s="17">
        <f t="shared" si="16"/>
        <v>28</v>
      </c>
      <c r="T94" s="17">
        <f t="shared" si="16"/>
        <v>46</v>
      </c>
      <c r="U94" s="17">
        <f t="shared" si="16"/>
        <v>52</v>
      </c>
      <c r="V94" s="17">
        <f t="shared" si="16"/>
        <v>47</v>
      </c>
      <c r="W94" s="17">
        <f t="shared" si="16"/>
        <v>48</v>
      </c>
      <c r="X94" s="17">
        <f t="shared" si="16"/>
        <v>34</v>
      </c>
      <c r="Y94" s="17">
        <f t="shared" si="16"/>
        <v>31</v>
      </c>
      <c r="Z94" s="17">
        <f t="shared" si="16"/>
        <v>22</v>
      </c>
      <c r="AA94" s="17">
        <f t="shared" si="16"/>
        <v>33</v>
      </c>
      <c r="AB94" s="17">
        <f t="shared" si="16"/>
        <v>47</v>
      </c>
      <c r="AC94" s="17">
        <f t="shared" si="16"/>
        <v>59</v>
      </c>
      <c r="AD94" s="17">
        <f t="shared" si="16"/>
        <v>38</v>
      </c>
      <c r="AE94" s="17">
        <f t="shared" si="16"/>
        <v>32</v>
      </c>
      <c r="AF94" s="18">
        <f t="shared" si="16"/>
        <v>0</v>
      </c>
      <c r="AG94" s="4">
        <f t="shared" si="13"/>
        <v>1117</v>
      </c>
    </row>
    <row r="95" spans="1:35" ht="18.75" x14ac:dyDescent="0.25">
      <c r="A95" s="44" t="s">
        <v>81</v>
      </c>
      <c r="B95" s="7">
        <v>1</v>
      </c>
      <c r="C95" s="7">
        <v>1</v>
      </c>
      <c r="D95" s="7">
        <v>1</v>
      </c>
      <c r="E95" s="7">
        <v>1</v>
      </c>
      <c r="F95" s="7">
        <v>1</v>
      </c>
      <c r="G95" s="7">
        <v>4</v>
      </c>
      <c r="H95" s="7"/>
      <c r="I95" s="7">
        <v>4</v>
      </c>
      <c r="J95" s="7">
        <v>1</v>
      </c>
      <c r="K95" s="7">
        <v>1</v>
      </c>
      <c r="L95" s="7">
        <v>3</v>
      </c>
      <c r="M95" s="7">
        <v>2</v>
      </c>
      <c r="N95" s="7">
        <v>3</v>
      </c>
      <c r="O95" s="7">
        <v>6</v>
      </c>
      <c r="P95" s="7">
        <v>2</v>
      </c>
      <c r="Q95" s="7"/>
      <c r="R95" s="7">
        <v>2</v>
      </c>
      <c r="S95" s="7">
        <v>1</v>
      </c>
      <c r="T95" s="7">
        <v>2</v>
      </c>
      <c r="U95" s="7">
        <v>1</v>
      </c>
      <c r="V95" s="7">
        <v>2</v>
      </c>
      <c r="W95" s="7">
        <v>2</v>
      </c>
      <c r="X95" s="7">
        <v>3</v>
      </c>
      <c r="Y95" s="7">
        <v>1</v>
      </c>
      <c r="Z95" s="7">
        <v>1</v>
      </c>
      <c r="AA95" s="7">
        <v>3</v>
      </c>
      <c r="AB95" s="7">
        <v>3</v>
      </c>
      <c r="AC95" s="7">
        <v>3</v>
      </c>
      <c r="AD95" s="7">
        <v>2</v>
      </c>
      <c r="AE95" s="7"/>
      <c r="AF95" s="8"/>
      <c r="AG95" s="4">
        <f t="shared" si="13"/>
        <v>57</v>
      </c>
    </row>
    <row r="96" spans="1:35" ht="18.75" x14ac:dyDescent="0.25">
      <c r="A96" s="45" t="s">
        <v>82</v>
      </c>
      <c r="B96" s="7"/>
      <c r="C96" s="7">
        <v>2</v>
      </c>
      <c r="D96" s="7">
        <v>2</v>
      </c>
      <c r="E96" s="7">
        <v>1</v>
      </c>
      <c r="F96" s="7">
        <v>1</v>
      </c>
      <c r="G96" s="7">
        <v>3</v>
      </c>
      <c r="H96" s="7">
        <v>3</v>
      </c>
      <c r="I96" s="7">
        <v>2</v>
      </c>
      <c r="J96" s="7">
        <v>3</v>
      </c>
      <c r="K96" s="7"/>
      <c r="L96" s="7">
        <v>2</v>
      </c>
      <c r="M96" s="7">
        <v>3</v>
      </c>
      <c r="N96" s="7">
        <v>2</v>
      </c>
      <c r="O96" s="7">
        <v>3</v>
      </c>
      <c r="P96" s="7">
        <v>4</v>
      </c>
      <c r="Q96" s="7">
        <v>4</v>
      </c>
      <c r="R96" s="7">
        <v>1</v>
      </c>
      <c r="S96" s="141">
        <v>1</v>
      </c>
      <c r="T96" s="7">
        <v>2</v>
      </c>
      <c r="U96" s="7">
        <v>3</v>
      </c>
      <c r="V96" s="7">
        <v>2</v>
      </c>
      <c r="W96" s="7">
        <v>4</v>
      </c>
      <c r="X96" s="7">
        <v>3</v>
      </c>
      <c r="Y96" s="7">
        <v>4</v>
      </c>
      <c r="Z96" s="7"/>
      <c r="AA96" s="7">
        <v>2</v>
      </c>
      <c r="AB96" s="7">
        <v>9</v>
      </c>
      <c r="AC96" s="7">
        <v>7</v>
      </c>
      <c r="AD96" s="7">
        <v>2</v>
      </c>
      <c r="AE96" s="7">
        <v>8</v>
      </c>
      <c r="AF96" s="8"/>
      <c r="AG96" s="4">
        <f t="shared" si="13"/>
        <v>83</v>
      </c>
    </row>
    <row r="97" spans="1:33" ht="18.75" x14ac:dyDescent="0.25">
      <c r="A97" s="46" t="s">
        <v>70</v>
      </c>
      <c r="B97" s="7">
        <v>5</v>
      </c>
      <c r="C97" s="7">
        <v>4</v>
      </c>
      <c r="D97" s="7">
        <v>11</v>
      </c>
      <c r="E97" s="7">
        <v>6</v>
      </c>
      <c r="F97" s="7">
        <v>4</v>
      </c>
      <c r="G97" s="7">
        <v>16</v>
      </c>
      <c r="H97" s="7">
        <v>15</v>
      </c>
      <c r="I97" s="7">
        <v>6</v>
      </c>
      <c r="J97" s="7">
        <v>18</v>
      </c>
      <c r="K97" s="7">
        <v>5</v>
      </c>
      <c r="L97" s="7">
        <v>1</v>
      </c>
      <c r="M97" s="7">
        <v>9</v>
      </c>
      <c r="N97" s="7">
        <v>16</v>
      </c>
      <c r="O97" s="7">
        <v>12</v>
      </c>
      <c r="P97" s="7">
        <v>15</v>
      </c>
      <c r="Q97" s="7">
        <v>4</v>
      </c>
      <c r="R97" s="7">
        <v>7</v>
      </c>
      <c r="S97" s="7">
        <v>9</v>
      </c>
      <c r="T97" s="7">
        <v>17</v>
      </c>
      <c r="U97" s="7">
        <v>20</v>
      </c>
      <c r="V97" s="7">
        <v>16</v>
      </c>
      <c r="W97" s="7">
        <v>11</v>
      </c>
      <c r="X97" s="7">
        <v>6</v>
      </c>
      <c r="Y97" s="7">
        <v>8</v>
      </c>
      <c r="Z97" s="7">
        <v>9</v>
      </c>
      <c r="AA97" s="7">
        <v>5</v>
      </c>
      <c r="AB97" s="7">
        <v>12</v>
      </c>
      <c r="AC97" s="7">
        <v>16</v>
      </c>
      <c r="AD97" s="7">
        <v>8</v>
      </c>
      <c r="AE97" s="7">
        <v>9</v>
      </c>
      <c r="AF97" s="8"/>
      <c r="AG97" s="4">
        <f t="shared" si="13"/>
        <v>300</v>
      </c>
    </row>
    <row r="98" spans="1:33" ht="18.75" x14ac:dyDescent="0.25">
      <c r="A98" s="47" t="s">
        <v>6</v>
      </c>
      <c r="B98" s="7">
        <v>15</v>
      </c>
      <c r="C98" s="7">
        <v>8</v>
      </c>
      <c r="D98" s="7">
        <v>20</v>
      </c>
      <c r="E98" s="7">
        <v>7</v>
      </c>
      <c r="F98" s="7">
        <v>9</v>
      </c>
      <c r="G98" s="7">
        <v>18</v>
      </c>
      <c r="H98" s="7">
        <v>23</v>
      </c>
      <c r="I98" s="7">
        <v>13</v>
      </c>
      <c r="J98" s="7">
        <v>7</v>
      </c>
      <c r="K98" s="7">
        <v>9</v>
      </c>
      <c r="L98" s="7">
        <v>9</v>
      </c>
      <c r="M98" s="7">
        <v>4</v>
      </c>
      <c r="N98" s="7">
        <v>17</v>
      </c>
      <c r="O98" s="7">
        <v>13</v>
      </c>
      <c r="P98" s="7">
        <v>12</v>
      </c>
      <c r="Q98" s="7">
        <v>25</v>
      </c>
      <c r="R98" s="7">
        <v>14</v>
      </c>
      <c r="S98" s="7">
        <v>10</v>
      </c>
      <c r="T98" s="7">
        <v>13</v>
      </c>
      <c r="U98" s="7">
        <v>17</v>
      </c>
      <c r="V98" s="7">
        <v>20</v>
      </c>
      <c r="W98" s="7">
        <v>12</v>
      </c>
      <c r="X98" s="7">
        <v>11</v>
      </c>
      <c r="Y98" s="7">
        <v>8</v>
      </c>
      <c r="Z98" s="7">
        <v>3</v>
      </c>
      <c r="AA98" s="7">
        <v>14</v>
      </c>
      <c r="AB98" s="7">
        <v>11</v>
      </c>
      <c r="AC98" s="7">
        <v>20</v>
      </c>
      <c r="AD98" s="7">
        <v>15</v>
      </c>
      <c r="AE98" s="7">
        <v>7</v>
      </c>
      <c r="AF98" s="8"/>
      <c r="AG98" s="4">
        <f t="shared" si="13"/>
        <v>384</v>
      </c>
    </row>
    <row r="99" spans="1:33" ht="18.75" x14ac:dyDescent="0.25">
      <c r="A99" s="48" t="s">
        <v>7</v>
      </c>
      <c r="B99" s="7">
        <v>13</v>
      </c>
      <c r="C99" s="7">
        <v>7</v>
      </c>
      <c r="D99" s="7">
        <v>12</v>
      </c>
      <c r="E99" s="7">
        <v>5</v>
      </c>
      <c r="F99" s="7">
        <v>3</v>
      </c>
      <c r="G99" s="7">
        <v>5</v>
      </c>
      <c r="H99" s="7">
        <v>10</v>
      </c>
      <c r="I99" s="7">
        <v>15</v>
      </c>
      <c r="J99" s="7">
        <v>7</v>
      </c>
      <c r="K99" s="7">
        <v>6</v>
      </c>
      <c r="L99" s="7">
        <v>9</v>
      </c>
      <c r="M99" s="7">
        <v>10</v>
      </c>
      <c r="N99" s="7">
        <v>10</v>
      </c>
      <c r="O99" s="7">
        <v>12</v>
      </c>
      <c r="P99" s="7">
        <v>13</v>
      </c>
      <c r="Q99" s="7">
        <v>10</v>
      </c>
      <c r="R99" s="7">
        <v>7</v>
      </c>
      <c r="S99" s="7">
        <v>7</v>
      </c>
      <c r="T99" s="7">
        <v>12</v>
      </c>
      <c r="U99" s="7">
        <v>11</v>
      </c>
      <c r="V99" s="7">
        <v>7</v>
      </c>
      <c r="W99" s="7">
        <v>19</v>
      </c>
      <c r="X99" s="7">
        <v>11</v>
      </c>
      <c r="Y99" s="7">
        <v>10</v>
      </c>
      <c r="Z99" s="7">
        <v>9</v>
      </c>
      <c r="AA99" s="7">
        <v>9</v>
      </c>
      <c r="AB99" s="7">
        <v>12</v>
      </c>
      <c r="AC99" s="7">
        <v>13</v>
      </c>
      <c r="AD99" s="7">
        <v>11</v>
      </c>
      <c r="AE99" s="7">
        <v>8</v>
      </c>
      <c r="AF99" s="8"/>
      <c r="AG99" s="4">
        <f t="shared" si="13"/>
        <v>293</v>
      </c>
    </row>
    <row r="100" spans="1:33" ht="18.75" x14ac:dyDescent="0.25">
      <c r="A100" s="42" t="s">
        <v>66</v>
      </c>
      <c r="B100" s="17">
        <f t="shared" ref="B100:AF100" si="17">SUM(B101:B115)</f>
        <v>148</v>
      </c>
      <c r="C100" s="17">
        <f t="shared" si="17"/>
        <v>171</v>
      </c>
      <c r="D100" s="17">
        <f t="shared" si="17"/>
        <v>130</v>
      </c>
      <c r="E100" s="17">
        <f t="shared" si="17"/>
        <v>126</v>
      </c>
      <c r="F100" s="17">
        <f t="shared" si="17"/>
        <v>119</v>
      </c>
      <c r="G100" s="17">
        <f t="shared" si="17"/>
        <v>176</v>
      </c>
      <c r="H100" s="17">
        <f t="shared" si="17"/>
        <v>165</v>
      </c>
      <c r="I100" s="17">
        <f t="shared" si="17"/>
        <v>113</v>
      </c>
      <c r="J100" s="17">
        <f t="shared" si="17"/>
        <v>106</v>
      </c>
      <c r="K100" s="17">
        <f t="shared" si="17"/>
        <v>135</v>
      </c>
      <c r="L100" s="17">
        <f t="shared" si="17"/>
        <v>105</v>
      </c>
      <c r="M100" s="17">
        <f t="shared" si="17"/>
        <v>113</v>
      </c>
      <c r="N100" s="17">
        <f t="shared" si="17"/>
        <v>157</v>
      </c>
      <c r="O100" s="17">
        <f t="shared" si="17"/>
        <v>154</v>
      </c>
      <c r="P100" s="17">
        <f t="shared" si="17"/>
        <v>117</v>
      </c>
      <c r="Q100" s="17">
        <f t="shared" si="17"/>
        <v>111</v>
      </c>
      <c r="R100" s="17">
        <f t="shared" si="17"/>
        <v>131</v>
      </c>
      <c r="S100" s="17">
        <f t="shared" si="17"/>
        <v>124</v>
      </c>
      <c r="T100" s="17">
        <f t="shared" si="17"/>
        <v>142</v>
      </c>
      <c r="U100" s="17">
        <f t="shared" si="17"/>
        <v>171</v>
      </c>
      <c r="V100" s="17">
        <f t="shared" si="17"/>
        <v>168</v>
      </c>
      <c r="W100" s="17">
        <f t="shared" si="17"/>
        <v>104</v>
      </c>
      <c r="X100" s="17">
        <f t="shared" si="17"/>
        <v>114</v>
      </c>
      <c r="Y100" s="17">
        <f t="shared" si="17"/>
        <v>118</v>
      </c>
      <c r="Z100" s="17">
        <f t="shared" si="17"/>
        <v>101</v>
      </c>
      <c r="AA100" s="17">
        <f t="shared" si="17"/>
        <v>119</v>
      </c>
      <c r="AB100" s="17">
        <f t="shared" si="17"/>
        <v>163</v>
      </c>
      <c r="AC100" s="17">
        <f t="shared" si="17"/>
        <v>160</v>
      </c>
      <c r="AD100" s="17">
        <f t="shared" si="17"/>
        <v>118</v>
      </c>
      <c r="AE100" s="17">
        <f t="shared" si="17"/>
        <v>118</v>
      </c>
      <c r="AF100" s="18">
        <f t="shared" si="17"/>
        <v>0</v>
      </c>
      <c r="AG100" s="4">
        <f t="shared" si="13"/>
        <v>3997</v>
      </c>
    </row>
    <row r="101" spans="1:33" ht="18.75" x14ac:dyDescent="0.25">
      <c r="A101" s="48" t="s">
        <v>8</v>
      </c>
      <c r="B101" s="7">
        <v>31</v>
      </c>
      <c r="C101" s="7">
        <v>27</v>
      </c>
      <c r="D101" s="7">
        <v>20</v>
      </c>
      <c r="E101" s="7">
        <v>14</v>
      </c>
      <c r="F101" s="7">
        <v>10</v>
      </c>
      <c r="G101" s="7">
        <v>14</v>
      </c>
      <c r="H101" s="7">
        <v>9</v>
      </c>
      <c r="I101" s="7">
        <v>15</v>
      </c>
      <c r="J101" s="7">
        <v>18</v>
      </c>
      <c r="K101" s="7">
        <v>16</v>
      </c>
      <c r="L101" s="7">
        <v>10</v>
      </c>
      <c r="M101" s="7">
        <v>11</v>
      </c>
      <c r="N101" s="7">
        <v>11</v>
      </c>
      <c r="O101" s="7">
        <v>17</v>
      </c>
      <c r="P101" s="7">
        <v>11</v>
      </c>
      <c r="Q101" s="7">
        <v>13</v>
      </c>
      <c r="R101" s="7">
        <v>17</v>
      </c>
      <c r="S101" s="7">
        <v>17</v>
      </c>
      <c r="T101" s="7">
        <v>17</v>
      </c>
      <c r="U101" s="7">
        <v>14</v>
      </c>
      <c r="V101" s="7">
        <v>13</v>
      </c>
      <c r="W101" s="7">
        <v>11</v>
      </c>
      <c r="X101" s="7">
        <v>12</v>
      </c>
      <c r="Y101" s="7">
        <v>14</v>
      </c>
      <c r="Z101" s="7">
        <v>9</v>
      </c>
      <c r="AA101" s="7">
        <v>13</v>
      </c>
      <c r="AB101" s="7">
        <v>11</v>
      </c>
      <c r="AC101" s="7">
        <v>18</v>
      </c>
      <c r="AD101" s="7">
        <v>17</v>
      </c>
      <c r="AE101" s="7">
        <v>12</v>
      </c>
      <c r="AF101" s="8"/>
      <c r="AG101" s="4">
        <f t="shared" si="13"/>
        <v>442</v>
      </c>
    </row>
    <row r="102" spans="1:33" ht="18.75" x14ac:dyDescent="0.25">
      <c r="A102" s="48" t="s">
        <v>9</v>
      </c>
      <c r="B102" s="7">
        <v>17</v>
      </c>
      <c r="C102" s="7">
        <v>26</v>
      </c>
      <c r="D102" s="7">
        <v>17</v>
      </c>
      <c r="E102" s="7">
        <v>12</v>
      </c>
      <c r="F102" s="7">
        <v>14</v>
      </c>
      <c r="G102" s="7">
        <v>24</v>
      </c>
      <c r="H102" s="7">
        <v>18</v>
      </c>
      <c r="I102" s="7">
        <v>15</v>
      </c>
      <c r="J102" s="7">
        <v>10</v>
      </c>
      <c r="K102" s="7">
        <v>18</v>
      </c>
      <c r="L102" s="7">
        <v>14</v>
      </c>
      <c r="M102" s="7">
        <v>17</v>
      </c>
      <c r="N102" s="7">
        <v>18</v>
      </c>
      <c r="O102" s="7">
        <v>16</v>
      </c>
      <c r="P102" s="7">
        <v>13</v>
      </c>
      <c r="Q102" s="7">
        <v>11</v>
      </c>
      <c r="R102" s="7">
        <v>17</v>
      </c>
      <c r="S102" s="7">
        <v>9</v>
      </c>
      <c r="T102" s="7">
        <v>17</v>
      </c>
      <c r="U102" s="7">
        <v>23</v>
      </c>
      <c r="V102" s="7">
        <v>23</v>
      </c>
      <c r="W102" s="7">
        <v>12</v>
      </c>
      <c r="X102" s="7">
        <v>16</v>
      </c>
      <c r="Y102" s="7">
        <v>11</v>
      </c>
      <c r="Z102" s="7">
        <v>13</v>
      </c>
      <c r="AA102" s="7">
        <v>17</v>
      </c>
      <c r="AB102" s="7">
        <v>17</v>
      </c>
      <c r="AC102" s="7">
        <v>15</v>
      </c>
      <c r="AD102" s="7">
        <v>21</v>
      </c>
      <c r="AE102" s="7">
        <v>13</v>
      </c>
      <c r="AF102" s="8"/>
      <c r="AG102" s="4">
        <f t="shared" si="13"/>
        <v>484</v>
      </c>
    </row>
    <row r="103" spans="1:33" ht="18.75" x14ac:dyDescent="0.25">
      <c r="A103" s="49" t="s">
        <v>10</v>
      </c>
      <c r="B103" s="7">
        <v>11</v>
      </c>
      <c r="C103" s="7">
        <v>19</v>
      </c>
      <c r="D103" s="7">
        <v>10</v>
      </c>
      <c r="E103" s="7">
        <v>13</v>
      </c>
      <c r="F103" s="7">
        <v>13</v>
      </c>
      <c r="G103" s="7">
        <v>11</v>
      </c>
      <c r="H103" s="7">
        <v>18</v>
      </c>
      <c r="I103" s="7">
        <v>5</v>
      </c>
      <c r="J103" s="7">
        <v>5</v>
      </c>
      <c r="K103" s="7">
        <v>9</v>
      </c>
      <c r="L103" s="7">
        <v>9</v>
      </c>
      <c r="M103" s="7">
        <v>6</v>
      </c>
      <c r="N103" s="7">
        <v>14</v>
      </c>
      <c r="O103" s="7">
        <v>9</v>
      </c>
      <c r="P103" s="7">
        <v>15</v>
      </c>
      <c r="Q103" s="7">
        <v>19</v>
      </c>
      <c r="R103" s="7">
        <v>19</v>
      </c>
      <c r="S103" s="7">
        <v>13</v>
      </c>
      <c r="T103" s="7">
        <v>13</v>
      </c>
      <c r="U103" s="7">
        <v>14</v>
      </c>
      <c r="V103" s="7">
        <v>20</v>
      </c>
      <c r="W103" s="7">
        <v>12</v>
      </c>
      <c r="X103" s="7">
        <v>8</v>
      </c>
      <c r="Y103" s="7">
        <v>10</v>
      </c>
      <c r="Z103" s="7">
        <v>10</v>
      </c>
      <c r="AA103" s="7">
        <v>9</v>
      </c>
      <c r="AB103" s="7">
        <v>12</v>
      </c>
      <c r="AC103" s="7">
        <v>15</v>
      </c>
      <c r="AD103" s="7">
        <v>11</v>
      </c>
      <c r="AE103" s="7">
        <v>8</v>
      </c>
      <c r="AF103" s="8"/>
      <c r="AG103" s="4">
        <f t="shared" si="13"/>
        <v>360</v>
      </c>
    </row>
    <row r="104" spans="1:33" ht="18.75" x14ac:dyDescent="0.25">
      <c r="A104" s="49" t="s">
        <v>11</v>
      </c>
      <c r="B104" s="7">
        <v>10</v>
      </c>
      <c r="C104" s="7">
        <v>18</v>
      </c>
      <c r="D104" s="7">
        <v>14</v>
      </c>
      <c r="E104" s="7">
        <v>6</v>
      </c>
      <c r="F104" s="7">
        <v>5</v>
      </c>
      <c r="G104" s="7">
        <v>14</v>
      </c>
      <c r="H104" s="7">
        <v>12</v>
      </c>
      <c r="I104" s="7">
        <v>6</v>
      </c>
      <c r="J104" s="7">
        <v>12</v>
      </c>
      <c r="K104" s="7">
        <v>6</v>
      </c>
      <c r="L104" s="7">
        <v>8</v>
      </c>
      <c r="M104" s="7">
        <v>8</v>
      </c>
      <c r="N104" s="7">
        <v>12</v>
      </c>
      <c r="O104" s="7">
        <v>17</v>
      </c>
      <c r="P104" s="7">
        <v>9</v>
      </c>
      <c r="Q104" s="7">
        <v>7</v>
      </c>
      <c r="R104" s="7">
        <v>11</v>
      </c>
      <c r="S104" s="7">
        <v>13</v>
      </c>
      <c r="T104" s="7">
        <v>11</v>
      </c>
      <c r="U104" s="7">
        <v>17</v>
      </c>
      <c r="V104" s="7">
        <v>18</v>
      </c>
      <c r="W104" s="7">
        <v>11</v>
      </c>
      <c r="X104" s="7">
        <v>13</v>
      </c>
      <c r="Y104" s="7">
        <v>16</v>
      </c>
      <c r="Z104" s="7">
        <v>8</v>
      </c>
      <c r="AA104" s="7">
        <v>15</v>
      </c>
      <c r="AB104" s="7">
        <v>8</v>
      </c>
      <c r="AC104" s="7">
        <v>17</v>
      </c>
      <c r="AD104" s="7">
        <v>5</v>
      </c>
      <c r="AE104" s="7">
        <v>10</v>
      </c>
      <c r="AF104" s="8"/>
      <c r="AG104" s="4">
        <f t="shared" si="13"/>
        <v>337</v>
      </c>
    </row>
    <row r="105" spans="1:33" ht="18.75" x14ac:dyDescent="0.25">
      <c r="A105" s="49" t="s">
        <v>12</v>
      </c>
      <c r="B105" s="7">
        <v>8</v>
      </c>
      <c r="C105" s="7">
        <v>8</v>
      </c>
      <c r="D105" s="7">
        <v>8</v>
      </c>
      <c r="E105" s="7">
        <v>7</v>
      </c>
      <c r="F105" s="7">
        <v>8</v>
      </c>
      <c r="G105" s="7">
        <v>14</v>
      </c>
      <c r="H105" s="7">
        <v>15</v>
      </c>
      <c r="I105" s="7">
        <v>7</v>
      </c>
      <c r="J105" s="7">
        <v>8</v>
      </c>
      <c r="K105" s="7">
        <v>15</v>
      </c>
      <c r="L105" s="7">
        <v>7</v>
      </c>
      <c r="M105" s="7">
        <v>11</v>
      </c>
      <c r="N105" s="7">
        <v>10</v>
      </c>
      <c r="O105" s="7">
        <v>12</v>
      </c>
      <c r="P105" s="7">
        <v>8</v>
      </c>
      <c r="Q105" s="7">
        <v>5</v>
      </c>
      <c r="R105" s="7">
        <v>5</v>
      </c>
      <c r="S105" s="7">
        <v>7</v>
      </c>
      <c r="T105" s="7">
        <v>10</v>
      </c>
      <c r="U105" s="7">
        <v>13</v>
      </c>
      <c r="V105" s="7">
        <v>8</v>
      </c>
      <c r="W105" s="7">
        <v>12</v>
      </c>
      <c r="X105" s="7">
        <v>10</v>
      </c>
      <c r="Y105" s="7">
        <v>10</v>
      </c>
      <c r="Z105" s="7">
        <v>9</v>
      </c>
      <c r="AA105" s="7">
        <v>7</v>
      </c>
      <c r="AB105" s="7">
        <v>8</v>
      </c>
      <c r="AC105" s="7">
        <v>13</v>
      </c>
      <c r="AD105" s="7">
        <v>6</v>
      </c>
      <c r="AE105" s="7">
        <v>13</v>
      </c>
      <c r="AF105" s="8"/>
      <c r="AG105" s="4">
        <f t="shared" si="13"/>
        <v>282</v>
      </c>
    </row>
    <row r="106" spans="1:33" ht="18.75" x14ac:dyDescent="0.25">
      <c r="A106" s="49" t="s">
        <v>13</v>
      </c>
      <c r="B106" s="7">
        <v>9</v>
      </c>
      <c r="C106" s="7">
        <v>5</v>
      </c>
      <c r="D106" s="7">
        <v>8</v>
      </c>
      <c r="E106" s="7">
        <v>6</v>
      </c>
      <c r="F106" s="7">
        <v>11</v>
      </c>
      <c r="G106" s="7">
        <v>8</v>
      </c>
      <c r="H106" s="7">
        <v>13</v>
      </c>
      <c r="I106" s="7">
        <v>11</v>
      </c>
      <c r="J106" s="7">
        <v>3</v>
      </c>
      <c r="K106" s="7">
        <v>11</v>
      </c>
      <c r="L106" s="7">
        <v>5</v>
      </c>
      <c r="M106" s="7">
        <v>6</v>
      </c>
      <c r="N106" s="7">
        <v>14</v>
      </c>
      <c r="O106" s="7">
        <v>10</v>
      </c>
      <c r="P106" s="7">
        <v>6</v>
      </c>
      <c r="Q106" s="7">
        <v>6</v>
      </c>
      <c r="R106" s="7">
        <v>7</v>
      </c>
      <c r="S106" s="7">
        <v>8</v>
      </c>
      <c r="T106" s="7">
        <v>12</v>
      </c>
      <c r="U106" s="7">
        <v>9</v>
      </c>
      <c r="V106" s="7">
        <v>13</v>
      </c>
      <c r="W106" s="7">
        <v>4</v>
      </c>
      <c r="X106" s="7">
        <v>7</v>
      </c>
      <c r="Y106" s="7">
        <v>7</v>
      </c>
      <c r="Z106" s="7">
        <v>7</v>
      </c>
      <c r="AA106" s="7">
        <v>5</v>
      </c>
      <c r="AB106" s="7">
        <v>11</v>
      </c>
      <c r="AC106" s="7">
        <v>5</v>
      </c>
      <c r="AD106" s="7">
        <v>9</v>
      </c>
      <c r="AE106" s="7">
        <v>6</v>
      </c>
      <c r="AF106" s="8"/>
      <c r="AG106" s="4">
        <f t="shared" si="13"/>
        <v>242</v>
      </c>
    </row>
    <row r="107" spans="1:33" ht="18.75" x14ac:dyDescent="0.25">
      <c r="A107" s="49" t="s">
        <v>14</v>
      </c>
      <c r="B107" s="7">
        <v>6</v>
      </c>
      <c r="C107" s="7">
        <v>10</v>
      </c>
      <c r="D107" s="7">
        <v>11</v>
      </c>
      <c r="E107" s="7">
        <v>6</v>
      </c>
      <c r="F107" s="7">
        <v>12</v>
      </c>
      <c r="G107" s="7">
        <v>15</v>
      </c>
      <c r="H107" s="7">
        <v>12</v>
      </c>
      <c r="I107" s="7">
        <v>3</v>
      </c>
      <c r="J107" s="7">
        <v>5</v>
      </c>
      <c r="K107" s="7">
        <v>11</v>
      </c>
      <c r="L107" s="7">
        <v>10</v>
      </c>
      <c r="M107" s="7">
        <v>12</v>
      </c>
      <c r="N107" s="7">
        <v>17</v>
      </c>
      <c r="O107" s="7">
        <v>14</v>
      </c>
      <c r="P107" s="7">
        <v>7</v>
      </c>
      <c r="Q107" s="7">
        <v>8</v>
      </c>
      <c r="R107" s="7">
        <v>13</v>
      </c>
      <c r="S107" s="7">
        <v>5</v>
      </c>
      <c r="T107" s="7">
        <v>9</v>
      </c>
      <c r="U107" s="7">
        <v>12</v>
      </c>
      <c r="V107" s="7">
        <v>16</v>
      </c>
      <c r="W107" s="7">
        <v>7</v>
      </c>
      <c r="X107" s="7">
        <v>9</v>
      </c>
      <c r="Y107" s="7">
        <v>9</v>
      </c>
      <c r="Z107" s="7">
        <v>3</v>
      </c>
      <c r="AA107" s="7">
        <v>4</v>
      </c>
      <c r="AB107" s="7">
        <v>23</v>
      </c>
      <c r="AC107" s="7">
        <v>10</v>
      </c>
      <c r="AD107" s="7">
        <v>9</v>
      </c>
      <c r="AE107" s="7">
        <v>11</v>
      </c>
      <c r="AF107" s="8"/>
      <c r="AG107" s="4">
        <f t="shared" si="13"/>
        <v>299</v>
      </c>
    </row>
    <row r="108" spans="1:33" ht="18.75" x14ac:dyDescent="0.25">
      <c r="A108" s="49" t="s">
        <v>15</v>
      </c>
      <c r="B108" s="7">
        <v>13</v>
      </c>
      <c r="C108" s="7">
        <v>13</v>
      </c>
      <c r="D108" s="7">
        <v>4</v>
      </c>
      <c r="E108" s="7">
        <v>13</v>
      </c>
      <c r="F108" s="7">
        <v>8</v>
      </c>
      <c r="G108" s="7">
        <v>16</v>
      </c>
      <c r="H108" s="7">
        <v>14</v>
      </c>
      <c r="I108" s="7">
        <v>5</v>
      </c>
      <c r="J108" s="7">
        <v>11</v>
      </c>
      <c r="K108" s="7">
        <v>10</v>
      </c>
      <c r="L108" s="7">
        <v>10</v>
      </c>
      <c r="M108" s="7">
        <v>12</v>
      </c>
      <c r="N108" s="7">
        <v>15</v>
      </c>
      <c r="O108" s="7">
        <v>7</v>
      </c>
      <c r="P108" s="7">
        <v>9</v>
      </c>
      <c r="Q108" s="7">
        <v>8</v>
      </c>
      <c r="R108" s="7">
        <v>11</v>
      </c>
      <c r="S108" s="7">
        <v>15</v>
      </c>
      <c r="T108" s="7">
        <v>13</v>
      </c>
      <c r="U108" s="7">
        <v>15</v>
      </c>
      <c r="V108" s="7">
        <v>7</v>
      </c>
      <c r="W108" s="7">
        <v>7</v>
      </c>
      <c r="X108" s="7">
        <v>13</v>
      </c>
      <c r="Y108" s="7">
        <v>10</v>
      </c>
      <c r="Z108" s="7">
        <v>6</v>
      </c>
      <c r="AA108" s="7">
        <v>10</v>
      </c>
      <c r="AB108" s="7">
        <v>17</v>
      </c>
      <c r="AC108" s="7">
        <v>12</v>
      </c>
      <c r="AD108" s="7">
        <v>9</v>
      </c>
      <c r="AE108" s="7">
        <v>6</v>
      </c>
      <c r="AF108" s="8"/>
      <c r="AG108" s="4">
        <f t="shared" si="13"/>
        <v>319</v>
      </c>
    </row>
    <row r="109" spans="1:33" ht="18.75" x14ac:dyDescent="0.25">
      <c r="A109" s="49" t="s">
        <v>16</v>
      </c>
      <c r="B109" s="7">
        <v>17</v>
      </c>
      <c r="C109" s="7">
        <v>12</v>
      </c>
      <c r="D109" s="7">
        <v>8</v>
      </c>
      <c r="E109" s="7">
        <v>12</v>
      </c>
      <c r="F109" s="7">
        <v>11</v>
      </c>
      <c r="G109" s="7">
        <v>17</v>
      </c>
      <c r="H109" s="7">
        <v>12</v>
      </c>
      <c r="I109" s="7">
        <v>10</v>
      </c>
      <c r="J109" s="7">
        <v>7</v>
      </c>
      <c r="K109" s="7">
        <v>9</v>
      </c>
      <c r="L109" s="7">
        <v>6</v>
      </c>
      <c r="M109" s="7">
        <v>10</v>
      </c>
      <c r="N109" s="7">
        <v>11</v>
      </c>
      <c r="O109" s="7">
        <v>16</v>
      </c>
      <c r="P109" s="7">
        <v>8</v>
      </c>
      <c r="Q109" s="7">
        <v>6</v>
      </c>
      <c r="R109" s="7">
        <v>9</v>
      </c>
      <c r="S109" s="7">
        <v>7</v>
      </c>
      <c r="T109" s="7">
        <v>10</v>
      </c>
      <c r="U109" s="7">
        <v>15</v>
      </c>
      <c r="V109" s="7">
        <v>10</v>
      </c>
      <c r="W109" s="7">
        <v>12</v>
      </c>
      <c r="X109" s="7">
        <v>5</v>
      </c>
      <c r="Y109" s="7">
        <v>6</v>
      </c>
      <c r="Z109" s="7">
        <v>6</v>
      </c>
      <c r="AA109" s="7">
        <v>3</v>
      </c>
      <c r="AB109" s="7">
        <v>16</v>
      </c>
      <c r="AC109" s="7">
        <v>11</v>
      </c>
      <c r="AD109" s="7">
        <v>9</v>
      </c>
      <c r="AE109" s="7">
        <v>11</v>
      </c>
      <c r="AF109" s="8"/>
      <c r="AG109" s="4">
        <f t="shared" si="13"/>
        <v>302</v>
      </c>
    </row>
    <row r="110" spans="1:33" ht="18.75" x14ac:dyDescent="0.25">
      <c r="A110" s="49" t="s">
        <v>17</v>
      </c>
      <c r="B110" s="7">
        <v>9</v>
      </c>
      <c r="C110" s="7">
        <v>8</v>
      </c>
      <c r="D110" s="7">
        <v>11</v>
      </c>
      <c r="E110" s="7">
        <v>8</v>
      </c>
      <c r="F110" s="7">
        <v>7</v>
      </c>
      <c r="G110" s="7">
        <v>10</v>
      </c>
      <c r="H110" s="7">
        <v>11</v>
      </c>
      <c r="I110" s="7">
        <v>11</v>
      </c>
      <c r="J110" s="7">
        <v>3</v>
      </c>
      <c r="K110" s="7">
        <v>7</v>
      </c>
      <c r="L110" s="7">
        <v>6</v>
      </c>
      <c r="M110" s="7">
        <v>8</v>
      </c>
      <c r="N110" s="7">
        <v>10</v>
      </c>
      <c r="O110" s="7">
        <v>6</v>
      </c>
      <c r="P110" s="7">
        <v>8</v>
      </c>
      <c r="Q110" s="7">
        <v>5</v>
      </c>
      <c r="R110" s="7">
        <v>6</v>
      </c>
      <c r="S110" s="7">
        <v>7</v>
      </c>
      <c r="T110" s="7">
        <v>1</v>
      </c>
      <c r="U110" s="7">
        <v>9</v>
      </c>
      <c r="V110" s="7">
        <v>8</v>
      </c>
      <c r="W110" s="7">
        <v>7</v>
      </c>
      <c r="X110" s="7">
        <v>6</v>
      </c>
      <c r="Y110" s="7">
        <v>7</v>
      </c>
      <c r="Z110" s="7">
        <v>8</v>
      </c>
      <c r="AA110" s="7">
        <v>10</v>
      </c>
      <c r="AB110" s="7">
        <v>14</v>
      </c>
      <c r="AC110" s="7">
        <v>6</v>
      </c>
      <c r="AD110" s="7">
        <v>5</v>
      </c>
      <c r="AE110" s="7">
        <v>6</v>
      </c>
      <c r="AF110" s="8"/>
      <c r="AG110" s="4">
        <f t="shared" si="13"/>
        <v>228</v>
      </c>
    </row>
    <row r="111" spans="1:33" ht="18.75" x14ac:dyDescent="0.25">
      <c r="A111" s="49" t="s">
        <v>18</v>
      </c>
      <c r="B111" s="7">
        <v>4</v>
      </c>
      <c r="C111" s="7">
        <v>8</v>
      </c>
      <c r="D111" s="7">
        <v>4</v>
      </c>
      <c r="E111" s="7">
        <v>9</v>
      </c>
      <c r="F111" s="7">
        <v>2</v>
      </c>
      <c r="G111" s="7">
        <v>8</v>
      </c>
      <c r="H111" s="7">
        <v>9</v>
      </c>
      <c r="I111" s="7">
        <v>9</v>
      </c>
      <c r="J111" s="7">
        <v>10</v>
      </c>
      <c r="K111" s="7">
        <v>6</v>
      </c>
      <c r="L111" s="7">
        <v>8</v>
      </c>
      <c r="M111" s="7">
        <v>3</v>
      </c>
      <c r="N111" s="7">
        <v>15</v>
      </c>
      <c r="O111" s="7">
        <v>10</v>
      </c>
      <c r="P111" s="7">
        <v>7</v>
      </c>
      <c r="Q111" s="7">
        <v>5</v>
      </c>
      <c r="R111" s="7">
        <v>5</v>
      </c>
      <c r="S111" s="7">
        <v>8</v>
      </c>
      <c r="T111" s="7">
        <v>5</v>
      </c>
      <c r="U111" s="7">
        <v>11</v>
      </c>
      <c r="V111" s="7">
        <v>8</v>
      </c>
      <c r="W111" s="7">
        <v>3</v>
      </c>
      <c r="X111" s="7">
        <v>5</v>
      </c>
      <c r="Y111" s="7">
        <v>9</v>
      </c>
      <c r="Z111" s="7">
        <v>5</v>
      </c>
      <c r="AA111" s="7">
        <v>10</v>
      </c>
      <c r="AB111" s="7">
        <v>10</v>
      </c>
      <c r="AC111" s="7">
        <v>12</v>
      </c>
      <c r="AD111" s="7">
        <v>8</v>
      </c>
      <c r="AE111" s="7">
        <v>10</v>
      </c>
      <c r="AF111" s="8"/>
      <c r="AG111" s="4">
        <f t="shared" si="13"/>
        <v>226</v>
      </c>
    </row>
    <row r="112" spans="1:33" ht="18.75" x14ac:dyDescent="0.25">
      <c r="A112" s="49" t="s">
        <v>19</v>
      </c>
      <c r="B112" s="7"/>
      <c r="C112" s="7">
        <v>5</v>
      </c>
      <c r="D112" s="7">
        <v>4</v>
      </c>
      <c r="E112" s="7">
        <v>4</v>
      </c>
      <c r="F112" s="7">
        <v>8</v>
      </c>
      <c r="G112" s="7">
        <v>6</v>
      </c>
      <c r="H112" s="7">
        <v>9</v>
      </c>
      <c r="I112" s="7">
        <v>6</v>
      </c>
      <c r="J112" s="7">
        <v>5</v>
      </c>
      <c r="K112" s="7">
        <v>7</v>
      </c>
      <c r="L112" s="7">
        <v>3</v>
      </c>
      <c r="M112" s="7">
        <v>3</v>
      </c>
      <c r="N112" s="7">
        <v>1</v>
      </c>
      <c r="O112" s="7">
        <v>4</v>
      </c>
      <c r="P112" s="7">
        <v>4</v>
      </c>
      <c r="Q112" s="7">
        <v>6</v>
      </c>
      <c r="R112" s="7">
        <v>2</v>
      </c>
      <c r="S112" s="7">
        <v>4</v>
      </c>
      <c r="T112" s="7">
        <v>5</v>
      </c>
      <c r="U112" s="7">
        <v>5</v>
      </c>
      <c r="V112" s="7">
        <v>6</v>
      </c>
      <c r="W112" s="7">
        <v>2</v>
      </c>
      <c r="X112" s="7">
        <v>3</v>
      </c>
      <c r="Y112" s="7"/>
      <c r="Z112" s="7">
        <v>6</v>
      </c>
      <c r="AA112" s="7">
        <v>6</v>
      </c>
      <c r="AB112" s="7">
        <v>4</v>
      </c>
      <c r="AC112" s="7">
        <v>8</v>
      </c>
      <c r="AD112" s="7">
        <v>6</v>
      </c>
      <c r="AE112" s="7">
        <v>6</v>
      </c>
      <c r="AF112" s="8"/>
      <c r="AG112" s="4">
        <f>SUM(B112:AF112)</f>
        <v>138</v>
      </c>
    </row>
    <row r="113" spans="1:33" ht="18.75" x14ac:dyDescent="0.25">
      <c r="A113" s="49" t="s">
        <v>20</v>
      </c>
      <c r="B113" s="7">
        <v>7</v>
      </c>
      <c r="C113" s="7">
        <v>4</v>
      </c>
      <c r="D113" s="7">
        <v>5</v>
      </c>
      <c r="E113" s="7">
        <v>6</v>
      </c>
      <c r="F113" s="7">
        <v>3</v>
      </c>
      <c r="G113" s="7">
        <v>7</v>
      </c>
      <c r="H113" s="7">
        <v>6</v>
      </c>
      <c r="I113" s="7">
        <v>8</v>
      </c>
      <c r="J113" s="7">
        <v>4</v>
      </c>
      <c r="K113" s="7">
        <v>5</v>
      </c>
      <c r="L113" s="7">
        <v>3</v>
      </c>
      <c r="M113" s="7">
        <v>4</v>
      </c>
      <c r="N113" s="7">
        <v>4</v>
      </c>
      <c r="O113" s="7">
        <v>11</v>
      </c>
      <c r="P113" s="7">
        <v>8</v>
      </c>
      <c r="Q113" s="7">
        <v>5</v>
      </c>
      <c r="R113" s="7">
        <v>3</v>
      </c>
      <c r="S113" s="7">
        <v>8</v>
      </c>
      <c r="T113" s="7">
        <v>11</v>
      </c>
      <c r="U113" s="7">
        <v>7</v>
      </c>
      <c r="V113" s="7">
        <v>13</v>
      </c>
      <c r="W113" s="7">
        <v>1</v>
      </c>
      <c r="X113" s="7">
        <v>3</v>
      </c>
      <c r="Y113" s="7">
        <v>6</v>
      </c>
      <c r="Z113" s="7">
        <v>4</v>
      </c>
      <c r="AA113" s="7">
        <v>5</v>
      </c>
      <c r="AB113" s="7">
        <v>6</v>
      </c>
      <c r="AC113" s="7">
        <v>6</v>
      </c>
      <c r="AD113" s="7">
        <v>2</v>
      </c>
      <c r="AE113" s="7">
        <v>4</v>
      </c>
      <c r="AF113" s="8"/>
      <c r="AG113" s="4">
        <f t="shared" si="13"/>
        <v>169</v>
      </c>
    </row>
    <row r="114" spans="1:33" ht="18.75" x14ac:dyDescent="0.25">
      <c r="A114" s="49" t="s">
        <v>21</v>
      </c>
      <c r="B114" s="7">
        <v>6</v>
      </c>
      <c r="C114" s="7">
        <v>8</v>
      </c>
      <c r="D114" s="7">
        <v>6</v>
      </c>
      <c r="E114" s="7">
        <v>10</v>
      </c>
      <c r="F114" s="7">
        <v>7</v>
      </c>
      <c r="G114" s="7">
        <v>12</v>
      </c>
      <c r="H114" s="7">
        <v>7</v>
      </c>
      <c r="I114" s="7">
        <v>2</v>
      </c>
      <c r="J114" s="7">
        <v>5</v>
      </c>
      <c r="K114" s="7">
        <v>5</v>
      </c>
      <c r="L114" s="7">
        <v>6</v>
      </c>
      <c r="M114" s="7">
        <v>2</v>
      </c>
      <c r="N114" s="7">
        <v>5</v>
      </c>
      <c r="O114" s="7">
        <v>5</v>
      </c>
      <c r="P114" s="7">
        <v>4</v>
      </c>
      <c r="Q114" s="7">
        <v>7</v>
      </c>
      <c r="R114" s="7">
        <v>6</v>
      </c>
      <c r="S114" s="7">
        <v>3</v>
      </c>
      <c r="T114" s="7">
        <v>8</v>
      </c>
      <c r="U114" s="7">
        <v>7</v>
      </c>
      <c r="V114" s="7">
        <v>5</v>
      </c>
      <c r="W114" s="7">
        <v>3</v>
      </c>
      <c r="X114" s="7">
        <v>4</v>
      </c>
      <c r="Y114" s="7">
        <v>3</v>
      </c>
      <c r="Z114" s="7">
        <v>7</v>
      </c>
      <c r="AA114" s="7">
        <v>5</v>
      </c>
      <c r="AB114" s="7">
        <v>6</v>
      </c>
      <c r="AC114" s="7">
        <v>12</v>
      </c>
      <c r="AD114" s="7">
        <v>1</v>
      </c>
      <c r="AE114" s="7">
        <v>2</v>
      </c>
      <c r="AF114" s="8"/>
      <c r="AG114" s="4">
        <f t="shared" si="13"/>
        <v>169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94</v>
      </c>
      <c r="C116" s="74">
        <f t="shared" si="18"/>
        <v>79</v>
      </c>
      <c r="D116" s="74">
        <f t="shared" si="18"/>
        <v>91</v>
      </c>
      <c r="E116" s="74">
        <f t="shared" si="18"/>
        <v>74</v>
      </c>
      <c r="F116" s="74">
        <f t="shared" si="18"/>
        <v>76</v>
      </c>
      <c r="G116" s="74">
        <f t="shared" si="18"/>
        <v>122</v>
      </c>
      <c r="H116" s="74">
        <f t="shared" si="18"/>
        <v>102</v>
      </c>
      <c r="I116" s="74">
        <f t="shared" si="18"/>
        <v>68</v>
      </c>
      <c r="J116" s="74">
        <f t="shared" si="18"/>
        <v>68</v>
      </c>
      <c r="K116" s="74">
        <f t="shared" si="18"/>
        <v>72</v>
      </c>
      <c r="L116" s="74">
        <f t="shared" si="18"/>
        <v>66</v>
      </c>
      <c r="M116" s="74">
        <f t="shared" si="18"/>
        <v>65</v>
      </c>
      <c r="N116" s="74">
        <f t="shared" si="18"/>
        <v>100</v>
      </c>
      <c r="O116" s="74">
        <f t="shared" si="18"/>
        <v>86</v>
      </c>
      <c r="P116" s="74">
        <f t="shared" si="18"/>
        <v>107</v>
      </c>
      <c r="Q116" s="74">
        <f t="shared" si="18"/>
        <v>77</v>
      </c>
      <c r="R116" s="74">
        <f t="shared" si="18"/>
        <v>73</v>
      </c>
      <c r="S116" s="74">
        <f t="shared" si="18"/>
        <v>72</v>
      </c>
      <c r="T116" s="74">
        <f t="shared" si="18"/>
        <v>92</v>
      </c>
      <c r="U116" s="74">
        <f t="shared" si="18"/>
        <v>116</v>
      </c>
      <c r="V116" s="74">
        <f t="shared" si="18"/>
        <v>111</v>
      </c>
      <c r="W116" s="74">
        <f t="shared" si="18"/>
        <v>81</v>
      </c>
      <c r="X116" s="74">
        <f t="shared" si="18"/>
        <v>76</v>
      </c>
      <c r="Y116" s="74">
        <f t="shared" si="18"/>
        <v>80</v>
      </c>
      <c r="Z116" s="74">
        <f t="shared" si="18"/>
        <v>78</v>
      </c>
      <c r="AA116" s="74">
        <f t="shared" si="18"/>
        <v>71</v>
      </c>
      <c r="AB116" s="74">
        <f t="shared" si="18"/>
        <v>109</v>
      </c>
      <c r="AC116" s="74">
        <f t="shared" si="18"/>
        <v>107</v>
      </c>
      <c r="AD116" s="74">
        <f t="shared" si="18"/>
        <v>72</v>
      </c>
      <c r="AE116" s="74">
        <f t="shared" si="18"/>
        <v>82</v>
      </c>
      <c r="AF116" s="84">
        <f t="shared" si="18"/>
        <v>0</v>
      </c>
      <c r="AG116" s="4">
        <f t="shared" si="13"/>
        <v>2567</v>
      </c>
    </row>
    <row r="117" spans="1:33" ht="18.75" x14ac:dyDescent="0.25">
      <c r="A117" s="43" t="s">
        <v>59</v>
      </c>
      <c r="B117" s="7">
        <v>62</v>
      </c>
      <c r="C117" s="7">
        <v>55</v>
      </c>
      <c r="D117" s="7">
        <v>60</v>
      </c>
      <c r="E117" s="7">
        <v>54</v>
      </c>
      <c r="F117" s="7">
        <v>52</v>
      </c>
      <c r="G117" s="7">
        <v>86</v>
      </c>
      <c r="H117" s="7">
        <v>74</v>
      </c>
      <c r="I117" s="7">
        <v>46</v>
      </c>
      <c r="J117" s="7">
        <v>47</v>
      </c>
      <c r="K117" s="7">
        <v>54</v>
      </c>
      <c r="L117" s="7">
        <v>55</v>
      </c>
      <c r="M117" s="7">
        <v>44</v>
      </c>
      <c r="N117" s="7">
        <v>75</v>
      </c>
      <c r="O117" s="7">
        <v>52</v>
      </c>
      <c r="P117" s="7">
        <v>80</v>
      </c>
      <c r="Q117" s="7">
        <v>52</v>
      </c>
      <c r="R117" s="7">
        <v>53</v>
      </c>
      <c r="S117" s="7">
        <v>53</v>
      </c>
      <c r="T117" s="7">
        <v>64</v>
      </c>
      <c r="U117" s="7">
        <v>80</v>
      </c>
      <c r="V117" s="7">
        <v>73</v>
      </c>
      <c r="W117" s="7">
        <v>55</v>
      </c>
      <c r="X117" s="7">
        <v>53</v>
      </c>
      <c r="Y117" s="7">
        <v>57</v>
      </c>
      <c r="Z117" s="7">
        <v>59</v>
      </c>
      <c r="AA117" s="7">
        <v>48</v>
      </c>
      <c r="AB117" s="7">
        <v>75</v>
      </c>
      <c r="AC117" s="7">
        <v>70</v>
      </c>
      <c r="AD117" s="7">
        <v>49</v>
      </c>
      <c r="AE117" s="7">
        <v>55</v>
      </c>
      <c r="AF117" s="8"/>
      <c r="AG117" s="4">
        <f t="shared" si="13"/>
        <v>1792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17+15</f>
        <v>32</v>
      </c>
      <c r="C129" s="13">
        <f>10+14</f>
        <v>24</v>
      </c>
      <c r="D129" s="13">
        <f>17+14</f>
        <v>31</v>
      </c>
      <c r="E129" s="13">
        <f>12+8</f>
        <v>20</v>
      </c>
      <c r="F129" s="13">
        <f>13+11</f>
        <v>24</v>
      </c>
      <c r="G129" s="13">
        <f>21+15</f>
        <v>36</v>
      </c>
      <c r="H129" s="13">
        <f>14+14</f>
        <v>28</v>
      </c>
      <c r="I129" s="13">
        <f>13+9</f>
        <v>22</v>
      </c>
      <c r="J129" s="13">
        <f>9+12</f>
        <v>21</v>
      </c>
      <c r="K129" s="13">
        <f>7+11</f>
        <v>18</v>
      </c>
      <c r="L129" s="13">
        <f>7+4</f>
        <v>11</v>
      </c>
      <c r="M129" s="13">
        <f>12+9</f>
        <v>21</v>
      </c>
      <c r="N129" s="13">
        <f>17+8</f>
        <v>25</v>
      </c>
      <c r="O129" s="13">
        <f>17+17</f>
        <v>34</v>
      </c>
      <c r="P129" s="13">
        <f>8+1+18</f>
        <v>27</v>
      </c>
      <c r="Q129" s="13">
        <f>19+6</f>
        <v>25</v>
      </c>
      <c r="R129" s="13">
        <f>9+11</f>
        <v>20</v>
      </c>
      <c r="S129" s="13">
        <f>7+12</f>
        <v>19</v>
      </c>
      <c r="T129" s="13">
        <f>8+20</f>
        <v>28</v>
      </c>
      <c r="U129" s="13">
        <f>24+12</f>
        <v>36</v>
      </c>
      <c r="V129" s="13">
        <f>16+22</f>
        <v>38</v>
      </c>
      <c r="W129" s="13">
        <f>12+14</f>
        <v>26</v>
      </c>
      <c r="X129" s="13">
        <f>13+10</f>
        <v>23</v>
      </c>
      <c r="Y129" s="13">
        <f>11+12</f>
        <v>23</v>
      </c>
      <c r="Z129" s="13">
        <f>15+4</f>
        <v>19</v>
      </c>
      <c r="AA129" s="13">
        <f>1+7+15</f>
        <v>23</v>
      </c>
      <c r="AB129" s="13">
        <f>11+23</f>
        <v>34</v>
      </c>
      <c r="AC129" s="13">
        <f>13+24</f>
        <v>37</v>
      </c>
      <c r="AD129" s="13">
        <f>12+11</f>
        <v>23</v>
      </c>
      <c r="AE129" s="13">
        <f>8+19</f>
        <v>27</v>
      </c>
      <c r="AF129" s="14"/>
      <c r="AG129" s="4">
        <f t="shared" si="19"/>
        <v>775</v>
      </c>
    </row>
    <row r="130" spans="1:35" ht="18.75" x14ac:dyDescent="0.25">
      <c r="A130" s="73" t="s">
        <v>109</v>
      </c>
      <c r="B130" s="74">
        <f t="shared" ref="B130:AF130" si="20">SUM(B131:B143)</f>
        <v>182</v>
      </c>
      <c r="C130" s="74">
        <f t="shared" si="20"/>
        <v>193</v>
      </c>
      <c r="D130" s="74">
        <f t="shared" si="20"/>
        <v>176</v>
      </c>
      <c r="E130" s="74">
        <f t="shared" si="20"/>
        <v>146</v>
      </c>
      <c r="F130" s="74">
        <f t="shared" si="20"/>
        <v>137</v>
      </c>
      <c r="G130" s="74">
        <f t="shared" si="20"/>
        <v>222</v>
      </c>
      <c r="H130" s="74">
        <f t="shared" si="20"/>
        <v>216</v>
      </c>
      <c r="I130" s="74">
        <f t="shared" si="20"/>
        <v>153</v>
      </c>
      <c r="J130" s="74">
        <f t="shared" si="20"/>
        <v>142</v>
      </c>
      <c r="K130" s="74">
        <f t="shared" si="20"/>
        <v>156</v>
      </c>
      <c r="L130" s="74">
        <f t="shared" si="20"/>
        <v>129</v>
      </c>
      <c r="M130" s="74">
        <f t="shared" si="20"/>
        <v>141</v>
      </c>
      <c r="N130" s="74">
        <f t="shared" si="20"/>
        <v>205</v>
      </c>
      <c r="O130" s="74">
        <f t="shared" si="20"/>
        <v>200</v>
      </c>
      <c r="P130" s="74">
        <f t="shared" si="20"/>
        <v>163</v>
      </c>
      <c r="Q130" s="74">
        <f t="shared" si="20"/>
        <v>154</v>
      </c>
      <c r="R130" s="74">
        <f t="shared" si="20"/>
        <v>162</v>
      </c>
      <c r="S130" s="74">
        <f t="shared" si="20"/>
        <v>152</v>
      </c>
      <c r="T130" s="74">
        <f t="shared" si="20"/>
        <v>188</v>
      </c>
      <c r="U130" s="74">
        <f t="shared" si="20"/>
        <v>223</v>
      </c>
      <c r="V130" s="74">
        <f t="shared" si="20"/>
        <v>215</v>
      </c>
      <c r="W130" s="74">
        <f t="shared" si="20"/>
        <v>152</v>
      </c>
      <c r="X130" s="74">
        <f t="shared" si="20"/>
        <v>148</v>
      </c>
      <c r="Y130" s="74">
        <f t="shared" si="20"/>
        <v>149</v>
      </c>
      <c r="Z130" s="74">
        <f t="shared" si="20"/>
        <v>123</v>
      </c>
      <c r="AA130" s="74">
        <f t="shared" si="20"/>
        <v>152</v>
      </c>
      <c r="AB130" s="74">
        <f t="shared" si="20"/>
        <v>210</v>
      </c>
      <c r="AC130" s="74">
        <f t="shared" si="20"/>
        <v>219</v>
      </c>
      <c r="AD130" s="74">
        <f t="shared" si="20"/>
        <v>156</v>
      </c>
      <c r="AE130" s="74">
        <f t="shared" si="20"/>
        <v>150</v>
      </c>
      <c r="AF130" s="84">
        <f t="shared" si="20"/>
        <v>0</v>
      </c>
      <c r="AG130" s="150">
        <f t="shared" si="19"/>
        <v>5114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54</v>
      </c>
      <c r="C131" s="7">
        <v>49</v>
      </c>
      <c r="D131" s="7">
        <v>59</v>
      </c>
      <c r="E131" s="7">
        <v>44</v>
      </c>
      <c r="F131" s="7">
        <v>43</v>
      </c>
      <c r="G131" s="7">
        <v>82</v>
      </c>
      <c r="H131" s="7">
        <v>67</v>
      </c>
      <c r="I131" s="7">
        <v>40</v>
      </c>
      <c r="J131" s="7">
        <v>40</v>
      </c>
      <c r="K131" s="7">
        <v>50</v>
      </c>
      <c r="L131" s="7">
        <v>50</v>
      </c>
      <c r="M131" s="7">
        <v>44</v>
      </c>
      <c r="N131" s="7">
        <v>71</v>
      </c>
      <c r="O131" s="7">
        <v>46</v>
      </c>
      <c r="P131" s="7">
        <v>64</v>
      </c>
      <c r="Q131" s="7">
        <v>49</v>
      </c>
      <c r="R131" s="7">
        <v>49</v>
      </c>
      <c r="S131" s="7">
        <v>50</v>
      </c>
      <c r="T131" s="7">
        <v>63</v>
      </c>
      <c r="U131" s="7">
        <v>77</v>
      </c>
      <c r="V131" s="7">
        <v>63</v>
      </c>
      <c r="W131" s="7">
        <v>50</v>
      </c>
      <c r="X131" s="7">
        <v>47</v>
      </c>
      <c r="Y131" s="7">
        <v>54</v>
      </c>
      <c r="Z131" s="7">
        <v>49</v>
      </c>
      <c r="AA131" s="7">
        <v>46</v>
      </c>
      <c r="AB131" s="7">
        <v>62</v>
      </c>
      <c r="AC131" s="7">
        <v>65</v>
      </c>
      <c r="AD131" s="7">
        <v>42</v>
      </c>
      <c r="AE131" s="7">
        <v>50</v>
      </c>
      <c r="AF131" s="8"/>
      <c r="AG131" s="4">
        <f t="shared" si="19"/>
        <v>1619</v>
      </c>
    </row>
    <row r="132" spans="1:35" ht="18.75" x14ac:dyDescent="0.25">
      <c r="A132" s="43" t="s">
        <v>23</v>
      </c>
      <c r="B132" s="7">
        <v>10</v>
      </c>
      <c r="C132" s="7">
        <v>8</v>
      </c>
      <c r="D132" s="7">
        <v>5</v>
      </c>
      <c r="E132" s="7">
        <v>10</v>
      </c>
      <c r="F132" s="7">
        <v>8</v>
      </c>
      <c r="G132" s="7">
        <v>12</v>
      </c>
      <c r="H132" s="7">
        <v>13</v>
      </c>
      <c r="I132" s="7">
        <v>8</v>
      </c>
      <c r="J132" s="7">
        <v>8</v>
      </c>
      <c r="K132" s="7">
        <v>13</v>
      </c>
      <c r="L132" s="7">
        <v>16</v>
      </c>
      <c r="M132" s="7">
        <v>14</v>
      </c>
      <c r="N132" s="7">
        <v>10</v>
      </c>
      <c r="O132" s="7">
        <v>14</v>
      </c>
      <c r="P132" s="7">
        <v>6</v>
      </c>
      <c r="Q132" s="7">
        <v>8</v>
      </c>
      <c r="R132" s="7">
        <v>7</v>
      </c>
      <c r="S132" s="7">
        <v>6</v>
      </c>
      <c r="T132" s="7">
        <v>6</v>
      </c>
      <c r="U132" s="7">
        <v>13</v>
      </c>
      <c r="V132" s="7">
        <v>7</v>
      </c>
      <c r="W132" s="7">
        <v>6</v>
      </c>
      <c r="X132" s="7">
        <v>7</v>
      </c>
      <c r="Y132" s="7">
        <v>7</v>
      </c>
      <c r="Z132" s="7">
        <v>3</v>
      </c>
      <c r="AA132" s="7">
        <v>6</v>
      </c>
      <c r="AB132" s="7">
        <v>15</v>
      </c>
      <c r="AC132" s="7">
        <v>10</v>
      </c>
      <c r="AD132" s="7">
        <v>8</v>
      </c>
      <c r="AE132" s="7">
        <v>7</v>
      </c>
      <c r="AF132" s="8"/>
      <c r="AG132" s="4">
        <f t="shared" si="19"/>
        <v>271</v>
      </c>
    </row>
    <row r="133" spans="1:35" ht="18.75" x14ac:dyDescent="0.25">
      <c r="A133" s="43" t="s">
        <v>24</v>
      </c>
      <c r="B133" s="7">
        <v>10</v>
      </c>
      <c r="C133" s="7">
        <v>16</v>
      </c>
      <c r="D133" s="7">
        <v>12</v>
      </c>
      <c r="E133" s="7">
        <v>7</v>
      </c>
      <c r="F133" s="7">
        <v>7</v>
      </c>
      <c r="G133" s="7">
        <v>13</v>
      </c>
      <c r="H133" s="7">
        <v>19</v>
      </c>
      <c r="I133" s="7">
        <v>22</v>
      </c>
      <c r="J133" s="7">
        <v>11</v>
      </c>
      <c r="K133" s="7">
        <v>13</v>
      </c>
      <c r="L133" s="7"/>
      <c r="M133" s="7">
        <v>6</v>
      </c>
      <c r="N133" s="7">
        <v>10</v>
      </c>
      <c r="O133" s="7">
        <v>14</v>
      </c>
      <c r="P133" s="7">
        <v>5</v>
      </c>
      <c r="Q133" s="7">
        <v>3</v>
      </c>
      <c r="R133" s="7">
        <v>14</v>
      </c>
      <c r="S133" s="7">
        <v>10</v>
      </c>
      <c r="T133" s="7">
        <v>10</v>
      </c>
      <c r="U133" s="7">
        <v>16</v>
      </c>
      <c r="V133" s="7">
        <v>11</v>
      </c>
      <c r="W133" s="7">
        <v>9</v>
      </c>
      <c r="X133" s="7">
        <v>7</v>
      </c>
      <c r="Y133" s="7">
        <v>9</v>
      </c>
      <c r="Z133" s="7">
        <v>5</v>
      </c>
      <c r="AA133" s="7">
        <v>14</v>
      </c>
      <c r="AB133" s="7">
        <v>9</v>
      </c>
      <c r="AC133" s="7">
        <v>9</v>
      </c>
      <c r="AD133" s="7">
        <v>5</v>
      </c>
      <c r="AE133" s="7">
        <v>13</v>
      </c>
      <c r="AF133" s="8"/>
      <c r="AG133" s="4">
        <f t="shared" si="19"/>
        <v>309</v>
      </c>
    </row>
    <row r="134" spans="1:35" ht="18.75" x14ac:dyDescent="0.25">
      <c r="A134" s="43" t="s">
        <v>25</v>
      </c>
      <c r="B134" s="7">
        <f>1+6+1</f>
        <v>8</v>
      </c>
      <c r="C134" s="7">
        <f>7+1</f>
        <v>8</v>
      </c>
      <c r="D134" s="7">
        <v>11</v>
      </c>
      <c r="E134" s="7">
        <f>1+9</f>
        <v>10</v>
      </c>
      <c r="F134" s="7">
        <v>11</v>
      </c>
      <c r="G134" s="7">
        <v>7</v>
      </c>
      <c r="H134" s="7">
        <v>18</v>
      </c>
      <c r="I134" s="7">
        <v>10</v>
      </c>
      <c r="J134" s="7">
        <v>7</v>
      </c>
      <c r="K134" s="7">
        <v>7</v>
      </c>
      <c r="L134" s="7">
        <v>6</v>
      </c>
      <c r="M134" s="7">
        <v>6</v>
      </c>
      <c r="N134" s="7">
        <f>1+19</f>
        <v>20</v>
      </c>
      <c r="O134" s="7">
        <v>20</v>
      </c>
      <c r="P134" s="7">
        <v>6</v>
      </c>
      <c r="Q134" s="7">
        <v>6</v>
      </c>
      <c r="R134" s="7">
        <f>1+7</f>
        <v>8</v>
      </c>
      <c r="S134" s="7">
        <v>6</v>
      </c>
      <c r="T134" s="7">
        <f>1+11</f>
        <v>12</v>
      </c>
      <c r="U134" s="7">
        <v>8</v>
      </c>
      <c r="V134" s="7">
        <f>17+1</f>
        <v>18</v>
      </c>
      <c r="W134" s="7">
        <v>7</v>
      </c>
      <c r="X134" s="7">
        <f>1+6</f>
        <v>7</v>
      </c>
      <c r="Y134" s="7">
        <f>1+8</f>
        <v>9</v>
      </c>
      <c r="Z134" s="7">
        <v>4</v>
      </c>
      <c r="AA134" s="7">
        <v>7</v>
      </c>
      <c r="AB134" s="7">
        <v>9</v>
      </c>
      <c r="AC134" s="7">
        <f>12+1</f>
        <v>13</v>
      </c>
      <c r="AD134" s="7">
        <v>8</v>
      </c>
      <c r="AE134" s="7">
        <v>3</v>
      </c>
      <c r="AF134" s="8"/>
      <c r="AG134" s="4">
        <f t="shared" ref="AG134:AG147" si="21">SUM(B134:AF134)</f>
        <v>280</v>
      </c>
    </row>
    <row r="135" spans="1:35" ht="18.75" x14ac:dyDescent="0.25">
      <c r="A135" s="43" t="s">
        <v>26</v>
      </c>
      <c r="B135" s="7">
        <v>6</v>
      </c>
      <c r="C135" s="7">
        <v>9</v>
      </c>
      <c r="D135" s="7">
        <v>12</v>
      </c>
      <c r="E135" s="7">
        <v>11</v>
      </c>
      <c r="F135" s="7">
        <v>7</v>
      </c>
      <c r="G135" s="7">
        <v>10</v>
      </c>
      <c r="H135" s="7">
        <v>10</v>
      </c>
      <c r="I135" s="7">
        <v>6</v>
      </c>
      <c r="J135" s="7">
        <v>8</v>
      </c>
      <c r="K135" s="7">
        <v>7</v>
      </c>
      <c r="L135" s="7">
        <v>8</v>
      </c>
      <c r="M135" s="7">
        <v>10</v>
      </c>
      <c r="N135" s="7">
        <v>9</v>
      </c>
      <c r="O135" s="7">
        <v>9</v>
      </c>
      <c r="P135" s="7">
        <v>8</v>
      </c>
      <c r="Q135" s="7">
        <v>15</v>
      </c>
      <c r="R135" s="7">
        <v>7</v>
      </c>
      <c r="S135" s="7">
        <v>5</v>
      </c>
      <c r="T135" s="7">
        <v>14</v>
      </c>
      <c r="U135" s="7">
        <v>12</v>
      </c>
      <c r="V135" s="7">
        <v>22</v>
      </c>
      <c r="W135" s="7">
        <v>7</v>
      </c>
      <c r="X135" s="7">
        <v>10</v>
      </c>
      <c r="Y135" s="7">
        <v>12</v>
      </c>
      <c r="Z135" s="7">
        <v>8</v>
      </c>
      <c r="AA135" s="7">
        <v>16</v>
      </c>
      <c r="AB135" s="7">
        <v>15</v>
      </c>
      <c r="AC135" s="7">
        <v>20</v>
      </c>
      <c r="AD135" s="7">
        <v>14</v>
      </c>
      <c r="AE135" s="7">
        <v>12</v>
      </c>
      <c r="AF135" s="8"/>
      <c r="AG135" s="4">
        <f t="shared" si="21"/>
        <v>319</v>
      </c>
    </row>
    <row r="136" spans="1:35" ht="18.75" x14ac:dyDescent="0.25">
      <c r="A136" s="43" t="s">
        <v>27</v>
      </c>
      <c r="B136" s="7">
        <v>31</v>
      </c>
      <c r="C136" s="7">
        <v>36</v>
      </c>
      <c r="D136" s="7">
        <v>26</v>
      </c>
      <c r="E136" s="7">
        <v>17</v>
      </c>
      <c r="F136" s="7">
        <v>21</v>
      </c>
      <c r="G136" s="7">
        <v>43</v>
      </c>
      <c r="H136" s="7">
        <v>37</v>
      </c>
      <c r="I136" s="7">
        <v>30</v>
      </c>
      <c r="J136" s="7">
        <v>27</v>
      </c>
      <c r="K136" s="7">
        <v>31</v>
      </c>
      <c r="L136" s="7">
        <v>21</v>
      </c>
      <c r="M136" s="7">
        <v>24</v>
      </c>
      <c r="N136" s="7">
        <v>43</v>
      </c>
      <c r="O136" s="7">
        <v>43</v>
      </c>
      <c r="P136" s="7">
        <v>36</v>
      </c>
      <c r="Q136" s="7">
        <v>31</v>
      </c>
      <c r="R136" s="7">
        <v>30</v>
      </c>
      <c r="S136" s="7">
        <v>33</v>
      </c>
      <c r="T136" s="7">
        <v>30</v>
      </c>
      <c r="U136" s="7">
        <v>35</v>
      </c>
      <c r="V136" s="7">
        <v>42</v>
      </c>
      <c r="W136" s="7">
        <v>24</v>
      </c>
      <c r="X136" s="7">
        <v>30</v>
      </c>
      <c r="Y136" s="7">
        <v>25</v>
      </c>
      <c r="Z136" s="7">
        <v>23</v>
      </c>
      <c r="AA136" s="7">
        <v>26</v>
      </c>
      <c r="AB136" s="7">
        <v>45</v>
      </c>
      <c r="AC136" s="7">
        <v>40</v>
      </c>
      <c r="AD136" s="7">
        <v>35</v>
      </c>
      <c r="AE136" s="7">
        <v>23</v>
      </c>
      <c r="AF136" s="8"/>
      <c r="AG136" s="4">
        <f t="shared" si="21"/>
        <v>938</v>
      </c>
    </row>
    <row r="137" spans="1:35" ht="18.75" x14ac:dyDescent="0.25">
      <c r="A137" s="43" t="s">
        <v>28</v>
      </c>
      <c r="B137" s="7">
        <v>9</v>
      </c>
      <c r="C137" s="7">
        <f>13+1</f>
        <v>14</v>
      </c>
      <c r="D137" s="7">
        <v>7</v>
      </c>
      <c r="E137" s="7">
        <f>12+1</f>
        <v>13</v>
      </c>
      <c r="F137" s="7">
        <v>4</v>
      </c>
      <c r="G137" s="7">
        <f>7+2</f>
        <v>9</v>
      </c>
      <c r="H137" s="7">
        <v>11</v>
      </c>
      <c r="I137" s="7">
        <v>4</v>
      </c>
      <c r="J137" s="7">
        <v>9</v>
      </c>
      <c r="K137" s="7">
        <v>5</v>
      </c>
      <c r="L137" s="7">
        <f>5+1</f>
        <v>6</v>
      </c>
      <c r="M137" s="7">
        <f>3+1</f>
        <v>4</v>
      </c>
      <c r="N137" s="7">
        <v>4</v>
      </c>
      <c r="O137" s="7">
        <f>3+1</f>
        <v>4</v>
      </c>
      <c r="P137" s="7">
        <f>6+2</f>
        <v>8</v>
      </c>
      <c r="Q137" s="7">
        <f>8+3</f>
        <v>11</v>
      </c>
      <c r="R137" s="7">
        <f>8+1</f>
        <v>9</v>
      </c>
      <c r="S137" s="7">
        <f>8+1</f>
        <v>9</v>
      </c>
      <c r="T137" s="7">
        <f>10+2</f>
        <v>12</v>
      </c>
      <c r="U137" s="7">
        <v>3</v>
      </c>
      <c r="V137" s="7">
        <v>4</v>
      </c>
      <c r="W137" s="7">
        <f>8+3</f>
        <v>11</v>
      </c>
      <c r="X137" s="7">
        <f>7+2</f>
        <v>9</v>
      </c>
      <c r="Y137" s="7">
        <f>5+2</f>
        <v>7</v>
      </c>
      <c r="Z137" s="7">
        <f>2+1</f>
        <v>3</v>
      </c>
      <c r="AA137" s="7">
        <v>8</v>
      </c>
      <c r="AB137" s="7">
        <v>7</v>
      </c>
      <c r="AC137" s="7">
        <f>7+1</f>
        <v>8</v>
      </c>
      <c r="AD137" s="7">
        <v>7</v>
      </c>
      <c r="AE137" s="7">
        <f>5+2</f>
        <v>7</v>
      </c>
      <c r="AF137" s="8"/>
      <c r="AG137" s="4">
        <f t="shared" si="21"/>
        <v>226</v>
      </c>
    </row>
    <row r="138" spans="1:35" ht="18.75" x14ac:dyDescent="0.25">
      <c r="A138" s="43" t="s">
        <v>29</v>
      </c>
      <c r="B138" s="7">
        <v>10</v>
      </c>
      <c r="C138" s="7">
        <v>8</v>
      </c>
      <c r="D138" s="7">
        <v>2</v>
      </c>
      <c r="E138" s="7">
        <v>3</v>
      </c>
      <c r="F138" s="7">
        <v>8</v>
      </c>
      <c r="G138" s="7">
        <v>4</v>
      </c>
      <c r="H138" s="7">
        <v>9</v>
      </c>
      <c r="I138" s="7">
        <v>3</v>
      </c>
      <c r="J138" s="7">
        <v>5</v>
      </c>
      <c r="K138" s="7">
        <v>5</v>
      </c>
      <c r="L138" s="7">
        <v>3</v>
      </c>
      <c r="M138" s="7">
        <v>7</v>
      </c>
      <c r="N138" s="7">
        <v>5</v>
      </c>
      <c r="O138" s="7">
        <v>8</v>
      </c>
      <c r="P138" s="7">
        <v>4</v>
      </c>
      <c r="Q138" s="7">
        <v>2</v>
      </c>
      <c r="R138" s="7">
        <v>6</v>
      </c>
      <c r="S138" s="7">
        <v>7</v>
      </c>
      <c r="T138" s="7">
        <v>8</v>
      </c>
      <c r="U138" s="7">
        <v>10</v>
      </c>
      <c r="V138" s="7">
        <v>5</v>
      </c>
      <c r="W138" s="7">
        <v>11</v>
      </c>
      <c r="X138" s="7">
        <v>3</v>
      </c>
      <c r="Y138" s="7">
        <v>2</v>
      </c>
      <c r="Z138" s="7">
        <v>5</v>
      </c>
      <c r="AA138" s="7">
        <v>6</v>
      </c>
      <c r="AB138" s="7">
        <v>5</v>
      </c>
      <c r="AC138" s="7">
        <v>6</v>
      </c>
      <c r="AD138" s="7">
        <v>6</v>
      </c>
      <c r="AE138" s="7">
        <v>3</v>
      </c>
      <c r="AF138" s="8"/>
      <c r="AG138" s="4">
        <f t="shared" si="21"/>
        <v>169</v>
      </c>
    </row>
    <row r="139" spans="1:35" ht="18.75" x14ac:dyDescent="0.25">
      <c r="A139" s="41" t="s">
        <v>30</v>
      </c>
      <c r="B139" s="7">
        <f>7+4</f>
        <v>11</v>
      </c>
      <c r="C139" s="7">
        <f>6+2</f>
        <v>8</v>
      </c>
      <c r="D139" s="7">
        <v>6</v>
      </c>
      <c r="E139" s="7">
        <f>4+1</f>
        <v>5</v>
      </c>
      <c r="F139" s="7">
        <f>1+1</f>
        <v>2</v>
      </c>
      <c r="G139" s="7">
        <f>2+3</f>
        <v>5</v>
      </c>
      <c r="H139" s="7">
        <f>1+3</f>
        <v>4</v>
      </c>
      <c r="I139" s="7">
        <v>3</v>
      </c>
      <c r="J139" s="7">
        <f>2+3</f>
        <v>5</v>
      </c>
      <c r="K139" s="7">
        <v>3</v>
      </c>
      <c r="L139" s="7">
        <v>3</v>
      </c>
      <c r="M139" s="7">
        <v>1</v>
      </c>
      <c r="N139" s="7">
        <f>1+1</f>
        <v>2</v>
      </c>
      <c r="O139" s="7">
        <v>1</v>
      </c>
      <c r="P139" s="7">
        <f>1+1</f>
        <v>2</v>
      </c>
      <c r="Q139" s="7">
        <f>3+1</f>
        <v>4</v>
      </c>
      <c r="R139" s="7">
        <v>1</v>
      </c>
      <c r="S139" s="7">
        <f>1+1</f>
        <v>2</v>
      </c>
      <c r="T139" s="7">
        <f>2+1</f>
        <v>3</v>
      </c>
      <c r="U139" s="7">
        <f>3+4</f>
        <v>7</v>
      </c>
      <c r="V139" s="7">
        <f>1+2</f>
        <v>3</v>
      </c>
      <c r="W139" s="7">
        <f>3+1</f>
        <v>4</v>
      </c>
      <c r="X139" s="7">
        <f>1</f>
        <v>1</v>
      </c>
      <c r="Y139" s="7">
        <v>1</v>
      </c>
      <c r="Z139" s="7">
        <v>1</v>
      </c>
      <c r="AA139" s="7">
        <v>1</v>
      </c>
      <c r="AB139" s="7">
        <f>1+1</f>
        <v>2</v>
      </c>
      <c r="AC139" s="7">
        <f>1+2</f>
        <v>3</v>
      </c>
      <c r="AD139" s="7">
        <f>2+1</f>
        <v>3</v>
      </c>
      <c r="AE139" s="7"/>
      <c r="AF139" s="8"/>
      <c r="AG139" s="4">
        <f t="shared" si="21"/>
        <v>97</v>
      </c>
    </row>
    <row r="140" spans="1:35" ht="18.75" x14ac:dyDescent="0.25">
      <c r="A140" s="41" t="s">
        <v>31</v>
      </c>
      <c r="B140" s="7">
        <v>2</v>
      </c>
      <c r="C140" s="7"/>
      <c r="D140" s="7">
        <v>3</v>
      </c>
      <c r="E140" s="7">
        <v>2</v>
      </c>
      <c r="F140" s="7">
        <v>2</v>
      </c>
      <c r="G140" s="7">
        <v>1</v>
      </c>
      <c r="H140" s="7">
        <v>3</v>
      </c>
      <c r="I140" s="7">
        <v>3</v>
      </c>
      <c r="J140" s="7"/>
      <c r="K140" s="7"/>
      <c r="L140" s="7">
        <v>3</v>
      </c>
      <c r="M140" s="7"/>
      <c r="N140" s="7">
        <v>1</v>
      </c>
      <c r="O140" s="7">
        <v>2</v>
      </c>
      <c r="P140" s="7"/>
      <c r="Q140" s="7"/>
      <c r="R140" s="7">
        <v>3</v>
      </c>
      <c r="S140" s="7">
        <v>1</v>
      </c>
      <c r="T140" s="7">
        <v>1</v>
      </c>
      <c r="U140" s="7">
        <v>1</v>
      </c>
      <c r="V140" s="7">
        <v>2</v>
      </c>
      <c r="W140" s="7">
        <v>1</v>
      </c>
      <c r="X140" s="7">
        <v>1</v>
      </c>
      <c r="Y140" s="7">
        <v>1</v>
      </c>
      <c r="Z140" s="7"/>
      <c r="AA140" s="7">
        <v>2</v>
      </c>
      <c r="AB140" s="7">
        <v>8</v>
      </c>
      <c r="AC140" s="7">
        <v>4</v>
      </c>
      <c r="AD140" s="7">
        <v>2</v>
      </c>
      <c r="AE140" s="7">
        <v>1</v>
      </c>
      <c r="AF140" s="8"/>
      <c r="AG140" s="4">
        <f t="shared" si="21"/>
        <v>50</v>
      </c>
    </row>
    <row r="141" spans="1:35" ht="18.75" x14ac:dyDescent="0.25">
      <c r="A141" s="41" t="s">
        <v>32</v>
      </c>
      <c r="B141" s="7">
        <v>1</v>
      </c>
      <c r="C141" s="7"/>
      <c r="D141" s="7">
        <v>1</v>
      </c>
      <c r="E141" s="7">
        <v>1</v>
      </c>
      <c r="F141" s="7"/>
      <c r="G141" s="7">
        <v>1</v>
      </c>
      <c r="H141" s="7">
        <v>1</v>
      </c>
      <c r="I141" s="7"/>
      <c r="J141" s="7"/>
      <c r="K141" s="7"/>
      <c r="L141" s="7">
        <v>1</v>
      </c>
      <c r="M141" s="7">
        <v>2</v>
      </c>
      <c r="N141" s="7"/>
      <c r="O141" s="7"/>
      <c r="P141" s="7">
        <v>1</v>
      </c>
      <c r="Q141" s="7"/>
      <c r="R141" s="7">
        <v>1</v>
      </c>
      <c r="S141" s="7"/>
      <c r="T141" s="7"/>
      <c r="U141" s="7">
        <v>1</v>
      </c>
      <c r="V141" s="7"/>
      <c r="W141" s="7"/>
      <c r="X141" s="7">
        <v>1</v>
      </c>
      <c r="Y141" s="7"/>
      <c r="Z141" s="7"/>
      <c r="AA141" s="7"/>
      <c r="AB141" s="7"/>
      <c r="AC141" s="7"/>
      <c r="AD141" s="7"/>
      <c r="AE141" s="7">
        <v>1</v>
      </c>
      <c r="AF141" s="8"/>
      <c r="AG141" s="4">
        <f t="shared" si="21"/>
        <v>13</v>
      </c>
    </row>
    <row r="142" spans="1:35" ht="18.75" x14ac:dyDescent="0.25">
      <c r="A142" s="43" t="s">
        <v>60</v>
      </c>
      <c r="B142" s="7">
        <f>1+1+2+1+1+1</f>
        <v>7</v>
      </c>
      <c r="C142" s="7">
        <f>2+1+1+2+2+2+1+1+1+1</f>
        <v>14</v>
      </c>
      <c r="D142" s="7">
        <f>1+1+1+1+1</f>
        <v>5</v>
      </c>
      <c r="E142" s="7">
        <f>2+1+1+1</f>
        <v>5</v>
      </c>
      <c r="F142" s="7">
        <f>1+1</f>
        <v>2</v>
      </c>
      <c r="G142" s="7">
        <f>1+1+1+1</f>
        <v>4</v>
      </c>
      <c r="H142" s="7">
        <f>2+1</f>
        <v>3</v>
      </c>
      <c r="I142" s="7">
        <f>1+3+1+1+1</f>
        <v>7</v>
      </c>
      <c r="J142" s="7">
        <f>1+1</f>
        <v>2</v>
      </c>
      <c r="K142" s="7">
        <f>1+1+2+1+1</f>
        <v>6</v>
      </c>
      <c r="L142" s="7">
        <f>1+1</f>
        <v>2</v>
      </c>
      <c r="M142" s="7">
        <f>1+1+1</f>
        <v>3</v>
      </c>
      <c r="N142" s="7">
        <f>1+4+3+1</f>
        <v>9</v>
      </c>
      <c r="O142" s="7">
        <f>1+1+1+1+1+1</f>
        <v>6</v>
      </c>
      <c r="P142" s="7">
        <f>1+1+1</f>
        <v>3</v>
      </c>
      <c r="Q142" s="7">
        <f>1+1+1</f>
        <v>3</v>
      </c>
      <c r="R142" s="7">
        <f>2+1+1+1+1+1+1+1</f>
        <v>9</v>
      </c>
      <c r="S142" s="7">
        <f>1+1+1+1</f>
        <v>4</v>
      </c>
      <c r="T142" s="7">
        <f>20+1</f>
        <v>21</v>
      </c>
      <c r="U142" s="7">
        <f>1+1+1+1+1</f>
        <v>5</v>
      </c>
      <c r="V142" s="7">
        <f>1+1+2+1</f>
        <v>5</v>
      </c>
      <c r="W142" s="7">
        <f>1+1+1</f>
        <v>3</v>
      </c>
      <c r="X142" s="7">
        <f>1+1+1+1</f>
        <v>4</v>
      </c>
      <c r="Y142" s="7">
        <f>1+1+1</f>
        <v>3</v>
      </c>
      <c r="Z142" s="7">
        <f>1+1+1+1+1</f>
        <v>5</v>
      </c>
      <c r="AA142" s="7">
        <f>1</f>
        <v>1</v>
      </c>
      <c r="AB142" s="7">
        <f>3+1+1+2</f>
        <v>7</v>
      </c>
      <c r="AC142" s="7">
        <f>1+1+1+2+2</f>
        <v>7</v>
      </c>
      <c r="AD142" s="7">
        <f>9+1+3+2+1</f>
        <v>16</v>
      </c>
      <c r="AE142" s="7">
        <f>1+1+1+1</f>
        <v>4</v>
      </c>
      <c r="AF142" s="8"/>
      <c r="AG142" s="4">
        <f t="shared" si="21"/>
        <v>175</v>
      </c>
    </row>
    <row r="143" spans="1:35" ht="19.5" thickBot="1" x14ac:dyDescent="0.3">
      <c r="A143" s="75" t="s">
        <v>86</v>
      </c>
      <c r="B143" s="13">
        <f>11+12</f>
        <v>23</v>
      </c>
      <c r="C143" s="13">
        <f>9+14</f>
        <v>23</v>
      </c>
      <c r="D143" s="13">
        <f>16+11</f>
        <v>27</v>
      </c>
      <c r="E143" s="13">
        <f>11+7</f>
        <v>18</v>
      </c>
      <c r="F143" s="13">
        <f>13+9</f>
        <v>22</v>
      </c>
      <c r="G143" s="13">
        <f>17+14</f>
        <v>31</v>
      </c>
      <c r="H143" s="13">
        <f>11+10</f>
        <v>21</v>
      </c>
      <c r="I143" s="13">
        <f>10+7</f>
        <v>17</v>
      </c>
      <c r="J143" s="13">
        <f>8+12</f>
        <v>20</v>
      </c>
      <c r="K143" s="13">
        <f>7+9</f>
        <v>16</v>
      </c>
      <c r="L143" s="13">
        <f>7+3</f>
        <v>10</v>
      </c>
      <c r="M143" s="13">
        <f>12+8</f>
        <v>20</v>
      </c>
      <c r="N143" s="13">
        <f>14+7</f>
        <v>21</v>
      </c>
      <c r="O143" s="13">
        <f>16+17</f>
        <v>33</v>
      </c>
      <c r="P143" s="13">
        <f>5+1+14</f>
        <v>20</v>
      </c>
      <c r="Q143" s="13">
        <f>17+5</f>
        <v>22</v>
      </c>
      <c r="R143" s="13">
        <f>7+11</f>
        <v>18</v>
      </c>
      <c r="S143" s="13">
        <f>7+12</f>
        <v>19</v>
      </c>
      <c r="T143" s="13">
        <v>8</v>
      </c>
      <c r="U143" s="13">
        <f>23+12</f>
        <v>35</v>
      </c>
      <c r="V143" s="13">
        <f>13+20</f>
        <v>33</v>
      </c>
      <c r="W143" s="13">
        <f>9+10</f>
        <v>19</v>
      </c>
      <c r="X143" s="13">
        <f>12+9</f>
        <v>21</v>
      </c>
      <c r="Y143" s="13">
        <f>8+11</f>
        <v>19</v>
      </c>
      <c r="Z143" s="13">
        <f>13+4</f>
        <v>17</v>
      </c>
      <c r="AA143" s="13">
        <f>1+7+11</f>
        <v>19</v>
      </c>
      <c r="AB143" s="13">
        <f>9+17</f>
        <v>26</v>
      </c>
      <c r="AC143" s="13">
        <f>12+22</f>
        <v>34</v>
      </c>
      <c r="AD143" s="13">
        <v>10</v>
      </c>
      <c r="AE143" s="13">
        <f>8+18</f>
        <v>26</v>
      </c>
      <c r="AF143" s="14"/>
      <c r="AG143" s="108">
        <f t="shared" si="21"/>
        <v>648</v>
      </c>
    </row>
    <row r="144" spans="1:35" ht="19.5" thickBot="1" x14ac:dyDescent="0.3">
      <c r="A144" s="164" t="s">
        <v>89</v>
      </c>
      <c r="B144" s="165">
        <f t="shared" ref="B144:AD144" si="22">+B146+B156+B158+B167</f>
        <v>182</v>
      </c>
      <c r="C144" s="165">
        <f t="shared" si="22"/>
        <v>193</v>
      </c>
      <c r="D144" s="165">
        <f t="shared" si="22"/>
        <v>176</v>
      </c>
      <c r="E144" s="165">
        <f t="shared" si="22"/>
        <v>146</v>
      </c>
      <c r="F144" s="165">
        <f t="shared" si="22"/>
        <v>137</v>
      </c>
      <c r="G144" s="165">
        <f t="shared" si="22"/>
        <v>222</v>
      </c>
      <c r="H144" s="165">
        <f t="shared" si="22"/>
        <v>216</v>
      </c>
      <c r="I144" s="165">
        <f t="shared" si="22"/>
        <v>153</v>
      </c>
      <c r="J144" s="165">
        <f t="shared" si="22"/>
        <v>142</v>
      </c>
      <c r="K144" s="165">
        <f t="shared" si="22"/>
        <v>156</v>
      </c>
      <c r="L144" s="165">
        <f t="shared" si="22"/>
        <v>129</v>
      </c>
      <c r="M144" s="165">
        <f t="shared" si="22"/>
        <v>141</v>
      </c>
      <c r="N144" s="165">
        <f t="shared" si="22"/>
        <v>205</v>
      </c>
      <c r="O144" s="165">
        <f t="shared" si="22"/>
        <v>200</v>
      </c>
      <c r="P144" s="165">
        <f t="shared" si="22"/>
        <v>163</v>
      </c>
      <c r="Q144" s="165">
        <f t="shared" si="22"/>
        <v>154</v>
      </c>
      <c r="R144" s="165">
        <f t="shared" si="22"/>
        <v>162</v>
      </c>
      <c r="S144" s="165">
        <f t="shared" si="22"/>
        <v>152</v>
      </c>
      <c r="T144" s="165">
        <f t="shared" si="22"/>
        <v>188</v>
      </c>
      <c r="U144" s="165">
        <f t="shared" si="22"/>
        <v>223</v>
      </c>
      <c r="V144" s="165">
        <f t="shared" si="22"/>
        <v>215</v>
      </c>
      <c r="W144" s="165">
        <f t="shared" si="22"/>
        <v>152</v>
      </c>
      <c r="X144" s="165">
        <f t="shared" si="22"/>
        <v>148</v>
      </c>
      <c r="Y144" s="165">
        <f t="shared" si="22"/>
        <v>149</v>
      </c>
      <c r="Z144" s="165">
        <f t="shared" si="22"/>
        <v>123</v>
      </c>
      <c r="AA144" s="165">
        <f t="shared" si="22"/>
        <v>152</v>
      </c>
      <c r="AB144" s="165">
        <f t="shared" si="22"/>
        <v>210</v>
      </c>
      <c r="AC144" s="165">
        <f t="shared" si="22"/>
        <v>219</v>
      </c>
      <c r="AD144" s="165">
        <f t="shared" si="22"/>
        <v>156</v>
      </c>
      <c r="AE144" s="165">
        <f>+AE146+AE156+AE158+AE167</f>
        <v>150</v>
      </c>
      <c r="AF144" s="165">
        <f t="shared" ref="AF144" si="23">+AF146+AF156+AF158+AF167</f>
        <v>0</v>
      </c>
      <c r="AG144" s="116">
        <f t="shared" si="21"/>
        <v>5114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39</v>
      </c>
      <c r="C145" s="161">
        <f t="shared" si="24"/>
        <v>16</v>
      </c>
      <c r="D145" s="161">
        <f t="shared" si="24"/>
        <v>13</v>
      </c>
      <c r="E145" s="161">
        <f t="shared" si="24"/>
        <v>18</v>
      </c>
      <c r="F145" s="161">
        <f t="shared" si="24"/>
        <v>24</v>
      </c>
      <c r="G145" s="161">
        <f t="shared" si="24"/>
        <v>11</v>
      </c>
      <c r="H145" s="161">
        <f t="shared" si="24"/>
        <v>31</v>
      </c>
      <c r="I145" s="161">
        <f t="shared" si="24"/>
        <v>25</v>
      </c>
      <c r="J145" s="161">
        <f t="shared" si="24"/>
        <v>16</v>
      </c>
      <c r="K145" s="161">
        <f t="shared" si="24"/>
        <v>15</v>
      </c>
      <c r="L145" s="161">
        <f t="shared" si="24"/>
        <v>14</v>
      </c>
      <c r="M145" s="161">
        <f t="shared" si="24"/>
        <v>9</v>
      </c>
      <c r="N145" s="161">
        <f t="shared" si="24"/>
        <v>23</v>
      </c>
      <c r="O145" s="161">
        <f t="shared" si="24"/>
        <v>16</v>
      </c>
      <c r="P145" s="161">
        <f t="shared" si="24"/>
        <v>40</v>
      </c>
      <c r="Q145" s="161">
        <f t="shared" si="24"/>
        <v>15</v>
      </c>
      <c r="R145" s="161">
        <f t="shared" si="24"/>
        <v>12</v>
      </c>
      <c r="S145" s="161">
        <f t="shared" si="24"/>
        <v>8</v>
      </c>
      <c r="T145" s="161">
        <f t="shared" si="24"/>
        <v>6</v>
      </c>
      <c r="U145" s="161">
        <f t="shared" si="24"/>
        <v>6</v>
      </c>
      <c r="V145" s="161">
        <f t="shared" si="24"/>
        <v>25</v>
      </c>
      <c r="W145" s="161">
        <f t="shared" si="24"/>
        <v>25</v>
      </c>
      <c r="X145" s="161">
        <f t="shared" si="24"/>
        <v>13</v>
      </c>
      <c r="Y145" s="161">
        <f t="shared" si="24"/>
        <v>12</v>
      </c>
      <c r="Z145" s="161">
        <f t="shared" si="24"/>
        <v>21</v>
      </c>
      <c r="AA145" s="161">
        <f t="shared" si="24"/>
        <v>20</v>
      </c>
      <c r="AB145" s="161">
        <f t="shared" si="24"/>
        <v>28</v>
      </c>
      <c r="AC145" s="161">
        <f t="shared" si="24"/>
        <v>14</v>
      </c>
      <c r="AD145" s="161">
        <f t="shared" si="24"/>
        <v>21</v>
      </c>
      <c r="AE145" s="161">
        <f>+AE149+AE155+AE157+AE172</f>
        <v>12</v>
      </c>
      <c r="AF145" s="162">
        <f t="shared" ref="AF145" si="25">+AF149+AF155+AF157+AF172</f>
        <v>0</v>
      </c>
      <c r="AG145" s="163">
        <f t="shared" si="21"/>
        <v>548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45</v>
      </c>
      <c r="C146" s="118">
        <f t="shared" si="26"/>
        <v>53</v>
      </c>
      <c r="D146" s="118">
        <f t="shared" si="26"/>
        <v>44</v>
      </c>
      <c r="E146" s="118">
        <f t="shared" si="26"/>
        <v>7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2</v>
      </c>
      <c r="K146" s="118">
        <f t="shared" si="26"/>
        <v>1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1</v>
      </c>
      <c r="S146" s="118">
        <f t="shared" si="26"/>
        <v>1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1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155</v>
      </c>
    </row>
    <row r="147" spans="1:34" ht="19.5" thickBot="1" x14ac:dyDescent="0.3">
      <c r="A147" s="153" t="s">
        <v>130</v>
      </c>
      <c r="B147" s="154">
        <f t="shared" si="26"/>
        <v>10</v>
      </c>
      <c r="C147" s="154">
        <f t="shared" si="26"/>
        <v>2</v>
      </c>
      <c r="D147" s="154">
        <f t="shared" si="26"/>
        <v>4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1</v>
      </c>
      <c r="J147" s="154">
        <f t="shared" si="26"/>
        <v>1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1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19</v>
      </c>
    </row>
    <row r="148" spans="1:34" ht="19.5" thickBot="1" x14ac:dyDescent="0.3">
      <c r="A148" s="125" t="s">
        <v>68</v>
      </c>
      <c r="B148" s="126">
        <f>SUM(B150:B153)</f>
        <v>10</v>
      </c>
      <c r="C148" s="126">
        <f t="shared" ref="C148:AF148" si="27">SUM(C150:C153)</f>
        <v>2</v>
      </c>
      <c r="D148" s="126">
        <f t="shared" si="27"/>
        <v>9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2</v>
      </c>
      <c r="K148" s="126">
        <f t="shared" si="27"/>
        <v>1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1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09" si="28">SUM(B148:AF148)</f>
        <v>25</v>
      </c>
    </row>
    <row r="149" spans="1:34" ht="19.5" thickBot="1" x14ac:dyDescent="0.3">
      <c r="A149" s="153" t="s">
        <v>131</v>
      </c>
      <c r="B149" s="154">
        <v>5</v>
      </c>
      <c r="C149" s="154">
        <v>0</v>
      </c>
      <c r="D149" s="154">
        <v>0</v>
      </c>
      <c r="E149" s="154">
        <v>0</v>
      </c>
      <c r="F149" s="154">
        <v>0</v>
      </c>
      <c r="G149" s="154">
        <v>0</v>
      </c>
      <c r="H149" s="154">
        <v>0</v>
      </c>
      <c r="I149" s="154">
        <v>0</v>
      </c>
      <c r="J149" s="154">
        <v>1</v>
      </c>
      <c r="K149" s="154">
        <v>0</v>
      </c>
      <c r="L149" s="154">
        <v>0</v>
      </c>
      <c r="M149" s="154">
        <v>0</v>
      </c>
      <c r="N149" s="154">
        <v>0</v>
      </c>
      <c r="O149" s="154">
        <v>0</v>
      </c>
      <c r="P149" s="154">
        <v>0</v>
      </c>
      <c r="Q149" s="154">
        <v>0</v>
      </c>
      <c r="R149" s="154">
        <v>0</v>
      </c>
      <c r="S149" s="154">
        <v>0</v>
      </c>
      <c r="T149" s="154">
        <v>0</v>
      </c>
      <c r="U149" s="154">
        <v>0</v>
      </c>
      <c r="V149" s="154">
        <v>0</v>
      </c>
      <c r="W149" s="154">
        <v>0</v>
      </c>
      <c r="X149" s="154">
        <v>0</v>
      </c>
      <c r="Y149" s="154">
        <v>0</v>
      </c>
      <c r="Z149" s="154">
        <v>0</v>
      </c>
      <c r="AA149" s="154">
        <v>0</v>
      </c>
      <c r="AB149" s="154">
        <v>0</v>
      </c>
      <c r="AC149" s="154">
        <v>0</v>
      </c>
      <c r="AD149" s="154">
        <v>0</v>
      </c>
      <c r="AE149" s="154">
        <v>0</v>
      </c>
      <c r="AF149" s="155"/>
      <c r="AG149" s="156">
        <f t="shared" si="28"/>
        <v>6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>
        <v>1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1</v>
      </c>
    </row>
    <row r="152" spans="1:34" ht="18.75" x14ac:dyDescent="0.25">
      <c r="A152" s="50" t="s">
        <v>102</v>
      </c>
      <c r="B152" s="29">
        <v>8</v>
      </c>
      <c r="C152" s="29">
        <v>2</v>
      </c>
      <c r="D152" s="29">
        <v>5</v>
      </c>
      <c r="E152" s="29"/>
      <c r="F152" s="29"/>
      <c r="G152" s="29"/>
      <c r="H152" s="29"/>
      <c r="I152" s="29"/>
      <c r="J152" s="29">
        <v>1</v>
      </c>
      <c r="K152" s="29">
        <v>1</v>
      </c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17</v>
      </c>
    </row>
    <row r="153" spans="1:34" ht="19.5" thickBot="1" x14ac:dyDescent="0.3">
      <c r="A153" s="71" t="s">
        <v>103</v>
      </c>
      <c r="B153" s="30">
        <v>2</v>
      </c>
      <c r="C153" s="30"/>
      <c r="D153" s="30">
        <v>4</v>
      </c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>
        <v>1</v>
      </c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7</v>
      </c>
    </row>
    <row r="154" spans="1:34" ht="19.5" thickBot="1" x14ac:dyDescent="0.3">
      <c r="A154" s="125" t="s">
        <v>67</v>
      </c>
      <c r="B154" s="126">
        <v>35</v>
      </c>
      <c r="C154" s="126">
        <v>51</v>
      </c>
      <c r="D154" s="126">
        <v>35</v>
      </c>
      <c r="E154" s="126">
        <v>7</v>
      </c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>
        <v>1</v>
      </c>
      <c r="T154" s="126"/>
      <c r="U154" s="126"/>
      <c r="V154" s="126"/>
      <c r="W154" s="126"/>
      <c r="X154" s="126"/>
      <c r="Y154" s="126"/>
      <c r="Z154" s="126"/>
      <c r="AA154" s="126"/>
      <c r="AB154" s="126">
        <v>1</v>
      </c>
      <c r="AC154" s="126"/>
      <c r="AD154" s="126"/>
      <c r="AE154" s="126"/>
      <c r="AF154" s="127"/>
      <c r="AG154" s="128">
        <f t="shared" si="28"/>
        <v>130</v>
      </c>
    </row>
    <row r="155" spans="1:34" ht="19.5" thickBot="1" x14ac:dyDescent="0.3">
      <c r="A155" s="153" t="s">
        <v>132</v>
      </c>
      <c r="B155" s="154">
        <v>5</v>
      </c>
      <c r="C155" s="154">
        <v>2</v>
      </c>
      <c r="D155" s="154">
        <v>4</v>
      </c>
      <c r="E155" s="154">
        <v>0</v>
      </c>
      <c r="F155" s="154">
        <v>0</v>
      </c>
      <c r="G155" s="154">
        <v>0</v>
      </c>
      <c r="H155" s="154">
        <v>0</v>
      </c>
      <c r="I155" s="154">
        <v>1</v>
      </c>
      <c r="J155" s="154">
        <v>0</v>
      </c>
      <c r="K155" s="154">
        <v>0</v>
      </c>
      <c r="L155" s="154">
        <v>0</v>
      </c>
      <c r="M155" s="154">
        <v>0</v>
      </c>
      <c r="N155" s="154">
        <v>0</v>
      </c>
      <c r="O155" s="154">
        <v>0</v>
      </c>
      <c r="P155" s="154">
        <v>0</v>
      </c>
      <c r="Q155" s="154">
        <v>0</v>
      </c>
      <c r="R155" s="154">
        <v>0</v>
      </c>
      <c r="S155" s="154">
        <v>0</v>
      </c>
      <c r="T155" s="154">
        <v>0</v>
      </c>
      <c r="U155" s="154">
        <v>0</v>
      </c>
      <c r="V155" s="154">
        <v>0</v>
      </c>
      <c r="W155" s="154">
        <v>0</v>
      </c>
      <c r="X155" s="154">
        <v>0</v>
      </c>
      <c r="Y155" s="154">
        <v>0</v>
      </c>
      <c r="Z155" s="154">
        <v>0</v>
      </c>
      <c r="AA155" s="154">
        <v>0</v>
      </c>
      <c r="AB155" s="154">
        <v>1</v>
      </c>
      <c r="AC155" s="154">
        <v>0</v>
      </c>
      <c r="AD155" s="154">
        <v>0</v>
      </c>
      <c r="AE155" s="154">
        <v>0</v>
      </c>
      <c r="AF155" s="155"/>
      <c r="AG155" s="156">
        <f t="shared" si="28"/>
        <v>13</v>
      </c>
    </row>
    <row r="156" spans="1:34" ht="18.75" x14ac:dyDescent="0.25">
      <c r="A156" s="69" t="s">
        <v>62</v>
      </c>
      <c r="B156" s="56">
        <v>136</v>
      </c>
      <c r="C156" s="56">
        <v>136</v>
      </c>
      <c r="D156" s="56">
        <v>129</v>
      </c>
      <c r="E156" s="56">
        <v>136</v>
      </c>
      <c r="F156" s="56">
        <v>136</v>
      </c>
      <c r="G156" s="56">
        <v>221</v>
      </c>
      <c r="H156" s="56">
        <v>214</v>
      </c>
      <c r="I156" s="56">
        <v>152</v>
      </c>
      <c r="J156" s="56">
        <v>138</v>
      </c>
      <c r="K156" s="56">
        <v>153</v>
      </c>
      <c r="L156" s="56">
        <v>128</v>
      </c>
      <c r="M156" s="56">
        <v>138</v>
      </c>
      <c r="N156" s="56">
        <v>205</v>
      </c>
      <c r="O156" s="56">
        <v>198</v>
      </c>
      <c r="P156" s="56">
        <v>163</v>
      </c>
      <c r="Q156" s="56">
        <v>153</v>
      </c>
      <c r="R156" s="56">
        <v>160</v>
      </c>
      <c r="S156" s="56">
        <v>151</v>
      </c>
      <c r="T156" s="56">
        <v>185</v>
      </c>
      <c r="U156" s="56">
        <v>222</v>
      </c>
      <c r="V156" s="56">
        <v>214</v>
      </c>
      <c r="W156" s="56">
        <v>152</v>
      </c>
      <c r="X156" s="56">
        <v>146</v>
      </c>
      <c r="Y156" s="56">
        <v>147</v>
      </c>
      <c r="Z156" s="56">
        <v>123</v>
      </c>
      <c r="AA156" s="56">
        <v>150</v>
      </c>
      <c r="AB156" s="56">
        <v>207</v>
      </c>
      <c r="AC156" s="56">
        <v>219</v>
      </c>
      <c r="AD156" s="56">
        <v>155</v>
      </c>
      <c r="AE156" s="56">
        <v>145</v>
      </c>
      <c r="AF156" s="85"/>
      <c r="AG156" s="95">
        <f t="shared" si="28"/>
        <v>4912</v>
      </c>
      <c r="AH156" s="2" t="s">
        <v>84</v>
      </c>
    </row>
    <row r="157" spans="1:34" ht="19.5" thickBot="1" x14ac:dyDescent="0.3">
      <c r="A157" s="75" t="s">
        <v>1</v>
      </c>
      <c r="B157" s="13">
        <v>29</v>
      </c>
      <c r="C157" s="13">
        <v>14</v>
      </c>
      <c r="D157" s="13">
        <v>9</v>
      </c>
      <c r="E157" s="13">
        <v>18</v>
      </c>
      <c r="F157" s="13">
        <v>23</v>
      </c>
      <c r="G157" s="13">
        <v>11</v>
      </c>
      <c r="H157" s="13">
        <v>30</v>
      </c>
      <c r="I157" s="13">
        <v>24</v>
      </c>
      <c r="J157" s="13">
        <v>15</v>
      </c>
      <c r="K157" s="13">
        <v>15</v>
      </c>
      <c r="L157" s="13">
        <v>14</v>
      </c>
      <c r="M157" s="13">
        <v>9</v>
      </c>
      <c r="N157" s="13">
        <v>23</v>
      </c>
      <c r="O157" s="13">
        <v>16</v>
      </c>
      <c r="P157" s="13">
        <v>40</v>
      </c>
      <c r="Q157" s="13">
        <v>15</v>
      </c>
      <c r="R157" s="13">
        <v>12</v>
      </c>
      <c r="S157" s="13">
        <v>8</v>
      </c>
      <c r="T157" s="13">
        <v>6</v>
      </c>
      <c r="U157" s="13">
        <v>6</v>
      </c>
      <c r="V157" s="13">
        <v>25</v>
      </c>
      <c r="W157" s="13">
        <v>25</v>
      </c>
      <c r="X157" s="13">
        <v>13</v>
      </c>
      <c r="Y157" s="13">
        <v>12</v>
      </c>
      <c r="Z157" s="13">
        <v>21</v>
      </c>
      <c r="AA157" s="13">
        <v>19</v>
      </c>
      <c r="AB157" s="13">
        <v>27</v>
      </c>
      <c r="AC157" s="13">
        <v>14</v>
      </c>
      <c r="AD157" s="13">
        <v>21</v>
      </c>
      <c r="AE157" s="13">
        <v>12</v>
      </c>
      <c r="AF157" s="14"/>
      <c r="AG157" s="157">
        <f t="shared" si="28"/>
        <v>526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2</v>
      </c>
      <c r="D158" s="122">
        <f t="shared" si="29"/>
        <v>3</v>
      </c>
      <c r="E158" s="122">
        <f t="shared" si="29"/>
        <v>1</v>
      </c>
      <c r="F158" s="122">
        <f t="shared" si="29"/>
        <v>1</v>
      </c>
      <c r="G158" s="122">
        <f t="shared" si="29"/>
        <v>0</v>
      </c>
      <c r="H158" s="122">
        <f t="shared" si="29"/>
        <v>1</v>
      </c>
      <c r="I158" s="122">
        <f t="shared" si="29"/>
        <v>0</v>
      </c>
      <c r="J158" s="122">
        <f t="shared" si="29"/>
        <v>2</v>
      </c>
      <c r="K158" s="122">
        <f t="shared" si="29"/>
        <v>2</v>
      </c>
      <c r="L158" s="122">
        <f t="shared" si="29"/>
        <v>0</v>
      </c>
      <c r="M158" s="122">
        <f t="shared" si="29"/>
        <v>3</v>
      </c>
      <c r="N158" s="122">
        <f t="shared" si="29"/>
        <v>0</v>
      </c>
      <c r="O158" s="122">
        <f t="shared" si="29"/>
        <v>1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0</v>
      </c>
      <c r="T158" s="122">
        <f t="shared" si="29"/>
        <v>3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2</v>
      </c>
      <c r="Y158" s="122">
        <f t="shared" si="29"/>
        <v>2</v>
      </c>
      <c r="Z158" s="122">
        <f t="shared" si="29"/>
        <v>0</v>
      </c>
      <c r="AA158" s="122">
        <f t="shared" si="29"/>
        <v>2</v>
      </c>
      <c r="AB158" s="122">
        <f t="shared" si="29"/>
        <v>0</v>
      </c>
      <c r="AC158" s="122">
        <f t="shared" si="29"/>
        <v>0</v>
      </c>
      <c r="AD158" s="122">
        <f t="shared" si="29"/>
        <v>1</v>
      </c>
      <c r="AE158" s="122">
        <f t="shared" si="29"/>
        <v>5</v>
      </c>
      <c r="AF158" s="123">
        <f t="shared" si="29"/>
        <v>0</v>
      </c>
      <c r="AG158" s="124">
        <f t="shared" si="28"/>
        <v>31</v>
      </c>
    </row>
    <row r="159" spans="1:34" ht="18.75" x14ac:dyDescent="0.25">
      <c r="A159" s="129" t="s">
        <v>23</v>
      </c>
      <c r="B159" s="130"/>
      <c r="C159" s="130"/>
      <c r="D159" s="130">
        <v>1</v>
      </c>
      <c r="E159" s="130"/>
      <c r="F159" s="130"/>
      <c r="G159" s="130"/>
      <c r="H159" s="130"/>
      <c r="I159" s="130"/>
      <c r="J159" s="130"/>
      <c r="K159" s="130">
        <v>1</v>
      </c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>
        <v>1</v>
      </c>
      <c r="Y159" s="130"/>
      <c r="Z159" s="130"/>
      <c r="AA159" s="130"/>
      <c r="AB159" s="130"/>
      <c r="AC159" s="130"/>
      <c r="AD159" s="130"/>
      <c r="AE159" s="130">
        <v>1</v>
      </c>
      <c r="AF159" s="131"/>
      <c r="AG159" s="132">
        <f t="shared" si="28"/>
        <v>4</v>
      </c>
    </row>
    <row r="160" spans="1:34" ht="18.75" x14ac:dyDescent="0.25">
      <c r="A160" s="50" t="s">
        <v>24</v>
      </c>
      <c r="B160" s="29"/>
      <c r="C160" s="29">
        <v>1</v>
      </c>
      <c r="D160" s="29">
        <v>2</v>
      </c>
      <c r="E160" s="29"/>
      <c r="F160" s="29">
        <v>1</v>
      </c>
      <c r="G160" s="29"/>
      <c r="H160" s="29">
        <v>1</v>
      </c>
      <c r="I160" s="29"/>
      <c r="J160" s="29">
        <v>1</v>
      </c>
      <c r="K160" s="29"/>
      <c r="L160" s="29"/>
      <c r="M160" s="29">
        <v>1</v>
      </c>
      <c r="N160" s="29"/>
      <c r="O160" s="29">
        <v>1</v>
      </c>
      <c r="P160" s="29"/>
      <c r="Q160" s="29"/>
      <c r="R160" s="29"/>
      <c r="S160" s="29"/>
      <c r="T160" s="29"/>
      <c r="U160" s="29"/>
      <c r="V160" s="29"/>
      <c r="W160" s="29"/>
      <c r="X160" s="29">
        <v>1</v>
      </c>
      <c r="Y160" s="29">
        <v>1</v>
      </c>
      <c r="Z160" s="29"/>
      <c r="AA160" s="29">
        <v>1</v>
      </c>
      <c r="AB160" s="29"/>
      <c r="AC160" s="29"/>
      <c r="AD160" s="29"/>
      <c r="AE160" s="29">
        <v>1</v>
      </c>
      <c r="AF160" s="21"/>
      <c r="AG160" s="4">
        <f t="shared" si="28"/>
        <v>12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>
        <v>1</v>
      </c>
      <c r="AE161" s="29">
        <v>2</v>
      </c>
      <c r="AF161" s="21"/>
      <c r="AG161" s="4">
        <f t="shared" si="28"/>
        <v>3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>
        <v>1</v>
      </c>
      <c r="F162" s="29"/>
      <c r="G162" s="29"/>
      <c r="H162" s="29"/>
      <c r="I162" s="29"/>
      <c r="J162" s="29">
        <v>1</v>
      </c>
      <c r="K162" s="29"/>
      <c r="L162" s="29"/>
      <c r="M162" s="29">
        <v>1</v>
      </c>
      <c r="N162" s="29"/>
      <c r="O162" s="29"/>
      <c r="P162" s="29"/>
      <c r="Q162" s="29"/>
      <c r="R162" s="29"/>
      <c r="S162" s="29"/>
      <c r="T162" s="29">
        <v>2</v>
      </c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>
        <v>1</v>
      </c>
      <c r="AF162" s="21"/>
      <c r="AG162" s="4">
        <f t="shared" si="28"/>
        <v>7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</v>
      </c>
      <c r="N164" s="29"/>
      <c r="O164" s="29"/>
      <c r="P164" s="29"/>
      <c r="Q164" s="29"/>
      <c r="R164" s="29"/>
      <c r="S164" s="29"/>
      <c r="T164" s="29">
        <v>1</v>
      </c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2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>
        <v>1</v>
      </c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>
        <v>1</v>
      </c>
      <c r="Z165" s="29"/>
      <c r="AA165" s="29">
        <v>1</v>
      </c>
      <c r="AB165" s="29"/>
      <c r="AC165" s="29"/>
      <c r="AD165" s="29"/>
      <c r="AE165" s="29"/>
      <c r="AF165" s="21"/>
      <c r="AG165" s="4">
        <f t="shared" si="28"/>
        <v>3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1</v>
      </c>
      <c r="C167" s="56">
        <f t="shared" si="30"/>
        <v>2</v>
      </c>
      <c r="D167" s="56">
        <f t="shared" si="30"/>
        <v>0</v>
      </c>
      <c r="E167" s="56">
        <f t="shared" si="30"/>
        <v>2</v>
      </c>
      <c r="F167" s="56">
        <f t="shared" si="30"/>
        <v>0</v>
      </c>
      <c r="G167" s="56">
        <f t="shared" si="30"/>
        <v>1</v>
      </c>
      <c r="H167" s="56">
        <f t="shared" si="30"/>
        <v>1</v>
      </c>
      <c r="I167" s="56">
        <f t="shared" si="30"/>
        <v>1</v>
      </c>
      <c r="J167" s="56">
        <f t="shared" si="30"/>
        <v>0</v>
      </c>
      <c r="K167" s="56">
        <f t="shared" si="30"/>
        <v>0</v>
      </c>
      <c r="L167" s="56">
        <f t="shared" si="30"/>
        <v>1</v>
      </c>
      <c r="M167" s="56">
        <f t="shared" si="30"/>
        <v>0</v>
      </c>
      <c r="N167" s="56">
        <f t="shared" si="30"/>
        <v>0</v>
      </c>
      <c r="O167" s="56">
        <f t="shared" si="30"/>
        <v>1</v>
      </c>
      <c r="P167" s="56">
        <f t="shared" si="30"/>
        <v>0</v>
      </c>
      <c r="Q167" s="56">
        <f t="shared" si="30"/>
        <v>1</v>
      </c>
      <c r="R167" s="56">
        <f t="shared" si="30"/>
        <v>1</v>
      </c>
      <c r="S167" s="56">
        <f t="shared" si="30"/>
        <v>0</v>
      </c>
      <c r="T167" s="56">
        <f t="shared" si="30"/>
        <v>0</v>
      </c>
      <c r="U167" s="56">
        <f t="shared" si="30"/>
        <v>1</v>
      </c>
      <c r="V167" s="56">
        <f t="shared" si="30"/>
        <v>1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2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16</v>
      </c>
    </row>
    <row r="168" spans="1:34" ht="18.75" x14ac:dyDescent="0.25">
      <c r="A168" s="51" t="s">
        <v>30</v>
      </c>
      <c r="B168" s="29"/>
      <c r="C168" s="29">
        <v>2</v>
      </c>
      <c r="D168" s="29"/>
      <c r="E168" s="29">
        <v>2</v>
      </c>
      <c r="F168" s="29"/>
      <c r="G168" s="29"/>
      <c r="H168" s="29">
        <v>1</v>
      </c>
      <c r="I168" s="29">
        <v>1</v>
      </c>
      <c r="J168" s="29"/>
      <c r="K168" s="29"/>
      <c r="L168" s="29"/>
      <c r="M168" s="29"/>
      <c r="N168" s="29"/>
      <c r="O168" s="29">
        <v>1</v>
      </c>
      <c r="P168" s="29"/>
      <c r="Q168" s="29">
        <v>1</v>
      </c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8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>
        <v>1</v>
      </c>
      <c r="M169" s="29"/>
      <c r="N169" s="29"/>
      <c r="O169" s="29"/>
      <c r="P169" s="29"/>
      <c r="Q169" s="29"/>
      <c r="R169" s="29"/>
      <c r="S169" s="29"/>
      <c r="T169" s="29"/>
      <c r="U169" s="29"/>
      <c r="V169" s="29">
        <v>1</v>
      </c>
      <c r="W169" s="29"/>
      <c r="X169" s="29"/>
      <c r="Y169" s="29"/>
      <c r="Z169" s="29"/>
      <c r="AA169" s="29"/>
      <c r="AB169" s="29">
        <v>2</v>
      </c>
      <c r="AC169" s="29"/>
      <c r="AD169" s="29"/>
      <c r="AE169" s="29"/>
      <c r="AF169" s="21"/>
      <c r="AG169" s="4">
        <f t="shared" si="28"/>
        <v>4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>
        <v>1</v>
      </c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1</v>
      </c>
    </row>
    <row r="171" spans="1:34" ht="19.5" thickBot="1" x14ac:dyDescent="0.3">
      <c r="A171" s="70" t="s">
        <v>87</v>
      </c>
      <c r="B171" s="30">
        <v>1</v>
      </c>
      <c r="C171" s="30"/>
      <c r="D171" s="30"/>
      <c r="E171" s="30"/>
      <c r="F171" s="30"/>
      <c r="G171" s="30">
        <v>1</v>
      </c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>
        <v>1</v>
      </c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3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>
        <v>1</v>
      </c>
      <c r="G172" s="151"/>
      <c r="H172" s="151">
        <v>1</v>
      </c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>
        <v>1</v>
      </c>
      <c r="AB172" s="151"/>
      <c r="AC172" s="151"/>
      <c r="AD172" s="151"/>
      <c r="AE172" s="151"/>
      <c r="AF172" s="152"/>
      <c r="AG172" s="159">
        <f t="shared" si="28"/>
        <v>3</v>
      </c>
    </row>
    <row r="173" spans="1:34" ht="18.75" x14ac:dyDescent="0.25">
      <c r="A173" s="68" t="s">
        <v>2</v>
      </c>
      <c r="B173" s="15">
        <v>1</v>
      </c>
      <c r="C173" s="15">
        <v>0</v>
      </c>
      <c r="D173" s="15">
        <v>0</v>
      </c>
      <c r="E173" s="15">
        <v>1</v>
      </c>
      <c r="F173" s="15">
        <v>0</v>
      </c>
      <c r="G173" s="15">
        <v>2</v>
      </c>
      <c r="H173" s="15">
        <v>3</v>
      </c>
      <c r="I173" s="15">
        <v>0</v>
      </c>
      <c r="J173" s="15">
        <v>0</v>
      </c>
      <c r="K173" s="15">
        <v>0</v>
      </c>
      <c r="L173" s="15">
        <v>1</v>
      </c>
      <c r="M173" s="15">
        <v>0</v>
      </c>
      <c r="N173" s="15">
        <v>1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1</v>
      </c>
      <c r="U173" s="15">
        <f>1+1</f>
        <v>2</v>
      </c>
      <c r="V173" s="15">
        <v>1</v>
      </c>
      <c r="W173" s="15">
        <v>1</v>
      </c>
      <c r="X173" s="15">
        <v>0</v>
      </c>
      <c r="Y173" s="15">
        <f>1+1</f>
        <v>2</v>
      </c>
      <c r="Z173" s="15">
        <f>1+1</f>
        <v>2</v>
      </c>
      <c r="AA173" s="15">
        <v>0</v>
      </c>
      <c r="AB173" s="15">
        <v>2</v>
      </c>
      <c r="AC173" s="15">
        <v>0</v>
      </c>
      <c r="AD173" s="15">
        <v>0</v>
      </c>
      <c r="AE173" s="15">
        <v>0</v>
      </c>
      <c r="AF173" s="23"/>
      <c r="AG173" s="5">
        <f t="shared" si="28"/>
        <v>21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11</v>
      </c>
      <c r="C174" s="16">
        <f t="shared" ref="C174:AF174" si="31">SUM(C175:C176)</f>
        <v>3</v>
      </c>
      <c r="D174" s="16">
        <f t="shared" si="31"/>
        <v>7</v>
      </c>
      <c r="E174" s="16">
        <f t="shared" si="31"/>
        <v>4</v>
      </c>
      <c r="F174" s="16">
        <f t="shared" si="31"/>
        <v>8</v>
      </c>
      <c r="G174" s="16">
        <f t="shared" si="31"/>
        <v>7</v>
      </c>
      <c r="H174" s="16">
        <f t="shared" si="31"/>
        <v>13</v>
      </c>
      <c r="I174" s="16">
        <f t="shared" si="31"/>
        <v>5</v>
      </c>
      <c r="J174" s="16">
        <f t="shared" si="31"/>
        <v>3</v>
      </c>
      <c r="K174" s="16">
        <f t="shared" si="31"/>
        <v>3</v>
      </c>
      <c r="L174" s="16">
        <f t="shared" si="31"/>
        <v>6</v>
      </c>
      <c r="M174" s="16">
        <f t="shared" si="31"/>
        <v>6</v>
      </c>
      <c r="N174" s="16">
        <f t="shared" si="31"/>
        <v>10</v>
      </c>
      <c r="O174" s="16">
        <f t="shared" si="31"/>
        <v>13</v>
      </c>
      <c r="P174" s="16">
        <f t="shared" si="31"/>
        <v>3</v>
      </c>
      <c r="Q174" s="16">
        <f t="shared" si="31"/>
        <v>0</v>
      </c>
      <c r="R174" s="16">
        <f t="shared" si="31"/>
        <v>8</v>
      </c>
      <c r="S174" s="16">
        <f t="shared" si="31"/>
        <v>9</v>
      </c>
      <c r="T174" s="16">
        <f t="shared" si="31"/>
        <v>9</v>
      </c>
      <c r="U174" s="16">
        <f t="shared" si="31"/>
        <v>7</v>
      </c>
      <c r="V174" s="16">
        <f t="shared" si="31"/>
        <v>7</v>
      </c>
      <c r="W174" s="16">
        <f t="shared" si="31"/>
        <v>3</v>
      </c>
      <c r="X174" s="16">
        <f t="shared" si="31"/>
        <v>4</v>
      </c>
      <c r="Y174" s="16">
        <f t="shared" si="31"/>
        <v>3</v>
      </c>
      <c r="Z174" s="16">
        <f t="shared" si="31"/>
        <v>5</v>
      </c>
      <c r="AA174" s="16">
        <f t="shared" si="31"/>
        <v>4</v>
      </c>
      <c r="AB174" s="16">
        <f t="shared" si="31"/>
        <v>9</v>
      </c>
      <c r="AC174" s="16">
        <f t="shared" si="31"/>
        <v>7</v>
      </c>
      <c r="AD174" s="16">
        <f t="shared" si="31"/>
        <v>7</v>
      </c>
      <c r="AE174" s="16">
        <f t="shared" si="31"/>
        <v>6</v>
      </c>
      <c r="AF174" s="24">
        <f t="shared" si="31"/>
        <v>0</v>
      </c>
      <c r="AG174" s="6">
        <f t="shared" si="28"/>
        <v>190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1</v>
      </c>
      <c r="G175" s="15">
        <v>1</v>
      </c>
      <c r="H175" s="15">
        <v>3</v>
      </c>
      <c r="I175" s="15">
        <v>0</v>
      </c>
      <c r="J175" s="15">
        <v>0</v>
      </c>
      <c r="K175" s="15">
        <v>0</v>
      </c>
      <c r="L175" s="15">
        <v>2</v>
      </c>
      <c r="M175" s="15">
        <v>1</v>
      </c>
      <c r="N175" s="15">
        <v>1</v>
      </c>
      <c r="O175" s="15">
        <v>0</v>
      </c>
      <c r="P175" s="15">
        <v>1</v>
      </c>
      <c r="Q175" s="15">
        <v>0</v>
      </c>
      <c r="R175" s="15">
        <v>1</v>
      </c>
      <c r="S175" s="15">
        <v>0</v>
      </c>
      <c r="T175" s="15">
        <v>2</v>
      </c>
      <c r="U175" s="15">
        <v>1</v>
      </c>
      <c r="V175" s="15">
        <v>0</v>
      </c>
      <c r="W175" s="15">
        <v>2</v>
      </c>
      <c r="X175" s="15">
        <v>2</v>
      </c>
      <c r="Y175" s="15">
        <v>1</v>
      </c>
      <c r="Z175" s="15">
        <v>0</v>
      </c>
      <c r="AA175" s="15">
        <v>2</v>
      </c>
      <c r="AB175" s="15">
        <v>0</v>
      </c>
      <c r="AC175" s="15">
        <v>2</v>
      </c>
      <c r="AD175" s="15">
        <v>0</v>
      </c>
      <c r="AE175" s="15">
        <v>0</v>
      </c>
      <c r="AF175" s="23"/>
      <c r="AG175" s="5">
        <f t="shared" si="28"/>
        <v>23</v>
      </c>
      <c r="AH175" s="2" t="s">
        <v>138</v>
      </c>
    </row>
    <row r="176" spans="1:34" ht="19.5" thickBot="1" x14ac:dyDescent="0.3">
      <c r="A176" s="104" t="s">
        <v>119</v>
      </c>
      <c r="B176" s="101">
        <v>11</v>
      </c>
      <c r="C176" s="101">
        <v>3</v>
      </c>
      <c r="D176" s="101">
        <v>7</v>
      </c>
      <c r="E176" s="101">
        <v>4</v>
      </c>
      <c r="F176" s="101">
        <v>7</v>
      </c>
      <c r="G176" s="101">
        <v>6</v>
      </c>
      <c r="H176" s="101">
        <v>10</v>
      </c>
      <c r="I176" s="101">
        <v>5</v>
      </c>
      <c r="J176" s="101">
        <v>3</v>
      </c>
      <c r="K176" s="101">
        <v>3</v>
      </c>
      <c r="L176" s="101">
        <v>4</v>
      </c>
      <c r="M176" s="101">
        <v>5</v>
      </c>
      <c r="N176" s="101">
        <v>9</v>
      </c>
      <c r="O176" s="101">
        <v>13</v>
      </c>
      <c r="P176" s="101">
        <v>2</v>
      </c>
      <c r="Q176" s="101">
        <v>0</v>
      </c>
      <c r="R176" s="101">
        <v>7</v>
      </c>
      <c r="S176" s="101">
        <v>9</v>
      </c>
      <c r="T176" s="101">
        <v>7</v>
      </c>
      <c r="U176" s="101">
        <v>6</v>
      </c>
      <c r="V176" s="101">
        <v>7</v>
      </c>
      <c r="W176" s="101">
        <v>1</v>
      </c>
      <c r="X176" s="101">
        <v>2</v>
      </c>
      <c r="Y176" s="101">
        <v>2</v>
      </c>
      <c r="Z176" s="101">
        <v>5</v>
      </c>
      <c r="AA176" s="101">
        <v>2</v>
      </c>
      <c r="AB176" s="101">
        <v>9</v>
      </c>
      <c r="AC176" s="101">
        <v>5</v>
      </c>
      <c r="AD176" s="101">
        <v>7</v>
      </c>
      <c r="AE176" s="101">
        <v>6</v>
      </c>
      <c r="AF176" s="102"/>
      <c r="AG176" s="103">
        <f t="shared" si="28"/>
        <v>167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12</v>
      </c>
      <c r="C179" s="220">
        <f t="shared" si="32"/>
        <v>14</v>
      </c>
      <c r="D179" s="220">
        <f t="shared" si="32"/>
        <v>9</v>
      </c>
      <c r="E179" s="220">
        <f t="shared" si="32"/>
        <v>13</v>
      </c>
      <c r="F179" s="220">
        <f t="shared" si="32"/>
        <v>18</v>
      </c>
      <c r="G179" s="220">
        <f t="shared" si="32"/>
        <v>21</v>
      </c>
      <c r="H179" s="220">
        <f t="shared" si="32"/>
        <v>6</v>
      </c>
      <c r="I179" s="220">
        <f t="shared" si="32"/>
        <v>14</v>
      </c>
      <c r="J179" s="220">
        <f t="shared" si="32"/>
        <v>8</v>
      </c>
      <c r="K179" s="220">
        <f t="shared" si="32"/>
        <v>20</v>
      </c>
      <c r="L179" s="220">
        <f t="shared" si="32"/>
        <v>4</v>
      </c>
      <c r="M179" s="220">
        <f t="shared" si="32"/>
        <v>19</v>
      </c>
      <c r="N179" s="220">
        <f t="shared" si="32"/>
        <v>24</v>
      </c>
      <c r="O179" s="220">
        <f t="shared" si="32"/>
        <v>18</v>
      </c>
      <c r="P179" s="220">
        <f t="shared" si="32"/>
        <v>13</v>
      </c>
      <c r="Q179" s="220">
        <f t="shared" si="32"/>
        <v>7</v>
      </c>
      <c r="R179" s="220">
        <f t="shared" si="32"/>
        <v>16</v>
      </c>
      <c r="S179" s="220">
        <f t="shared" si="32"/>
        <v>12</v>
      </c>
      <c r="T179" s="220">
        <f t="shared" si="32"/>
        <v>12</v>
      </c>
      <c r="U179" s="220">
        <f t="shared" si="32"/>
        <v>12</v>
      </c>
      <c r="V179" s="220">
        <f t="shared" si="32"/>
        <v>22</v>
      </c>
      <c r="W179" s="220">
        <f t="shared" si="32"/>
        <v>13</v>
      </c>
      <c r="X179" s="220">
        <f t="shared" si="32"/>
        <v>12</v>
      </c>
      <c r="Y179" s="220">
        <f t="shared" si="32"/>
        <v>9</v>
      </c>
      <c r="Z179" s="220">
        <f t="shared" si="32"/>
        <v>6</v>
      </c>
      <c r="AA179" s="220">
        <f t="shared" si="32"/>
        <v>11</v>
      </c>
      <c r="AB179" s="220">
        <f t="shared" si="32"/>
        <v>18</v>
      </c>
      <c r="AC179" s="220">
        <f t="shared" si="32"/>
        <v>5</v>
      </c>
      <c r="AD179" s="220">
        <f t="shared" si="32"/>
        <v>17</v>
      </c>
      <c r="AE179" s="220">
        <f t="shared" si="32"/>
        <v>23</v>
      </c>
      <c r="AF179" s="221">
        <f t="shared" si="32"/>
        <v>0</v>
      </c>
      <c r="AG179" s="156">
        <f t="shared" si="28"/>
        <v>408</v>
      </c>
      <c r="AH179" s="38"/>
    </row>
    <row r="180" spans="1:34" ht="18.75" x14ac:dyDescent="0.25">
      <c r="A180" s="109" t="s">
        <v>4</v>
      </c>
      <c r="B180" s="216">
        <v>3</v>
      </c>
      <c r="C180" s="216">
        <v>2</v>
      </c>
      <c r="D180" s="216"/>
      <c r="E180" s="216">
        <v>2</v>
      </c>
      <c r="F180" s="216">
        <v>2</v>
      </c>
      <c r="G180" s="216">
        <v>4</v>
      </c>
      <c r="H180" s="216">
        <v>5</v>
      </c>
      <c r="I180" s="216">
        <v>6</v>
      </c>
      <c r="J180" s="216">
        <v>5</v>
      </c>
      <c r="K180" s="216">
        <v>9</v>
      </c>
      <c r="L180" s="216">
        <v>2</v>
      </c>
      <c r="M180" s="216">
        <v>3</v>
      </c>
      <c r="N180" s="217">
        <v>5</v>
      </c>
      <c r="O180" s="217">
        <v>7</v>
      </c>
      <c r="P180" s="217">
        <v>6</v>
      </c>
      <c r="Q180" s="217"/>
      <c r="R180" s="217">
        <v>11</v>
      </c>
      <c r="S180" s="217">
        <v>7</v>
      </c>
      <c r="T180" s="217">
        <v>1</v>
      </c>
      <c r="U180" s="217">
        <v>4</v>
      </c>
      <c r="V180" s="217">
        <v>6</v>
      </c>
      <c r="W180" s="217">
        <v>5</v>
      </c>
      <c r="X180" s="217">
        <v>4</v>
      </c>
      <c r="Y180" s="217">
        <v>2</v>
      </c>
      <c r="Z180" s="217">
        <v>2</v>
      </c>
      <c r="AA180" s="217">
        <v>6</v>
      </c>
      <c r="AB180" s="217">
        <v>5</v>
      </c>
      <c r="AC180" s="217">
        <v>1</v>
      </c>
      <c r="AD180" s="217">
        <v>1</v>
      </c>
      <c r="AE180" s="217">
        <v>11</v>
      </c>
      <c r="AF180" s="218"/>
      <c r="AG180" s="31">
        <f t="shared" si="28"/>
        <v>127</v>
      </c>
    </row>
    <row r="181" spans="1:34" ht="18.75" x14ac:dyDescent="0.25">
      <c r="A181" s="109" t="s">
        <v>122</v>
      </c>
      <c r="B181" s="147"/>
      <c r="C181" s="147">
        <v>1</v>
      </c>
      <c r="D181" s="147"/>
      <c r="E181" s="147">
        <v>1</v>
      </c>
      <c r="F181" s="147">
        <v>2</v>
      </c>
      <c r="G181" s="147"/>
      <c r="H181" s="147"/>
      <c r="I181" s="147"/>
      <c r="J181" s="147"/>
      <c r="K181" s="147"/>
      <c r="L181" s="147"/>
      <c r="M181" s="147"/>
      <c r="N181" s="17">
        <v>1</v>
      </c>
      <c r="O181" s="17"/>
      <c r="P181" s="17"/>
      <c r="Q181" s="17"/>
      <c r="R181" s="17"/>
      <c r="S181" s="17"/>
      <c r="T181" s="17"/>
      <c r="U181" s="17"/>
      <c r="V181" s="17"/>
      <c r="W181" s="17"/>
      <c r="X181" s="17">
        <v>1</v>
      </c>
      <c r="Y181" s="17"/>
      <c r="Z181" s="17"/>
      <c r="AA181" s="17"/>
      <c r="AB181" s="17"/>
      <c r="AC181" s="17"/>
      <c r="AD181" s="17">
        <v>1</v>
      </c>
      <c r="AE181" s="17"/>
      <c r="AF181" s="18"/>
      <c r="AG181" s="4">
        <f t="shared" si="28"/>
        <v>7</v>
      </c>
    </row>
    <row r="182" spans="1:34" ht="18.75" x14ac:dyDescent="0.25">
      <c r="A182" s="109" t="s">
        <v>123</v>
      </c>
      <c r="B182" s="147">
        <v>5</v>
      </c>
      <c r="C182" s="147">
        <v>8</v>
      </c>
      <c r="D182" s="147">
        <v>6</v>
      </c>
      <c r="E182" s="147">
        <v>6</v>
      </c>
      <c r="F182" s="147">
        <v>8</v>
      </c>
      <c r="G182" s="147">
        <v>2</v>
      </c>
      <c r="H182" s="147"/>
      <c r="I182" s="147">
        <v>5</v>
      </c>
      <c r="J182" s="147">
        <v>3</v>
      </c>
      <c r="K182" s="147">
        <v>5</v>
      </c>
      <c r="L182" s="147">
        <v>1</v>
      </c>
      <c r="M182" s="147">
        <v>9</v>
      </c>
      <c r="N182" s="17">
        <v>9</v>
      </c>
      <c r="O182" s="17">
        <v>10</v>
      </c>
      <c r="P182" s="17">
        <v>7</v>
      </c>
      <c r="Q182" s="17">
        <v>2</v>
      </c>
      <c r="R182" s="17">
        <v>2</v>
      </c>
      <c r="S182" s="17"/>
      <c r="T182" s="17">
        <v>5</v>
      </c>
      <c r="U182" s="17">
        <v>4</v>
      </c>
      <c r="V182" s="17">
        <v>11</v>
      </c>
      <c r="W182" s="17">
        <v>6</v>
      </c>
      <c r="X182" s="17">
        <v>4</v>
      </c>
      <c r="Y182" s="17">
        <v>1</v>
      </c>
      <c r="Z182" s="17">
        <v>2</v>
      </c>
      <c r="AA182" s="17">
        <v>4</v>
      </c>
      <c r="AB182" s="17">
        <v>7</v>
      </c>
      <c r="AC182" s="17">
        <v>2</v>
      </c>
      <c r="AD182" s="17">
        <v>3</v>
      </c>
      <c r="AE182" s="17">
        <v>9</v>
      </c>
      <c r="AF182" s="18"/>
      <c r="AG182" s="4">
        <f t="shared" si="28"/>
        <v>146</v>
      </c>
    </row>
    <row r="183" spans="1:34" ht="18.75" x14ac:dyDescent="0.25">
      <c r="A183" s="248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>
        <v>1</v>
      </c>
      <c r="AC183" s="17"/>
      <c r="AD183" s="17"/>
      <c r="AE183" s="17"/>
      <c r="AF183" s="18"/>
      <c r="AG183" s="4">
        <f t="shared" si="28"/>
        <v>1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>
        <v>1</v>
      </c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1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>
        <v>1</v>
      </c>
      <c r="L186" s="147"/>
      <c r="M186" s="147"/>
      <c r="N186" s="17"/>
      <c r="O186" s="17"/>
      <c r="P186" s="17"/>
      <c r="Q186" s="17"/>
      <c r="R186" s="17"/>
      <c r="S186" s="17"/>
      <c r="T186" s="17"/>
      <c r="U186" s="17">
        <v>1</v>
      </c>
      <c r="V186" s="17"/>
      <c r="W186" s="17"/>
      <c r="X186" s="17"/>
      <c r="Y186" s="17"/>
      <c r="Z186" s="17"/>
      <c r="AA186" s="17"/>
      <c r="AB186" s="17"/>
      <c r="AC186" s="17"/>
      <c r="AD186" s="17">
        <v>1</v>
      </c>
      <c r="AE186" s="17">
        <v>1</v>
      </c>
      <c r="AF186" s="18"/>
      <c r="AG186" s="4">
        <f t="shared" si="28"/>
        <v>4</v>
      </c>
    </row>
    <row r="187" spans="1:34" ht="18.75" x14ac:dyDescent="0.25">
      <c r="A187" s="109" t="s">
        <v>139</v>
      </c>
      <c r="B187" s="147"/>
      <c r="C187" s="147"/>
      <c r="D187" s="147"/>
      <c r="E187" s="147">
        <v>3</v>
      </c>
      <c r="F187" s="147"/>
      <c r="G187" s="147">
        <v>8</v>
      </c>
      <c r="H187" s="147"/>
      <c r="I187" s="147">
        <v>1</v>
      </c>
      <c r="J187" s="147"/>
      <c r="K187" s="147"/>
      <c r="L187" s="147"/>
      <c r="M187" s="147"/>
      <c r="N187" s="17">
        <v>7</v>
      </c>
      <c r="O187" s="17"/>
      <c r="P187" s="17"/>
      <c r="Q187" s="17">
        <v>1</v>
      </c>
      <c r="R187" s="17"/>
      <c r="S187" s="17"/>
      <c r="T187" s="17">
        <v>2</v>
      </c>
      <c r="U187" s="17"/>
      <c r="V187" s="17"/>
      <c r="W187" s="17"/>
      <c r="X187" s="17"/>
      <c r="Y187" s="17"/>
      <c r="Z187" s="17"/>
      <c r="AA187" s="17"/>
      <c r="AB187" s="17">
        <v>1</v>
      </c>
      <c r="AC187" s="17"/>
      <c r="AD187" s="17">
        <v>4</v>
      </c>
      <c r="AE187" s="17"/>
      <c r="AF187" s="18"/>
      <c r="AG187" s="4">
        <f t="shared" si="28"/>
        <v>27</v>
      </c>
    </row>
    <row r="188" spans="1:34" ht="18.75" x14ac:dyDescent="0.25">
      <c r="A188" s="110" t="s">
        <v>63</v>
      </c>
      <c r="B188" s="147">
        <v>2</v>
      </c>
      <c r="C188" s="147"/>
      <c r="D188" s="147">
        <v>1</v>
      </c>
      <c r="E188" s="147"/>
      <c r="F188" s="147"/>
      <c r="G188" s="147"/>
      <c r="H188" s="147"/>
      <c r="I188" s="147">
        <v>1</v>
      </c>
      <c r="J188" s="147"/>
      <c r="K188" s="147">
        <v>3</v>
      </c>
      <c r="L188" s="147"/>
      <c r="M188" s="147">
        <v>1</v>
      </c>
      <c r="N188" s="17"/>
      <c r="O188" s="17"/>
      <c r="P188" s="17"/>
      <c r="Q188" s="17">
        <v>2</v>
      </c>
      <c r="R188" s="17"/>
      <c r="S188" s="17">
        <v>2</v>
      </c>
      <c r="T188" s="17"/>
      <c r="U188" s="17"/>
      <c r="V188" s="17"/>
      <c r="W188" s="17">
        <v>2</v>
      </c>
      <c r="X188" s="17"/>
      <c r="Y188" s="17"/>
      <c r="Z188" s="17">
        <v>1</v>
      </c>
      <c r="AA188" s="17">
        <v>1</v>
      </c>
      <c r="AB188" s="17">
        <v>1</v>
      </c>
      <c r="AC188" s="17"/>
      <c r="AD188" s="17">
        <v>2</v>
      </c>
      <c r="AE188" s="17">
        <v>1</v>
      </c>
      <c r="AF188" s="18"/>
      <c r="AG188" s="4">
        <f t="shared" si="28"/>
        <v>20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/>
      <c r="C192" s="244"/>
      <c r="D192" s="244">
        <v>1</v>
      </c>
      <c r="E192" s="244">
        <v>1</v>
      </c>
      <c r="F192" s="244">
        <v>4</v>
      </c>
      <c r="G192" s="244">
        <v>4</v>
      </c>
      <c r="H192" s="244">
        <v>1</v>
      </c>
      <c r="I192" s="244">
        <v>1</v>
      </c>
      <c r="J192" s="244"/>
      <c r="K192" s="244">
        <v>2</v>
      </c>
      <c r="L192" s="244"/>
      <c r="M192" s="244">
        <v>3</v>
      </c>
      <c r="N192" s="245">
        <v>1</v>
      </c>
      <c r="O192" s="245"/>
      <c r="P192" s="245"/>
      <c r="Q192" s="245"/>
      <c r="R192" s="245">
        <v>1</v>
      </c>
      <c r="S192" s="245">
        <v>1</v>
      </c>
      <c r="T192" s="245"/>
      <c r="U192" s="245">
        <v>1</v>
      </c>
      <c r="V192" s="245">
        <v>2</v>
      </c>
      <c r="W192" s="245"/>
      <c r="X192" s="245"/>
      <c r="Y192" s="245">
        <v>1</v>
      </c>
      <c r="Z192" s="245"/>
      <c r="AA192" s="245"/>
      <c r="AB192" s="245"/>
      <c r="AC192" s="245">
        <v>1</v>
      </c>
      <c r="AD192" s="245">
        <v>1</v>
      </c>
      <c r="AE192" s="245"/>
      <c r="AF192" s="246"/>
      <c r="AG192" s="247">
        <f t="shared" ref="AG192" si="33">SUM(B192:AF192)</f>
        <v>26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>
        <v>1</v>
      </c>
      <c r="AE194" s="17"/>
      <c r="AF194" s="18"/>
      <c r="AG194" s="4">
        <f t="shared" si="28"/>
        <v>1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>
        <v>1</v>
      </c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1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>
        <v>1</v>
      </c>
      <c r="N196" s="17"/>
      <c r="O196" s="17"/>
      <c r="P196" s="17"/>
      <c r="Q196" s="17">
        <v>1</v>
      </c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2</v>
      </c>
    </row>
    <row r="197" spans="1:34" ht="18.75" x14ac:dyDescent="0.25">
      <c r="A197" s="111" t="s">
        <v>143</v>
      </c>
      <c r="B197" s="147"/>
      <c r="C197" s="147"/>
      <c r="D197" s="147"/>
      <c r="E197" s="147"/>
      <c r="F197" s="147">
        <v>1</v>
      </c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1</v>
      </c>
    </row>
    <row r="198" spans="1:34" ht="18.75" x14ac:dyDescent="0.25">
      <c r="A198" s="110" t="s">
        <v>124</v>
      </c>
      <c r="B198" s="147"/>
      <c r="C198" s="147">
        <v>3</v>
      </c>
      <c r="D198" s="147"/>
      <c r="E198" s="147"/>
      <c r="F198" s="147"/>
      <c r="G198" s="147"/>
      <c r="H198" s="147"/>
      <c r="I198" s="147"/>
      <c r="J198" s="147"/>
      <c r="K198" s="147"/>
      <c r="L198" s="147"/>
      <c r="M198" s="147">
        <v>1</v>
      </c>
      <c r="N198" s="17"/>
      <c r="O198" s="17"/>
      <c r="P198" s="17"/>
      <c r="Q198" s="17"/>
      <c r="R198" s="17"/>
      <c r="S198" s="17"/>
      <c r="T198" s="17">
        <v>3</v>
      </c>
      <c r="U198" s="17">
        <v>1</v>
      </c>
      <c r="V198" s="17">
        <v>2</v>
      </c>
      <c r="W198" s="17"/>
      <c r="X198" s="17">
        <v>2</v>
      </c>
      <c r="Y198" s="17">
        <v>5</v>
      </c>
      <c r="Z198" s="17">
        <v>1</v>
      </c>
      <c r="AA198" s="17"/>
      <c r="AB198" s="17">
        <v>1</v>
      </c>
      <c r="AC198" s="17"/>
      <c r="AD198" s="17">
        <v>2</v>
      </c>
      <c r="AE198" s="17"/>
      <c r="AF198" s="18"/>
      <c r="AG198" s="4">
        <f t="shared" si="28"/>
        <v>21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>
        <v>1</v>
      </c>
      <c r="S200" s="17">
        <v>1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>
        <v>1</v>
      </c>
      <c r="AD200" s="17"/>
      <c r="AE200" s="17">
        <v>1</v>
      </c>
      <c r="AF200" s="18"/>
      <c r="AG200" s="4">
        <f t="shared" si="28"/>
        <v>4</v>
      </c>
    </row>
    <row r="201" spans="1:34" ht="18.75" x14ac:dyDescent="0.25">
      <c r="A201" s="110" t="s">
        <v>126</v>
      </c>
      <c r="B201" s="202">
        <v>1</v>
      </c>
      <c r="C201" s="202"/>
      <c r="D201" s="202"/>
      <c r="E201" s="202"/>
      <c r="F201" s="202">
        <v>1</v>
      </c>
      <c r="G201" s="202">
        <v>1</v>
      </c>
      <c r="H201" s="202"/>
      <c r="I201" s="202"/>
      <c r="J201" s="202"/>
      <c r="K201" s="202"/>
      <c r="L201" s="202"/>
      <c r="M201" s="202"/>
      <c r="N201" s="203">
        <v>1</v>
      </c>
      <c r="O201" s="203">
        <v>1</v>
      </c>
      <c r="P201" s="203"/>
      <c r="Q201" s="203">
        <v>1</v>
      </c>
      <c r="R201" s="203"/>
      <c r="S201" s="203">
        <v>1</v>
      </c>
      <c r="T201" s="203">
        <v>1</v>
      </c>
      <c r="U201" s="203">
        <v>1</v>
      </c>
      <c r="V201" s="203">
        <v>1</v>
      </c>
      <c r="W201" s="203"/>
      <c r="X201" s="203"/>
      <c r="Y201" s="203"/>
      <c r="Z201" s="203"/>
      <c r="AA201" s="203"/>
      <c r="AB201" s="203">
        <v>2</v>
      </c>
      <c r="AC201" s="203"/>
      <c r="AD201" s="203">
        <v>1</v>
      </c>
      <c r="AE201" s="203"/>
      <c r="AF201" s="204"/>
      <c r="AG201" s="4">
        <f t="shared" si="28"/>
        <v>13</v>
      </c>
    </row>
    <row r="202" spans="1:34" ht="18.75" x14ac:dyDescent="0.25">
      <c r="A202" s="112" t="s">
        <v>170</v>
      </c>
      <c r="B202" s="202">
        <v>1</v>
      </c>
      <c r="C202" s="202"/>
      <c r="D202" s="202"/>
      <c r="E202" s="202"/>
      <c r="F202" s="202"/>
      <c r="G202" s="202">
        <v>1</v>
      </c>
      <c r="H202" s="202"/>
      <c r="I202" s="202"/>
      <c r="J202" s="202"/>
      <c r="K202" s="202"/>
      <c r="L202" s="202">
        <v>1</v>
      </c>
      <c r="M202" s="202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>
        <v>1</v>
      </c>
      <c r="Y202" s="203"/>
      <c r="Z202" s="203"/>
      <c r="AA202" s="203"/>
      <c r="AB202" s="203"/>
      <c r="AC202" s="203"/>
      <c r="AD202" s="203"/>
      <c r="AE202" s="203"/>
      <c r="AF202" s="204"/>
      <c r="AG202" s="4">
        <f t="shared" si="28"/>
        <v>4</v>
      </c>
    </row>
    <row r="203" spans="1:34" ht="19.5" thickBot="1" x14ac:dyDescent="0.3">
      <c r="A203" s="235" t="s">
        <v>166</v>
      </c>
      <c r="B203" s="202"/>
      <c r="C203" s="202"/>
      <c r="D203" s="202">
        <v>1</v>
      </c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>
        <v>1</v>
      </c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2</v>
      </c>
    </row>
    <row r="204" spans="1:34" ht="19.5" thickBot="1" x14ac:dyDescent="0.3">
      <c r="A204" s="215" t="s">
        <v>83</v>
      </c>
      <c r="B204" s="209">
        <f>SUM(B205:B209)</f>
        <v>182</v>
      </c>
      <c r="C204" s="210">
        <f t="shared" ref="C204:AF204" si="34">SUM(C205:C209)</f>
        <v>193</v>
      </c>
      <c r="D204" s="210">
        <f t="shared" si="34"/>
        <v>176</v>
      </c>
      <c r="E204" s="210">
        <f t="shared" si="34"/>
        <v>146</v>
      </c>
      <c r="F204" s="210">
        <f t="shared" si="34"/>
        <v>137</v>
      </c>
      <c r="G204" s="210">
        <f t="shared" si="34"/>
        <v>222</v>
      </c>
      <c r="H204" s="210">
        <f t="shared" si="34"/>
        <v>216</v>
      </c>
      <c r="I204" s="210">
        <f t="shared" si="34"/>
        <v>153</v>
      </c>
      <c r="J204" s="210">
        <f t="shared" si="34"/>
        <v>142</v>
      </c>
      <c r="K204" s="210">
        <f t="shared" si="34"/>
        <v>156</v>
      </c>
      <c r="L204" s="210">
        <f t="shared" si="34"/>
        <v>129</v>
      </c>
      <c r="M204" s="210">
        <f t="shared" si="34"/>
        <v>141</v>
      </c>
      <c r="N204" s="211">
        <f t="shared" si="34"/>
        <v>205</v>
      </c>
      <c r="O204" s="211">
        <f t="shared" si="34"/>
        <v>200</v>
      </c>
      <c r="P204" s="211">
        <f t="shared" si="34"/>
        <v>163</v>
      </c>
      <c r="Q204" s="211">
        <f t="shared" si="34"/>
        <v>154</v>
      </c>
      <c r="R204" s="211">
        <f t="shared" si="34"/>
        <v>162</v>
      </c>
      <c r="S204" s="211">
        <f t="shared" si="34"/>
        <v>152</v>
      </c>
      <c r="T204" s="211">
        <f t="shared" si="34"/>
        <v>188</v>
      </c>
      <c r="U204" s="211">
        <f t="shared" si="34"/>
        <v>223</v>
      </c>
      <c r="V204" s="211">
        <f t="shared" si="34"/>
        <v>215</v>
      </c>
      <c r="W204" s="211">
        <f t="shared" si="34"/>
        <v>152</v>
      </c>
      <c r="X204" s="211">
        <f t="shared" si="34"/>
        <v>148</v>
      </c>
      <c r="Y204" s="211">
        <f t="shared" si="34"/>
        <v>149</v>
      </c>
      <c r="Z204" s="211">
        <f t="shared" si="34"/>
        <v>123</v>
      </c>
      <c r="AA204" s="211">
        <f t="shared" si="34"/>
        <v>152</v>
      </c>
      <c r="AB204" s="211">
        <f t="shared" si="34"/>
        <v>210</v>
      </c>
      <c r="AC204" s="211">
        <f t="shared" si="34"/>
        <v>219</v>
      </c>
      <c r="AD204" s="211">
        <f t="shared" si="34"/>
        <v>156</v>
      </c>
      <c r="AE204" s="211">
        <f t="shared" si="34"/>
        <v>150</v>
      </c>
      <c r="AF204" s="212">
        <f t="shared" si="34"/>
        <v>0</v>
      </c>
      <c r="AG204" s="213">
        <f t="shared" si="28"/>
        <v>5114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>
        <v>1</v>
      </c>
      <c r="G205" s="205"/>
      <c r="H205" s="205"/>
      <c r="I205" s="205"/>
      <c r="J205" s="205"/>
      <c r="K205" s="205"/>
      <c r="L205" s="205"/>
      <c r="M205" s="205"/>
      <c r="N205" s="206">
        <v>1</v>
      </c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/>
      <c r="AG205" s="208">
        <f t="shared" si="28"/>
        <v>2</v>
      </c>
    </row>
    <row r="206" spans="1:34" ht="18.75" x14ac:dyDescent="0.25">
      <c r="A206" s="52" t="s">
        <v>73</v>
      </c>
      <c r="B206" s="148">
        <v>2</v>
      </c>
      <c r="C206" s="148"/>
      <c r="D206" s="148"/>
      <c r="E206" s="148">
        <v>1</v>
      </c>
      <c r="F206" s="148"/>
      <c r="G206" s="148">
        <v>2</v>
      </c>
      <c r="H206" s="148"/>
      <c r="I206" s="148">
        <v>1</v>
      </c>
      <c r="J206" s="148">
        <v>2</v>
      </c>
      <c r="K206" s="148"/>
      <c r="L206" s="148"/>
      <c r="M206" s="148">
        <v>3</v>
      </c>
      <c r="N206" s="33"/>
      <c r="O206" s="33">
        <v>5</v>
      </c>
      <c r="P206" s="33">
        <v>1</v>
      </c>
      <c r="Q206" s="33"/>
      <c r="R206" s="33">
        <v>1</v>
      </c>
      <c r="S206" s="33">
        <v>2</v>
      </c>
      <c r="T206" s="33"/>
      <c r="U206" s="33"/>
      <c r="V206" s="33">
        <v>6</v>
      </c>
      <c r="W206" s="33"/>
      <c r="X206" s="33">
        <v>1</v>
      </c>
      <c r="Y206" s="33">
        <v>1</v>
      </c>
      <c r="Z206" s="33">
        <v>3</v>
      </c>
      <c r="AA206" s="33">
        <v>1</v>
      </c>
      <c r="AB206" s="33">
        <v>2</v>
      </c>
      <c r="AC206" s="33">
        <v>3</v>
      </c>
      <c r="AD206" s="33">
        <v>2</v>
      </c>
      <c r="AE206" s="33"/>
      <c r="AF206" s="88"/>
      <c r="AG206" s="97">
        <f t="shared" si="28"/>
        <v>39</v>
      </c>
    </row>
    <row r="207" spans="1:34" ht="18.75" x14ac:dyDescent="0.25">
      <c r="A207" s="52" t="s">
        <v>74</v>
      </c>
      <c r="B207" s="148">
        <v>13</v>
      </c>
      <c r="C207" s="148">
        <v>22</v>
      </c>
      <c r="D207" s="148">
        <v>12</v>
      </c>
      <c r="E207" s="148">
        <v>27</v>
      </c>
      <c r="F207" s="148">
        <v>17</v>
      </c>
      <c r="G207" s="148">
        <v>13</v>
      </c>
      <c r="H207" s="148">
        <v>26</v>
      </c>
      <c r="I207" s="148">
        <v>13</v>
      </c>
      <c r="J207" s="148">
        <v>20</v>
      </c>
      <c r="K207" s="148">
        <v>30</v>
      </c>
      <c r="L207" s="148">
        <v>17</v>
      </c>
      <c r="M207" s="148">
        <v>16</v>
      </c>
      <c r="N207" s="33">
        <v>16</v>
      </c>
      <c r="O207" s="33">
        <v>18</v>
      </c>
      <c r="P207" s="33">
        <v>17</v>
      </c>
      <c r="Q207" s="33">
        <v>17</v>
      </c>
      <c r="R207" s="33">
        <v>19</v>
      </c>
      <c r="S207" s="33">
        <v>15</v>
      </c>
      <c r="T207" s="33">
        <v>6</v>
      </c>
      <c r="U207" s="33">
        <v>14</v>
      </c>
      <c r="V207" s="33">
        <v>18</v>
      </c>
      <c r="W207" s="33">
        <v>15</v>
      </c>
      <c r="X207" s="33">
        <v>12</v>
      </c>
      <c r="Y207" s="33">
        <v>21</v>
      </c>
      <c r="Z207" s="33">
        <v>17</v>
      </c>
      <c r="AA207" s="33">
        <v>23</v>
      </c>
      <c r="AB207" s="33">
        <v>22</v>
      </c>
      <c r="AC207" s="33">
        <v>22</v>
      </c>
      <c r="AD207" s="33">
        <v>7</v>
      </c>
      <c r="AE207" s="33">
        <v>22</v>
      </c>
      <c r="AF207" s="88"/>
      <c r="AG207" s="97">
        <f t="shared" si="28"/>
        <v>527</v>
      </c>
    </row>
    <row r="208" spans="1:34" ht="18.75" x14ac:dyDescent="0.25">
      <c r="A208" s="52" t="s">
        <v>75</v>
      </c>
      <c r="B208" s="148">
        <v>141</v>
      </c>
      <c r="C208" s="148">
        <v>156</v>
      </c>
      <c r="D208" s="148">
        <v>147</v>
      </c>
      <c r="E208" s="148">
        <v>105</v>
      </c>
      <c r="F208" s="148">
        <v>101</v>
      </c>
      <c r="G208" s="148">
        <v>161</v>
      </c>
      <c r="H208" s="148">
        <v>163</v>
      </c>
      <c r="I208" s="148">
        <v>124</v>
      </c>
      <c r="J208" s="148">
        <v>116</v>
      </c>
      <c r="K208" s="148">
        <v>111</v>
      </c>
      <c r="L208" s="148">
        <v>95</v>
      </c>
      <c r="M208" s="148">
        <v>91</v>
      </c>
      <c r="N208" s="33">
        <v>151</v>
      </c>
      <c r="O208" s="33">
        <v>135</v>
      </c>
      <c r="P208" s="33">
        <v>130</v>
      </c>
      <c r="Q208" s="33">
        <v>124</v>
      </c>
      <c r="R208" s="33">
        <v>134</v>
      </c>
      <c r="S208" s="33">
        <v>121</v>
      </c>
      <c r="T208" s="33">
        <v>96</v>
      </c>
      <c r="U208" s="33">
        <v>141</v>
      </c>
      <c r="V208" s="33">
        <v>151</v>
      </c>
      <c r="W208" s="33">
        <v>114</v>
      </c>
      <c r="X208" s="33">
        <v>118</v>
      </c>
      <c r="Y208" s="33">
        <v>110</v>
      </c>
      <c r="Z208" s="33">
        <v>84</v>
      </c>
      <c r="AA208" s="33">
        <v>105</v>
      </c>
      <c r="AB208" s="33">
        <v>147</v>
      </c>
      <c r="AC208" s="33">
        <v>125</v>
      </c>
      <c r="AD208" s="33">
        <v>118</v>
      </c>
      <c r="AE208" s="33">
        <v>100</v>
      </c>
      <c r="AF208" s="88"/>
      <c r="AG208" s="97">
        <f t="shared" si="28"/>
        <v>3715</v>
      </c>
    </row>
    <row r="209" spans="1:34" ht="19.5" thickBot="1" x14ac:dyDescent="0.3">
      <c r="A209" s="63" t="s">
        <v>76</v>
      </c>
      <c r="B209" s="149">
        <v>26</v>
      </c>
      <c r="C209" s="149">
        <v>15</v>
      </c>
      <c r="D209" s="149">
        <v>17</v>
      </c>
      <c r="E209" s="149">
        <v>13</v>
      </c>
      <c r="F209" s="149">
        <v>18</v>
      </c>
      <c r="G209" s="149">
        <v>46</v>
      </c>
      <c r="H209" s="149">
        <v>27</v>
      </c>
      <c r="I209" s="149">
        <v>15</v>
      </c>
      <c r="J209" s="149">
        <v>4</v>
      </c>
      <c r="K209" s="149">
        <v>15</v>
      </c>
      <c r="L209" s="149">
        <v>17</v>
      </c>
      <c r="M209" s="149">
        <v>31</v>
      </c>
      <c r="N209" s="34">
        <v>37</v>
      </c>
      <c r="O209" s="34">
        <v>42</v>
      </c>
      <c r="P209" s="34">
        <v>15</v>
      </c>
      <c r="Q209" s="34">
        <v>13</v>
      </c>
      <c r="R209" s="34">
        <v>8</v>
      </c>
      <c r="S209" s="34">
        <v>14</v>
      </c>
      <c r="T209" s="34">
        <v>86</v>
      </c>
      <c r="U209" s="34">
        <v>68</v>
      </c>
      <c r="V209" s="34">
        <v>40</v>
      </c>
      <c r="W209" s="34">
        <v>23</v>
      </c>
      <c r="X209" s="34">
        <v>17</v>
      </c>
      <c r="Y209" s="34">
        <v>17</v>
      </c>
      <c r="Z209" s="34">
        <v>19</v>
      </c>
      <c r="AA209" s="34">
        <v>23</v>
      </c>
      <c r="AB209" s="34">
        <v>39</v>
      </c>
      <c r="AC209" s="34">
        <v>69</v>
      </c>
      <c r="AD209" s="34">
        <v>29</v>
      </c>
      <c r="AE209" s="34">
        <v>28</v>
      </c>
      <c r="AF209" s="89"/>
      <c r="AG209" s="35">
        <f t="shared" si="28"/>
        <v>831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>
        <v>1.3148148148148147E-2</v>
      </c>
      <c r="C211" s="19">
        <v>9.0277777777777787E-3</v>
      </c>
      <c r="D211" s="19">
        <v>1.1805555555555555E-2</v>
      </c>
      <c r="E211" s="19">
        <v>2.0370370370370369E-2</v>
      </c>
      <c r="F211" s="19">
        <v>1.8055555555555557E-2</v>
      </c>
      <c r="G211" s="19">
        <v>8.3333333333333332E-3</v>
      </c>
      <c r="H211" s="19">
        <v>1.3194444444444444E-2</v>
      </c>
      <c r="I211" s="19">
        <v>1.4583333333333332E-2</v>
      </c>
      <c r="J211" s="19">
        <v>1.9444444444444445E-2</v>
      </c>
      <c r="K211" s="19">
        <v>2.4305555555555556E-2</v>
      </c>
      <c r="L211" s="19">
        <v>1.5972222222222224E-2</v>
      </c>
      <c r="M211" s="19">
        <v>1.3888888888888888E-2</v>
      </c>
      <c r="N211" s="19">
        <v>7.6388888888888886E-3</v>
      </c>
      <c r="O211" s="19">
        <v>8.7037037037037031E-3</v>
      </c>
      <c r="P211" s="19">
        <v>3.2638888888888891E-2</v>
      </c>
      <c r="Q211" s="19">
        <v>1.8749999999999999E-2</v>
      </c>
      <c r="R211" s="19">
        <v>1.8055555555555557E-2</v>
      </c>
      <c r="S211" s="19">
        <v>1.3194444444444444E-2</v>
      </c>
      <c r="T211" s="19">
        <v>6.2499999999999995E-3</v>
      </c>
      <c r="U211" s="19">
        <v>6.2499999999999995E-3</v>
      </c>
      <c r="V211" s="19">
        <v>1.3194444444444444E-2</v>
      </c>
      <c r="W211" s="19">
        <v>2.4999999999999998E-2</v>
      </c>
      <c r="X211" s="19">
        <v>1.8749999999999999E-2</v>
      </c>
      <c r="Y211" s="19">
        <v>2.2916666666666669E-2</v>
      </c>
      <c r="Z211" s="19">
        <v>1.8749999999999999E-2</v>
      </c>
      <c r="AA211" s="19">
        <v>1.3888888888888888E-2</v>
      </c>
      <c r="AB211" s="19">
        <v>9.7222222222222224E-3</v>
      </c>
      <c r="AC211" s="19">
        <v>1.2581018518518519E-2</v>
      </c>
      <c r="AD211" s="19">
        <v>2.4305555555555556E-2</v>
      </c>
      <c r="AE211" s="19">
        <v>1.2499999999999999E-2</v>
      </c>
      <c r="AF211" s="25"/>
      <c r="AG211" s="99">
        <f t="shared" ref="AG211:AG223" si="35">SUM(B211:AF211)</f>
        <v>0.46521990740740743</v>
      </c>
      <c r="AH211" s="376" t="s">
        <v>85</v>
      </c>
    </row>
    <row r="212" spans="1:34" ht="18.75" x14ac:dyDescent="0.25">
      <c r="A212" s="53" t="s">
        <v>110</v>
      </c>
      <c r="B212" s="39">
        <v>1.3449074074074073E-2</v>
      </c>
      <c r="C212" s="39">
        <v>1.3888888888888888E-2</v>
      </c>
      <c r="D212" s="39">
        <v>1.9444444444444445E-2</v>
      </c>
      <c r="E212" s="39">
        <v>2.4305555555555556E-2</v>
      </c>
      <c r="F212" s="39">
        <v>2.013888888888889E-2</v>
      </c>
      <c r="G212" s="39">
        <v>5.5555555555555558E-3</v>
      </c>
      <c r="H212" s="39">
        <v>1.7361111111111112E-2</v>
      </c>
      <c r="I212" s="39">
        <v>0</v>
      </c>
      <c r="J212" s="39">
        <v>3.125E-2</v>
      </c>
      <c r="K212" s="39">
        <v>3.2638888888888891E-2</v>
      </c>
      <c r="L212" s="39">
        <v>2.2916666666666669E-2</v>
      </c>
      <c r="M212" s="39">
        <v>2.2222222222222223E-2</v>
      </c>
      <c r="N212" s="39">
        <v>1.1111111111111112E-2</v>
      </c>
      <c r="O212" s="39">
        <v>6.2499999999999995E-3</v>
      </c>
      <c r="P212" s="39">
        <v>2.9166666666666664E-2</v>
      </c>
      <c r="Q212" s="39">
        <v>2.6388888888888889E-2</v>
      </c>
      <c r="R212" s="39">
        <v>2.9166666666666664E-2</v>
      </c>
      <c r="S212" s="39">
        <v>2.4305555555555556E-2</v>
      </c>
      <c r="T212" s="39">
        <v>6.2499999999999995E-3</v>
      </c>
      <c r="U212" s="39">
        <v>1.3888888888888888E-2</v>
      </c>
      <c r="V212" s="39">
        <v>2.1527777777777781E-2</v>
      </c>
      <c r="W212" s="39">
        <v>3.4027777777777775E-2</v>
      </c>
      <c r="X212" s="39">
        <v>3.125E-2</v>
      </c>
      <c r="Y212" s="39">
        <v>3.3333333333333333E-2</v>
      </c>
      <c r="Z212" s="39">
        <v>2.7777777777777776E-2</v>
      </c>
      <c r="AA212" s="39">
        <v>2.2916666666666669E-2</v>
      </c>
      <c r="AB212" s="39">
        <v>6.9444444444444441E-3</v>
      </c>
      <c r="AC212" s="39">
        <v>1.4583333333333332E-2</v>
      </c>
      <c r="AD212" s="39">
        <v>2.8472222222222222E-2</v>
      </c>
      <c r="AE212" s="39">
        <v>1.6666666666666666E-2</v>
      </c>
      <c r="AF212" s="91"/>
      <c r="AG212" s="100">
        <f t="shared" si="35"/>
        <v>0.60719907407407403</v>
      </c>
      <c r="AH212" s="377"/>
    </row>
    <row r="213" spans="1:34" ht="18.75" x14ac:dyDescent="0.25">
      <c r="A213" s="53" t="s">
        <v>111</v>
      </c>
      <c r="B213" s="39">
        <v>1.8749999999999999E-2</v>
      </c>
      <c r="C213" s="39">
        <v>6.9444444444444441E-3</v>
      </c>
      <c r="D213" s="39">
        <v>5.5555555555555558E-3</v>
      </c>
      <c r="E213" s="39">
        <v>2.9166666666666664E-2</v>
      </c>
      <c r="F213" s="39">
        <v>1.8055555555555557E-2</v>
      </c>
      <c r="G213" s="39">
        <v>6.2499999999999995E-3</v>
      </c>
      <c r="H213" s="39">
        <v>2.6388888888888889E-2</v>
      </c>
      <c r="I213" s="39">
        <v>2.013888888888889E-2</v>
      </c>
      <c r="J213" s="39">
        <v>2.9166666666666664E-2</v>
      </c>
      <c r="K213" s="39">
        <v>3.7499999999999999E-2</v>
      </c>
      <c r="L213" s="39">
        <v>2.0833333333333332E-2</v>
      </c>
      <c r="M213" s="39">
        <v>1.1805555555555555E-2</v>
      </c>
      <c r="N213" s="39">
        <v>8.3333333333333332E-3</v>
      </c>
      <c r="O213" s="39">
        <v>5.5555555555555558E-3</v>
      </c>
      <c r="P213" s="39">
        <v>5.6250000000000001E-2</v>
      </c>
      <c r="Q213" s="39">
        <v>3.4722222222222224E-2</v>
      </c>
      <c r="R213" s="39">
        <v>3.2638888888888891E-2</v>
      </c>
      <c r="S213" s="39">
        <v>1.9444444444444445E-2</v>
      </c>
      <c r="T213" s="39">
        <v>6.2499999999999995E-3</v>
      </c>
      <c r="U213" s="39">
        <v>9.0277777777777787E-3</v>
      </c>
      <c r="V213" s="39">
        <v>2.7777777777777776E-2</v>
      </c>
      <c r="W213" s="39">
        <v>3.9583333333333331E-2</v>
      </c>
      <c r="X213" s="39">
        <v>2.7083333333333334E-2</v>
      </c>
      <c r="Y213" s="39">
        <v>3.3333333333333333E-2</v>
      </c>
      <c r="Z213" s="39">
        <v>2.6388888888888889E-2</v>
      </c>
      <c r="AA213" s="39">
        <v>1.3194444444444444E-2</v>
      </c>
      <c r="AB213" s="39">
        <v>9.7222222222222224E-3</v>
      </c>
      <c r="AC213" s="39">
        <v>8.3912037037037045E-3</v>
      </c>
      <c r="AD213" s="39">
        <v>4.7222222222222221E-2</v>
      </c>
      <c r="AE213" s="39">
        <v>2.361111111111111E-2</v>
      </c>
      <c r="AF213" s="91"/>
      <c r="AG213" s="100">
        <f t="shared" si="35"/>
        <v>0.65908564814814807</v>
      </c>
      <c r="AH213" s="377"/>
    </row>
    <row r="214" spans="1:34" ht="18.75" x14ac:dyDescent="0.25">
      <c r="A214" s="53" t="s">
        <v>112</v>
      </c>
      <c r="B214" s="39">
        <v>1.5277777777777777E-2</v>
      </c>
      <c r="C214" s="39">
        <v>5.5555555555555558E-3</v>
      </c>
      <c r="D214" s="39">
        <v>1.1805555555555555E-2</v>
      </c>
      <c r="E214" s="39">
        <v>2.0833333333333332E-2</v>
      </c>
      <c r="F214" s="39">
        <v>1.3194444444444444E-2</v>
      </c>
      <c r="G214" s="39">
        <v>4.1666666666666666E-3</v>
      </c>
      <c r="H214" s="39">
        <v>3.4027777777777775E-2</v>
      </c>
      <c r="I214" s="39">
        <v>1.1157407407407408E-2</v>
      </c>
      <c r="J214" s="39">
        <v>1.2499999999999999E-2</v>
      </c>
      <c r="K214" s="39">
        <v>2.9861111111111113E-2</v>
      </c>
      <c r="L214" s="39">
        <v>9.7222222222222224E-3</v>
      </c>
      <c r="M214" s="39">
        <v>5.5555555555555558E-3</v>
      </c>
      <c r="N214" s="39">
        <v>6.9444444444444441E-3</v>
      </c>
      <c r="O214" s="39">
        <v>1.0416666666666666E-2</v>
      </c>
      <c r="P214" s="39">
        <v>5.7638888888888885E-2</v>
      </c>
      <c r="Q214" s="39">
        <v>1.6666666666666666E-2</v>
      </c>
      <c r="R214" s="39">
        <v>9.7222222222222224E-3</v>
      </c>
      <c r="S214" s="39">
        <v>9.7222222222222224E-3</v>
      </c>
      <c r="T214" s="39">
        <v>1.2499999999999999E-2</v>
      </c>
      <c r="U214" s="39">
        <v>9.7222222222222224E-3</v>
      </c>
      <c r="V214" s="39">
        <v>2.2916666666666669E-2</v>
      </c>
      <c r="W214" s="39">
        <v>2.6388888888888889E-2</v>
      </c>
      <c r="X214" s="39">
        <v>1.5277777777777777E-2</v>
      </c>
      <c r="Y214" s="39">
        <v>2.7083333333333334E-2</v>
      </c>
      <c r="Z214" s="39">
        <v>1.5277777777777777E-2</v>
      </c>
      <c r="AA214" s="39">
        <v>4.8611111111111112E-3</v>
      </c>
      <c r="AB214" s="39">
        <v>5.5555555555555558E-3</v>
      </c>
      <c r="AC214" s="39">
        <v>1.1111111111111112E-2</v>
      </c>
      <c r="AD214" s="39">
        <v>3.7499999999999999E-2</v>
      </c>
      <c r="AE214" s="39">
        <v>1.3194444444444444E-2</v>
      </c>
      <c r="AF214" s="91"/>
      <c r="AG214" s="100">
        <f t="shared" si="35"/>
        <v>0.48615740740740743</v>
      </c>
      <c r="AH214" s="377"/>
    </row>
    <row r="215" spans="1:34" ht="18.75" x14ac:dyDescent="0.25">
      <c r="A215" s="53" t="s">
        <v>113</v>
      </c>
      <c r="B215" s="39">
        <v>1.6666666666666666E-2</v>
      </c>
      <c r="C215" s="39">
        <v>9.2939814814814812E-3</v>
      </c>
      <c r="D215" s="39">
        <v>6.9444444444444441E-3</v>
      </c>
      <c r="E215" s="39">
        <v>1.7361111111111112E-2</v>
      </c>
      <c r="F215" s="39">
        <v>2.0833333333333332E-2</v>
      </c>
      <c r="G215" s="39">
        <v>2.0833333333333333E-3</v>
      </c>
      <c r="H215" s="39">
        <v>2.5694444444444447E-2</v>
      </c>
      <c r="I215" s="39">
        <v>9.7222222222222224E-3</v>
      </c>
      <c r="J215" s="39">
        <v>9.7222222222222224E-3</v>
      </c>
      <c r="K215" s="39">
        <v>1.1111111111111112E-2</v>
      </c>
      <c r="L215" s="39">
        <v>1.1111111111111112E-2</v>
      </c>
      <c r="M215" s="39">
        <v>1.3888888888888888E-2</v>
      </c>
      <c r="N215" s="39">
        <v>9.7222222222222224E-3</v>
      </c>
      <c r="O215" s="39">
        <v>9.0277777777777787E-3</v>
      </c>
      <c r="P215" s="39">
        <v>4.1666666666666664E-2</v>
      </c>
      <c r="Q215" s="39">
        <v>8.3333333333333332E-3</v>
      </c>
      <c r="R215" s="39">
        <v>9.0277777777777787E-3</v>
      </c>
      <c r="S215" s="39">
        <v>5.5555555555555558E-3</v>
      </c>
      <c r="T215" s="39">
        <v>4.1666666666666666E-3</v>
      </c>
      <c r="U215" s="39">
        <v>9.0277777777777787E-3</v>
      </c>
      <c r="V215" s="39">
        <v>1.3194444444444444E-2</v>
      </c>
      <c r="W215" s="39">
        <v>6.2499999999999995E-3</v>
      </c>
      <c r="X215" s="39">
        <v>4.1666666666666666E-3</v>
      </c>
      <c r="Y215" s="39">
        <v>7.6388888888888886E-3</v>
      </c>
      <c r="Z215" s="39">
        <v>4.1666666666666666E-3</v>
      </c>
      <c r="AA215" s="39">
        <v>6.2499999999999995E-3</v>
      </c>
      <c r="AB215" s="39">
        <v>4.8611111111111112E-3</v>
      </c>
      <c r="AC215" s="39">
        <v>1.2499999999999999E-2</v>
      </c>
      <c r="AD215" s="39">
        <v>1.5277777777777777E-2</v>
      </c>
      <c r="AE215" s="39">
        <v>9.0277777777777787E-3</v>
      </c>
      <c r="AF215" s="91"/>
      <c r="AG215" s="100">
        <f t="shared" si="35"/>
        <v>0.33429398148148143</v>
      </c>
      <c r="AH215" s="377"/>
    </row>
    <row r="216" spans="1:34" ht="18.75" x14ac:dyDescent="0.25">
      <c r="A216" s="53" t="s">
        <v>114</v>
      </c>
      <c r="B216" s="39">
        <v>1.3888888888888888E-2</v>
      </c>
      <c r="C216" s="39">
        <v>6.2962962962962964E-3</v>
      </c>
      <c r="D216" s="39">
        <v>6.2499999999999995E-3</v>
      </c>
      <c r="E216" s="39">
        <v>1.5277777777777777E-2</v>
      </c>
      <c r="F216" s="39">
        <v>2.4305555555555556E-2</v>
      </c>
      <c r="G216" s="39">
        <v>2.0833333333333333E-3</v>
      </c>
      <c r="H216" s="39">
        <v>1.2499999999999999E-2</v>
      </c>
      <c r="I216" s="39">
        <v>1.3194444444444444E-2</v>
      </c>
      <c r="J216" s="39">
        <v>7.6388888888888886E-3</v>
      </c>
      <c r="K216" s="39">
        <v>1.7361111111111112E-2</v>
      </c>
      <c r="L216" s="39">
        <v>1.0416666666666666E-2</v>
      </c>
      <c r="M216" s="39">
        <v>5.5555555555555558E-3</v>
      </c>
      <c r="N216" s="39">
        <v>5.8796296296296296E-3</v>
      </c>
      <c r="O216" s="39">
        <v>1.0416666666666666E-2</v>
      </c>
      <c r="P216" s="39">
        <v>3.1944444444444449E-2</v>
      </c>
      <c r="Q216" s="39">
        <v>6.2499999999999995E-3</v>
      </c>
      <c r="R216" s="39">
        <v>1.0416666666666666E-2</v>
      </c>
      <c r="S216" s="39">
        <v>6.2499999999999995E-3</v>
      </c>
      <c r="T216" s="39">
        <v>2.7777777777777779E-3</v>
      </c>
      <c r="U216" s="39">
        <v>1.5277777777777777E-2</v>
      </c>
      <c r="V216" s="39">
        <v>2.4999999999999998E-2</v>
      </c>
      <c r="W216" s="39">
        <v>5.5555555555555558E-3</v>
      </c>
      <c r="X216" s="39">
        <v>4.8611111111111112E-3</v>
      </c>
      <c r="Y216" s="39">
        <v>9.0277777777777787E-3</v>
      </c>
      <c r="Z216" s="39">
        <v>1.0416666666666666E-2</v>
      </c>
      <c r="AA216" s="39">
        <v>1.1111111111111112E-2</v>
      </c>
      <c r="AB216" s="39">
        <v>3.5648148148148154E-3</v>
      </c>
      <c r="AC216" s="39">
        <v>6.9444444444444441E-3</v>
      </c>
      <c r="AD216" s="39">
        <v>4.1666666666666666E-3</v>
      </c>
      <c r="AE216" s="39">
        <v>4.1666666666666666E-3</v>
      </c>
      <c r="AF216" s="91"/>
      <c r="AG216" s="100">
        <f>SUM(B216:AF216)</f>
        <v>0.30879629629629624</v>
      </c>
      <c r="AH216" s="377"/>
    </row>
    <row r="217" spans="1:34" ht="18.75" x14ac:dyDescent="0.25">
      <c r="A217" s="53" t="s">
        <v>115</v>
      </c>
      <c r="B217" s="39">
        <v>8.3333333333333332E-3</v>
      </c>
      <c r="C217" s="39">
        <v>7.9398148148148145E-3</v>
      </c>
      <c r="D217" s="39">
        <v>8.3333333333333332E-3</v>
      </c>
      <c r="E217" s="39">
        <v>2.1527777777777781E-2</v>
      </c>
      <c r="F217" s="39">
        <v>1.6666666666666666E-2</v>
      </c>
      <c r="G217" s="39">
        <v>2.7777777777777779E-3</v>
      </c>
      <c r="H217" s="39">
        <v>4.8611111111111112E-3</v>
      </c>
      <c r="I217" s="39">
        <v>1.3888888888888888E-2</v>
      </c>
      <c r="J217" s="39">
        <v>9.0277777777777787E-3</v>
      </c>
      <c r="K217" s="39">
        <v>4.8611111111111112E-3</v>
      </c>
      <c r="L217" s="39">
        <v>5.5555555555555558E-3</v>
      </c>
      <c r="M217" s="39">
        <v>2.013888888888889E-2</v>
      </c>
      <c r="N217" s="39">
        <v>5.6134259259259271E-3</v>
      </c>
      <c r="O217" s="39">
        <v>3.472222222222222E-3</v>
      </c>
      <c r="P217" s="39">
        <v>2.4999999999999998E-2</v>
      </c>
      <c r="Q217" s="39">
        <v>1.0416666666666666E-2</v>
      </c>
      <c r="R217" s="39">
        <v>9.7222222222222224E-3</v>
      </c>
      <c r="S217" s="39">
        <v>4.1666666666666666E-3</v>
      </c>
      <c r="T217" s="39">
        <v>2.0833333333333333E-3</v>
      </c>
      <c r="U217" s="39">
        <v>4.8611111111111112E-3</v>
      </c>
      <c r="V217" s="39">
        <v>1.2499999999999999E-2</v>
      </c>
      <c r="W217" s="39">
        <v>8.3333333333333332E-3</v>
      </c>
      <c r="X217" s="39">
        <v>2.7777777777777779E-3</v>
      </c>
      <c r="Y217" s="39">
        <v>1.0416666666666666E-2</v>
      </c>
      <c r="Z217" s="39">
        <v>7.6388888888888886E-3</v>
      </c>
      <c r="AA217" s="39">
        <v>5.5555555555555558E-3</v>
      </c>
      <c r="AB217" s="39">
        <v>2.1527777777777778E-3</v>
      </c>
      <c r="AC217" s="39">
        <v>7.6504629629629622E-3</v>
      </c>
      <c r="AD217" s="39">
        <v>3.472222222222222E-3</v>
      </c>
      <c r="AE217" s="39">
        <v>8.3333333333333332E-3</v>
      </c>
      <c r="AF217" s="91"/>
      <c r="AG217" s="100">
        <f>SUM(B217:AF217)</f>
        <v>0.25807870370370367</v>
      </c>
      <c r="AH217" s="377"/>
    </row>
    <row r="218" spans="1:34" ht="18.75" x14ac:dyDescent="0.25">
      <c r="A218" s="53" t="s">
        <v>116</v>
      </c>
      <c r="B218" s="39">
        <v>0</v>
      </c>
      <c r="C218" s="39">
        <v>6.2499999999999995E-3</v>
      </c>
      <c r="D218" s="39">
        <v>5.5555555555555558E-3</v>
      </c>
      <c r="E218" s="39">
        <v>1.3194444444444444E-2</v>
      </c>
      <c r="F218" s="39">
        <v>1.1111111111111112E-2</v>
      </c>
      <c r="G218" s="39">
        <v>8.3333333333333332E-3</v>
      </c>
      <c r="H218" s="39">
        <v>9.0277777777777787E-3</v>
      </c>
      <c r="I218" s="39">
        <v>7.6388888888888886E-3</v>
      </c>
      <c r="J218" s="39">
        <v>3.472222222222222E-3</v>
      </c>
      <c r="K218" s="39">
        <v>8.3333333333333332E-3</v>
      </c>
      <c r="L218" s="39">
        <v>6.9444444444444447E-4</v>
      </c>
      <c r="M218" s="39">
        <v>4.8611111111111112E-3</v>
      </c>
      <c r="N218" s="39">
        <v>2.1412037037037038E-3</v>
      </c>
      <c r="O218" s="39">
        <v>2.7777777777777779E-3</v>
      </c>
      <c r="P218" s="39">
        <v>7.6388888888888886E-3</v>
      </c>
      <c r="Q218" s="39">
        <v>8.3333333333333332E-3</v>
      </c>
      <c r="R218" s="39">
        <v>1.0416666666666666E-2</v>
      </c>
      <c r="S218" s="39">
        <v>4.1666666666666666E-3</v>
      </c>
      <c r="T218" s="39">
        <v>1.3888888888888889E-3</v>
      </c>
      <c r="U218" s="39">
        <v>2.7777777777777779E-3</v>
      </c>
      <c r="V218" s="39">
        <v>6.2499999999999995E-3</v>
      </c>
      <c r="W218" s="39">
        <v>2.0833333333333333E-3</v>
      </c>
      <c r="X218" s="39">
        <v>4.1666666666666666E-3</v>
      </c>
      <c r="Y218" s="39">
        <v>7.6388888888888886E-3</v>
      </c>
      <c r="Z218" s="39">
        <v>4.8611111111111112E-3</v>
      </c>
      <c r="AA218" s="39">
        <v>5.5555555555555558E-3</v>
      </c>
      <c r="AB218" s="39">
        <v>2.5925925925925925E-3</v>
      </c>
      <c r="AC218" s="39">
        <v>4.9189814814814816E-3</v>
      </c>
      <c r="AD218" s="39">
        <v>2.0833333333333333E-3</v>
      </c>
      <c r="AE218" s="39">
        <v>4.8611111111111112E-3</v>
      </c>
      <c r="AF218" s="91"/>
      <c r="AG218" s="100">
        <f>SUM(B218:AF218)</f>
        <v>0.16312500000000005</v>
      </c>
      <c r="AH218" s="377"/>
    </row>
    <row r="219" spans="1:34" ht="18.75" x14ac:dyDescent="0.25">
      <c r="A219" s="53" t="s">
        <v>117</v>
      </c>
      <c r="B219" s="39">
        <v>1.1111111111111112E-2</v>
      </c>
      <c r="C219" s="39">
        <v>7.6388888888888886E-3</v>
      </c>
      <c r="D219" s="39">
        <v>1.9444444444444445E-2</v>
      </c>
      <c r="E219" s="39">
        <v>1.5972222222222224E-2</v>
      </c>
      <c r="F219" s="39">
        <v>2.013888888888889E-2</v>
      </c>
      <c r="G219" s="39">
        <v>4.1666666666666666E-3</v>
      </c>
      <c r="H219" s="39">
        <v>3.472222222222222E-3</v>
      </c>
      <c r="I219" s="39">
        <v>1.6666666666666666E-2</v>
      </c>
      <c r="J219" s="39">
        <v>4.1666666666666666E-3</v>
      </c>
      <c r="K219" s="39">
        <v>8.3333333333333332E-3</v>
      </c>
      <c r="L219" s="39">
        <v>4.8611111111111112E-3</v>
      </c>
      <c r="M219" s="39">
        <v>4.8611111111111112E-3</v>
      </c>
      <c r="N219" s="39">
        <v>6.3078703703703708E-3</v>
      </c>
      <c r="O219" s="39">
        <v>3.472222222222222E-3</v>
      </c>
      <c r="P219" s="39">
        <v>0</v>
      </c>
      <c r="Q219" s="39">
        <v>6.2499999999999995E-3</v>
      </c>
      <c r="R219" s="39">
        <v>1.1805555555555555E-2</v>
      </c>
      <c r="S219" s="39">
        <v>6.2499999999999995E-3</v>
      </c>
      <c r="T219" s="39">
        <v>0</v>
      </c>
      <c r="U219" s="39">
        <v>4.8611111111111112E-3</v>
      </c>
      <c r="V219" s="39">
        <v>7.6388888888888886E-3</v>
      </c>
      <c r="W219" s="39">
        <v>3.472222222222222E-3</v>
      </c>
      <c r="X219" s="39">
        <v>5.5555555555555558E-3</v>
      </c>
      <c r="Y219" s="39">
        <v>1.5972222222222224E-2</v>
      </c>
      <c r="Z219" s="39">
        <v>2.0833333333333333E-3</v>
      </c>
      <c r="AA219" s="39">
        <v>1.3194444444444444E-2</v>
      </c>
      <c r="AB219" s="39">
        <v>5.5555555555555558E-3</v>
      </c>
      <c r="AC219" s="39">
        <v>3.5648148148148154E-3</v>
      </c>
      <c r="AD219" s="39">
        <v>5.5555555555555558E-3</v>
      </c>
      <c r="AE219" s="39">
        <v>8.3333333333333332E-3</v>
      </c>
      <c r="AF219" s="91"/>
      <c r="AG219" s="100">
        <f t="shared" si="35"/>
        <v>0.23070601851851852</v>
      </c>
      <c r="AH219" s="377"/>
    </row>
    <row r="220" spans="1:34" ht="18.75" x14ac:dyDescent="0.25">
      <c r="A220" s="43" t="s">
        <v>150</v>
      </c>
      <c r="B220" s="19">
        <v>5.5555555555555552E-2</v>
      </c>
      <c r="C220" s="19">
        <v>2.9166666666666664E-2</v>
      </c>
      <c r="D220" s="19">
        <v>3.888888888888889E-2</v>
      </c>
      <c r="E220" s="19">
        <v>3.8194444444444441E-2</v>
      </c>
      <c r="F220" s="19">
        <v>5.4166666666666669E-2</v>
      </c>
      <c r="G220" s="19">
        <v>1.7361111111111112E-2</v>
      </c>
      <c r="H220" s="19">
        <v>3.888888888888889E-2</v>
      </c>
      <c r="I220" s="19">
        <v>4.2361111111111106E-2</v>
      </c>
      <c r="J220" s="19">
        <v>3.4027777777777775E-2</v>
      </c>
      <c r="K220" s="19">
        <v>2.9861111111111113E-2</v>
      </c>
      <c r="L220" s="19">
        <v>4.1666666666666664E-2</v>
      </c>
      <c r="M220" s="19">
        <v>3.2638888888888891E-2</v>
      </c>
      <c r="N220" s="19">
        <v>4.2361111111111106E-2</v>
      </c>
      <c r="O220" s="19">
        <v>2.361111111111111E-2</v>
      </c>
      <c r="P220" s="19">
        <v>3.7499999999999999E-2</v>
      </c>
      <c r="Q220" s="19">
        <v>3.7499999999999999E-2</v>
      </c>
      <c r="R220" s="19">
        <v>4.027777777777778E-2</v>
      </c>
      <c r="S220" s="19">
        <v>3.125E-2</v>
      </c>
      <c r="T220" s="19">
        <v>1.8055555555555557E-2</v>
      </c>
      <c r="U220" s="19">
        <v>2.0833333333333332E-2</v>
      </c>
      <c r="V220" s="19">
        <v>2.361111111111111E-2</v>
      </c>
      <c r="W220" s="19">
        <v>2.0833333333333332E-2</v>
      </c>
      <c r="X220" s="19">
        <v>1.8749999999999999E-2</v>
      </c>
      <c r="Y220" s="19">
        <v>4.027777777777778E-2</v>
      </c>
      <c r="Z220" s="19">
        <v>4.3055555555555562E-2</v>
      </c>
      <c r="AA220" s="19">
        <v>4.9305555555555554E-2</v>
      </c>
      <c r="AB220" s="19">
        <v>3.6805555555555557E-2</v>
      </c>
      <c r="AC220" s="19">
        <v>3.1944444444444449E-2</v>
      </c>
      <c r="AD220" s="19">
        <v>1.5277777777777777E-2</v>
      </c>
      <c r="AE220" s="19">
        <v>4.5833333333333337E-2</v>
      </c>
      <c r="AF220" s="25"/>
      <c r="AG220" s="99">
        <f t="shared" si="35"/>
        <v>1.0298611111111111</v>
      </c>
      <c r="AH220" s="377"/>
    </row>
    <row r="221" spans="1:34" ht="18.75" x14ac:dyDescent="0.25">
      <c r="A221" s="43" t="s">
        <v>78</v>
      </c>
      <c r="B221" s="19">
        <v>6.0416666666666667E-2</v>
      </c>
      <c r="C221" s="19">
        <v>3.7499999999999999E-2</v>
      </c>
      <c r="D221" s="19">
        <v>4.4444444444444446E-2</v>
      </c>
      <c r="E221" s="19">
        <v>4.2361111111111106E-2</v>
      </c>
      <c r="F221" s="19">
        <v>5.9027777777777783E-2</v>
      </c>
      <c r="G221" s="19">
        <v>2.1527777777777781E-2</v>
      </c>
      <c r="H221" s="19">
        <v>4.4444444444444446E-2</v>
      </c>
      <c r="I221" s="19">
        <v>4.5138888888888888E-2</v>
      </c>
      <c r="J221" s="19">
        <v>3.888888888888889E-2</v>
      </c>
      <c r="K221" s="19">
        <v>3.4722222222222224E-2</v>
      </c>
      <c r="L221" s="19">
        <v>4.6527777777777779E-2</v>
      </c>
      <c r="M221" s="19">
        <v>3.6805555555555557E-2</v>
      </c>
      <c r="N221" s="19">
        <v>4.6527777777777779E-2</v>
      </c>
      <c r="O221" s="19">
        <v>2.8472222222222222E-2</v>
      </c>
      <c r="P221" s="19">
        <v>4.027777777777778E-2</v>
      </c>
      <c r="Q221" s="19">
        <v>4.3055555555555562E-2</v>
      </c>
      <c r="R221" s="19">
        <v>4.5138888888888888E-2</v>
      </c>
      <c r="S221" s="19">
        <v>3.4722222222222224E-2</v>
      </c>
      <c r="T221" s="19">
        <v>2.4305555555555556E-2</v>
      </c>
      <c r="U221" s="19">
        <v>2.7777777777777776E-2</v>
      </c>
      <c r="V221" s="19">
        <v>2.8472222222222222E-2</v>
      </c>
      <c r="W221" s="19">
        <v>2.6388888888888889E-2</v>
      </c>
      <c r="X221" s="19">
        <v>2.2916666666666669E-2</v>
      </c>
      <c r="Y221" s="19">
        <v>4.7222222222222221E-2</v>
      </c>
      <c r="Z221" s="19">
        <v>5.0694444444444438E-2</v>
      </c>
      <c r="AA221" s="19">
        <v>8.3333333333333329E-2</v>
      </c>
      <c r="AB221" s="19">
        <v>4.5138888888888888E-2</v>
      </c>
      <c r="AC221" s="19">
        <v>3.6805555555555557E-2</v>
      </c>
      <c r="AD221" s="19">
        <v>2.013888888888889E-2</v>
      </c>
      <c r="AE221" s="19">
        <v>4.9999999999999996E-2</v>
      </c>
      <c r="AF221" s="25"/>
      <c r="AG221" s="99">
        <f t="shared" si="35"/>
        <v>1.2131944444444445</v>
      </c>
      <c r="AH221" s="377"/>
    </row>
    <row r="222" spans="1:34" ht="19.5" thickBot="1" x14ac:dyDescent="0.3">
      <c r="A222" s="43" t="s">
        <v>79</v>
      </c>
      <c r="B222" s="19">
        <v>2.7777777777777776E-2</v>
      </c>
      <c r="C222" s="19">
        <v>2.361111111111111E-2</v>
      </c>
      <c r="D222" s="19">
        <v>2.4999999999999998E-2</v>
      </c>
      <c r="E222" s="19">
        <v>3.888888888888889E-2</v>
      </c>
      <c r="F222" s="19">
        <v>2.9861111111111113E-2</v>
      </c>
      <c r="G222" s="19">
        <v>1.8055555555555557E-2</v>
      </c>
      <c r="H222" s="19">
        <v>3.2638888888888891E-2</v>
      </c>
      <c r="I222" s="19">
        <v>2.0833333333333332E-2</v>
      </c>
      <c r="J222" s="19">
        <v>2.2916666666666669E-2</v>
      </c>
      <c r="K222" s="19">
        <v>2.4305555555555556E-2</v>
      </c>
      <c r="L222" s="19">
        <v>2.5694444444444447E-2</v>
      </c>
      <c r="M222" s="19">
        <v>3.2638888888888891E-2</v>
      </c>
      <c r="N222" s="19">
        <v>3.3333333333333333E-2</v>
      </c>
      <c r="O222" s="19">
        <v>2.4999999999999998E-2</v>
      </c>
      <c r="P222" s="19">
        <v>3.125E-2</v>
      </c>
      <c r="Q222" s="19">
        <v>2.6388888888888889E-2</v>
      </c>
      <c r="R222" s="19">
        <v>2.4999999999999998E-2</v>
      </c>
      <c r="S222" s="19">
        <v>2.2222222222222223E-2</v>
      </c>
      <c r="T222" s="19">
        <v>2.9166666666666664E-2</v>
      </c>
      <c r="U222" s="19">
        <v>2.4999999999999998E-2</v>
      </c>
      <c r="V222" s="19">
        <v>3.6111111111111115E-2</v>
      </c>
      <c r="W222" s="19">
        <v>3.0555555555555555E-2</v>
      </c>
      <c r="X222" s="19">
        <v>2.2222222222222223E-2</v>
      </c>
      <c r="Y222" s="19">
        <v>2.4305555555555556E-2</v>
      </c>
      <c r="Z222" s="19">
        <v>3.5416666666666666E-2</v>
      </c>
      <c r="AA222" s="19">
        <v>0.10277777777777779</v>
      </c>
      <c r="AB222" s="19">
        <v>3.5416666666666666E-2</v>
      </c>
      <c r="AC222" s="19">
        <v>2.361111111111111E-2</v>
      </c>
      <c r="AD222" s="19">
        <v>2.7777777777777776E-2</v>
      </c>
      <c r="AE222" s="19">
        <v>3.125E-2</v>
      </c>
      <c r="AF222" s="25"/>
      <c r="AG222" s="99">
        <f t="shared" si="35"/>
        <v>0.90902777777777788</v>
      </c>
      <c r="AH222" s="378"/>
    </row>
    <row r="223" spans="1:34" ht="24" thickBot="1" x14ac:dyDescent="0.3">
      <c r="A223" s="62" t="s">
        <v>118</v>
      </c>
      <c r="B223" s="20">
        <f>+B222+B221+B211+B220</f>
        <v>0.15689814814814812</v>
      </c>
      <c r="C223" s="20">
        <f t="shared" ref="C223:AF223" si="36">+C222+C221+C211+C220</f>
        <v>9.930555555555555E-2</v>
      </c>
      <c r="D223" s="20">
        <f t="shared" si="36"/>
        <v>0.12013888888888889</v>
      </c>
      <c r="E223" s="20">
        <f t="shared" si="36"/>
        <v>0.13981481481481481</v>
      </c>
      <c r="F223" s="20">
        <f t="shared" si="36"/>
        <v>0.16111111111111112</v>
      </c>
      <c r="G223" s="20">
        <f t="shared" si="36"/>
        <v>6.5277777777777782E-2</v>
      </c>
      <c r="H223" s="20">
        <f t="shared" si="36"/>
        <v>0.12916666666666665</v>
      </c>
      <c r="I223" s="20">
        <f t="shared" si="36"/>
        <v>0.12291666666666667</v>
      </c>
      <c r="J223" s="20">
        <f t="shared" si="36"/>
        <v>0.11527777777777778</v>
      </c>
      <c r="K223" s="20">
        <f t="shared" si="36"/>
        <v>0.11319444444444444</v>
      </c>
      <c r="L223" s="20">
        <f t="shared" si="36"/>
        <v>0.12986111111111112</v>
      </c>
      <c r="M223" s="20">
        <f t="shared" si="36"/>
        <v>0.11597222222222223</v>
      </c>
      <c r="N223" s="20">
        <f t="shared" si="36"/>
        <v>0.12986111111111109</v>
      </c>
      <c r="O223" s="20">
        <f t="shared" si="36"/>
        <v>8.5787037037037037E-2</v>
      </c>
      <c r="P223" s="20">
        <f t="shared" si="36"/>
        <v>0.14166666666666666</v>
      </c>
      <c r="Q223" s="20">
        <f t="shared" si="36"/>
        <v>0.12569444444444444</v>
      </c>
      <c r="R223" s="20">
        <f t="shared" si="36"/>
        <v>0.12847222222222224</v>
      </c>
      <c r="S223" s="20">
        <f t="shared" si="36"/>
        <v>0.10138888888888889</v>
      </c>
      <c r="T223" s="20">
        <f t="shared" si="36"/>
        <v>7.7777777777777779E-2</v>
      </c>
      <c r="U223" s="20">
        <f t="shared" si="36"/>
        <v>7.9861111111111105E-2</v>
      </c>
      <c r="V223" s="20">
        <f t="shared" si="36"/>
        <v>0.10138888888888889</v>
      </c>
      <c r="W223" s="20">
        <f t="shared" si="36"/>
        <v>0.10277777777777777</v>
      </c>
      <c r="X223" s="20">
        <f t="shared" si="36"/>
        <v>8.2638888888888901E-2</v>
      </c>
      <c r="Y223" s="20">
        <f t="shared" si="36"/>
        <v>0.13472222222222222</v>
      </c>
      <c r="Z223" s="20">
        <f t="shared" si="36"/>
        <v>0.14791666666666667</v>
      </c>
      <c r="AA223" s="20">
        <f t="shared" si="36"/>
        <v>0.24930555555555556</v>
      </c>
      <c r="AB223" s="20">
        <f t="shared" si="36"/>
        <v>0.12708333333333333</v>
      </c>
      <c r="AC223" s="20">
        <f t="shared" si="36"/>
        <v>0.10494212962962962</v>
      </c>
      <c r="AD223" s="20">
        <f t="shared" si="36"/>
        <v>8.7499999999999994E-2</v>
      </c>
      <c r="AE223" s="20">
        <f t="shared" si="36"/>
        <v>0.13958333333333334</v>
      </c>
      <c r="AF223" s="26">
        <f t="shared" si="36"/>
        <v>0</v>
      </c>
      <c r="AG223" s="99">
        <f t="shared" si="35"/>
        <v>3.6173032407407404</v>
      </c>
      <c r="AH223" s="36"/>
    </row>
    <row r="224" spans="1:34" ht="18.75" x14ac:dyDescent="0.25">
      <c r="A224" s="57" t="s">
        <v>90</v>
      </c>
      <c r="B224" s="27" t="s">
        <v>620</v>
      </c>
      <c r="C224" s="27">
        <v>18</v>
      </c>
      <c r="D224" s="27">
        <v>20</v>
      </c>
      <c r="E224" s="27">
        <v>29</v>
      </c>
      <c r="F224" s="27">
        <v>30</v>
      </c>
      <c r="G224" s="27">
        <v>0</v>
      </c>
      <c r="H224" s="27">
        <v>19</v>
      </c>
      <c r="I224" s="27">
        <v>40</v>
      </c>
      <c r="J224" s="27">
        <v>20</v>
      </c>
      <c r="K224" s="27">
        <v>33</v>
      </c>
      <c r="L224" s="27">
        <v>25</v>
      </c>
      <c r="M224" s="27">
        <v>32</v>
      </c>
      <c r="N224" s="27">
        <v>29</v>
      </c>
      <c r="O224" s="27">
        <v>14</v>
      </c>
      <c r="P224" s="27">
        <v>34</v>
      </c>
      <c r="Q224" s="27">
        <v>23</v>
      </c>
      <c r="R224" s="27">
        <v>28</v>
      </c>
      <c r="S224" s="27">
        <v>22</v>
      </c>
      <c r="T224" s="27">
        <v>12</v>
      </c>
      <c r="U224" s="27">
        <v>6</v>
      </c>
      <c r="V224" s="27">
        <v>9</v>
      </c>
      <c r="W224" s="27">
        <v>77</v>
      </c>
      <c r="X224" s="27">
        <v>22</v>
      </c>
      <c r="Y224" s="27">
        <v>27</v>
      </c>
      <c r="Z224" s="27">
        <v>35</v>
      </c>
      <c r="AA224" s="27">
        <v>32</v>
      </c>
      <c r="AB224" s="27">
        <v>11</v>
      </c>
      <c r="AC224" s="27">
        <v>10</v>
      </c>
      <c r="AD224" s="27">
        <v>37</v>
      </c>
      <c r="AE224" s="27">
        <v>25</v>
      </c>
      <c r="AF224" s="92"/>
      <c r="AG224" s="31">
        <f t="shared" ref="AG224:AG237" si="37">SUM(B224:AF224)</f>
        <v>719</v>
      </c>
      <c r="AH224" s="379" t="s">
        <v>96</v>
      </c>
    </row>
    <row r="225" spans="1:34" ht="18.75" x14ac:dyDescent="0.25">
      <c r="A225" s="54" t="s">
        <v>91</v>
      </c>
      <c r="B225" s="40">
        <v>0.33333333333333331</v>
      </c>
      <c r="C225" s="40">
        <v>0.33333333333333331</v>
      </c>
      <c r="D225" s="40">
        <v>0.33333333333333331</v>
      </c>
      <c r="E225" s="40">
        <v>0.33333333333333331</v>
      </c>
      <c r="F225" s="40"/>
      <c r="G225" s="40"/>
      <c r="H225" s="40">
        <v>0.33333333333333331</v>
      </c>
      <c r="I225" s="40">
        <v>0.33333333333333331</v>
      </c>
      <c r="J225" s="40">
        <v>0.33333333333333331</v>
      </c>
      <c r="K225" s="40">
        <v>0.33333333333333331</v>
      </c>
      <c r="L225" s="40">
        <v>0.33333333333333331</v>
      </c>
      <c r="M225" s="40"/>
      <c r="N225" s="40"/>
      <c r="O225" s="40">
        <v>0.33333333333333331</v>
      </c>
      <c r="P225" s="40">
        <v>0.33333333333333331</v>
      </c>
      <c r="Q225" s="40">
        <v>0.33333333333333331</v>
      </c>
      <c r="R225" s="40">
        <v>0.33333333333333331</v>
      </c>
      <c r="S225" s="40"/>
      <c r="T225" s="40"/>
      <c r="U225" s="40"/>
      <c r="V225" s="40">
        <v>0.33333333333333331</v>
      </c>
      <c r="W225" s="40">
        <v>0.33333333333333331</v>
      </c>
      <c r="X225" s="40">
        <v>0.33333333333333331</v>
      </c>
      <c r="Y225" s="40">
        <v>0.33333333333333331</v>
      </c>
      <c r="Z225" s="40">
        <v>0.33333333333333331</v>
      </c>
      <c r="AA225" s="40"/>
      <c r="AB225" s="40"/>
      <c r="AC225" s="40">
        <v>0.33333333333333331</v>
      </c>
      <c r="AD225" s="40">
        <v>0.33333333333333331</v>
      </c>
      <c r="AE225" s="40"/>
      <c r="AF225" s="93"/>
      <c r="AG225" s="99">
        <f t="shared" si="37"/>
        <v>6.6666666666666643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/>
      <c r="AG226" s="28">
        <f t="shared" si="37"/>
        <v>0</v>
      </c>
      <c r="AH226" s="381"/>
    </row>
    <row r="227" spans="1:34" ht="18.75" x14ac:dyDescent="0.25">
      <c r="A227" s="55" t="s">
        <v>92</v>
      </c>
      <c r="B227" s="118">
        <f>SUM(B228:B230)</f>
        <v>7</v>
      </c>
      <c r="C227" s="118">
        <f t="shared" ref="C227:AF227" si="38">SUM(C228:C230)</f>
        <v>5</v>
      </c>
      <c r="D227" s="118">
        <f t="shared" si="38"/>
        <v>7</v>
      </c>
      <c r="E227" s="118">
        <f t="shared" si="38"/>
        <v>9</v>
      </c>
      <c r="F227" s="118">
        <f t="shared" si="38"/>
        <v>14</v>
      </c>
      <c r="G227" s="118">
        <f t="shared" si="38"/>
        <v>4</v>
      </c>
      <c r="H227" s="118">
        <f t="shared" si="38"/>
        <v>9</v>
      </c>
      <c r="I227" s="118">
        <f t="shared" si="38"/>
        <v>10</v>
      </c>
      <c r="J227" s="118">
        <f t="shared" si="38"/>
        <v>4</v>
      </c>
      <c r="K227" s="118">
        <f t="shared" si="38"/>
        <v>9</v>
      </c>
      <c r="L227" s="118">
        <f t="shared" si="38"/>
        <v>7</v>
      </c>
      <c r="M227" s="118">
        <f t="shared" si="38"/>
        <v>11</v>
      </c>
      <c r="N227" s="118">
        <f t="shared" si="38"/>
        <v>7</v>
      </c>
      <c r="O227" s="118">
        <f t="shared" si="38"/>
        <v>5</v>
      </c>
      <c r="P227" s="118">
        <f t="shared" si="38"/>
        <v>5</v>
      </c>
      <c r="Q227" s="118">
        <f t="shared" si="38"/>
        <v>6</v>
      </c>
      <c r="R227" s="118">
        <f t="shared" si="38"/>
        <v>7</v>
      </c>
      <c r="S227" s="118">
        <f t="shared" si="38"/>
        <v>8</v>
      </c>
      <c r="T227" s="118">
        <f t="shared" si="38"/>
        <v>5</v>
      </c>
      <c r="U227" s="118">
        <f t="shared" si="38"/>
        <v>3</v>
      </c>
      <c r="V227" s="118">
        <f t="shared" si="38"/>
        <v>5</v>
      </c>
      <c r="W227" s="118">
        <f t="shared" si="38"/>
        <v>3</v>
      </c>
      <c r="X227" s="118">
        <f t="shared" si="38"/>
        <v>3</v>
      </c>
      <c r="Y227" s="118">
        <f t="shared" si="38"/>
        <v>1</v>
      </c>
      <c r="Z227" s="118">
        <f t="shared" si="38"/>
        <v>3</v>
      </c>
      <c r="AA227" s="118">
        <f t="shared" si="38"/>
        <v>3</v>
      </c>
      <c r="AB227" s="118">
        <f t="shared" si="38"/>
        <v>4</v>
      </c>
      <c r="AC227" s="118">
        <f t="shared" si="38"/>
        <v>3</v>
      </c>
      <c r="AD227" s="118">
        <f t="shared" si="38"/>
        <v>5</v>
      </c>
      <c r="AE227" s="118">
        <f t="shared" si="38"/>
        <v>2</v>
      </c>
      <c r="AF227" s="118">
        <f t="shared" si="38"/>
        <v>0</v>
      </c>
      <c r="AG227" s="95">
        <f t="shared" si="37"/>
        <v>174</v>
      </c>
      <c r="AH227" s="379" t="s">
        <v>93</v>
      </c>
    </row>
    <row r="228" spans="1:34" ht="18.75" x14ac:dyDescent="0.25">
      <c r="A228" s="139" t="s">
        <v>94</v>
      </c>
      <c r="B228" s="140">
        <v>3</v>
      </c>
      <c r="C228" s="140">
        <v>2</v>
      </c>
      <c r="D228" s="140">
        <v>4</v>
      </c>
      <c r="E228" s="140">
        <v>4</v>
      </c>
      <c r="F228" s="140">
        <v>3</v>
      </c>
      <c r="G228" s="140">
        <v>1</v>
      </c>
      <c r="H228" s="140">
        <v>3</v>
      </c>
      <c r="I228" s="140">
        <v>3</v>
      </c>
      <c r="J228" s="140">
        <v>3</v>
      </c>
      <c r="K228" s="140">
        <v>3</v>
      </c>
      <c r="L228" s="140">
        <v>3</v>
      </c>
      <c r="M228" s="140">
        <v>4</v>
      </c>
      <c r="N228" s="145">
        <v>3</v>
      </c>
      <c r="O228" s="140">
        <v>1</v>
      </c>
      <c r="P228" s="140">
        <v>2</v>
      </c>
      <c r="Q228" s="140">
        <v>2</v>
      </c>
      <c r="R228" s="140">
        <v>3</v>
      </c>
      <c r="S228" s="140">
        <v>1</v>
      </c>
      <c r="T228" s="140">
        <v>0</v>
      </c>
      <c r="U228" s="140">
        <v>2</v>
      </c>
      <c r="V228" s="140">
        <v>1</v>
      </c>
      <c r="W228" s="140">
        <v>1</v>
      </c>
      <c r="X228" s="140">
        <v>0</v>
      </c>
      <c r="Y228" s="140">
        <v>0</v>
      </c>
      <c r="Z228" s="142">
        <v>0</v>
      </c>
      <c r="AA228" s="140">
        <v>0</v>
      </c>
      <c r="AB228" s="140">
        <v>2</v>
      </c>
      <c r="AC228" s="140">
        <v>2</v>
      </c>
      <c r="AD228" s="140">
        <v>1</v>
      </c>
      <c r="AE228" s="140">
        <v>0</v>
      </c>
      <c r="AF228" s="144"/>
      <c r="AG228" s="143">
        <f t="shared" si="37"/>
        <v>57</v>
      </c>
      <c r="AH228" s="380"/>
    </row>
    <row r="229" spans="1:34" ht="18.75" x14ac:dyDescent="0.25">
      <c r="A229" s="139" t="s">
        <v>95</v>
      </c>
      <c r="B229" s="140">
        <v>4</v>
      </c>
      <c r="C229" s="140">
        <v>3</v>
      </c>
      <c r="D229" s="140">
        <v>3</v>
      </c>
      <c r="E229" s="140">
        <v>5</v>
      </c>
      <c r="F229" s="140">
        <v>11</v>
      </c>
      <c r="G229" s="140">
        <v>3</v>
      </c>
      <c r="H229" s="140">
        <v>6</v>
      </c>
      <c r="I229" s="140">
        <v>7</v>
      </c>
      <c r="J229" s="140">
        <v>1</v>
      </c>
      <c r="K229" s="140">
        <v>6</v>
      </c>
      <c r="L229" s="140">
        <v>4</v>
      </c>
      <c r="M229" s="140">
        <v>7</v>
      </c>
      <c r="N229" s="145">
        <v>4</v>
      </c>
      <c r="O229" s="140">
        <v>4</v>
      </c>
      <c r="P229" s="140">
        <v>3</v>
      </c>
      <c r="Q229" s="140">
        <v>4</v>
      </c>
      <c r="R229" s="140">
        <v>4</v>
      </c>
      <c r="S229" s="140">
        <v>7</v>
      </c>
      <c r="T229" s="140">
        <v>5</v>
      </c>
      <c r="U229" s="140">
        <v>1</v>
      </c>
      <c r="V229" s="140">
        <v>4</v>
      </c>
      <c r="W229" s="140">
        <v>2</v>
      </c>
      <c r="X229" s="140">
        <v>3</v>
      </c>
      <c r="Y229" s="140">
        <v>1</v>
      </c>
      <c r="Z229" s="142">
        <v>3</v>
      </c>
      <c r="AA229" s="140">
        <v>3</v>
      </c>
      <c r="AB229" s="140">
        <v>2</v>
      </c>
      <c r="AC229" s="140">
        <v>1</v>
      </c>
      <c r="AD229" s="140">
        <v>4</v>
      </c>
      <c r="AE229" s="140">
        <v>2</v>
      </c>
      <c r="AF229" s="144"/>
      <c r="AG229" s="143">
        <f t="shared" si="37"/>
        <v>117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7"/>
        <v>0</v>
      </c>
      <c r="AH230" s="381"/>
    </row>
    <row r="231" spans="1:34" ht="24" thickBot="1" x14ac:dyDescent="0.3">
      <c r="A231" s="198" t="s">
        <v>148</v>
      </c>
      <c r="B231" s="199">
        <f>SUM(B232:B237)</f>
        <v>41</v>
      </c>
      <c r="C231" s="199">
        <f t="shared" ref="C231:AF231" si="39">SUM(C232:C237)</f>
        <v>45</v>
      </c>
      <c r="D231" s="199">
        <f t="shared" si="39"/>
        <v>43</v>
      </c>
      <c r="E231" s="199">
        <f t="shared" si="39"/>
        <v>37</v>
      </c>
      <c r="F231" s="199">
        <f t="shared" si="39"/>
        <v>25</v>
      </c>
      <c r="G231" s="199">
        <f t="shared" si="39"/>
        <v>66</v>
      </c>
      <c r="H231" s="199">
        <f t="shared" si="39"/>
        <v>53</v>
      </c>
      <c r="I231" s="199">
        <f t="shared" si="39"/>
        <v>38</v>
      </c>
      <c r="J231" s="199">
        <f t="shared" si="39"/>
        <v>34</v>
      </c>
      <c r="K231" s="199">
        <f t="shared" si="39"/>
        <v>36</v>
      </c>
      <c r="L231" s="199">
        <f t="shared" si="39"/>
        <v>34</v>
      </c>
      <c r="M231" s="199">
        <f t="shared" si="39"/>
        <v>31</v>
      </c>
      <c r="N231" s="199">
        <f t="shared" si="39"/>
        <v>50</v>
      </c>
      <c r="O231" s="199">
        <f t="shared" si="39"/>
        <v>59</v>
      </c>
      <c r="P231" s="199">
        <f t="shared" si="39"/>
        <v>35</v>
      </c>
      <c r="Q231" s="199">
        <f t="shared" si="39"/>
        <v>45</v>
      </c>
      <c r="R231" s="199">
        <f t="shared" si="39"/>
        <v>37</v>
      </c>
      <c r="S231" s="199">
        <f t="shared" si="39"/>
        <v>40</v>
      </c>
      <c r="T231" s="199">
        <f t="shared" si="39"/>
        <v>51</v>
      </c>
      <c r="U231" s="199">
        <f t="shared" si="39"/>
        <v>67</v>
      </c>
      <c r="V231" s="199">
        <f t="shared" si="39"/>
        <v>55</v>
      </c>
      <c r="W231" s="199">
        <f t="shared" si="39"/>
        <v>40</v>
      </c>
      <c r="X231" s="199">
        <f t="shared" si="39"/>
        <v>38</v>
      </c>
      <c r="Y231" s="199">
        <f t="shared" si="39"/>
        <v>52</v>
      </c>
      <c r="Z231" s="199">
        <f t="shared" si="39"/>
        <v>34</v>
      </c>
      <c r="AA231" s="199">
        <f t="shared" si="39"/>
        <v>48</v>
      </c>
      <c r="AB231" s="199">
        <f t="shared" si="39"/>
        <v>55</v>
      </c>
      <c r="AC231" s="199">
        <f t="shared" si="39"/>
        <v>72</v>
      </c>
      <c r="AD231" s="199">
        <f t="shared" si="39"/>
        <v>35</v>
      </c>
      <c r="AE231" s="199">
        <f t="shared" si="39"/>
        <v>37</v>
      </c>
      <c r="AF231" s="200">
        <f t="shared" si="39"/>
        <v>0</v>
      </c>
      <c r="AG231" s="201">
        <f t="shared" si="37"/>
        <v>1333</v>
      </c>
    </row>
    <row r="232" spans="1:34" ht="38.25" customHeight="1" x14ac:dyDescent="0.25">
      <c r="A232" s="231" t="s">
        <v>159</v>
      </c>
      <c r="B232" s="189">
        <v>29</v>
      </c>
      <c r="C232" s="189">
        <v>31</v>
      </c>
      <c r="D232" s="189">
        <v>30</v>
      </c>
      <c r="E232" s="189">
        <v>21</v>
      </c>
      <c r="F232" s="189">
        <v>13</v>
      </c>
      <c r="G232" s="189">
        <v>46</v>
      </c>
      <c r="H232" s="189">
        <v>38</v>
      </c>
      <c r="I232" s="189">
        <v>26</v>
      </c>
      <c r="J232" s="189">
        <v>24</v>
      </c>
      <c r="K232" s="189">
        <v>22</v>
      </c>
      <c r="L232" s="189">
        <v>24</v>
      </c>
      <c r="M232" s="189">
        <v>20</v>
      </c>
      <c r="N232" s="189">
        <v>38</v>
      </c>
      <c r="O232" s="189">
        <v>49</v>
      </c>
      <c r="P232" s="189">
        <v>26</v>
      </c>
      <c r="Q232" s="189">
        <v>34</v>
      </c>
      <c r="R232" s="189">
        <v>24</v>
      </c>
      <c r="S232" s="189">
        <v>32</v>
      </c>
      <c r="T232" s="189">
        <v>37</v>
      </c>
      <c r="U232" s="189">
        <v>46</v>
      </c>
      <c r="V232" s="189">
        <v>49</v>
      </c>
      <c r="W232" s="189">
        <v>30</v>
      </c>
      <c r="X232" s="189">
        <v>29</v>
      </c>
      <c r="Y232" s="189">
        <v>36</v>
      </c>
      <c r="Z232" s="189">
        <v>25</v>
      </c>
      <c r="AA232" s="189">
        <v>29</v>
      </c>
      <c r="AB232" s="189">
        <v>39</v>
      </c>
      <c r="AC232" s="189">
        <v>52</v>
      </c>
      <c r="AD232" s="189">
        <v>24</v>
      </c>
      <c r="AE232" s="189">
        <v>19</v>
      </c>
      <c r="AF232" s="196"/>
      <c r="AG232" s="197">
        <f t="shared" si="37"/>
        <v>942</v>
      </c>
    </row>
    <row r="233" spans="1:34" ht="40.5" customHeight="1" x14ac:dyDescent="0.25">
      <c r="A233" s="231" t="s">
        <v>160</v>
      </c>
      <c r="B233" s="189">
        <v>3</v>
      </c>
      <c r="C233" s="189">
        <v>1</v>
      </c>
      <c r="D233" s="189">
        <v>1</v>
      </c>
      <c r="E233" s="189">
        <v>1</v>
      </c>
      <c r="F233" s="189">
        <v>0</v>
      </c>
      <c r="G233" s="189">
        <v>1</v>
      </c>
      <c r="H233" s="189">
        <v>2</v>
      </c>
      <c r="I233" s="189">
        <v>2</v>
      </c>
      <c r="J233" s="189">
        <v>1</v>
      </c>
      <c r="K233" s="189">
        <v>5</v>
      </c>
      <c r="L233" s="189">
        <v>2</v>
      </c>
      <c r="M233" s="189">
        <v>0</v>
      </c>
      <c r="N233" s="189">
        <v>0</v>
      </c>
      <c r="O233" s="189">
        <v>0</v>
      </c>
      <c r="P233" s="189">
        <v>0</v>
      </c>
      <c r="Q233" s="189">
        <v>1</v>
      </c>
      <c r="R233" s="189">
        <v>1</v>
      </c>
      <c r="S233" s="189">
        <v>0</v>
      </c>
      <c r="T233" s="189">
        <v>0</v>
      </c>
      <c r="U233" s="189">
        <v>0</v>
      </c>
      <c r="V233" s="189">
        <v>2</v>
      </c>
      <c r="W233" s="189">
        <v>1</v>
      </c>
      <c r="X233" s="189">
        <v>2</v>
      </c>
      <c r="Y233" s="189">
        <v>0</v>
      </c>
      <c r="Z233" s="189">
        <v>3</v>
      </c>
      <c r="AA233" s="189">
        <v>0</v>
      </c>
      <c r="AB233" s="189">
        <v>3</v>
      </c>
      <c r="AC233" s="189">
        <v>2</v>
      </c>
      <c r="AD233" s="189">
        <v>2</v>
      </c>
      <c r="AE233" s="189">
        <v>6</v>
      </c>
      <c r="AF233" s="196"/>
      <c r="AG233" s="197">
        <f t="shared" si="37"/>
        <v>42</v>
      </c>
    </row>
    <row r="234" spans="1:34" ht="40.5" customHeight="1" x14ac:dyDescent="0.25">
      <c r="A234" s="231" t="s">
        <v>161</v>
      </c>
      <c r="B234" s="189">
        <v>2</v>
      </c>
      <c r="C234" s="189">
        <v>1</v>
      </c>
      <c r="D234" s="189">
        <v>1</v>
      </c>
      <c r="E234" s="189">
        <v>2</v>
      </c>
      <c r="F234" s="189">
        <v>2</v>
      </c>
      <c r="G234" s="189">
        <v>0</v>
      </c>
      <c r="H234" s="189">
        <v>1</v>
      </c>
      <c r="I234" s="189">
        <v>0</v>
      </c>
      <c r="J234" s="189">
        <v>0</v>
      </c>
      <c r="K234" s="189">
        <v>2</v>
      </c>
      <c r="L234" s="189">
        <v>0</v>
      </c>
      <c r="M234" s="189">
        <v>0</v>
      </c>
      <c r="N234" s="189">
        <v>1</v>
      </c>
      <c r="O234" s="189">
        <v>0</v>
      </c>
      <c r="P234" s="189">
        <v>2</v>
      </c>
      <c r="Q234" s="189">
        <v>1</v>
      </c>
      <c r="R234" s="189">
        <v>1</v>
      </c>
      <c r="S234" s="189">
        <v>0</v>
      </c>
      <c r="T234" s="189">
        <v>6</v>
      </c>
      <c r="U234" s="189">
        <v>6</v>
      </c>
      <c r="V234" s="189">
        <v>0</v>
      </c>
      <c r="W234" s="189">
        <v>1</v>
      </c>
      <c r="X234" s="189">
        <v>3</v>
      </c>
      <c r="Y234" s="189">
        <v>0</v>
      </c>
      <c r="Z234" s="189">
        <v>1</v>
      </c>
      <c r="AA234" s="189">
        <v>2</v>
      </c>
      <c r="AB234" s="189">
        <v>1</v>
      </c>
      <c r="AC234" s="189">
        <v>1</v>
      </c>
      <c r="AD234" s="189">
        <v>0</v>
      </c>
      <c r="AE234" s="189">
        <v>0</v>
      </c>
      <c r="AF234" s="196"/>
      <c r="AG234" s="197">
        <f t="shared" si="37"/>
        <v>37</v>
      </c>
    </row>
    <row r="235" spans="1:34" ht="40.5" customHeight="1" x14ac:dyDescent="0.25">
      <c r="A235" s="231" t="s">
        <v>162</v>
      </c>
      <c r="B235" s="189">
        <v>4</v>
      </c>
      <c r="C235" s="189">
        <v>8</v>
      </c>
      <c r="D235" s="189">
        <v>9</v>
      </c>
      <c r="E235" s="189">
        <v>5</v>
      </c>
      <c r="F235" s="189">
        <v>6</v>
      </c>
      <c r="G235" s="189">
        <v>15</v>
      </c>
      <c r="H235" s="189">
        <v>6</v>
      </c>
      <c r="I235" s="189">
        <v>7</v>
      </c>
      <c r="J235" s="189">
        <v>7</v>
      </c>
      <c r="K235" s="189">
        <v>6</v>
      </c>
      <c r="L235" s="189">
        <v>5</v>
      </c>
      <c r="M235" s="189">
        <v>9</v>
      </c>
      <c r="N235" s="189">
        <v>10</v>
      </c>
      <c r="O235" s="189">
        <v>7</v>
      </c>
      <c r="P235" s="189">
        <v>3</v>
      </c>
      <c r="Q235" s="189">
        <v>5</v>
      </c>
      <c r="R235" s="189">
        <v>7</v>
      </c>
      <c r="S235" s="189">
        <v>7</v>
      </c>
      <c r="T235" s="189">
        <v>8</v>
      </c>
      <c r="U235" s="189">
        <v>6</v>
      </c>
      <c r="V235" s="189">
        <v>1</v>
      </c>
      <c r="W235" s="189">
        <v>8</v>
      </c>
      <c r="X235" s="189">
        <v>4</v>
      </c>
      <c r="Y235" s="189">
        <v>10</v>
      </c>
      <c r="Z235" s="189">
        <v>1</v>
      </c>
      <c r="AA235" s="189">
        <v>11</v>
      </c>
      <c r="AB235" s="189">
        <v>9</v>
      </c>
      <c r="AC235" s="189">
        <v>9</v>
      </c>
      <c r="AD235" s="189">
        <v>6</v>
      </c>
      <c r="AE235" s="189">
        <v>7</v>
      </c>
      <c r="AF235" s="196"/>
      <c r="AG235" s="197">
        <f t="shared" si="37"/>
        <v>206</v>
      </c>
    </row>
    <row r="236" spans="1:34" ht="40.5" customHeight="1" x14ac:dyDescent="0.25">
      <c r="A236" s="232" t="s">
        <v>163</v>
      </c>
      <c r="B236" s="137">
        <v>3</v>
      </c>
      <c r="C236" s="137">
        <v>4</v>
      </c>
      <c r="D236" s="137">
        <v>0</v>
      </c>
      <c r="E236" s="137">
        <v>2</v>
      </c>
      <c r="F236" s="137">
        <v>4</v>
      </c>
      <c r="G236" s="137">
        <v>3</v>
      </c>
      <c r="H236" s="137">
        <v>5</v>
      </c>
      <c r="I236" s="137">
        <v>2</v>
      </c>
      <c r="J236" s="137">
        <v>1</v>
      </c>
      <c r="K236" s="137">
        <v>1</v>
      </c>
      <c r="L236" s="137">
        <v>2</v>
      </c>
      <c r="M236" s="137">
        <v>2</v>
      </c>
      <c r="N236" s="137">
        <v>1</v>
      </c>
      <c r="O236" s="137">
        <v>2</v>
      </c>
      <c r="P236" s="137">
        <v>2</v>
      </c>
      <c r="Q236" s="137">
        <v>3</v>
      </c>
      <c r="R236" s="137">
        <v>4</v>
      </c>
      <c r="S236" s="137">
        <v>1</v>
      </c>
      <c r="T236" s="137">
        <v>0</v>
      </c>
      <c r="U236" s="137">
        <v>7</v>
      </c>
      <c r="V236" s="137">
        <v>2</v>
      </c>
      <c r="W236" s="137">
        <v>0</v>
      </c>
      <c r="X236" s="137">
        <v>0</v>
      </c>
      <c r="Y236" s="137">
        <v>4</v>
      </c>
      <c r="Z236" s="137">
        <v>2</v>
      </c>
      <c r="AA236" s="137">
        <v>6</v>
      </c>
      <c r="AB236" s="137">
        <v>1</v>
      </c>
      <c r="AC236" s="137">
        <v>6</v>
      </c>
      <c r="AD236" s="137">
        <v>2</v>
      </c>
      <c r="AE236" s="137">
        <v>4</v>
      </c>
      <c r="AF236" s="188"/>
      <c r="AG236" s="138">
        <f t="shared" si="37"/>
        <v>76</v>
      </c>
    </row>
    <row r="237" spans="1:34" ht="39.75" customHeight="1" thickBot="1" x14ac:dyDescent="0.3">
      <c r="A237" s="233" t="s">
        <v>164</v>
      </c>
      <c r="B237" s="222">
        <v>0</v>
      </c>
      <c r="C237" s="222">
        <v>0</v>
      </c>
      <c r="D237" s="222">
        <v>2</v>
      </c>
      <c r="E237" s="222">
        <v>6</v>
      </c>
      <c r="F237" s="222">
        <v>0</v>
      </c>
      <c r="G237" s="222">
        <v>1</v>
      </c>
      <c r="H237" s="222">
        <v>1</v>
      </c>
      <c r="I237" s="222">
        <v>1</v>
      </c>
      <c r="J237" s="222">
        <v>1</v>
      </c>
      <c r="K237" s="222">
        <v>0</v>
      </c>
      <c r="L237" s="222">
        <v>1</v>
      </c>
      <c r="M237" s="222">
        <v>0</v>
      </c>
      <c r="N237" s="222">
        <v>0</v>
      </c>
      <c r="O237" s="222">
        <v>1</v>
      </c>
      <c r="P237" s="222">
        <v>2</v>
      </c>
      <c r="Q237" s="222">
        <v>1</v>
      </c>
      <c r="R237" s="222">
        <v>0</v>
      </c>
      <c r="S237" s="222">
        <v>0</v>
      </c>
      <c r="T237" s="222">
        <v>0</v>
      </c>
      <c r="U237" s="222">
        <v>2</v>
      </c>
      <c r="V237" s="222">
        <v>1</v>
      </c>
      <c r="W237" s="222">
        <v>0</v>
      </c>
      <c r="X237" s="222">
        <v>0</v>
      </c>
      <c r="Y237" s="222">
        <v>2</v>
      </c>
      <c r="Z237" s="222">
        <v>2</v>
      </c>
      <c r="AA237" s="222">
        <v>0</v>
      </c>
      <c r="AB237" s="222">
        <v>2</v>
      </c>
      <c r="AC237" s="222">
        <v>2</v>
      </c>
      <c r="AD237" s="222">
        <v>1</v>
      </c>
      <c r="AE237" s="222">
        <v>1</v>
      </c>
      <c r="AF237" s="223"/>
      <c r="AG237" s="224">
        <f t="shared" si="37"/>
        <v>30</v>
      </c>
    </row>
    <row r="238" spans="1:34" ht="21.75" x14ac:dyDescent="0.25">
      <c r="A238" s="285" t="s">
        <v>151</v>
      </c>
      <c r="B238" s="251">
        <v>8.819444444444445E-2</v>
      </c>
      <c r="C238" s="251">
        <v>5.9027777777777783E-2</v>
      </c>
      <c r="D238" s="251">
        <v>6.9444444444444448E-2</v>
      </c>
      <c r="E238" s="251">
        <v>8.1250000000000003E-2</v>
      </c>
      <c r="F238" s="251">
        <v>8.6805555555555566E-2</v>
      </c>
      <c r="G238" s="251">
        <v>3.9583333333333331E-2</v>
      </c>
      <c r="H238" s="251">
        <v>7.5694444444444439E-2</v>
      </c>
      <c r="I238" s="251">
        <v>6.5972222222222224E-2</v>
      </c>
      <c r="J238" s="251">
        <v>6.0416666666666667E-2</v>
      </c>
      <c r="K238" s="251">
        <v>5.8333333333333327E-2</v>
      </c>
      <c r="L238" s="251">
        <v>7.2222222222222229E-2</v>
      </c>
      <c r="M238" s="251">
        <v>6.8749999999999992E-2</v>
      </c>
      <c r="N238" s="280">
        <v>7.9166666666666663E-2</v>
      </c>
      <c r="O238" s="251">
        <v>5.3472222222222227E-2</v>
      </c>
      <c r="P238" s="251">
        <v>7.0833333333333331E-2</v>
      </c>
      <c r="Q238" s="251">
        <v>6.8749999999999992E-2</v>
      </c>
      <c r="R238" s="251">
        <v>6.805555555555555E-2</v>
      </c>
      <c r="S238" s="251">
        <v>5.7638888888888885E-2</v>
      </c>
      <c r="T238" s="251">
        <v>5.2777777777777778E-2</v>
      </c>
      <c r="U238" s="251">
        <v>5.2777777777777778E-2</v>
      </c>
      <c r="V238" s="251">
        <v>6.3888888888888898E-2</v>
      </c>
      <c r="W238" s="251">
        <v>5.4166666666666669E-2</v>
      </c>
      <c r="X238" s="251">
        <v>4.4444444444444446E-2</v>
      </c>
      <c r="Y238" s="251">
        <v>6.9444444444444448E-2</v>
      </c>
      <c r="Z238" s="251">
        <v>8.1250000000000003E-2</v>
      </c>
      <c r="AA238" s="251">
        <v>8.3333333333333329E-2</v>
      </c>
      <c r="AB238" s="251">
        <v>7.5694444444444439E-2</v>
      </c>
      <c r="AC238" s="251">
        <v>6.0416666666666667E-2</v>
      </c>
      <c r="AD238" s="251">
        <v>4.7222222222222221E-2</v>
      </c>
      <c r="AE238" s="251">
        <v>8.1250000000000003E-2</v>
      </c>
      <c r="AF238" s="251"/>
      <c r="AG238" s="321"/>
    </row>
    <row r="239" spans="1:34" ht="22.5" thickBot="1" x14ac:dyDescent="0.3">
      <c r="A239" s="287" t="s">
        <v>152</v>
      </c>
      <c r="B239" s="252">
        <v>0.11666666666666665</v>
      </c>
      <c r="C239" s="252">
        <v>6.5972222222222224E-2</v>
      </c>
      <c r="D239" s="252">
        <v>8.3333333333333329E-2</v>
      </c>
      <c r="E239" s="252">
        <v>8.0555555555555561E-2</v>
      </c>
      <c r="F239" s="252">
        <v>0.1111111111111111</v>
      </c>
      <c r="G239" s="252">
        <v>3.888888888888889E-2</v>
      </c>
      <c r="H239" s="252">
        <v>8.2638888888888887E-2</v>
      </c>
      <c r="I239" s="252">
        <v>8.7500000000000008E-2</v>
      </c>
      <c r="J239" s="252">
        <v>7.1527777777777773E-2</v>
      </c>
      <c r="K239" s="252">
        <v>6.458333333333334E-2</v>
      </c>
      <c r="L239" s="252">
        <v>8.8888888888888892E-2</v>
      </c>
      <c r="M239" s="252">
        <v>6.8749999999999992E-2</v>
      </c>
      <c r="N239" s="281">
        <v>8.819444444444445E-2</v>
      </c>
      <c r="O239" s="252">
        <v>5.2083333333333336E-2</v>
      </c>
      <c r="P239" s="252">
        <v>7.7083333333333337E-2</v>
      </c>
      <c r="Q239" s="252">
        <v>8.1250000000000003E-2</v>
      </c>
      <c r="R239" s="252">
        <v>8.4722222222222213E-2</v>
      </c>
      <c r="S239" s="252">
        <v>6.5277777777777782E-2</v>
      </c>
      <c r="T239" s="252">
        <v>4.2361111111111106E-2</v>
      </c>
      <c r="U239" s="252">
        <v>4.8611111111111112E-2</v>
      </c>
      <c r="V239" s="252">
        <v>5.2083333333333336E-2</v>
      </c>
      <c r="W239" s="252">
        <v>4.7916666666666663E-2</v>
      </c>
      <c r="X239" s="252">
        <v>4.1666666666666664E-2</v>
      </c>
      <c r="Y239" s="252">
        <v>8.6111111111111124E-2</v>
      </c>
      <c r="Z239" s="252">
        <v>9.2361111111111116E-2</v>
      </c>
      <c r="AA239" s="252">
        <v>0.10277777777777779</v>
      </c>
      <c r="AB239" s="252">
        <v>8.1944444444444445E-2</v>
      </c>
      <c r="AC239" s="252">
        <v>6.8749999999999992E-2</v>
      </c>
      <c r="AD239" s="252">
        <v>3.5416666666666666E-2</v>
      </c>
      <c r="AE239" s="252">
        <v>9.4444444444444442E-2</v>
      </c>
      <c r="AF239" s="252"/>
      <c r="AG239" s="323"/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54">
        <v>0</v>
      </c>
      <c r="C241" s="255">
        <v>0</v>
      </c>
      <c r="D241" s="255">
        <v>0</v>
      </c>
      <c r="E241" s="255">
        <v>0</v>
      </c>
      <c r="F241" s="255">
        <v>6.2499999999999995E-3</v>
      </c>
      <c r="G241" s="255">
        <v>0</v>
      </c>
      <c r="H241" s="255">
        <v>0</v>
      </c>
      <c r="I241" s="255">
        <v>0</v>
      </c>
      <c r="J241" s="255">
        <v>0</v>
      </c>
      <c r="K241" s="255">
        <v>0</v>
      </c>
      <c r="L241" s="255">
        <v>0</v>
      </c>
      <c r="M241" s="255">
        <v>0</v>
      </c>
      <c r="N241" s="255">
        <v>0.15972222222222224</v>
      </c>
      <c r="O241" s="255">
        <v>0</v>
      </c>
      <c r="P241" s="255">
        <v>0</v>
      </c>
      <c r="Q241" s="255">
        <v>0</v>
      </c>
      <c r="R241" s="255">
        <v>0</v>
      </c>
      <c r="S241" s="255">
        <v>0</v>
      </c>
      <c r="T241" s="255">
        <v>0</v>
      </c>
      <c r="U241" s="255">
        <v>0</v>
      </c>
      <c r="V241" s="255">
        <v>0</v>
      </c>
      <c r="W241" s="255">
        <v>0</v>
      </c>
      <c r="X241" s="255">
        <v>0</v>
      </c>
      <c r="Y241" s="255">
        <v>0</v>
      </c>
      <c r="Z241" s="255">
        <v>0</v>
      </c>
      <c r="AA241" s="255">
        <v>0</v>
      </c>
      <c r="AB241" s="255">
        <v>0</v>
      </c>
      <c r="AC241" s="255">
        <v>0</v>
      </c>
      <c r="AD241" s="255">
        <v>0</v>
      </c>
      <c r="AE241" s="255">
        <v>0</v>
      </c>
      <c r="AF241" s="256"/>
      <c r="AG241" s="257">
        <f>AVERAGE(B241:AF241)</f>
        <v>5.5324074074074078E-3</v>
      </c>
    </row>
    <row r="242" spans="1:33" ht="23.25" x14ac:dyDescent="0.35">
      <c r="A242" s="253" t="s">
        <v>73</v>
      </c>
      <c r="B242" s="258">
        <v>1.9444444444444445E-2</v>
      </c>
      <c r="C242" s="259">
        <v>0</v>
      </c>
      <c r="D242" s="259">
        <v>0</v>
      </c>
      <c r="E242" s="259">
        <v>0.16597222222222222</v>
      </c>
      <c r="F242" s="259">
        <v>0</v>
      </c>
      <c r="G242" s="259">
        <v>1.7361111111111112E-2</v>
      </c>
      <c r="H242" s="259">
        <v>0</v>
      </c>
      <c r="I242" s="259">
        <v>1.3194444444444444E-2</v>
      </c>
      <c r="J242" s="259">
        <v>1.5972222222222224E-2</v>
      </c>
      <c r="K242" s="259">
        <v>0</v>
      </c>
      <c r="L242" s="259">
        <v>0</v>
      </c>
      <c r="M242" s="259">
        <v>2.6388888888888889E-2</v>
      </c>
      <c r="N242" s="259">
        <v>0</v>
      </c>
      <c r="O242" s="259">
        <v>2.361111111111111E-2</v>
      </c>
      <c r="P242" s="259">
        <v>1.3194444444444444E-2</v>
      </c>
      <c r="Q242" s="259">
        <v>0</v>
      </c>
      <c r="R242" s="259">
        <v>9.0277777777777787E-3</v>
      </c>
      <c r="S242" s="259">
        <v>1.5277777777777777E-2</v>
      </c>
      <c r="T242" s="259">
        <v>0</v>
      </c>
      <c r="U242" s="259">
        <v>0</v>
      </c>
      <c r="V242" s="259">
        <v>1.6666666666666666E-2</v>
      </c>
      <c r="W242" s="259">
        <v>0</v>
      </c>
      <c r="X242" s="259">
        <v>7.6388888888888886E-3</v>
      </c>
      <c r="Y242" s="259">
        <v>7.6388888888888886E-3</v>
      </c>
      <c r="Z242" s="259">
        <v>9.8611111111111108E-2</v>
      </c>
      <c r="AA242" s="259">
        <v>1.7361111111111112E-2</v>
      </c>
      <c r="AB242" s="259">
        <v>5.6944444444444443E-2</v>
      </c>
      <c r="AC242" s="259">
        <v>5.7638888888888885E-2</v>
      </c>
      <c r="AD242" s="259">
        <v>4.6527777777777779E-2</v>
      </c>
      <c r="AE242" s="259">
        <v>0</v>
      </c>
      <c r="AF242" s="260"/>
      <c r="AG242" s="261">
        <f>AVERAGE(B242:AF242)</f>
        <v>2.0949074074074071E-2</v>
      </c>
    </row>
    <row r="243" spans="1:33" ht="23.25" x14ac:dyDescent="0.35">
      <c r="A243" s="253" t="s">
        <v>74</v>
      </c>
      <c r="B243" s="258">
        <v>4.9999999999999996E-2</v>
      </c>
      <c r="C243" s="259">
        <v>3.0555555555555555E-2</v>
      </c>
      <c r="D243" s="259">
        <v>2.4305555555555556E-2</v>
      </c>
      <c r="E243" s="259">
        <v>3.125E-2</v>
      </c>
      <c r="F243" s="259">
        <v>4.4444444444444446E-2</v>
      </c>
      <c r="G243" s="259">
        <v>3.1944444444444449E-2</v>
      </c>
      <c r="H243" s="259">
        <v>3.888888888888889E-2</v>
      </c>
      <c r="I243" s="259">
        <v>2.9166666666666664E-2</v>
      </c>
      <c r="J243" s="259">
        <v>3.4722222222222224E-2</v>
      </c>
      <c r="K243" s="259">
        <v>4.0972222222222222E-2</v>
      </c>
      <c r="L243" s="259">
        <v>3.4722222222222224E-2</v>
      </c>
      <c r="M243" s="259">
        <v>3.3333333333333333E-2</v>
      </c>
      <c r="N243" s="259">
        <v>3.6805555555555557E-2</v>
      </c>
      <c r="O243" s="259">
        <v>2.7083333333333334E-2</v>
      </c>
      <c r="P243" s="259">
        <v>4.0972222222222222E-2</v>
      </c>
      <c r="Q243" s="259">
        <v>3.8194444444444441E-2</v>
      </c>
      <c r="R243" s="259">
        <v>3.8194444444444441E-2</v>
      </c>
      <c r="S243" s="259">
        <v>3.8194444444444441E-2</v>
      </c>
      <c r="T243" s="259">
        <v>4.3750000000000004E-2</v>
      </c>
      <c r="U243" s="259">
        <v>1.7361111111111112E-2</v>
      </c>
      <c r="V243" s="259">
        <v>3.5416666666666666E-2</v>
      </c>
      <c r="W243" s="259">
        <v>2.5694444444444447E-2</v>
      </c>
      <c r="X243" s="259">
        <v>3.4722222222222224E-2</v>
      </c>
      <c r="Y243" s="259">
        <v>5.0694444444444438E-2</v>
      </c>
      <c r="Z243" s="259">
        <v>3.5416666666666666E-2</v>
      </c>
      <c r="AA243" s="259">
        <v>3.125E-2</v>
      </c>
      <c r="AB243" s="259">
        <v>3.2638888888888891E-2</v>
      </c>
      <c r="AC243" s="259">
        <v>2.2222222222222223E-2</v>
      </c>
      <c r="AD243" s="259">
        <v>3.6111111111111115E-2</v>
      </c>
      <c r="AE243" s="259">
        <v>3.125E-2</v>
      </c>
      <c r="AF243" s="260"/>
      <c r="AG243" s="261">
        <f>AVERAGE(B243:AF243)</f>
        <v>3.4675925925925929E-2</v>
      </c>
    </row>
    <row r="244" spans="1:33" ht="23.25" x14ac:dyDescent="0.35">
      <c r="A244" s="253" t="s">
        <v>75</v>
      </c>
      <c r="B244" s="258">
        <v>0.12013888888888889</v>
      </c>
      <c r="C244" s="259">
        <v>8.0555555555555561E-2</v>
      </c>
      <c r="D244" s="259">
        <v>0.10138888888888888</v>
      </c>
      <c r="E244" s="259">
        <v>0.11180555555555555</v>
      </c>
      <c r="F244" s="259">
        <v>0.15555555555555556</v>
      </c>
      <c r="G244" s="259">
        <v>4.9305555555555554E-2</v>
      </c>
      <c r="H244" s="259">
        <v>0.10347222222222223</v>
      </c>
      <c r="I244" s="259">
        <v>0.10555555555555556</v>
      </c>
      <c r="J244" s="259">
        <v>9.930555555555555E-2</v>
      </c>
      <c r="K244" s="259">
        <v>0.11041666666666666</v>
      </c>
      <c r="L244" s="259">
        <v>0.11388888888888889</v>
      </c>
      <c r="M244" s="259">
        <v>8.9583333333333334E-2</v>
      </c>
      <c r="N244" s="259">
        <v>0.10069444444444443</v>
      </c>
      <c r="O244" s="259">
        <v>6.1805555555555558E-2</v>
      </c>
      <c r="P244" s="259">
        <v>0.12291666666666667</v>
      </c>
      <c r="Q244" s="259">
        <v>0.11041666666666666</v>
      </c>
      <c r="R244" s="259">
        <v>0.11666666666666665</v>
      </c>
      <c r="S244" s="259">
        <v>8.1250000000000003E-2</v>
      </c>
      <c r="T244" s="259">
        <v>3.6805555555555557E-2</v>
      </c>
      <c r="U244" s="259">
        <v>5.0694444444444438E-2</v>
      </c>
      <c r="V244" s="259">
        <v>5.2777777777777778E-2</v>
      </c>
      <c r="W244" s="259">
        <v>6.9444444444444448E-2</v>
      </c>
      <c r="X244" s="259">
        <v>5.6944444444444443E-2</v>
      </c>
      <c r="Y244" s="259">
        <v>0.1277777777777778</v>
      </c>
      <c r="Z244" s="259">
        <v>0.125</v>
      </c>
      <c r="AA244" s="259">
        <v>0.14027777777777778</v>
      </c>
      <c r="AB244" s="259">
        <v>8.0555555555555561E-2</v>
      </c>
      <c r="AC244" s="259">
        <v>5.2777777777777778E-2</v>
      </c>
      <c r="AD244" s="259">
        <v>5.9722222222222225E-2</v>
      </c>
      <c r="AE244" s="259">
        <v>0.12222222222222222</v>
      </c>
      <c r="AF244" s="260"/>
      <c r="AG244" s="261">
        <f>AVERAGE(B244:AF244)</f>
        <v>9.3657407407407425E-2</v>
      </c>
    </row>
    <row r="245" spans="1:33" ht="24" thickBot="1" x14ac:dyDescent="0.4">
      <c r="A245" s="262" t="s">
        <v>76</v>
      </c>
      <c r="B245" s="263">
        <v>0.22569444444444445</v>
      </c>
      <c r="C245" s="264">
        <v>9.0972222222222218E-2</v>
      </c>
      <c r="D245" s="264">
        <v>8.6805555555555566E-2</v>
      </c>
      <c r="E245" s="264">
        <v>0.15</v>
      </c>
      <c r="F245" s="264">
        <v>8.5416666666666655E-2</v>
      </c>
      <c r="G245" s="264">
        <v>4.6527777777777779E-2</v>
      </c>
      <c r="H245" s="264">
        <v>0.10972222222222222</v>
      </c>
      <c r="I245" s="264">
        <v>0.13958333333333334</v>
      </c>
      <c r="J245" s="264">
        <v>0.19791666666666666</v>
      </c>
      <c r="K245" s="264">
        <v>6.3888888888888898E-2</v>
      </c>
      <c r="L245" s="264">
        <v>0.1277777777777778</v>
      </c>
      <c r="M245" s="264">
        <v>9.3055555555555558E-2</v>
      </c>
      <c r="N245" s="264">
        <v>0.10277777777777779</v>
      </c>
      <c r="O245" s="264">
        <v>7.6388888888888881E-2</v>
      </c>
      <c r="P245" s="264">
        <v>8.819444444444445E-2</v>
      </c>
      <c r="Q245" s="264">
        <v>7.9861111111111119E-2</v>
      </c>
      <c r="R245" s="264">
        <v>4.5833333333333337E-2</v>
      </c>
      <c r="S245" s="264">
        <v>0.11458333333333333</v>
      </c>
      <c r="T245" s="264">
        <v>6.3194444444444442E-2</v>
      </c>
      <c r="U245" s="264">
        <v>7.4305555555555555E-2</v>
      </c>
      <c r="V245" s="264">
        <v>0.13263888888888889</v>
      </c>
      <c r="W245" s="264">
        <v>0.12291666666666667</v>
      </c>
      <c r="X245" s="264">
        <v>0.11041666666666666</v>
      </c>
      <c r="Y245" s="264">
        <v>6.9444444444444448E-2</v>
      </c>
      <c r="Z245" s="264">
        <v>0.12152777777777778</v>
      </c>
      <c r="AA245" s="264">
        <v>0.10069444444444443</v>
      </c>
      <c r="AB245" s="264">
        <v>0.16944444444444443</v>
      </c>
      <c r="AC245" s="264">
        <v>0.11180555555555555</v>
      </c>
      <c r="AD245" s="264">
        <v>6.5972222222222224E-2</v>
      </c>
      <c r="AE245" s="264">
        <v>0.11527777777777777</v>
      </c>
      <c r="AF245" s="265"/>
      <c r="AG245" s="266">
        <f>AVERAGE(B245:AF245)</f>
        <v>0.10608796296296298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96" priority="7" operator="lessThan">
      <formula>0</formula>
    </cfRule>
  </conditionalFormatting>
  <conditionalFormatting sqref="D54:D77">
    <cfRule type="cellIs" dxfId="95" priority="3" operator="lessThan">
      <formula>0</formula>
    </cfRule>
  </conditionalFormatting>
  <conditionalFormatting sqref="G54:G77">
    <cfRule type="cellIs" dxfId="94" priority="2" operator="lessThan">
      <formula>0</formula>
    </cfRule>
  </conditionalFormatting>
  <conditionalFormatting sqref="R54:R77">
    <cfRule type="cellIs" dxfId="93" priority="1" operator="lessThan">
      <formula>0</formula>
    </cfRule>
  </conditionalFormatting>
  <conditionalFormatting sqref="AH81">
    <cfRule type="cellIs" dxfId="92" priority="5" operator="equal">
      <formula>"*"</formula>
    </cfRule>
  </conditionalFormatting>
  <conditionalFormatting sqref="AH84 AH87">
    <cfRule type="cellIs" dxfId="91" priority="6" operator="equal">
      <formula>"*"</formula>
    </cfRule>
  </conditionalFormatting>
  <conditionalFormatting sqref="AH93">
    <cfRule type="cellIs" dxfId="90" priority="11" operator="equal">
      <formula>"*"</formula>
    </cfRule>
  </conditionalFormatting>
  <conditionalFormatting sqref="AH130">
    <cfRule type="cellIs" dxfId="89" priority="9" operator="equal">
      <formula>"*"</formula>
    </cfRule>
  </conditionalFormatting>
  <conditionalFormatting sqref="AH144:AH145">
    <cfRule type="cellIs" dxfId="88" priority="10" operator="equal">
      <formula>"*"</formula>
    </cfRule>
  </conditionalFormatting>
  <conditionalFormatting sqref="AH179">
    <cfRule type="cellIs" dxfId="87" priority="8" operator="equal">
      <formula>"*"</formula>
    </cfRule>
  </conditionalFormatting>
  <conditionalFormatting sqref="AH204">
    <cfRule type="cellIs" dxfId="86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6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75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N58" sqref="N5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157</v>
      </c>
      <c r="B2" s="106">
        <v>1</v>
      </c>
      <c r="C2" s="234">
        <f t="shared" ref="C2:AA2" si="0">+B2+1</f>
        <v>2</v>
      </c>
      <c r="D2" s="234">
        <f t="shared" si="0"/>
        <v>3</v>
      </c>
      <c r="E2" s="106">
        <f t="shared" si="0"/>
        <v>4</v>
      </c>
      <c r="F2" s="106">
        <f t="shared" si="0"/>
        <v>5</v>
      </c>
      <c r="G2" s="234">
        <f t="shared" si="0"/>
        <v>6</v>
      </c>
      <c r="H2" s="234">
        <f t="shared" si="0"/>
        <v>7</v>
      </c>
      <c r="I2" s="234">
        <f t="shared" si="0"/>
        <v>8</v>
      </c>
      <c r="J2" s="234">
        <f t="shared" si="0"/>
        <v>9</v>
      </c>
      <c r="K2" s="234">
        <f t="shared" si="0"/>
        <v>10</v>
      </c>
      <c r="L2" s="106">
        <f t="shared" si="0"/>
        <v>11</v>
      </c>
      <c r="M2" s="106">
        <f t="shared" si="0"/>
        <v>12</v>
      </c>
      <c r="N2" s="234">
        <f t="shared" si="0"/>
        <v>13</v>
      </c>
      <c r="O2" s="234">
        <f t="shared" si="0"/>
        <v>14</v>
      </c>
      <c r="P2" s="234">
        <f t="shared" si="0"/>
        <v>15</v>
      </c>
      <c r="Q2" s="234">
        <f t="shared" si="0"/>
        <v>16</v>
      </c>
      <c r="R2" s="234">
        <f t="shared" si="0"/>
        <v>17</v>
      </c>
      <c r="S2" s="106">
        <f t="shared" si="0"/>
        <v>18</v>
      </c>
      <c r="T2" s="106">
        <f t="shared" si="0"/>
        <v>19</v>
      </c>
      <c r="U2" s="234">
        <f t="shared" si="0"/>
        <v>20</v>
      </c>
      <c r="V2" s="106">
        <f t="shared" si="0"/>
        <v>21</v>
      </c>
      <c r="W2" s="234">
        <f t="shared" si="0"/>
        <v>22</v>
      </c>
      <c r="X2" s="234">
        <f t="shared" si="0"/>
        <v>23</v>
      </c>
      <c r="Y2" s="234">
        <f t="shared" si="0"/>
        <v>24</v>
      </c>
      <c r="Z2" s="106">
        <f t="shared" si="0"/>
        <v>25</v>
      </c>
      <c r="AA2" s="106">
        <f t="shared" si="0"/>
        <v>26</v>
      </c>
      <c r="AB2" s="234">
        <v>27</v>
      </c>
      <c r="AC2" s="234">
        <f>+AB2+1</f>
        <v>28</v>
      </c>
      <c r="AD2" s="234">
        <v>29</v>
      </c>
      <c r="AE2" s="234">
        <v>30</v>
      </c>
      <c r="AF2" s="234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209</v>
      </c>
      <c r="C3" s="135">
        <f t="shared" si="1"/>
        <v>124</v>
      </c>
      <c r="D3" s="135">
        <f t="shared" si="1"/>
        <v>133</v>
      </c>
      <c r="E3" s="135">
        <f t="shared" si="1"/>
        <v>252</v>
      </c>
      <c r="F3" s="135">
        <f t="shared" si="1"/>
        <v>232</v>
      </c>
      <c r="G3" s="135">
        <f t="shared" si="1"/>
        <v>222</v>
      </c>
      <c r="H3" s="135">
        <f t="shared" si="1"/>
        <v>175</v>
      </c>
      <c r="I3" s="135">
        <f t="shared" si="1"/>
        <v>149</v>
      </c>
      <c r="J3" s="135">
        <f t="shared" si="1"/>
        <v>142</v>
      </c>
      <c r="K3" s="135">
        <f t="shared" si="1"/>
        <v>140</v>
      </c>
      <c r="L3" s="135">
        <f t="shared" si="1"/>
        <v>235</v>
      </c>
      <c r="M3" s="135">
        <f t="shared" si="1"/>
        <v>222</v>
      </c>
      <c r="N3" s="135">
        <f t="shared" si="1"/>
        <v>236</v>
      </c>
      <c r="O3" s="135">
        <f t="shared" si="1"/>
        <v>203</v>
      </c>
      <c r="P3" s="135">
        <f t="shared" si="1"/>
        <v>186</v>
      </c>
      <c r="Q3" s="135">
        <f t="shared" si="1"/>
        <v>185</v>
      </c>
      <c r="R3" s="135">
        <f t="shared" si="1"/>
        <v>175</v>
      </c>
      <c r="S3" s="135">
        <f t="shared" si="1"/>
        <v>254</v>
      </c>
      <c r="T3" s="135">
        <f t="shared" si="1"/>
        <v>268</v>
      </c>
      <c r="U3" s="135">
        <f t="shared" si="1"/>
        <v>186</v>
      </c>
      <c r="V3" s="135">
        <f t="shared" si="1"/>
        <v>270</v>
      </c>
      <c r="W3" s="135">
        <f t="shared" si="1"/>
        <v>211</v>
      </c>
      <c r="X3" s="135">
        <f t="shared" si="1"/>
        <v>184</v>
      </c>
      <c r="Y3" s="135">
        <f t="shared" si="1"/>
        <v>199</v>
      </c>
      <c r="Z3" s="135">
        <f t="shared" si="1"/>
        <v>296</v>
      </c>
      <c r="AA3" s="135">
        <f t="shared" si="1"/>
        <v>256</v>
      </c>
      <c r="AB3" s="135">
        <f t="shared" si="1"/>
        <v>221</v>
      </c>
      <c r="AC3" s="135">
        <f t="shared" si="1"/>
        <v>203</v>
      </c>
      <c r="AD3" s="135">
        <f t="shared" si="1"/>
        <v>161</v>
      </c>
      <c r="AE3" s="135">
        <f t="shared" si="1"/>
        <v>179</v>
      </c>
      <c r="AF3" s="135">
        <f t="shared" si="1"/>
        <v>104</v>
      </c>
      <c r="AG3" s="187">
        <f>SUM(B3:AF3)</f>
        <v>6212</v>
      </c>
    </row>
    <row r="4" spans="1:33" ht="18.75" hidden="1" x14ac:dyDescent="0.25">
      <c r="A4" s="113" t="s">
        <v>54</v>
      </c>
      <c r="B4" s="114">
        <v>5</v>
      </c>
      <c r="C4" s="114"/>
      <c r="D4" s="114"/>
      <c r="E4" s="114">
        <v>10</v>
      </c>
      <c r="F4" s="114">
        <v>4</v>
      </c>
      <c r="G4" s="114"/>
      <c r="H4" s="114"/>
      <c r="I4" s="114"/>
      <c r="J4" s="114"/>
      <c r="K4" s="114"/>
      <c r="L4" s="114">
        <v>5</v>
      </c>
      <c r="M4" s="114">
        <v>1</v>
      </c>
      <c r="N4" s="114"/>
      <c r="O4" s="114"/>
      <c r="P4" s="114"/>
      <c r="Q4" s="114"/>
      <c r="R4" s="114"/>
      <c r="S4" s="114">
        <v>10</v>
      </c>
      <c r="T4" s="114">
        <v>7</v>
      </c>
      <c r="U4" s="114"/>
      <c r="V4" s="114">
        <v>3</v>
      </c>
      <c r="W4" s="114"/>
      <c r="X4" s="114"/>
      <c r="Y4" s="114"/>
      <c r="Z4" s="114">
        <v>10</v>
      </c>
      <c r="AA4" s="114">
        <v>7</v>
      </c>
      <c r="AB4" s="114"/>
      <c r="AC4" s="114"/>
      <c r="AD4" s="114"/>
      <c r="AE4" s="114"/>
      <c r="AF4" s="115"/>
      <c r="AG4" s="132">
        <f t="shared" ref="AG4:AG83" si="2">SUM(B4:AF4)</f>
        <v>62</v>
      </c>
    </row>
    <row r="5" spans="1:33" ht="18.75" hidden="1" x14ac:dyDescent="0.25">
      <c r="A5" s="41" t="s">
        <v>55</v>
      </c>
      <c r="B5" s="7">
        <v>13</v>
      </c>
      <c r="C5" s="7"/>
      <c r="D5" s="7"/>
      <c r="E5" s="7">
        <v>11</v>
      </c>
      <c r="F5" s="7">
        <v>11</v>
      </c>
      <c r="G5" s="7"/>
      <c r="H5" s="7"/>
      <c r="I5" s="7"/>
      <c r="J5" s="7"/>
      <c r="K5" s="7"/>
      <c r="L5" s="7">
        <v>12</v>
      </c>
      <c r="M5" s="7">
        <v>12</v>
      </c>
      <c r="N5" s="7"/>
      <c r="O5" s="7"/>
      <c r="P5" s="7"/>
      <c r="Q5" s="7"/>
      <c r="R5" s="7"/>
      <c r="S5" s="7">
        <v>14</v>
      </c>
      <c r="T5" s="7">
        <v>9</v>
      </c>
      <c r="U5" s="7"/>
      <c r="V5" s="7">
        <v>14</v>
      </c>
      <c r="W5" s="7"/>
      <c r="X5" s="7"/>
      <c r="Y5" s="7"/>
      <c r="Z5" s="7">
        <v>15</v>
      </c>
      <c r="AA5" s="7">
        <v>9</v>
      </c>
      <c r="AB5" s="7"/>
      <c r="AC5" s="7"/>
      <c r="AD5" s="7"/>
      <c r="AE5" s="7"/>
      <c r="AF5" s="8"/>
      <c r="AG5" s="4">
        <f t="shared" si="2"/>
        <v>120</v>
      </c>
    </row>
    <row r="6" spans="1:33" ht="18.75" hidden="1" x14ac:dyDescent="0.25">
      <c r="A6" s="41" t="s">
        <v>56</v>
      </c>
      <c r="B6" s="7">
        <v>12</v>
      </c>
      <c r="C6" s="7"/>
      <c r="D6" s="7"/>
      <c r="E6" s="7">
        <v>18</v>
      </c>
      <c r="F6" s="7">
        <v>23</v>
      </c>
      <c r="G6" s="7"/>
      <c r="H6" s="7"/>
      <c r="I6" s="7"/>
      <c r="J6" s="7"/>
      <c r="K6" s="7"/>
      <c r="L6" s="7">
        <v>10</v>
      </c>
      <c r="M6" s="7">
        <v>16</v>
      </c>
      <c r="N6" s="7"/>
      <c r="O6" s="7"/>
      <c r="P6" s="7"/>
      <c r="Q6" s="7"/>
      <c r="R6" s="7"/>
      <c r="S6" s="7">
        <v>22</v>
      </c>
      <c r="T6" s="7">
        <v>14</v>
      </c>
      <c r="U6" s="7"/>
      <c r="V6" s="7">
        <v>17</v>
      </c>
      <c r="W6" s="7"/>
      <c r="X6" s="7"/>
      <c r="Y6" s="7"/>
      <c r="Z6" s="7">
        <v>15</v>
      </c>
      <c r="AA6" s="7">
        <v>20</v>
      </c>
      <c r="AB6" s="7"/>
      <c r="AC6" s="7"/>
      <c r="AD6" s="7"/>
      <c r="AE6" s="7"/>
      <c r="AF6" s="8"/>
      <c r="AG6" s="4">
        <f t="shared" si="2"/>
        <v>167</v>
      </c>
    </row>
    <row r="7" spans="1:33" ht="18.75" hidden="1" x14ac:dyDescent="0.25">
      <c r="A7" s="41" t="s">
        <v>38</v>
      </c>
      <c r="B7" s="7">
        <v>14</v>
      </c>
      <c r="C7" s="7"/>
      <c r="D7" s="7">
        <v>2</v>
      </c>
      <c r="E7" s="7">
        <v>23</v>
      </c>
      <c r="F7" s="7">
        <v>25</v>
      </c>
      <c r="G7" s="7"/>
      <c r="H7" s="7">
        <v>1</v>
      </c>
      <c r="I7" s="7"/>
      <c r="J7" s="7"/>
      <c r="K7" s="7"/>
      <c r="L7" s="7">
        <v>11</v>
      </c>
      <c r="M7" s="7">
        <v>24</v>
      </c>
      <c r="N7" s="7"/>
      <c r="O7" s="7"/>
      <c r="P7" s="7"/>
      <c r="Q7" s="7"/>
      <c r="R7" s="7"/>
      <c r="S7" s="7">
        <v>18</v>
      </c>
      <c r="T7" s="7">
        <v>16</v>
      </c>
      <c r="U7" s="7"/>
      <c r="V7" s="7">
        <v>15</v>
      </c>
      <c r="W7" s="7"/>
      <c r="X7" s="7"/>
      <c r="Y7" s="7"/>
      <c r="Z7" s="7">
        <v>23</v>
      </c>
      <c r="AA7" s="7">
        <v>17</v>
      </c>
      <c r="AB7" s="7"/>
      <c r="AC7" s="7"/>
      <c r="AD7" s="7"/>
      <c r="AE7" s="7"/>
      <c r="AF7" s="8"/>
      <c r="AG7" s="4">
        <f t="shared" si="2"/>
        <v>189</v>
      </c>
    </row>
    <row r="8" spans="1:33" ht="18.75" hidden="1" x14ac:dyDescent="0.25">
      <c r="A8" s="41" t="s">
        <v>39</v>
      </c>
      <c r="B8" s="7">
        <v>23</v>
      </c>
      <c r="C8" s="7">
        <v>2</v>
      </c>
      <c r="D8" s="7">
        <v>1</v>
      </c>
      <c r="E8" s="7">
        <v>22</v>
      </c>
      <c r="F8" s="7">
        <v>14</v>
      </c>
      <c r="G8" s="7">
        <v>4</v>
      </c>
      <c r="H8" s="7"/>
      <c r="I8" s="7"/>
      <c r="J8" s="7"/>
      <c r="K8" s="7"/>
      <c r="L8" s="7">
        <v>9</v>
      </c>
      <c r="M8" s="7">
        <v>21</v>
      </c>
      <c r="N8" s="7"/>
      <c r="O8" s="7"/>
      <c r="P8" s="7"/>
      <c r="Q8" s="7"/>
      <c r="R8" s="7">
        <v>1</v>
      </c>
      <c r="S8" s="7">
        <v>12</v>
      </c>
      <c r="T8" s="7">
        <v>21</v>
      </c>
      <c r="U8" s="7"/>
      <c r="V8" s="7">
        <v>27</v>
      </c>
      <c r="W8" s="7"/>
      <c r="X8" s="7"/>
      <c r="Y8" s="7"/>
      <c r="Z8" s="7">
        <v>15</v>
      </c>
      <c r="AA8" s="7">
        <v>18</v>
      </c>
      <c r="AB8" s="7"/>
      <c r="AC8" s="7"/>
      <c r="AD8" s="7"/>
      <c r="AE8" s="7"/>
      <c r="AF8" s="8"/>
      <c r="AG8" s="4">
        <f t="shared" si="2"/>
        <v>190</v>
      </c>
    </row>
    <row r="9" spans="1:33" ht="18.75" hidden="1" x14ac:dyDescent="0.25">
      <c r="A9" s="41" t="s">
        <v>40</v>
      </c>
      <c r="B9" s="7">
        <v>11</v>
      </c>
      <c r="C9" s="7"/>
      <c r="D9" s="7"/>
      <c r="E9" s="7">
        <v>14</v>
      </c>
      <c r="F9" s="7">
        <v>10</v>
      </c>
      <c r="G9" s="7"/>
      <c r="H9" s="7"/>
      <c r="I9" s="7"/>
      <c r="J9" s="7"/>
      <c r="K9" s="7"/>
      <c r="L9" s="7">
        <v>9</v>
      </c>
      <c r="M9" s="7">
        <v>13</v>
      </c>
      <c r="N9" s="7"/>
      <c r="O9" s="7"/>
      <c r="P9" s="7"/>
      <c r="Q9" s="7"/>
      <c r="R9" s="7"/>
      <c r="S9" s="7">
        <v>13</v>
      </c>
      <c r="T9" s="7">
        <v>21</v>
      </c>
      <c r="U9" s="7"/>
      <c r="V9" s="7">
        <v>16</v>
      </c>
      <c r="W9" s="7"/>
      <c r="X9" s="7"/>
      <c r="Y9" s="7"/>
      <c r="Z9" s="7">
        <v>20</v>
      </c>
      <c r="AA9" s="7">
        <v>15</v>
      </c>
      <c r="AB9" s="7"/>
      <c r="AC9" s="7"/>
      <c r="AD9" s="7"/>
      <c r="AE9" s="7"/>
      <c r="AF9" s="8"/>
      <c r="AG9" s="4">
        <f t="shared" si="2"/>
        <v>142</v>
      </c>
    </row>
    <row r="10" spans="1:33" ht="18.75" hidden="1" x14ac:dyDescent="0.25">
      <c r="A10" s="41" t="s">
        <v>41</v>
      </c>
      <c r="B10" s="7">
        <v>18</v>
      </c>
      <c r="C10" s="7">
        <v>2</v>
      </c>
      <c r="D10" s="7">
        <v>4</v>
      </c>
      <c r="E10" s="7">
        <v>16</v>
      </c>
      <c r="F10" s="7">
        <v>9</v>
      </c>
      <c r="G10" s="7">
        <v>1</v>
      </c>
      <c r="H10" s="7"/>
      <c r="I10" s="7"/>
      <c r="J10" s="7"/>
      <c r="K10" s="7"/>
      <c r="L10" s="7">
        <v>13</v>
      </c>
      <c r="M10" s="7">
        <v>13</v>
      </c>
      <c r="N10" s="7"/>
      <c r="O10" s="7"/>
      <c r="P10" s="7"/>
      <c r="Q10" s="7"/>
      <c r="R10" s="7"/>
      <c r="S10" s="7">
        <v>14</v>
      </c>
      <c r="T10" s="7">
        <v>18</v>
      </c>
      <c r="U10" s="7"/>
      <c r="V10" s="7">
        <v>22</v>
      </c>
      <c r="W10" s="7"/>
      <c r="X10" s="7">
        <v>1</v>
      </c>
      <c r="Y10" s="7"/>
      <c r="Z10" s="7">
        <v>25</v>
      </c>
      <c r="AA10" s="7">
        <v>20</v>
      </c>
      <c r="AB10" s="7"/>
      <c r="AC10" s="7"/>
      <c r="AD10" s="7"/>
      <c r="AE10" s="7"/>
      <c r="AF10" s="8">
        <v>1</v>
      </c>
      <c r="AG10" s="4">
        <f t="shared" si="2"/>
        <v>177</v>
      </c>
    </row>
    <row r="11" spans="1:33" ht="18.75" hidden="1" x14ac:dyDescent="0.25">
      <c r="A11" s="41" t="s">
        <v>42</v>
      </c>
      <c r="B11" s="7">
        <v>12</v>
      </c>
      <c r="C11" s="7"/>
      <c r="D11" s="7">
        <v>2</v>
      </c>
      <c r="E11" s="7">
        <v>17</v>
      </c>
      <c r="F11" s="7">
        <v>8</v>
      </c>
      <c r="G11" s="7"/>
      <c r="H11" s="7"/>
      <c r="I11" s="7"/>
      <c r="J11" s="7"/>
      <c r="K11" s="7"/>
      <c r="L11" s="7">
        <v>22</v>
      </c>
      <c r="M11" s="7">
        <v>16</v>
      </c>
      <c r="N11" s="7"/>
      <c r="O11" s="7"/>
      <c r="P11" s="7">
        <v>1</v>
      </c>
      <c r="Q11" s="7"/>
      <c r="R11" s="7"/>
      <c r="S11" s="7">
        <v>20</v>
      </c>
      <c r="T11" s="7">
        <v>32</v>
      </c>
      <c r="U11" s="7"/>
      <c r="V11" s="7">
        <v>17</v>
      </c>
      <c r="W11" s="7"/>
      <c r="X11" s="7"/>
      <c r="Y11" s="7"/>
      <c r="Z11" s="7">
        <v>12</v>
      </c>
      <c r="AA11" s="7">
        <v>20</v>
      </c>
      <c r="AB11" s="7"/>
      <c r="AC11" s="7"/>
      <c r="AD11" s="7"/>
      <c r="AE11" s="7"/>
      <c r="AF11" s="8"/>
      <c r="AG11" s="4">
        <f t="shared" si="2"/>
        <v>179</v>
      </c>
    </row>
    <row r="12" spans="1:33" ht="19.5" hidden="1" thickBot="1" x14ac:dyDescent="0.3">
      <c r="A12" s="41" t="s">
        <v>43</v>
      </c>
      <c r="B12" s="7">
        <v>14</v>
      </c>
      <c r="C12" s="7">
        <v>2</v>
      </c>
      <c r="D12" s="7"/>
      <c r="E12" s="7">
        <v>23</v>
      </c>
      <c r="F12" s="7">
        <v>16</v>
      </c>
      <c r="G12" s="7"/>
      <c r="H12" s="7">
        <v>1</v>
      </c>
      <c r="I12" s="7">
        <v>1</v>
      </c>
      <c r="J12" s="7"/>
      <c r="K12" s="7"/>
      <c r="L12" s="7">
        <v>23</v>
      </c>
      <c r="M12" s="7">
        <v>15</v>
      </c>
      <c r="N12" s="7"/>
      <c r="O12" s="7"/>
      <c r="P12" s="7"/>
      <c r="Q12" s="7"/>
      <c r="R12" s="7"/>
      <c r="S12" s="7">
        <v>15</v>
      </c>
      <c r="T12" s="7">
        <v>24</v>
      </c>
      <c r="U12" s="7"/>
      <c r="V12" s="7">
        <v>22</v>
      </c>
      <c r="W12" s="7"/>
      <c r="X12" s="7"/>
      <c r="Y12" s="7"/>
      <c r="Z12" s="7">
        <v>31</v>
      </c>
      <c r="AA12" s="7">
        <v>19</v>
      </c>
      <c r="AB12" s="7"/>
      <c r="AC12" s="7"/>
      <c r="AD12" s="7">
        <v>1</v>
      </c>
      <c r="AE12" s="7"/>
      <c r="AF12" s="8"/>
      <c r="AG12" s="4">
        <f t="shared" si="2"/>
        <v>207</v>
      </c>
    </row>
    <row r="13" spans="1:33" ht="18.75" hidden="1" x14ac:dyDescent="0.25">
      <c r="A13" s="41" t="s">
        <v>44</v>
      </c>
      <c r="B13" s="7">
        <v>18</v>
      </c>
      <c r="C13" s="7">
        <v>37</v>
      </c>
      <c r="D13" s="7">
        <v>45</v>
      </c>
      <c r="E13" s="7">
        <v>22</v>
      </c>
      <c r="F13" s="7">
        <v>23</v>
      </c>
      <c r="G13" s="7">
        <v>86</v>
      </c>
      <c r="H13" s="7">
        <v>60</v>
      </c>
      <c r="I13" s="7">
        <v>63</v>
      </c>
      <c r="J13" s="7">
        <v>50</v>
      </c>
      <c r="K13" s="7">
        <v>52</v>
      </c>
      <c r="L13" s="7">
        <v>19</v>
      </c>
      <c r="M13" s="7">
        <v>21</v>
      </c>
      <c r="N13" s="7">
        <v>94</v>
      </c>
      <c r="O13" s="7">
        <v>82</v>
      </c>
      <c r="P13" s="7">
        <v>79</v>
      </c>
      <c r="Q13" s="7">
        <v>69</v>
      </c>
      <c r="R13" s="7">
        <v>65</v>
      </c>
      <c r="S13" s="7">
        <v>22</v>
      </c>
      <c r="T13" s="7">
        <v>17</v>
      </c>
      <c r="U13" s="7">
        <v>82</v>
      </c>
      <c r="V13" s="7">
        <v>23</v>
      </c>
      <c r="W13" s="7">
        <v>76</v>
      </c>
      <c r="X13" s="7">
        <v>77</v>
      </c>
      <c r="Y13" s="7">
        <v>85</v>
      </c>
      <c r="Z13" s="7">
        <v>28</v>
      </c>
      <c r="AA13" s="7">
        <v>21</v>
      </c>
      <c r="AB13" s="7">
        <v>96</v>
      </c>
      <c r="AC13" s="7">
        <v>73</v>
      </c>
      <c r="AD13" s="7">
        <v>78</v>
      </c>
      <c r="AE13" s="7">
        <v>71</v>
      </c>
      <c r="AF13" s="8">
        <v>37</v>
      </c>
      <c r="AG13" s="4">
        <f t="shared" si="2"/>
        <v>1671</v>
      </c>
    </row>
    <row r="14" spans="1:33" ht="18.75" hidden="1" x14ac:dyDescent="0.25">
      <c r="A14" s="41" t="s">
        <v>45</v>
      </c>
      <c r="B14" s="7">
        <v>13</v>
      </c>
      <c r="C14" s="7">
        <v>15</v>
      </c>
      <c r="D14" s="7">
        <v>16</v>
      </c>
      <c r="E14" s="7">
        <v>14</v>
      </c>
      <c r="F14" s="7">
        <v>23</v>
      </c>
      <c r="G14" s="7">
        <v>24</v>
      </c>
      <c r="H14" s="7">
        <v>17</v>
      </c>
      <c r="I14" s="7">
        <v>16</v>
      </c>
      <c r="J14" s="7">
        <v>16</v>
      </c>
      <c r="K14" s="7">
        <v>17</v>
      </c>
      <c r="L14" s="7">
        <v>20</v>
      </c>
      <c r="M14" s="7">
        <v>14</v>
      </c>
      <c r="N14" s="7">
        <v>38</v>
      </c>
      <c r="O14" s="7">
        <v>28</v>
      </c>
      <c r="P14" s="7">
        <v>20</v>
      </c>
      <c r="Q14" s="7">
        <v>27</v>
      </c>
      <c r="R14" s="7">
        <v>21</v>
      </c>
      <c r="S14" s="7">
        <v>23</v>
      </c>
      <c r="T14" s="7">
        <v>10</v>
      </c>
      <c r="U14" s="7">
        <v>21</v>
      </c>
      <c r="V14" s="7">
        <v>13</v>
      </c>
      <c r="W14" s="7">
        <v>35</v>
      </c>
      <c r="X14" s="7">
        <v>20</v>
      </c>
      <c r="Y14" s="7">
        <v>27</v>
      </c>
      <c r="Z14" s="7">
        <v>26</v>
      </c>
      <c r="AA14" s="7">
        <v>17</v>
      </c>
      <c r="AB14" s="7">
        <v>24</v>
      </c>
      <c r="AC14" s="7">
        <v>23</v>
      </c>
      <c r="AD14" s="7">
        <v>25</v>
      </c>
      <c r="AE14" s="7">
        <v>25</v>
      </c>
      <c r="AF14" s="8">
        <v>12</v>
      </c>
      <c r="AG14" s="4">
        <f t="shared" si="2"/>
        <v>640</v>
      </c>
    </row>
    <row r="15" spans="1:33" ht="18.75" hidden="1" x14ac:dyDescent="0.25">
      <c r="A15" s="41" t="s">
        <v>46</v>
      </c>
      <c r="B15" s="7">
        <v>18</v>
      </c>
      <c r="C15" s="7">
        <v>14</v>
      </c>
      <c r="D15" s="7">
        <v>16</v>
      </c>
      <c r="E15" s="7">
        <v>10</v>
      </c>
      <c r="F15" s="7">
        <v>12</v>
      </c>
      <c r="G15" s="7">
        <v>22</v>
      </c>
      <c r="H15" s="7">
        <v>22</v>
      </c>
      <c r="I15" s="7">
        <v>23</v>
      </c>
      <c r="J15" s="7">
        <v>17</v>
      </c>
      <c r="K15" s="7">
        <v>13</v>
      </c>
      <c r="L15" s="7">
        <v>14</v>
      </c>
      <c r="M15" s="7">
        <v>14</v>
      </c>
      <c r="N15" s="7">
        <v>27</v>
      </c>
      <c r="O15" s="7">
        <v>24</v>
      </c>
      <c r="P15" s="7">
        <v>27</v>
      </c>
      <c r="Q15" s="7">
        <v>22</v>
      </c>
      <c r="R15" s="7">
        <v>21</v>
      </c>
      <c r="S15" s="7">
        <v>14</v>
      </c>
      <c r="T15" s="7">
        <v>11</v>
      </c>
      <c r="U15" s="7">
        <v>18</v>
      </c>
      <c r="V15" s="7">
        <v>18</v>
      </c>
      <c r="W15" s="7">
        <v>24</v>
      </c>
      <c r="X15" s="7">
        <v>25</v>
      </c>
      <c r="Y15" s="7">
        <v>24</v>
      </c>
      <c r="Z15" s="7">
        <v>17</v>
      </c>
      <c r="AA15" s="7">
        <v>16</v>
      </c>
      <c r="AB15" s="7">
        <v>19</v>
      </c>
      <c r="AC15" s="7">
        <v>18</v>
      </c>
      <c r="AD15" s="7">
        <v>9</v>
      </c>
      <c r="AE15" s="7">
        <v>23</v>
      </c>
      <c r="AF15" s="8">
        <v>9</v>
      </c>
      <c r="AG15" s="4">
        <f t="shared" si="2"/>
        <v>561</v>
      </c>
    </row>
    <row r="16" spans="1:33" ht="18.75" hidden="1" x14ac:dyDescent="0.25">
      <c r="A16" s="41" t="s">
        <v>47</v>
      </c>
      <c r="B16" s="7">
        <v>10</v>
      </c>
      <c r="C16" s="7">
        <v>13</v>
      </c>
      <c r="D16" s="7">
        <v>7</v>
      </c>
      <c r="E16" s="7">
        <v>11</v>
      </c>
      <c r="F16" s="7">
        <v>17</v>
      </c>
      <c r="G16" s="7">
        <v>25</v>
      </c>
      <c r="H16" s="7">
        <v>15</v>
      </c>
      <c r="I16" s="7">
        <v>6</v>
      </c>
      <c r="J16" s="7">
        <v>14</v>
      </c>
      <c r="K16" s="7">
        <v>16</v>
      </c>
      <c r="L16" s="7">
        <v>17</v>
      </c>
      <c r="M16" s="7">
        <v>13</v>
      </c>
      <c r="N16" s="7">
        <v>27</v>
      </c>
      <c r="O16" s="7">
        <v>15</v>
      </c>
      <c r="P16" s="7">
        <v>23</v>
      </c>
      <c r="Q16" s="7">
        <v>26</v>
      </c>
      <c r="R16" s="7">
        <v>11</v>
      </c>
      <c r="S16" s="7">
        <v>13</v>
      </c>
      <c r="T16" s="7">
        <v>16</v>
      </c>
      <c r="U16" s="7">
        <v>20</v>
      </c>
      <c r="V16" s="7">
        <v>16</v>
      </c>
      <c r="W16" s="7">
        <v>19</v>
      </c>
      <c r="X16" s="7">
        <v>19</v>
      </c>
      <c r="Y16" s="7">
        <v>13</v>
      </c>
      <c r="Z16" s="7">
        <v>13</v>
      </c>
      <c r="AA16" s="7">
        <v>19</v>
      </c>
      <c r="AB16" s="7">
        <v>16</v>
      </c>
      <c r="AC16" s="7">
        <v>17</v>
      </c>
      <c r="AD16" s="7">
        <v>19</v>
      </c>
      <c r="AE16" s="7">
        <v>15</v>
      </c>
      <c r="AF16" s="8">
        <v>11</v>
      </c>
      <c r="AG16" s="4">
        <f t="shared" si="2"/>
        <v>492</v>
      </c>
    </row>
    <row r="17" spans="1:33" ht="18.75" hidden="1" x14ac:dyDescent="0.25">
      <c r="A17" s="41" t="s">
        <v>48</v>
      </c>
      <c r="B17" s="7">
        <v>4</v>
      </c>
      <c r="C17" s="7">
        <v>14</v>
      </c>
      <c r="D17" s="7">
        <v>8</v>
      </c>
      <c r="E17" s="7">
        <v>4</v>
      </c>
      <c r="F17" s="7">
        <v>9</v>
      </c>
      <c r="G17" s="7">
        <v>20</v>
      </c>
      <c r="H17" s="7">
        <v>14</v>
      </c>
      <c r="I17" s="7">
        <v>16</v>
      </c>
      <c r="J17" s="7">
        <v>13</v>
      </c>
      <c r="K17" s="7">
        <v>8</v>
      </c>
      <c r="L17" s="7">
        <v>13</v>
      </c>
      <c r="M17" s="7">
        <v>9</v>
      </c>
      <c r="N17" s="7">
        <v>14</v>
      </c>
      <c r="O17" s="7">
        <v>16</v>
      </c>
      <c r="P17" s="7">
        <v>15</v>
      </c>
      <c r="Q17" s="7">
        <v>15</v>
      </c>
      <c r="R17" s="7">
        <v>10</v>
      </c>
      <c r="S17" s="7">
        <v>8</v>
      </c>
      <c r="T17" s="7">
        <v>16</v>
      </c>
      <c r="U17" s="7">
        <v>10</v>
      </c>
      <c r="V17" s="7">
        <v>12</v>
      </c>
      <c r="W17" s="7">
        <v>17</v>
      </c>
      <c r="X17" s="7">
        <v>13</v>
      </c>
      <c r="Y17" s="7">
        <v>13</v>
      </c>
      <c r="Z17" s="7">
        <v>18</v>
      </c>
      <c r="AA17" s="7">
        <v>14</v>
      </c>
      <c r="AB17" s="7">
        <v>23</v>
      </c>
      <c r="AC17" s="7">
        <v>22</v>
      </c>
      <c r="AD17" s="7">
        <v>7</v>
      </c>
      <c r="AE17" s="7">
        <v>18</v>
      </c>
      <c r="AF17" s="8">
        <v>8</v>
      </c>
      <c r="AG17" s="4">
        <f t="shared" si="2"/>
        <v>401</v>
      </c>
    </row>
    <row r="18" spans="1:33" ht="18.75" hidden="1" x14ac:dyDescent="0.25">
      <c r="A18" s="41" t="s">
        <v>49</v>
      </c>
      <c r="B18" s="7">
        <v>12</v>
      </c>
      <c r="C18" s="7">
        <v>6</v>
      </c>
      <c r="D18" s="7">
        <v>10</v>
      </c>
      <c r="E18" s="7">
        <v>8</v>
      </c>
      <c r="F18" s="7">
        <v>10</v>
      </c>
      <c r="G18" s="7">
        <v>15</v>
      </c>
      <c r="H18" s="7">
        <v>15</v>
      </c>
      <c r="I18" s="7">
        <v>8</v>
      </c>
      <c r="J18" s="7">
        <v>8</v>
      </c>
      <c r="K18" s="7">
        <v>11</v>
      </c>
      <c r="L18" s="7">
        <v>10</v>
      </c>
      <c r="M18" s="7">
        <v>6</v>
      </c>
      <c r="N18" s="7">
        <v>13</v>
      </c>
      <c r="O18" s="7">
        <v>17</v>
      </c>
      <c r="P18" s="7">
        <v>6</v>
      </c>
      <c r="Q18" s="7">
        <v>6</v>
      </c>
      <c r="R18" s="7">
        <v>11</v>
      </c>
      <c r="S18" s="7">
        <v>7</v>
      </c>
      <c r="T18" s="7">
        <v>17</v>
      </c>
      <c r="U18" s="7">
        <v>7</v>
      </c>
      <c r="V18" s="7">
        <v>9</v>
      </c>
      <c r="W18" s="7">
        <v>14</v>
      </c>
      <c r="X18" s="7">
        <v>9</v>
      </c>
      <c r="Y18" s="7">
        <v>8</v>
      </c>
      <c r="Z18" s="7">
        <v>3</v>
      </c>
      <c r="AA18" s="7">
        <v>10</v>
      </c>
      <c r="AB18" s="7">
        <v>15</v>
      </c>
      <c r="AC18" s="7">
        <v>13</v>
      </c>
      <c r="AD18" s="7">
        <v>6</v>
      </c>
      <c r="AE18" s="7">
        <v>9</v>
      </c>
      <c r="AF18" s="8">
        <v>10</v>
      </c>
      <c r="AG18" s="4">
        <f t="shared" si="2"/>
        <v>309</v>
      </c>
    </row>
    <row r="19" spans="1:33" ht="18.75" hidden="1" x14ac:dyDescent="0.25">
      <c r="A19" s="41" t="s">
        <v>50</v>
      </c>
      <c r="B19" s="7">
        <v>5</v>
      </c>
      <c r="C19" s="7">
        <v>6</v>
      </c>
      <c r="D19" s="7">
        <v>8</v>
      </c>
      <c r="E19" s="7">
        <v>7</v>
      </c>
      <c r="F19" s="7">
        <v>6</v>
      </c>
      <c r="G19" s="7">
        <v>11</v>
      </c>
      <c r="H19" s="7">
        <v>15</v>
      </c>
      <c r="I19" s="7">
        <v>6</v>
      </c>
      <c r="J19" s="7">
        <v>8</v>
      </c>
      <c r="K19" s="7">
        <v>7</v>
      </c>
      <c r="L19" s="7">
        <v>6</v>
      </c>
      <c r="M19" s="7">
        <v>4</v>
      </c>
      <c r="N19" s="7">
        <v>6</v>
      </c>
      <c r="O19" s="7">
        <v>6</v>
      </c>
      <c r="P19" s="7">
        <v>8</v>
      </c>
      <c r="Q19" s="7">
        <v>5</v>
      </c>
      <c r="R19" s="7">
        <v>13</v>
      </c>
      <c r="S19" s="7">
        <v>7</v>
      </c>
      <c r="T19" s="7">
        <v>6</v>
      </c>
      <c r="U19" s="7">
        <v>7</v>
      </c>
      <c r="V19" s="7">
        <v>8</v>
      </c>
      <c r="W19" s="7">
        <v>12</v>
      </c>
      <c r="X19" s="7">
        <v>4</v>
      </c>
      <c r="Y19" s="7">
        <v>13</v>
      </c>
      <c r="Z19" s="7">
        <v>7</v>
      </c>
      <c r="AA19" s="7">
        <v>5</v>
      </c>
      <c r="AB19" s="7">
        <v>7</v>
      </c>
      <c r="AC19" s="7">
        <v>7</v>
      </c>
      <c r="AD19" s="7">
        <v>7</v>
      </c>
      <c r="AE19" s="7">
        <v>7</v>
      </c>
      <c r="AF19" s="8">
        <v>5</v>
      </c>
      <c r="AG19" s="4">
        <f t="shared" si="2"/>
        <v>229</v>
      </c>
    </row>
    <row r="20" spans="1:33" ht="18.75" hidden="1" x14ac:dyDescent="0.25">
      <c r="A20" s="41" t="s">
        <v>33</v>
      </c>
      <c r="B20" s="7">
        <v>5</v>
      </c>
      <c r="C20" s="7">
        <v>5</v>
      </c>
      <c r="D20" s="7">
        <v>2</v>
      </c>
      <c r="E20" s="7">
        <v>9</v>
      </c>
      <c r="F20" s="7">
        <v>3</v>
      </c>
      <c r="G20" s="7">
        <v>7</v>
      </c>
      <c r="H20" s="7">
        <v>5</v>
      </c>
      <c r="I20" s="7">
        <v>4</v>
      </c>
      <c r="J20" s="7">
        <v>4</v>
      </c>
      <c r="K20" s="7">
        <v>7</v>
      </c>
      <c r="L20" s="7">
        <v>3</v>
      </c>
      <c r="M20" s="7">
        <v>6</v>
      </c>
      <c r="N20" s="7">
        <v>6</v>
      </c>
      <c r="O20" s="7">
        <v>4</v>
      </c>
      <c r="P20" s="7">
        <v>2</v>
      </c>
      <c r="Q20" s="7">
        <v>5</v>
      </c>
      <c r="R20" s="7">
        <v>6</v>
      </c>
      <c r="S20" s="7">
        <v>7</v>
      </c>
      <c r="T20" s="7">
        <v>3</v>
      </c>
      <c r="U20" s="7">
        <v>7</v>
      </c>
      <c r="V20" s="7">
        <v>6</v>
      </c>
      <c r="W20" s="7">
        <v>7</v>
      </c>
      <c r="X20" s="7">
        <v>8</v>
      </c>
      <c r="Y20" s="7">
        <v>6</v>
      </c>
      <c r="Z20" s="7">
        <v>2</v>
      </c>
      <c r="AA20" s="7">
        <v>2</v>
      </c>
      <c r="AB20" s="7">
        <v>7</v>
      </c>
      <c r="AC20" s="7">
        <v>10</v>
      </c>
      <c r="AD20" s="7">
        <v>2</v>
      </c>
      <c r="AE20" s="7"/>
      <c r="AF20" s="8">
        <v>2</v>
      </c>
      <c r="AG20" s="4">
        <f t="shared" si="2"/>
        <v>152</v>
      </c>
    </row>
    <row r="21" spans="1:33" ht="18.75" hidden="1" x14ac:dyDescent="0.25">
      <c r="A21" s="41" t="s">
        <v>34</v>
      </c>
      <c r="B21" s="7">
        <v>1</v>
      </c>
      <c r="C21" s="7">
        <v>4</v>
      </c>
      <c r="D21" s="7">
        <v>3</v>
      </c>
      <c r="E21" s="7">
        <v>3</v>
      </c>
      <c r="F21" s="7">
        <v>3</v>
      </c>
      <c r="G21" s="7">
        <v>4</v>
      </c>
      <c r="H21" s="7">
        <v>3</v>
      </c>
      <c r="I21" s="7">
        <v>4</v>
      </c>
      <c r="J21" s="7">
        <v>5</v>
      </c>
      <c r="K21" s="7">
        <v>4</v>
      </c>
      <c r="L21" s="7">
        <v>1</v>
      </c>
      <c r="M21" s="7"/>
      <c r="N21" s="7">
        <v>3</v>
      </c>
      <c r="O21" s="7">
        <v>1</v>
      </c>
      <c r="P21" s="7">
        <v>1</v>
      </c>
      <c r="Q21" s="7">
        <v>8</v>
      </c>
      <c r="R21" s="7">
        <v>4</v>
      </c>
      <c r="S21" s="7">
        <v>4</v>
      </c>
      <c r="T21" s="7">
        <v>4</v>
      </c>
      <c r="U21" s="7">
        <v>2</v>
      </c>
      <c r="V21" s="7">
        <v>3</v>
      </c>
      <c r="W21" s="7"/>
      <c r="X21" s="7">
        <v>4</v>
      </c>
      <c r="Y21" s="7">
        <v>2</v>
      </c>
      <c r="Z21" s="7">
        <v>6</v>
      </c>
      <c r="AA21" s="7">
        <v>3</v>
      </c>
      <c r="AB21" s="7">
        <v>2</v>
      </c>
      <c r="AC21" s="7">
        <v>6</v>
      </c>
      <c r="AD21" s="7">
        <v>3</v>
      </c>
      <c r="AE21" s="7">
        <v>4</v>
      </c>
      <c r="AF21" s="8">
        <v>3</v>
      </c>
      <c r="AG21" s="4">
        <f t="shared" si="2"/>
        <v>98</v>
      </c>
    </row>
    <row r="22" spans="1:33" ht="18.75" hidden="1" x14ac:dyDescent="0.25">
      <c r="A22" s="41" t="s">
        <v>35</v>
      </c>
      <c r="B22" s="7"/>
      <c r="C22" s="7"/>
      <c r="D22" s="7"/>
      <c r="E22" s="7">
        <v>1</v>
      </c>
      <c r="F22" s="7">
        <v>1</v>
      </c>
      <c r="G22" s="7">
        <v>1</v>
      </c>
      <c r="H22" s="7">
        <v>2</v>
      </c>
      <c r="I22" s="7">
        <v>1</v>
      </c>
      <c r="J22" s="7"/>
      <c r="K22" s="7">
        <v>1</v>
      </c>
      <c r="L22" s="7">
        <v>1</v>
      </c>
      <c r="M22" s="7">
        <v>2</v>
      </c>
      <c r="N22" s="7">
        <v>2</v>
      </c>
      <c r="O22" s="7">
        <v>2</v>
      </c>
      <c r="P22" s="7">
        <v>1</v>
      </c>
      <c r="Q22" s="7">
        <v>2</v>
      </c>
      <c r="R22" s="7"/>
      <c r="S22" s="7">
        <v>3</v>
      </c>
      <c r="T22" s="7">
        <v>2</v>
      </c>
      <c r="U22" s="7">
        <v>4</v>
      </c>
      <c r="V22" s="7">
        <v>4</v>
      </c>
      <c r="W22" s="7"/>
      <c r="X22" s="7">
        <v>1</v>
      </c>
      <c r="Y22" s="7"/>
      <c r="Z22" s="7">
        <v>1</v>
      </c>
      <c r="AA22" s="7">
        <v>2</v>
      </c>
      <c r="AB22" s="7">
        <v>1</v>
      </c>
      <c r="AC22" s="7">
        <v>3</v>
      </c>
      <c r="AD22" s="7">
        <v>1</v>
      </c>
      <c r="AE22" s="7">
        <v>2</v>
      </c>
      <c r="AF22" s="8">
        <v>1</v>
      </c>
      <c r="AG22" s="4">
        <f t="shared" si="2"/>
        <v>42</v>
      </c>
    </row>
    <row r="23" spans="1:33" ht="18.75" hidden="1" x14ac:dyDescent="0.25">
      <c r="A23" s="41" t="s">
        <v>36</v>
      </c>
      <c r="B23" s="7"/>
      <c r="C23" s="7">
        <v>1</v>
      </c>
      <c r="D23" s="7"/>
      <c r="E23" s="7">
        <v>2</v>
      </c>
      <c r="F23" s="7">
        <v>2</v>
      </c>
      <c r="G23" s="7"/>
      <c r="H23" s="7">
        <v>2</v>
      </c>
      <c r="I23" s="7">
        <v>1</v>
      </c>
      <c r="J23" s="7">
        <v>1</v>
      </c>
      <c r="K23" s="7">
        <v>1</v>
      </c>
      <c r="L23" s="7">
        <v>6</v>
      </c>
      <c r="M23" s="7"/>
      <c r="N23" s="7">
        <v>2</v>
      </c>
      <c r="O23" s="7">
        <v>2</v>
      </c>
      <c r="P23" s="7"/>
      <c r="Q23" s="7"/>
      <c r="R23" s="7">
        <v>2</v>
      </c>
      <c r="S23" s="7">
        <v>1</v>
      </c>
      <c r="T23" s="7"/>
      <c r="U23" s="7">
        <v>2</v>
      </c>
      <c r="V23" s="7">
        <v>2</v>
      </c>
      <c r="W23" s="7"/>
      <c r="X23" s="7">
        <v>1</v>
      </c>
      <c r="Y23" s="7"/>
      <c r="Z23" s="7"/>
      <c r="AA23" s="7"/>
      <c r="AB23" s="7">
        <v>4</v>
      </c>
      <c r="AC23" s="7">
        <v>5</v>
      </c>
      <c r="AD23" s="7">
        <v>1</v>
      </c>
      <c r="AE23" s="7">
        <v>1</v>
      </c>
      <c r="AF23" s="8">
        <v>1</v>
      </c>
      <c r="AG23" s="4">
        <f t="shared" si="2"/>
        <v>40</v>
      </c>
    </row>
    <row r="24" spans="1:33" ht="18.75" hidden="1" x14ac:dyDescent="0.25">
      <c r="A24" s="41" t="s">
        <v>51</v>
      </c>
      <c r="B24" s="7"/>
      <c r="C24" s="7"/>
      <c r="D24" s="7">
        <v>3</v>
      </c>
      <c r="E24" s="7"/>
      <c r="F24" s="7"/>
      <c r="G24" s="7">
        <v>2</v>
      </c>
      <c r="H24" s="7">
        <v>2</v>
      </c>
      <c r="I24" s="7"/>
      <c r="J24" s="7">
        <v>2</v>
      </c>
      <c r="K24" s="7">
        <v>1</v>
      </c>
      <c r="L24" s="7"/>
      <c r="M24" s="7">
        <v>2</v>
      </c>
      <c r="N24" s="7">
        <v>1</v>
      </c>
      <c r="O24" s="7">
        <v>1</v>
      </c>
      <c r="P24" s="7">
        <v>1</v>
      </c>
      <c r="Q24" s="7"/>
      <c r="R24" s="7">
        <v>1</v>
      </c>
      <c r="S24" s="7">
        <v>1</v>
      </c>
      <c r="T24" s="7">
        <v>1</v>
      </c>
      <c r="U24" s="7"/>
      <c r="V24" s="7"/>
      <c r="W24" s="7">
        <v>2</v>
      </c>
      <c r="X24" s="7"/>
      <c r="Y24" s="7">
        <v>1</v>
      </c>
      <c r="Z24" s="7">
        <v>3</v>
      </c>
      <c r="AA24" s="7">
        <v>1</v>
      </c>
      <c r="AB24" s="7">
        <v>3</v>
      </c>
      <c r="AC24" s="7">
        <v>4</v>
      </c>
      <c r="AD24" s="7"/>
      <c r="AE24" s="7">
        <v>2</v>
      </c>
      <c r="AF24" s="8">
        <v>1</v>
      </c>
      <c r="AG24" s="4">
        <f t="shared" si="2"/>
        <v>35</v>
      </c>
    </row>
    <row r="25" spans="1:33" ht="18.75" hidden="1" x14ac:dyDescent="0.25">
      <c r="A25" s="41" t="s">
        <v>52</v>
      </c>
      <c r="B25" s="7"/>
      <c r="C25" s="7">
        <v>2</v>
      </c>
      <c r="D25" s="7">
        <v>1</v>
      </c>
      <c r="E25" s="7">
        <v>4</v>
      </c>
      <c r="F25" s="7">
        <v>1</v>
      </c>
      <c r="G25" s="7"/>
      <c r="H25" s="7"/>
      <c r="I25" s="7"/>
      <c r="J25" s="7"/>
      <c r="K25" s="7">
        <v>1</v>
      </c>
      <c r="L25" s="7"/>
      <c r="M25" s="7"/>
      <c r="N25" s="7">
        <v>1</v>
      </c>
      <c r="O25" s="7"/>
      <c r="P25" s="7"/>
      <c r="Q25" s="7"/>
      <c r="R25" s="7">
        <v>5</v>
      </c>
      <c r="S25" s="7">
        <v>2</v>
      </c>
      <c r="T25" s="7"/>
      <c r="U25" s="7">
        <v>2</v>
      </c>
      <c r="V25" s="7"/>
      <c r="W25" s="7">
        <v>3</v>
      </c>
      <c r="X25" s="7">
        <v>1</v>
      </c>
      <c r="Y25" s="7"/>
      <c r="Z25" s="7">
        <v>1</v>
      </c>
      <c r="AA25" s="7">
        <v>1</v>
      </c>
      <c r="AB25" s="7"/>
      <c r="AC25" s="7">
        <v>2</v>
      </c>
      <c r="AD25" s="7"/>
      <c r="AE25" s="7">
        <v>1</v>
      </c>
      <c r="AF25" s="8"/>
      <c r="AG25" s="4">
        <f t="shared" si="2"/>
        <v>28</v>
      </c>
    </row>
    <row r="26" spans="1:33" ht="18.75" hidden="1" x14ac:dyDescent="0.25">
      <c r="A26" s="41" t="s">
        <v>37</v>
      </c>
      <c r="B26" s="7"/>
      <c r="C26" s="7">
        <v>1</v>
      </c>
      <c r="D26" s="7"/>
      <c r="E26" s="7">
        <v>2</v>
      </c>
      <c r="F26" s="7">
        <v>1</v>
      </c>
      <c r="G26" s="7"/>
      <c r="H26" s="7">
        <v>1</v>
      </c>
      <c r="I26" s="7"/>
      <c r="J26" s="7">
        <v>2</v>
      </c>
      <c r="K26" s="7"/>
      <c r="L26" s="7">
        <v>5</v>
      </c>
      <c r="M26" s="7"/>
      <c r="N26" s="7">
        <v>2</v>
      </c>
      <c r="O26" s="7">
        <v>2</v>
      </c>
      <c r="P26" s="7">
        <v>2</v>
      </c>
      <c r="Q26" s="7"/>
      <c r="R26" s="7">
        <v>1</v>
      </c>
      <c r="S26" s="7">
        <v>3</v>
      </c>
      <c r="T26" s="7">
        <v>1</v>
      </c>
      <c r="U26" s="7">
        <v>3</v>
      </c>
      <c r="V26" s="7">
        <v>1</v>
      </c>
      <c r="W26" s="7">
        <v>1</v>
      </c>
      <c r="X26" s="7">
        <v>1</v>
      </c>
      <c r="Y26" s="7">
        <v>3</v>
      </c>
      <c r="Z26" s="7">
        <v>2</v>
      </c>
      <c r="AA26" s="7"/>
      <c r="AB26" s="7">
        <v>3</v>
      </c>
      <c r="AC26" s="7"/>
      <c r="AD26" s="7">
        <v>2</v>
      </c>
      <c r="AE26" s="7">
        <v>1</v>
      </c>
      <c r="AF26" s="8"/>
      <c r="AG26" s="4">
        <f t="shared" si="2"/>
        <v>40</v>
      </c>
    </row>
    <row r="27" spans="1:33" ht="19.5" hidden="1" thickBot="1" x14ac:dyDescent="0.3">
      <c r="A27" s="81" t="s">
        <v>53</v>
      </c>
      <c r="B27" s="78">
        <v>1</v>
      </c>
      <c r="C27" s="78"/>
      <c r="D27" s="78">
        <v>5</v>
      </c>
      <c r="E27" s="78">
        <v>1</v>
      </c>
      <c r="F27" s="78">
        <v>1</v>
      </c>
      <c r="G27" s="78"/>
      <c r="H27" s="78"/>
      <c r="I27" s="78"/>
      <c r="J27" s="78">
        <v>2</v>
      </c>
      <c r="K27" s="78">
        <v>1</v>
      </c>
      <c r="L27" s="78">
        <v>6</v>
      </c>
      <c r="M27" s="78"/>
      <c r="N27" s="78"/>
      <c r="O27" s="78">
        <v>3</v>
      </c>
      <c r="P27" s="78"/>
      <c r="Q27" s="78"/>
      <c r="R27" s="78">
        <v>3</v>
      </c>
      <c r="S27" s="78">
        <v>1</v>
      </c>
      <c r="T27" s="78">
        <v>2</v>
      </c>
      <c r="U27" s="78">
        <v>1</v>
      </c>
      <c r="V27" s="78">
        <v>2</v>
      </c>
      <c r="W27" s="78">
        <v>1</v>
      </c>
      <c r="X27" s="78"/>
      <c r="Y27" s="78">
        <v>4</v>
      </c>
      <c r="Z27" s="78">
        <v>3</v>
      </c>
      <c r="AA27" s="78"/>
      <c r="AB27" s="78">
        <v>1</v>
      </c>
      <c r="AC27" s="78"/>
      <c r="AD27" s="78"/>
      <c r="AE27" s="78"/>
      <c r="AF27" s="83">
        <v>3</v>
      </c>
      <c r="AG27" s="4">
        <f t="shared" si="2"/>
        <v>41</v>
      </c>
    </row>
    <row r="28" spans="1:33" ht="19.5" thickBot="1" x14ac:dyDescent="0.3">
      <c r="A28" s="79" t="s">
        <v>107</v>
      </c>
      <c r="B28" s="80">
        <f>SUM(B29:B52)</f>
        <v>204</v>
      </c>
      <c r="C28" s="80">
        <f t="shared" ref="C28:AF28" si="3">SUM(C29:C52)</f>
        <v>117</v>
      </c>
      <c r="D28" s="80">
        <f t="shared" si="3"/>
        <v>128</v>
      </c>
      <c r="E28" s="80">
        <f t="shared" si="3"/>
        <v>249</v>
      </c>
      <c r="F28" s="80">
        <f t="shared" si="3"/>
        <v>220</v>
      </c>
      <c r="G28" s="80">
        <f t="shared" si="3"/>
        <v>195</v>
      </c>
      <c r="H28" s="80">
        <f t="shared" si="3"/>
        <v>166</v>
      </c>
      <c r="I28" s="80">
        <f t="shared" si="3"/>
        <v>142</v>
      </c>
      <c r="J28" s="80">
        <f t="shared" si="3"/>
        <v>133</v>
      </c>
      <c r="K28" s="80">
        <f t="shared" si="3"/>
        <v>130</v>
      </c>
      <c r="L28" s="80">
        <f t="shared" si="3"/>
        <v>219</v>
      </c>
      <c r="M28" s="80">
        <f t="shared" si="3"/>
        <v>214</v>
      </c>
      <c r="N28" s="80">
        <f t="shared" si="3"/>
        <v>167</v>
      </c>
      <c r="O28" s="80">
        <f t="shared" si="3"/>
        <v>171</v>
      </c>
      <c r="P28" s="80">
        <f t="shared" si="3"/>
        <v>169</v>
      </c>
      <c r="Q28" s="80">
        <f t="shared" si="3"/>
        <v>148</v>
      </c>
      <c r="R28" s="80">
        <f t="shared" si="3"/>
        <v>161</v>
      </c>
      <c r="S28" s="80">
        <f t="shared" si="3"/>
        <v>231</v>
      </c>
      <c r="T28" s="80">
        <f t="shared" si="3"/>
        <v>253</v>
      </c>
      <c r="U28" s="80">
        <f t="shared" si="3"/>
        <v>157</v>
      </c>
      <c r="V28" s="80">
        <f t="shared" si="3"/>
        <v>235</v>
      </c>
      <c r="W28" s="80">
        <f t="shared" si="3"/>
        <v>169</v>
      </c>
      <c r="X28" s="80">
        <f t="shared" si="3"/>
        <v>149</v>
      </c>
      <c r="Y28" s="80">
        <f t="shared" si="3"/>
        <v>152</v>
      </c>
      <c r="Z28" s="80">
        <f t="shared" si="3"/>
        <v>266</v>
      </c>
      <c r="AA28" s="80">
        <f t="shared" si="3"/>
        <v>228</v>
      </c>
      <c r="AB28" s="80">
        <f t="shared" si="3"/>
        <v>175</v>
      </c>
      <c r="AC28" s="80">
        <f t="shared" si="3"/>
        <v>171</v>
      </c>
      <c r="AD28" s="80">
        <f t="shared" si="3"/>
        <v>145</v>
      </c>
      <c r="AE28" s="80">
        <f>SUM(AE29:AE52)</f>
        <v>152</v>
      </c>
      <c r="AF28" s="80">
        <f t="shared" si="3"/>
        <v>102</v>
      </c>
      <c r="AG28" s="150">
        <f t="shared" si="2"/>
        <v>5518</v>
      </c>
    </row>
    <row r="29" spans="1:33" ht="18.75" hidden="1" x14ac:dyDescent="0.25">
      <c r="A29" s="41" t="s">
        <v>54</v>
      </c>
      <c r="B29" s="7">
        <v>5</v>
      </c>
      <c r="C29" s="7"/>
      <c r="D29" s="7">
        <v>3</v>
      </c>
      <c r="E29" s="7">
        <v>5</v>
      </c>
      <c r="F29" s="7">
        <v>3</v>
      </c>
      <c r="G29" s="7"/>
      <c r="H29" s="7"/>
      <c r="I29" s="7"/>
      <c r="J29" s="7"/>
      <c r="K29" s="7"/>
      <c r="L29" s="7">
        <v>6</v>
      </c>
      <c r="M29" s="7"/>
      <c r="N29" s="7"/>
      <c r="O29" s="7"/>
      <c r="P29" s="7"/>
      <c r="Q29" s="7"/>
      <c r="R29" s="7">
        <v>1</v>
      </c>
      <c r="S29" s="7">
        <v>2</v>
      </c>
      <c r="T29" s="7">
        <v>3</v>
      </c>
      <c r="U29" s="7">
        <v>1</v>
      </c>
      <c r="V29" s="7">
        <v>2</v>
      </c>
      <c r="W29" s="114"/>
      <c r="X29" s="7"/>
      <c r="Y29" s="7">
        <v>2</v>
      </c>
      <c r="Z29" s="7">
        <v>4</v>
      </c>
      <c r="AA29" s="7">
        <v>4</v>
      </c>
      <c r="AB29" s="7"/>
      <c r="AC29" s="7"/>
      <c r="AD29" s="7"/>
      <c r="AE29" s="7"/>
      <c r="AF29" s="8">
        <v>1</v>
      </c>
      <c r="AG29" s="4">
        <f t="shared" si="2"/>
        <v>42</v>
      </c>
    </row>
    <row r="30" spans="1:33" ht="18.75" hidden="1" x14ac:dyDescent="0.25">
      <c r="A30" s="41" t="s">
        <v>55</v>
      </c>
      <c r="B30" s="7">
        <v>13</v>
      </c>
      <c r="C30" s="7"/>
      <c r="D30" s="7"/>
      <c r="E30" s="7">
        <v>6</v>
      </c>
      <c r="F30" s="7">
        <v>5</v>
      </c>
      <c r="G30" s="7"/>
      <c r="H30" s="7"/>
      <c r="I30" s="7"/>
      <c r="J30" s="7"/>
      <c r="K30" s="7"/>
      <c r="L30" s="7">
        <v>7</v>
      </c>
      <c r="M30" s="7">
        <v>3</v>
      </c>
      <c r="N30" s="7"/>
      <c r="O30" s="7"/>
      <c r="P30" s="7"/>
      <c r="Q30" s="7"/>
      <c r="R30" s="7"/>
      <c r="S30" s="7">
        <v>6</v>
      </c>
      <c r="T30" s="7">
        <v>7</v>
      </c>
      <c r="U30" s="7"/>
      <c r="V30" s="7">
        <v>3</v>
      </c>
      <c r="W30" s="7"/>
      <c r="X30" s="7"/>
      <c r="Y30" s="7"/>
      <c r="Z30" s="7">
        <v>7</v>
      </c>
      <c r="AA30" s="7">
        <v>5</v>
      </c>
      <c r="AB30" s="7"/>
      <c r="AC30" s="7"/>
      <c r="AD30" s="7"/>
      <c r="AE30" s="7"/>
      <c r="AF30" s="8"/>
      <c r="AG30" s="4">
        <f t="shared" si="2"/>
        <v>62</v>
      </c>
    </row>
    <row r="31" spans="1:33" ht="18.75" hidden="1" x14ac:dyDescent="0.25">
      <c r="A31" s="41" t="s">
        <v>56</v>
      </c>
      <c r="B31" s="7">
        <v>11</v>
      </c>
      <c r="C31" s="7"/>
      <c r="D31" s="7"/>
      <c r="E31" s="7">
        <v>15</v>
      </c>
      <c r="F31" s="7">
        <v>12</v>
      </c>
      <c r="G31" s="7"/>
      <c r="H31" s="7"/>
      <c r="I31" s="7"/>
      <c r="J31" s="7"/>
      <c r="K31" s="7"/>
      <c r="L31" s="7">
        <v>11</v>
      </c>
      <c r="M31" s="7">
        <v>16</v>
      </c>
      <c r="N31" s="7"/>
      <c r="O31" s="7"/>
      <c r="P31" s="7"/>
      <c r="Q31" s="7"/>
      <c r="R31" s="7"/>
      <c r="S31" s="7">
        <v>11</v>
      </c>
      <c r="T31" s="7">
        <v>12</v>
      </c>
      <c r="U31" s="7"/>
      <c r="V31" s="7">
        <v>12</v>
      </c>
      <c r="W31" s="7"/>
      <c r="X31" s="7"/>
      <c r="Y31" s="7"/>
      <c r="Z31" s="7">
        <v>12</v>
      </c>
      <c r="AA31" s="7">
        <v>14</v>
      </c>
      <c r="AB31" s="7"/>
      <c r="AC31" s="7"/>
      <c r="AD31" s="7"/>
      <c r="AE31" s="7"/>
      <c r="AF31" s="8"/>
      <c r="AG31" s="4">
        <f t="shared" si="2"/>
        <v>126</v>
      </c>
    </row>
    <row r="32" spans="1:33" ht="18.75" hidden="1" x14ac:dyDescent="0.25">
      <c r="A32" s="41" t="s">
        <v>38</v>
      </c>
      <c r="B32" s="7">
        <v>14</v>
      </c>
      <c r="C32" s="7"/>
      <c r="D32" s="7">
        <v>1</v>
      </c>
      <c r="E32" s="7">
        <v>15</v>
      </c>
      <c r="F32" s="7">
        <v>12</v>
      </c>
      <c r="G32" s="7"/>
      <c r="H32" s="7">
        <v>1</v>
      </c>
      <c r="I32" s="7"/>
      <c r="J32" s="7"/>
      <c r="K32" s="7"/>
      <c r="L32" s="7">
        <v>10</v>
      </c>
      <c r="M32" s="7">
        <v>17</v>
      </c>
      <c r="N32" s="7"/>
      <c r="O32" s="7"/>
      <c r="P32" s="7"/>
      <c r="Q32" s="7"/>
      <c r="R32" s="7"/>
      <c r="S32" s="7">
        <v>15</v>
      </c>
      <c r="T32" s="7">
        <v>15</v>
      </c>
      <c r="U32" s="7"/>
      <c r="V32" s="7">
        <v>13</v>
      </c>
      <c r="W32" s="7"/>
      <c r="X32" s="7"/>
      <c r="Y32" s="7"/>
      <c r="Z32" s="7">
        <v>16</v>
      </c>
      <c r="AA32" s="7">
        <v>18</v>
      </c>
      <c r="AB32" s="7"/>
      <c r="AC32" s="7"/>
      <c r="AD32" s="7"/>
      <c r="AE32" s="7"/>
      <c r="AF32" s="8"/>
      <c r="AG32" s="4">
        <f t="shared" si="2"/>
        <v>147</v>
      </c>
    </row>
    <row r="33" spans="1:33" ht="18.75" hidden="1" x14ac:dyDescent="0.25">
      <c r="A33" s="41" t="s">
        <v>39</v>
      </c>
      <c r="B33" s="7">
        <v>20</v>
      </c>
      <c r="C33" s="7">
        <v>2</v>
      </c>
      <c r="D33" s="7">
        <v>2</v>
      </c>
      <c r="E33" s="7">
        <v>23</v>
      </c>
      <c r="F33" s="7">
        <v>9</v>
      </c>
      <c r="G33" s="7">
        <v>4</v>
      </c>
      <c r="H33" s="7"/>
      <c r="I33" s="7"/>
      <c r="J33" s="7"/>
      <c r="K33" s="7"/>
      <c r="L33" s="7">
        <v>10</v>
      </c>
      <c r="M33" s="7">
        <v>18</v>
      </c>
      <c r="N33" s="7"/>
      <c r="O33" s="7"/>
      <c r="P33" s="7"/>
      <c r="Q33" s="7"/>
      <c r="R33" s="7">
        <v>1</v>
      </c>
      <c r="S33" s="7">
        <v>11</v>
      </c>
      <c r="T33" s="7">
        <v>15</v>
      </c>
      <c r="U33" s="7"/>
      <c r="V33" s="7">
        <v>14</v>
      </c>
      <c r="W33" s="7"/>
      <c r="X33" s="7"/>
      <c r="Y33" s="7"/>
      <c r="Z33" s="7">
        <v>15</v>
      </c>
      <c r="AA33" s="7">
        <v>11</v>
      </c>
      <c r="AB33" s="7"/>
      <c r="AC33" s="7"/>
      <c r="AD33" s="7"/>
      <c r="AE33" s="7"/>
      <c r="AF33" s="8"/>
      <c r="AG33" s="4">
        <f t="shared" si="2"/>
        <v>155</v>
      </c>
    </row>
    <row r="34" spans="1:33" ht="18.75" hidden="1" x14ac:dyDescent="0.25">
      <c r="A34" s="41" t="s">
        <v>40</v>
      </c>
      <c r="B34" s="7">
        <v>10</v>
      </c>
      <c r="C34" s="7"/>
      <c r="D34" s="7"/>
      <c r="E34" s="7">
        <v>17</v>
      </c>
      <c r="F34" s="7">
        <v>11</v>
      </c>
      <c r="G34" s="7"/>
      <c r="H34" s="7"/>
      <c r="I34" s="7"/>
      <c r="J34" s="7"/>
      <c r="K34" s="7"/>
      <c r="L34" s="7">
        <v>8</v>
      </c>
      <c r="M34" s="7">
        <v>11</v>
      </c>
      <c r="N34" s="7"/>
      <c r="O34" s="7"/>
      <c r="P34" s="7"/>
      <c r="Q34" s="7"/>
      <c r="R34" s="7"/>
      <c r="S34" s="7">
        <v>14</v>
      </c>
      <c r="T34" s="7">
        <v>10</v>
      </c>
      <c r="U34" s="7"/>
      <c r="V34" s="7">
        <v>6</v>
      </c>
      <c r="W34" s="7"/>
      <c r="X34" s="7"/>
      <c r="Y34" s="7"/>
      <c r="Z34" s="7">
        <v>13</v>
      </c>
      <c r="AA34" s="7">
        <v>14</v>
      </c>
      <c r="AB34" s="7"/>
      <c r="AC34" s="7"/>
      <c r="AD34" s="7"/>
      <c r="AE34" s="7"/>
      <c r="AF34" s="8"/>
      <c r="AG34" s="4">
        <f t="shared" si="2"/>
        <v>114</v>
      </c>
    </row>
    <row r="35" spans="1:33" ht="18.75" hidden="1" x14ac:dyDescent="0.25">
      <c r="A35" s="41" t="s">
        <v>41</v>
      </c>
      <c r="B35" s="7">
        <v>18</v>
      </c>
      <c r="C35" s="7">
        <v>1</v>
      </c>
      <c r="D35" s="7">
        <v>3</v>
      </c>
      <c r="E35" s="7">
        <v>21</v>
      </c>
      <c r="F35" s="7">
        <v>17</v>
      </c>
      <c r="G35" s="7">
        <v>1</v>
      </c>
      <c r="H35" s="7"/>
      <c r="I35" s="7"/>
      <c r="J35" s="7"/>
      <c r="K35" s="7"/>
      <c r="L35" s="7">
        <v>10</v>
      </c>
      <c r="M35" s="7">
        <v>17</v>
      </c>
      <c r="N35" s="7"/>
      <c r="O35" s="7"/>
      <c r="P35" s="7"/>
      <c r="Q35" s="7"/>
      <c r="R35" s="7"/>
      <c r="S35" s="7">
        <v>8</v>
      </c>
      <c r="T35" s="7">
        <v>16</v>
      </c>
      <c r="U35" s="7"/>
      <c r="V35" s="7">
        <v>9</v>
      </c>
      <c r="W35" s="7"/>
      <c r="X35" s="7"/>
      <c r="Y35" s="7"/>
      <c r="Z35" s="7">
        <v>17</v>
      </c>
      <c r="AA35" s="7">
        <v>8</v>
      </c>
      <c r="AB35" s="7"/>
      <c r="AC35" s="7"/>
      <c r="AD35" s="7"/>
      <c r="AE35" s="7"/>
      <c r="AF35" s="8">
        <v>1</v>
      </c>
      <c r="AG35" s="4">
        <f t="shared" si="2"/>
        <v>147</v>
      </c>
    </row>
    <row r="36" spans="1:33" ht="18.75" hidden="1" x14ac:dyDescent="0.25">
      <c r="A36" s="41" t="s">
        <v>42</v>
      </c>
      <c r="B36" s="7">
        <v>12</v>
      </c>
      <c r="C36" s="7">
        <v>1</v>
      </c>
      <c r="D36" s="7">
        <v>3</v>
      </c>
      <c r="E36" s="7">
        <v>19</v>
      </c>
      <c r="F36" s="7">
        <v>15</v>
      </c>
      <c r="G36" s="7"/>
      <c r="H36" s="7"/>
      <c r="I36" s="7"/>
      <c r="J36" s="7"/>
      <c r="K36" s="7"/>
      <c r="L36" s="7">
        <v>15</v>
      </c>
      <c r="M36" s="7">
        <v>14</v>
      </c>
      <c r="N36" s="7"/>
      <c r="O36" s="7"/>
      <c r="P36" s="7">
        <v>1</v>
      </c>
      <c r="Q36" s="7"/>
      <c r="R36" s="7"/>
      <c r="S36" s="7">
        <v>13</v>
      </c>
      <c r="T36" s="7">
        <v>17</v>
      </c>
      <c r="U36" s="7"/>
      <c r="V36" s="7">
        <v>23</v>
      </c>
      <c r="W36" s="7"/>
      <c r="X36" s="7"/>
      <c r="Y36" s="7"/>
      <c r="Z36" s="7">
        <v>19</v>
      </c>
      <c r="AA36" s="7">
        <v>12</v>
      </c>
      <c r="AB36" s="7"/>
      <c r="AC36" s="7"/>
      <c r="AD36" s="7"/>
      <c r="AE36" s="7"/>
      <c r="AF36" s="8"/>
      <c r="AG36" s="4">
        <f t="shared" si="2"/>
        <v>164</v>
      </c>
    </row>
    <row r="37" spans="1:33" ht="18.75" hidden="1" x14ac:dyDescent="0.25">
      <c r="A37" s="41" t="s">
        <v>43</v>
      </c>
      <c r="B37" s="7">
        <v>14</v>
      </c>
      <c r="C37" s="7">
        <v>1</v>
      </c>
      <c r="D37" s="7"/>
      <c r="E37" s="7">
        <v>24</v>
      </c>
      <c r="F37" s="7">
        <v>16</v>
      </c>
      <c r="G37" s="7"/>
      <c r="H37" s="7"/>
      <c r="I37" s="7"/>
      <c r="J37" s="7"/>
      <c r="K37" s="7"/>
      <c r="L37" s="7">
        <v>17</v>
      </c>
      <c r="M37" s="7">
        <v>19</v>
      </c>
      <c r="N37" s="7"/>
      <c r="O37" s="7"/>
      <c r="P37" s="7"/>
      <c r="Q37" s="7"/>
      <c r="R37" s="7"/>
      <c r="S37" s="7">
        <v>14</v>
      </c>
      <c r="T37" s="7">
        <v>18</v>
      </c>
      <c r="U37" s="7"/>
      <c r="V37" s="7">
        <v>19</v>
      </c>
      <c r="W37" s="7"/>
      <c r="X37" s="7"/>
      <c r="Y37" s="7"/>
      <c r="Z37" s="7">
        <v>22</v>
      </c>
      <c r="AA37" s="7">
        <v>15</v>
      </c>
      <c r="AB37" s="7"/>
      <c r="AC37" s="7"/>
      <c r="AD37" s="7"/>
      <c r="AE37" s="7"/>
      <c r="AF37" s="8"/>
      <c r="AG37" s="4">
        <f t="shared" si="2"/>
        <v>179</v>
      </c>
    </row>
    <row r="38" spans="1:33" ht="18.75" hidden="1" x14ac:dyDescent="0.25">
      <c r="A38" s="41" t="s">
        <v>44</v>
      </c>
      <c r="B38" s="7">
        <v>18</v>
      </c>
      <c r="C38" s="7">
        <v>6</v>
      </c>
      <c r="D38" s="7">
        <v>7</v>
      </c>
      <c r="E38" s="7">
        <v>22</v>
      </c>
      <c r="F38" s="7">
        <v>18</v>
      </c>
      <c r="G38" s="7">
        <v>7</v>
      </c>
      <c r="H38" s="7">
        <v>7</v>
      </c>
      <c r="I38" s="7">
        <v>9</v>
      </c>
      <c r="J38" s="7">
        <v>8</v>
      </c>
      <c r="K38" s="7">
        <v>3</v>
      </c>
      <c r="L38" s="7">
        <v>17</v>
      </c>
      <c r="M38" s="7">
        <v>19</v>
      </c>
      <c r="N38" s="7">
        <v>6</v>
      </c>
      <c r="O38" s="7">
        <v>7</v>
      </c>
      <c r="P38" s="7">
        <v>6</v>
      </c>
      <c r="Q38" s="7">
        <v>9</v>
      </c>
      <c r="R38" s="7">
        <v>11</v>
      </c>
      <c r="S38" s="7">
        <v>24</v>
      </c>
      <c r="T38" s="7">
        <v>24</v>
      </c>
      <c r="U38" s="7">
        <v>7</v>
      </c>
      <c r="V38" s="7">
        <v>21</v>
      </c>
      <c r="W38" s="7">
        <v>5</v>
      </c>
      <c r="X38" s="7">
        <v>4</v>
      </c>
      <c r="Y38" s="7">
        <v>10</v>
      </c>
      <c r="Z38" s="7">
        <v>24</v>
      </c>
      <c r="AA38" s="7">
        <v>14</v>
      </c>
      <c r="AB38" s="7">
        <v>4</v>
      </c>
      <c r="AC38" s="7">
        <v>11</v>
      </c>
      <c r="AD38" s="7">
        <v>13</v>
      </c>
      <c r="AE38" s="7">
        <v>7</v>
      </c>
      <c r="AF38" s="8">
        <v>9</v>
      </c>
      <c r="AG38" s="4">
        <f t="shared" si="2"/>
        <v>357</v>
      </c>
    </row>
    <row r="39" spans="1:33" ht="18.75" hidden="1" x14ac:dyDescent="0.25">
      <c r="A39" s="41" t="s">
        <v>45</v>
      </c>
      <c r="B39" s="7">
        <v>13</v>
      </c>
      <c r="C39" s="7">
        <v>19</v>
      </c>
      <c r="D39" s="7">
        <v>27</v>
      </c>
      <c r="E39" s="7">
        <v>14</v>
      </c>
      <c r="F39" s="7">
        <v>16</v>
      </c>
      <c r="G39" s="7">
        <v>26</v>
      </c>
      <c r="H39" s="7">
        <v>24</v>
      </c>
      <c r="I39" s="7">
        <v>21</v>
      </c>
      <c r="J39" s="7">
        <v>22</v>
      </c>
      <c r="K39" s="7">
        <v>29</v>
      </c>
      <c r="L39" s="7">
        <v>18</v>
      </c>
      <c r="M39" s="7">
        <v>19</v>
      </c>
      <c r="N39" s="7">
        <v>16</v>
      </c>
      <c r="O39" s="7">
        <v>21</v>
      </c>
      <c r="P39" s="7">
        <v>28</v>
      </c>
      <c r="Q39" s="7">
        <v>24</v>
      </c>
      <c r="R39" s="7">
        <v>21</v>
      </c>
      <c r="S39" s="7">
        <v>16</v>
      </c>
      <c r="T39" s="7">
        <v>24</v>
      </c>
      <c r="U39" s="7">
        <v>21</v>
      </c>
      <c r="V39" s="7">
        <v>15</v>
      </c>
      <c r="W39" s="7">
        <v>19</v>
      </c>
      <c r="X39" s="7">
        <v>16</v>
      </c>
      <c r="Y39" s="7">
        <v>23</v>
      </c>
      <c r="Z39" s="7">
        <v>22</v>
      </c>
      <c r="AA39" s="7">
        <v>19</v>
      </c>
      <c r="AB39" s="7">
        <v>20</v>
      </c>
      <c r="AC39" s="7">
        <v>23</v>
      </c>
      <c r="AD39" s="7">
        <v>29</v>
      </c>
      <c r="AE39" s="7">
        <v>21</v>
      </c>
      <c r="AF39" s="8">
        <v>20</v>
      </c>
      <c r="AG39" s="4">
        <f t="shared" si="2"/>
        <v>646</v>
      </c>
    </row>
    <row r="40" spans="1:33" ht="18.75" hidden="1" x14ac:dyDescent="0.25">
      <c r="A40" s="41" t="s">
        <v>46</v>
      </c>
      <c r="B40" s="7">
        <v>18</v>
      </c>
      <c r="C40" s="7">
        <v>22</v>
      </c>
      <c r="D40" s="7">
        <v>15</v>
      </c>
      <c r="E40" s="7">
        <v>15</v>
      </c>
      <c r="F40" s="7">
        <v>13</v>
      </c>
      <c r="G40" s="7">
        <v>35</v>
      </c>
      <c r="H40" s="7">
        <v>27</v>
      </c>
      <c r="I40" s="7">
        <v>28</v>
      </c>
      <c r="J40" s="7">
        <v>25</v>
      </c>
      <c r="K40" s="7">
        <v>26</v>
      </c>
      <c r="L40" s="7">
        <v>18</v>
      </c>
      <c r="M40" s="7">
        <v>13</v>
      </c>
      <c r="N40" s="7">
        <v>27</v>
      </c>
      <c r="O40" s="7">
        <v>28</v>
      </c>
      <c r="P40" s="7">
        <v>28</v>
      </c>
      <c r="Q40" s="7">
        <v>22</v>
      </c>
      <c r="R40" s="7">
        <v>20</v>
      </c>
      <c r="S40" s="7">
        <v>13</v>
      </c>
      <c r="T40" s="7">
        <v>10</v>
      </c>
      <c r="U40" s="7">
        <v>24</v>
      </c>
      <c r="V40" s="7">
        <v>17</v>
      </c>
      <c r="W40" s="7">
        <v>27</v>
      </c>
      <c r="X40" s="7">
        <v>22</v>
      </c>
      <c r="Y40" s="7">
        <v>20</v>
      </c>
      <c r="Z40" s="7">
        <v>13</v>
      </c>
      <c r="AA40" s="7">
        <v>13</v>
      </c>
      <c r="AB40" s="7">
        <v>22</v>
      </c>
      <c r="AC40" s="7">
        <v>24</v>
      </c>
      <c r="AD40" s="7">
        <v>24</v>
      </c>
      <c r="AE40" s="7">
        <v>23</v>
      </c>
      <c r="AF40" s="8">
        <v>20</v>
      </c>
      <c r="AG40" s="4">
        <f t="shared" si="2"/>
        <v>652</v>
      </c>
    </row>
    <row r="41" spans="1:33" ht="18.75" hidden="1" x14ac:dyDescent="0.25">
      <c r="A41" s="41" t="s">
        <v>47</v>
      </c>
      <c r="B41" s="7">
        <v>10</v>
      </c>
      <c r="C41" s="7">
        <v>20</v>
      </c>
      <c r="D41" s="7">
        <v>18</v>
      </c>
      <c r="E41" s="7">
        <v>11</v>
      </c>
      <c r="F41" s="7">
        <v>11</v>
      </c>
      <c r="G41" s="7">
        <v>40</v>
      </c>
      <c r="H41" s="7">
        <v>33</v>
      </c>
      <c r="I41" s="7">
        <v>18</v>
      </c>
      <c r="J41" s="7">
        <v>22</v>
      </c>
      <c r="K41" s="7">
        <v>20</v>
      </c>
      <c r="L41" s="7">
        <v>15</v>
      </c>
      <c r="M41" s="7">
        <v>9</v>
      </c>
      <c r="N41" s="7">
        <v>31</v>
      </c>
      <c r="O41" s="7">
        <v>30</v>
      </c>
      <c r="P41" s="7">
        <v>27</v>
      </c>
      <c r="Q41" s="7">
        <v>20</v>
      </c>
      <c r="R41" s="7">
        <v>23</v>
      </c>
      <c r="S41" s="7">
        <v>20</v>
      </c>
      <c r="T41" s="7">
        <v>22</v>
      </c>
      <c r="U41" s="7">
        <v>25</v>
      </c>
      <c r="V41" s="7">
        <v>16</v>
      </c>
      <c r="W41" s="7">
        <v>25</v>
      </c>
      <c r="X41" s="7">
        <v>26</v>
      </c>
      <c r="Y41" s="7">
        <v>20</v>
      </c>
      <c r="Z41" s="7">
        <v>19</v>
      </c>
      <c r="AA41" s="7">
        <v>14</v>
      </c>
      <c r="AB41" s="7">
        <v>30</v>
      </c>
      <c r="AC41" s="7">
        <v>22</v>
      </c>
      <c r="AD41" s="7">
        <v>26</v>
      </c>
      <c r="AE41" s="7">
        <v>18</v>
      </c>
      <c r="AF41" s="8">
        <v>15</v>
      </c>
      <c r="AG41" s="4">
        <f t="shared" si="2"/>
        <v>656</v>
      </c>
    </row>
    <row r="42" spans="1:33" ht="18.75" hidden="1" x14ac:dyDescent="0.25">
      <c r="A42" s="41" t="s">
        <v>48</v>
      </c>
      <c r="B42" s="7">
        <v>4</v>
      </c>
      <c r="C42" s="7">
        <v>15</v>
      </c>
      <c r="D42" s="7">
        <v>14</v>
      </c>
      <c r="E42" s="7">
        <v>6</v>
      </c>
      <c r="F42" s="7">
        <v>18</v>
      </c>
      <c r="G42" s="7">
        <v>34</v>
      </c>
      <c r="H42" s="7">
        <v>25</v>
      </c>
      <c r="I42" s="7">
        <v>23</v>
      </c>
      <c r="J42" s="7">
        <v>18</v>
      </c>
      <c r="K42" s="7">
        <v>16</v>
      </c>
      <c r="L42" s="7">
        <v>12</v>
      </c>
      <c r="M42" s="7">
        <v>19</v>
      </c>
      <c r="N42" s="7">
        <v>23</v>
      </c>
      <c r="O42" s="7">
        <v>24</v>
      </c>
      <c r="P42" s="7">
        <v>27</v>
      </c>
      <c r="Q42" s="7">
        <v>17</v>
      </c>
      <c r="R42" s="7">
        <v>23</v>
      </c>
      <c r="S42" s="7">
        <v>23</v>
      </c>
      <c r="T42" s="7">
        <v>16</v>
      </c>
      <c r="U42" s="7">
        <v>19</v>
      </c>
      <c r="V42" s="7">
        <v>13</v>
      </c>
      <c r="W42" s="7">
        <v>25</v>
      </c>
      <c r="X42" s="7">
        <v>18</v>
      </c>
      <c r="Y42" s="7">
        <v>21</v>
      </c>
      <c r="Z42" s="7">
        <v>20</v>
      </c>
      <c r="AA42" s="7">
        <v>16</v>
      </c>
      <c r="AB42" s="7">
        <v>27</v>
      </c>
      <c r="AC42" s="7">
        <v>20</v>
      </c>
      <c r="AD42" s="7">
        <v>24</v>
      </c>
      <c r="AE42" s="7">
        <v>20</v>
      </c>
      <c r="AF42" s="8">
        <v>9</v>
      </c>
      <c r="AG42" s="4">
        <f t="shared" si="2"/>
        <v>589</v>
      </c>
    </row>
    <row r="43" spans="1:33" ht="18.75" hidden="1" x14ac:dyDescent="0.25">
      <c r="A43" s="41" t="s">
        <v>49</v>
      </c>
      <c r="B43" s="7">
        <v>12</v>
      </c>
      <c r="C43" s="7">
        <v>8</v>
      </c>
      <c r="D43" s="7">
        <v>12</v>
      </c>
      <c r="E43" s="7">
        <v>5</v>
      </c>
      <c r="F43" s="7">
        <v>10</v>
      </c>
      <c r="G43" s="7">
        <v>19</v>
      </c>
      <c r="H43" s="7">
        <v>12</v>
      </c>
      <c r="I43" s="7">
        <v>18</v>
      </c>
      <c r="J43" s="7">
        <v>14</v>
      </c>
      <c r="K43" s="7">
        <v>12</v>
      </c>
      <c r="L43" s="7">
        <v>5</v>
      </c>
      <c r="M43" s="7">
        <v>2</v>
      </c>
      <c r="N43" s="7">
        <v>12</v>
      </c>
      <c r="O43" s="7">
        <v>15</v>
      </c>
      <c r="P43" s="7">
        <v>20</v>
      </c>
      <c r="Q43" s="7">
        <v>20</v>
      </c>
      <c r="R43" s="7">
        <v>23</v>
      </c>
      <c r="S43" s="7">
        <v>8</v>
      </c>
      <c r="T43" s="7">
        <v>14</v>
      </c>
      <c r="U43" s="7">
        <v>15</v>
      </c>
      <c r="V43" s="7">
        <v>8</v>
      </c>
      <c r="W43" s="7">
        <v>22</v>
      </c>
      <c r="X43" s="7">
        <v>18</v>
      </c>
      <c r="Y43" s="7">
        <v>16</v>
      </c>
      <c r="Z43" s="7">
        <v>4</v>
      </c>
      <c r="AA43" s="7">
        <v>13</v>
      </c>
      <c r="AB43" s="7">
        <v>17</v>
      </c>
      <c r="AC43" s="7">
        <v>16</v>
      </c>
      <c r="AD43" s="7">
        <v>4</v>
      </c>
      <c r="AE43" s="7">
        <v>23</v>
      </c>
      <c r="AF43" s="8">
        <v>8</v>
      </c>
      <c r="AG43" s="4">
        <f t="shared" si="2"/>
        <v>405</v>
      </c>
    </row>
    <row r="44" spans="1:33" ht="18.75" hidden="1" x14ac:dyDescent="0.25">
      <c r="A44" s="41" t="s">
        <v>50</v>
      </c>
      <c r="B44" s="7">
        <v>5</v>
      </c>
      <c r="C44" s="7">
        <v>7</v>
      </c>
      <c r="D44" s="7">
        <v>9</v>
      </c>
      <c r="E44" s="7">
        <v>10</v>
      </c>
      <c r="F44" s="7">
        <v>10</v>
      </c>
      <c r="G44" s="7">
        <v>7</v>
      </c>
      <c r="H44" s="7">
        <v>16</v>
      </c>
      <c r="I44" s="7">
        <v>11</v>
      </c>
      <c r="J44" s="7">
        <v>6</v>
      </c>
      <c r="K44" s="7">
        <v>4</v>
      </c>
      <c r="L44" s="7">
        <v>10</v>
      </c>
      <c r="M44" s="7">
        <v>4</v>
      </c>
      <c r="N44" s="7">
        <v>19</v>
      </c>
      <c r="O44" s="7">
        <v>14</v>
      </c>
      <c r="P44" s="7">
        <v>13</v>
      </c>
      <c r="Q44" s="7">
        <v>10</v>
      </c>
      <c r="R44" s="7">
        <v>12</v>
      </c>
      <c r="S44" s="7">
        <v>6</v>
      </c>
      <c r="T44" s="7">
        <v>11</v>
      </c>
      <c r="U44" s="7">
        <v>19</v>
      </c>
      <c r="V44" s="7">
        <v>8</v>
      </c>
      <c r="W44" s="7">
        <v>19</v>
      </c>
      <c r="X44" s="7">
        <v>18</v>
      </c>
      <c r="Y44" s="7">
        <v>13</v>
      </c>
      <c r="Z44" s="7">
        <v>6</v>
      </c>
      <c r="AA44" s="7">
        <v>11</v>
      </c>
      <c r="AB44" s="7">
        <v>22</v>
      </c>
      <c r="AC44" s="7">
        <v>10</v>
      </c>
      <c r="AD44" s="7">
        <v>13</v>
      </c>
      <c r="AE44" s="7">
        <v>11</v>
      </c>
      <c r="AF44" s="8">
        <v>7</v>
      </c>
      <c r="AG44" s="4">
        <f t="shared" si="2"/>
        <v>341</v>
      </c>
    </row>
    <row r="45" spans="1:33" ht="18.75" hidden="1" x14ac:dyDescent="0.25">
      <c r="A45" s="41" t="s">
        <v>33</v>
      </c>
      <c r="B45" s="7">
        <v>5</v>
      </c>
      <c r="C45" s="7">
        <v>4</v>
      </c>
      <c r="D45" s="7">
        <v>3</v>
      </c>
      <c r="E45" s="7">
        <v>7</v>
      </c>
      <c r="F45" s="7">
        <v>11</v>
      </c>
      <c r="G45" s="7">
        <v>11</v>
      </c>
      <c r="H45" s="7">
        <v>7</v>
      </c>
      <c r="I45" s="7">
        <v>7</v>
      </c>
      <c r="J45" s="7">
        <v>5</v>
      </c>
      <c r="K45" s="7">
        <v>8</v>
      </c>
      <c r="L45" s="7">
        <v>5</v>
      </c>
      <c r="M45" s="7">
        <v>9</v>
      </c>
      <c r="N45" s="7">
        <v>10</v>
      </c>
      <c r="O45" s="7">
        <v>10</v>
      </c>
      <c r="P45" s="7">
        <v>12</v>
      </c>
      <c r="Q45" s="7">
        <v>7</v>
      </c>
      <c r="R45" s="7">
        <v>4</v>
      </c>
      <c r="S45" s="7">
        <v>12</v>
      </c>
      <c r="T45" s="7">
        <v>8</v>
      </c>
      <c r="U45" s="7">
        <v>8</v>
      </c>
      <c r="V45" s="7">
        <v>11</v>
      </c>
      <c r="W45" s="114">
        <v>9</v>
      </c>
      <c r="X45" s="7">
        <v>6</v>
      </c>
      <c r="Y45" s="7">
        <v>4</v>
      </c>
      <c r="Z45" s="7">
        <v>9</v>
      </c>
      <c r="AA45" s="7">
        <v>13</v>
      </c>
      <c r="AB45" s="7">
        <v>14</v>
      </c>
      <c r="AC45" s="7">
        <v>7</v>
      </c>
      <c r="AD45" s="7">
        <v>5</v>
      </c>
      <c r="AE45" s="7">
        <v>9</v>
      </c>
      <c r="AF45" s="8">
        <v>3</v>
      </c>
      <c r="AG45" s="4">
        <f t="shared" si="2"/>
        <v>243</v>
      </c>
    </row>
    <row r="46" spans="1:33" ht="18.75" hidden="1" x14ac:dyDescent="0.25">
      <c r="A46" s="41" t="s">
        <v>34</v>
      </c>
      <c r="B46" s="7">
        <v>1</v>
      </c>
      <c r="C46" s="7">
        <v>5</v>
      </c>
      <c r="D46" s="7">
        <v>4</v>
      </c>
      <c r="E46" s="7">
        <v>5</v>
      </c>
      <c r="F46" s="7">
        <v>4</v>
      </c>
      <c r="G46" s="7">
        <v>6</v>
      </c>
      <c r="H46" s="7">
        <v>7</v>
      </c>
      <c r="I46" s="7">
        <v>5</v>
      </c>
      <c r="J46" s="7">
        <v>5</v>
      </c>
      <c r="K46" s="7">
        <v>6</v>
      </c>
      <c r="L46" s="7">
        <v>2</v>
      </c>
      <c r="M46" s="7">
        <v>1</v>
      </c>
      <c r="N46" s="7">
        <v>10</v>
      </c>
      <c r="O46" s="7">
        <v>9</v>
      </c>
      <c r="P46" s="7">
        <v>4</v>
      </c>
      <c r="Q46" s="7">
        <v>10</v>
      </c>
      <c r="R46" s="7">
        <v>6</v>
      </c>
      <c r="S46" s="7">
        <v>2</v>
      </c>
      <c r="T46" s="7">
        <v>5</v>
      </c>
      <c r="U46" s="7">
        <v>7</v>
      </c>
      <c r="V46" s="7">
        <v>9</v>
      </c>
      <c r="W46" s="114">
        <v>11</v>
      </c>
      <c r="X46" s="7">
        <v>8</v>
      </c>
      <c r="Y46" s="7">
        <v>4</v>
      </c>
      <c r="Z46" s="7">
        <v>6</v>
      </c>
      <c r="AA46" s="7">
        <v>9</v>
      </c>
      <c r="AB46" s="7">
        <v>9</v>
      </c>
      <c r="AC46" s="7">
        <v>11</v>
      </c>
      <c r="AD46" s="7">
        <v>3</v>
      </c>
      <c r="AE46" s="7">
        <v>6</v>
      </c>
      <c r="AF46" s="8">
        <v>3</v>
      </c>
      <c r="AG46" s="4">
        <f t="shared" si="2"/>
        <v>183</v>
      </c>
    </row>
    <row r="47" spans="1:33" ht="18.75" hidden="1" x14ac:dyDescent="0.25">
      <c r="A47" s="41" t="s">
        <v>35</v>
      </c>
      <c r="B47" s="7"/>
      <c r="C47" s="7">
        <v>2</v>
      </c>
      <c r="D47" s="7">
        <v>1</v>
      </c>
      <c r="E47" s="7">
        <v>1</v>
      </c>
      <c r="F47" s="7">
        <v>3</v>
      </c>
      <c r="G47" s="7">
        <v>3</v>
      </c>
      <c r="H47" s="7">
        <v>2</v>
      </c>
      <c r="I47" s="7"/>
      <c r="J47" s="7">
        <v>1</v>
      </c>
      <c r="K47" s="7">
        <v>2</v>
      </c>
      <c r="L47" s="7">
        <v>5</v>
      </c>
      <c r="M47" s="7">
        <v>1</v>
      </c>
      <c r="N47" s="7">
        <v>7</v>
      </c>
      <c r="O47" s="7">
        <v>5</v>
      </c>
      <c r="P47" s="7"/>
      <c r="Q47" s="7">
        <v>7</v>
      </c>
      <c r="R47" s="7">
        <v>5</v>
      </c>
      <c r="S47" s="7">
        <v>6</v>
      </c>
      <c r="T47" s="7">
        <v>3</v>
      </c>
      <c r="U47" s="7">
        <v>4</v>
      </c>
      <c r="V47" s="7">
        <v>9</v>
      </c>
      <c r="W47" s="114"/>
      <c r="X47" s="7">
        <v>7</v>
      </c>
      <c r="Y47" s="7">
        <v>5</v>
      </c>
      <c r="Z47" s="7">
        <v>2</v>
      </c>
      <c r="AA47" s="7">
        <v>2</v>
      </c>
      <c r="AB47" s="7">
        <v>1</v>
      </c>
      <c r="AC47" s="7">
        <v>13</v>
      </c>
      <c r="AD47" s="7">
        <v>1</v>
      </c>
      <c r="AE47" s="7">
        <v>9</v>
      </c>
      <c r="AF47" s="8">
        <v>1</v>
      </c>
      <c r="AG47" s="4">
        <f t="shared" si="2"/>
        <v>108</v>
      </c>
    </row>
    <row r="48" spans="1:33" ht="18.75" hidden="1" x14ac:dyDescent="0.25">
      <c r="A48" s="41" t="s">
        <v>36</v>
      </c>
      <c r="B48" s="7"/>
      <c r="C48" s="7">
        <v>1</v>
      </c>
      <c r="D48" s="7"/>
      <c r="E48" s="7">
        <v>1</v>
      </c>
      <c r="F48" s="7"/>
      <c r="G48" s="7"/>
      <c r="H48" s="7">
        <v>2</v>
      </c>
      <c r="I48" s="7">
        <v>1</v>
      </c>
      <c r="J48" s="7">
        <v>1</v>
      </c>
      <c r="K48" s="7">
        <v>1</v>
      </c>
      <c r="L48" s="7">
        <v>6</v>
      </c>
      <c r="M48" s="7">
        <v>1</v>
      </c>
      <c r="N48" s="7">
        <v>1</v>
      </c>
      <c r="O48" s="7">
        <v>2</v>
      </c>
      <c r="P48" s="7"/>
      <c r="Q48" s="7">
        <v>2</v>
      </c>
      <c r="R48" s="7">
        <v>2</v>
      </c>
      <c r="S48" s="7">
        <v>2</v>
      </c>
      <c r="T48" s="7"/>
      <c r="U48" s="7">
        <v>1</v>
      </c>
      <c r="V48" s="7">
        <v>4</v>
      </c>
      <c r="W48" s="114"/>
      <c r="X48" s="7">
        <v>4</v>
      </c>
      <c r="Y48" s="7">
        <v>6</v>
      </c>
      <c r="Z48" s="7">
        <v>7</v>
      </c>
      <c r="AA48" s="7">
        <v>1</v>
      </c>
      <c r="AB48" s="7">
        <v>2</v>
      </c>
      <c r="AC48" s="7">
        <v>8</v>
      </c>
      <c r="AD48" s="7"/>
      <c r="AE48" s="7">
        <v>1</v>
      </c>
      <c r="AF48" s="8">
        <v>2</v>
      </c>
      <c r="AG48" s="4">
        <f t="shared" si="2"/>
        <v>59</v>
      </c>
    </row>
    <row r="49" spans="1:33" ht="18.75" hidden="1" x14ac:dyDescent="0.25">
      <c r="A49" s="41" t="s">
        <v>51</v>
      </c>
      <c r="B49" s="7"/>
      <c r="C49" s="7"/>
      <c r="D49" s="7">
        <v>3</v>
      </c>
      <c r="E49" s="7">
        <v>1</v>
      </c>
      <c r="F49" s="7">
        <v>3</v>
      </c>
      <c r="G49" s="7"/>
      <c r="H49" s="7">
        <v>2</v>
      </c>
      <c r="I49" s="7">
        <v>1</v>
      </c>
      <c r="J49" s="7">
        <v>1</v>
      </c>
      <c r="K49" s="7">
        <v>1</v>
      </c>
      <c r="L49" s="7">
        <v>5</v>
      </c>
      <c r="M49" s="7">
        <v>2</v>
      </c>
      <c r="N49" s="7">
        <v>1</v>
      </c>
      <c r="O49" s="7">
        <v>1</v>
      </c>
      <c r="P49" s="7">
        <v>1</v>
      </c>
      <c r="Q49" s="7"/>
      <c r="R49" s="7"/>
      <c r="S49" s="7">
        <v>1</v>
      </c>
      <c r="T49" s="7">
        <v>1</v>
      </c>
      <c r="U49" s="7">
        <v>1</v>
      </c>
      <c r="V49" s="7"/>
      <c r="W49" s="114"/>
      <c r="X49" s="7"/>
      <c r="Y49" s="7">
        <v>3</v>
      </c>
      <c r="Z49" s="7">
        <v>1</v>
      </c>
      <c r="AA49" s="7">
        <v>1</v>
      </c>
      <c r="AB49" s="7">
        <v>1</v>
      </c>
      <c r="AC49" s="7">
        <v>1</v>
      </c>
      <c r="AD49" s="7"/>
      <c r="AE49" s="7">
        <v>2</v>
      </c>
      <c r="AF49" s="8">
        <v>1</v>
      </c>
      <c r="AG49" s="4">
        <f t="shared" si="2"/>
        <v>35</v>
      </c>
    </row>
    <row r="50" spans="1:33" ht="18.75" hidden="1" x14ac:dyDescent="0.25">
      <c r="A50" s="41" t="s">
        <v>52</v>
      </c>
      <c r="B50" s="7"/>
      <c r="C50" s="7">
        <v>2</v>
      </c>
      <c r="D50" s="7">
        <v>1</v>
      </c>
      <c r="E50" s="7"/>
      <c r="F50" s="7"/>
      <c r="G50" s="7">
        <v>2</v>
      </c>
      <c r="H50" s="7"/>
      <c r="I50" s="7"/>
      <c r="J50" s="7">
        <v>1</v>
      </c>
      <c r="K50" s="7">
        <v>1</v>
      </c>
      <c r="L50" s="7">
        <v>1</v>
      </c>
      <c r="M50" s="7"/>
      <c r="N50" s="7">
        <v>2</v>
      </c>
      <c r="O50" s="7"/>
      <c r="P50" s="7"/>
      <c r="Q50" s="7"/>
      <c r="R50" s="7">
        <v>5</v>
      </c>
      <c r="S50" s="7">
        <v>1</v>
      </c>
      <c r="T50" s="7"/>
      <c r="U50" s="7">
        <v>1</v>
      </c>
      <c r="V50" s="7"/>
      <c r="W50" s="114">
        <v>5</v>
      </c>
      <c r="X50" s="7">
        <v>1</v>
      </c>
      <c r="Y50" s="7"/>
      <c r="Z50" s="7">
        <v>2</v>
      </c>
      <c r="AA50" s="7"/>
      <c r="AB50" s="7">
        <v>2</v>
      </c>
      <c r="AC50" s="7">
        <v>3</v>
      </c>
      <c r="AD50" s="7"/>
      <c r="AE50" s="7"/>
      <c r="AF50" s="8"/>
      <c r="AG50" s="4">
        <f t="shared" si="2"/>
        <v>30</v>
      </c>
    </row>
    <row r="51" spans="1:33" ht="18.75" hidden="1" x14ac:dyDescent="0.25">
      <c r="A51" s="41" t="s">
        <v>37</v>
      </c>
      <c r="B51" s="7"/>
      <c r="C51" s="7">
        <v>1</v>
      </c>
      <c r="D51" s="7"/>
      <c r="E51" s="7">
        <v>6</v>
      </c>
      <c r="F51" s="7">
        <v>2</v>
      </c>
      <c r="G51" s="7"/>
      <c r="H51" s="7">
        <v>1</v>
      </c>
      <c r="I51" s="7"/>
      <c r="J51" s="7">
        <v>2</v>
      </c>
      <c r="K51" s="7"/>
      <c r="L51" s="7">
        <v>1</v>
      </c>
      <c r="M51" s="7"/>
      <c r="N51" s="7"/>
      <c r="O51" s="7">
        <v>2</v>
      </c>
      <c r="P51" s="7">
        <v>2</v>
      </c>
      <c r="Q51" s="7"/>
      <c r="R51" s="7">
        <v>1</v>
      </c>
      <c r="S51" s="7">
        <v>2</v>
      </c>
      <c r="T51" s="7">
        <v>1</v>
      </c>
      <c r="U51" s="7">
        <v>2</v>
      </c>
      <c r="V51" s="7">
        <v>1</v>
      </c>
      <c r="W51" s="114">
        <v>1</v>
      </c>
      <c r="X51" s="7">
        <v>1</v>
      </c>
      <c r="Y51" s="7">
        <v>2</v>
      </c>
      <c r="Z51" s="7">
        <v>1</v>
      </c>
      <c r="AA51" s="7">
        <v>1</v>
      </c>
      <c r="AB51" s="7">
        <v>2</v>
      </c>
      <c r="AC51" s="7">
        <v>2</v>
      </c>
      <c r="AD51" s="7"/>
      <c r="AE51" s="7">
        <v>1</v>
      </c>
      <c r="AF51" s="8"/>
      <c r="AG51" s="4">
        <f t="shared" si="2"/>
        <v>35</v>
      </c>
    </row>
    <row r="52" spans="1:33" ht="19.5" hidden="1" thickBot="1" x14ac:dyDescent="0.3">
      <c r="A52" s="77" t="s">
        <v>53</v>
      </c>
      <c r="B52" s="9">
        <v>1</v>
      </c>
      <c r="C52" s="9"/>
      <c r="D52" s="9">
        <v>2</v>
      </c>
      <c r="E52" s="9"/>
      <c r="F52" s="9">
        <v>1</v>
      </c>
      <c r="G52" s="9"/>
      <c r="H52" s="9"/>
      <c r="I52" s="9"/>
      <c r="J52" s="9">
        <v>2</v>
      </c>
      <c r="K52" s="9">
        <v>1</v>
      </c>
      <c r="L52" s="9">
        <v>5</v>
      </c>
      <c r="M52" s="9"/>
      <c r="N52" s="9">
        <v>2</v>
      </c>
      <c r="O52" s="9">
        <v>3</v>
      </c>
      <c r="P52" s="9"/>
      <c r="Q52" s="9"/>
      <c r="R52" s="9">
        <v>3</v>
      </c>
      <c r="S52" s="9">
        <v>1</v>
      </c>
      <c r="T52" s="9">
        <v>1</v>
      </c>
      <c r="U52" s="9">
        <v>2</v>
      </c>
      <c r="V52" s="9">
        <v>2</v>
      </c>
      <c r="W52" s="166">
        <v>1</v>
      </c>
      <c r="X52" s="9"/>
      <c r="Y52" s="9">
        <v>3</v>
      </c>
      <c r="Z52" s="9">
        <v>5</v>
      </c>
      <c r="AA52" s="9"/>
      <c r="AB52" s="9">
        <v>2</v>
      </c>
      <c r="AC52" s="9"/>
      <c r="AD52" s="9">
        <v>3</v>
      </c>
      <c r="AE52" s="9">
        <v>1</v>
      </c>
      <c r="AF52" s="10">
        <v>2</v>
      </c>
      <c r="AG52" s="108">
        <f t="shared" si="2"/>
        <v>43</v>
      </c>
    </row>
    <row r="53" spans="1:33" ht="19.5" thickBot="1" x14ac:dyDescent="0.3">
      <c r="A53" s="136" t="s">
        <v>108</v>
      </c>
      <c r="B53" s="135">
        <f t="shared" ref="B53:AF53" si="4">SUM(B54:B77)</f>
        <v>5</v>
      </c>
      <c r="C53" s="135">
        <f t="shared" si="4"/>
        <v>7</v>
      </c>
      <c r="D53" s="135">
        <f t="shared" si="4"/>
        <v>5</v>
      </c>
      <c r="E53" s="135">
        <f t="shared" si="4"/>
        <v>3</v>
      </c>
      <c r="F53" s="135">
        <f t="shared" si="4"/>
        <v>12</v>
      </c>
      <c r="G53" s="135">
        <f t="shared" si="4"/>
        <v>27</v>
      </c>
      <c r="H53" s="135">
        <f t="shared" si="4"/>
        <v>9</v>
      </c>
      <c r="I53" s="135">
        <f t="shared" si="4"/>
        <v>7</v>
      </c>
      <c r="J53" s="135">
        <f t="shared" si="4"/>
        <v>9</v>
      </c>
      <c r="K53" s="135">
        <f t="shared" si="4"/>
        <v>10</v>
      </c>
      <c r="L53" s="135">
        <f t="shared" si="4"/>
        <v>16</v>
      </c>
      <c r="M53" s="135">
        <f t="shared" si="4"/>
        <v>8</v>
      </c>
      <c r="N53" s="135">
        <f t="shared" si="4"/>
        <v>69</v>
      </c>
      <c r="O53" s="135">
        <f t="shared" si="4"/>
        <v>32</v>
      </c>
      <c r="P53" s="135">
        <f t="shared" si="4"/>
        <v>17</v>
      </c>
      <c r="Q53" s="135">
        <f t="shared" si="4"/>
        <v>37</v>
      </c>
      <c r="R53" s="135">
        <f t="shared" si="4"/>
        <v>14</v>
      </c>
      <c r="S53" s="135">
        <f t="shared" si="4"/>
        <v>23</v>
      </c>
      <c r="T53" s="135">
        <f t="shared" si="4"/>
        <v>15</v>
      </c>
      <c r="U53" s="135">
        <f t="shared" si="4"/>
        <v>29</v>
      </c>
      <c r="V53" s="135">
        <f t="shared" si="4"/>
        <v>35</v>
      </c>
      <c r="W53" s="135">
        <f t="shared" si="4"/>
        <v>42</v>
      </c>
      <c r="X53" s="135">
        <f t="shared" si="4"/>
        <v>35</v>
      </c>
      <c r="Y53" s="135">
        <f t="shared" si="4"/>
        <v>47</v>
      </c>
      <c r="Z53" s="135">
        <f t="shared" si="4"/>
        <v>30</v>
      </c>
      <c r="AA53" s="135">
        <f t="shared" si="4"/>
        <v>28</v>
      </c>
      <c r="AB53" s="135">
        <f t="shared" si="4"/>
        <v>46</v>
      </c>
      <c r="AC53" s="135">
        <f t="shared" si="4"/>
        <v>32</v>
      </c>
      <c r="AD53" s="135">
        <f t="shared" si="4"/>
        <v>16</v>
      </c>
      <c r="AE53" s="135">
        <f t="shared" si="4"/>
        <v>27</v>
      </c>
      <c r="AF53" s="135">
        <f t="shared" si="4"/>
        <v>2</v>
      </c>
      <c r="AG53" s="116">
        <f t="shared" si="2"/>
        <v>694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7"/>
      <c r="N54" s="114"/>
      <c r="O54" s="114"/>
      <c r="P54" s="114"/>
      <c r="Q54" s="114"/>
      <c r="R54" s="114"/>
      <c r="S54" s="114"/>
      <c r="T54" s="114"/>
      <c r="U54" s="114"/>
      <c r="V54" s="114"/>
      <c r="W54" s="7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>
        <v>1</v>
      </c>
      <c r="T55" s="7">
        <v>1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2</v>
      </c>
    </row>
    <row r="56" spans="1:33" ht="18.75" x14ac:dyDescent="0.25">
      <c r="A56" s="41" t="s">
        <v>56</v>
      </c>
      <c r="B56" s="7"/>
      <c r="C56" s="7"/>
      <c r="D56" s="7"/>
      <c r="E56" s="7">
        <v>1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>
        <v>1</v>
      </c>
      <c r="W56" s="7"/>
      <c r="X56" s="7"/>
      <c r="Y56" s="7"/>
      <c r="Z56" s="7">
        <v>1</v>
      </c>
      <c r="AA56" s="7"/>
      <c r="AB56" s="7"/>
      <c r="AC56" s="7"/>
      <c r="AD56" s="7"/>
      <c r="AE56" s="7"/>
      <c r="AF56" s="8"/>
      <c r="AG56" s="4">
        <f t="shared" si="2"/>
        <v>3</v>
      </c>
    </row>
    <row r="57" spans="1:33" ht="18.75" x14ac:dyDescent="0.25">
      <c r="A57" s="41" t="s">
        <v>38</v>
      </c>
      <c r="B57" s="7">
        <v>1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>
        <v>1</v>
      </c>
      <c r="N57" s="7"/>
      <c r="O57" s="7"/>
      <c r="P57" s="7"/>
      <c r="Q57" s="7"/>
      <c r="R57" s="7"/>
      <c r="S57" s="7"/>
      <c r="T57" s="7">
        <v>1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3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>
        <v>1</v>
      </c>
      <c r="M58" s="7">
        <v>1</v>
      </c>
      <c r="N58" s="7"/>
      <c r="O58" s="7"/>
      <c r="P58" s="7"/>
      <c r="Q58" s="7"/>
      <c r="R58" s="7"/>
      <c r="S58" s="7">
        <v>2</v>
      </c>
      <c r="T58" s="7"/>
      <c r="U58" s="7"/>
      <c r="V58" s="7">
        <v>2</v>
      </c>
      <c r="W58" s="7"/>
      <c r="X58" s="7"/>
      <c r="Y58" s="7"/>
      <c r="Z58" s="7">
        <v>1</v>
      </c>
      <c r="AA58" s="7"/>
      <c r="AB58" s="7"/>
      <c r="AC58" s="7"/>
      <c r="AD58" s="7"/>
      <c r="AE58" s="7"/>
      <c r="AF58" s="8"/>
      <c r="AG58" s="4">
        <f t="shared" si="2"/>
        <v>7</v>
      </c>
    </row>
    <row r="59" spans="1:33" ht="18.75" x14ac:dyDescent="0.25">
      <c r="A59" s="41" t="s">
        <v>40</v>
      </c>
      <c r="B59" s="7"/>
      <c r="C59" s="7"/>
      <c r="D59" s="7"/>
      <c r="E59" s="7"/>
      <c r="F59" s="7">
        <v>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2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4</v>
      </c>
    </row>
    <row r="60" spans="1:33" ht="18.75" x14ac:dyDescent="0.25">
      <c r="A60" s="41" t="s">
        <v>41</v>
      </c>
      <c r="B60" s="7">
        <v>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>
        <v>3</v>
      </c>
      <c r="N60" s="7"/>
      <c r="O60" s="7"/>
      <c r="P60" s="7"/>
      <c r="Q60" s="7"/>
      <c r="R60" s="7"/>
      <c r="S60" s="7">
        <v>2</v>
      </c>
      <c r="T60" s="7">
        <v>1</v>
      </c>
      <c r="U60" s="7"/>
      <c r="V60" s="7">
        <v>4</v>
      </c>
      <c r="W60" s="7"/>
      <c r="X60" s="7"/>
      <c r="Y60" s="7"/>
      <c r="Z60" s="7">
        <v>2</v>
      </c>
      <c r="AA60" s="7">
        <v>1</v>
      </c>
      <c r="AB60" s="7"/>
      <c r="AC60" s="7"/>
      <c r="AD60" s="7"/>
      <c r="AE60" s="7"/>
      <c r="AF60" s="8"/>
      <c r="AG60" s="4">
        <f t="shared" si="2"/>
        <v>16</v>
      </c>
    </row>
    <row r="61" spans="1:33" ht="18.75" x14ac:dyDescent="0.25">
      <c r="A61" s="41" t="s">
        <v>42</v>
      </c>
      <c r="B61" s="7">
        <v>1</v>
      </c>
      <c r="C61" s="7"/>
      <c r="D61" s="7"/>
      <c r="E61" s="7"/>
      <c r="F61" s="7">
        <v>2</v>
      </c>
      <c r="G61" s="7"/>
      <c r="H61" s="7"/>
      <c r="I61" s="7"/>
      <c r="J61" s="7"/>
      <c r="K61" s="7"/>
      <c r="L61" s="7"/>
      <c r="M61" s="7">
        <v>2</v>
      </c>
      <c r="N61" s="7"/>
      <c r="O61" s="7"/>
      <c r="P61" s="7"/>
      <c r="Q61" s="7"/>
      <c r="R61" s="7"/>
      <c r="S61" s="7"/>
      <c r="T61" s="7">
        <v>2</v>
      </c>
      <c r="U61" s="7"/>
      <c r="V61" s="7">
        <v>6</v>
      </c>
      <c r="W61" s="7"/>
      <c r="X61" s="7"/>
      <c r="Y61" s="7"/>
      <c r="Z61" s="7"/>
      <c r="AA61" s="7">
        <v>1</v>
      </c>
      <c r="AB61" s="7"/>
      <c r="AC61" s="7"/>
      <c r="AD61" s="7"/>
      <c r="AE61" s="7"/>
      <c r="AF61" s="8"/>
      <c r="AG61" s="4">
        <f t="shared" si="2"/>
        <v>14</v>
      </c>
    </row>
    <row r="62" spans="1:33" ht="18.75" x14ac:dyDescent="0.25">
      <c r="A62" s="41" t="s">
        <v>43</v>
      </c>
      <c r="B62" s="7"/>
      <c r="C62" s="7"/>
      <c r="D62" s="7"/>
      <c r="E62" s="7"/>
      <c r="F62" s="7">
        <v>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5</v>
      </c>
      <c r="U62" s="7"/>
      <c r="V62" s="7"/>
      <c r="W62" s="7"/>
      <c r="X62" s="7"/>
      <c r="Y62" s="7"/>
      <c r="Z62" s="7">
        <v>3</v>
      </c>
      <c r="AA62" s="7">
        <v>2</v>
      </c>
      <c r="AB62" s="7"/>
      <c r="AC62" s="7"/>
      <c r="AD62" s="7"/>
      <c r="AE62" s="7"/>
      <c r="AF62" s="8"/>
      <c r="AG62" s="4">
        <f t="shared" si="2"/>
        <v>11</v>
      </c>
    </row>
    <row r="63" spans="1:33" ht="18.75" x14ac:dyDescent="0.25">
      <c r="A63" s="41" t="s">
        <v>44</v>
      </c>
      <c r="B63" s="7"/>
      <c r="C63" s="7"/>
      <c r="D63" s="7"/>
      <c r="E63" s="7"/>
      <c r="F63" s="7"/>
      <c r="G63" s="7"/>
      <c r="H63" s="7">
        <v>2</v>
      </c>
      <c r="I63" s="7"/>
      <c r="J63" s="7">
        <v>2</v>
      </c>
      <c r="K63" s="7"/>
      <c r="L63" s="7"/>
      <c r="M63" s="7"/>
      <c r="N63" s="7"/>
      <c r="O63" s="7"/>
      <c r="P63" s="7"/>
      <c r="Q63" s="7"/>
      <c r="R63" s="7"/>
      <c r="S63" s="7">
        <v>5</v>
      </c>
      <c r="T63" s="7">
        <v>2</v>
      </c>
      <c r="U63" s="7"/>
      <c r="V63" s="7">
        <v>5</v>
      </c>
      <c r="W63" s="7"/>
      <c r="X63" s="7">
        <v>1</v>
      </c>
      <c r="Y63" s="7"/>
      <c r="Z63" s="7">
        <v>1</v>
      </c>
      <c r="AA63" s="7"/>
      <c r="AB63" s="7"/>
      <c r="AC63" s="7"/>
      <c r="AD63" s="7">
        <v>1</v>
      </c>
      <c r="AE63" s="7">
        <v>1</v>
      </c>
      <c r="AF63" s="8"/>
      <c r="AG63" s="4">
        <f t="shared" si="2"/>
        <v>20</v>
      </c>
    </row>
    <row r="64" spans="1:33" ht="18.75" x14ac:dyDescent="0.25">
      <c r="A64" s="41" t="s">
        <v>45</v>
      </c>
      <c r="B64" s="7"/>
      <c r="C64" s="7">
        <v>2</v>
      </c>
      <c r="D64" s="7">
        <v>1</v>
      </c>
      <c r="E64" s="7">
        <v>1</v>
      </c>
      <c r="F64" s="7"/>
      <c r="G64" s="7">
        <v>1</v>
      </c>
      <c r="H64" s="7">
        <v>3</v>
      </c>
      <c r="I64" s="7">
        <v>2</v>
      </c>
      <c r="J64" s="7">
        <v>1</v>
      </c>
      <c r="K64" s="7">
        <v>8</v>
      </c>
      <c r="L64" s="7"/>
      <c r="M64" s="7"/>
      <c r="N64" s="7"/>
      <c r="O64" s="7">
        <v>2</v>
      </c>
      <c r="P64" s="7">
        <v>6</v>
      </c>
      <c r="Q64" s="7"/>
      <c r="R64" s="7">
        <v>2</v>
      </c>
      <c r="S64" s="7">
        <v>2</v>
      </c>
      <c r="T64" s="7">
        <v>2</v>
      </c>
      <c r="U64" s="7">
        <v>2</v>
      </c>
      <c r="V64" s="7">
        <v>2</v>
      </c>
      <c r="W64" s="7">
        <v>2</v>
      </c>
      <c r="X64" s="7"/>
      <c r="Y64" s="7">
        <v>3</v>
      </c>
      <c r="Z64" s="7">
        <v>1</v>
      </c>
      <c r="AA64" s="7">
        <v>5</v>
      </c>
      <c r="AB64" s="7">
        <v>4</v>
      </c>
      <c r="AC64" s="7"/>
      <c r="AD64" s="7">
        <v>2</v>
      </c>
      <c r="AE64" s="7"/>
      <c r="AF64" s="8">
        <v>1</v>
      </c>
      <c r="AG64" s="4">
        <f t="shared" si="2"/>
        <v>55</v>
      </c>
    </row>
    <row r="65" spans="1:33" ht="18.75" x14ac:dyDescent="0.25">
      <c r="A65" s="41" t="s">
        <v>46</v>
      </c>
      <c r="B65" s="7"/>
      <c r="C65" s="7"/>
      <c r="D65" s="7"/>
      <c r="E65" s="7">
        <v>1</v>
      </c>
      <c r="F65" s="7"/>
      <c r="G65" s="7">
        <v>6</v>
      </c>
      <c r="H65" s="7">
        <v>3</v>
      </c>
      <c r="I65" s="7">
        <v>4</v>
      </c>
      <c r="J65" s="7">
        <v>1</v>
      </c>
      <c r="K65" s="7"/>
      <c r="L65" s="7"/>
      <c r="M65" s="7">
        <v>1</v>
      </c>
      <c r="N65" s="7">
        <v>17</v>
      </c>
      <c r="O65" s="7">
        <v>5</v>
      </c>
      <c r="P65" s="7">
        <v>4</v>
      </c>
      <c r="Q65" s="7">
        <v>6</v>
      </c>
      <c r="R65" s="7">
        <v>4</v>
      </c>
      <c r="S65" s="7">
        <v>3</v>
      </c>
      <c r="T65" s="7"/>
      <c r="U65" s="7">
        <v>8</v>
      </c>
      <c r="V65" s="7">
        <v>3</v>
      </c>
      <c r="W65" s="7">
        <v>10</v>
      </c>
      <c r="X65" s="7">
        <v>1</v>
      </c>
      <c r="Y65" s="7">
        <v>9</v>
      </c>
      <c r="Z65" s="7">
        <v>4</v>
      </c>
      <c r="AA65" s="7"/>
      <c r="AB65" s="7">
        <v>11</v>
      </c>
      <c r="AC65" s="7">
        <v>4</v>
      </c>
      <c r="AD65" s="7">
        <v>6</v>
      </c>
      <c r="AE65" s="7">
        <v>3</v>
      </c>
      <c r="AF65" s="8">
        <v>1</v>
      </c>
      <c r="AG65" s="4">
        <f t="shared" si="2"/>
        <v>115</v>
      </c>
    </row>
    <row r="66" spans="1:33" ht="18.75" x14ac:dyDescent="0.25">
      <c r="A66" s="41" t="s">
        <v>47</v>
      </c>
      <c r="B66" s="7"/>
      <c r="C66" s="7">
        <v>4</v>
      </c>
      <c r="D66" s="7">
        <v>1</v>
      </c>
      <c r="E66" s="7"/>
      <c r="F66" s="7">
        <v>3</v>
      </c>
      <c r="G66" s="7">
        <v>17</v>
      </c>
      <c r="H66" s="7">
        <v>1</v>
      </c>
      <c r="I66" s="7"/>
      <c r="J66" s="7">
        <v>3</v>
      </c>
      <c r="K66" s="7">
        <v>1</v>
      </c>
      <c r="L66" s="7"/>
      <c r="M66" s="7"/>
      <c r="N66" s="7">
        <v>14</v>
      </c>
      <c r="O66" s="7">
        <v>3</v>
      </c>
      <c r="P66" s="7"/>
      <c r="Q66" s="7">
        <v>5</v>
      </c>
      <c r="R66" s="7">
        <v>2</v>
      </c>
      <c r="S66" s="7">
        <v>2</v>
      </c>
      <c r="T66" s="7"/>
      <c r="U66" s="7">
        <v>6</v>
      </c>
      <c r="V66" s="7">
        <v>1</v>
      </c>
      <c r="W66" s="7">
        <v>7</v>
      </c>
      <c r="X66" s="7">
        <v>10</v>
      </c>
      <c r="Y66" s="7">
        <v>13</v>
      </c>
      <c r="Z66" s="7">
        <v>5</v>
      </c>
      <c r="AA66" s="7">
        <v>6</v>
      </c>
      <c r="AB66" s="7">
        <v>19</v>
      </c>
      <c r="AC66" s="7">
        <v>8</v>
      </c>
      <c r="AD66" s="7">
        <v>6</v>
      </c>
      <c r="AE66" s="7">
        <v>2</v>
      </c>
      <c r="AF66" s="8"/>
      <c r="AG66" s="4">
        <f t="shared" si="2"/>
        <v>139</v>
      </c>
    </row>
    <row r="67" spans="1:33" ht="18.75" x14ac:dyDescent="0.25">
      <c r="A67" s="41" t="s">
        <v>48</v>
      </c>
      <c r="B67" s="7"/>
      <c r="C67" s="7">
        <v>1</v>
      </c>
      <c r="D67" s="7"/>
      <c r="E67" s="7"/>
      <c r="F67" s="7">
        <v>1</v>
      </c>
      <c r="G67" s="7">
        <v>3</v>
      </c>
      <c r="H67" s="7"/>
      <c r="I67" s="7"/>
      <c r="J67" s="7"/>
      <c r="K67" s="7"/>
      <c r="L67" s="7"/>
      <c r="M67" s="7"/>
      <c r="N67" s="7">
        <v>5</v>
      </c>
      <c r="O67" s="7">
        <v>5</v>
      </c>
      <c r="P67" s="7">
        <v>3</v>
      </c>
      <c r="Q67" s="7">
        <v>6</v>
      </c>
      <c r="R67" s="7">
        <v>4</v>
      </c>
      <c r="S67" s="7">
        <v>3</v>
      </c>
      <c r="T67" s="7"/>
      <c r="U67" s="7">
        <v>3</v>
      </c>
      <c r="V67" s="7">
        <v>1</v>
      </c>
      <c r="W67" s="7">
        <v>17</v>
      </c>
      <c r="X67" s="7">
        <v>7</v>
      </c>
      <c r="Y67" s="7">
        <v>12</v>
      </c>
      <c r="Z67" s="7">
        <v>2</v>
      </c>
      <c r="AA67" s="7">
        <v>2</v>
      </c>
      <c r="AB67" s="7">
        <v>7</v>
      </c>
      <c r="AC67" s="7">
        <v>5</v>
      </c>
      <c r="AD67" s="7"/>
      <c r="AE67" s="7">
        <v>5</v>
      </c>
      <c r="AF67" s="8"/>
      <c r="AG67" s="4">
        <f t="shared" si="2"/>
        <v>92</v>
      </c>
    </row>
    <row r="68" spans="1:33" ht="18.75" x14ac:dyDescent="0.25">
      <c r="A68" s="41" t="s">
        <v>49</v>
      </c>
      <c r="B68" s="7"/>
      <c r="C68" s="7"/>
      <c r="D68" s="7">
        <v>3</v>
      </c>
      <c r="E68" s="7"/>
      <c r="F68" s="7">
        <v>1</v>
      </c>
      <c r="G68" s="7"/>
      <c r="H68" s="7"/>
      <c r="I68" s="7">
        <v>1</v>
      </c>
      <c r="J68" s="7">
        <v>2</v>
      </c>
      <c r="K68" s="7"/>
      <c r="L68" s="7">
        <v>1</v>
      </c>
      <c r="M68" s="7"/>
      <c r="N68" s="7">
        <v>7</v>
      </c>
      <c r="O68" s="7">
        <v>8</v>
      </c>
      <c r="P68" s="7">
        <v>1</v>
      </c>
      <c r="Q68" s="7">
        <v>3</v>
      </c>
      <c r="R68" s="7">
        <v>1</v>
      </c>
      <c r="S68" s="7"/>
      <c r="T68" s="7"/>
      <c r="U68" s="7">
        <v>9</v>
      </c>
      <c r="V68" s="7"/>
      <c r="W68" s="7">
        <v>3</v>
      </c>
      <c r="X68" s="7">
        <v>4</v>
      </c>
      <c r="Y68" s="7">
        <v>3</v>
      </c>
      <c r="Z68" s="7"/>
      <c r="AA68" s="7"/>
      <c r="AB68" s="7">
        <v>1</v>
      </c>
      <c r="AC68" s="7">
        <v>1</v>
      </c>
      <c r="AD68" s="7"/>
      <c r="AE68" s="7">
        <v>8</v>
      </c>
      <c r="AF68" s="8"/>
      <c r="AG68" s="4">
        <f t="shared" si="2"/>
        <v>57</v>
      </c>
    </row>
    <row r="69" spans="1:33" ht="18.75" x14ac:dyDescent="0.25">
      <c r="A69" s="41" t="s">
        <v>50</v>
      </c>
      <c r="B69" s="7"/>
      <c r="C69" s="7"/>
      <c r="D69" s="7"/>
      <c r="E69" s="7"/>
      <c r="F69" s="7">
        <v>2</v>
      </c>
      <c r="G69" s="7"/>
      <c r="H69" s="7"/>
      <c r="I69" s="7"/>
      <c r="J69" s="7"/>
      <c r="K69" s="7">
        <v>1</v>
      </c>
      <c r="L69" s="7">
        <v>1</v>
      </c>
      <c r="M69" s="7"/>
      <c r="N69" s="7">
        <v>2</v>
      </c>
      <c r="O69" s="7"/>
      <c r="P69" s="7"/>
      <c r="Q69" s="7">
        <v>4</v>
      </c>
      <c r="R69" s="7"/>
      <c r="S69" s="7"/>
      <c r="T69" s="7"/>
      <c r="U69" s="7">
        <v>1</v>
      </c>
      <c r="V69" s="7">
        <v>1</v>
      </c>
      <c r="W69" s="7">
        <v>2</v>
      </c>
      <c r="X69" s="7">
        <v>3</v>
      </c>
      <c r="Y69" s="7">
        <v>1</v>
      </c>
      <c r="Z69" s="7">
        <v>1</v>
      </c>
      <c r="AA69" s="7">
        <v>4</v>
      </c>
      <c r="AB69" s="7">
        <v>1</v>
      </c>
      <c r="AC69" s="7">
        <v>3</v>
      </c>
      <c r="AD69" s="7">
        <v>1</v>
      </c>
      <c r="AE69" s="7">
        <v>3</v>
      </c>
      <c r="AF69" s="8"/>
      <c r="AG69" s="4">
        <f t="shared" si="2"/>
        <v>31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>
        <v>1</v>
      </c>
      <c r="M70" s="7"/>
      <c r="N70" s="114">
        <v>11</v>
      </c>
      <c r="O70" s="114"/>
      <c r="P70" s="114">
        <v>2</v>
      </c>
      <c r="Q70" s="114"/>
      <c r="R70" s="114"/>
      <c r="S70" s="114"/>
      <c r="T70" s="114"/>
      <c r="U70" s="114"/>
      <c r="V70" s="114">
        <v>6</v>
      </c>
      <c r="W70" s="7"/>
      <c r="X70" s="114"/>
      <c r="Y70" s="114"/>
      <c r="Z70" s="114">
        <v>1</v>
      </c>
      <c r="AA70" s="114">
        <v>6</v>
      </c>
      <c r="AB70" s="114"/>
      <c r="AC70" s="114"/>
      <c r="AD70" s="114"/>
      <c r="AE70" s="114"/>
      <c r="AF70" s="115"/>
      <c r="AG70" s="4">
        <f t="shared" si="2"/>
        <v>27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7"/>
      <c r="N71" s="114">
        <v>13</v>
      </c>
      <c r="O71" s="114">
        <v>6</v>
      </c>
      <c r="P71" s="114"/>
      <c r="Q71" s="114">
        <v>6</v>
      </c>
      <c r="R71" s="114"/>
      <c r="S71" s="114"/>
      <c r="T71" s="114"/>
      <c r="U71" s="114"/>
      <c r="V71" s="114">
        <v>1</v>
      </c>
      <c r="W71" s="7"/>
      <c r="X71" s="114">
        <v>2</v>
      </c>
      <c r="Y71" s="114">
        <v>1</v>
      </c>
      <c r="Z71" s="114">
        <v>5</v>
      </c>
      <c r="AA71" s="114">
        <v>1</v>
      </c>
      <c r="AB71" s="114">
        <v>1</v>
      </c>
      <c r="AC71" s="114">
        <v>8</v>
      </c>
      <c r="AD71" s="114"/>
      <c r="AE71" s="114">
        <v>1</v>
      </c>
      <c r="AF71" s="115"/>
      <c r="AG71" s="4">
        <f t="shared" si="2"/>
        <v>45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>
        <v>4</v>
      </c>
      <c r="M72" s="7"/>
      <c r="N72" s="114"/>
      <c r="O72" s="114">
        <v>3</v>
      </c>
      <c r="P72" s="114">
        <v>1</v>
      </c>
      <c r="Q72" s="114">
        <v>7</v>
      </c>
      <c r="R72" s="114">
        <v>1</v>
      </c>
      <c r="S72" s="114"/>
      <c r="T72" s="114"/>
      <c r="U72" s="114"/>
      <c r="V72" s="114">
        <v>2</v>
      </c>
      <c r="W72" s="7">
        <v>1</v>
      </c>
      <c r="X72" s="114">
        <v>5</v>
      </c>
      <c r="Y72" s="114">
        <v>1</v>
      </c>
      <c r="Z72" s="114">
        <v>3</v>
      </c>
      <c r="AA72" s="114"/>
      <c r="AB72" s="114"/>
      <c r="AC72" s="114">
        <v>3</v>
      </c>
      <c r="AD72" s="114"/>
      <c r="AE72" s="114">
        <v>4</v>
      </c>
      <c r="AF72" s="115"/>
      <c r="AG72" s="4">
        <f t="shared" si="2"/>
        <v>35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>
        <v>6</v>
      </c>
      <c r="M73" s="7"/>
      <c r="N73" s="114"/>
      <c r="O73" s="114"/>
      <c r="P73" s="114"/>
      <c r="Q73" s="114"/>
      <c r="R73" s="114"/>
      <c r="S73" s="114"/>
      <c r="T73" s="114"/>
      <c r="U73" s="114"/>
      <c r="V73" s="114"/>
      <c r="W73" s="7"/>
      <c r="X73" s="114">
        <v>2</v>
      </c>
      <c r="Y73" s="114">
        <v>4</v>
      </c>
      <c r="Z73" s="114"/>
      <c r="AA73" s="114"/>
      <c r="AB73" s="114">
        <v>2</v>
      </c>
      <c r="AC73" s="114"/>
      <c r="AD73" s="114"/>
      <c r="AE73" s="114"/>
      <c r="AF73" s="115"/>
      <c r="AG73" s="4">
        <f t="shared" si="2"/>
        <v>14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>
        <v>1</v>
      </c>
      <c r="M74" s="7"/>
      <c r="N74" s="114"/>
      <c r="O74" s="114"/>
      <c r="P74" s="114"/>
      <c r="Q74" s="114"/>
      <c r="R74" s="114"/>
      <c r="S74" s="114"/>
      <c r="T74" s="114"/>
      <c r="U74" s="114"/>
      <c r="V74" s="114"/>
      <c r="W74" s="7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1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7"/>
      <c r="N75" s="114"/>
      <c r="O75" s="114"/>
      <c r="P75" s="114"/>
      <c r="Q75" s="114"/>
      <c r="R75" s="114"/>
      <c r="S75" s="114"/>
      <c r="T75" s="114"/>
      <c r="U75" s="114"/>
      <c r="V75" s="114"/>
      <c r="W75" s="7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>
        <v>1</v>
      </c>
      <c r="M76" s="7"/>
      <c r="N76" s="114"/>
      <c r="O76" s="114"/>
      <c r="P76" s="114"/>
      <c r="Q76" s="114"/>
      <c r="R76" s="114"/>
      <c r="S76" s="114"/>
      <c r="T76" s="114"/>
      <c r="U76" s="114"/>
      <c r="V76" s="114"/>
      <c r="W76" s="7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9"/>
      <c r="N77" s="166"/>
      <c r="O77" s="166"/>
      <c r="P77" s="166"/>
      <c r="Q77" s="166"/>
      <c r="R77" s="166"/>
      <c r="S77" s="166">
        <v>1</v>
      </c>
      <c r="T77" s="166">
        <v>1</v>
      </c>
      <c r="U77" s="166"/>
      <c r="V77" s="166"/>
      <c r="W77" s="9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2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209</v>
      </c>
      <c r="C78" s="185">
        <f t="shared" si="5"/>
        <v>124</v>
      </c>
      <c r="D78" s="185">
        <f t="shared" si="5"/>
        <v>133</v>
      </c>
      <c r="E78" s="184">
        <f t="shared" si="5"/>
        <v>252</v>
      </c>
      <c r="F78" s="184">
        <f t="shared" si="5"/>
        <v>232</v>
      </c>
      <c r="G78" s="184">
        <f t="shared" si="5"/>
        <v>222</v>
      </c>
      <c r="H78" s="184">
        <f t="shared" si="5"/>
        <v>175</v>
      </c>
      <c r="I78" s="184">
        <f t="shared" si="5"/>
        <v>149</v>
      </c>
      <c r="J78" s="184">
        <f t="shared" si="5"/>
        <v>142</v>
      </c>
      <c r="K78" s="184">
        <f t="shared" si="5"/>
        <v>140</v>
      </c>
      <c r="L78" s="184">
        <f t="shared" si="5"/>
        <v>235</v>
      </c>
      <c r="M78" s="184">
        <f t="shared" si="5"/>
        <v>222</v>
      </c>
      <c r="N78" s="184">
        <f t="shared" si="5"/>
        <v>236</v>
      </c>
      <c r="O78" s="184">
        <f>SUM(O79:O80)</f>
        <v>203</v>
      </c>
      <c r="P78" s="184">
        <f t="shared" si="5"/>
        <v>186</v>
      </c>
      <c r="Q78" s="184">
        <f t="shared" si="5"/>
        <v>185</v>
      </c>
      <c r="R78" s="184">
        <f t="shared" si="5"/>
        <v>175</v>
      </c>
      <c r="S78" s="184">
        <f t="shared" si="5"/>
        <v>254</v>
      </c>
      <c r="T78" s="184">
        <f t="shared" si="5"/>
        <v>268</v>
      </c>
      <c r="U78" s="184">
        <f t="shared" si="5"/>
        <v>186</v>
      </c>
      <c r="V78" s="184">
        <f t="shared" si="5"/>
        <v>270</v>
      </c>
      <c r="W78" s="184">
        <f t="shared" si="5"/>
        <v>211</v>
      </c>
      <c r="X78" s="184">
        <f t="shared" si="5"/>
        <v>184</v>
      </c>
      <c r="Y78" s="184">
        <f t="shared" si="5"/>
        <v>199</v>
      </c>
      <c r="Z78" s="184">
        <f t="shared" si="5"/>
        <v>296</v>
      </c>
      <c r="AA78" s="184">
        <f t="shared" si="5"/>
        <v>256</v>
      </c>
      <c r="AB78" s="184">
        <f t="shared" si="5"/>
        <v>221</v>
      </c>
      <c r="AC78" s="184">
        <f t="shared" si="5"/>
        <v>203</v>
      </c>
      <c r="AD78" s="184">
        <f t="shared" si="5"/>
        <v>161</v>
      </c>
      <c r="AE78" s="184">
        <f t="shared" si="5"/>
        <v>179</v>
      </c>
      <c r="AF78" s="186">
        <f t="shared" si="5"/>
        <v>104</v>
      </c>
      <c r="AG78" s="116">
        <f t="shared" si="2"/>
        <v>6212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209</v>
      </c>
      <c r="C79" s="114">
        <f t="shared" si="6"/>
        <v>124</v>
      </c>
      <c r="D79" s="114">
        <f t="shared" si="6"/>
        <v>133</v>
      </c>
      <c r="E79" s="114">
        <f t="shared" si="6"/>
        <v>252</v>
      </c>
      <c r="F79" s="114">
        <f t="shared" si="6"/>
        <v>112</v>
      </c>
      <c r="G79" s="114">
        <f t="shared" si="6"/>
        <v>217</v>
      </c>
      <c r="H79" s="114">
        <f t="shared" si="6"/>
        <v>173</v>
      </c>
      <c r="I79" s="114">
        <f t="shared" si="6"/>
        <v>149</v>
      </c>
      <c r="J79" s="114">
        <f t="shared" si="6"/>
        <v>142</v>
      </c>
      <c r="K79" s="114">
        <f t="shared" si="6"/>
        <v>140</v>
      </c>
      <c r="L79" s="114">
        <f t="shared" si="6"/>
        <v>235</v>
      </c>
      <c r="M79" s="114">
        <f t="shared" si="6"/>
        <v>91</v>
      </c>
      <c r="N79" s="114">
        <f t="shared" si="6"/>
        <v>236</v>
      </c>
      <c r="O79" s="114">
        <f t="shared" si="6"/>
        <v>203</v>
      </c>
      <c r="P79" s="114">
        <f t="shared" si="6"/>
        <v>186</v>
      </c>
      <c r="Q79" s="114">
        <f t="shared" si="6"/>
        <v>185</v>
      </c>
      <c r="R79" s="114">
        <f t="shared" si="6"/>
        <v>174</v>
      </c>
      <c r="S79" s="114">
        <f t="shared" si="6"/>
        <v>116</v>
      </c>
      <c r="T79" s="114">
        <f t="shared" si="6"/>
        <v>106</v>
      </c>
      <c r="U79" s="114">
        <f t="shared" si="6"/>
        <v>186</v>
      </c>
      <c r="V79" s="114">
        <f t="shared" si="6"/>
        <v>117</v>
      </c>
      <c r="W79" s="114">
        <f t="shared" si="6"/>
        <v>211</v>
      </c>
      <c r="X79" s="114">
        <f t="shared" si="6"/>
        <v>184</v>
      </c>
      <c r="Y79" s="114">
        <f t="shared" si="6"/>
        <v>199</v>
      </c>
      <c r="Z79" s="114">
        <f t="shared" si="6"/>
        <v>296</v>
      </c>
      <c r="AA79" s="114">
        <f t="shared" si="6"/>
        <v>111</v>
      </c>
      <c r="AB79" s="114">
        <f t="shared" si="6"/>
        <v>221</v>
      </c>
      <c r="AC79" s="114">
        <f t="shared" si="6"/>
        <v>203</v>
      </c>
      <c r="AD79" s="114">
        <f t="shared" si="6"/>
        <v>161</v>
      </c>
      <c r="AE79" s="114">
        <f t="shared" si="6"/>
        <v>179</v>
      </c>
      <c r="AF79" s="114">
        <f t="shared" si="6"/>
        <v>103</v>
      </c>
      <c r="AG79" s="132">
        <f t="shared" si="2"/>
        <v>5354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120</v>
      </c>
      <c r="G80" s="9">
        <f>SUM(G4:G12)</f>
        <v>5</v>
      </c>
      <c r="H80" s="9">
        <f>SUM(H4:H12)</f>
        <v>2</v>
      </c>
      <c r="I80" s="11"/>
      <c r="J80" s="11"/>
      <c r="K80" s="9">
        <v>0</v>
      </c>
      <c r="L80" s="9">
        <v>0</v>
      </c>
      <c r="M80" s="9">
        <f>SUM(M4:M12)</f>
        <v>131</v>
      </c>
      <c r="N80" s="9">
        <f>SUM(N4:N12)</f>
        <v>0</v>
      </c>
      <c r="O80" s="9">
        <f>SUM(O4:O12)</f>
        <v>0</v>
      </c>
      <c r="P80" s="11"/>
      <c r="Q80" s="11"/>
      <c r="R80" s="9">
        <f>SUM(R4:R12)</f>
        <v>1</v>
      </c>
      <c r="S80" s="9">
        <f>SUM(S4:S12)</f>
        <v>138</v>
      </c>
      <c r="T80" s="9">
        <f>SUM(T4:T12)</f>
        <v>162</v>
      </c>
      <c r="U80" s="9">
        <f>SUM(U4:U12)</f>
        <v>0</v>
      </c>
      <c r="V80" s="9">
        <f>SUM(V4:V12)</f>
        <v>153</v>
      </c>
      <c r="W80" s="11"/>
      <c r="X80" s="11"/>
      <c r="Y80" s="9">
        <f>SUM(Y4:Y12)</f>
        <v>0</v>
      </c>
      <c r="Z80" s="11"/>
      <c r="AA80" s="9">
        <f>SUM(AA4:AA12)</f>
        <v>145</v>
      </c>
      <c r="AB80" s="9">
        <f>SUM(AB4:AB12)</f>
        <v>0</v>
      </c>
      <c r="AC80" s="9">
        <f>SUM(AC4:AC12)</f>
        <v>0</v>
      </c>
      <c r="AD80" s="11"/>
      <c r="AE80" s="11"/>
      <c r="AF80" s="9">
        <f>SUM(AF4:AF12)</f>
        <v>1</v>
      </c>
      <c r="AG80" s="108">
        <f t="shared" si="2"/>
        <v>858</v>
      </c>
    </row>
    <row r="81" spans="1:35" ht="19.5" thickBot="1" x14ac:dyDescent="0.3">
      <c r="A81" s="183" t="s">
        <v>98</v>
      </c>
      <c r="B81" s="184">
        <f t="shared" ref="B81:AF81" si="7">SUM(B82:B83)</f>
        <v>5</v>
      </c>
      <c r="C81" s="184">
        <f t="shared" si="7"/>
        <v>7</v>
      </c>
      <c r="D81" s="184">
        <f t="shared" si="7"/>
        <v>5</v>
      </c>
      <c r="E81" s="184">
        <f t="shared" si="7"/>
        <v>3</v>
      </c>
      <c r="F81" s="184">
        <f t="shared" si="7"/>
        <v>12</v>
      </c>
      <c r="G81" s="184">
        <f t="shared" si="7"/>
        <v>27</v>
      </c>
      <c r="H81" s="184">
        <f t="shared" si="7"/>
        <v>9</v>
      </c>
      <c r="I81" s="184">
        <f t="shared" si="7"/>
        <v>7</v>
      </c>
      <c r="J81" s="184">
        <f t="shared" si="7"/>
        <v>9</v>
      </c>
      <c r="K81" s="184">
        <f t="shared" si="7"/>
        <v>10</v>
      </c>
      <c r="L81" s="184">
        <f t="shared" si="7"/>
        <v>16</v>
      </c>
      <c r="M81" s="184">
        <f t="shared" si="7"/>
        <v>8</v>
      </c>
      <c r="N81" s="184">
        <f t="shared" si="7"/>
        <v>69</v>
      </c>
      <c r="O81" s="184">
        <f t="shared" si="7"/>
        <v>32</v>
      </c>
      <c r="P81" s="184">
        <f t="shared" si="7"/>
        <v>17</v>
      </c>
      <c r="Q81" s="184">
        <f t="shared" si="7"/>
        <v>37</v>
      </c>
      <c r="R81" s="184">
        <f t="shared" si="7"/>
        <v>14</v>
      </c>
      <c r="S81" s="184">
        <f t="shared" si="7"/>
        <v>23</v>
      </c>
      <c r="T81" s="184">
        <f t="shared" si="7"/>
        <v>15</v>
      </c>
      <c r="U81" s="184">
        <f t="shared" si="7"/>
        <v>29</v>
      </c>
      <c r="V81" s="184">
        <f t="shared" si="7"/>
        <v>35</v>
      </c>
      <c r="W81" s="184">
        <f t="shared" si="7"/>
        <v>42</v>
      </c>
      <c r="X81" s="184">
        <f t="shared" si="7"/>
        <v>35</v>
      </c>
      <c r="Y81" s="184">
        <f t="shared" si="7"/>
        <v>47</v>
      </c>
      <c r="Z81" s="184">
        <f>SUM(Z82:Z83)</f>
        <v>30</v>
      </c>
      <c r="AA81" s="184">
        <f t="shared" si="7"/>
        <v>28</v>
      </c>
      <c r="AB81" s="184">
        <f t="shared" si="7"/>
        <v>46</v>
      </c>
      <c r="AC81" s="184">
        <f t="shared" si="7"/>
        <v>32</v>
      </c>
      <c r="AD81" s="184">
        <f t="shared" si="7"/>
        <v>16</v>
      </c>
      <c r="AE81" s="184">
        <f t="shared" si="7"/>
        <v>27</v>
      </c>
      <c r="AF81" s="184">
        <f t="shared" si="7"/>
        <v>2</v>
      </c>
      <c r="AG81" s="116">
        <f t="shared" si="2"/>
        <v>694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14">
        <f t="shared" ref="C82:AF82" si="8">SUM(C54:C62)</f>
        <v>0</v>
      </c>
      <c r="D82" s="114">
        <f t="shared" si="8"/>
        <v>0</v>
      </c>
      <c r="E82" s="182"/>
      <c r="F82" s="182"/>
      <c r="G82" s="114">
        <f t="shared" si="8"/>
        <v>0</v>
      </c>
      <c r="H82" s="114">
        <f t="shared" si="8"/>
        <v>0</v>
      </c>
      <c r="I82" s="114">
        <f t="shared" si="8"/>
        <v>0</v>
      </c>
      <c r="J82" s="114">
        <f t="shared" si="8"/>
        <v>0</v>
      </c>
      <c r="K82" s="114">
        <f t="shared" si="8"/>
        <v>0</v>
      </c>
      <c r="L82" s="182"/>
      <c r="M82" s="182"/>
      <c r="N82" s="114">
        <f t="shared" si="8"/>
        <v>0</v>
      </c>
      <c r="O82" s="114">
        <f t="shared" si="8"/>
        <v>0</v>
      </c>
      <c r="P82" s="114">
        <f t="shared" si="8"/>
        <v>0</v>
      </c>
      <c r="Q82" s="114">
        <f t="shared" si="8"/>
        <v>0</v>
      </c>
      <c r="R82" s="114">
        <f t="shared" si="8"/>
        <v>0</v>
      </c>
      <c r="S82" s="182"/>
      <c r="T82" s="182"/>
      <c r="U82" s="114">
        <f t="shared" si="8"/>
        <v>0</v>
      </c>
      <c r="V82" s="182"/>
      <c r="W82" s="114">
        <f t="shared" si="8"/>
        <v>0</v>
      </c>
      <c r="X82" s="114">
        <f t="shared" si="8"/>
        <v>0</v>
      </c>
      <c r="Y82" s="114">
        <f t="shared" si="8"/>
        <v>0</v>
      </c>
      <c r="Z82" s="182"/>
      <c r="AA82" s="182"/>
      <c r="AB82" s="114">
        <f t="shared" si="8"/>
        <v>0</v>
      </c>
      <c r="AC82" s="114">
        <f t="shared" si="8"/>
        <v>0</v>
      </c>
      <c r="AD82" s="114">
        <f t="shared" si="8"/>
        <v>0</v>
      </c>
      <c r="AE82" s="114">
        <f t="shared" si="8"/>
        <v>0</v>
      </c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5</v>
      </c>
      <c r="C83" s="9">
        <f t="shared" ref="C83" si="10">SUM(C54:C77)-C82</f>
        <v>7</v>
      </c>
      <c r="D83" s="9">
        <f t="shared" ref="D83:AF83" si="11">SUM(D54:D77)-D82</f>
        <v>5</v>
      </c>
      <c r="E83" s="9">
        <f t="shared" si="11"/>
        <v>3</v>
      </c>
      <c r="F83" s="9">
        <f t="shared" si="11"/>
        <v>12</v>
      </c>
      <c r="G83" s="9">
        <f t="shared" si="11"/>
        <v>27</v>
      </c>
      <c r="H83" s="9">
        <f t="shared" si="11"/>
        <v>9</v>
      </c>
      <c r="I83" s="9">
        <f t="shared" si="11"/>
        <v>7</v>
      </c>
      <c r="J83" s="9">
        <f t="shared" si="11"/>
        <v>9</v>
      </c>
      <c r="K83" s="9">
        <f t="shared" si="11"/>
        <v>10</v>
      </c>
      <c r="L83" s="9">
        <f t="shared" si="11"/>
        <v>16</v>
      </c>
      <c r="M83" s="9">
        <f t="shared" si="11"/>
        <v>8</v>
      </c>
      <c r="N83" s="9">
        <f t="shared" si="11"/>
        <v>69</v>
      </c>
      <c r="O83" s="9">
        <f t="shared" si="11"/>
        <v>32</v>
      </c>
      <c r="P83" s="9">
        <f t="shared" si="11"/>
        <v>17</v>
      </c>
      <c r="Q83" s="9">
        <f t="shared" si="11"/>
        <v>37</v>
      </c>
      <c r="R83" s="9">
        <f t="shared" si="11"/>
        <v>14</v>
      </c>
      <c r="S83" s="9">
        <f t="shared" si="11"/>
        <v>23</v>
      </c>
      <c r="T83" s="9">
        <f t="shared" si="11"/>
        <v>15</v>
      </c>
      <c r="U83" s="9">
        <f t="shared" si="11"/>
        <v>29</v>
      </c>
      <c r="V83" s="9">
        <f t="shared" si="11"/>
        <v>35</v>
      </c>
      <c r="W83" s="9">
        <f t="shared" si="11"/>
        <v>42</v>
      </c>
      <c r="X83" s="9">
        <f t="shared" si="11"/>
        <v>35</v>
      </c>
      <c r="Y83" s="9">
        <f t="shared" si="11"/>
        <v>47</v>
      </c>
      <c r="Z83" s="9">
        <f t="shared" si="11"/>
        <v>30</v>
      </c>
      <c r="AA83" s="9">
        <f t="shared" si="11"/>
        <v>28</v>
      </c>
      <c r="AB83" s="9">
        <f t="shared" si="11"/>
        <v>46</v>
      </c>
      <c r="AC83" s="9">
        <f t="shared" si="11"/>
        <v>32</v>
      </c>
      <c r="AD83" s="9">
        <f t="shared" si="11"/>
        <v>16</v>
      </c>
      <c r="AE83" s="9">
        <f t="shared" si="11"/>
        <v>27</v>
      </c>
      <c r="AF83" s="9">
        <f t="shared" si="11"/>
        <v>2</v>
      </c>
      <c r="AG83" s="4">
        <f t="shared" si="2"/>
        <v>694</v>
      </c>
    </row>
    <row r="84" spans="1:35" ht="19.5" thickBot="1" x14ac:dyDescent="0.3">
      <c r="A84" s="164" t="s">
        <v>146</v>
      </c>
      <c r="B84" s="165">
        <f>SUM(B85:B86)</f>
        <v>5</v>
      </c>
      <c r="C84" s="165">
        <f t="shared" ref="C84:AF84" si="12">SUM(C85:C86)</f>
        <v>7</v>
      </c>
      <c r="D84" s="165">
        <f t="shared" si="12"/>
        <v>5</v>
      </c>
      <c r="E84" s="165">
        <f t="shared" si="12"/>
        <v>3</v>
      </c>
      <c r="F84" s="165">
        <f t="shared" si="12"/>
        <v>12</v>
      </c>
      <c r="G84" s="165">
        <f t="shared" si="12"/>
        <v>27</v>
      </c>
      <c r="H84" s="165">
        <f t="shared" si="12"/>
        <v>9</v>
      </c>
      <c r="I84" s="165">
        <f t="shared" si="12"/>
        <v>7</v>
      </c>
      <c r="J84" s="165">
        <f t="shared" si="12"/>
        <v>9</v>
      </c>
      <c r="K84" s="165">
        <f t="shared" si="12"/>
        <v>10</v>
      </c>
      <c r="L84" s="165">
        <f t="shared" si="12"/>
        <v>16</v>
      </c>
      <c r="M84" s="165">
        <f t="shared" si="12"/>
        <v>8</v>
      </c>
      <c r="N84" s="165">
        <f t="shared" si="12"/>
        <v>69</v>
      </c>
      <c r="O84" s="165">
        <f t="shared" si="12"/>
        <v>32</v>
      </c>
      <c r="P84" s="165">
        <f t="shared" si="12"/>
        <v>17</v>
      </c>
      <c r="Q84" s="165">
        <f t="shared" si="12"/>
        <v>37</v>
      </c>
      <c r="R84" s="165">
        <f t="shared" si="12"/>
        <v>14</v>
      </c>
      <c r="S84" s="165">
        <f t="shared" si="12"/>
        <v>23</v>
      </c>
      <c r="T84" s="165">
        <f t="shared" si="12"/>
        <v>15</v>
      </c>
      <c r="U84" s="165">
        <f t="shared" si="12"/>
        <v>29</v>
      </c>
      <c r="V84" s="165">
        <f t="shared" si="12"/>
        <v>35</v>
      </c>
      <c r="W84" s="165">
        <f t="shared" si="12"/>
        <v>42</v>
      </c>
      <c r="X84" s="165">
        <f t="shared" si="12"/>
        <v>35</v>
      </c>
      <c r="Y84" s="165">
        <f t="shared" si="12"/>
        <v>47</v>
      </c>
      <c r="Z84" s="165">
        <f t="shared" si="12"/>
        <v>30</v>
      </c>
      <c r="AA84" s="165">
        <f t="shared" si="12"/>
        <v>28</v>
      </c>
      <c r="AB84" s="165">
        <f t="shared" si="12"/>
        <v>46</v>
      </c>
      <c r="AC84" s="165">
        <f t="shared" si="12"/>
        <v>32</v>
      </c>
      <c r="AD84" s="165">
        <f t="shared" si="12"/>
        <v>16</v>
      </c>
      <c r="AE84" s="165">
        <f t="shared" si="12"/>
        <v>27</v>
      </c>
      <c r="AF84" s="165">
        <f t="shared" si="12"/>
        <v>2</v>
      </c>
      <c r="AG84" s="171">
        <f t="shared" ref="AG84:AG126" si="13">SUM(B84:AF84)</f>
        <v>694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0</v>
      </c>
      <c r="C85" s="169">
        <v>2</v>
      </c>
      <c r="D85" s="169">
        <v>0</v>
      </c>
      <c r="E85" s="169">
        <v>0</v>
      </c>
      <c r="F85" s="169">
        <v>2</v>
      </c>
      <c r="G85" s="169">
        <v>3</v>
      </c>
      <c r="H85" s="169">
        <v>1</v>
      </c>
      <c r="I85" s="169">
        <v>1</v>
      </c>
      <c r="J85" s="169">
        <v>1</v>
      </c>
      <c r="K85" s="169">
        <v>2</v>
      </c>
      <c r="L85" s="169">
        <v>3</v>
      </c>
      <c r="M85" s="169">
        <v>1</v>
      </c>
      <c r="N85" s="169">
        <v>16</v>
      </c>
      <c r="O85" s="169">
        <v>7</v>
      </c>
      <c r="P85" s="169">
        <v>6</v>
      </c>
      <c r="Q85" s="169">
        <v>8</v>
      </c>
      <c r="R85" s="169">
        <v>4</v>
      </c>
      <c r="S85" s="169">
        <v>6</v>
      </c>
      <c r="T85" s="169">
        <v>0</v>
      </c>
      <c r="U85" s="169">
        <v>6</v>
      </c>
      <c r="V85" s="169">
        <v>9</v>
      </c>
      <c r="W85" s="169">
        <v>9</v>
      </c>
      <c r="X85" s="169">
        <v>4</v>
      </c>
      <c r="Y85" s="169">
        <v>11</v>
      </c>
      <c r="Z85" s="169">
        <v>4</v>
      </c>
      <c r="AA85" s="169">
        <v>7</v>
      </c>
      <c r="AB85" s="169">
        <v>14</v>
      </c>
      <c r="AC85" s="169">
        <v>8</v>
      </c>
      <c r="AD85" s="169">
        <v>3</v>
      </c>
      <c r="AE85" s="169">
        <v>7</v>
      </c>
      <c r="AF85" s="170">
        <v>0</v>
      </c>
      <c r="AG85" s="168">
        <f t="shared" si="13"/>
        <v>145</v>
      </c>
      <c r="AI85" s="374"/>
    </row>
    <row r="86" spans="1:35" ht="19.5" thickBot="1" x14ac:dyDescent="0.3">
      <c r="A86" s="172" t="s">
        <v>145</v>
      </c>
      <c r="B86" s="173">
        <v>5</v>
      </c>
      <c r="C86" s="173">
        <v>5</v>
      </c>
      <c r="D86" s="173">
        <v>5</v>
      </c>
      <c r="E86" s="173">
        <v>3</v>
      </c>
      <c r="F86" s="173">
        <v>10</v>
      </c>
      <c r="G86" s="173">
        <v>24</v>
      </c>
      <c r="H86" s="173">
        <v>8</v>
      </c>
      <c r="I86" s="173">
        <v>6</v>
      </c>
      <c r="J86" s="173">
        <v>8</v>
      </c>
      <c r="K86" s="173">
        <v>8</v>
      </c>
      <c r="L86" s="173">
        <v>13</v>
      </c>
      <c r="M86" s="173">
        <v>7</v>
      </c>
      <c r="N86" s="173">
        <v>53</v>
      </c>
      <c r="O86" s="173">
        <v>25</v>
      </c>
      <c r="P86" s="173">
        <v>11</v>
      </c>
      <c r="Q86" s="173">
        <v>29</v>
      </c>
      <c r="R86" s="173">
        <v>10</v>
      </c>
      <c r="S86" s="173">
        <v>17</v>
      </c>
      <c r="T86" s="173">
        <v>15</v>
      </c>
      <c r="U86" s="173">
        <v>23</v>
      </c>
      <c r="V86" s="173">
        <v>26</v>
      </c>
      <c r="W86" s="173">
        <v>33</v>
      </c>
      <c r="X86" s="173">
        <v>31</v>
      </c>
      <c r="Y86" s="173">
        <v>36</v>
      </c>
      <c r="Z86" s="173">
        <v>26</v>
      </c>
      <c r="AA86" s="173">
        <v>21</v>
      </c>
      <c r="AB86" s="173">
        <v>32</v>
      </c>
      <c r="AC86" s="173">
        <v>24</v>
      </c>
      <c r="AD86" s="173">
        <v>13</v>
      </c>
      <c r="AE86" s="173">
        <v>20</v>
      </c>
      <c r="AF86" s="174">
        <v>2</v>
      </c>
      <c r="AG86" s="176">
        <f t="shared" si="13"/>
        <v>549</v>
      </c>
      <c r="AI86" s="375"/>
    </row>
    <row r="87" spans="1:35" ht="19.5" thickBot="1" x14ac:dyDescent="0.3">
      <c r="A87" s="177" t="s">
        <v>147</v>
      </c>
      <c r="B87" s="178">
        <f>SUM(B88:B92)</f>
        <v>5</v>
      </c>
      <c r="C87" s="178">
        <f t="shared" ref="C87:AF87" si="14">SUM(C88:C92)</f>
        <v>7</v>
      </c>
      <c r="D87" s="178">
        <f t="shared" si="14"/>
        <v>5</v>
      </c>
      <c r="E87" s="178">
        <f t="shared" si="14"/>
        <v>3</v>
      </c>
      <c r="F87" s="178">
        <f t="shared" si="14"/>
        <v>12</v>
      </c>
      <c r="G87" s="178">
        <f t="shared" si="14"/>
        <v>27</v>
      </c>
      <c r="H87" s="178">
        <f t="shared" si="14"/>
        <v>9</v>
      </c>
      <c r="I87" s="178">
        <f t="shared" si="14"/>
        <v>7</v>
      </c>
      <c r="J87" s="178">
        <f t="shared" si="14"/>
        <v>9</v>
      </c>
      <c r="K87" s="178">
        <f t="shared" si="14"/>
        <v>10</v>
      </c>
      <c r="L87" s="178">
        <f t="shared" si="14"/>
        <v>16</v>
      </c>
      <c r="M87" s="178">
        <f t="shared" si="14"/>
        <v>8</v>
      </c>
      <c r="N87" s="178">
        <f t="shared" si="14"/>
        <v>69</v>
      </c>
      <c r="O87" s="178">
        <f t="shared" si="14"/>
        <v>32</v>
      </c>
      <c r="P87" s="178">
        <f t="shared" si="14"/>
        <v>17</v>
      </c>
      <c r="Q87" s="178">
        <f t="shared" si="14"/>
        <v>37</v>
      </c>
      <c r="R87" s="178">
        <f t="shared" si="14"/>
        <v>14</v>
      </c>
      <c r="S87" s="178">
        <f t="shared" si="14"/>
        <v>23</v>
      </c>
      <c r="T87" s="178">
        <f t="shared" si="14"/>
        <v>15</v>
      </c>
      <c r="U87" s="178">
        <f t="shared" si="14"/>
        <v>29</v>
      </c>
      <c r="V87" s="178">
        <f t="shared" si="14"/>
        <v>35</v>
      </c>
      <c r="W87" s="178">
        <f t="shared" si="14"/>
        <v>42</v>
      </c>
      <c r="X87" s="178">
        <f t="shared" si="14"/>
        <v>35</v>
      </c>
      <c r="Y87" s="178">
        <f t="shared" si="14"/>
        <v>47</v>
      </c>
      <c r="Z87" s="178">
        <f t="shared" si="14"/>
        <v>30</v>
      </c>
      <c r="AA87" s="178">
        <f t="shared" si="14"/>
        <v>28</v>
      </c>
      <c r="AB87" s="178">
        <f t="shared" si="14"/>
        <v>46</v>
      </c>
      <c r="AC87" s="178">
        <f t="shared" si="14"/>
        <v>32</v>
      </c>
      <c r="AD87" s="178">
        <f t="shared" si="14"/>
        <v>16</v>
      </c>
      <c r="AE87" s="178">
        <f t="shared" si="14"/>
        <v>27</v>
      </c>
      <c r="AF87" s="178">
        <f t="shared" si="14"/>
        <v>2</v>
      </c>
      <c r="AG87" s="179">
        <f t="shared" si="13"/>
        <v>694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>
        <v>3</v>
      </c>
      <c r="D88" s="166"/>
      <c r="E88" s="166">
        <v>2</v>
      </c>
      <c r="F88" s="166"/>
      <c r="G88" s="166">
        <v>8</v>
      </c>
      <c r="H88" s="166">
        <v>5</v>
      </c>
      <c r="I88" s="166">
        <v>3</v>
      </c>
      <c r="J88" s="166">
        <v>4</v>
      </c>
      <c r="K88" s="166">
        <v>8</v>
      </c>
      <c r="L88" s="166">
        <v>1</v>
      </c>
      <c r="M88" s="166">
        <v>2</v>
      </c>
      <c r="N88" s="166">
        <v>33</v>
      </c>
      <c r="O88" s="166">
        <v>11</v>
      </c>
      <c r="P88" s="166">
        <v>13</v>
      </c>
      <c r="Q88" s="166">
        <v>13</v>
      </c>
      <c r="R88" s="166">
        <v>5</v>
      </c>
      <c r="S88" s="166">
        <v>5</v>
      </c>
      <c r="T88" s="166">
        <v>3</v>
      </c>
      <c r="U88" s="166">
        <v>14</v>
      </c>
      <c r="V88" s="166">
        <v>14</v>
      </c>
      <c r="W88" s="166">
        <v>27</v>
      </c>
      <c r="X88" s="166">
        <v>12</v>
      </c>
      <c r="Y88" s="166">
        <v>29</v>
      </c>
      <c r="Z88" s="166">
        <v>9</v>
      </c>
      <c r="AA88" s="166">
        <v>4</v>
      </c>
      <c r="AB88" s="166">
        <v>22</v>
      </c>
      <c r="AC88" s="166">
        <v>9</v>
      </c>
      <c r="AD88" s="166">
        <v>10</v>
      </c>
      <c r="AE88" s="166">
        <v>10</v>
      </c>
      <c r="AF88" s="167">
        <v>1</v>
      </c>
      <c r="AG88" s="132">
        <f t="shared" si="13"/>
        <v>280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>
        <v>1</v>
      </c>
      <c r="M90" s="9"/>
      <c r="N90" s="9"/>
      <c r="O90" s="9"/>
      <c r="P90" s="9"/>
      <c r="Q90" s="9">
        <v>1</v>
      </c>
      <c r="R90" s="9"/>
      <c r="S90" s="9"/>
      <c r="T90" s="9"/>
      <c r="U90" s="9">
        <v>1</v>
      </c>
      <c r="V90" s="9"/>
      <c r="W90" s="9"/>
      <c r="X90" s="9"/>
      <c r="Y90" s="9"/>
      <c r="Z90" s="9"/>
      <c r="AA90" s="9"/>
      <c r="AB90" s="9">
        <v>1</v>
      </c>
      <c r="AC90" s="9"/>
      <c r="AD90" s="9"/>
      <c r="AE90" s="9"/>
      <c r="AF90" s="10"/>
      <c r="AG90" s="4">
        <f t="shared" si="13"/>
        <v>4</v>
      </c>
    </row>
    <row r="91" spans="1:35" ht="18.75" x14ac:dyDescent="0.25">
      <c r="A91" s="105" t="s">
        <v>75</v>
      </c>
      <c r="B91" s="9"/>
      <c r="C91" s="9"/>
      <c r="D91" s="9">
        <v>1</v>
      </c>
      <c r="E91" s="9"/>
      <c r="F91" s="9">
        <v>3</v>
      </c>
      <c r="G91" s="9">
        <v>3</v>
      </c>
      <c r="H91" s="9"/>
      <c r="I91" s="9">
        <v>2</v>
      </c>
      <c r="J91" s="9"/>
      <c r="K91" s="9">
        <v>1</v>
      </c>
      <c r="L91" s="9">
        <v>9</v>
      </c>
      <c r="M91" s="9">
        <v>1</v>
      </c>
      <c r="N91" s="9">
        <v>8</v>
      </c>
      <c r="O91" s="9">
        <v>8</v>
      </c>
      <c r="P91" s="9">
        <v>1</v>
      </c>
      <c r="Q91" s="9">
        <v>12</v>
      </c>
      <c r="R91" s="9">
        <v>3</v>
      </c>
      <c r="S91" s="9">
        <v>8</v>
      </c>
      <c r="T91" s="9">
        <v>4</v>
      </c>
      <c r="U91" s="9">
        <v>5</v>
      </c>
      <c r="V91" s="9">
        <v>6</v>
      </c>
      <c r="W91" s="9">
        <v>4</v>
      </c>
      <c r="X91" s="9">
        <v>10</v>
      </c>
      <c r="Y91" s="9">
        <v>11</v>
      </c>
      <c r="Z91" s="9">
        <v>3</v>
      </c>
      <c r="AA91" s="9">
        <v>8</v>
      </c>
      <c r="AB91" s="9">
        <v>3</v>
      </c>
      <c r="AC91" s="9">
        <v>3</v>
      </c>
      <c r="AD91" s="9">
        <v>1</v>
      </c>
      <c r="AE91" s="9">
        <v>2</v>
      </c>
      <c r="AF91" s="10"/>
      <c r="AG91" s="4">
        <f t="shared" si="13"/>
        <v>120</v>
      </c>
    </row>
    <row r="92" spans="1:35" ht="19.5" thickBot="1" x14ac:dyDescent="0.3">
      <c r="A92" s="105" t="s">
        <v>76</v>
      </c>
      <c r="B92" s="9">
        <v>5</v>
      </c>
      <c r="C92" s="9">
        <v>4</v>
      </c>
      <c r="D92" s="9">
        <v>4</v>
      </c>
      <c r="E92" s="9">
        <v>1</v>
      </c>
      <c r="F92" s="9">
        <v>9</v>
      </c>
      <c r="G92" s="9">
        <v>16</v>
      </c>
      <c r="H92" s="9">
        <v>4</v>
      </c>
      <c r="I92" s="9">
        <v>2</v>
      </c>
      <c r="J92" s="9">
        <v>5</v>
      </c>
      <c r="K92" s="9">
        <v>1</v>
      </c>
      <c r="L92" s="9">
        <v>5</v>
      </c>
      <c r="M92" s="9">
        <v>5</v>
      </c>
      <c r="N92" s="9">
        <v>28</v>
      </c>
      <c r="O92" s="9">
        <v>13</v>
      </c>
      <c r="P92" s="9">
        <v>3</v>
      </c>
      <c r="Q92" s="9">
        <v>11</v>
      </c>
      <c r="R92" s="9">
        <v>6</v>
      </c>
      <c r="S92" s="9">
        <v>10</v>
      </c>
      <c r="T92" s="9">
        <v>8</v>
      </c>
      <c r="U92" s="9">
        <v>9</v>
      </c>
      <c r="V92" s="9">
        <v>15</v>
      </c>
      <c r="W92" s="9">
        <v>11</v>
      </c>
      <c r="X92" s="9">
        <v>13</v>
      </c>
      <c r="Y92" s="9">
        <v>7</v>
      </c>
      <c r="Z92" s="9">
        <v>18</v>
      </c>
      <c r="AA92" s="9">
        <v>16</v>
      </c>
      <c r="AB92" s="9">
        <v>20</v>
      </c>
      <c r="AC92" s="9">
        <v>20</v>
      </c>
      <c r="AD92" s="9">
        <v>5</v>
      </c>
      <c r="AE92" s="9">
        <v>15</v>
      </c>
      <c r="AF92" s="10">
        <v>1</v>
      </c>
      <c r="AG92" s="4">
        <f t="shared" si="13"/>
        <v>290</v>
      </c>
    </row>
    <row r="93" spans="1:35" ht="18.75" x14ac:dyDescent="0.25">
      <c r="A93" s="73" t="s">
        <v>616</v>
      </c>
      <c r="B93" s="74">
        <f t="shared" ref="B93:AF93" si="15">+B94+B100</f>
        <v>204</v>
      </c>
      <c r="C93" s="74">
        <f t="shared" si="15"/>
        <v>117</v>
      </c>
      <c r="D93" s="74">
        <f t="shared" si="15"/>
        <v>128</v>
      </c>
      <c r="E93" s="74">
        <f t="shared" si="15"/>
        <v>249</v>
      </c>
      <c r="F93" s="74">
        <f t="shared" si="15"/>
        <v>220</v>
      </c>
      <c r="G93" s="74">
        <f t="shared" si="15"/>
        <v>195</v>
      </c>
      <c r="H93" s="74">
        <f t="shared" si="15"/>
        <v>166</v>
      </c>
      <c r="I93" s="74">
        <f t="shared" si="15"/>
        <v>142</v>
      </c>
      <c r="J93" s="74">
        <f t="shared" si="15"/>
        <v>133</v>
      </c>
      <c r="K93" s="74">
        <f t="shared" si="15"/>
        <v>130</v>
      </c>
      <c r="L93" s="74">
        <f t="shared" si="15"/>
        <v>219</v>
      </c>
      <c r="M93" s="74">
        <f t="shared" si="15"/>
        <v>214</v>
      </c>
      <c r="N93" s="74">
        <f t="shared" si="15"/>
        <v>167</v>
      </c>
      <c r="O93" s="74">
        <f t="shared" si="15"/>
        <v>171</v>
      </c>
      <c r="P93" s="74">
        <f t="shared" si="15"/>
        <v>169</v>
      </c>
      <c r="Q93" s="74">
        <f t="shared" si="15"/>
        <v>148</v>
      </c>
      <c r="R93" s="74">
        <f t="shared" si="15"/>
        <v>161</v>
      </c>
      <c r="S93" s="74">
        <f t="shared" si="15"/>
        <v>231</v>
      </c>
      <c r="T93" s="74">
        <f t="shared" si="15"/>
        <v>253</v>
      </c>
      <c r="U93" s="74">
        <f t="shared" si="15"/>
        <v>157</v>
      </c>
      <c r="V93" s="74">
        <f t="shared" si="15"/>
        <v>235</v>
      </c>
      <c r="W93" s="74">
        <f t="shared" si="15"/>
        <v>169</v>
      </c>
      <c r="X93" s="74">
        <f t="shared" si="15"/>
        <v>149</v>
      </c>
      <c r="Y93" s="74">
        <f t="shared" si="15"/>
        <v>152</v>
      </c>
      <c r="Z93" s="74">
        <f t="shared" si="15"/>
        <v>266</v>
      </c>
      <c r="AA93" s="74">
        <f t="shared" si="15"/>
        <v>228</v>
      </c>
      <c r="AB93" s="74">
        <f t="shared" si="15"/>
        <v>175</v>
      </c>
      <c r="AC93" s="74">
        <f t="shared" si="15"/>
        <v>171</v>
      </c>
      <c r="AD93" s="74">
        <f t="shared" si="15"/>
        <v>145</v>
      </c>
      <c r="AE93" s="74">
        <f t="shared" si="15"/>
        <v>152</v>
      </c>
      <c r="AF93" s="84">
        <f t="shared" si="15"/>
        <v>102</v>
      </c>
      <c r="AG93" s="150">
        <f t="shared" si="13"/>
        <v>5518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49</v>
      </c>
      <c r="C94" s="17">
        <f t="shared" si="16"/>
        <v>21</v>
      </c>
      <c r="D94" s="17">
        <f t="shared" si="16"/>
        <v>17</v>
      </c>
      <c r="E94" s="17">
        <f t="shared" si="16"/>
        <v>47</v>
      </c>
      <c r="F94" s="17">
        <f t="shared" si="16"/>
        <v>35</v>
      </c>
      <c r="G94" s="17">
        <f t="shared" si="16"/>
        <v>35</v>
      </c>
      <c r="H94" s="17">
        <f t="shared" si="16"/>
        <v>46</v>
      </c>
      <c r="I94" s="17">
        <f t="shared" si="16"/>
        <v>31</v>
      </c>
      <c r="J94" s="17">
        <f t="shared" si="16"/>
        <v>25</v>
      </c>
      <c r="K94" s="17">
        <f t="shared" si="16"/>
        <v>27</v>
      </c>
      <c r="L94" s="17">
        <f t="shared" si="16"/>
        <v>56</v>
      </c>
      <c r="M94" s="17">
        <f t="shared" si="16"/>
        <v>65</v>
      </c>
      <c r="N94" s="17">
        <f t="shared" si="16"/>
        <v>38</v>
      </c>
      <c r="O94" s="17">
        <f t="shared" si="16"/>
        <v>56</v>
      </c>
      <c r="P94" s="17">
        <f t="shared" si="16"/>
        <v>44</v>
      </c>
      <c r="Q94" s="17">
        <f t="shared" si="16"/>
        <v>35</v>
      </c>
      <c r="R94" s="17">
        <f t="shared" si="16"/>
        <v>33</v>
      </c>
      <c r="S94" s="17">
        <f t="shared" si="16"/>
        <v>66</v>
      </c>
      <c r="T94" s="17">
        <f t="shared" si="16"/>
        <v>72</v>
      </c>
      <c r="U94" s="17">
        <f t="shared" si="16"/>
        <v>35</v>
      </c>
      <c r="V94" s="17">
        <f t="shared" si="16"/>
        <v>50</v>
      </c>
      <c r="W94" s="17">
        <f t="shared" si="16"/>
        <v>35</v>
      </c>
      <c r="X94" s="17">
        <f t="shared" si="16"/>
        <v>37</v>
      </c>
      <c r="Y94" s="17">
        <f t="shared" si="16"/>
        <v>24</v>
      </c>
      <c r="Z94" s="17">
        <f t="shared" si="16"/>
        <v>50</v>
      </c>
      <c r="AA94" s="17">
        <f t="shared" si="16"/>
        <v>65</v>
      </c>
      <c r="AB94" s="17">
        <f t="shared" si="16"/>
        <v>44</v>
      </c>
      <c r="AC94" s="17">
        <f t="shared" si="16"/>
        <v>29</v>
      </c>
      <c r="AD94" s="17">
        <f t="shared" si="16"/>
        <v>30</v>
      </c>
      <c r="AE94" s="17">
        <f t="shared" si="16"/>
        <v>40</v>
      </c>
      <c r="AF94" s="18">
        <f t="shared" si="16"/>
        <v>30</v>
      </c>
      <c r="AG94" s="4">
        <f t="shared" si="13"/>
        <v>1267</v>
      </c>
    </row>
    <row r="95" spans="1:35" ht="18.75" x14ac:dyDescent="0.25">
      <c r="A95" s="44" t="s">
        <v>81</v>
      </c>
      <c r="B95" s="7">
        <v>4</v>
      </c>
      <c r="C95" s="7">
        <v>1</v>
      </c>
      <c r="D95" s="7">
        <v>1</v>
      </c>
      <c r="E95" s="7">
        <v>2</v>
      </c>
      <c r="F95" s="7">
        <v>2</v>
      </c>
      <c r="G95" s="7">
        <v>2</v>
      </c>
      <c r="H95" s="7">
        <v>1</v>
      </c>
      <c r="I95" s="7">
        <v>2</v>
      </c>
      <c r="J95" s="7">
        <v>2</v>
      </c>
      <c r="K95" s="7">
        <v>3</v>
      </c>
      <c r="L95" s="7">
        <v>5</v>
      </c>
      <c r="M95" s="7">
        <v>4</v>
      </c>
      <c r="N95" s="7">
        <v>1</v>
      </c>
      <c r="O95" s="7">
        <v>3</v>
      </c>
      <c r="P95" s="7"/>
      <c r="Q95" s="7">
        <v>1</v>
      </c>
      <c r="R95" s="7">
        <v>3</v>
      </c>
      <c r="S95" s="7">
        <v>1</v>
      </c>
      <c r="T95" s="7">
        <v>6</v>
      </c>
      <c r="U95" s="7"/>
      <c r="V95" s="7">
        <v>2</v>
      </c>
      <c r="W95" s="7">
        <v>1</v>
      </c>
      <c r="X95" s="7">
        <v>1</v>
      </c>
      <c r="Y95" s="7">
        <v>1</v>
      </c>
      <c r="Z95" s="7"/>
      <c r="AA95" s="7"/>
      <c r="AB95" s="7"/>
      <c r="AC95" s="7">
        <v>1</v>
      </c>
      <c r="AD95" s="7">
        <v>1</v>
      </c>
      <c r="AE95" s="7"/>
      <c r="AF95" s="8"/>
      <c r="AG95" s="4">
        <f t="shared" si="13"/>
        <v>51</v>
      </c>
    </row>
    <row r="96" spans="1:35" ht="18.75" x14ac:dyDescent="0.25">
      <c r="A96" s="45" t="s">
        <v>82</v>
      </c>
      <c r="B96" s="7">
        <v>3</v>
      </c>
      <c r="C96" s="7"/>
      <c r="D96" s="7">
        <v>1</v>
      </c>
      <c r="E96" s="7">
        <v>3</v>
      </c>
      <c r="F96" s="7">
        <v>5</v>
      </c>
      <c r="G96" s="7">
        <v>3</v>
      </c>
      <c r="H96" s="7">
        <v>4</v>
      </c>
      <c r="I96" s="7">
        <v>1</v>
      </c>
      <c r="J96" s="7">
        <v>3</v>
      </c>
      <c r="K96" s="7">
        <v>2</v>
      </c>
      <c r="L96" s="7">
        <v>7</v>
      </c>
      <c r="M96" s="7">
        <v>3</v>
      </c>
      <c r="N96" s="7">
        <v>5</v>
      </c>
      <c r="O96" s="7">
        <v>7</v>
      </c>
      <c r="P96" s="7">
        <v>3</v>
      </c>
      <c r="Q96" s="7">
        <v>3</v>
      </c>
      <c r="R96" s="7">
        <v>2</v>
      </c>
      <c r="S96" s="141">
        <v>5</v>
      </c>
      <c r="T96" s="7">
        <v>5</v>
      </c>
      <c r="U96" s="7">
        <v>4</v>
      </c>
      <c r="V96" s="7">
        <v>5</v>
      </c>
      <c r="W96" s="7">
        <v>5</v>
      </c>
      <c r="X96" s="7">
        <v>1</v>
      </c>
      <c r="Y96" s="7">
        <v>1</v>
      </c>
      <c r="Z96" s="7">
        <v>2</v>
      </c>
      <c r="AA96" s="7">
        <v>6</v>
      </c>
      <c r="AB96" s="7">
        <v>1</v>
      </c>
      <c r="AC96" s="7">
        <v>1</v>
      </c>
      <c r="AD96" s="7">
        <v>2</v>
      </c>
      <c r="AE96" s="7">
        <v>4</v>
      </c>
      <c r="AF96" s="8">
        <v>2</v>
      </c>
      <c r="AG96" s="4">
        <f t="shared" si="13"/>
        <v>99</v>
      </c>
    </row>
    <row r="97" spans="1:33" ht="18.75" x14ac:dyDescent="0.25">
      <c r="A97" s="46" t="s">
        <v>70</v>
      </c>
      <c r="B97" s="7">
        <v>14</v>
      </c>
      <c r="C97" s="7">
        <v>5</v>
      </c>
      <c r="D97" s="7">
        <v>3</v>
      </c>
      <c r="E97" s="7">
        <v>12</v>
      </c>
      <c r="F97" s="7">
        <v>10</v>
      </c>
      <c r="G97" s="7">
        <v>8</v>
      </c>
      <c r="H97" s="7">
        <v>4</v>
      </c>
      <c r="I97" s="7">
        <v>9</v>
      </c>
      <c r="J97" s="7">
        <v>7</v>
      </c>
      <c r="K97" s="7">
        <v>7</v>
      </c>
      <c r="L97" s="7">
        <v>22</v>
      </c>
      <c r="M97" s="7">
        <v>16</v>
      </c>
      <c r="N97" s="7">
        <v>11</v>
      </c>
      <c r="O97" s="7">
        <v>12</v>
      </c>
      <c r="P97" s="7">
        <v>13</v>
      </c>
      <c r="Q97" s="7">
        <v>13</v>
      </c>
      <c r="R97" s="7">
        <v>7</v>
      </c>
      <c r="S97" s="7">
        <v>15</v>
      </c>
      <c r="T97" s="7">
        <v>15</v>
      </c>
      <c r="U97" s="7">
        <v>5</v>
      </c>
      <c r="V97" s="7">
        <v>15</v>
      </c>
      <c r="W97" s="7">
        <v>6</v>
      </c>
      <c r="X97" s="7">
        <v>12</v>
      </c>
      <c r="Y97" s="7">
        <v>7</v>
      </c>
      <c r="Z97" s="7">
        <v>18</v>
      </c>
      <c r="AA97" s="7">
        <v>13</v>
      </c>
      <c r="AB97" s="7">
        <v>6</v>
      </c>
      <c r="AC97" s="7">
        <v>7</v>
      </c>
      <c r="AD97" s="7">
        <v>9</v>
      </c>
      <c r="AE97" s="7">
        <v>6</v>
      </c>
      <c r="AF97" s="8">
        <v>4</v>
      </c>
      <c r="AG97" s="4">
        <f t="shared" si="13"/>
        <v>311</v>
      </c>
    </row>
    <row r="98" spans="1:33" ht="18.75" x14ac:dyDescent="0.25">
      <c r="A98" s="47" t="s">
        <v>6</v>
      </c>
      <c r="B98" s="7">
        <v>20</v>
      </c>
      <c r="C98" s="7">
        <v>11</v>
      </c>
      <c r="D98" s="7">
        <v>9</v>
      </c>
      <c r="E98" s="7">
        <v>17</v>
      </c>
      <c r="F98" s="7">
        <v>9</v>
      </c>
      <c r="G98" s="7">
        <v>9</v>
      </c>
      <c r="H98" s="7">
        <v>23</v>
      </c>
      <c r="I98" s="7">
        <v>10</v>
      </c>
      <c r="J98" s="7">
        <v>9</v>
      </c>
      <c r="K98" s="7">
        <v>14</v>
      </c>
      <c r="L98" s="7">
        <v>14</v>
      </c>
      <c r="M98" s="7">
        <v>22</v>
      </c>
      <c r="N98" s="7">
        <v>11</v>
      </c>
      <c r="O98" s="7">
        <v>20</v>
      </c>
      <c r="P98" s="7">
        <v>17</v>
      </c>
      <c r="Q98" s="7">
        <v>9</v>
      </c>
      <c r="R98" s="7">
        <v>12</v>
      </c>
      <c r="S98" s="7">
        <v>33</v>
      </c>
      <c r="T98" s="7">
        <v>28</v>
      </c>
      <c r="U98" s="7">
        <v>19</v>
      </c>
      <c r="V98" s="7">
        <v>16</v>
      </c>
      <c r="W98" s="7">
        <v>12</v>
      </c>
      <c r="X98" s="7">
        <v>14</v>
      </c>
      <c r="Y98" s="7">
        <v>9</v>
      </c>
      <c r="Z98" s="7">
        <v>19</v>
      </c>
      <c r="AA98" s="7">
        <v>29</v>
      </c>
      <c r="AB98" s="7">
        <v>19</v>
      </c>
      <c r="AC98" s="7">
        <v>14</v>
      </c>
      <c r="AD98" s="7">
        <v>16</v>
      </c>
      <c r="AE98" s="7">
        <v>19</v>
      </c>
      <c r="AF98" s="8">
        <v>18</v>
      </c>
      <c r="AG98" s="4">
        <f t="shared" si="13"/>
        <v>501</v>
      </c>
    </row>
    <row r="99" spans="1:33" ht="18.75" x14ac:dyDescent="0.25">
      <c r="A99" s="48" t="s">
        <v>7</v>
      </c>
      <c r="B99" s="7">
        <v>8</v>
      </c>
      <c r="C99" s="7">
        <v>4</v>
      </c>
      <c r="D99" s="7">
        <v>3</v>
      </c>
      <c r="E99" s="7">
        <v>13</v>
      </c>
      <c r="F99" s="7">
        <v>9</v>
      </c>
      <c r="G99" s="7">
        <v>13</v>
      </c>
      <c r="H99" s="7">
        <v>14</v>
      </c>
      <c r="I99" s="7">
        <v>9</v>
      </c>
      <c r="J99" s="7">
        <v>4</v>
      </c>
      <c r="K99" s="7">
        <v>1</v>
      </c>
      <c r="L99" s="7">
        <v>8</v>
      </c>
      <c r="M99" s="7">
        <v>20</v>
      </c>
      <c r="N99" s="7">
        <v>10</v>
      </c>
      <c r="O99" s="7">
        <v>14</v>
      </c>
      <c r="P99" s="7">
        <v>11</v>
      </c>
      <c r="Q99" s="7">
        <v>9</v>
      </c>
      <c r="R99" s="7">
        <v>9</v>
      </c>
      <c r="S99" s="7">
        <v>12</v>
      </c>
      <c r="T99" s="7">
        <v>18</v>
      </c>
      <c r="U99" s="7">
        <v>7</v>
      </c>
      <c r="V99" s="7">
        <v>12</v>
      </c>
      <c r="W99" s="7">
        <v>11</v>
      </c>
      <c r="X99" s="7">
        <v>9</v>
      </c>
      <c r="Y99" s="7">
        <v>6</v>
      </c>
      <c r="Z99" s="7">
        <v>11</v>
      </c>
      <c r="AA99" s="7">
        <v>17</v>
      </c>
      <c r="AB99" s="7">
        <v>18</v>
      </c>
      <c r="AC99" s="7">
        <v>6</v>
      </c>
      <c r="AD99" s="7">
        <v>2</v>
      </c>
      <c r="AE99" s="7">
        <v>11</v>
      </c>
      <c r="AF99" s="8">
        <v>6</v>
      </c>
      <c r="AG99" s="4">
        <f t="shared" si="13"/>
        <v>305</v>
      </c>
    </row>
    <row r="100" spans="1:33" ht="18.75" x14ac:dyDescent="0.25">
      <c r="A100" s="42" t="s">
        <v>66</v>
      </c>
      <c r="B100" s="17">
        <f t="shared" ref="B100:AF100" si="17">SUM(B101:B115)</f>
        <v>155</v>
      </c>
      <c r="C100" s="17">
        <f t="shared" si="17"/>
        <v>96</v>
      </c>
      <c r="D100" s="17">
        <f t="shared" si="17"/>
        <v>111</v>
      </c>
      <c r="E100" s="17">
        <f t="shared" si="17"/>
        <v>202</v>
      </c>
      <c r="F100" s="17">
        <f t="shared" si="17"/>
        <v>185</v>
      </c>
      <c r="G100" s="17">
        <f t="shared" si="17"/>
        <v>160</v>
      </c>
      <c r="H100" s="17">
        <f t="shared" si="17"/>
        <v>120</v>
      </c>
      <c r="I100" s="17">
        <f t="shared" si="17"/>
        <v>111</v>
      </c>
      <c r="J100" s="17">
        <f t="shared" si="17"/>
        <v>108</v>
      </c>
      <c r="K100" s="17">
        <f t="shared" si="17"/>
        <v>103</v>
      </c>
      <c r="L100" s="17">
        <f t="shared" si="17"/>
        <v>163</v>
      </c>
      <c r="M100" s="17">
        <f t="shared" si="17"/>
        <v>149</v>
      </c>
      <c r="N100" s="17">
        <f t="shared" si="17"/>
        <v>129</v>
      </c>
      <c r="O100" s="17">
        <f t="shared" si="17"/>
        <v>115</v>
      </c>
      <c r="P100" s="17">
        <f t="shared" si="17"/>
        <v>125</v>
      </c>
      <c r="Q100" s="17">
        <f t="shared" si="17"/>
        <v>113</v>
      </c>
      <c r="R100" s="17">
        <f t="shared" si="17"/>
        <v>128</v>
      </c>
      <c r="S100" s="17">
        <f t="shared" si="17"/>
        <v>165</v>
      </c>
      <c r="T100" s="17">
        <f t="shared" si="17"/>
        <v>181</v>
      </c>
      <c r="U100" s="17">
        <f t="shared" si="17"/>
        <v>122</v>
      </c>
      <c r="V100" s="17">
        <f t="shared" si="17"/>
        <v>185</v>
      </c>
      <c r="W100" s="17">
        <f t="shared" si="17"/>
        <v>134</v>
      </c>
      <c r="X100" s="17">
        <f t="shared" si="17"/>
        <v>112</v>
      </c>
      <c r="Y100" s="17">
        <f t="shared" si="17"/>
        <v>128</v>
      </c>
      <c r="Z100" s="17">
        <f t="shared" si="17"/>
        <v>216</v>
      </c>
      <c r="AA100" s="17">
        <f t="shared" si="17"/>
        <v>163</v>
      </c>
      <c r="AB100" s="17">
        <f t="shared" si="17"/>
        <v>131</v>
      </c>
      <c r="AC100" s="17">
        <f t="shared" si="17"/>
        <v>142</v>
      </c>
      <c r="AD100" s="17">
        <f t="shared" si="17"/>
        <v>115</v>
      </c>
      <c r="AE100" s="17">
        <f t="shared" si="17"/>
        <v>112</v>
      </c>
      <c r="AF100" s="18">
        <f t="shared" si="17"/>
        <v>72</v>
      </c>
      <c r="AG100" s="4">
        <f t="shared" si="13"/>
        <v>4251</v>
      </c>
    </row>
    <row r="101" spans="1:33" ht="18.75" x14ac:dyDescent="0.25">
      <c r="A101" s="48" t="s">
        <v>8</v>
      </c>
      <c r="B101" s="7">
        <v>9</v>
      </c>
      <c r="C101" s="7">
        <v>12</v>
      </c>
      <c r="D101" s="7">
        <v>10</v>
      </c>
      <c r="E101" s="7">
        <v>15</v>
      </c>
      <c r="F101" s="7">
        <v>13</v>
      </c>
      <c r="G101" s="7">
        <v>18</v>
      </c>
      <c r="H101" s="7">
        <v>18</v>
      </c>
      <c r="I101" s="7">
        <v>14</v>
      </c>
      <c r="J101" s="7">
        <v>15</v>
      </c>
      <c r="K101" s="7">
        <v>7</v>
      </c>
      <c r="L101" s="7">
        <v>17</v>
      </c>
      <c r="M101" s="7">
        <v>8</v>
      </c>
      <c r="N101" s="7">
        <v>12</v>
      </c>
      <c r="O101" s="7">
        <v>14</v>
      </c>
      <c r="P101" s="7">
        <v>20</v>
      </c>
      <c r="Q101" s="7">
        <v>14</v>
      </c>
      <c r="R101" s="7">
        <v>13</v>
      </c>
      <c r="S101" s="7">
        <v>13</v>
      </c>
      <c r="T101" s="7">
        <v>11</v>
      </c>
      <c r="U101" s="7">
        <v>8</v>
      </c>
      <c r="V101" s="7">
        <v>17</v>
      </c>
      <c r="W101" s="7">
        <v>15</v>
      </c>
      <c r="X101" s="7">
        <v>15</v>
      </c>
      <c r="Y101" s="7">
        <v>12</v>
      </c>
      <c r="Z101" s="7">
        <v>18</v>
      </c>
      <c r="AA101" s="7">
        <v>23</v>
      </c>
      <c r="AB101" s="7">
        <v>6</v>
      </c>
      <c r="AC101" s="7">
        <v>17</v>
      </c>
      <c r="AD101" s="7">
        <v>8</v>
      </c>
      <c r="AE101" s="7">
        <v>9</v>
      </c>
      <c r="AF101" s="8">
        <v>6</v>
      </c>
      <c r="AG101" s="4">
        <f t="shared" si="13"/>
        <v>407</v>
      </c>
    </row>
    <row r="102" spans="1:33" ht="18.75" x14ac:dyDescent="0.25">
      <c r="A102" s="48" t="s">
        <v>9</v>
      </c>
      <c r="B102" s="7">
        <v>17</v>
      </c>
      <c r="C102" s="7">
        <v>19</v>
      </c>
      <c r="D102" s="7">
        <v>17</v>
      </c>
      <c r="E102" s="7">
        <v>25</v>
      </c>
      <c r="F102" s="7">
        <v>23</v>
      </c>
      <c r="G102" s="7">
        <v>24</v>
      </c>
      <c r="H102" s="7">
        <v>13</v>
      </c>
      <c r="I102" s="7">
        <v>12</v>
      </c>
      <c r="J102" s="7">
        <v>13</v>
      </c>
      <c r="K102" s="7">
        <v>11</v>
      </c>
      <c r="L102" s="7">
        <v>18</v>
      </c>
      <c r="M102" s="7">
        <v>21</v>
      </c>
      <c r="N102" s="7">
        <v>16</v>
      </c>
      <c r="O102" s="7">
        <v>16</v>
      </c>
      <c r="P102" s="7">
        <v>16</v>
      </c>
      <c r="Q102" s="7">
        <v>21</v>
      </c>
      <c r="R102" s="7">
        <v>17</v>
      </c>
      <c r="S102" s="7">
        <v>20</v>
      </c>
      <c r="T102" s="7">
        <v>28</v>
      </c>
      <c r="U102" s="7">
        <v>15</v>
      </c>
      <c r="V102" s="7">
        <v>29</v>
      </c>
      <c r="W102" s="7">
        <v>16</v>
      </c>
      <c r="X102" s="7">
        <v>10</v>
      </c>
      <c r="Y102" s="7">
        <v>15</v>
      </c>
      <c r="Z102" s="7">
        <v>17</v>
      </c>
      <c r="AA102" s="7">
        <v>15</v>
      </c>
      <c r="AB102" s="7">
        <v>22</v>
      </c>
      <c r="AC102" s="7">
        <v>24</v>
      </c>
      <c r="AD102" s="7">
        <v>12</v>
      </c>
      <c r="AE102" s="7">
        <v>16</v>
      </c>
      <c r="AF102" s="8">
        <v>5</v>
      </c>
      <c r="AG102" s="4">
        <f t="shared" si="13"/>
        <v>543</v>
      </c>
    </row>
    <row r="103" spans="1:33" ht="18.75" x14ac:dyDescent="0.25">
      <c r="A103" s="49" t="s">
        <v>10</v>
      </c>
      <c r="B103" s="7">
        <v>23</v>
      </c>
      <c r="C103" s="7">
        <v>8</v>
      </c>
      <c r="D103" s="7">
        <v>9</v>
      </c>
      <c r="E103" s="7">
        <v>15</v>
      </c>
      <c r="F103" s="7">
        <v>16</v>
      </c>
      <c r="G103" s="7">
        <v>15</v>
      </c>
      <c r="H103" s="7">
        <v>11</v>
      </c>
      <c r="I103" s="7">
        <v>11</v>
      </c>
      <c r="J103" s="7">
        <v>15</v>
      </c>
      <c r="K103" s="7">
        <v>10</v>
      </c>
      <c r="L103" s="7">
        <v>13</v>
      </c>
      <c r="M103" s="7">
        <v>16</v>
      </c>
      <c r="N103" s="7">
        <v>8</v>
      </c>
      <c r="O103" s="7">
        <v>15</v>
      </c>
      <c r="P103" s="7">
        <v>18</v>
      </c>
      <c r="Q103" s="7">
        <v>8</v>
      </c>
      <c r="R103" s="7">
        <v>14</v>
      </c>
      <c r="S103" s="7">
        <v>14</v>
      </c>
      <c r="T103" s="7">
        <v>24</v>
      </c>
      <c r="U103" s="7">
        <v>8</v>
      </c>
      <c r="V103" s="7">
        <v>16</v>
      </c>
      <c r="W103" s="7">
        <v>11</v>
      </c>
      <c r="X103" s="7">
        <v>7</v>
      </c>
      <c r="Y103" s="7">
        <v>10</v>
      </c>
      <c r="Z103" s="7">
        <v>20</v>
      </c>
      <c r="AA103" s="7">
        <v>14</v>
      </c>
      <c r="AB103" s="7">
        <v>12</v>
      </c>
      <c r="AC103" s="7">
        <v>13</v>
      </c>
      <c r="AD103" s="7">
        <v>11</v>
      </c>
      <c r="AE103" s="7">
        <v>12</v>
      </c>
      <c r="AF103" s="8">
        <v>8</v>
      </c>
      <c r="AG103" s="4">
        <f t="shared" si="13"/>
        <v>405</v>
      </c>
    </row>
    <row r="104" spans="1:33" ht="18.75" x14ac:dyDescent="0.25">
      <c r="A104" s="49" t="s">
        <v>11</v>
      </c>
      <c r="B104" s="7">
        <v>7</v>
      </c>
      <c r="C104" s="7">
        <v>7</v>
      </c>
      <c r="D104" s="7">
        <v>6</v>
      </c>
      <c r="E104" s="7">
        <v>17</v>
      </c>
      <c r="F104" s="7">
        <v>17</v>
      </c>
      <c r="G104" s="7">
        <v>15</v>
      </c>
      <c r="H104" s="7">
        <v>8</v>
      </c>
      <c r="I104" s="7">
        <v>11</v>
      </c>
      <c r="J104" s="7">
        <v>12</v>
      </c>
      <c r="K104" s="7">
        <v>9</v>
      </c>
      <c r="L104" s="7">
        <v>18</v>
      </c>
      <c r="M104" s="7">
        <v>12</v>
      </c>
      <c r="N104" s="7">
        <v>14</v>
      </c>
      <c r="O104" s="7">
        <v>7</v>
      </c>
      <c r="P104" s="7">
        <v>9</v>
      </c>
      <c r="Q104" s="7">
        <v>12</v>
      </c>
      <c r="R104" s="7">
        <v>15</v>
      </c>
      <c r="S104" s="7">
        <v>17</v>
      </c>
      <c r="T104" s="7">
        <v>16</v>
      </c>
      <c r="U104" s="7">
        <v>12</v>
      </c>
      <c r="V104" s="7">
        <v>13</v>
      </c>
      <c r="W104" s="7">
        <v>16</v>
      </c>
      <c r="X104" s="7">
        <v>9</v>
      </c>
      <c r="Y104" s="7">
        <v>7</v>
      </c>
      <c r="Z104" s="7">
        <v>11</v>
      </c>
      <c r="AA104" s="7">
        <v>11</v>
      </c>
      <c r="AB104" s="7">
        <v>6</v>
      </c>
      <c r="AC104" s="7">
        <v>15</v>
      </c>
      <c r="AD104" s="7">
        <v>12</v>
      </c>
      <c r="AE104" s="7">
        <v>6</v>
      </c>
      <c r="AF104" s="8">
        <v>5</v>
      </c>
      <c r="AG104" s="4">
        <f t="shared" si="13"/>
        <v>352</v>
      </c>
    </row>
    <row r="105" spans="1:33" ht="18.75" x14ac:dyDescent="0.25">
      <c r="A105" s="49" t="s">
        <v>12</v>
      </c>
      <c r="B105" s="7">
        <v>17</v>
      </c>
      <c r="C105" s="7">
        <v>8</v>
      </c>
      <c r="D105" s="7">
        <v>10</v>
      </c>
      <c r="E105" s="7">
        <v>12</v>
      </c>
      <c r="F105" s="7">
        <v>14</v>
      </c>
      <c r="G105" s="7">
        <v>8</v>
      </c>
      <c r="H105" s="7">
        <v>14</v>
      </c>
      <c r="I105" s="7">
        <v>10</v>
      </c>
      <c r="J105" s="7">
        <v>8</v>
      </c>
      <c r="K105" s="7">
        <v>11</v>
      </c>
      <c r="L105" s="7">
        <v>13</v>
      </c>
      <c r="M105" s="7">
        <v>11</v>
      </c>
      <c r="N105" s="7">
        <v>8</v>
      </c>
      <c r="O105" s="7">
        <v>7</v>
      </c>
      <c r="P105" s="7">
        <v>7</v>
      </c>
      <c r="Q105" s="7">
        <v>7</v>
      </c>
      <c r="R105" s="7">
        <v>11</v>
      </c>
      <c r="S105" s="7">
        <v>12</v>
      </c>
      <c r="T105" s="7">
        <v>17</v>
      </c>
      <c r="U105" s="7">
        <v>9</v>
      </c>
      <c r="V105" s="7">
        <v>11</v>
      </c>
      <c r="W105" s="7">
        <v>9</v>
      </c>
      <c r="X105" s="7">
        <v>9</v>
      </c>
      <c r="Y105" s="7">
        <v>11</v>
      </c>
      <c r="Z105" s="7">
        <v>17</v>
      </c>
      <c r="AA105" s="7">
        <v>12</v>
      </c>
      <c r="AB105" s="7">
        <v>13</v>
      </c>
      <c r="AC105" s="7">
        <v>8</v>
      </c>
      <c r="AD105" s="7">
        <v>14</v>
      </c>
      <c r="AE105" s="7">
        <v>7</v>
      </c>
      <c r="AF105" s="8">
        <v>11</v>
      </c>
      <c r="AG105" s="4">
        <f t="shared" si="13"/>
        <v>336</v>
      </c>
    </row>
    <row r="106" spans="1:33" ht="18.75" x14ac:dyDescent="0.25">
      <c r="A106" s="49" t="s">
        <v>13</v>
      </c>
      <c r="B106" s="7">
        <v>7</v>
      </c>
      <c r="C106" s="7">
        <v>3</v>
      </c>
      <c r="D106" s="7">
        <v>8</v>
      </c>
      <c r="E106" s="7">
        <v>12</v>
      </c>
      <c r="F106" s="7">
        <v>15</v>
      </c>
      <c r="G106" s="7">
        <v>13</v>
      </c>
      <c r="H106" s="7">
        <v>11</v>
      </c>
      <c r="I106" s="7">
        <v>5</v>
      </c>
      <c r="J106" s="7">
        <v>5</v>
      </c>
      <c r="K106" s="7">
        <v>6</v>
      </c>
      <c r="L106" s="7">
        <v>11</v>
      </c>
      <c r="M106" s="7">
        <v>22</v>
      </c>
      <c r="N106" s="7">
        <v>15</v>
      </c>
      <c r="O106" s="7">
        <v>12</v>
      </c>
      <c r="P106" s="7">
        <v>4</v>
      </c>
      <c r="Q106" s="7">
        <v>7</v>
      </c>
      <c r="R106" s="7">
        <v>10</v>
      </c>
      <c r="S106" s="7">
        <v>6</v>
      </c>
      <c r="T106" s="7">
        <v>19</v>
      </c>
      <c r="U106" s="7">
        <v>10</v>
      </c>
      <c r="V106" s="7">
        <v>8</v>
      </c>
      <c r="W106" s="7">
        <v>11</v>
      </c>
      <c r="X106" s="7">
        <v>10</v>
      </c>
      <c r="Y106" s="7">
        <v>5</v>
      </c>
      <c r="Z106" s="7">
        <v>14</v>
      </c>
      <c r="AA106" s="7">
        <v>13</v>
      </c>
      <c r="AB106" s="7">
        <v>7</v>
      </c>
      <c r="AC106" s="7">
        <v>6</v>
      </c>
      <c r="AD106" s="7">
        <v>7</v>
      </c>
      <c r="AE106" s="7">
        <v>10</v>
      </c>
      <c r="AF106" s="8">
        <v>6</v>
      </c>
      <c r="AG106" s="4">
        <f t="shared" si="13"/>
        <v>298</v>
      </c>
    </row>
    <row r="107" spans="1:33" ht="18.75" x14ac:dyDescent="0.25">
      <c r="A107" s="49" t="s">
        <v>14</v>
      </c>
      <c r="B107" s="7">
        <v>12</v>
      </c>
      <c r="C107" s="7">
        <v>11</v>
      </c>
      <c r="D107" s="7">
        <v>9</v>
      </c>
      <c r="E107" s="7">
        <v>21</v>
      </c>
      <c r="F107" s="7">
        <v>20</v>
      </c>
      <c r="G107" s="7">
        <v>17</v>
      </c>
      <c r="H107" s="7">
        <v>10</v>
      </c>
      <c r="I107" s="7">
        <v>10</v>
      </c>
      <c r="J107" s="7">
        <v>9</v>
      </c>
      <c r="K107" s="7">
        <v>1</v>
      </c>
      <c r="L107" s="7">
        <v>12</v>
      </c>
      <c r="M107" s="7">
        <v>15</v>
      </c>
      <c r="N107" s="7">
        <v>13</v>
      </c>
      <c r="O107" s="7">
        <v>10</v>
      </c>
      <c r="P107" s="7">
        <v>14</v>
      </c>
      <c r="Q107" s="7">
        <v>8</v>
      </c>
      <c r="R107" s="7">
        <v>5</v>
      </c>
      <c r="S107" s="7">
        <v>14</v>
      </c>
      <c r="T107" s="7">
        <v>9</v>
      </c>
      <c r="U107" s="7">
        <v>9</v>
      </c>
      <c r="V107" s="7">
        <v>10</v>
      </c>
      <c r="W107" s="7">
        <v>12</v>
      </c>
      <c r="X107" s="7">
        <v>9</v>
      </c>
      <c r="Y107" s="7">
        <v>12</v>
      </c>
      <c r="Z107" s="7">
        <v>20</v>
      </c>
      <c r="AA107" s="7">
        <v>13</v>
      </c>
      <c r="AB107" s="7">
        <v>12</v>
      </c>
      <c r="AC107" s="7">
        <v>10</v>
      </c>
      <c r="AD107" s="7">
        <v>16</v>
      </c>
      <c r="AE107" s="7">
        <v>10</v>
      </c>
      <c r="AF107" s="8">
        <v>3</v>
      </c>
      <c r="AG107" s="4">
        <f t="shared" si="13"/>
        <v>356</v>
      </c>
    </row>
    <row r="108" spans="1:33" ht="18.75" x14ac:dyDescent="0.25">
      <c r="A108" s="49" t="s">
        <v>15</v>
      </c>
      <c r="B108" s="7">
        <v>25</v>
      </c>
      <c r="C108" s="7">
        <v>5</v>
      </c>
      <c r="D108" s="7">
        <v>8</v>
      </c>
      <c r="E108" s="7">
        <v>20</v>
      </c>
      <c r="F108" s="7">
        <v>9</v>
      </c>
      <c r="G108" s="7">
        <v>11</v>
      </c>
      <c r="H108" s="7">
        <v>4</v>
      </c>
      <c r="I108" s="7">
        <v>10</v>
      </c>
      <c r="J108" s="7">
        <v>2</v>
      </c>
      <c r="K108" s="7">
        <v>12</v>
      </c>
      <c r="L108" s="7">
        <v>12</v>
      </c>
      <c r="M108" s="7">
        <v>11</v>
      </c>
      <c r="N108" s="7">
        <v>7</v>
      </c>
      <c r="O108" s="7">
        <v>6</v>
      </c>
      <c r="P108" s="7">
        <v>14</v>
      </c>
      <c r="Q108" s="7">
        <v>11</v>
      </c>
      <c r="R108" s="7">
        <v>7</v>
      </c>
      <c r="S108" s="7">
        <v>13</v>
      </c>
      <c r="T108" s="7">
        <v>10</v>
      </c>
      <c r="U108" s="7">
        <v>8</v>
      </c>
      <c r="V108" s="7">
        <v>13</v>
      </c>
      <c r="W108" s="7">
        <v>8</v>
      </c>
      <c r="X108" s="7">
        <v>11</v>
      </c>
      <c r="Y108" s="7">
        <v>9</v>
      </c>
      <c r="Z108" s="7">
        <v>14</v>
      </c>
      <c r="AA108" s="7">
        <v>17</v>
      </c>
      <c r="AB108" s="7">
        <v>11</v>
      </c>
      <c r="AC108" s="7">
        <v>11</v>
      </c>
      <c r="AD108" s="7">
        <v>6</v>
      </c>
      <c r="AE108" s="7">
        <v>7</v>
      </c>
      <c r="AF108" s="8">
        <v>12</v>
      </c>
      <c r="AG108" s="4">
        <f t="shared" si="13"/>
        <v>324</v>
      </c>
    </row>
    <row r="109" spans="1:33" ht="18.75" x14ac:dyDescent="0.25">
      <c r="A109" s="49" t="s">
        <v>16</v>
      </c>
      <c r="B109" s="7">
        <v>11</v>
      </c>
      <c r="C109" s="7">
        <v>6</v>
      </c>
      <c r="D109" s="7">
        <v>8</v>
      </c>
      <c r="E109" s="7">
        <v>18</v>
      </c>
      <c r="F109" s="7">
        <v>10</v>
      </c>
      <c r="G109" s="7">
        <v>12</v>
      </c>
      <c r="H109" s="7">
        <v>8</v>
      </c>
      <c r="I109" s="7">
        <v>10</v>
      </c>
      <c r="J109" s="7">
        <v>6</v>
      </c>
      <c r="K109" s="7">
        <v>10</v>
      </c>
      <c r="L109" s="7">
        <v>11</v>
      </c>
      <c r="M109" s="7">
        <v>7</v>
      </c>
      <c r="N109" s="7">
        <v>6</v>
      </c>
      <c r="O109" s="7">
        <v>4</v>
      </c>
      <c r="P109" s="7">
        <v>6</v>
      </c>
      <c r="Q109" s="7">
        <v>7</v>
      </c>
      <c r="R109" s="7">
        <v>11</v>
      </c>
      <c r="S109" s="7">
        <v>15</v>
      </c>
      <c r="T109" s="7">
        <v>14</v>
      </c>
      <c r="U109" s="7">
        <v>9</v>
      </c>
      <c r="V109" s="7">
        <v>18</v>
      </c>
      <c r="W109" s="7">
        <v>6</v>
      </c>
      <c r="X109" s="7">
        <v>10</v>
      </c>
      <c r="Y109" s="7">
        <v>10</v>
      </c>
      <c r="Z109" s="7">
        <v>22</v>
      </c>
      <c r="AA109" s="7">
        <v>13</v>
      </c>
      <c r="AB109" s="7">
        <v>9</v>
      </c>
      <c r="AC109" s="7">
        <v>13</v>
      </c>
      <c r="AD109" s="7">
        <v>6</v>
      </c>
      <c r="AE109" s="7">
        <v>10</v>
      </c>
      <c r="AF109" s="8">
        <v>4</v>
      </c>
      <c r="AG109" s="4">
        <f t="shared" si="13"/>
        <v>310</v>
      </c>
    </row>
    <row r="110" spans="1:33" ht="18.75" x14ac:dyDescent="0.25">
      <c r="A110" s="49" t="s">
        <v>17</v>
      </c>
      <c r="B110" s="7">
        <v>6</v>
      </c>
      <c r="C110" s="7">
        <v>2</v>
      </c>
      <c r="D110" s="7">
        <v>10</v>
      </c>
      <c r="E110" s="7">
        <v>13</v>
      </c>
      <c r="F110" s="7">
        <v>12</v>
      </c>
      <c r="G110" s="7">
        <v>7</v>
      </c>
      <c r="H110" s="7">
        <v>8</v>
      </c>
      <c r="I110" s="7">
        <v>5</v>
      </c>
      <c r="J110" s="7">
        <v>8</v>
      </c>
      <c r="K110" s="7">
        <v>6</v>
      </c>
      <c r="L110" s="7">
        <v>12</v>
      </c>
      <c r="M110" s="7">
        <v>10</v>
      </c>
      <c r="N110" s="7">
        <v>7</v>
      </c>
      <c r="O110" s="7">
        <v>8</v>
      </c>
      <c r="P110" s="7">
        <v>6</v>
      </c>
      <c r="Q110" s="7">
        <v>5</v>
      </c>
      <c r="R110" s="7">
        <v>12</v>
      </c>
      <c r="S110" s="7">
        <v>10</v>
      </c>
      <c r="T110" s="7">
        <v>5</v>
      </c>
      <c r="U110" s="7">
        <v>3</v>
      </c>
      <c r="V110" s="7">
        <v>13</v>
      </c>
      <c r="W110" s="7">
        <v>9</v>
      </c>
      <c r="X110" s="7">
        <v>4</v>
      </c>
      <c r="Y110" s="7">
        <v>13</v>
      </c>
      <c r="Z110" s="7">
        <v>24</v>
      </c>
      <c r="AA110" s="7">
        <v>7</v>
      </c>
      <c r="AB110" s="7">
        <v>8</v>
      </c>
      <c r="AC110" s="7">
        <v>7</v>
      </c>
      <c r="AD110" s="7">
        <v>2</v>
      </c>
      <c r="AE110" s="7">
        <v>5</v>
      </c>
      <c r="AF110" s="8">
        <v>3</v>
      </c>
      <c r="AG110" s="4">
        <f t="shared" si="13"/>
        <v>250</v>
      </c>
    </row>
    <row r="111" spans="1:33" ht="18.75" x14ac:dyDescent="0.25">
      <c r="A111" s="49" t="s">
        <v>18</v>
      </c>
      <c r="B111" s="7">
        <v>6</v>
      </c>
      <c r="C111" s="7">
        <v>6</v>
      </c>
      <c r="D111" s="7">
        <v>6</v>
      </c>
      <c r="E111" s="7">
        <v>9</v>
      </c>
      <c r="F111" s="7">
        <v>12</v>
      </c>
      <c r="G111" s="7">
        <v>5</v>
      </c>
      <c r="H111" s="7">
        <v>2</v>
      </c>
      <c r="I111" s="7">
        <v>4</v>
      </c>
      <c r="J111" s="7">
        <v>7</v>
      </c>
      <c r="K111" s="7">
        <v>7</v>
      </c>
      <c r="L111" s="7">
        <v>8</v>
      </c>
      <c r="M111" s="7">
        <v>9</v>
      </c>
      <c r="N111" s="7">
        <v>6</v>
      </c>
      <c r="O111" s="7">
        <v>2</v>
      </c>
      <c r="P111" s="7">
        <v>2</v>
      </c>
      <c r="Q111" s="7">
        <v>5</v>
      </c>
      <c r="R111" s="7">
        <v>5</v>
      </c>
      <c r="S111" s="7">
        <v>11</v>
      </c>
      <c r="T111" s="7">
        <v>7</v>
      </c>
      <c r="U111" s="7">
        <v>7</v>
      </c>
      <c r="V111" s="7">
        <v>10</v>
      </c>
      <c r="W111" s="7">
        <v>8</v>
      </c>
      <c r="X111" s="7">
        <v>2</v>
      </c>
      <c r="Y111" s="7">
        <v>8</v>
      </c>
      <c r="Z111" s="7">
        <v>17</v>
      </c>
      <c r="AA111" s="7">
        <v>10</v>
      </c>
      <c r="AB111" s="7">
        <v>10</v>
      </c>
      <c r="AC111" s="7">
        <v>4</v>
      </c>
      <c r="AD111" s="7">
        <v>6</v>
      </c>
      <c r="AE111" s="7">
        <v>8</v>
      </c>
      <c r="AF111" s="8">
        <v>3</v>
      </c>
      <c r="AG111" s="4">
        <f t="shared" si="13"/>
        <v>212</v>
      </c>
    </row>
    <row r="112" spans="1:33" ht="18.75" x14ac:dyDescent="0.25">
      <c r="A112" s="49" t="s">
        <v>19</v>
      </c>
      <c r="B112" s="7">
        <v>5</v>
      </c>
      <c r="C112" s="7">
        <v>2</v>
      </c>
      <c r="D112" s="7">
        <v>5</v>
      </c>
      <c r="E112" s="7">
        <v>12</v>
      </c>
      <c r="F112" s="7">
        <v>6</v>
      </c>
      <c r="G112" s="7">
        <v>3</v>
      </c>
      <c r="H112" s="7">
        <v>4</v>
      </c>
      <c r="I112" s="7">
        <v>2</v>
      </c>
      <c r="J112" s="7">
        <v>6</v>
      </c>
      <c r="K112" s="7">
        <v>4</v>
      </c>
      <c r="L112" s="7">
        <v>9</v>
      </c>
      <c r="M112" s="7">
        <v>2</v>
      </c>
      <c r="N112" s="7">
        <v>6</v>
      </c>
      <c r="O112" s="7">
        <v>3</v>
      </c>
      <c r="P112" s="7">
        <v>3</v>
      </c>
      <c r="Q112" s="7">
        <v>2</v>
      </c>
      <c r="R112" s="7">
        <v>4</v>
      </c>
      <c r="S112" s="7">
        <v>7</v>
      </c>
      <c r="T112" s="7">
        <v>4</v>
      </c>
      <c r="U112" s="7">
        <v>7</v>
      </c>
      <c r="V112" s="7">
        <v>12</v>
      </c>
      <c r="W112" s="7">
        <v>3</v>
      </c>
      <c r="X112" s="7">
        <v>8</v>
      </c>
      <c r="Y112" s="7">
        <v>3</v>
      </c>
      <c r="Z112" s="7">
        <v>13</v>
      </c>
      <c r="AA112" s="7">
        <v>4</v>
      </c>
      <c r="AB112" s="7">
        <v>6</v>
      </c>
      <c r="AC112" s="7">
        <v>3</v>
      </c>
      <c r="AD112" s="7">
        <v>6</v>
      </c>
      <c r="AE112" s="7">
        <v>2</v>
      </c>
      <c r="AF112" s="8">
        <v>3</v>
      </c>
      <c r="AG112" s="4">
        <f>SUM(B112:AF112)</f>
        <v>159</v>
      </c>
    </row>
    <row r="113" spans="1:33" ht="18.75" x14ac:dyDescent="0.25">
      <c r="A113" s="49" t="s">
        <v>20</v>
      </c>
      <c r="B113" s="7">
        <v>6</v>
      </c>
      <c r="C113" s="7">
        <v>3</v>
      </c>
      <c r="D113" s="7">
        <v>1</v>
      </c>
      <c r="E113" s="7">
        <v>5</v>
      </c>
      <c r="F113" s="7">
        <v>6</v>
      </c>
      <c r="G113" s="7">
        <v>4</v>
      </c>
      <c r="H113" s="7">
        <v>4</v>
      </c>
      <c r="I113" s="7">
        <v>3</v>
      </c>
      <c r="J113" s="7">
        <v>1</v>
      </c>
      <c r="K113" s="7">
        <v>4</v>
      </c>
      <c r="L113" s="7">
        <v>3</v>
      </c>
      <c r="M113" s="7">
        <v>1</v>
      </c>
      <c r="N113" s="7">
        <v>4</v>
      </c>
      <c r="O113" s="7">
        <v>5</v>
      </c>
      <c r="P113" s="7">
        <v>2</v>
      </c>
      <c r="Q113" s="7">
        <v>1</v>
      </c>
      <c r="R113" s="7">
        <v>2</v>
      </c>
      <c r="S113" s="7">
        <v>3</v>
      </c>
      <c r="T113" s="7">
        <v>7</v>
      </c>
      <c r="U113" s="7">
        <v>8</v>
      </c>
      <c r="V113" s="7">
        <v>9</v>
      </c>
      <c r="W113" s="7">
        <v>3</v>
      </c>
      <c r="X113" s="7">
        <v>4</v>
      </c>
      <c r="Y113" s="7">
        <v>6</v>
      </c>
      <c r="Z113" s="7">
        <v>4</v>
      </c>
      <c r="AA113" s="7">
        <v>7</v>
      </c>
      <c r="AB113" s="7">
        <v>4</v>
      </c>
      <c r="AC113" s="7">
        <v>8</v>
      </c>
      <c r="AD113" s="7">
        <v>3</v>
      </c>
      <c r="AE113" s="7">
        <v>7</v>
      </c>
      <c r="AF113" s="8">
        <v>2</v>
      </c>
      <c r="AG113" s="4">
        <f t="shared" si="13"/>
        <v>130</v>
      </c>
    </row>
    <row r="114" spans="1:33" ht="18.75" x14ac:dyDescent="0.25">
      <c r="A114" s="49" t="s">
        <v>21</v>
      </c>
      <c r="B114" s="7">
        <v>4</v>
      </c>
      <c r="C114" s="7">
        <v>4</v>
      </c>
      <c r="D114" s="7">
        <v>4</v>
      </c>
      <c r="E114" s="7">
        <v>8</v>
      </c>
      <c r="F114" s="7">
        <v>12</v>
      </c>
      <c r="G114" s="7">
        <v>8</v>
      </c>
      <c r="H114" s="7">
        <v>5</v>
      </c>
      <c r="I114" s="7">
        <v>4</v>
      </c>
      <c r="J114" s="7">
        <v>1</v>
      </c>
      <c r="K114" s="7">
        <v>5</v>
      </c>
      <c r="L114" s="7">
        <v>6</v>
      </c>
      <c r="M114" s="7">
        <v>4</v>
      </c>
      <c r="N114" s="7">
        <v>7</v>
      </c>
      <c r="O114" s="7">
        <v>6</v>
      </c>
      <c r="P114" s="7">
        <v>4</v>
      </c>
      <c r="Q114" s="7">
        <v>5</v>
      </c>
      <c r="R114" s="7">
        <v>2</v>
      </c>
      <c r="S114" s="7">
        <v>10</v>
      </c>
      <c r="T114" s="7">
        <v>10</v>
      </c>
      <c r="U114" s="7">
        <v>9</v>
      </c>
      <c r="V114" s="7">
        <v>6</v>
      </c>
      <c r="W114" s="7">
        <v>7</v>
      </c>
      <c r="X114" s="7">
        <v>4</v>
      </c>
      <c r="Y114" s="7">
        <v>7</v>
      </c>
      <c r="Z114" s="7">
        <v>5</v>
      </c>
      <c r="AA114" s="7">
        <v>4</v>
      </c>
      <c r="AB114" s="7">
        <v>5</v>
      </c>
      <c r="AC114" s="7">
        <v>3</v>
      </c>
      <c r="AD114" s="7">
        <v>6</v>
      </c>
      <c r="AE114" s="7">
        <v>3</v>
      </c>
      <c r="AF114" s="8">
        <v>1</v>
      </c>
      <c r="AG114" s="4">
        <f t="shared" si="13"/>
        <v>169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110</v>
      </c>
      <c r="C116" s="74">
        <f t="shared" si="18"/>
        <v>58</v>
      </c>
      <c r="D116" s="74">
        <f t="shared" si="18"/>
        <v>61</v>
      </c>
      <c r="E116" s="74">
        <f t="shared" si="18"/>
        <v>112</v>
      </c>
      <c r="F116" s="74">
        <f t="shared" si="18"/>
        <v>104</v>
      </c>
      <c r="G116" s="74">
        <f t="shared" si="18"/>
        <v>99</v>
      </c>
      <c r="H116" s="74">
        <f t="shared" si="18"/>
        <v>78</v>
      </c>
      <c r="I116" s="74">
        <f t="shared" si="18"/>
        <v>67</v>
      </c>
      <c r="J116" s="74">
        <f t="shared" si="18"/>
        <v>60</v>
      </c>
      <c r="K116" s="74">
        <f t="shared" si="18"/>
        <v>53</v>
      </c>
      <c r="L116" s="74">
        <f t="shared" si="18"/>
        <v>106</v>
      </c>
      <c r="M116" s="74">
        <f t="shared" si="18"/>
        <v>102</v>
      </c>
      <c r="N116" s="74">
        <f t="shared" si="18"/>
        <v>100</v>
      </c>
      <c r="O116" s="74">
        <f t="shared" si="18"/>
        <v>97</v>
      </c>
      <c r="P116" s="74">
        <f t="shared" si="18"/>
        <v>78</v>
      </c>
      <c r="Q116" s="74">
        <f t="shared" si="18"/>
        <v>90</v>
      </c>
      <c r="R116" s="74">
        <f t="shared" si="18"/>
        <v>78</v>
      </c>
      <c r="S116" s="74">
        <f t="shared" si="18"/>
        <v>104</v>
      </c>
      <c r="T116" s="74">
        <f t="shared" si="18"/>
        <v>106</v>
      </c>
      <c r="U116" s="74">
        <f t="shared" si="18"/>
        <v>76</v>
      </c>
      <c r="V116" s="74">
        <f t="shared" si="18"/>
        <v>121</v>
      </c>
      <c r="W116" s="74">
        <f t="shared" si="18"/>
        <v>83</v>
      </c>
      <c r="X116" s="74">
        <f t="shared" si="18"/>
        <v>75</v>
      </c>
      <c r="Y116" s="74">
        <f t="shared" si="18"/>
        <v>96</v>
      </c>
      <c r="Z116" s="74">
        <f t="shared" si="18"/>
        <v>118</v>
      </c>
      <c r="AA116" s="74">
        <f t="shared" si="18"/>
        <v>113</v>
      </c>
      <c r="AB116" s="74">
        <f t="shared" si="18"/>
        <v>87</v>
      </c>
      <c r="AC116" s="74">
        <f t="shared" si="18"/>
        <v>77</v>
      </c>
      <c r="AD116" s="74">
        <f t="shared" si="18"/>
        <v>60</v>
      </c>
      <c r="AE116" s="74">
        <f t="shared" si="18"/>
        <v>84</v>
      </c>
      <c r="AF116" s="84">
        <f t="shared" si="18"/>
        <v>45</v>
      </c>
      <c r="AG116" s="4">
        <f t="shared" si="13"/>
        <v>2698</v>
      </c>
    </row>
    <row r="117" spans="1:33" ht="18.75" x14ac:dyDescent="0.25">
      <c r="A117" s="43" t="s">
        <v>59</v>
      </c>
      <c r="B117" s="7">
        <v>73</v>
      </c>
      <c r="C117" s="7">
        <v>43</v>
      </c>
      <c r="D117" s="7">
        <v>49</v>
      </c>
      <c r="E117" s="7">
        <v>87</v>
      </c>
      <c r="F117" s="7">
        <v>81</v>
      </c>
      <c r="G117" s="7">
        <v>76</v>
      </c>
      <c r="H117" s="7">
        <v>58</v>
      </c>
      <c r="I117" s="7">
        <v>47</v>
      </c>
      <c r="J117" s="7">
        <v>43</v>
      </c>
      <c r="K117" s="7">
        <v>43</v>
      </c>
      <c r="L117" s="7">
        <v>77</v>
      </c>
      <c r="M117" s="7">
        <v>68</v>
      </c>
      <c r="N117" s="7">
        <v>72</v>
      </c>
      <c r="O117" s="7">
        <v>66</v>
      </c>
      <c r="P117" s="7">
        <v>46</v>
      </c>
      <c r="Q117" s="7">
        <v>59</v>
      </c>
      <c r="R117" s="7">
        <f>10+15</f>
        <v>25</v>
      </c>
      <c r="S117" s="7">
        <v>75</v>
      </c>
      <c r="T117" s="7">
        <v>69</v>
      </c>
      <c r="U117" s="7">
        <v>64</v>
      </c>
      <c r="V117" s="7">
        <v>96</v>
      </c>
      <c r="W117" s="7">
        <v>63</v>
      </c>
      <c r="X117" s="7">
        <v>53</v>
      </c>
      <c r="Y117" s="7">
        <v>61</v>
      </c>
      <c r="Z117" s="7">
        <v>93</v>
      </c>
      <c r="AA117" s="7">
        <v>78</v>
      </c>
      <c r="AB117" s="7">
        <v>60</v>
      </c>
      <c r="AC117" s="7">
        <v>61</v>
      </c>
      <c r="AD117" s="7">
        <v>38</v>
      </c>
      <c r="AE117" s="7">
        <v>67</v>
      </c>
      <c r="AF117" s="8">
        <v>30</v>
      </c>
      <c r="AG117" s="4">
        <f t="shared" si="13"/>
        <v>1921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18+19</f>
        <v>37</v>
      </c>
      <c r="C129" s="13">
        <f>8+7</f>
        <v>15</v>
      </c>
      <c r="D129" s="13">
        <f>6+6</f>
        <v>12</v>
      </c>
      <c r="E129" s="13">
        <f>11+14</f>
        <v>25</v>
      </c>
      <c r="F129" s="13">
        <f>5+1+17</f>
        <v>23</v>
      </c>
      <c r="G129" s="13">
        <f>15+1+7</f>
        <v>23</v>
      </c>
      <c r="H129" s="13">
        <f>13+7</f>
        <v>20</v>
      </c>
      <c r="I129" s="13">
        <f>12+8</f>
        <v>20</v>
      </c>
      <c r="J129" s="13">
        <f>11+6</f>
        <v>17</v>
      </c>
      <c r="K129" s="13">
        <f>6+4</f>
        <v>10</v>
      </c>
      <c r="L129" s="13">
        <f>19+10</f>
        <v>29</v>
      </c>
      <c r="M129" s="13">
        <f>14+20</f>
        <v>34</v>
      </c>
      <c r="N129" s="13">
        <f>11+1+16</f>
        <v>28</v>
      </c>
      <c r="O129" s="13">
        <f>14+1+16</f>
        <v>31</v>
      </c>
      <c r="P129" s="13">
        <f>12+1+19</f>
        <v>32</v>
      </c>
      <c r="Q129" s="13">
        <f>18+1+12</f>
        <v>31</v>
      </c>
      <c r="R129" s="13">
        <v>53</v>
      </c>
      <c r="S129" s="13">
        <f>13+16</f>
        <v>29</v>
      </c>
      <c r="T129" s="13">
        <f>19+18</f>
        <v>37</v>
      </c>
      <c r="U129" s="13">
        <f>1+6+1+4</f>
        <v>12</v>
      </c>
      <c r="V129" s="13">
        <f>12+13</f>
        <v>25</v>
      </c>
      <c r="W129" s="13">
        <f>10+10</f>
        <v>20</v>
      </c>
      <c r="X129" s="13">
        <f>10+12</f>
        <v>22</v>
      </c>
      <c r="Y129" s="13">
        <f>18+17</f>
        <v>35</v>
      </c>
      <c r="Z129" s="13">
        <f>16+9</f>
        <v>25</v>
      </c>
      <c r="AA129" s="13">
        <f>14+21</f>
        <v>35</v>
      </c>
      <c r="AB129" s="13">
        <f>21+6</f>
        <v>27</v>
      </c>
      <c r="AC129" s="13">
        <f>8+8</f>
        <v>16</v>
      </c>
      <c r="AD129" s="13">
        <f>7+15</f>
        <v>22</v>
      </c>
      <c r="AE129" s="13">
        <f>5+12</f>
        <v>17</v>
      </c>
      <c r="AF129" s="14">
        <f>7+8</f>
        <v>15</v>
      </c>
      <c r="AG129" s="4">
        <f t="shared" si="19"/>
        <v>777</v>
      </c>
    </row>
    <row r="130" spans="1:35" ht="18.75" x14ac:dyDescent="0.25">
      <c r="A130" s="73" t="s">
        <v>109</v>
      </c>
      <c r="B130" s="74">
        <f t="shared" ref="B130:AF130" si="20">SUM(B131:B143)</f>
        <v>204</v>
      </c>
      <c r="C130" s="74">
        <f t="shared" si="20"/>
        <v>117</v>
      </c>
      <c r="D130" s="74">
        <f t="shared" si="20"/>
        <v>128</v>
      </c>
      <c r="E130" s="74">
        <f t="shared" si="20"/>
        <v>249</v>
      </c>
      <c r="F130" s="74">
        <f t="shared" si="20"/>
        <v>220</v>
      </c>
      <c r="G130" s="74">
        <f t="shared" si="20"/>
        <v>195</v>
      </c>
      <c r="H130" s="74">
        <f t="shared" si="20"/>
        <v>166</v>
      </c>
      <c r="I130" s="74">
        <f t="shared" si="20"/>
        <v>142</v>
      </c>
      <c r="J130" s="74">
        <f t="shared" si="20"/>
        <v>133</v>
      </c>
      <c r="K130" s="74">
        <f t="shared" si="20"/>
        <v>130</v>
      </c>
      <c r="L130" s="74">
        <f t="shared" si="20"/>
        <v>219</v>
      </c>
      <c r="M130" s="74">
        <f t="shared" si="20"/>
        <v>214</v>
      </c>
      <c r="N130" s="74">
        <f t="shared" si="20"/>
        <v>167</v>
      </c>
      <c r="O130" s="74">
        <f t="shared" si="20"/>
        <v>171</v>
      </c>
      <c r="P130" s="74">
        <f t="shared" si="20"/>
        <v>169</v>
      </c>
      <c r="Q130" s="74">
        <f t="shared" si="20"/>
        <v>148</v>
      </c>
      <c r="R130" s="74">
        <f t="shared" si="20"/>
        <v>161</v>
      </c>
      <c r="S130" s="74">
        <f t="shared" si="20"/>
        <v>231</v>
      </c>
      <c r="T130" s="74">
        <f t="shared" si="20"/>
        <v>253</v>
      </c>
      <c r="U130" s="74">
        <f t="shared" si="20"/>
        <v>157</v>
      </c>
      <c r="V130" s="74">
        <f t="shared" si="20"/>
        <v>235</v>
      </c>
      <c r="W130" s="74">
        <f t="shared" si="20"/>
        <v>169</v>
      </c>
      <c r="X130" s="74">
        <f t="shared" si="20"/>
        <v>149</v>
      </c>
      <c r="Y130" s="74">
        <f t="shared" si="20"/>
        <v>152</v>
      </c>
      <c r="Z130" s="74">
        <f t="shared" si="20"/>
        <v>266</v>
      </c>
      <c r="AA130" s="74">
        <f t="shared" si="20"/>
        <v>228</v>
      </c>
      <c r="AB130" s="74">
        <f t="shared" si="20"/>
        <v>175</v>
      </c>
      <c r="AC130" s="74">
        <f t="shared" si="20"/>
        <v>171</v>
      </c>
      <c r="AD130" s="74">
        <f t="shared" si="20"/>
        <v>145</v>
      </c>
      <c r="AE130" s="74">
        <f t="shared" si="20"/>
        <v>152</v>
      </c>
      <c r="AF130" s="84">
        <f t="shared" si="20"/>
        <v>102</v>
      </c>
      <c r="AG130" s="150">
        <f t="shared" si="19"/>
        <v>5518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72</v>
      </c>
      <c r="C131" s="7">
        <v>41</v>
      </c>
      <c r="D131" s="7">
        <v>48</v>
      </c>
      <c r="E131" s="7">
        <v>87</v>
      </c>
      <c r="F131" s="7">
        <v>80</v>
      </c>
      <c r="G131" s="7">
        <v>63</v>
      </c>
      <c r="H131" s="7">
        <v>54</v>
      </c>
      <c r="I131" s="7">
        <v>44</v>
      </c>
      <c r="J131" s="7">
        <v>41</v>
      </c>
      <c r="K131" s="7">
        <v>36</v>
      </c>
      <c r="L131" s="7">
        <v>72</v>
      </c>
      <c r="M131" s="7">
        <v>65</v>
      </c>
      <c r="N131" s="7">
        <v>48</v>
      </c>
      <c r="O131" s="7">
        <v>58</v>
      </c>
      <c r="P131" s="7">
        <v>40</v>
      </c>
      <c r="Q131" s="7">
        <v>45</v>
      </c>
      <c r="R131" s="7">
        <v>50</v>
      </c>
      <c r="S131" s="7">
        <v>64</v>
      </c>
      <c r="T131" s="7">
        <v>63</v>
      </c>
      <c r="U131" s="7">
        <v>55</v>
      </c>
      <c r="V131" s="7">
        <v>85</v>
      </c>
      <c r="W131" s="7">
        <v>47</v>
      </c>
      <c r="X131" s="7">
        <v>43</v>
      </c>
      <c r="Y131" s="7">
        <v>46</v>
      </c>
      <c r="Z131" s="7">
        <v>77</v>
      </c>
      <c r="AA131" s="7">
        <v>68</v>
      </c>
      <c r="AB131" s="7">
        <v>42</v>
      </c>
      <c r="AC131" s="7">
        <v>49</v>
      </c>
      <c r="AD131" s="7">
        <v>37</v>
      </c>
      <c r="AE131" s="7">
        <v>59</v>
      </c>
      <c r="AF131" s="8">
        <v>28</v>
      </c>
      <c r="AG131" s="4">
        <f t="shared" si="19"/>
        <v>1707</v>
      </c>
    </row>
    <row r="132" spans="1:35" ht="18.75" x14ac:dyDescent="0.25">
      <c r="A132" s="43" t="s">
        <v>23</v>
      </c>
      <c r="B132" s="7">
        <v>2</v>
      </c>
      <c r="C132" s="7">
        <v>8</v>
      </c>
      <c r="D132" s="7">
        <v>5</v>
      </c>
      <c r="E132" s="7">
        <v>12</v>
      </c>
      <c r="F132" s="7">
        <v>13</v>
      </c>
      <c r="G132" s="7">
        <v>12</v>
      </c>
      <c r="H132" s="7">
        <v>8</v>
      </c>
      <c r="I132" s="7">
        <v>6</v>
      </c>
      <c r="J132" s="7">
        <v>5</v>
      </c>
      <c r="K132" s="7">
        <v>10</v>
      </c>
      <c r="L132" s="7">
        <v>13</v>
      </c>
      <c r="M132" s="7">
        <v>14</v>
      </c>
      <c r="N132" s="7">
        <v>9</v>
      </c>
      <c r="O132" s="7">
        <v>14</v>
      </c>
      <c r="P132" s="7">
        <v>9</v>
      </c>
      <c r="Q132" s="7">
        <v>4</v>
      </c>
      <c r="R132" s="7">
        <v>10</v>
      </c>
      <c r="S132" s="7">
        <v>18</v>
      </c>
      <c r="T132" s="7">
        <v>19</v>
      </c>
      <c r="U132" s="7">
        <v>8</v>
      </c>
      <c r="V132" s="7">
        <v>9</v>
      </c>
      <c r="W132" s="7">
        <v>12</v>
      </c>
      <c r="X132" s="7">
        <v>8</v>
      </c>
      <c r="Y132" s="7">
        <v>9</v>
      </c>
      <c r="Z132" s="7">
        <v>9</v>
      </c>
      <c r="AA132" s="7">
        <v>8</v>
      </c>
      <c r="AB132" s="7">
        <v>8</v>
      </c>
      <c r="AC132" s="7">
        <v>11</v>
      </c>
      <c r="AD132" s="7">
        <v>8</v>
      </c>
      <c r="AE132" s="7">
        <v>4</v>
      </c>
      <c r="AF132" s="8">
        <v>9</v>
      </c>
      <c r="AG132" s="4">
        <f t="shared" si="19"/>
        <v>294</v>
      </c>
    </row>
    <row r="133" spans="1:35" ht="18.75" x14ac:dyDescent="0.25">
      <c r="A133" s="43" t="s">
        <v>24</v>
      </c>
      <c r="B133" s="7">
        <v>12</v>
      </c>
      <c r="C133" s="7">
        <v>9</v>
      </c>
      <c r="D133" s="7">
        <v>11</v>
      </c>
      <c r="E133" s="7">
        <v>23</v>
      </c>
      <c r="F133" s="7">
        <v>16</v>
      </c>
      <c r="G133" s="7">
        <v>17</v>
      </c>
      <c r="H133" s="7">
        <v>11</v>
      </c>
      <c r="I133" s="7">
        <v>13</v>
      </c>
      <c r="J133" s="7">
        <v>13</v>
      </c>
      <c r="K133" s="7">
        <v>6</v>
      </c>
      <c r="L133" s="7">
        <v>17</v>
      </c>
      <c r="M133" s="7">
        <v>8</v>
      </c>
      <c r="N133" s="7">
        <v>10</v>
      </c>
      <c r="O133" s="7">
        <v>11</v>
      </c>
      <c r="P133" s="7">
        <v>12</v>
      </c>
      <c r="Q133" s="7">
        <v>13</v>
      </c>
      <c r="R133" s="7">
        <v>8</v>
      </c>
      <c r="S133" s="7">
        <v>12</v>
      </c>
      <c r="T133" s="7">
        <v>33</v>
      </c>
      <c r="U133" s="7">
        <v>13</v>
      </c>
      <c r="V133" s="7">
        <v>16</v>
      </c>
      <c r="W133" s="7">
        <v>18</v>
      </c>
      <c r="X133" s="7">
        <v>11</v>
      </c>
      <c r="Y133" s="7">
        <v>10</v>
      </c>
      <c r="Z133" s="7">
        <v>13</v>
      </c>
      <c r="AA133" s="7">
        <v>14</v>
      </c>
      <c r="AB133" s="7">
        <v>15</v>
      </c>
      <c r="AC133" s="7">
        <v>15</v>
      </c>
      <c r="AD133" s="7">
        <v>12</v>
      </c>
      <c r="AE133" s="7">
        <v>12</v>
      </c>
      <c r="AF133" s="8">
        <v>10</v>
      </c>
      <c r="AG133" s="4">
        <f t="shared" si="19"/>
        <v>414</v>
      </c>
    </row>
    <row r="134" spans="1:35" ht="18.75" x14ac:dyDescent="0.25">
      <c r="A134" s="43" t="s">
        <v>25</v>
      </c>
      <c r="B134" s="7">
        <v>10</v>
      </c>
      <c r="C134" s="7">
        <v>5</v>
      </c>
      <c r="D134" s="7">
        <v>9</v>
      </c>
      <c r="E134" s="7">
        <v>14</v>
      </c>
      <c r="F134" s="7">
        <v>12</v>
      </c>
      <c r="G134" s="7">
        <v>8</v>
      </c>
      <c r="H134" s="7">
        <v>11</v>
      </c>
      <c r="I134" s="7">
        <v>8</v>
      </c>
      <c r="J134" s="7">
        <f>6+1</f>
        <v>7</v>
      </c>
      <c r="K134" s="7">
        <f>1+11</f>
        <v>12</v>
      </c>
      <c r="L134" s="7">
        <f>1+12</f>
        <v>13</v>
      </c>
      <c r="M134" s="7">
        <f>1+17</f>
        <v>18</v>
      </c>
      <c r="N134" s="7">
        <f>1+6</f>
        <v>7</v>
      </c>
      <c r="O134" s="7">
        <f>1+7</f>
        <v>8</v>
      </c>
      <c r="P134" s="7">
        <f>9+1</f>
        <v>10</v>
      </c>
      <c r="Q134" s="7">
        <v>10</v>
      </c>
      <c r="R134" s="7">
        <v>8</v>
      </c>
      <c r="S134" s="7">
        <v>13</v>
      </c>
      <c r="T134" s="7">
        <v>11</v>
      </c>
      <c r="U134" s="7">
        <v>6</v>
      </c>
      <c r="V134" s="7">
        <v>15</v>
      </c>
      <c r="W134" s="7">
        <f>1+8</f>
        <v>9</v>
      </c>
      <c r="X134" s="7">
        <v>8</v>
      </c>
      <c r="Y134" s="7">
        <v>7</v>
      </c>
      <c r="Z134" s="7">
        <f>22+2</f>
        <v>24</v>
      </c>
      <c r="AA134" s="7">
        <v>8</v>
      </c>
      <c r="AB134" s="7">
        <v>6</v>
      </c>
      <c r="AC134" s="7">
        <f>1+13</f>
        <v>14</v>
      </c>
      <c r="AD134" s="7">
        <v>9</v>
      </c>
      <c r="AE134" s="7">
        <f>1+10</f>
        <v>11</v>
      </c>
      <c r="AF134" s="8">
        <v>6</v>
      </c>
      <c r="AG134" s="4">
        <f t="shared" ref="AG134:AG147" si="21">SUM(B134:AF134)</f>
        <v>317</v>
      </c>
    </row>
    <row r="135" spans="1:35" ht="18.75" x14ac:dyDescent="0.25">
      <c r="A135" s="43" t="s">
        <v>26</v>
      </c>
      <c r="B135" s="7">
        <v>12</v>
      </c>
      <c r="C135" s="7">
        <v>5</v>
      </c>
      <c r="D135" s="7">
        <v>6</v>
      </c>
      <c r="E135" s="7">
        <v>14</v>
      </c>
      <c r="F135" s="7">
        <v>12</v>
      </c>
      <c r="G135" s="7">
        <v>10</v>
      </c>
      <c r="H135" s="7">
        <v>7</v>
      </c>
      <c r="I135" s="7">
        <v>9</v>
      </c>
      <c r="J135" s="7">
        <v>7</v>
      </c>
      <c r="K135" s="7">
        <v>9</v>
      </c>
      <c r="L135" s="7">
        <v>13</v>
      </c>
      <c r="M135" s="7">
        <v>12</v>
      </c>
      <c r="N135" s="7">
        <v>13</v>
      </c>
      <c r="O135" s="7">
        <v>8</v>
      </c>
      <c r="P135" s="7">
        <v>11</v>
      </c>
      <c r="Q135" s="7">
        <v>10</v>
      </c>
      <c r="R135" s="7">
        <v>10</v>
      </c>
      <c r="S135" s="7">
        <v>9</v>
      </c>
      <c r="T135" s="7">
        <v>10</v>
      </c>
      <c r="U135" s="7">
        <v>15</v>
      </c>
      <c r="V135" s="7">
        <v>13</v>
      </c>
      <c r="W135" s="7">
        <v>11</v>
      </c>
      <c r="X135" s="7">
        <v>11</v>
      </c>
      <c r="Y135" s="7">
        <v>11</v>
      </c>
      <c r="Z135" s="7">
        <v>21</v>
      </c>
      <c r="AA135" s="7">
        <v>12</v>
      </c>
      <c r="AB135" s="7">
        <v>11</v>
      </c>
      <c r="AC135" s="7">
        <v>16</v>
      </c>
      <c r="AD135" s="7">
        <v>10</v>
      </c>
      <c r="AE135" s="7">
        <v>10</v>
      </c>
      <c r="AF135" s="8">
        <v>5</v>
      </c>
      <c r="AG135" s="4">
        <f t="shared" si="21"/>
        <v>333</v>
      </c>
    </row>
    <row r="136" spans="1:35" ht="18.75" x14ac:dyDescent="0.25">
      <c r="A136" s="43" t="s">
        <v>27</v>
      </c>
      <c r="B136" s="7">
        <v>39</v>
      </c>
      <c r="C136" s="7">
        <v>20</v>
      </c>
      <c r="D136" s="7">
        <v>22</v>
      </c>
      <c r="E136" s="7">
        <v>37</v>
      </c>
      <c r="F136" s="7">
        <v>43</v>
      </c>
      <c r="G136" s="7">
        <v>44</v>
      </c>
      <c r="H136" s="7">
        <v>29</v>
      </c>
      <c r="I136" s="7">
        <v>32</v>
      </c>
      <c r="J136" s="7">
        <v>28</v>
      </c>
      <c r="K136" s="7">
        <v>27</v>
      </c>
      <c r="L136" s="7">
        <v>37</v>
      </c>
      <c r="M136" s="7">
        <v>44</v>
      </c>
      <c r="N136" s="7">
        <v>37</v>
      </c>
      <c r="O136" s="7">
        <v>29</v>
      </c>
      <c r="P136" s="7">
        <v>33</v>
      </c>
      <c r="Q136" s="7">
        <v>24</v>
      </c>
      <c r="R136" s="7">
        <v>25</v>
      </c>
      <c r="S136" s="7">
        <v>54</v>
      </c>
      <c r="T136" s="7">
        <v>52</v>
      </c>
      <c r="U136" s="7">
        <v>26</v>
      </c>
      <c r="V136" s="7">
        <v>46</v>
      </c>
      <c r="W136" s="7">
        <v>41</v>
      </c>
      <c r="X136" s="7">
        <v>30</v>
      </c>
      <c r="Y136" s="7">
        <v>29</v>
      </c>
      <c r="Z136" s="7">
        <v>61</v>
      </c>
      <c r="AA136" s="7">
        <v>49</v>
      </c>
      <c r="AB136" s="7">
        <v>41</v>
      </c>
      <c r="AC136" s="7">
        <v>30</v>
      </c>
      <c r="AD136" s="7">
        <v>23</v>
      </c>
      <c r="AE136" s="7">
        <v>25</v>
      </c>
      <c r="AF136" s="8">
        <v>17</v>
      </c>
      <c r="AG136" s="4">
        <f t="shared" si="21"/>
        <v>1074</v>
      </c>
    </row>
    <row r="137" spans="1:35" ht="18.75" x14ac:dyDescent="0.25">
      <c r="A137" s="43" t="s">
        <v>28</v>
      </c>
      <c r="B137" s="7">
        <v>8</v>
      </c>
      <c r="C137" s="7">
        <v>5</v>
      </c>
      <c r="D137" s="7">
        <f>6+1</f>
        <v>7</v>
      </c>
      <c r="E137" s="7">
        <v>15</v>
      </c>
      <c r="F137" s="7">
        <f>9+1</f>
        <v>10</v>
      </c>
      <c r="G137" s="7">
        <f>9+1</f>
        <v>10</v>
      </c>
      <c r="H137" s="7">
        <f>5+1</f>
        <v>6</v>
      </c>
      <c r="I137" s="7">
        <f>4+1</f>
        <v>5</v>
      </c>
      <c r="J137" s="7">
        <v>3</v>
      </c>
      <c r="K137" s="7">
        <v>6</v>
      </c>
      <c r="L137" s="7">
        <v>6</v>
      </c>
      <c r="M137" s="7">
        <v>3</v>
      </c>
      <c r="N137" s="7">
        <f>6+1</f>
        <v>7</v>
      </c>
      <c r="O137" s="7">
        <f>7+2</f>
        <v>9</v>
      </c>
      <c r="P137" s="7">
        <f>6+1</f>
        <v>7</v>
      </c>
      <c r="Q137" s="7">
        <v>6</v>
      </c>
      <c r="R137" s="7">
        <f>7+4</f>
        <v>11</v>
      </c>
      <c r="S137" s="7">
        <f>10+1</f>
        <v>11</v>
      </c>
      <c r="T137" s="7">
        <f>6+2</f>
        <v>8</v>
      </c>
      <c r="U137" s="7">
        <f>8+1</f>
        <v>9</v>
      </c>
      <c r="V137" s="7">
        <f>12+2</f>
        <v>14</v>
      </c>
      <c r="W137" s="7">
        <f>2+4</f>
        <v>6</v>
      </c>
      <c r="X137" s="7">
        <v>10</v>
      </c>
      <c r="Y137" s="7">
        <f>7+1</f>
        <v>8</v>
      </c>
      <c r="Z137" s="7">
        <f>10+2</f>
        <v>12</v>
      </c>
      <c r="AA137" s="7">
        <f>16+1</f>
        <v>17</v>
      </c>
      <c r="AB137" s="7">
        <f>9+1</f>
        <v>10</v>
      </c>
      <c r="AC137" s="7">
        <f>5+1</f>
        <v>6</v>
      </c>
      <c r="AD137" s="7">
        <f>15+1</f>
        <v>16</v>
      </c>
      <c r="AE137" s="7">
        <f>7+1</f>
        <v>8</v>
      </c>
      <c r="AF137" s="8">
        <v>2</v>
      </c>
      <c r="AG137" s="4">
        <f t="shared" si="21"/>
        <v>261</v>
      </c>
    </row>
    <row r="138" spans="1:35" ht="18.75" x14ac:dyDescent="0.25">
      <c r="A138" s="43" t="s">
        <v>29</v>
      </c>
      <c r="B138" s="7">
        <v>6</v>
      </c>
      <c r="C138" s="7">
        <v>5</v>
      </c>
      <c r="D138" s="7">
        <v>5</v>
      </c>
      <c r="E138" s="7">
        <v>8</v>
      </c>
      <c r="F138" s="7">
        <v>5</v>
      </c>
      <c r="G138" s="7">
        <v>8</v>
      </c>
      <c r="H138" s="7">
        <v>7</v>
      </c>
      <c r="I138" s="7">
        <v>5</v>
      </c>
      <c r="J138" s="7">
        <v>6</v>
      </c>
      <c r="K138" s="7">
        <v>5</v>
      </c>
      <c r="L138" s="7">
        <v>7</v>
      </c>
      <c r="M138" s="7">
        <v>5</v>
      </c>
      <c r="N138" s="7">
        <v>4</v>
      </c>
      <c r="O138" s="7">
        <v>6</v>
      </c>
      <c r="P138" s="7">
        <v>7</v>
      </c>
      <c r="Q138" s="7">
        <v>4</v>
      </c>
      <c r="R138" s="7">
        <v>7</v>
      </c>
      <c r="S138" s="7">
        <v>9</v>
      </c>
      <c r="T138" s="7">
        <v>11</v>
      </c>
      <c r="U138" s="7">
        <v>9</v>
      </c>
      <c r="V138" s="7">
        <v>6</v>
      </c>
      <c r="W138" s="7">
        <v>7</v>
      </c>
      <c r="X138" s="7">
        <v>3</v>
      </c>
      <c r="Y138" s="7">
        <v>2</v>
      </c>
      <c r="Z138" s="7">
        <v>11</v>
      </c>
      <c r="AA138" s="7">
        <v>7</v>
      </c>
      <c r="AB138" s="7">
        <v>6</v>
      </c>
      <c r="AC138" s="7">
        <v>10</v>
      </c>
      <c r="AD138" s="7">
        <v>9</v>
      </c>
      <c r="AE138" s="7">
        <v>5</v>
      </c>
      <c r="AF138" s="8">
        <v>2</v>
      </c>
      <c r="AG138" s="4">
        <f t="shared" si="21"/>
        <v>197</v>
      </c>
    </row>
    <row r="139" spans="1:35" ht="18.75" x14ac:dyDescent="0.25">
      <c r="A139" s="41" t="s">
        <v>30</v>
      </c>
      <c r="B139" s="7">
        <v>2</v>
      </c>
      <c r="C139" s="7">
        <v>3</v>
      </c>
      <c r="D139" s="7">
        <f>2+1</f>
        <v>3</v>
      </c>
      <c r="E139" s="7">
        <f>1+1</f>
        <v>2</v>
      </c>
      <c r="F139" s="7">
        <v>4</v>
      </c>
      <c r="G139" s="7">
        <v>1</v>
      </c>
      <c r="H139" s="7">
        <f>1+1</f>
        <v>2</v>
      </c>
      <c r="I139" s="7"/>
      <c r="J139" s="7"/>
      <c r="K139" s="7">
        <f>1+2</f>
        <v>3</v>
      </c>
      <c r="L139" s="7">
        <v>2</v>
      </c>
      <c r="M139" s="7">
        <f>2+1</f>
        <v>3</v>
      </c>
      <c r="N139" s="7">
        <v>4</v>
      </c>
      <c r="O139" s="7">
        <v>1</v>
      </c>
      <c r="P139" s="7">
        <v>3</v>
      </c>
      <c r="Q139" s="7"/>
      <c r="R139" s="7">
        <f>1+1</f>
        <v>2</v>
      </c>
      <c r="S139" s="7">
        <f>2+2</f>
        <v>4</v>
      </c>
      <c r="T139" s="7">
        <f>3+2</f>
        <v>5</v>
      </c>
      <c r="U139" s="7">
        <v>2</v>
      </c>
      <c r="V139" s="7">
        <v>2</v>
      </c>
      <c r="W139" s="7">
        <v>1</v>
      </c>
      <c r="X139" s="7">
        <v>1</v>
      </c>
      <c r="Y139" s="7">
        <f>1+1</f>
        <v>2</v>
      </c>
      <c r="Z139" s="7">
        <f>1+2</f>
        <v>3</v>
      </c>
      <c r="AA139" s="7">
        <f>1+2</f>
        <v>3</v>
      </c>
      <c r="AB139" s="7">
        <v>3</v>
      </c>
      <c r="AC139" s="7">
        <v>1</v>
      </c>
      <c r="AD139" s="7">
        <v>1</v>
      </c>
      <c r="AE139" s="7"/>
      <c r="AF139" s="8"/>
      <c r="AG139" s="4">
        <f t="shared" si="21"/>
        <v>63</v>
      </c>
    </row>
    <row r="140" spans="1:35" ht="18.75" x14ac:dyDescent="0.25">
      <c r="A140" s="41" t="s">
        <v>31</v>
      </c>
      <c r="B140" s="7">
        <v>2</v>
      </c>
      <c r="C140" s="7">
        <v>2</v>
      </c>
      <c r="D140" s="7"/>
      <c r="E140" s="7">
        <v>6</v>
      </c>
      <c r="F140" s="7">
        <v>3</v>
      </c>
      <c r="G140" s="7"/>
      <c r="H140" s="7"/>
      <c r="I140" s="7"/>
      <c r="J140" s="7">
        <v>4</v>
      </c>
      <c r="K140" s="7">
        <v>3</v>
      </c>
      <c r="L140" s="7">
        <v>3</v>
      </c>
      <c r="M140" s="7">
        <v>3</v>
      </c>
      <c r="N140" s="7">
        <v>2</v>
      </c>
      <c r="O140" s="7">
        <v>3</v>
      </c>
      <c r="P140" s="7">
        <v>1</v>
      </c>
      <c r="Q140" s="7">
        <v>3</v>
      </c>
      <c r="R140" s="7">
        <v>1</v>
      </c>
      <c r="S140" s="7">
        <v>1</v>
      </c>
      <c r="T140" s="7">
        <v>1</v>
      </c>
      <c r="U140" s="7"/>
      <c r="V140" s="7">
        <v>2</v>
      </c>
      <c r="W140" s="7">
        <v>2</v>
      </c>
      <c r="X140" s="7">
        <v>1</v>
      </c>
      <c r="Y140" s="7"/>
      <c r="Z140" s="7">
        <v>5</v>
      </c>
      <c r="AA140" s="7">
        <v>2</v>
      </c>
      <c r="AB140" s="7">
        <v>4</v>
      </c>
      <c r="AC140" s="7">
        <v>1</v>
      </c>
      <c r="AD140" s="7">
        <v>1</v>
      </c>
      <c r="AE140" s="7"/>
      <c r="AF140" s="8">
        <v>1</v>
      </c>
      <c r="AG140" s="4">
        <f t="shared" si="21"/>
        <v>57</v>
      </c>
    </row>
    <row r="141" spans="1:35" ht="18.75" x14ac:dyDescent="0.25">
      <c r="A141" s="41" t="s">
        <v>32</v>
      </c>
      <c r="B141" s="7"/>
      <c r="C141" s="7"/>
      <c r="D141" s="7"/>
      <c r="E141" s="7">
        <v>1</v>
      </c>
      <c r="F141" s="7">
        <v>1</v>
      </c>
      <c r="G141" s="7"/>
      <c r="H141" s="7">
        <v>1</v>
      </c>
      <c r="I141" s="7"/>
      <c r="J141" s="7"/>
      <c r="K141" s="7"/>
      <c r="L141" s="7">
        <v>1</v>
      </c>
      <c r="M141" s="7"/>
      <c r="N141" s="7"/>
      <c r="O141" s="7"/>
      <c r="P141" s="7">
        <v>2</v>
      </c>
      <c r="Q141" s="7"/>
      <c r="R141" s="7"/>
      <c r="S141" s="7"/>
      <c r="T141" s="7"/>
      <c r="U141" s="7"/>
      <c r="V141" s="7"/>
      <c r="W141" s="7"/>
      <c r="X141" s="7">
        <v>1</v>
      </c>
      <c r="Y141" s="7"/>
      <c r="Z141" s="7"/>
      <c r="AA141" s="7"/>
      <c r="AB141" s="7"/>
      <c r="AC141" s="7">
        <v>1</v>
      </c>
      <c r="AD141" s="7">
        <v>1</v>
      </c>
      <c r="AE141" s="7">
        <v>1</v>
      </c>
      <c r="AF141" s="8"/>
      <c r="AG141" s="4">
        <f t="shared" si="21"/>
        <v>10</v>
      </c>
    </row>
    <row r="142" spans="1:35" ht="18.75" x14ac:dyDescent="0.25">
      <c r="A142" s="43" t="s">
        <v>60</v>
      </c>
      <c r="B142" s="7">
        <f>2+1+3</f>
        <v>6</v>
      </c>
      <c r="C142" s="7"/>
      <c r="D142" s="7">
        <f>1+1</f>
        <v>2</v>
      </c>
      <c r="E142" s="7">
        <f>1+1+2+1</f>
        <v>5</v>
      </c>
      <c r="F142" s="7">
        <f>1+1+1+1</f>
        <v>4</v>
      </c>
      <c r="G142" s="7">
        <f>1+2+1</f>
        <v>4</v>
      </c>
      <c r="H142" s="7">
        <f>1+3+1+1+1+1+1+1+2</f>
        <v>12</v>
      </c>
      <c r="I142" s="7">
        <v>1</v>
      </c>
      <c r="J142" s="7">
        <f>1+1</f>
        <v>2</v>
      </c>
      <c r="K142" s="7">
        <f>1+1+1</f>
        <v>3</v>
      </c>
      <c r="L142" s="7">
        <f>1+2+2+1+1+1</f>
        <v>8</v>
      </c>
      <c r="M142" s="7">
        <f>1+2+1+1+1</f>
        <v>6</v>
      </c>
      <c r="N142" s="7">
        <f>3+1+1+1+1</f>
        <v>7</v>
      </c>
      <c r="O142" s="7">
        <f>1</f>
        <v>1</v>
      </c>
      <c r="P142" s="7">
        <f>1+1+1+1+1+1</f>
        <v>6</v>
      </c>
      <c r="Q142" s="7">
        <f>1+1+2+1+1+1+1</f>
        <v>8</v>
      </c>
      <c r="R142" s="7">
        <f>1+1+2+1+2</f>
        <v>7</v>
      </c>
      <c r="S142" s="7">
        <f>2+3+1+1+1+1</f>
        <v>9</v>
      </c>
      <c r="T142" s="7">
        <f>2+1+1</f>
        <v>4</v>
      </c>
      <c r="U142" s="7">
        <f>2+1+1+2</f>
        <v>6</v>
      </c>
      <c r="V142" s="7">
        <f>1+1+1+1+1</f>
        <v>5</v>
      </c>
      <c r="W142" s="7">
        <v>2</v>
      </c>
      <c r="X142" s="7">
        <f>1+1+1</f>
        <v>3</v>
      </c>
      <c r="Y142" s="7">
        <f>1+1</f>
        <v>2</v>
      </c>
      <c r="Z142" s="7">
        <f>2+2+1+2+1+1+1</f>
        <v>10</v>
      </c>
      <c r="AA142" s="7">
        <f>2+2+1+1+1+1+1</f>
        <v>9</v>
      </c>
      <c r="AB142" s="7">
        <f>1+1+1+1+1+2</f>
        <v>7</v>
      </c>
      <c r="AC142" s="7">
        <f>1+6</f>
        <v>7</v>
      </c>
      <c r="AD142" s="7">
        <v>1</v>
      </c>
      <c r="AE142" s="7">
        <f>2+1+11</f>
        <v>14</v>
      </c>
      <c r="AF142" s="8">
        <f>1+1+1+1+2+1</f>
        <v>7</v>
      </c>
      <c r="AG142" s="4">
        <f t="shared" si="21"/>
        <v>168</v>
      </c>
    </row>
    <row r="143" spans="1:35" ht="19.5" thickBot="1" x14ac:dyDescent="0.3">
      <c r="A143" s="75" t="s">
        <v>86</v>
      </c>
      <c r="B143" s="13">
        <f>16+17</f>
        <v>33</v>
      </c>
      <c r="C143" s="13">
        <f>8+6</f>
        <v>14</v>
      </c>
      <c r="D143" s="13">
        <f>4+6</f>
        <v>10</v>
      </c>
      <c r="E143" s="13">
        <f>11+14</f>
        <v>25</v>
      </c>
      <c r="F143" s="13">
        <f>4+1+12</f>
        <v>17</v>
      </c>
      <c r="G143" s="13">
        <f>12+1+5</f>
        <v>18</v>
      </c>
      <c r="H143" s="13">
        <f>12+6</f>
        <v>18</v>
      </c>
      <c r="I143" s="13">
        <f>12+7</f>
        <v>19</v>
      </c>
      <c r="J143" s="13">
        <f>11+6</f>
        <v>17</v>
      </c>
      <c r="K143" s="13">
        <f>6+4</f>
        <v>10</v>
      </c>
      <c r="L143" s="13">
        <f>18+9</f>
        <v>27</v>
      </c>
      <c r="M143" s="13">
        <f>14+19</f>
        <v>33</v>
      </c>
      <c r="N143" s="13">
        <f>8+1+10</f>
        <v>19</v>
      </c>
      <c r="O143" s="13">
        <f>11+1+11</f>
        <v>23</v>
      </c>
      <c r="P143" s="13">
        <f>10+1+17</f>
        <v>28</v>
      </c>
      <c r="Q143" s="13">
        <f>15+6</f>
        <v>21</v>
      </c>
      <c r="R143" s="13">
        <f>10+12</f>
        <v>22</v>
      </c>
      <c r="S143" s="13">
        <f>13+14</f>
        <v>27</v>
      </c>
      <c r="T143" s="13">
        <f>19+17</f>
        <v>36</v>
      </c>
      <c r="U143" s="13">
        <f>1+5+2</f>
        <v>8</v>
      </c>
      <c r="V143" s="13">
        <f>11+11</f>
        <v>22</v>
      </c>
      <c r="W143" s="13">
        <f>7+6</f>
        <v>13</v>
      </c>
      <c r="X143" s="13">
        <f>8+11</f>
        <v>19</v>
      </c>
      <c r="Y143" s="13">
        <f>11+15</f>
        <v>26</v>
      </c>
      <c r="Z143" s="13">
        <f>12+8</f>
        <v>20</v>
      </c>
      <c r="AA143" s="13">
        <f>12+19</f>
        <v>31</v>
      </c>
      <c r="AB143" s="13">
        <f>16+6</f>
        <v>22</v>
      </c>
      <c r="AC143" s="13">
        <f>6+4</f>
        <v>10</v>
      </c>
      <c r="AD143" s="13">
        <f>5+12</f>
        <v>17</v>
      </c>
      <c r="AE143" s="13">
        <v>3</v>
      </c>
      <c r="AF143" s="14">
        <f>7+8</f>
        <v>15</v>
      </c>
      <c r="AG143" s="108">
        <f t="shared" si="21"/>
        <v>623</v>
      </c>
    </row>
    <row r="144" spans="1:35" ht="19.5" thickBot="1" x14ac:dyDescent="0.3">
      <c r="A144" s="164" t="s">
        <v>89</v>
      </c>
      <c r="B144" s="165">
        <f t="shared" ref="B144:AD144" si="22">+B146+B156+B158+B167</f>
        <v>204</v>
      </c>
      <c r="C144" s="165">
        <f t="shared" si="22"/>
        <v>117</v>
      </c>
      <c r="D144" s="165">
        <f t="shared" si="22"/>
        <v>128</v>
      </c>
      <c r="E144" s="165">
        <f t="shared" si="22"/>
        <v>249</v>
      </c>
      <c r="F144" s="165">
        <f t="shared" si="22"/>
        <v>220</v>
      </c>
      <c r="G144" s="165">
        <f t="shared" si="22"/>
        <v>195</v>
      </c>
      <c r="H144" s="165">
        <f t="shared" si="22"/>
        <v>166</v>
      </c>
      <c r="I144" s="165">
        <f t="shared" si="22"/>
        <v>142</v>
      </c>
      <c r="J144" s="165">
        <f t="shared" si="22"/>
        <v>133</v>
      </c>
      <c r="K144" s="165">
        <f t="shared" si="22"/>
        <v>130</v>
      </c>
      <c r="L144" s="165">
        <f t="shared" si="22"/>
        <v>219</v>
      </c>
      <c r="M144" s="165">
        <f t="shared" si="22"/>
        <v>214</v>
      </c>
      <c r="N144" s="165">
        <f t="shared" si="22"/>
        <v>167</v>
      </c>
      <c r="O144" s="165">
        <f t="shared" si="22"/>
        <v>171</v>
      </c>
      <c r="P144" s="165">
        <f t="shared" si="22"/>
        <v>169</v>
      </c>
      <c r="Q144" s="165">
        <f t="shared" si="22"/>
        <v>148</v>
      </c>
      <c r="R144" s="165">
        <f t="shared" si="22"/>
        <v>161</v>
      </c>
      <c r="S144" s="165">
        <f t="shared" si="22"/>
        <v>231</v>
      </c>
      <c r="T144" s="165">
        <f t="shared" si="22"/>
        <v>253</v>
      </c>
      <c r="U144" s="165">
        <f t="shared" si="22"/>
        <v>157</v>
      </c>
      <c r="V144" s="165">
        <f t="shared" si="22"/>
        <v>235</v>
      </c>
      <c r="W144" s="165">
        <f t="shared" si="22"/>
        <v>169</v>
      </c>
      <c r="X144" s="165">
        <f t="shared" si="22"/>
        <v>149</v>
      </c>
      <c r="Y144" s="165">
        <f t="shared" si="22"/>
        <v>154</v>
      </c>
      <c r="Z144" s="165">
        <f t="shared" si="22"/>
        <v>266</v>
      </c>
      <c r="AA144" s="165">
        <f t="shared" si="22"/>
        <v>228</v>
      </c>
      <c r="AB144" s="165">
        <f t="shared" si="22"/>
        <v>175</v>
      </c>
      <c r="AC144" s="165">
        <f t="shared" si="22"/>
        <v>171</v>
      </c>
      <c r="AD144" s="165">
        <f t="shared" si="22"/>
        <v>145</v>
      </c>
      <c r="AE144" s="165">
        <f>+AE146+AE156+AE158+AE167</f>
        <v>152</v>
      </c>
      <c r="AF144" s="165">
        <f t="shared" ref="AF144" si="23">+AF146+AF156+AF158+AF167</f>
        <v>102</v>
      </c>
      <c r="AG144" s="116">
        <f t="shared" si="21"/>
        <v>5520</v>
      </c>
      <c r="AH144" s="38" t="str">
        <f>IF(AG144&lt;&gt;AG93,"*","")</f>
        <v>*</v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5</v>
      </c>
      <c r="C145" s="161">
        <f t="shared" si="24"/>
        <v>7</v>
      </c>
      <c r="D145" s="161">
        <f t="shared" si="24"/>
        <v>5</v>
      </c>
      <c r="E145" s="161">
        <f t="shared" si="24"/>
        <v>3</v>
      </c>
      <c r="F145" s="161">
        <f t="shared" si="24"/>
        <v>12</v>
      </c>
      <c r="G145" s="161">
        <f t="shared" si="24"/>
        <v>27</v>
      </c>
      <c r="H145" s="161">
        <f t="shared" si="24"/>
        <v>9</v>
      </c>
      <c r="I145" s="161">
        <f t="shared" si="24"/>
        <v>7</v>
      </c>
      <c r="J145" s="161">
        <f t="shared" si="24"/>
        <v>9</v>
      </c>
      <c r="K145" s="161">
        <f t="shared" si="24"/>
        <v>10</v>
      </c>
      <c r="L145" s="161">
        <f t="shared" si="24"/>
        <v>16</v>
      </c>
      <c r="M145" s="161">
        <f t="shared" si="24"/>
        <v>8</v>
      </c>
      <c r="N145" s="161">
        <f t="shared" si="24"/>
        <v>69</v>
      </c>
      <c r="O145" s="161">
        <f t="shared" si="24"/>
        <v>32</v>
      </c>
      <c r="P145" s="161">
        <f t="shared" si="24"/>
        <v>17</v>
      </c>
      <c r="Q145" s="161">
        <f t="shared" si="24"/>
        <v>37</v>
      </c>
      <c r="R145" s="161">
        <f t="shared" si="24"/>
        <v>14</v>
      </c>
      <c r="S145" s="161">
        <f t="shared" si="24"/>
        <v>23</v>
      </c>
      <c r="T145" s="161">
        <f t="shared" si="24"/>
        <v>15</v>
      </c>
      <c r="U145" s="161">
        <f t="shared" si="24"/>
        <v>29</v>
      </c>
      <c r="V145" s="161">
        <f t="shared" si="24"/>
        <v>35</v>
      </c>
      <c r="W145" s="161">
        <f t="shared" si="24"/>
        <v>42</v>
      </c>
      <c r="X145" s="161">
        <f t="shared" si="24"/>
        <v>35</v>
      </c>
      <c r="Y145" s="161">
        <f t="shared" si="24"/>
        <v>45</v>
      </c>
      <c r="Z145" s="161">
        <f t="shared" si="24"/>
        <v>30</v>
      </c>
      <c r="AA145" s="161">
        <f t="shared" si="24"/>
        <v>28</v>
      </c>
      <c r="AB145" s="161">
        <f t="shared" si="24"/>
        <v>46</v>
      </c>
      <c r="AC145" s="161">
        <f t="shared" si="24"/>
        <v>32</v>
      </c>
      <c r="AD145" s="161">
        <f t="shared" si="24"/>
        <v>16</v>
      </c>
      <c r="AE145" s="161">
        <f>+AE149+AE155+AE157+AE172</f>
        <v>27</v>
      </c>
      <c r="AF145" s="162">
        <f t="shared" ref="AF145" si="25">+AF149+AF155+AF157+AF172</f>
        <v>2</v>
      </c>
      <c r="AG145" s="163">
        <f t="shared" si="21"/>
        <v>692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1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1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1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1</v>
      </c>
      <c r="AE146" s="118">
        <f t="shared" si="26"/>
        <v>1</v>
      </c>
      <c r="AF146" s="119">
        <f t="shared" si="26"/>
        <v>0</v>
      </c>
      <c r="AG146" s="120">
        <f t="shared" si="26"/>
        <v>5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1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1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09" si="28">SUM(B148:AF148)</f>
        <v>0</v>
      </c>
    </row>
    <row r="149" spans="1:34" ht="19.5" thickBot="1" x14ac:dyDescent="0.3">
      <c r="A149" s="153" t="s">
        <v>131</v>
      </c>
      <c r="B149" s="154">
        <v>0</v>
      </c>
      <c r="C149" s="154">
        <v>0</v>
      </c>
      <c r="D149" s="154">
        <v>0</v>
      </c>
      <c r="E149" s="154">
        <v>0</v>
      </c>
      <c r="F149" s="154">
        <v>0</v>
      </c>
      <c r="G149" s="154">
        <v>0</v>
      </c>
      <c r="H149" s="154">
        <v>0</v>
      </c>
      <c r="I149" s="154">
        <v>0</v>
      </c>
      <c r="J149" s="154">
        <v>0</v>
      </c>
      <c r="K149" s="154">
        <v>0</v>
      </c>
      <c r="L149" s="154">
        <v>0</v>
      </c>
      <c r="M149" s="154">
        <v>0</v>
      </c>
      <c r="N149" s="154">
        <v>0</v>
      </c>
      <c r="O149" s="154">
        <v>0</v>
      </c>
      <c r="P149" s="154">
        <v>0</v>
      </c>
      <c r="Q149" s="154">
        <v>0</v>
      </c>
      <c r="R149" s="154">
        <v>0</v>
      </c>
      <c r="S149" s="154">
        <v>0</v>
      </c>
      <c r="T149" s="154">
        <v>0</v>
      </c>
      <c r="U149" s="154">
        <v>0</v>
      </c>
      <c r="V149" s="154">
        <v>0</v>
      </c>
      <c r="W149" s="154">
        <v>0</v>
      </c>
      <c r="X149" s="154">
        <v>0</v>
      </c>
      <c r="Y149" s="154">
        <v>0</v>
      </c>
      <c r="Z149" s="154">
        <v>0</v>
      </c>
      <c r="AA149" s="154">
        <v>0</v>
      </c>
      <c r="AB149" s="154">
        <v>0</v>
      </c>
      <c r="AC149" s="154">
        <v>0</v>
      </c>
      <c r="AD149" s="154">
        <v>0</v>
      </c>
      <c r="AE149" s="154">
        <v>0</v>
      </c>
      <c r="AF149" s="155">
        <v>0</v>
      </c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>
        <v>1</v>
      </c>
      <c r="K154" s="126"/>
      <c r="L154" s="126"/>
      <c r="M154" s="126"/>
      <c r="N154" s="126"/>
      <c r="O154" s="126">
        <v>1</v>
      </c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>
        <v>1</v>
      </c>
      <c r="AA154" s="126"/>
      <c r="AB154" s="126"/>
      <c r="AC154" s="126"/>
      <c r="AD154" s="126">
        <v>1</v>
      </c>
      <c r="AE154" s="126">
        <v>1</v>
      </c>
      <c r="AF154" s="127"/>
      <c r="AG154" s="128">
        <f t="shared" si="28"/>
        <v>5</v>
      </c>
    </row>
    <row r="155" spans="1:34" ht="19.5" thickBot="1" x14ac:dyDescent="0.3">
      <c r="A155" s="153" t="s">
        <v>132</v>
      </c>
      <c r="B155" s="154">
        <v>0</v>
      </c>
      <c r="C155" s="154">
        <v>0</v>
      </c>
      <c r="D155" s="154">
        <v>0</v>
      </c>
      <c r="E155" s="154">
        <v>0</v>
      </c>
      <c r="F155" s="154">
        <v>0</v>
      </c>
      <c r="G155" s="154">
        <v>0</v>
      </c>
      <c r="H155" s="154">
        <v>0</v>
      </c>
      <c r="I155" s="154">
        <v>0</v>
      </c>
      <c r="J155" s="154">
        <v>0</v>
      </c>
      <c r="K155" s="154">
        <v>0</v>
      </c>
      <c r="L155" s="154">
        <v>0</v>
      </c>
      <c r="M155" s="154">
        <v>0</v>
      </c>
      <c r="N155" s="154">
        <v>0</v>
      </c>
      <c r="O155" s="154">
        <v>0</v>
      </c>
      <c r="P155" s="154">
        <v>0</v>
      </c>
      <c r="Q155" s="154">
        <v>0</v>
      </c>
      <c r="R155" s="154">
        <v>0</v>
      </c>
      <c r="S155" s="154">
        <v>0</v>
      </c>
      <c r="T155" s="154">
        <v>0</v>
      </c>
      <c r="U155" s="154">
        <v>1</v>
      </c>
      <c r="V155" s="154">
        <v>0</v>
      </c>
      <c r="W155" s="154">
        <v>0</v>
      </c>
      <c r="X155" s="154">
        <v>0</v>
      </c>
      <c r="Y155" s="154">
        <v>0</v>
      </c>
      <c r="Z155" s="154">
        <v>0</v>
      </c>
      <c r="AA155" s="154">
        <v>0</v>
      </c>
      <c r="AB155" s="154">
        <v>0</v>
      </c>
      <c r="AC155" s="154">
        <v>0</v>
      </c>
      <c r="AD155" s="154">
        <v>0</v>
      </c>
      <c r="AE155" s="154">
        <v>0</v>
      </c>
      <c r="AF155" s="155">
        <v>0</v>
      </c>
      <c r="AG155" s="156">
        <f t="shared" si="28"/>
        <v>1</v>
      </c>
    </row>
    <row r="156" spans="1:34" ht="18.75" x14ac:dyDescent="0.25">
      <c r="A156" s="69" t="s">
        <v>62</v>
      </c>
      <c r="B156" s="56">
        <v>203</v>
      </c>
      <c r="C156" s="56">
        <v>116</v>
      </c>
      <c r="D156" s="56">
        <v>127</v>
      </c>
      <c r="E156" s="56">
        <v>249</v>
      </c>
      <c r="F156" s="56">
        <v>220</v>
      </c>
      <c r="G156" s="56">
        <v>195</v>
      </c>
      <c r="H156" s="56">
        <v>165</v>
      </c>
      <c r="I156" s="56">
        <v>140</v>
      </c>
      <c r="J156" s="56">
        <v>132</v>
      </c>
      <c r="K156" s="56">
        <v>126</v>
      </c>
      <c r="L156" s="56">
        <v>218</v>
      </c>
      <c r="M156" s="56">
        <v>213</v>
      </c>
      <c r="N156" s="56">
        <v>165</v>
      </c>
      <c r="O156" s="56">
        <v>169</v>
      </c>
      <c r="P156" s="56">
        <v>167</v>
      </c>
      <c r="Q156" s="56">
        <v>148</v>
      </c>
      <c r="R156" s="56">
        <v>160</v>
      </c>
      <c r="S156" s="56">
        <v>231</v>
      </c>
      <c r="T156" s="56">
        <v>251</v>
      </c>
      <c r="U156" s="56">
        <v>156</v>
      </c>
      <c r="V156" s="56">
        <v>235</v>
      </c>
      <c r="W156" s="56">
        <v>168</v>
      </c>
      <c r="X156" s="56">
        <v>149</v>
      </c>
      <c r="Y156" s="56">
        <v>152</v>
      </c>
      <c r="Z156" s="56">
        <v>262</v>
      </c>
      <c r="AA156" s="56">
        <v>226</v>
      </c>
      <c r="AB156" s="56">
        <v>174</v>
      </c>
      <c r="AC156" s="56">
        <v>171</v>
      </c>
      <c r="AD156" s="56">
        <v>144</v>
      </c>
      <c r="AE156" s="56">
        <v>150</v>
      </c>
      <c r="AF156" s="85">
        <v>101</v>
      </c>
      <c r="AG156" s="95">
        <f t="shared" si="28"/>
        <v>5483</v>
      </c>
      <c r="AH156" s="2" t="s">
        <v>84</v>
      </c>
    </row>
    <row r="157" spans="1:34" ht="19.5" thickBot="1" x14ac:dyDescent="0.3">
      <c r="A157" s="75" t="s">
        <v>1</v>
      </c>
      <c r="B157" s="13">
        <v>5</v>
      </c>
      <c r="C157" s="13">
        <v>7</v>
      </c>
      <c r="D157" s="13">
        <v>5</v>
      </c>
      <c r="E157" s="13">
        <v>3</v>
      </c>
      <c r="F157" s="13">
        <v>12</v>
      </c>
      <c r="G157" s="13">
        <v>27</v>
      </c>
      <c r="H157" s="13">
        <v>9</v>
      </c>
      <c r="I157" s="13">
        <v>7</v>
      </c>
      <c r="J157" s="13">
        <v>9</v>
      </c>
      <c r="K157" s="13">
        <v>10</v>
      </c>
      <c r="L157" s="13">
        <v>16</v>
      </c>
      <c r="M157" s="13">
        <v>8</v>
      </c>
      <c r="N157" s="13">
        <v>69</v>
      </c>
      <c r="O157" s="13">
        <v>32</v>
      </c>
      <c r="P157" s="13">
        <v>17</v>
      </c>
      <c r="Q157" s="13">
        <v>37</v>
      </c>
      <c r="R157" s="13">
        <v>14</v>
      </c>
      <c r="S157" s="13">
        <v>23</v>
      </c>
      <c r="T157" s="13">
        <v>15</v>
      </c>
      <c r="U157" s="13">
        <v>28</v>
      </c>
      <c r="V157" s="13">
        <v>35</v>
      </c>
      <c r="W157" s="13">
        <v>41</v>
      </c>
      <c r="X157" s="13">
        <v>35</v>
      </c>
      <c r="Y157" s="13">
        <v>45</v>
      </c>
      <c r="Z157" s="13">
        <v>30</v>
      </c>
      <c r="AA157" s="13">
        <v>28</v>
      </c>
      <c r="AB157" s="13">
        <v>46</v>
      </c>
      <c r="AC157" s="13">
        <v>32</v>
      </c>
      <c r="AD157" s="13">
        <v>16</v>
      </c>
      <c r="AE157" s="13">
        <v>27</v>
      </c>
      <c r="AF157" s="14">
        <v>2</v>
      </c>
      <c r="AG157" s="157">
        <f t="shared" si="28"/>
        <v>690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1</v>
      </c>
      <c r="C158" s="122">
        <f t="shared" si="29"/>
        <v>1</v>
      </c>
      <c r="D158" s="122">
        <f t="shared" si="29"/>
        <v>1</v>
      </c>
      <c r="E158" s="122">
        <f t="shared" si="29"/>
        <v>0</v>
      </c>
      <c r="F158" s="122">
        <f t="shared" si="29"/>
        <v>0</v>
      </c>
      <c r="G158" s="122">
        <f t="shared" si="29"/>
        <v>0</v>
      </c>
      <c r="H158" s="122">
        <f t="shared" si="29"/>
        <v>1</v>
      </c>
      <c r="I158" s="122">
        <f t="shared" si="29"/>
        <v>2</v>
      </c>
      <c r="J158" s="122">
        <f t="shared" si="29"/>
        <v>0</v>
      </c>
      <c r="K158" s="122">
        <f t="shared" si="29"/>
        <v>3</v>
      </c>
      <c r="L158" s="122">
        <f t="shared" si="29"/>
        <v>1</v>
      </c>
      <c r="M158" s="122">
        <f t="shared" si="29"/>
        <v>1</v>
      </c>
      <c r="N158" s="122">
        <f t="shared" si="29"/>
        <v>2</v>
      </c>
      <c r="O158" s="122">
        <f t="shared" si="29"/>
        <v>1</v>
      </c>
      <c r="P158" s="122">
        <f t="shared" si="29"/>
        <v>2</v>
      </c>
      <c r="Q158" s="122">
        <f t="shared" si="29"/>
        <v>0</v>
      </c>
      <c r="R158" s="122">
        <f t="shared" si="29"/>
        <v>1</v>
      </c>
      <c r="S158" s="122">
        <f t="shared" si="29"/>
        <v>0</v>
      </c>
      <c r="T158" s="122">
        <f t="shared" si="29"/>
        <v>0</v>
      </c>
      <c r="U158" s="122">
        <f t="shared" si="29"/>
        <v>1</v>
      </c>
      <c r="V158" s="122">
        <f t="shared" si="29"/>
        <v>0</v>
      </c>
      <c r="W158" s="122">
        <f t="shared" si="29"/>
        <v>1</v>
      </c>
      <c r="X158" s="122">
        <f t="shared" si="29"/>
        <v>0</v>
      </c>
      <c r="Y158" s="122">
        <f t="shared" si="29"/>
        <v>2</v>
      </c>
      <c r="Z158" s="122">
        <f t="shared" si="29"/>
        <v>3</v>
      </c>
      <c r="AA158" s="122">
        <f t="shared" si="29"/>
        <v>2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1</v>
      </c>
      <c r="AF158" s="123">
        <f t="shared" si="29"/>
        <v>0</v>
      </c>
      <c r="AG158" s="124">
        <f t="shared" si="28"/>
        <v>27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>
        <v>1</v>
      </c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1</v>
      </c>
    </row>
    <row r="160" spans="1:34" ht="18.75" x14ac:dyDescent="0.25">
      <c r="A160" s="50" t="s">
        <v>24</v>
      </c>
      <c r="B160" s="29">
        <v>1</v>
      </c>
      <c r="C160" s="29"/>
      <c r="D160" s="29"/>
      <c r="E160" s="29"/>
      <c r="F160" s="29"/>
      <c r="G160" s="29"/>
      <c r="H160" s="29"/>
      <c r="I160" s="29">
        <v>2</v>
      </c>
      <c r="J160" s="29"/>
      <c r="K160" s="29"/>
      <c r="L160" s="29"/>
      <c r="M160" s="29"/>
      <c r="N160" s="29"/>
      <c r="O160" s="29"/>
      <c r="P160" s="29">
        <v>1</v>
      </c>
      <c r="Q160" s="29"/>
      <c r="R160" s="29"/>
      <c r="S160" s="29"/>
      <c r="T160" s="29"/>
      <c r="U160" s="29"/>
      <c r="V160" s="29"/>
      <c r="W160" s="29">
        <v>1</v>
      </c>
      <c r="X160" s="29"/>
      <c r="Y160" s="29"/>
      <c r="Z160" s="29"/>
      <c r="AA160" s="29"/>
      <c r="AB160" s="29"/>
      <c r="AC160" s="29"/>
      <c r="AD160" s="29"/>
      <c r="AE160" s="29">
        <v>1</v>
      </c>
      <c r="AF160" s="21"/>
      <c r="AG160" s="4">
        <f t="shared" si="28"/>
        <v>6</v>
      </c>
    </row>
    <row r="161" spans="1:34" ht="18.75" x14ac:dyDescent="0.25">
      <c r="A161" s="50" t="s">
        <v>59</v>
      </c>
      <c r="B161" s="29"/>
      <c r="C161" s="29">
        <v>1</v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>
        <v>1</v>
      </c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>
        <v>1</v>
      </c>
      <c r="Z161" s="29"/>
      <c r="AA161" s="29"/>
      <c r="AB161" s="29"/>
      <c r="AC161" s="29"/>
      <c r="AD161" s="29"/>
      <c r="AE161" s="29"/>
      <c r="AF161" s="21"/>
      <c r="AG161" s="4">
        <f t="shared" si="28"/>
        <v>3</v>
      </c>
    </row>
    <row r="162" spans="1:34" ht="18.75" x14ac:dyDescent="0.25">
      <c r="A162" s="50" t="s">
        <v>25</v>
      </c>
      <c r="B162" s="29"/>
      <c r="C162" s="29"/>
      <c r="D162" s="29">
        <v>1</v>
      </c>
      <c r="E162" s="29"/>
      <c r="F162" s="29"/>
      <c r="G162" s="29"/>
      <c r="H162" s="29"/>
      <c r="I162" s="29"/>
      <c r="J162" s="29"/>
      <c r="K162" s="29">
        <v>2</v>
      </c>
      <c r="L162" s="29"/>
      <c r="M162" s="29">
        <v>1</v>
      </c>
      <c r="N162" s="29">
        <v>1</v>
      </c>
      <c r="O162" s="29"/>
      <c r="P162" s="29"/>
      <c r="Q162" s="29"/>
      <c r="R162" s="29">
        <v>1</v>
      </c>
      <c r="S162" s="29"/>
      <c r="T162" s="29"/>
      <c r="U162" s="29"/>
      <c r="V162" s="29"/>
      <c r="W162" s="29"/>
      <c r="X162" s="29"/>
      <c r="Y162" s="29">
        <v>1</v>
      </c>
      <c r="Z162" s="29"/>
      <c r="AA162" s="29">
        <v>1</v>
      </c>
      <c r="AB162" s="29"/>
      <c r="AC162" s="29"/>
      <c r="AD162" s="29"/>
      <c r="AE162" s="29"/>
      <c r="AF162" s="21"/>
      <c r="AG162" s="4">
        <f t="shared" si="28"/>
        <v>8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>
        <v>1</v>
      </c>
      <c r="I165" s="29"/>
      <c r="J165" s="29"/>
      <c r="K165" s="29">
        <v>1</v>
      </c>
      <c r="L165" s="29">
        <v>1</v>
      </c>
      <c r="M165" s="29"/>
      <c r="N165" s="29"/>
      <c r="O165" s="29">
        <v>1</v>
      </c>
      <c r="P165" s="29"/>
      <c r="Q165" s="29"/>
      <c r="R165" s="29"/>
      <c r="S165" s="29"/>
      <c r="T165" s="29"/>
      <c r="U165" s="29">
        <v>1</v>
      </c>
      <c r="V165" s="29"/>
      <c r="W165" s="29"/>
      <c r="X165" s="29"/>
      <c r="Y165" s="29"/>
      <c r="Z165" s="29">
        <v>3</v>
      </c>
      <c r="AA165" s="29">
        <v>1</v>
      </c>
      <c r="AB165" s="29"/>
      <c r="AC165" s="29"/>
      <c r="AD165" s="29"/>
      <c r="AE165" s="29"/>
      <c r="AF165" s="21"/>
      <c r="AG165" s="4">
        <f t="shared" si="28"/>
        <v>9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0</v>
      </c>
      <c r="H167" s="56">
        <f t="shared" si="30"/>
        <v>0</v>
      </c>
      <c r="I167" s="56">
        <f t="shared" si="30"/>
        <v>0</v>
      </c>
      <c r="J167" s="56">
        <f t="shared" si="30"/>
        <v>0</v>
      </c>
      <c r="K167" s="56">
        <f t="shared" si="30"/>
        <v>1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2</v>
      </c>
      <c r="U167" s="56">
        <f t="shared" si="30"/>
        <v>0</v>
      </c>
      <c r="V167" s="56">
        <f t="shared" si="30"/>
        <v>0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1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1</v>
      </c>
      <c r="AG167" s="95">
        <f t="shared" si="28"/>
        <v>5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>
        <v>1</v>
      </c>
      <c r="L168" s="29"/>
      <c r="M168" s="29"/>
      <c r="N168" s="29"/>
      <c r="O168" s="29"/>
      <c r="P168" s="29"/>
      <c r="Q168" s="29"/>
      <c r="R168" s="29"/>
      <c r="S168" s="29"/>
      <c r="T168" s="29">
        <v>1</v>
      </c>
      <c r="U168" s="29"/>
      <c r="V168" s="29"/>
      <c r="W168" s="29"/>
      <c r="X168" s="29"/>
      <c r="Y168" s="29"/>
      <c r="Z168" s="29"/>
      <c r="AA168" s="29"/>
      <c r="AB168" s="29">
        <v>1</v>
      </c>
      <c r="AC168" s="29"/>
      <c r="AD168" s="29"/>
      <c r="AE168" s="29"/>
      <c r="AF168" s="21"/>
      <c r="AG168" s="4">
        <f t="shared" si="28"/>
        <v>3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>
        <v>1</v>
      </c>
      <c r="AG169" s="4">
        <f t="shared" si="28"/>
        <v>1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>
        <v>1</v>
      </c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1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>
        <v>1</v>
      </c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1</v>
      </c>
    </row>
    <row r="173" spans="1:34" ht="18.75" x14ac:dyDescent="0.25">
      <c r="A173" s="68" t="s">
        <v>2</v>
      </c>
      <c r="B173" s="15">
        <v>2</v>
      </c>
      <c r="C173" s="15">
        <v>1</v>
      </c>
      <c r="D173" s="15">
        <v>0</v>
      </c>
      <c r="E173" s="15">
        <v>0</v>
      </c>
      <c r="F173" s="15">
        <v>0</v>
      </c>
      <c r="G173" s="15">
        <v>1</v>
      </c>
      <c r="H173" s="15">
        <v>1</v>
      </c>
      <c r="I173" s="15">
        <v>0</v>
      </c>
      <c r="J173" s="15">
        <v>0</v>
      </c>
      <c r="K173" s="15">
        <v>1</v>
      </c>
      <c r="L173" s="15">
        <v>0</v>
      </c>
      <c r="M173" s="15">
        <v>0</v>
      </c>
      <c r="N173" s="15">
        <v>2</v>
      </c>
      <c r="O173" s="15">
        <v>0</v>
      </c>
      <c r="P173" s="15">
        <v>0</v>
      </c>
      <c r="Q173" s="15">
        <v>0</v>
      </c>
      <c r="R173" s="15">
        <v>0</v>
      </c>
      <c r="S173" s="15">
        <v>3</v>
      </c>
      <c r="T173" s="15">
        <v>2</v>
      </c>
      <c r="U173" s="15">
        <v>1</v>
      </c>
      <c r="V173" s="15">
        <v>1</v>
      </c>
      <c r="W173" s="15">
        <v>1</v>
      </c>
      <c r="X173" s="15">
        <v>1</v>
      </c>
      <c r="Y173" s="15">
        <v>0</v>
      </c>
      <c r="Z173" s="15">
        <f>1+1</f>
        <v>2</v>
      </c>
      <c r="AA173" s="15">
        <v>1</v>
      </c>
      <c r="AB173" s="15">
        <v>0</v>
      </c>
      <c r="AC173" s="15">
        <v>0</v>
      </c>
      <c r="AD173" s="15">
        <v>0</v>
      </c>
      <c r="AE173" s="15">
        <v>1</v>
      </c>
      <c r="AF173" s="23">
        <v>0</v>
      </c>
      <c r="AG173" s="5">
        <f t="shared" si="28"/>
        <v>21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8</v>
      </c>
      <c r="C174" s="16">
        <f t="shared" ref="C174:AF174" si="31">SUM(C175:C176)</f>
        <v>3</v>
      </c>
      <c r="D174" s="16">
        <f t="shared" si="31"/>
        <v>7</v>
      </c>
      <c r="E174" s="16">
        <f t="shared" si="31"/>
        <v>7</v>
      </c>
      <c r="F174" s="16">
        <f t="shared" si="31"/>
        <v>2</v>
      </c>
      <c r="G174" s="16">
        <f t="shared" si="31"/>
        <v>5</v>
      </c>
      <c r="H174" s="16">
        <f t="shared" si="31"/>
        <v>3</v>
      </c>
      <c r="I174" s="16">
        <f t="shared" si="31"/>
        <v>2</v>
      </c>
      <c r="J174" s="16">
        <f t="shared" si="31"/>
        <v>2</v>
      </c>
      <c r="K174" s="16">
        <f t="shared" si="31"/>
        <v>4</v>
      </c>
      <c r="L174" s="16">
        <f t="shared" si="31"/>
        <v>7</v>
      </c>
      <c r="M174" s="16">
        <f t="shared" si="31"/>
        <v>3</v>
      </c>
      <c r="N174" s="16">
        <f t="shared" si="31"/>
        <v>4</v>
      </c>
      <c r="O174" s="16">
        <f t="shared" si="31"/>
        <v>4</v>
      </c>
      <c r="P174" s="16">
        <f t="shared" si="31"/>
        <v>3</v>
      </c>
      <c r="Q174" s="16">
        <f t="shared" si="31"/>
        <v>8</v>
      </c>
      <c r="R174" s="16">
        <f t="shared" si="31"/>
        <v>4</v>
      </c>
      <c r="S174" s="16">
        <f t="shared" si="31"/>
        <v>6</v>
      </c>
      <c r="T174" s="16">
        <f t="shared" si="31"/>
        <v>3</v>
      </c>
      <c r="U174" s="16">
        <f t="shared" si="31"/>
        <v>10</v>
      </c>
      <c r="V174" s="16">
        <f t="shared" si="31"/>
        <v>4</v>
      </c>
      <c r="W174" s="16">
        <f t="shared" si="31"/>
        <v>7</v>
      </c>
      <c r="X174" s="16">
        <f t="shared" si="31"/>
        <v>7</v>
      </c>
      <c r="Y174" s="16">
        <f t="shared" si="31"/>
        <v>5</v>
      </c>
      <c r="Z174" s="16">
        <f t="shared" si="31"/>
        <v>3</v>
      </c>
      <c r="AA174" s="16">
        <f t="shared" si="31"/>
        <v>9</v>
      </c>
      <c r="AB174" s="16">
        <f t="shared" si="31"/>
        <v>9</v>
      </c>
      <c r="AC174" s="16">
        <f t="shared" si="31"/>
        <v>3</v>
      </c>
      <c r="AD174" s="16">
        <f t="shared" si="31"/>
        <v>3</v>
      </c>
      <c r="AE174" s="16">
        <f t="shared" si="31"/>
        <v>4</v>
      </c>
      <c r="AF174" s="24">
        <f t="shared" si="31"/>
        <v>8</v>
      </c>
      <c r="AG174" s="6">
        <f t="shared" si="28"/>
        <v>157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1</v>
      </c>
      <c r="E175" s="15">
        <v>1</v>
      </c>
      <c r="F175" s="15">
        <v>1</v>
      </c>
      <c r="G175" s="15">
        <v>0</v>
      </c>
      <c r="H175" s="15">
        <v>1</v>
      </c>
      <c r="I175" s="15">
        <v>0</v>
      </c>
      <c r="J175" s="15">
        <v>0</v>
      </c>
      <c r="K175" s="15">
        <v>1</v>
      </c>
      <c r="L175" s="15">
        <v>0</v>
      </c>
      <c r="M175" s="15">
        <v>0</v>
      </c>
      <c r="N175" s="15">
        <v>1</v>
      </c>
      <c r="O175" s="15">
        <v>1</v>
      </c>
      <c r="P175" s="15">
        <v>0</v>
      </c>
      <c r="Q175" s="15">
        <v>2</v>
      </c>
      <c r="R175" s="15">
        <v>0</v>
      </c>
      <c r="S175" s="15">
        <v>1</v>
      </c>
      <c r="T175" s="15">
        <v>1</v>
      </c>
      <c r="U175" s="15">
        <v>1</v>
      </c>
      <c r="V175" s="15">
        <v>0</v>
      </c>
      <c r="W175" s="15">
        <v>0</v>
      </c>
      <c r="X175" s="15">
        <v>2</v>
      </c>
      <c r="Y175" s="15">
        <v>0</v>
      </c>
      <c r="Z175" s="15">
        <v>0</v>
      </c>
      <c r="AA175" s="15">
        <v>1</v>
      </c>
      <c r="AB175" s="15">
        <v>2</v>
      </c>
      <c r="AC175" s="15">
        <v>0</v>
      </c>
      <c r="AD175" s="15">
        <v>1</v>
      </c>
      <c r="AE175" s="15">
        <v>1</v>
      </c>
      <c r="AF175" s="23">
        <v>0</v>
      </c>
      <c r="AG175" s="5">
        <f t="shared" si="28"/>
        <v>19</v>
      </c>
      <c r="AH175" s="2" t="s">
        <v>138</v>
      </c>
    </row>
    <row r="176" spans="1:34" ht="19.5" thickBot="1" x14ac:dyDescent="0.3">
      <c r="A176" s="104" t="s">
        <v>119</v>
      </c>
      <c r="B176" s="101">
        <v>8</v>
      </c>
      <c r="C176" s="101">
        <v>3</v>
      </c>
      <c r="D176" s="101">
        <v>6</v>
      </c>
      <c r="E176" s="101">
        <v>6</v>
      </c>
      <c r="F176" s="101">
        <v>1</v>
      </c>
      <c r="G176" s="101">
        <v>5</v>
      </c>
      <c r="H176" s="101">
        <v>2</v>
      </c>
      <c r="I176" s="101">
        <v>2</v>
      </c>
      <c r="J176" s="101">
        <v>2</v>
      </c>
      <c r="K176" s="101">
        <v>3</v>
      </c>
      <c r="L176" s="101">
        <v>7</v>
      </c>
      <c r="M176" s="101">
        <v>3</v>
      </c>
      <c r="N176" s="101">
        <v>3</v>
      </c>
      <c r="O176" s="101">
        <v>3</v>
      </c>
      <c r="P176" s="101">
        <v>3</v>
      </c>
      <c r="Q176" s="101">
        <v>6</v>
      </c>
      <c r="R176" s="101">
        <v>4</v>
      </c>
      <c r="S176" s="101">
        <v>5</v>
      </c>
      <c r="T176" s="101">
        <v>2</v>
      </c>
      <c r="U176" s="101">
        <v>9</v>
      </c>
      <c r="V176" s="101">
        <v>4</v>
      </c>
      <c r="W176" s="101">
        <v>7</v>
      </c>
      <c r="X176" s="101">
        <v>5</v>
      </c>
      <c r="Y176" s="101">
        <v>5</v>
      </c>
      <c r="Z176" s="101">
        <v>3</v>
      </c>
      <c r="AA176" s="101">
        <v>8</v>
      </c>
      <c r="AB176" s="101">
        <v>7</v>
      </c>
      <c r="AC176" s="101">
        <v>3</v>
      </c>
      <c r="AD176" s="101">
        <v>2</v>
      </c>
      <c r="AE176" s="101">
        <v>3</v>
      </c>
      <c r="AF176" s="102">
        <v>8</v>
      </c>
      <c r="AG176" s="103">
        <f t="shared" si="28"/>
        <v>138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13</v>
      </c>
      <c r="C179" s="220">
        <f t="shared" si="32"/>
        <v>16</v>
      </c>
      <c r="D179" s="220">
        <f t="shared" si="32"/>
        <v>7</v>
      </c>
      <c r="E179" s="220">
        <f t="shared" si="32"/>
        <v>30</v>
      </c>
      <c r="F179" s="220">
        <f t="shared" si="32"/>
        <v>13</v>
      </c>
      <c r="G179" s="220">
        <f t="shared" si="32"/>
        <v>16</v>
      </c>
      <c r="H179" s="220">
        <f t="shared" si="32"/>
        <v>9</v>
      </c>
      <c r="I179" s="220">
        <f t="shared" si="32"/>
        <v>18</v>
      </c>
      <c r="J179" s="220">
        <f t="shared" si="32"/>
        <v>10</v>
      </c>
      <c r="K179" s="220">
        <f t="shared" si="32"/>
        <v>14</v>
      </c>
      <c r="L179" s="220">
        <f t="shared" si="32"/>
        <v>8</v>
      </c>
      <c r="M179" s="220">
        <f t="shared" si="32"/>
        <v>27</v>
      </c>
      <c r="N179" s="220">
        <f t="shared" si="32"/>
        <v>13</v>
      </c>
      <c r="O179" s="220">
        <f t="shared" si="32"/>
        <v>13</v>
      </c>
      <c r="P179" s="220">
        <f t="shared" si="32"/>
        <v>7</v>
      </c>
      <c r="Q179" s="220">
        <f t="shared" si="32"/>
        <v>10</v>
      </c>
      <c r="R179" s="220">
        <f t="shared" si="32"/>
        <v>15</v>
      </c>
      <c r="S179" s="220">
        <f t="shared" si="32"/>
        <v>24</v>
      </c>
      <c r="T179" s="220">
        <f t="shared" si="32"/>
        <v>21</v>
      </c>
      <c r="U179" s="220">
        <f t="shared" si="32"/>
        <v>16</v>
      </c>
      <c r="V179" s="220">
        <f t="shared" si="32"/>
        <v>19</v>
      </c>
      <c r="W179" s="220">
        <f t="shared" si="32"/>
        <v>12</v>
      </c>
      <c r="X179" s="220">
        <f t="shared" si="32"/>
        <v>15</v>
      </c>
      <c r="Y179" s="220">
        <f t="shared" si="32"/>
        <v>11</v>
      </c>
      <c r="Z179" s="220">
        <f t="shared" si="32"/>
        <v>14</v>
      </c>
      <c r="AA179" s="220">
        <f t="shared" si="32"/>
        <v>22</v>
      </c>
      <c r="AB179" s="220">
        <f t="shared" si="32"/>
        <v>16</v>
      </c>
      <c r="AC179" s="220">
        <f t="shared" si="32"/>
        <v>7</v>
      </c>
      <c r="AD179" s="220">
        <f t="shared" si="32"/>
        <v>8</v>
      </c>
      <c r="AE179" s="220">
        <f t="shared" si="32"/>
        <v>15</v>
      </c>
      <c r="AF179" s="221">
        <f t="shared" si="32"/>
        <v>9</v>
      </c>
      <c r="AG179" s="156">
        <f t="shared" si="28"/>
        <v>448</v>
      </c>
      <c r="AH179" s="38"/>
    </row>
    <row r="180" spans="1:34" ht="18.75" x14ac:dyDescent="0.25">
      <c r="A180" s="109" t="s">
        <v>4</v>
      </c>
      <c r="B180" s="216">
        <v>1</v>
      </c>
      <c r="C180" s="216">
        <v>4</v>
      </c>
      <c r="D180" s="216">
        <v>1</v>
      </c>
      <c r="E180" s="216">
        <v>8</v>
      </c>
      <c r="F180" s="216">
        <v>4</v>
      </c>
      <c r="G180" s="216">
        <v>3</v>
      </c>
      <c r="H180" s="216">
        <v>2</v>
      </c>
      <c r="I180" s="216">
        <v>3</v>
      </c>
      <c r="J180" s="216">
        <v>4</v>
      </c>
      <c r="K180" s="216">
        <v>4</v>
      </c>
      <c r="L180" s="216">
        <v>6</v>
      </c>
      <c r="M180" s="216">
        <v>15</v>
      </c>
      <c r="N180" s="217">
        <v>5</v>
      </c>
      <c r="O180" s="217">
        <v>3</v>
      </c>
      <c r="P180" s="217">
        <v>4</v>
      </c>
      <c r="Q180" s="217">
        <v>5</v>
      </c>
      <c r="R180" s="217">
        <v>5</v>
      </c>
      <c r="S180" s="217">
        <v>15</v>
      </c>
      <c r="T180" s="217">
        <v>3</v>
      </c>
      <c r="U180" s="217">
        <v>7</v>
      </c>
      <c r="V180" s="217">
        <v>6</v>
      </c>
      <c r="W180" s="217">
        <v>6</v>
      </c>
      <c r="X180" s="217">
        <v>2</v>
      </c>
      <c r="Y180" s="217">
        <v>3</v>
      </c>
      <c r="Z180" s="217">
        <v>10</v>
      </c>
      <c r="AA180" s="217">
        <v>5</v>
      </c>
      <c r="AB180" s="217">
        <v>1</v>
      </c>
      <c r="AC180" s="217">
        <v>5</v>
      </c>
      <c r="AD180" s="217">
        <v>3</v>
      </c>
      <c r="AE180" s="217">
        <v>5</v>
      </c>
      <c r="AF180" s="218">
        <v>1</v>
      </c>
      <c r="AG180" s="31">
        <f t="shared" si="28"/>
        <v>149</v>
      </c>
    </row>
    <row r="181" spans="1:34" ht="18.75" x14ac:dyDescent="0.25">
      <c r="A181" s="109" t="s">
        <v>122</v>
      </c>
      <c r="B181" s="147"/>
      <c r="C181" s="147">
        <v>5</v>
      </c>
      <c r="D181" s="147"/>
      <c r="E181" s="147">
        <v>1</v>
      </c>
      <c r="F181" s="147"/>
      <c r="G181" s="147"/>
      <c r="H181" s="147"/>
      <c r="I181" s="147"/>
      <c r="J181" s="147"/>
      <c r="K181" s="147"/>
      <c r="L181" s="147"/>
      <c r="M181" s="147"/>
      <c r="N181" s="17"/>
      <c r="O181" s="17">
        <v>1</v>
      </c>
      <c r="P181" s="17"/>
      <c r="Q181" s="17"/>
      <c r="R181" s="17"/>
      <c r="S181" s="17">
        <v>1</v>
      </c>
      <c r="T181" s="17"/>
      <c r="U181" s="17"/>
      <c r="V181" s="17">
        <v>3</v>
      </c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11</v>
      </c>
    </row>
    <row r="182" spans="1:34" ht="18.75" x14ac:dyDescent="0.25">
      <c r="A182" s="109" t="s">
        <v>123</v>
      </c>
      <c r="B182" s="147">
        <v>6</v>
      </c>
      <c r="C182" s="147">
        <v>3</v>
      </c>
      <c r="D182" s="147">
        <v>4</v>
      </c>
      <c r="E182" s="147">
        <v>8</v>
      </c>
      <c r="F182" s="147">
        <v>7</v>
      </c>
      <c r="G182" s="147">
        <v>11</v>
      </c>
      <c r="H182" s="147"/>
      <c r="I182" s="147">
        <v>10</v>
      </c>
      <c r="J182" s="147"/>
      <c r="K182" s="147">
        <v>9</v>
      </c>
      <c r="L182" s="147"/>
      <c r="M182" s="147">
        <v>9</v>
      </c>
      <c r="N182" s="17">
        <v>7</v>
      </c>
      <c r="O182" s="17">
        <v>6</v>
      </c>
      <c r="P182" s="17">
        <v>2</v>
      </c>
      <c r="Q182" s="17">
        <v>2</v>
      </c>
      <c r="R182" s="17">
        <v>5</v>
      </c>
      <c r="S182" s="17"/>
      <c r="T182" s="17">
        <v>15</v>
      </c>
      <c r="U182" s="17">
        <v>9</v>
      </c>
      <c r="V182" s="17">
        <v>8</v>
      </c>
      <c r="W182" s="17">
        <v>5</v>
      </c>
      <c r="X182" s="17">
        <v>10</v>
      </c>
      <c r="Y182" s="17">
        <v>5</v>
      </c>
      <c r="Z182" s="17"/>
      <c r="AA182" s="17">
        <v>16</v>
      </c>
      <c r="AB182" s="17">
        <v>11</v>
      </c>
      <c r="AC182" s="17">
        <v>2</v>
      </c>
      <c r="AD182" s="17">
        <v>5</v>
      </c>
      <c r="AE182" s="17">
        <v>2</v>
      </c>
      <c r="AF182" s="18">
        <v>4</v>
      </c>
      <c r="AG182" s="4">
        <f t="shared" si="28"/>
        <v>181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>
        <v>2</v>
      </c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>
        <v>2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4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139</v>
      </c>
      <c r="B187" s="147"/>
      <c r="C187" s="147"/>
      <c r="D187" s="147"/>
      <c r="E187" s="147">
        <v>7</v>
      </c>
      <c r="F187" s="147"/>
      <c r="G187" s="147"/>
      <c r="H187" s="147">
        <v>1</v>
      </c>
      <c r="I187" s="147"/>
      <c r="J187" s="147">
        <v>3</v>
      </c>
      <c r="K187" s="147">
        <v>1</v>
      </c>
      <c r="L187" s="147"/>
      <c r="M187" s="147">
        <v>1</v>
      </c>
      <c r="N187" s="17"/>
      <c r="O187" s="17"/>
      <c r="P187" s="17"/>
      <c r="Q187" s="17"/>
      <c r="R187" s="17"/>
      <c r="S187" s="17">
        <v>3</v>
      </c>
      <c r="T187" s="17"/>
      <c r="U187" s="17"/>
      <c r="V187" s="17"/>
      <c r="W187" s="17"/>
      <c r="X187" s="17"/>
      <c r="Y187" s="17">
        <v>1</v>
      </c>
      <c r="Z187" s="17">
        <v>1</v>
      </c>
      <c r="AA187" s="17"/>
      <c r="AB187" s="17">
        <v>1</v>
      </c>
      <c r="AC187" s="17"/>
      <c r="AD187" s="17"/>
      <c r="AE187" s="17">
        <v>4</v>
      </c>
      <c r="AF187" s="18">
        <v>1</v>
      </c>
      <c r="AG187" s="4">
        <f t="shared" si="28"/>
        <v>24</v>
      </c>
    </row>
    <row r="188" spans="1:34" ht="18.75" x14ac:dyDescent="0.25">
      <c r="A188" s="110" t="s">
        <v>63</v>
      </c>
      <c r="B188" s="147"/>
      <c r="C188" s="147">
        <v>1</v>
      </c>
      <c r="D188" s="147"/>
      <c r="E188" s="147"/>
      <c r="F188" s="147"/>
      <c r="G188" s="147"/>
      <c r="H188" s="147">
        <v>3</v>
      </c>
      <c r="I188" s="147"/>
      <c r="J188" s="147">
        <v>1</v>
      </c>
      <c r="K188" s="147"/>
      <c r="L188" s="147"/>
      <c r="M188" s="147"/>
      <c r="N188" s="17"/>
      <c r="O188" s="17">
        <v>1</v>
      </c>
      <c r="P188" s="17">
        <v>1</v>
      </c>
      <c r="Q188" s="17">
        <v>1</v>
      </c>
      <c r="R188" s="17"/>
      <c r="S188" s="17"/>
      <c r="T188" s="17"/>
      <c r="U188" s="17"/>
      <c r="V188" s="17">
        <v>1</v>
      </c>
      <c r="W188" s="17"/>
      <c r="X188" s="17">
        <v>1</v>
      </c>
      <c r="Y188" s="17"/>
      <c r="Z188" s="17"/>
      <c r="AA188" s="17"/>
      <c r="AB188" s="17"/>
      <c r="AC188" s="17"/>
      <c r="AD188" s="17"/>
      <c r="AE188" s="17">
        <v>1</v>
      </c>
      <c r="AF188" s="18"/>
      <c r="AG188" s="4">
        <f t="shared" si="28"/>
        <v>11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>
        <v>2</v>
      </c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2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/>
      <c r="C192" s="244"/>
      <c r="D192" s="244"/>
      <c r="E192" s="244"/>
      <c r="F192" s="244">
        <v>2</v>
      </c>
      <c r="G192" s="244"/>
      <c r="H192" s="244">
        <v>2</v>
      </c>
      <c r="I192" s="244"/>
      <c r="J192" s="244">
        <v>1</v>
      </c>
      <c r="K192" s="244"/>
      <c r="L192" s="244"/>
      <c r="M192" s="244">
        <v>1</v>
      </c>
      <c r="N192" s="245"/>
      <c r="O192" s="245"/>
      <c r="P192" s="245"/>
      <c r="Q192" s="245"/>
      <c r="R192" s="245">
        <v>3</v>
      </c>
      <c r="S192" s="245">
        <v>3</v>
      </c>
      <c r="T192" s="245"/>
      <c r="U192" s="245"/>
      <c r="V192" s="245"/>
      <c r="W192" s="245"/>
      <c r="X192" s="245"/>
      <c r="Y192" s="245">
        <v>2</v>
      </c>
      <c r="Z192" s="245">
        <v>2</v>
      </c>
      <c r="AA192" s="245"/>
      <c r="AB192" s="245"/>
      <c r="AC192" s="245"/>
      <c r="AD192" s="245"/>
      <c r="AE192" s="245"/>
      <c r="AF192" s="246">
        <v>2</v>
      </c>
      <c r="AG192" s="247">
        <f t="shared" si="28"/>
        <v>18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>
        <v>1</v>
      </c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>
        <v>1</v>
      </c>
      <c r="AF196" s="18"/>
      <c r="AG196" s="4">
        <f t="shared" si="28"/>
        <v>2</v>
      </c>
    </row>
    <row r="197" spans="1:34" ht="18.75" x14ac:dyDescent="0.25">
      <c r="A197" s="111" t="s">
        <v>143</v>
      </c>
      <c r="B197" s="147"/>
      <c r="C197" s="147"/>
      <c r="D197" s="147">
        <v>2</v>
      </c>
      <c r="E197" s="147">
        <v>1</v>
      </c>
      <c r="F197" s="147"/>
      <c r="G197" s="147"/>
      <c r="H197" s="147"/>
      <c r="I197" s="147"/>
      <c r="J197" s="147">
        <v>1</v>
      </c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4</v>
      </c>
    </row>
    <row r="198" spans="1:34" ht="18.75" x14ac:dyDescent="0.25">
      <c r="A198" s="110" t="s">
        <v>124</v>
      </c>
      <c r="B198" s="147">
        <v>5</v>
      </c>
      <c r="C198" s="147">
        <v>1</v>
      </c>
      <c r="D198" s="147"/>
      <c r="E198" s="147">
        <v>2</v>
      </c>
      <c r="F198" s="147"/>
      <c r="G198" s="147"/>
      <c r="H198" s="147"/>
      <c r="I198" s="147"/>
      <c r="J198" s="147"/>
      <c r="K198" s="147"/>
      <c r="L198" s="147"/>
      <c r="M198" s="147"/>
      <c r="N198" s="17"/>
      <c r="O198" s="17">
        <v>1</v>
      </c>
      <c r="P198" s="17"/>
      <c r="Q198" s="17"/>
      <c r="R198" s="17">
        <v>1</v>
      </c>
      <c r="S198" s="17"/>
      <c r="T198" s="17">
        <v>1</v>
      </c>
      <c r="U198" s="17"/>
      <c r="V198" s="17">
        <v>1</v>
      </c>
      <c r="W198" s="17"/>
      <c r="X198" s="17">
        <v>1</v>
      </c>
      <c r="Y198" s="17"/>
      <c r="Z198" s="17"/>
      <c r="AA198" s="17"/>
      <c r="AB198" s="17">
        <v>2</v>
      </c>
      <c r="AC198" s="17"/>
      <c r="AD198" s="17"/>
      <c r="AE198" s="17"/>
      <c r="AF198" s="18"/>
      <c r="AG198" s="4">
        <f t="shared" si="28"/>
        <v>15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>
        <v>1</v>
      </c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125</v>
      </c>
      <c r="B200" s="147">
        <v>1</v>
      </c>
      <c r="C200" s="147">
        <v>1</v>
      </c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>
        <v>1</v>
      </c>
      <c r="X200" s="17"/>
      <c r="Y200" s="17"/>
      <c r="Z200" s="17">
        <v>1</v>
      </c>
      <c r="AA200" s="17"/>
      <c r="AB200" s="17"/>
      <c r="AC200" s="17"/>
      <c r="AD200" s="17"/>
      <c r="AE200" s="17"/>
      <c r="AF200" s="18"/>
      <c r="AG200" s="4">
        <f t="shared" si="28"/>
        <v>4</v>
      </c>
    </row>
    <row r="201" spans="1:34" ht="18.75" x14ac:dyDescent="0.25">
      <c r="A201" s="110" t="s">
        <v>126</v>
      </c>
      <c r="B201" s="202"/>
      <c r="C201" s="202"/>
      <c r="D201" s="202"/>
      <c r="E201" s="202">
        <v>1</v>
      </c>
      <c r="F201" s="202"/>
      <c r="G201" s="202">
        <v>1</v>
      </c>
      <c r="H201" s="202">
        <v>1</v>
      </c>
      <c r="I201" s="202">
        <v>3</v>
      </c>
      <c r="J201" s="202"/>
      <c r="K201" s="202"/>
      <c r="L201" s="202"/>
      <c r="M201" s="202"/>
      <c r="N201" s="203">
        <v>1</v>
      </c>
      <c r="O201" s="203">
        <v>1</v>
      </c>
      <c r="P201" s="203"/>
      <c r="Q201" s="203"/>
      <c r="R201" s="203">
        <v>1</v>
      </c>
      <c r="S201" s="203"/>
      <c r="T201" s="203">
        <v>2</v>
      </c>
      <c r="U201" s="203"/>
      <c r="V201" s="203"/>
      <c r="W201" s="203"/>
      <c r="X201" s="203"/>
      <c r="Y201" s="203"/>
      <c r="Z201" s="203"/>
      <c r="AA201" s="203">
        <v>1</v>
      </c>
      <c r="AB201" s="203"/>
      <c r="AC201" s="203"/>
      <c r="AD201" s="203"/>
      <c r="AE201" s="203">
        <v>2</v>
      </c>
      <c r="AF201" s="204">
        <v>1</v>
      </c>
      <c r="AG201" s="4">
        <f t="shared" si="28"/>
        <v>15</v>
      </c>
    </row>
    <row r="202" spans="1:34" ht="18.75" x14ac:dyDescent="0.25">
      <c r="A202" s="112" t="s">
        <v>170</v>
      </c>
      <c r="B202" s="202"/>
      <c r="C202" s="202">
        <v>1</v>
      </c>
      <c r="D202" s="202"/>
      <c r="E202" s="202"/>
      <c r="F202" s="202"/>
      <c r="G202" s="202">
        <v>1</v>
      </c>
      <c r="H202" s="202"/>
      <c r="I202" s="202">
        <v>1</v>
      </c>
      <c r="J202" s="202"/>
      <c r="K202" s="202"/>
      <c r="L202" s="202"/>
      <c r="M202" s="202">
        <v>1</v>
      </c>
      <c r="N202" s="203"/>
      <c r="O202" s="203"/>
      <c r="P202" s="203"/>
      <c r="Q202" s="203"/>
      <c r="R202" s="203"/>
      <c r="S202" s="203">
        <v>1</v>
      </c>
      <c r="T202" s="203"/>
      <c r="U202" s="203"/>
      <c r="V202" s="203"/>
      <c r="W202" s="203"/>
      <c r="X202" s="203"/>
      <c r="Y202" s="203"/>
      <c r="Z202" s="203"/>
      <c r="AA202" s="203"/>
      <c r="AB202" s="203">
        <v>1</v>
      </c>
      <c r="AC202" s="203"/>
      <c r="AD202" s="203"/>
      <c r="AE202" s="203"/>
      <c r="AF202" s="204"/>
      <c r="AG202" s="4">
        <f t="shared" si="28"/>
        <v>6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>
        <v>1</v>
      </c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1</v>
      </c>
    </row>
    <row r="204" spans="1:34" ht="19.5" thickBot="1" x14ac:dyDescent="0.3">
      <c r="A204" s="215" t="s">
        <v>83</v>
      </c>
      <c r="B204" s="209">
        <f>SUM(B205:B209)</f>
        <v>209</v>
      </c>
      <c r="C204" s="210">
        <f t="shared" ref="C204:AF204" si="33">SUM(C205:C209)</f>
        <v>117</v>
      </c>
      <c r="D204" s="210">
        <f t="shared" si="33"/>
        <v>128</v>
      </c>
      <c r="E204" s="210">
        <f t="shared" si="33"/>
        <v>249</v>
      </c>
      <c r="F204" s="210">
        <f t="shared" si="33"/>
        <v>220</v>
      </c>
      <c r="G204" s="210">
        <f t="shared" si="33"/>
        <v>195</v>
      </c>
      <c r="H204" s="210">
        <f t="shared" si="33"/>
        <v>166</v>
      </c>
      <c r="I204" s="210">
        <f t="shared" si="33"/>
        <v>142</v>
      </c>
      <c r="J204" s="210">
        <f t="shared" si="33"/>
        <v>133</v>
      </c>
      <c r="K204" s="210">
        <f t="shared" si="33"/>
        <v>130</v>
      </c>
      <c r="L204" s="210">
        <f t="shared" si="33"/>
        <v>219</v>
      </c>
      <c r="M204" s="210">
        <f t="shared" si="33"/>
        <v>214</v>
      </c>
      <c r="N204" s="211">
        <f t="shared" si="33"/>
        <v>167</v>
      </c>
      <c r="O204" s="211">
        <f t="shared" si="33"/>
        <v>171</v>
      </c>
      <c r="P204" s="211">
        <f t="shared" si="33"/>
        <v>169</v>
      </c>
      <c r="Q204" s="211">
        <f t="shared" si="33"/>
        <v>148</v>
      </c>
      <c r="R204" s="211">
        <f t="shared" si="33"/>
        <v>161</v>
      </c>
      <c r="S204" s="211">
        <f t="shared" si="33"/>
        <v>231</v>
      </c>
      <c r="T204" s="211">
        <f t="shared" si="33"/>
        <v>253</v>
      </c>
      <c r="U204" s="211">
        <f t="shared" si="33"/>
        <v>157</v>
      </c>
      <c r="V204" s="211">
        <f t="shared" si="33"/>
        <v>235</v>
      </c>
      <c r="W204" s="211">
        <f t="shared" si="33"/>
        <v>169</v>
      </c>
      <c r="X204" s="211">
        <f t="shared" si="33"/>
        <v>149</v>
      </c>
      <c r="Y204" s="211">
        <f t="shared" si="33"/>
        <v>152</v>
      </c>
      <c r="Z204" s="211">
        <f t="shared" si="33"/>
        <v>266</v>
      </c>
      <c r="AA204" s="211">
        <f t="shared" si="33"/>
        <v>228</v>
      </c>
      <c r="AB204" s="211">
        <f t="shared" si="33"/>
        <v>175</v>
      </c>
      <c r="AC204" s="211">
        <f t="shared" si="33"/>
        <v>171</v>
      </c>
      <c r="AD204" s="211">
        <f t="shared" si="33"/>
        <v>145</v>
      </c>
      <c r="AE204" s="211">
        <f t="shared" si="33"/>
        <v>152</v>
      </c>
      <c r="AF204" s="212">
        <f t="shared" si="33"/>
        <v>102</v>
      </c>
      <c r="AG204" s="213">
        <f t="shared" si="28"/>
        <v>5523</v>
      </c>
      <c r="AH204" s="180" t="str">
        <f>IF(AG204&lt;&gt;AG93,"X","")</f>
        <v>X</v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>
        <v>1</v>
      </c>
      <c r="AG205" s="208">
        <f t="shared" si="28"/>
        <v>1</v>
      </c>
    </row>
    <row r="206" spans="1:34" ht="18.75" x14ac:dyDescent="0.25">
      <c r="A206" s="52" t="s">
        <v>73</v>
      </c>
      <c r="B206" s="148"/>
      <c r="C206" s="148"/>
      <c r="D206" s="148">
        <v>1</v>
      </c>
      <c r="E206" s="148">
        <v>2</v>
      </c>
      <c r="F206" s="148">
        <v>1</v>
      </c>
      <c r="G206" s="148">
        <v>1</v>
      </c>
      <c r="H206" s="148"/>
      <c r="I206" s="148"/>
      <c r="J206" s="148"/>
      <c r="K206" s="148"/>
      <c r="L206" s="148">
        <v>1</v>
      </c>
      <c r="M206" s="148">
        <v>2</v>
      </c>
      <c r="N206" s="33"/>
      <c r="O206" s="33">
        <v>1</v>
      </c>
      <c r="P206" s="33">
        <v>2</v>
      </c>
      <c r="Q206" s="33"/>
      <c r="R206" s="33">
        <v>2</v>
      </c>
      <c r="S206" s="33"/>
      <c r="T206" s="33"/>
      <c r="U206" s="33">
        <v>1</v>
      </c>
      <c r="V206" s="33">
        <v>3</v>
      </c>
      <c r="W206" s="33"/>
      <c r="X206" s="33">
        <v>3</v>
      </c>
      <c r="Y206" s="33">
        <v>4</v>
      </c>
      <c r="Z206" s="33">
        <v>1</v>
      </c>
      <c r="AA206" s="33">
        <v>2</v>
      </c>
      <c r="AB206" s="33">
        <v>5</v>
      </c>
      <c r="AC206" s="33">
        <v>4</v>
      </c>
      <c r="AD206" s="33"/>
      <c r="AE206" s="33"/>
      <c r="AF206" s="88">
        <v>1</v>
      </c>
      <c r="AG206" s="97">
        <f t="shared" si="28"/>
        <v>37</v>
      </c>
    </row>
    <row r="207" spans="1:34" ht="18.75" x14ac:dyDescent="0.25">
      <c r="A207" s="52" t="s">
        <v>74</v>
      </c>
      <c r="B207" s="148">
        <v>9</v>
      </c>
      <c r="C207" s="148">
        <v>14</v>
      </c>
      <c r="D207" s="148">
        <v>7</v>
      </c>
      <c r="E207" s="148">
        <v>20</v>
      </c>
      <c r="F207" s="148">
        <v>14</v>
      </c>
      <c r="G207" s="148">
        <v>10</v>
      </c>
      <c r="H207" s="148">
        <v>7</v>
      </c>
      <c r="I207" s="148">
        <v>15</v>
      </c>
      <c r="J207" s="148">
        <v>9</v>
      </c>
      <c r="K207" s="148">
        <v>12</v>
      </c>
      <c r="L207" s="148">
        <v>26</v>
      </c>
      <c r="M207" s="148">
        <v>14</v>
      </c>
      <c r="N207" s="33">
        <v>20</v>
      </c>
      <c r="O207" s="33">
        <v>22</v>
      </c>
      <c r="P207" s="33">
        <v>18</v>
      </c>
      <c r="Q207" s="33">
        <v>18</v>
      </c>
      <c r="R207" s="33">
        <v>16</v>
      </c>
      <c r="S207" s="33">
        <v>36</v>
      </c>
      <c r="T207" s="33">
        <v>23</v>
      </c>
      <c r="U207" s="33">
        <v>13</v>
      </c>
      <c r="V207" s="33">
        <v>15</v>
      </c>
      <c r="W207" s="33">
        <v>18</v>
      </c>
      <c r="X207" s="33">
        <v>17</v>
      </c>
      <c r="Y207" s="33">
        <v>35</v>
      </c>
      <c r="Z207" s="33">
        <v>24</v>
      </c>
      <c r="AA207" s="33">
        <v>21</v>
      </c>
      <c r="AB207" s="33">
        <v>9</v>
      </c>
      <c r="AC207" s="33">
        <v>15</v>
      </c>
      <c r="AD207" s="33">
        <v>10</v>
      </c>
      <c r="AE207" s="33">
        <v>16</v>
      </c>
      <c r="AF207" s="88">
        <v>7</v>
      </c>
      <c r="AG207" s="97">
        <f t="shared" si="28"/>
        <v>510</v>
      </c>
    </row>
    <row r="208" spans="1:34" ht="18.75" x14ac:dyDescent="0.25">
      <c r="A208" s="52" t="s">
        <v>75</v>
      </c>
      <c r="B208" s="148">
        <v>126</v>
      </c>
      <c r="C208" s="148">
        <v>85</v>
      </c>
      <c r="D208" s="148">
        <v>88</v>
      </c>
      <c r="E208" s="148">
        <v>161</v>
      </c>
      <c r="F208" s="148">
        <v>110</v>
      </c>
      <c r="G208" s="148">
        <v>154</v>
      </c>
      <c r="H208" s="148">
        <v>125</v>
      </c>
      <c r="I208" s="148">
        <v>104</v>
      </c>
      <c r="J208" s="148">
        <v>98</v>
      </c>
      <c r="K208" s="148">
        <v>99</v>
      </c>
      <c r="L208" s="148">
        <v>148</v>
      </c>
      <c r="M208" s="148">
        <v>146</v>
      </c>
      <c r="N208" s="33">
        <v>117</v>
      </c>
      <c r="O208" s="33">
        <v>135</v>
      </c>
      <c r="P208" s="33">
        <v>134</v>
      </c>
      <c r="Q208" s="33">
        <v>118</v>
      </c>
      <c r="R208" s="33">
        <v>121</v>
      </c>
      <c r="S208" s="33">
        <v>163</v>
      </c>
      <c r="T208" s="33">
        <v>155</v>
      </c>
      <c r="U208" s="33">
        <v>115</v>
      </c>
      <c r="V208" s="33">
        <v>156</v>
      </c>
      <c r="W208" s="33">
        <v>123</v>
      </c>
      <c r="X208" s="33">
        <v>106</v>
      </c>
      <c r="Y208" s="33">
        <v>94</v>
      </c>
      <c r="Z208" s="33">
        <v>135</v>
      </c>
      <c r="AA208" s="33">
        <v>136</v>
      </c>
      <c r="AB208" s="33">
        <v>129</v>
      </c>
      <c r="AC208" s="33">
        <v>110</v>
      </c>
      <c r="AD208" s="33">
        <v>103</v>
      </c>
      <c r="AE208" s="33">
        <v>99</v>
      </c>
      <c r="AF208" s="88">
        <v>70</v>
      </c>
      <c r="AG208" s="97">
        <f t="shared" si="28"/>
        <v>3763</v>
      </c>
    </row>
    <row r="209" spans="1:34" ht="19.5" thickBot="1" x14ac:dyDescent="0.3">
      <c r="A209" s="63" t="s">
        <v>76</v>
      </c>
      <c r="B209" s="149">
        <v>74</v>
      </c>
      <c r="C209" s="149">
        <v>18</v>
      </c>
      <c r="D209" s="149">
        <v>32</v>
      </c>
      <c r="E209" s="149">
        <v>66</v>
      </c>
      <c r="F209" s="149">
        <v>95</v>
      </c>
      <c r="G209" s="149">
        <v>30</v>
      </c>
      <c r="H209" s="149">
        <v>34</v>
      </c>
      <c r="I209" s="149">
        <v>23</v>
      </c>
      <c r="J209" s="149">
        <v>26</v>
      </c>
      <c r="K209" s="149">
        <v>19</v>
      </c>
      <c r="L209" s="149">
        <v>44</v>
      </c>
      <c r="M209" s="149">
        <v>52</v>
      </c>
      <c r="N209" s="34">
        <v>30</v>
      </c>
      <c r="O209" s="34">
        <v>13</v>
      </c>
      <c r="P209" s="34">
        <v>15</v>
      </c>
      <c r="Q209" s="34">
        <v>12</v>
      </c>
      <c r="R209" s="34">
        <v>22</v>
      </c>
      <c r="S209" s="34">
        <v>32</v>
      </c>
      <c r="T209" s="34">
        <v>75</v>
      </c>
      <c r="U209" s="34">
        <v>28</v>
      </c>
      <c r="V209" s="34">
        <v>61</v>
      </c>
      <c r="W209" s="34">
        <v>28</v>
      </c>
      <c r="X209" s="34">
        <v>23</v>
      </c>
      <c r="Y209" s="34">
        <v>19</v>
      </c>
      <c r="Z209" s="34">
        <v>106</v>
      </c>
      <c r="AA209" s="34">
        <v>69</v>
      </c>
      <c r="AB209" s="34">
        <v>32</v>
      </c>
      <c r="AC209" s="34">
        <v>42</v>
      </c>
      <c r="AD209" s="34">
        <v>32</v>
      </c>
      <c r="AE209" s="34">
        <v>37</v>
      </c>
      <c r="AF209" s="89">
        <v>23</v>
      </c>
      <c r="AG209" s="35">
        <f t="shared" si="28"/>
        <v>1212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>
        <v>7.3379629629629628E-3</v>
      </c>
      <c r="C211" s="19">
        <v>1.1805555555555555E-2</v>
      </c>
      <c r="D211" s="19">
        <v>1.042824074074074E-2</v>
      </c>
      <c r="E211" s="19">
        <v>7.3611111111111108E-3</v>
      </c>
      <c r="F211" s="19">
        <v>1.0347222222222223E-2</v>
      </c>
      <c r="G211" s="19">
        <v>2.0833333333333332E-2</v>
      </c>
      <c r="H211" s="19">
        <v>9.4675925925925917E-3</v>
      </c>
      <c r="I211" s="19">
        <v>2.8472222222222222E-2</v>
      </c>
      <c r="J211" s="19">
        <v>6.7245370370370367E-3</v>
      </c>
      <c r="K211" s="19">
        <v>1.5972222222222224E-2</v>
      </c>
      <c r="L211" s="19">
        <v>1.1805555555555555E-2</v>
      </c>
      <c r="M211" s="19">
        <v>6.6782407407407415E-3</v>
      </c>
      <c r="N211" s="19">
        <v>4.4444444444444446E-2</v>
      </c>
      <c r="O211" s="19">
        <v>2.4999999999999998E-2</v>
      </c>
      <c r="P211" s="19">
        <v>3.0555555555555555E-2</v>
      </c>
      <c r="Q211" s="19">
        <v>2.5694444444444447E-2</v>
      </c>
      <c r="R211" s="19">
        <v>1.105324074074074E-2</v>
      </c>
      <c r="S211" s="19">
        <v>1.1620370370370371E-2</v>
      </c>
      <c r="T211" s="19">
        <v>7.6388888888888886E-3</v>
      </c>
      <c r="U211" s="19">
        <v>3.3333333333333333E-2</v>
      </c>
      <c r="V211" s="19">
        <v>1.5277777777777777E-2</v>
      </c>
      <c r="W211" s="19">
        <v>3.5416666666666666E-2</v>
      </c>
      <c r="X211" s="19">
        <v>3.2638888888888891E-2</v>
      </c>
      <c r="Y211" s="19">
        <v>3.6111111111111115E-2</v>
      </c>
      <c r="Z211" s="19">
        <v>2.1527777777777781E-2</v>
      </c>
      <c r="AA211" s="19">
        <v>1.3888888888888888E-2</v>
      </c>
      <c r="AB211" s="19">
        <v>3.5416666666666666E-2</v>
      </c>
      <c r="AC211" s="19">
        <v>2.5694444444444447E-2</v>
      </c>
      <c r="AD211" s="19">
        <v>2.4999999999999998E-2</v>
      </c>
      <c r="AE211" s="19">
        <v>3.0555555555555555E-2</v>
      </c>
      <c r="AF211" s="25">
        <v>9.0277777777777787E-3</v>
      </c>
      <c r="AG211" s="99">
        <f t="shared" ref="AG211:AG237" si="34">AVERAGE(F211:AF211)</f>
        <v>2.1488768861454042E-2</v>
      </c>
      <c r="AH211" s="376" t="s">
        <v>85</v>
      </c>
    </row>
    <row r="212" spans="1:34" ht="18.75" x14ac:dyDescent="0.25">
      <c r="A212" s="53" t="s">
        <v>110</v>
      </c>
      <c r="B212" s="39">
        <v>5.6828703703703702E-3</v>
      </c>
      <c r="C212" s="39">
        <v>1.5972222222222224E-2</v>
      </c>
      <c r="D212" s="39">
        <v>1.9201388888888889E-2</v>
      </c>
      <c r="E212" s="39">
        <v>6.851851851851852E-3</v>
      </c>
      <c r="F212" s="39">
        <v>1.1990740740740739E-2</v>
      </c>
      <c r="G212" s="39">
        <v>2.9861111111111113E-2</v>
      </c>
      <c r="H212" s="39">
        <v>1.4652777777777778E-2</v>
      </c>
      <c r="I212" s="39">
        <v>3.9583333333333331E-2</v>
      </c>
      <c r="J212" s="39">
        <v>1.0416666666666666E-2</v>
      </c>
      <c r="K212" s="39">
        <v>2.9861111111111113E-2</v>
      </c>
      <c r="L212" s="39">
        <v>1.1111111111111112E-2</v>
      </c>
      <c r="M212" s="39">
        <v>1.1111111111111112E-2</v>
      </c>
      <c r="N212" s="39">
        <v>4.0972222222222222E-2</v>
      </c>
      <c r="O212" s="39">
        <v>2.9166666666666664E-2</v>
      </c>
      <c r="P212" s="39">
        <v>3.125E-2</v>
      </c>
      <c r="Q212" s="39">
        <v>3.2638888888888891E-2</v>
      </c>
      <c r="R212" s="39">
        <v>1.4583333333333332E-2</v>
      </c>
      <c r="S212" s="39">
        <v>1.1423611111111112E-2</v>
      </c>
      <c r="T212" s="39">
        <v>9.0277777777777787E-3</v>
      </c>
      <c r="U212" s="39">
        <v>3.7499999999999999E-2</v>
      </c>
      <c r="V212" s="39">
        <v>3.125E-2</v>
      </c>
      <c r="W212" s="39">
        <v>3.6111111111111115E-2</v>
      </c>
      <c r="X212" s="39">
        <v>2.9861111111111113E-2</v>
      </c>
      <c r="Y212" s="39">
        <v>3.9583333333333331E-2</v>
      </c>
      <c r="Z212" s="39">
        <v>3.3333333333333333E-2</v>
      </c>
      <c r="AA212" s="39">
        <v>1.6666666666666666E-2</v>
      </c>
      <c r="AB212" s="39">
        <v>4.5138888888888888E-2</v>
      </c>
      <c r="AC212" s="39">
        <v>2.7083333333333334E-2</v>
      </c>
      <c r="AD212" s="39">
        <v>2.9166666666666664E-2</v>
      </c>
      <c r="AE212" s="39">
        <v>2.9861111111111113E-2</v>
      </c>
      <c r="AF212" s="91">
        <v>1.7361111111111112E-2</v>
      </c>
      <c r="AG212" s="100">
        <f t="shared" si="34"/>
        <v>2.594693072702332E-2</v>
      </c>
      <c r="AH212" s="377"/>
    </row>
    <row r="213" spans="1:34" ht="18.75" x14ac:dyDescent="0.25">
      <c r="A213" s="53" t="s">
        <v>111</v>
      </c>
      <c r="B213" s="39">
        <v>5.5555555555555558E-3</v>
      </c>
      <c r="C213" s="39">
        <v>7.7662037037037031E-3</v>
      </c>
      <c r="D213" s="39">
        <v>9.386574074074075E-3</v>
      </c>
      <c r="E213" s="39">
        <v>8.7037037037037031E-3</v>
      </c>
      <c r="F213" s="39">
        <v>1.3888888888888888E-2</v>
      </c>
      <c r="G213" s="39">
        <v>3.8194444444444441E-2</v>
      </c>
      <c r="H213" s="39">
        <v>1.4421296296296295E-2</v>
      </c>
      <c r="I213" s="39">
        <v>4.3055555555555562E-2</v>
      </c>
      <c r="J213" s="39">
        <v>4.409722222222222E-3</v>
      </c>
      <c r="K213" s="39">
        <v>2.2222222222222223E-2</v>
      </c>
      <c r="L213" s="39">
        <v>2.5694444444444447E-2</v>
      </c>
      <c r="M213" s="39">
        <v>4.9421296296296288E-3</v>
      </c>
      <c r="N213" s="39">
        <v>7.3611111111111113E-2</v>
      </c>
      <c r="O213" s="39">
        <v>4.1666666666666664E-2</v>
      </c>
      <c r="P213" s="39">
        <v>4.0972222222222222E-2</v>
      </c>
      <c r="Q213" s="39">
        <v>4.1666666666666664E-2</v>
      </c>
      <c r="R213" s="39">
        <v>1.1111111111111112E-2</v>
      </c>
      <c r="S213" s="39">
        <v>1.5717592592592592E-2</v>
      </c>
      <c r="T213" s="39">
        <v>4.8842592592592592E-3</v>
      </c>
      <c r="U213" s="39">
        <v>5.8333333333333327E-2</v>
      </c>
      <c r="V213" s="39">
        <v>2.9166666666666664E-2</v>
      </c>
      <c r="W213" s="39">
        <v>6.25E-2</v>
      </c>
      <c r="X213" s="39">
        <v>5.3472222222222227E-2</v>
      </c>
      <c r="Y213" s="39">
        <v>6.1805555555555558E-2</v>
      </c>
      <c r="Z213" s="39">
        <v>4.5138888888888888E-2</v>
      </c>
      <c r="AA213" s="39">
        <v>2.2222222222222223E-2</v>
      </c>
      <c r="AB213" s="39">
        <v>7.4999999999999997E-2</v>
      </c>
      <c r="AC213" s="39">
        <v>5.2777777777777778E-2</v>
      </c>
      <c r="AD213" s="39">
        <v>4.6527777777777779E-2</v>
      </c>
      <c r="AE213" s="39">
        <v>4.2361111111111106E-2</v>
      </c>
      <c r="AF213" s="91">
        <v>6.9444444444444441E-3</v>
      </c>
      <c r="AG213" s="100">
        <f t="shared" si="34"/>
        <v>3.5285493827160501E-2</v>
      </c>
      <c r="AH213" s="377"/>
    </row>
    <row r="214" spans="1:34" ht="18.75" x14ac:dyDescent="0.25">
      <c r="A214" s="53" t="s">
        <v>112</v>
      </c>
      <c r="B214" s="39">
        <v>1.1111111111111112E-2</v>
      </c>
      <c r="C214" s="39">
        <v>6.215277777777777E-3</v>
      </c>
      <c r="D214" s="39">
        <v>7.4884259259259262E-3</v>
      </c>
      <c r="E214" s="39">
        <v>6.4467592592592597E-3</v>
      </c>
      <c r="F214" s="39">
        <v>1.2881944444444446E-2</v>
      </c>
      <c r="G214" s="39">
        <v>3.0243055555555554E-2</v>
      </c>
      <c r="H214" s="39">
        <v>6.6087962962962966E-3</v>
      </c>
      <c r="I214" s="39">
        <v>3.3333333333333333E-2</v>
      </c>
      <c r="J214" s="39">
        <v>5.5555555555555558E-3</v>
      </c>
      <c r="K214" s="39">
        <v>9.7222222222222224E-3</v>
      </c>
      <c r="L214" s="39">
        <v>2.2916666666666669E-2</v>
      </c>
      <c r="M214" s="39">
        <v>4.9189814814814816E-3</v>
      </c>
      <c r="N214" s="39">
        <v>5.8333333333333327E-2</v>
      </c>
      <c r="O214" s="39">
        <v>2.361111111111111E-2</v>
      </c>
      <c r="P214" s="39">
        <v>3.4027777777777775E-2</v>
      </c>
      <c r="Q214" s="39">
        <v>1.8749999999999999E-2</v>
      </c>
      <c r="R214" s="39">
        <v>1.0416666666666666E-2</v>
      </c>
      <c r="S214" s="39">
        <v>1.5972222222222224E-2</v>
      </c>
      <c r="T214" s="39">
        <v>7.6388888888888886E-3</v>
      </c>
      <c r="U214" s="39">
        <v>4.7916666666666663E-2</v>
      </c>
      <c r="V214" s="39">
        <v>1.6666666666666666E-2</v>
      </c>
      <c r="W214" s="39">
        <v>6.25E-2</v>
      </c>
      <c r="X214" s="39">
        <v>3.9583333333333331E-2</v>
      </c>
      <c r="Y214" s="39">
        <v>4.7916666666666663E-2</v>
      </c>
      <c r="Z214" s="39">
        <v>5.0694444444444438E-2</v>
      </c>
      <c r="AA214" s="39">
        <v>1.7361111111111112E-2</v>
      </c>
      <c r="AB214" s="39">
        <v>5.7638888888888885E-2</v>
      </c>
      <c r="AC214" s="39">
        <v>3.4027777777777775E-2</v>
      </c>
      <c r="AD214" s="39">
        <v>3.1944444444444449E-2</v>
      </c>
      <c r="AE214" s="39">
        <v>4.1666666666666664E-2</v>
      </c>
      <c r="AF214" s="91">
        <v>5.5555555555555558E-3</v>
      </c>
      <c r="AG214" s="100">
        <f t="shared" si="34"/>
        <v>2.7718621399176954E-2</v>
      </c>
      <c r="AH214" s="377"/>
    </row>
    <row r="215" spans="1:34" ht="18.75" x14ac:dyDescent="0.25">
      <c r="A215" s="53" t="s">
        <v>113</v>
      </c>
      <c r="B215" s="39">
        <v>6.2962962962962964E-3</v>
      </c>
      <c r="C215" s="39">
        <v>3.472222222222222E-3</v>
      </c>
      <c r="D215" s="39">
        <v>1.0486111111111111E-2</v>
      </c>
      <c r="E215" s="39">
        <v>6.4583333333333333E-3</v>
      </c>
      <c r="F215" s="39">
        <v>7.3263888888888892E-3</v>
      </c>
      <c r="G215" s="39">
        <v>1.6284722222222221E-2</v>
      </c>
      <c r="H215" s="39">
        <v>1.1412037037037038E-2</v>
      </c>
      <c r="I215" s="39">
        <v>1.6666666666666666E-2</v>
      </c>
      <c r="J215" s="39">
        <v>4.8263888888888887E-3</v>
      </c>
      <c r="K215" s="39">
        <v>7.6388888888888886E-3</v>
      </c>
      <c r="L215" s="39">
        <v>2.5694444444444447E-2</v>
      </c>
      <c r="M215" s="39">
        <v>5.6597222222222222E-3</v>
      </c>
      <c r="N215" s="39">
        <v>5.4166666666666669E-2</v>
      </c>
      <c r="O215" s="39">
        <v>1.2499999999999999E-2</v>
      </c>
      <c r="P215" s="39">
        <v>3.125E-2</v>
      </c>
      <c r="Q215" s="39">
        <v>1.3194444444444444E-2</v>
      </c>
      <c r="R215" s="39">
        <v>7.7314814814814815E-3</v>
      </c>
      <c r="S215" s="39">
        <v>1.1180555555555556E-2</v>
      </c>
      <c r="T215" s="39">
        <v>6.6087962962962966E-3</v>
      </c>
      <c r="U215" s="39">
        <v>4.3750000000000004E-2</v>
      </c>
      <c r="V215" s="39">
        <v>1.8055555555555557E-2</v>
      </c>
      <c r="W215" s="39">
        <v>3.4722222222222224E-2</v>
      </c>
      <c r="X215" s="39">
        <v>4.5138888888888888E-2</v>
      </c>
      <c r="Y215" s="39">
        <v>4.6527777777777779E-2</v>
      </c>
      <c r="Z215" s="39">
        <v>2.8472222222222222E-2</v>
      </c>
      <c r="AA215" s="39">
        <v>1.3194444444444444E-2</v>
      </c>
      <c r="AB215" s="39">
        <v>3.888888888888889E-2</v>
      </c>
      <c r="AC215" s="39">
        <v>2.2916666666666669E-2</v>
      </c>
      <c r="AD215" s="39">
        <v>1.3194444444444444E-2</v>
      </c>
      <c r="AE215" s="39">
        <v>4.3055555555555562E-2</v>
      </c>
      <c r="AF215" s="91">
        <v>4.1666666666666666E-3</v>
      </c>
      <c r="AG215" s="100">
        <f t="shared" si="34"/>
        <v>2.1637945816186558E-2</v>
      </c>
      <c r="AH215" s="377"/>
    </row>
    <row r="216" spans="1:34" ht="18.75" x14ac:dyDescent="0.25">
      <c r="A216" s="53" t="s">
        <v>114</v>
      </c>
      <c r="B216" s="39">
        <v>7.1180555555555554E-3</v>
      </c>
      <c r="C216" s="39">
        <v>3.8425925925925923E-3</v>
      </c>
      <c r="D216" s="39">
        <v>8.3333333333333332E-3</v>
      </c>
      <c r="E216" s="39">
        <v>1.1805555555555555E-2</v>
      </c>
      <c r="F216" s="39">
        <v>5.115740740740741E-3</v>
      </c>
      <c r="G216" s="39">
        <v>8.0439814814814818E-3</v>
      </c>
      <c r="H216" s="39">
        <v>4.3287037037037035E-3</v>
      </c>
      <c r="I216" s="39">
        <v>9.0277777777777787E-3</v>
      </c>
      <c r="J216" s="39">
        <v>7.6157407407407415E-3</v>
      </c>
      <c r="K216" s="39">
        <v>6.9444444444444441E-3</v>
      </c>
      <c r="L216" s="39">
        <v>1.834490740740741E-2</v>
      </c>
      <c r="M216" s="39">
        <v>3.472222222222222E-3</v>
      </c>
      <c r="N216" s="39">
        <v>3.888888888888889E-2</v>
      </c>
      <c r="O216" s="39">
        <v>2.9166666666666664E-2</v>
      </c>
      <c r="P216" s="39">
        <v>3.125E-2</v>
      </c>
      <c r="Q216" s="39">
        <v>1.4583333333333332E-2</v>
      </c>
      <c r="R216" s="39">
        <v>9.0972222222222218E-3</v>
      </c>
      <c r="S216" s="39">
        <v>8.3333333333333332E-3</v>
      </c>
      <c r="T216" s="39">
        <v>4.1666666666666666E-3</v>
      </c>
      <c r="U216" s="39">
        <v>3.2638888888888891E-2</v>
      </c>
      <c r="V216" s="39">
        <v>1.3888888888888888E-2</v>
      </c>
      <c r="W216" s="39">
        <v>2.6388888888888889E-2</v>
      </c>
      <c r="X216" s="39">
        <v>2.8472222222222222E-2</v>
      </c>
      <c r="Y216" s="39">
        <v>2.361111111111111E-2</v>
      </c>
      <c r="Z216" s="39">
        <v>1.1805555555555555E-2</v>
      </c>
      <c r="AA216" s="39">
        <v>1.1111111111111112E-2</v>
      </c>
      <c r="AB216" s="39">
        <v>1.4583333333333332E-2</v>
      </c>
      <c r="AC216" s="39">
        <v>2.7777777777777776E-2</v>
      </c>
      <c r="AD216" s="39">
        <v>7.6388888888888886E-3</v>
      </c>
      <c r="AE216" s="39">
        <v>2.361111111111111E-2</v>
      </c>
      <c r="AF216" s="91">
        <v>3.472222222222222E-3</v>
      </c>
      <c r="AG216" s="100">
        <f t="shared" si="34"/>
        <v>1.5680727023319616E-2</v>
      </c>
      <c r="AH216" s="377"/>
    </row>
    <row r="217" spans="1:34" ht="18.75" x14ac:dyDescent="0.25">
      <c r="A217" s="53" t="s">
        <v>115</v>
      </c>
      <c r="B217" s="39">
        <v>4.2592592592592595E-3</v>
      </c>
      <c r="C217" s="39">
        <v>6.6319444444444446E-3</v>
      </c>
      <c r="D217" s="39">
        <v>3.472222222222222E-3</v>
      </c>
      <c r="E217" s="39">
        <v>6.3888888888888884E-3</v>
      </c>
      <c r="F217" s="39">
        <v>6.0648148148148145E-3</v>
      </c>
      <c r="G217" s="39">
        <v>5.8564814814814825E-3</v>
      </c>
      <c r="H217" s="39">
        <v>3.6226851851851854E-3</v>
      </c>
      <c r="I217" s="39">
        <v>5.5555555555555558E-3</v>
      </c>
      <c r="J217" s="39">
        <v>2.7777777777777779E-3</v>
      </c>
      <c r="K217" s="39">
        <v>2.8124999999999995E-3</v>
      </c>
      <c r="L217" s="39">
        <v>1.7361111111111112E-2</v>
      </c>
      <c r="M217" s="39">
        <v>1.1111111111111112E-2</v>
      </c>
      <c r="N217" s="39">
        <v>4.1666666666666664E-2</v>
      </c>
      <c r="O217" s="39">
        <v>1.3888888888888888E-2</v>
      </c>
      <c r="P217" s="39">
        <v>2.0833333333333332E-2</v>
      </c>
      <c r="Q217" s="39">
        <v>1.0011574074074074E-2</v>
      </c>
      <c r="R217" s="39">
        <v>6.3541666666666668E-3</v>
      </c>
      <c r="S217" s="39">
        <v>1.8749999999999999E-2</v>
      </c>
      <c r="T217" s="39">
        <v>7.905092592592592E-3</v>
      </c>
      <c r="U217" s="39">
        <v>8.3333333333333332E-3</v>
      </c>
      <c r="V217" s="39">
        <v>6.2499999999999995E-3</v>
      </c>
      <c r="W217" s="39">
        <v>1.5277777777777777E-2</v>
      </c>
      <c r="X217" s="39">
        <v>1.3194444444444444E-2</v>
      </c>
      <c r="Y217" s="39">
        <v>1.0416666666666666E-2</v>
      </c>
      <c r="Z217" s="39">
        <v>1.0416666666666666E-2</v>
      </c>
      <c r="AA217" s="39">
        <v>1.1111111111111112E-2</v>
      </c>
      <c r="AB217" s="39">
        <v>7.6388888888888886E-3</v>
      </c>
      <c r="AC217" s="39">
        <v>2.4305555555555556E-2</v>
      </c>
      <c r="AD217" s="39">
        <v>1.2499999999999999E-2</v>
      </c>
      <c r="AE217" s="39">
        <v>2.8472222222222222E-2</v>
      </c>
      <c r="AF217" s="91">
        <v>2.7777777777777779E-3</v>
      </c>
      <c r="AG217" s="100">
        <f t="shared" si="34"/>
        <v>1.2046896433470507E-2</v>
      </c>
      <c r="AH217" s="377"/>
    </row>
    <row r="218" spans="1:34" ht="18.75" x14ac:dyDescent="0.25">
      <c r="A218" s="53" t="s">
        <v>116</v>
      </c>
      <c r="B218" s="39">
        <v>4.8842592592592592E-3</v>
      </c>
      <c r="C218" s="39">
        <v>2.9629629629629628E-3</v>
      </c>
      <c r="D218" s="39">
        <v>2.3726851851851851E-3</v>
      </c>
      <c r="E218" s="39">
        <v>6.5740740740740733E-3</v>
      </c>
      <c r="F218" s="39">
        <v>4.9189814814814816E-3</v>
      </c>
      <c r="G218" s="39">
        <v>6.5972222222222222E-3</v>
      </c>
      <c r="H218" s="39">
        <v>2.1296296296296298E-3</v>
      </c>
      <c r="I218" s="39">
        <v>6.9444444444444441E-3</v>
      </c>
      <c r="J218" s="39">
        <v>2.2569444444444447E-3</v>
      </c>
      <c r="K218" s="39">
        <v>4.8611111111111112E-3</v>
      </c>
      <c r="L218" s="39">
        <v>5.5555555555555558E-3</v>
      </c>
      <c r="M218" s="39">
        <v>4.8611111111111112E-3</v>
      </c>
      <c r="N218" s="39">
        <v>6.6319444444444446E-3</v>
      </c>
      <c r="O218" s="39">
        <v>7.6388888888888886E-3</v>
      </c>
      <c r="P218" s="39">
        <v>1.3888888888888888E-2</v>
      </c>
      <c r="Q218" s="39">
        <v>1.1400462962962965E-2</v>
      </c>
      <c r="R218" s="39">
        <v>6.9444444444444441E-3</v>
      </c>
      <c r="S218" s="39">
        <v>8.6226851851851846E-3</v>
      </c>
      <c r="T218" s="39">
        <v>5.5555555555555558E-3</v>
      </c>
      <c r="U218" s="39">
        <v>5.5555555555555558E-3</v>
      </c>
      <c r="V218" s="39">
        <v>4.8611111111111112E-3</v>
      </c>
      <c r="W218" s="39">
        <v>1.0763888888888891E-2</v>
      </c>
      <c r="X218" s="39">
        <v>6.9444444444444441E-3</v>
      </c>
      <c r="Y218" s="39">
        <v>4.1666666666666666E-3</v>
      </c>
      <c r="Z218" s="39">
        <v>6.2499999999999995E-3</v>
      </c>
      <c r="AA218" s="39">
        <v>1.4583333333333332E-2</v>
      </c>
      <c r="AB218" s="39">
        <v>1.1111111111111112E-2</v>
      </c>
      <c r="AC218" s="39">
        <v>9.0277777777777787E-3</v>
      </c>
      <c r="AD218" s="39">
        <v>3.5648148148148154E-3</v>
      </c>
      <c r="AE218" s="39">
        <v>8.3333333333333332E-3</v>
      </c>
      <c r="AF218" s="91">
        <v>2.0833333333333333E-3</v>
      </c>
      <c r="AG218" s="100">
        <f t="shared" si="34"/>
        <v>6.8908607681755826E-3</v>
      </c>
      <c r="AH218" s="377"/>
    </row>
    <row r="219" spans="1:34" ht="18.75" x14ac:dyDescent="0.25">
      <c r="A219" s="53" t="s">
        <v>117</v>
      </c>
      <c r="B219" s="39">
        <v>2.1759259259259258E-3</v>
      </c>
      <c r="C219" s="39">
        <v>4.8842592592592592E-3</v>
      </c>
      <c r="D219" s="39">
        <v>1.255787037037037E-2</v>
      </c>
      <c r="E219" s="39">
        <v>3.9814814814814817E-3</v>
      </c>
      <c r="F219" s="39">
        <v>7.6388888888888886E-3</v>
      </c>
      <c r="G219" s="39">
        <v>5.8796296296296296E-3</v>
      </c>
      <c r="H219" s="39">
        <v>1.3287037037037036E-2</v>
      </c>
      <c r="I219" s="39">
        <v>2.7777777777777779E-3</v>
      </c>
      <c r="J219" s="39">
        <v>8.5069444444444437E-3</v>
      </c>
      <c r="K219" s="39">
        <v>4.1666666666666666E-3</v>
      </c>
      <c r="L219" s="39">
        <v>2.361111111111111E-2</v>
      </c>
      <c r="M219" s="39">
        <v>3.472222222222222E-3</v>
      </c>
      <c r="N219" s="39">
        <v>1.1805555555555555E-2</v>
      </c>
      <c r="O219" s="39">
        <v>7.6388888888888886E-3</v>
      </c>
      <c r="P219" s="39">
        <v>1.2499999999999999E-2</v>
      </c>
      <c r="Q219" s="39">
        <v>7.69675925925926E-3</v>
      </c>
      <c r="R219" s="39">
        <v>1.1111111111111112E-2</v>
      </c>
      <c r="S219" s="39">
        <v>5.7175925925925927E-3</v>
      </c>
      <c r="T219" s="39">
        <v>1.5277777777777777E-2</v>
      </c>
      <c r="U219" s="39">
        <v>4.1666666666666666E-3</v>
      </c>
      <c r="V219" s="39">
        <v>3.472222222222222E-3</v>
      </c>
      <c r="W219" s="39">
        <v>6.9444444444444441E-3</v>
      </c>
      <c r="X219" s="39">
        <v>2.8472222222222222E-2</v>
      </c>
      <c r="Y219" s="39">
        <v>2.9861111111111113E-2</v>
      </c>
      <c r="Z219" s="39">
        <v>1.5277777777777777E-2</v>
      </c>
      <c r="AA219" s="39">
        <v>2.5752314814814815E-2</v>
      </c>
      <c r="AB219" s="39">
        <v>5.5555555555555558E-3</v>
      </c>
      <c r="AC219" s="39">
        <v>6.9444444444444441E-3</v>
      </c>
      <c r="AD219" s="39">
        <v>2.7777777777777779E-3</v>
      </c>
      <c r="AE219" s="39">
        <v>0</v>
      </c>
      <c r="AF219" s="91">
        <v>1.3888888888888889E-3</v>
      </c>
      <c r="AG219" s="100">
        <f t="shared" si="34"/>
        <v>1.0063014403292179E-2</v>
      </c>
      <c r="AH219" s="377"/>
    </row>
    <row r="220" spans="1:34" ht="18.75" x14ac:dyDescent="0.25">
      <c r="A220" s="43" t="s">
        <v>150</v>
      </c>
      <c r="B220" s="19">
        <v>2.011574074074074E-2</v>
      </c>
      <c r="C220" s="19">
        <v>1.7037037037037038E-2</v>
      </c>
      <c r="D220" s="19">
        <v>2.1597222222222223E-2</v>
      </c>
      <c r="E220" s="19">
        <v>1.2847222222222223E-2</v>
      </c>
      <c r="F220" s="19">
        <v>4.0972222222222222E-2</v>
      </c>
      <c r="G220" s="19">
        <v>1.8379629629629628E-2</v>
      </c>
      <c r="H220" s="19">
        <v>2.2222222222222223E-2</v>
      </c>
      <c r="I220" s="19">
        <v>2.4305555555555556E-2</v>
      </c>
      <c r="J220" s="19">
        <v>2.3368055555555555E-2</v>
      </c>
      <c r="K220" s="19">
        <v>1.4872685185185185E-2</v>
      </c>
      <c r="L220" s="19">
        <v>3.3333333333333333E-2</v>
      </c>
      <c r="M220" s="19">
        <v>1.6666666666666666E-2</v>
      </c>
      <c r="N220" s="19">
        <v>3.125E-2</v>
      </c>
      <c r="O220" s="19">
        <v>4.6527777777777779E-2</v>
      </c>
      <c r="P220" s="19">
        <v>3.4027777777777775E-2</v>
      </c>
      <c r="Q220" s="19">
        <v>4.8611111111111112E-2</v>
      </c>
      <c r="R220" s="19">
        <v>4.027777777777778E-2</v>
      </c>
      <c r="S220" s="19">
        <v>4.1666666666666664E-2</v>
      </c>
      <c r="T220" s="19">
        <v>2.4305555555555556E-2</v>
      </c>
      <c r="U220" s="19">
        <v>2.5694444444444447E-2</v>
      </c>
      <c r="V220" s="19">
        <v>4.5138888888888888E-2</v>
      </c>
      <c r="W220" s="19">
        <v>2.7083333333333334E-2</v>
      </c>
      <c r="X220" s="19">
        <v>4.8611111111111112E-2</v>
      </c>
      <c r="Y220" s="19">
        <v>3.5416666666666666E-2</v>
      </c>
      <c r="Z220" s="19">
        <v>3.125E-2</v>
      </c>
      <c r="AA220" s="19">
        <v>4.8611111111111112E-2</v>
      </c>
      <c r="AB220" s="19">
        <v>2.7777777777777776E-2</v>
      </c>
      <c r="AC220" s="19">
        <v>3.125E-2</v>
      </c>
      <c r="AD220" s="19">
        <v>2.1527777777777781E-2</v>
      </c>
      <c r="AE220" s="19">
        <v>4.027777777777778E-2</v>
      </c>
      <c r="AF220" s="25">
        <v>1.1805555555555555E-2</v>
      </c>
      <c r="AG220" s="99">
        <f t="shared" si="34"/>
        <v>3.1675240054869692E-2</v>
      </c>
      <c r="AH220" s="377"/>
    </row>
    <row r="221" spans="1:34" ht="18.75" x14ac:dyDescent="0.25">
      <c r="A221" s="43" t="s">
        <v>78</v>
      </c>
      <c r="B221" s="19">
        <v>2.6840277777777779E-2</v>
      </c>
      <c r="C221" s="19">
        <v>2.4745370370370372E-2</v>
      </c>
      <c r="D221" s="19">
        <v>2.988425925925926E-2</v>
      </c>
      <c r="E221" s="19">
        <v>1.7476851851851851E-2</v>
      </c>
      <c r="F221" s="19">
        <v>4.7916666666666663E-2</v>
      </c>
      <c r="G221" s="19">
        <v>2.4814814814814817E-2</v>
      </c>
      <c r="H221" s="19">
        <v>3.125E-2</v>
      </c>
      <c r="I221" s="19">
        <v>3.2638888888888891E-2</v>
      </c>
      <c r="J221" s="19">
        <v>3.2638888888888891E-2</v>
      </c>
      <c r="K221" s="19">
        <v>2.2604166666666665E-2</v>
      </c>
      <c r="L221" s="19">
        <v>3.888888888888889E-2</v>
      </c>
      <c r="M221" s="19">
        <v>2.0833333333333332E-2</v>
      </c>
      <c r="N221" s="19">
        <v>3.5416666666666666E-2</v>
      </c>
      <c r="O221" s="19">
        <v>5.2777777777777778E-2</v>
      </c>
      <c r="P221" s="19">
        <v>4.0972222222222222E-2</v>
      </c>
      <c r="Q221" s="19">
        <v>6.0416666666666667E-2</v>
      </c>
      <c r="R221" s="19">
        <v>4.6527777777777779E-2</v>
      </c>
      <c r="S221" s="19">
        <v>4.9999999999999996E-2</v>
      </c>
      <c r="T221" s="19">
        <v>2.9861111111111113E-2</v>
      </c>
      <c r="U221" s="19">
        <v>3.4027777777777775E-2</v>
      </c>
      <c r="V221" s="19">
        <v>5.486111111111111E-2</v>
      </c>
      <c r="W221" s="19">
        <v>3.6805555555555557E-2</v>
      </c>
      <c r="X221" s="19">
        <v>5.8333333333333327E-2</v>
      </c>
      <c r="Y221" s="19">
        <v>4.5138888888888888E-2</v>
      </c>
      <c r="Z221" s="19">
        <v>3.8194444444444441E-2</v>
      </c>
      <c r="AA221" s="19">
        <v>5.4166666666666669E-2</v>
      </c>
      <c r="AB221" s="19">
        <v>3.3333333333333333E-2</v>
      </c>
      <c r="AC221" s="19">
        <v>4.3055555555555562E-2</v>
      </c>
      <c r="AD221" s="19">
        <v>3.1944444444444449E-2</v>
      </c>
      <c r="AE221" s="19">
        <v>5.2083333333333336E-2</v>
      </c>
      <c r="AF221" s="25">
        <v>2.2222222222222223E-2</v>
      </c>
      <c r="AG221" s="99">
        <f t="shared" si="34"/>
        <v>3.9693501371742108E-2</v>
      </c>
      <c r="AH221" s="377"/>
    </row>
    <row r="222" spans="1:34" ht="19.5" thickBot="1" x14ac:dyDescent="0.3">
      <c r="A222" s="43" t="s">
        <v>79</v>
      </c>
      <c r="B222" s="19">
        <v>2.5358796296296296E-2</v>
      </c>
      <c r="C222" s="19">
        <v>2.6724537037037036E-2</v>
      </c>
      <c r="D222" s="19">
        <v>3.5543981481481475E-2</v>
      </c>
      <c r="E222" s="19">
        <v>2.3159722222222224E-2</v>
      </c>
      <c r="F222" s="19">
        <v>2.9976851851851852E-2</v>
      </c>
      <c r="G222" s="19">
        <v>2.6331018518518517E-2</v>
      </c>
      <c r="H222" s="19">
        <v>2.5694444444444447E-2</v>
      </c>
      <c r="I222" s="19">
        <v>2.9861111111111113E-2</v>
      </c>
      <c r="J222" s="19">
        <v>3.2638888888888891E-2</v>
      </c>
      <c r="K222" s="19">
        <v>2.4305555555555556E-2</v>
      </c>
      <c r="L222" s="19">
        <v>3.4722222222222224E-2</v>
      </c>
      <c r="M222" s="19">
        <v>2.2222222222222223E-2</v>
      </c>
      <c r="N222" s="19">
        <v>3.4027777777777775E-2</v>
      </c>
      <c r="O222" s="19">
        <v>2.1527777777777781E-2</v>
      </c>
      <c r="P222" s="19">
        <v>2.4999999999999998E-2</v>
      </c>
      <c r="Q222" s="19">
        <v>3.9270833333333331E-2</v>
      </c>
      <c r="R222" s="19">
        <v>3.125E-2</v>
      </c>
      <c r="S222" s="19">
        <v>2.9594907407407407E-2</v>
      </c>
      <c r="T222" s="19">
        <v>2.2916666666666669E-2</v>
      </c>
      <c r="U222" s="19">
        <v>3.3333333333333333E-2</v>
      </c>
      <c r="V222" s="19">
        <v>3.7499999999999999E-2</v>
      </c>
      <c r="W222" s="19">
        <v>2.9861111111111113E-2</v>
      </c>
      <c r="X222" s="19">
        <v>3.5057870370370371E-2</v>
      </c>
      <c r="Y222" s="19">
        <v>3.8194444444444441E-2</v>
      </c>
      <c r="Z222" s="19">
        <v>2.9166666666666664E-2</v>
      </c>
      <c r="AA222" s="19">
        <v>2.7777777777777776E-2</v>
      </c>
      <c r="AB222" s="19">
        <v>2.9861111111111113E-2</v>
      </c>
      <c r="AC222" s="19">
        <v>2.8472222222222222E-2</v>
      </c>
      <c r="AD222" s="19">
        <v>2.8472222222222222E-2</v>
      </c>
      <c r="AE222" s="19">
        <v>2.9861111111111113E-2</v>
      </c>
      <c r="AF222" s="25">
        <v>2.9861111111111113E-2</v>
      </c>
      <c r="AG222" s="99">
        <f t="shared" si="34"/>
        <v>2.9879972565157748E-2</v>
      </c>
      <c r="AH222" s="378"/>
    </row>
    <row r="223" spans="1:34" ht="24" thickBot="1" x14ac:dyDescent="0.3">
      <c r="A223" s="62" t="s">
        <v>118</v>
      </c>
      <c r="B223" s="20">
        <f>+B222+B221+B211+B220</f>
        <v>7.9652777777777781E-2</v>
      </c>
      <c r="C223" s="20">
        <f t="shared" ref="C223:AF223" si="35">+C222+C221+C211+C220</f>
        <v>8.0312500000000009E-2</v>
      </c>
      <c r="D223" s="20">
        <f t="shared" si="35"/>
        <v>9.7453703703703695E-2</v>
      </c>
      <c r="E223" s="20">
        <f t="shared" si="35"/>
        <v>6.084490740740741E-2</v>
      </c>
      <c r="F223" s="20">
        <f t="shared" si="35"/>
        <v>0.12921296296296295</v>
      </c>
      <c r="G223" s="20">
        <f t="shared" si="35"/>
        <v>9.0358796296296284E-2</v>
      </c>
      <c r="H223" s="20">
        <f t="shared" si="35"/>
        <v>8.8634259259259274E-2</v>
      </c>
      <c r="I223" s="20">
        <f t="shared" si="35"/>
        <v>0.11527777777777777</v>
      </c>
      <c r="J223" s="20">
        <f t="shared" si="35"/>
        <v>9.5370370370370383E-2</v>
      </c>
      <c r="K223" s="20">
        <f t="shared" si="35"/>
        <v>7.7754629629629632E-2</v>
      </c>
      <c r="L223" s="20">
        <f t="shared" si="35"/>
        <v>0.11874999999999999</v>
      </c>
      <c r="M223" s="20">
        <f t="shared" si="35"/>
        <v>6.6400462962962967E-2</v>
      </c>
      <c r="N223" s="20">
        <f t="shared" si="35"/>
        <v>0.1451388888888889</v>
      </c>
      <c r="O223" s="20">
        <f t="shared" si="35"/>
        <v>0.14583333333333331</v>
      </c>
      <c r="P223" s="20">
        <f t="shared" si="35"/>
        <v>0.13055555555555556</v>
      </c>
      <c r="Q223" s="20">
        <f t="shared" si="35"/>
        <v>0.17399305555555555</v>
      </c>
      <c r="R223" s="20">
        <f t="shared" si="35"/>
        <v>0.12910879629629629</v>
      </c>
      <c r="S223" s="20">
        <f t="shared" si="35"/>
        <v>0.13288194444444443</v>
      </c>
      <c r="T223" s="20">
        <f t="shared" si="35"/>
        <v>8.4722222222222227E-2</v>
      </c>
      <c r="U223" s="20">
        <f t="shared" si="35"/>
        <v>0.12638888888888888</v>
      </c>
      <c r="V223" s="20">
        <f t="shared" si="35"/>
        <v>0.15277777777777779</v>
      </c>
      <c r="W223" s="20">
        <f t="shared" si="35"/>
        <v>0.12916666666666665</v>
      </c>
      <c r="X223" s="20">
        <f t="shared" si="35"/>
        <v>0.1746412037037037</v>
      </c>
      <c r="Y223" s="20">
        <f t="shared" si="35"/>
        <v>0.15486111111111112</v>
      </c>
      <c r="Z223" s="20">
        <f t="shared" si="35"/>
        <v>0.12013888888888889</v>
      </c>
      <c r="AA223" s="20">
        <f t="shared" si="35"/>
        <v>0.14444444444444443</v>
      </c>
      <c r="AB223" s="20">
        <f t="shared" si="35"/>
        <v>0.12638888888888888</v>
      </c>
      <c r="AC223" s="20">
        <f t="shared" si="35"/>
        <v>0.12847222222222224</v>
      </c>
      <c r="AD223" s="20">
        <f t="shared" si="35"/>
        <v>0.10694444444444445</v>
      </c>
      <c r="AE223" s="20">
        <f t="shared" si="35"/>
        <v>0.15277777777777779</v>
      </c>
      <c r="AF223" s="26">
        <f t="shared" si="35"/>
        <v>7.2916666666666671E-2</v>
      </c>
      <c r="AG223" s="99">
        <f t="shared" si="34"/>
        <v>0.1227374828532236</v>
      </c>
      <c r="AH223" s="36"/>
    </row>
    <row r="224" spans="1:34" ht="18.75" x14ac:dyDescent="0.25">
      <c r="A224" s="57" t="s">
        <v>90</v>
      </c>
      <c r="B224" s="27">
        <v>8</v>
      </c>
      <c r="C224" s="27">
        <v>31</v>
      </c>
      <c r="D224" s="27">
        <v>24</v>
      </c>
      <c r="E224" s="27">
        <v>11</v>
      </c>
      <c r="F224" s="27">
        <v>15</v>
      </c>
      <c r="G224" s="27">
        <v>35</v>
      </c>
      <c r="H224" s="27">
        <v>24</v>
      </c>
      <c r="I224" s="27">
        <v>35</v>
      </c>
      <c r="J224" s="27">
        <v>35</v>
      </c>
      <c r="K224" s="27">
        <v>23</v>
      </c>
      <c r="L224" s="27">
        <v>23</v>
      </c>
      <c r="M224" s="27">
        <v>7</v>
      </c>
      <c r="N224" s="27">
        <v>38</v>
      </c>
      <c r="O224" s="27">
        <v>30</v>
      </c>
      <c r="P224" s="27">
        <v>30</v>
      </c>
      <c r="Q224" s="27">
        <v>40</v>
      </c>
      <c r="R224" s="27">
        <v>30</v>
      </c>
      <c r="S224" s="27">
        <v>10</v>
      </c>
      <c r="T224" s="27">
        <v>10</v>
      </c>
      <c r="U224" s="27">
        <v>40</v>
      </c>
      <c r="V224" s="27">
        <v>22</v>
      </c>
      <c r="W224" s="27">
        <v>24</v>
      </c>
      <c r="X224" s="27">
        <v>38</v>
      </c>
      <c r="Y224" s="27">
        <v>26</v>
      </c>
      <c r="Z224" s="27">
        <v>15</v>
      </c>
      <c r="AA224" s="27">
        <v>17</v>
      </c>
      <c r="AB224" s="27">
        <v>33</v>
      </c>
      <c r="AC224" s="27">
        <v>28</v>
      </c>
      <c r="AD224" s="27">
        <v>25</v>
      </c>
      <c r="AE224" s="27">
        <v>38</v>
      </c>
      <c r="AF224" s="92">
        <v>18</v>
      </c>
      <c r="AG224" s="31">
        <f t="shared" si="34"/>
        <v>26.25925925925926</v>
      </c>
      <c r="AH224" s="379" t="s">
        <v>96</v>
      </c>
    </row>
    <row r="225" spans="1:34" ht="18.75" x14ac:dyDescent="0.25">
      <c r="A225" s="54" t="s">
        <v>91</v>
      </c>
      <c r="B225" s="40">
        <v>0.33333333333333331</v>
      </c>
      <c r="C225" s="40">
        <v>0.33333333333333331</v>
      </c>
      <c r="D225" s="40"/>
      <c r="E225" s="40"/>
      <c r="F225" s="40">
        <v>0.33333333333333331</v>
      </c>
      <c r="G225" s="40">
        <v>0.33333333333333331</v>
      </c>
      <c r="H225" s="40">
        <v>0.33333333333333331</v>
      </c>
      <c r="I225" s="40">
        <v>0.33333333333333331</v>
      </c>
      <c r="J225" s="40">
        <v>0.33333333333333331</v>
      </c>
      <c r="K225" s="40"/>
      <c r="L225" s="40"/>
      <c r="M225" s="40">
        <v>0.33333333333333331</v>
      </c>
      <c r="N225" s="40">
        <v>0.33333333333333331</v>
      </c>
      <c r="O225" s="40">
        <v>0.33333333333333331</v>
      </c>
      <c r="P225" s="40">
        <v>0.33333333333333331</v>
      </c>
      <c r="Q225" s="40">
        <v>0.33333333333333331</v>
      </c>
      <c r="R225" s="40"/>
      <c r="S225" s="40"/>
      <c r="T225" s="40">
        <v>0.33333333333333331</v>
      </c>
      <c r="U225" s="40"/>
      <c r="V225" s="40">
        <v>0.33333333333333331</v>
      </c>
      <c r="W225" s="40">
        <v>0.33333333333333331</v>
      </c>
      <c r="X225" s="40">
        <v>0.33333333333333331</v>
      </c>
      <c r="Y225" s="40"/>
      <c r="Z225" s="40"/>
      <c r="AA225" s="40">
        <v>0.33333333333333331</v>
      </c>
      <c r="AB225" s="40">
        <v>0.33333333333333331</v>
      </c>
      <c r="AC225" s="40">
        <v>0.33333333333333331</v>
      </c>
      <c r="AD225" s="40">
        <v>0.33333333333333331</v>
      </c>
      <c r="AE225" s="40">
        <v>0.33333333333333331</v>
      </c>
      <c r="AF225" s="93"/>
      <c r="AG225" s="99">
        <f t="shared" si="34"/>
        <v>0.3333333333333332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>
        <v>0</v>
      </c>
      <c r="AG226" s="28">
        <f t="shared" si="34"/>
        <v>0</v>
      </c>
      <c r="AH226" s="381"/>
    </row>
    <row r="227" spans="1:34" ht="18.75" x14ac:dyDescent="0.25">
      <c r="A227" s="55" t="s">
        <v>92</v>
      </c>
      <c r="B227" s="118">
        <v>4</v>
      </c>
      <c r="C227" s="118">
        <v>1</v>
      </c>
      <c r="D227" s="118">
        <v>6</v>
      </c>
      <c r="E227" s="118">
        <v>1</v>
      </c>
      <c r="F227" s="118">
        <v>6</v>
      </c>
      <c r="G227" s="118">
        <v>5</v>
      </c>
      <c r="H227" s="118">
        <v>1</v>
      </c>
      <c r="I227" s="118">
        <v>3</v>
      </c>
      <c r="J227" s="118">
        <v>3</v>
      </c>
      <c r="K227" s="118">
        <v>3</v>
      </c>
      <c r="L227" s="118">
        <v>5</v>
      </c>
      <c r="M227" s="118">
        <v>2</v>
      </c>
      <c r="N227" s="118">
        <v>7</v>
      </c>
      <c r="O227" s="118">
        <v>4</v>
      </c>
      <c r="P227" s="118">
        <v>5</v>
      </c>
      <c r="Q227" s="118">
        <v>6</v>
      </c>
      <c r="R227" s="118">
        <v>4</v>
      </c>
      <c r="S227" s="118">
        <v>6</v>
      </c>
      <c r="T227" s="118">
        <v>4</v>
      </c>
      <c r="U227" s="118">
        <v>4</v>
      </c>
      <c r="V227" s="118">
        <v>7</v>
      </c>
      <c r="W227" s="118">
        <v>3</v>
      </c>
      <c r="X227" s="118">
        <v>6</v>
      </c>
      <c r="Y227" s="118">
        <v>6</v>
      </c>
      <c r="Z227" s="118">
        <v>3</v>
      </c>
      <c r="AA227" s="118">
        <v>8</v>
      </c>
      <c r="AB227" s="118">
        <v>2</v>
      </c>
      <c r="AC227" s="118">
        <v>4</v>
      </c>
      <c r="AD227" s="118">
        <v>3</v>
      </c>
      <c r="AE227" s="118">
        <v>3</v>
      </c>
      <c r="AF227" s="118">
        <v>7</v>
      </c>
      <c r="AG227" s="95">
        <f t="shared" ref="AG227:AG230" si="36">SUM(B227:AF227)</f>
        <v>132</v>
      </c>
      <c r="AH227" s="379" t="s">
        <v>93</v>
      </c>
    </row>
    <row r="228" spans="1:34" ht="18.75" x14ac:dyDescent="0.25">
      <c r="A228" s="139" t="s">
        <v>94</v>
      </c>
      <c r="B228" s="140">
        <v>1</v>
      </c>
      <c r="C228" s="140">
        <v>1</v>
      </c>
      <c r="D228" s="140">
        <v>1</v>
      </c>
      <c r="E228" s="140">
        <v>0</v>
      </c>
      <c r="F228" s="140">
        <v>1</v>
      </c>
      <c r="G228" s="140">
        <v>2</v>
      </c>
      <c r="H228" s="140">
        <v>0</v>
      </c>
      <c r="I228" s="140">
        <v>1</v>
      </c>
      <c r="J228" s="140">
        <v>2</v>
      </c>
      <c r="K228" s="140">
        <v>1</v>
      </c>
      <c r="L228" s="140">
        <v>1</v>
      </c>
      <c r="M228" s="140">
        <v>0</v>
      </c>
      <c r="N228" s="145">
        <v>2</v>
      </c>
      <c r="O228" s="140">
        <v>1</v>
      </c>
      <c r="P228" s="140">
        <v>3</v>
      </c>
      <c r="Q228" s="140">
        <v>3</v>
      </c>
      <c r="R228" s="140">
        <v>0</v>
      </c>
      <c r="S228" s="140">
        <v>1</v>
      </c>
      <c r="T228" s="140">
        <v>1</v>
      </c>
      <c r="U228" s="140">
        <v>2</v>
      </c>
      <c r="V228" s="140">
        <v>3</v>
      </c>
      <c r="W228" s="140">
        <v>2</v>
      </c>
      <c r="X228" s="140">
        <v>2</v>
      </c>
      <c r="Y228" s="140">
        <v>3</v>
      </c>
      <c r="Z228" s="142">
        <v>0</v>
      </c>
      <c r="AA228" s="140">
        <v>3</v>
      </c>
      <c r="AB228" s="140">
        <v>0</v>
      </c>
      <c r="AC228" s="140">
        <v>0</v>
      </c>
      <c r="AD228" s="140">
        <v>1</v>
      </c>
      <c r="AE228" s="140">
        <v>2</v>
      </c>
      <c r="AF228" s="144">
        <v>0</v>
      </c>
      <c r="AG228" s="143">
        <f t="shared" si="36"/>
        <v>40</v>
      </c>
      <c r="AH228" s="380"/>
    </row>
    <row r="229" spans="1:34" ht="18.75" x14ac:dyDescent="0.25">
      <c r="A229" s="139" t="s">
        <v>95</v>
      </c>
      <c r="B229" s="140">
        <v>3</v>
      </c>
      <c r="C229" s="140">
        <v>0</v>
      </c>
      <c r="D229" s="140">
        <v>5</v>
      </c>
      <c r="E229" s="140">
        <v>1</v>
      </c>
      <c r="F229" s="140">
        <v>5</v>
      </c>
      <c r="G229" s="140">
        <v>3</v>
      </c>
      <c r="H229" s="140">
        <v>1</v>
      </c>
      <c r="I229" s="140">
        <v>2</v>
      </c>
      <c r="J229" s="140">
        <v>1</v>
      </c>
      <c r="K229" s="140">
        <v>2</v>
      </c>
      <c r="L229" s="140">
        <v>4</v>
      </c>
      <c r="M229" s="140">
        <v>2</v>
      </c>
      <c r="N229" s="145">
        <v>5</v>
      </c>
      <c r="O229" s="140">
        <v>3</v>
      </c>
      <c r="P229" s="140">
        <v>2</v>
      </c>
      <c r="Q229" s="140">
        <v>3</v>
      </c>
      <c r="R229" s="140">
        <v>4</v>
      </c>
      <c r="S229" s="140">
        <v>5</v>
      </c>
      <c r="T229" s="140">
        <v>3</v>
      </c>
      <c r="U229" s="140">
        <v>2</v>
      </c>
      <c r="V229" s="140">
        <v>4</v>
      </c>
      <c r="W229" s="140">
        <v>1</v>
      </c>
      <c r="X229" s="140">
        <v>4</v>
      </c>
      <c r="Y229" s="140">
        <v>3</v>
      </c>
      <c r="Z229" s="142">
        <v>3</v>
      </c>
      <c r="AA229" s="140">
        <v>5</v>
      </c>
      <c r="AB229" s="140">
        <v>2</v>
      </c>
      <c r="AC229" s="140">
        <v>4</v>
      </c>
      <c r="AD229" s="140">
        <v>2</v>
      </c>
      <c r="AE229" s="140">
        <v>1</v>
      </c>
      <c r="AF229" s="144">
        <v>7</v>
      </c>
      <c r="AG229" s="143">
        <f t="shared" si="36"/>
        <v>92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6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37">SUM(C232:C237)</f>
        <v>0</v>
      </c>
      <c r="D231" s="199">
        <f t="shared" si="37"/>
        <v>0</v>
      </c>
      <c r="E231" s="199">
        <f t="shared" si="37"/>
        <v>0</v>
      </c>
      <c r="F231" s="199">
        <f t="shared" si="37"/>
        <v>0</v>
      </c>
      <c r="G231" s="199">
        <f t="shared" si="37"/>
        <v>0</v>
      </c>
      <c r="H231" s="199">
        <f t="shared" si="37"/>
        <v>0</v>
      </c>
      <c r="I231" s="199">
        <f t="shared" si="37"/>
        <v>0</v>
      </c>
      <c r="J231" s="199">
        <f t="shared" si="37"/>
        <v>0</v>
      </c>
      <c r="K231" s="199">
        <f t="shared" si="37"/>
        <v>0</v>
      </c>
      <c r="L231" s="199">
        <f t="shared" si="37"/>
        <v>0</v>
      </c>
      <c r="M231" s="199">
        <f t="shared" si="37"/>
        <v>0</v>
      </c>
      <c r="N231" s="199">
        <f t="shared" si="37"/>
        <v>0</v>
      </c>
      <c r="O231" s="199">
        <f t="shared" si="37"/>
        <v>0</v>
      </c>
      <c r="P231" s="199">
        <f t="shared" si="37"/>
        <v>0</v>
      </c>
      <c r="Q231" s="199">
        <f t="shared" si="37"/>
        <v>0</v>
      </c>
      <c r="R231" s="199">
        <f t="shared" si="37"/>
        <v>0</v>
      </c>
      <c r="S231" s="199">
        <f t="shared" si="37"/>
        <v>0</v>
      </c>
      <c r="T231" s="199">
        <f t="shared" si="37"/>
        <v>0</v>
      </c>
      <c r="U231" s="199">
        <f t="shared" si="37"/>
        <v>0</v>
      </c>
      <c r="V231" s="199">
        <f t="shared" si="37"/>
        <v>0</v>
      </c>
      <c r="W231" s="199">
        <f t="shared" si="37"/>
        <v>0</v>
      </c>
      <c r="X231" s="199">
        <f t="shared" si="37"/>
        <v>0</v>
      </c>
      <c r="Y231" s="199">
        <f t="shared" si="37"/>
        <v>0</v>
      </c>
      <c r="Z231" s="199">
        <f t="shared" si="37"/>
        <v>0</v>
      </c>
      <c r="AA231" s="199">
        <f t="shared" si="37"/>
        <v>0</v>
      </c>
      <c r="AB231" s="199">
        <f t="shared" si="37"/>
        <v>0</v>
      </c>
      <c r="AC231" s="199">
        <f t="shared" si="37"/>
        <v>0</v>
      </c>
      <c r="AD231" s="199">
        <f t="shared" si="37"/>
        <v>0</v>
      </c>
      <c r="AE231" s="199">
        <f t="shared" si="37"/>
        <v>0</v>
      </c>
      <c r="AF231" s="200">
        <f t="shared" si="37"/>
        <v>0</v>
      </c>
      <c r="AG231" s="201">
        <f t="shared" si="34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 t="e">
        <f t="shared" si="34"/>
        <v>#DIV/0!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 t="e">
        <f t="shared" si="34"/>
        <v>#DIV/0!</v>
      </c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 t="e">
        <f t="shared" si="34"/>
        <v>#DIV/0!</v>
      </c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 t="e">
        <f t="shared" si="34"/>
        <v>#DIV/0!</v>
      </c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97" t="e">
        <f t="shared" si="34"/>
        <v>#DIV/0!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197" t="e">
        <f t="shared" si="34"/>
        <v>#DIV/0!</v>
      </c>
    </row>
    <row r="238" spans="1:34" ht="21.75" x14ac:dyDescent="0.25">
      <c r="A238" s="351" t="s">
        <v>151</v>
      </c>
      <c r="B238" s="352">
        <v>4.7916666666666663E-2</v>
      </c>
      <c r="C238" s="352">
        <v>4.5555555555555551E-2</v>
      </c>
      <c r="D238" s="352"/>
      <c r="E238" s="352"/>
      <c r="F238" s="352">
        <v>7.5694444444444439E-2</v>
      </c>
      <c r="G238" s="352">
        <v>4.8946759259259259E-2</v>
      </c>
      <c r="H238" s="352">
        <v>5.1388888888888894E-2</v>
      </c>
      <c r="I238" s="352">
        <v>5.6250000000000001E-2</v>
      </c>
      <c r="J238" s="352">
        <v>5.7638888888888885E-2</v>
      </c>
      <c r="K238" s="352">
        <v>4.027777777777778E-2</v>
      </c>
      <c r="L238" s="352">
        <v>7.2222222222222229E-2</v>
      </c>
      <c r="M238" s="352">
        <v>4.2361111111111106E-2</v>
      </c>
      <c r="N238" s="352">
        <v>6.7361111111111108E-2</v>
      </c>
      <c r="O238" s="352">
        <v>7.013888888888889E-2</v>
      </c>
      <c r="P238" s="352">
        <v>6.25E-2</v>
      </c>
      <c r="Q238" s="352">
        <v>8.819444444444445E-2</v>
      </c>
      <c r="R238" s="352">
        <v>7.2222222222222229E-2</v>
      </c>
      <c r="S238" s="352">
        <v>7.6388888888888881E-2</v>
      </c>
      <c r="T238" s="352">
        <v>5.2777777777777778E-2</v>
      </c>
      <c r="U238" s="352">
        <v>7</v>
      </c>
      <c r="V238" s="352">
        <v>8.5416666666666655E-2</v>
      </c>
      <c r="W238" s="352">
        <v>5.7638888888888885E-2</v>
      </c>
      <c r="X238" s="352">
        <v>8.4722222222222213E-2</v>
      </c>
      <c r="Y238" s="352">
        <v>7.6388888888888881E-2</v>
      </c>
      <c r="Z238" s="352">
        <v>6.5277777777777782E-2</v>
      </c>
      <c r="AA238" s="352">
        <v>8.0555555555555561E-2</v>
      </c>
      <c r="AB238" s="352">
        <v>5.9027777777777783E-2</v>
      </c>
      <c r="AC238" s="352">
        <v>6.3194444444444442E-2</v>
      </c>
      <c r="AD238" s="352">
        <v>5.2777777777777778E-2</v>
      </c>
      <c r="AE238" s="352">
        <v>7.013888888888889E-2</v>
      </c>
      <c r="AF238" s="352">
        <v>4.5138888888888888E-2</v>
      </c>
      <c r="AG238" s="353">
        <f>AVERAGE(F238:AF238)</f>
        <v>0.32128300754458167</v>
      </c>
    </row>
    <row r="239" spans="1:34" ht="22.5" thickBot="1" x14ac:dyDescent="0.3">
      <c r="A239" s="354" t="s">
        <v>152</v>
      </c>
      <c r="B239" s="355">
        <v>4.6168981481481484E-2</v>
      </c>
      <c r="C239" s="355">
        <v>4.1006944444444443E-2</v>
      </c>
      <c r="D239" s="355"/>
      <c r="E239" s="355"/>
      <c r="F239" s="355">
        <v>8.819444444444445E-2</v>
      </c>
      <c r="G239" s="355">
        <v>4.2361111111111106E-2</v>
      </c>
      <c r="H239" s="355">
        <v>5.4166666666666669E-2</v>
      </c>
      <c r="I239" s="355">
        <v>5.6944444444444443E-2</v>
      </c>
      <c r="J239" s="355">
        <v>5.486111111111111E-2</v>
      </c>
      <c r="K239" s="355">
        <v>3.6805555555555557E-2</v>
      </c>
      <c r="L239" s="355">
        <v>7.2222222222222229E-2</v>
      </c>
      <c r="M239" s="355">
        <v>3.8194444444444441E-2</v>
      </c>
      <c r="N239" s="355">
        <v>6.5972222222222224E-2</v>
      </c>
      <c r="O239" s="355">
        <v>9.930555555555555E-2</v>
      </c>
      <c r="P239" s="355">
        <v>7.4305555555555555E-2</v>
      </c>
      <c r="Q239" s="355">
        <v>0.10833333333333334</v>
      </c>
      <c r="R239" s="355">
        <v>8.4722222222222213E-2</v>
      </c>
      <c r="S239" s="355">
        <v>9.1666666666666674E-2</v>
      </c>
      <c r="T239" s="355">
        <v>5.486111111111111E-2</v>
      </c>
      <c r="U239" s="355">
        <v>5.9722222222222225E-2</v>
      </c>
      <c r="V239" s="355">
        <v>9.9999999999999992E-2</v>
      </c>
      <c r="W239" s="355">
        <v>6.3888888888888898E-2</v>
      </c>
      <c r="X239" s="355">
        <v>0.10625</v>
      </c>
      <c r="Y239" s="355">
        <v>7.9861111111111119E-2</v>
      </c>
      <c r="Z239" s="355">
        <v>7.013888888888889E-2</v>
      </c>
      <c r="AA239" s="355">
        <v>0.10277777777777779</v>
      </c>
      <c r="AB239" s="355">
        <v>5.9722222222222225E-2</v>
      </c>
      <c r="AC239" s="355">
        <v>7.3611111111111113E-2</v>
      </c>
      <c r="AD239" s="355">
        <v>5.2777777777777778E-2</v>
      </c>
      <c r="AE239" s="355">
        <v>9.1666666666666674E-2</v>
      </c>
      <c r="AF239" s="355">
        <v>3.4027777777777775E-2</v>
      </c>
      <c r="AG239" s="356">
        <f t="shared" ref="AG239" si="38">AVERAGE(F239:AF239)</f>
        <v>7.1013374485596706E-2</v>
      </c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54">
        <v>0</v>
      </c>
      <c r="C241" s="255">
        <v>0</v>
      </c>
      <c r="D241" s="255">
        <v>0</v>
      </c>
      <c r="E241" s="255">
        <v>0</v>
      </c>
      <c r="F241" s="255">
        <v>0</v>
      </c>
      <c r="G241" s="255">
        <v>0</v>
      </c>
      <c r="H241" s="255">
        <v>0</v>
      </c>
      <c r="I241" s="255">
        <v>0</v>
      </c>
      <c r="J241" s="255">
        <v>0</v>
      </c>
      <c r="K241" s="255">
        <v>0</v>
      </c>
      <c r="L241" s="255">
        <v>0</v>
      </c>
      <c r="M241" s="255">
        <v>0</v>
      </c>
      <c r="N241" s="255">
        <v>0</v>
      </c>
      <c r="O241" s="255">
        <v>0</v>
      </c>
      <c r="P241" s="255">
        <v>0</v>
      </c>
      <c r="Q241" s="255">
        <v>0</v>
      </c>
      <c r="R241" s="255">
        <v>0</v>
      </c>
      <c r="S241" s="255">
        <v>0</v>
      </c>
      <c r="T241" s="255">
        <v>0</v>
      </c>
      <c r="U241" s="255">
        <v>0</v>
      </c>
      <c r="V241" s="255">
        <v>0</v>
      </c>
      <c r="W241" s="255">
        <v>0</v>
      </c>
      <c r="X241" s="255">
        <v>0</v>
      </c>
      <c r="Y241" s="255">
        <v>0</v>
      </c>
      <c r="Z241" s="255">
        <v>0</v>
      </c>
      <c r="AA241" s="255">
        <v>0</v>
      </c>
      <c r="AB241" s="255">
        <v>0</v>
      </c>
      <c r="AC241" s="255">
        <v>0</v>
      </c>
      <c r="AD241" s="255">
        <v>0</v>
      </c>
      <c r="AE241" s="255">
        <v>0</v>
      </c>
      <c r="AF241" s="256">
        <v>9.7222222222222224E-3</v>
      </c>
      <c r="AG241" s="257">
        <f t="shared" ref="AG241:AG245" si="39">AVERAGE(F241:AF241)</f>
        <v>3.6008230452674899E-4</v>
      </c>
    </row>
    <row r="242" spans="1:33" ht="23.25" x14ac:dyDescent="0.35">
      <c r="A242" s="253" t="s">
        <v>73</v>
      </c>
      <c r="B242" s="258">
        <v>0</v>
      </c>
      <c r="C242" s="259">
        <v>0</v>
      </c>
      <c r="D242" s="259">
        <v>1.3194444444444444E-2</v>
      </c>
      <c r="E242" s="259">
        <v>4.1666666666666666E-3</v>
      </c>
      <c r="F242" s="259">
        <v>3.472222222222222E-3</v>
      </c>
      <c r="G242" s="259">
        <v>3.7499999999999999E-2</v>
      </c>
      <c r="H242" s="259">
        <v>0</v>
      </c>
      <c r="I242" s="259">
        <v>0</v>
      </c>
      <c r="J242" s="259">
        <v>0</v>
      </c>
      <c r="K242" s="259">
        <v>0</v>
      </c>
      <c r="L242" s="259">
        <v>4.8611111111111112E-3</v>
      </c>
      <c r="M242" s="259">
        <v>1.1111111111111112E-2</v>
      </c>
      <c r="N242" s="259">
        <v>0</v>
      </c>
      <c r="O242" s="259">
        <v>4.1666666666666666E-3</v>
      </c>
      <c r="P242" s="259">
        <v>1.5277777777777777E-2</v>
      </c>
      <c r="Q242" s="259">
        <v>0</v>
      </c>
      <c r="R242" s="259">
        <v>8.3333333333333332E-3</v>
      </c>
      <c r="S242" s="259">
        <v>0</v>
      </c>
      <c r="T242" s="259">
        <v>0</v>
      </c>
      <c r="U242" s="259">
        <v>2.1527777777777781E-2</v>
      </c>
      <c r="V242" s="259">
        <v>1.2499999999999999E-2</v>
      </c>
      <c r="W242" s="259">
        <v>0</v>
      </c>
      <c r="X242" s="259">
        <v>1.1111111111111112E-2</v>
      </c>
      <c r="Y242" s="259">
        <v>2.013888888888889E-2</v>
      </c>
      <c r="Z242" s="259">
        <v>6.9444444444444441E-3</v>
      </c>
      <c r="AA242" s="259">
        <v>2.7777777777777779E-3</v>
      </c>
      <c r="AB242" s="259">
        <v>7.6388888888888886E-3</v>
      </c>
      <c r="AC242" s="259">
        <v>3.0555555555555555E-2</v>
      </c>
      <c r="AD242" s="259">
        <v>0</v>
      </c>
      <c r="AE242" s="259">
        <v>0</v>
      </c>
      <c r="AF242" s="260">
        <v>2.0833333333333332E-2</v>
      </c>
      <c r="AG242" s="261">
        <f t="shared" si="39"/>
        <v>8.1018518518518531E-3</v>
      </c>
    </row>
    <row r="243" spans="1:33" ht="23.25" x14ac:dyDescent="0.35">
      <c r="A243" s="253" t="s">
        <v>74</v>
      </c>
      <c r="B243" s="258">
        <v>1.1493055555555555E-2</v>
      </c>
      <c r="C243" s="259">
        <v>9.4097222222222238E-3</v>
      </c>
      <c r="D243" s="259">
        <v>1.4212962962962962E-2</v>
      </c>
      <c r="E243" s="259">
        <v>7.3495370370370372E-3</v>
      </c>
      <c r="F243" s="259">
        <v>1.4988425925925926E-2</v>
      </c>
      <c r="G243" s="259">
        <v>1.6666666666666666E-2</v>
      </c>
      <c r="H243" s="259">
        <v>1.0416666666666666E-2</v>
      </c>
      <c r="I243" s="259">
        <v>1.5972222222222224E-2</v>
      </c>
      <c r="J243" s="259">
        <v>1.0416666666666666E-2</v>
      </c>
      <c r="K243" s="259">
        <v>8.6226851851851846E-3</v>
      </c>
      <c r="L243" s="259">
        <v>1.1805555555555555E-2</v>
      </c>
      <c r="M243" s="259">
        <v>8.3912037037037045E-3</v>
      </c>
      <c r="N243" s="259">
        <v>9.7222222222222224E-3</v>
      </c>
      <c r="O243" s="259">
        <v>1.0416666666666666E-2</v>
      </c>
      <c r="P243" s="259">
        <v>1.5277777777777777E-2</v>
      </c>
      <c r="Q243" s="259">
        <v>2.0833333333333332E-2</v>
      </c>
      <c r="R243" s="259">
        <v>1.3194444444444444E-2</v>
      </c>
      <c r="S243" s="259">
        <v>1.7361111111111112E-2</v>
      </c>
      <c r="T243" s="259">
        <v>1.0416666666666666E-2</v>
      </c>
      <c r="U243" s="259">
        <v>1.5972222222222224E-2</v>
      </c>
      <c r="V243" s="259">
        <v>1.6666666666666666E-2</v>
      </c>
      <c r="W243" s="259">
        <v>1.4583333333333332E-2</v>
      </c>
      <c r="X243" s="259">
        <v>1.5972222222222224E-2</v>
      </c>
      <c r="Y243" s="259">
        <v>2.5694444444444447E-2</v>
      </c>
      <c r="Z243" s="259">
        <v>1.5277777777777777E-2</v>
      </c>
      <c r="AA243" s="259">
        <v>1.7361111111111112E-2</v>
      </c>
      <c r="AB243" s="259">
        <v>1.5277777777777777E-2</v>
      </c>
      <c r="AC243" s="259">
        <v>1.7361111111111112E-2</v>
      </c>
      <c r="AD243" s="259">
        <v>1.4583333333333332E-2</v>
      </c>
      <c r="AE243" s="259">
        <v>1.8055555555555557E-2</v>
      </c>
      <c r="AF243" s="260">
        <v>6.9444444444444441E-3</v>
      </c>
      <c r="AG243" s="261">
        <f t="shared" si="39"/>
        <v>1.437971536351166E-2</v>
      </c>
    </row>
    <row r="244" spans="1:33" ht="23.25" x14ac:dyDescent="0.35">
      <c r="A244" s="253" t="s">
        <v>75</v>
      </c>
      <c r="B244" s="258">
        <v>2.1400462962962965E-2</v>
      </c>
      <c r="C244" s="259">
        <v>2.5740740740740745E-2</v>
      </c>
      <c r="D244" s="259">
        <v>3.1932870370370368E-2</v>
      </c>
      <c r="E244" s="259">
        <v>7.0601851851851847E-4</v>
      </c>
      <c r="F244" s="259">
        <v>3.0555555555555555E-2</v>
      </c>
      <c r="G244" s="259">
        <v>2.4305555555555556E-2</v>
      </c>
      <c r="H244" s="259">
        <v>2.7083333333333334E-2</v>
      </c>
      <c r="I244" s="259">
        <v>3.4722222222222224E-2</v>
      </c>
      <c r="J244" s="259">
        <v>3.4027777777777775E-2</v>
      </c>
      <c r="K244" s="259">
        <v>2.4305555555555556E-2</v>
      </c>
      <c r="L244" s="259">
        <v>4.0972222222222222E-2</v>
      </c>
      <c r="M244" s="259">
        <v>1.9270833333333334E-2</v>
      </c>
      <c r="N244" s="259">
        <v>2.6388888888888889E-2</v>
      </c>
      <c r="O244" s="259">
        <v>5.9027777777777783E-2</v>
      </c>
      <c r="P244" s="259">
        <v>4.1666666666666664E-2</v>
      </c>
      <c r="Q244" s="259">
        <v>6.3194444444444442E-2</v>
      </c>
      <c r="R244" s="259">
        <v>5.3472222222222227E-2</v>
      </c>
      <c r="S244" s="259">
        <v>5.5555555555555552E-2</v>
      </c>
      <c r="T244" s="259">
        <v>2.9166666666666664E-2</v>
      </c>
      <c r="U244" s="259">
        <v>2.7777777777777776E-2</v>
      </c>
      <c r="V244" s="259">
        <v>5.3472222222222227E-2</v>
      </c>
      <c r="W244" s="259">
        <v>4.027777777777778E-2</v>
      </c>
      <c r="X244" s="259">
        <v>5.9722222222222225E-2</v>
      </c>
      <c r="Y244" s="259">
        <v>5.486111111111111E-2</v>
      </c>
      <c r="Z244" s="259">
        <v>2.7777777777777776E-2</v>
      </c>
      <c r="AA244" s="259">
        <v>4.9999999999999996E-2</v>
      </c>
      <c r="AB244" s="259">
        <v>2.7777777777777776E-2</v>
      </c>
      <c r="AC244" s="259">
        <v>3.125E-2</v>
      </c>
      <c r="AD244" s="259">
        <v>3.2638888888888891E-2</v>
      </c>
      <c r="AE244" s="259">
        <v>4.1666666666666664E-2</v>
      </c>
      <c r="AF244" s="260">
        <v>1.9444444444444445E-2</v>
      </c>
      <c r="AG244" s="261">
        <f t="shared" si="39"/>
        <v>3.8162294238683135E-2</v>
      </c>
    </row>
    <row r="245" spans="1:33" ht="24" thickBot="1" x14ac:dyDescent="0.4">
      <c r="A245" s="262" t="s">
        <v>76</v>
      </c>
      <c r="B245" s="263">
        <v>3.7499999999999999E-2</v>
      </c>
      <c r="C245" s="264">
        <v>3.2962962962962965E-2</v>
      </c>
      <c r="D245" s="264">
        <v>2.7777777777777776E-2</v>
      </c>
      <c r="E245" s="264">
        <v>2.809027777777778E-2</v>
      </c>
      <c r="F245" s="264">
        <v>7.2916666666666671E-2</v>
      </c>
      <c r="G245" s="264">
        <v>2.7777777777777776E-2</v>
      </c>
      <c r="H245" s="264">
        <v>5.0694444444444438E-2</v>
      </c>
      <c r="I245" s="264">
        <v>3.2638888888888891E-2</v>
      </c>
      <c r="J245" s="264">
        <v>3.2638888888888891E-2</v>
      </c>
      <c r="K245" s="264">
        <v>2.0891203703703703E-2</v>
      </c>
      <c r="L245" s="264">
        <v>4.9305555555555554E-2</v>
      </c>
      <c r="M245" s="264">
        <v>3.1782407407407405E-2</v>
      </c>
      <c r="N245" s="264">
        <v>8.9583333333333334E-2</v>
      </c>
      <c r="O245" s="264">
        <v>6.1805555555555558E-2</v>
      </c>
      <c r="P245" s="264">
        <v>6.25E-2</v>
      </c>
      <c r="Q245" s="264">
        <v>9.2361111111111116E-2</v>
      </c>
      <c r="R245" s="264">
        <v>3.4722222222222224E-2</v>
      </c>
      <c r="S245" s="264">
        <v>6.1111111111111109E-2</v>
      </c>
      <c r="T245" s="264">
        <v>3.7499999999999999E-2</v>
      </c>
      <c r="U245" s="264">
        <v>6.6666666666666666E-2</v>
      </c>
      <c r="V245" s="264">
        <v>7.0833333333333331E-2</v>
      </c>
      <c r="W245" s="264">
        <v>3.7499999999999999E-2</v>
      </c>
      <c r="X245" s="264">
        <v>9.1666666666666674E-2</v>
      </c>
      <c r="Y245" s="264">
        <v>3.6111111111111115E-2</v>
      </c>
      <c r="Z245" s="264">
        <v>5.7638888888888885E-2</v>
      </c>
      <c r="AA245" s="264">
        <v>7.5694444444444439E-2</v>
      </c>
      <c r="AB245" s="264">
        <v>6.3888888888888898E-2</v>
      </c>
      <c r="AC245" s="264">
        <v>8.3333333333333329E-2</v>
      </c>
      <c r="AD245" s="264">
        <v>3.3333333333333333E-2</v>
      </c>
      <c r="AE245" s="264">
        <v>9.4444444444444442E-2</v>
      </c>
      <c r="AF245" s="265">
        <v>3.6111111111111115E-2</v>
      </c>
      <c r="AG245" s="266">
        <f t="shared" si="39"/>
        <v>5.5757458847736634E-2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V52 X29:AF52">
    <cfRule type="cellIs" dxfId="85" priority="8" operator="lessThan">
      <formula>0</formula>
    </cfRule>
  </conditionalFormatting>
  <conditionalFormatting sqref="D54:D77">
    <cfRule type="cellIs" dxfId="84" priority="4" operator="lessThan">
      <formula>0</formula>
    </cfRule>
  </conditionalFormatting>
  <conditionalFormatting sqref="G54:G77">
    <cfRule type="cellIs" dxfId="83" priority="3" operator="lessThan">
      <formula>0</formula>
    </cfRule>
  </conditionalFormatting>
  <conditionalFormatting sqref="M54:M77">
    <cfRule type="cellIs" dxfId="82" priority="2" operator="lessThan">
      <formula>0</formula>
    </cfRule>
  </conditionalFormatting>
  <conditionalFormatting sqref="W54:W77">
    <cfRule type="cellIs" dxfId="81" priority="1" operator="lessThan">
      <formula>0</formula>
    </cfRule>
  </conditionalFormatting>
  <conditionalFormatting sqref="AH81">
    <cfRule type="cellIs" dxfId="80" priority="6" operator="equal">
      <formula>"*"</formula>
    </cfRule>
  </conditionalFormatting>
  <conditionalFormatting sqref="AH84 AH87">
    <cfRule type="cellIs" dxfId="79" priority="7" operator="equal">
      <formula>"*"</formula>
    </cfRule>
  </conditionalFormatting>
  <conditionalFormatting sqref="AH93">
    <cfRule type="cellIs" dxfId="78" priority="12" operator="equal">
      <formula>"*"</formula>
    </cfRule>
  </conditionalFormatting>
  <conditionalFormatting sqref="AH130">
    <cfRule type="cellIs" dxfId="77" priority="10" operator="equal">
      <formula>"*"</formula>
    </cfRule>
  </conditionalFormatting>
  <conditionalFormatting sqref="AH144:AH145">
    <cfRule type="cellIs" dxfId="76" priority="11" operator="equal">
      <formula>"*"</formula>
    </cfRule>
  </conditionalFormatting>
  <conditionalFormatting sqref="AH179">
    <cfRule type="cellIs" dxfId="75" priority="9" operator="equal">
      <formula>"*"</formula>
    </cfRule>
  </conditionalFormatting>
  <conditionalFormatting sqref="AH204">
    <cfRule type="cellIs" dxfId="74" priority="5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7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75"/>
  <sheetViews>
    <sheetView zoomScale="80" zoomScaleNormal="80" workbookViewId="0">
      <pane xSplit="1" ySplit="3" topLeftCell="I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158</v>
      </c>
      <c r="B2" s="106">
        <v>1</v>
      </c>
      <c r="C2" s="106">
        <f t="shared" ref="C2:AA2" si="0">+B2+1</f>
        <v>2</v>
      </c>
      <c r="D2" s="234">
        <f t="shared" si="0"/>
        <v>3</v>
      </c>
      <c r="E2" s="234">
        <f t="shared" si="0"/>
        <v>4</v>
      </c>
      <c r="F2" s="234">
        <f t="shared" si="0"/>
        <v>5</v>
      </c>
      <c r="G2" s="234">
        <f t="shared" si="0"/>
        <v>6</v>
      </c>
      <c r="H2" s="234">
        <f t="shared" si="0"/>
        <v>7</v>
      </c>
      <c r="I2" s="106">
        <f t="shared" si="0"/>
        <v>8</v>
      </c>
      <c r="J2" s="106">
        <f t="shared" si="0"/>
        <v>9</v>
      </c>
      <c r="K2" s="234">
        <f t="shared" si="0"/>
        <v>10</v>
      </c>
      <c r="L2" s="234">
        <f t="shared" si="0"/>
        <v>11</v>
      </c>
      <c r="M2" s="234">
        <f t="shared" si="0"/>
        <v>12</v>
      </c>
      <c r="N2" s="234">
        <f t="shared" si="0"/>
        <v>13</v>
      </c>
      <c r="O2" s="234">
        <f t="shared" si="0"/>
        <v>14</v>
      </c>
      <c r="P2" s="106">
        <f t="shared" si="0"/>
        <v>15</v>
      </c>
      <c r="Q2" s="106">
        <f t="shared" si="0"/>
        <v>16</v>
      </c>
      <c r="R2" s="234">
        <f t="shared" si="0"/>
        <v>17</v>
      </c>
      <c r="S2" s="234">
        <f t="shared" si="0"/>
        <v>18</v>
      </c>
      <c r="T2" s="234">
        <f t="shared" si="0"/>
        <v>19</v>
      </c>
      <c r="U2" s="234">
        <f t="shared" si="0"/>
        <v>20</v>
      </c>
      <c r="V2" s="234">
        <f t="shared" si="0"/>
        <v>21</v>
      </c>
      <c r="W2" s="106">
        <f t="shared" si="0"/>
        <v>22</v>
      </c>
      <c r="X2" s="106">
        <f t="shared" si="0"/>
        <v>23</v>
      </c>
      <c r="Y2" s="234">
        <f t="shared" si="0"/>
        <v>24</v>
      </c>
      <c r="Z2" s="234">
        <f t="shared" si="0"/>
        <v>25</v>
      </c>
      <c r="AA2" s="234">
        <f t="shared" si="0"/>
        <v>26</v>
      </c>
      <c r="AB2" s="234">
        <v>27</v>
      </c>
      <c r="AC2" s="234">
        <f>+AB2+1</f>
        <v>28</v>
      </c>
      <c r="AD2" s="106">
        <v>29</v>
      </c>
      <c r="AE2" s="106">
        <v>30</v>
      </c>
      <c r="AF2" s="234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298</v>
      </c>
      <c r="C3" s="135">
        <f t="shared" si="1"/>
        <v>299</v>
      </c>
      <c r="D3" s="135">
        <f t="shared" si="1"/>
        <v>223</v>
      </c>
      <c r="E3" s="135">
        <f t="shared" si="1"/>
        <v>185</v>
      </c>
      <c r="F3" s="135">
        <f t="shared" si="1"/>
        <v>206</v>
      </c>
      <c r="G3" s="135">
        <f t="shared" si="1"/>
        <v>189</v>
      </c>
      <c r="H3" s="135">
        <f t="shared" si="1"/>
        <v>175</v>
      </c>
      <c r="I3" s="135">
        <f t="shared" si="1"/>
        <v>293</v>
      </c>
      <c r="J3" s="135">
        <f t="shared" si="1"/>
        <v>289</v>
      </c>
      <c r="K3" s="135">
        <f t="shared" si="1"/>
        <v>245</v>
      </c>
      <c r="L3" s="135">
        <f t="shared" si="1"/>
        <v>211</v>
      </c>
      <c r="M3" s="135">
        <f t="shared" si="1"/>
        <v>185</v>
      </c>
      <c r="N3" s="135">
        <f t="shared" si="1"/>
        <v>194</v>
      </c>
      <c r="O3" s="135">
        <f t="shared" si="1"/>
        <v>187</v>
      </c>
      <c r="P3" s="135">
        <f t="shared" si="1"/>
        <v>254</v>
      </c>
      <c r="Q3" s="135">
        <f t="shared" si="1"/>
        <v>232</v>
      </c>
      <c r="R3" s="135">
        <f t="shared" si="1"/>
        <v>197</v>
      </c>
      <c r="S3" s="135">
        <f t="shared" si="1"/>
        <v>199</v>
      </c>
      <c r="T3" s="135">
        <f t="shared" si="1"/>
        <v>196</v>
      </c>
      <c r="U3" s="135">
        <f t="shared" si="1"/>
        <v>176</v>
      </c>
      <c r="V3" s="135">
        <f t="shared" si="1"/>
        <v>162</v>
      </c>
      <c r="W3" s="135">
        <f t="shared" si="1"/>
        <v>271</v>
      </c>
      <c r="X3" s="135">
        <f t="shared" si="1"/>
        <v>294</v>
      </c>
      <c r="Y3" s="135">
        <f t="shared" si="1"/>
        <v>159</v>
      </c>
      <c r="Z3" s="135">
        <f t="shared" si="1"/>
        <v>192</v>
      </c>
      <c r="AA3" s="135">
        <f t="shared" si="1"/>
        <v>150</v>
      </c>
      <c r="AB3" s="135">
        <f t="shared" si="1"/>
        <v>129</v>
      </c>
      <c r="AC3" s="135">
        <f t="shared" si="1"/>
        <v>77</v>
      </c>
      <c r="AD3" s="135">
        <f t="shared" si="1"/>
        <v>225</v>
      </c>
      <c r="AE3" s="135">
        <f t="shared" si="1"/>
        <v>266</v>
      </c>
      <c r="AF3" s="135">
        <f t="shared" si="1"/>
        <v>0</v>
      </c>
      <c r="AG3" s="187">
        <f>SUM(B3:AF3)</f>
        <v>6358</v>
      </c>
    </row>
    <row r="4" spans="1:33" ht="18.75" x14ac:dyDescent="0.25">
      <c r="A4" s="113" t="s">
        <v>54</v>
      </c>
      <c r="B4" s="114">
        <v>10</v>
      </c>
      <c r="C4" s="114">
        <v>5</v>
      </c>
      <c r="D4" s="114"/>
      <c r="E4" s="114"/>
      <c r="F4" s="114"/>
      <c r="G4" s="114"/>
      <c r="H4" s="114"/>
      <c r="I4" s="114">
        <v>8</v>
      </c>
      <c r="J4" s="114">
        <v>7</v>
      </c>
      <c r="K4" s="114"/>
      <c r="L4" s="114"/>
      <c r="M4" s="114"/>
      <c r="N4" s="114"/>
      <c r="O4" s="114"/>
      <c r="P4" s="114">
        <v>11</v>
      </c>
      <c r="Q4" s="114">
        <v>4</v>
      </c>
      <c r="R4" s="114"/>
      <c r="S4" s="114"/>
      <c r="T4" s="114"/>
      <c r="U4" s="114"/>
      <c r="V4" s="114"/>
      <c r="W4" s="114">
        <v>7</v>
      </c>
      <c r="X4" s="114">
        <v>5</v>
      </c>
      <c r="Y4" s="114"/>
      <c r="Z4" s="114"/>
      <c r="AA4" s="114"/>
      <c r="AB4" s="114"/>
      <c r="AC4" s="114"/>
      <c r="AD4" s="114">
        <v>6</v>
      </c>
      <c r="AE4" s="114">
        <v>1</v>
      </c>
      <c r="AF4" s="115"/>
      <c r="AG4" s="132">
        <f t="shared" ref="AG4:AG83" si="2">SUM(B4:AF4)</f>
        <v>64</v>
      </c>
    </row>
    <row r="5" spans="1:33" ht="18.75" x14ac:dyDescent="0.25">
      <c r="A5" s="41" t="s">
        <v>55</v>
      </c>
      <c r="B5" s="7">
        <v>13</v>
      </c>
      <c r="C5" s="7">
        <v>20</v>
      </c>
      <c r="D5" s="7"/>
      <c r="E5" s="7"/>
      <c r="F5" s="7"/>
      <c r="G5" s="7"/>
      <c r="H5" s="7"/>
      <c r="I5" s="7">
        <v>11</v>
      </c>
      <c r="J5" s="7">
        <v>14</v>
      </c>
      <c r="K5" s="7"/>
      <c r="L5" s="7"/>
      <c r="M5" s="7"/>
      <c r="N5" s="7"/>
      <c r="O5" s="7"/>
      <c r="P5" s="7">
        <v>16</v>
      </c>
      <c r="Q5" s="7">
        <v>8</v>
      </c>
      <c r="R5" s="7"/>
      <c r="S5" s="7"/>
      <c r="T5" s="7"/>
      <c r="U5" s="7"/>
      <c r="V5" s="7"/>
      <c r="W5" s="7">
        <v>16</v>
      </c>
      <c r="X5" s="7">
        <v>14</v>
      </c>
      <c r="Y5" s="7"/>
      <c r="Z5" s="7"/>
      <c r="AA5" s="7"/>
      <c r="AB5" s="7"/>
      <c r="AC5" s="7"/>
      <c r="AD5" s="7">
        <v>4</v>
      </c>
      <c r="AE5" s="7">
        <v>9</v>
      </c>
      <c r="AF5" s="8"/>
      <c r="AG5" s="4">
        <f t="shared" si="2"/>
        <v>125</v>
      </c>
    </row>
    <row r="6" spans="1:33" ht="18.75" x14ac:dyDescent="0.25">
      <c r="A6" s="41" t="s">
        <v>56</v>
      </c>
      <c r="B6" s="7">
        <v>20</v>
      </c>
      <c r="C6" s="7">
        <v>19</v>
      </c>
      <c r="D6" s="7"/>
      <c r="E6" s="7"/>
      <c r="F6" s="7"/>
      <c r="G6" s="7"/>
      <c r="H6" s="7"/>
      <c r="I6" s="7">
        <v>21</v>
      </c>
      <c r="J6" s="7">
        <v>16</v>
      </c>
      <c r="K6" s="7"/>
      <c r="L6" s="7"/>
      <c r="M6" s="7"/>
      <c r="N6" s="7"/>
      <c r="O6" s="7"/>
      <c r="P6" s="7">
        <v>14</v>
      </c>
      <c r="Q6" s="7">
        <v>24</v>
      </c>
      <c r="R6" s="7"/>
      <c r="S6" s="7"/>
      <c r="T6" s="7"/>
      <c r="U6" s="7"/>
      <c r="V6" s="7"/>
      <c r="W6" s="7">
        <v>15</v>
      </c>
      <c r="X6" s="7">
        <v>20</v>
      </c>
      <c r="Y6" s="7"/>
      <c r="Z6" s="7"/>
      <c r="AA6" s="7"/>
      <c r="AB6" s="7"/>
      <c r="AC6" s="7"/>
      <c r="AD6" s="7">
        <v>12</v>
      </c>
      <c r="AE6" s="7">
        <v>21</v>
      </c>
      <c r="AF6" s="8"/>
      <c r="AG6" s="4">
        <f t="shared" si="2"/>
        <v>182</v>
      </c>
    </row>
    <row r="7" spans="1:33" ht="18.75" x14ac:dyDescent="0.25">
      <c r="A7" s="41" t="s">
        <v>38</v>
      </c>
      <c r="B7" s="7">
        <v>12</v>
      </c>
      <c r="C7" s="7">
        <v>29</v>
      </c>
      <c r="D7" s="7"/>
      <c r="E7" s="7"/>
      <c r="F7" s="7"/>
      <c r="G7" s="7"/>
      <c r="H7" s="7"/>
      <c r="I7" s="7">
        <v>25</v>
      </c>
      <c r="J7" s="7">
        <v>21</v>
      </c>
      <c r="K7" s="7"/>
      <c r="L7" s="7"/>
      <c r="M7" s="7"/>
      <c r="N7" s="7"/>
      <c r="O7" s="7"/>
      <c r="P7" s="7">
        <v>26</v>
      </c>
      <c r="Q7" s="7">
        <v>11</v>
      </c>
      <c r="R7" s="7"/>
      <c r="S7" s="7"/>
      <c r="T7" s="7"/>
      <c r="U7" s="7"/>
      <c r="V7" s="7"/>
      <c r="W7" s="7">
        <v>24</v>
      </c>
      <c r="X7" s="7">
        <v>25</v>
      </c>
      <c r="Y7" s="7">
        <v>1</v>
      </c>
      <c r="Z7" s="7"/>
      <c r="AA7" s="7"/>
      <c r="AB7" s="7"/>
      <c r="AC7" s="7"/>
      <c r="AD7" s="7">
        <v>16</v>
      </c>
      <c r="AE7" s="7">
        <v>19</v>
      </c>
      <c r="AF7" s="8"/>
      <c r="AG7" s="4">
        <f t="shared" si="2"/>
        <v>209</v>
      </c>
    </row>
    <row r="8" spans="1:33" ht="18.75" x14ac:dyDescent="0.25">
      <c r="A8" s="41" t="s">
        <v>39</v>
      </c>
      <c r="B8" s="7">
        <v>30</v>
      </c>
      <c r="C8" s="7">
        <v>23</v>
      </c>
      <c r="D8" s="7"/>
      <c r="E8" s="7"/>
      <c r="F8" s="7"/>
      <c r="G8" s="7"/>
      <c r="H8" s="7"/>
      <c r="I8" s="7">
        <v>25</v>
      </c>
      <c r="J8" s="7">
        <v>23</v>
      </c>
      <c r="K8" s="7"/>
      <c r="L8" s="7"/>
      <c r="M8" s="7"/>
      <c r="N8" s="7"/>
      <c r="O8" s="7"/>
      <c r="P8" s="7">
        <v>13</v>
      </c>
      <c r="Q8" s="7">
        <v>17</v>
      </c>
      <c r="R8" s="7"/>
      <c r="S8" s="7"/>
      <c r="T8" s="7"/>
      <c r="U8" s="7"/>
      <c r="V8" s="7"/>
      <c r="W8" s="7">
        <v>24</v>
      </c>
      <c r="X8" s="7">
        <v>18</v>
      </c>
      <c r="Y8" s="7"/>
      <c r="Z8" s="7"/>
      <c r="AA8" s="7"/>
      <c r="AB8" s="7"/>
      <c r="AC8" s="7"/>
      <c r="AD8" s="7">
        <v>22</v>
      </c>
      <c r="AE8" s="7">
        <v>15</v>
      </c>
      <c r="AF8" s="8"/>
      <c r="AG8" s="4">
        <f t="shared" si="2"/>
        <v>210</v>
      </c>
    </row>
    <row r="9" spans="1:33" ht="18.75" x14ac:dyDescent="0.25">
      <c r="A9" s="41" t="s">
        <v>40</v>
      </c>
      <c r="B9" s="7">
        <v>26</v>
      </c>
      <c r="C9" s="7">
        <v>30</v>
      </c>
      <c r="D9" s="7"/>
      <c r="E9" s="7"/>
      <c r="F9" s="7"/>
      <c r="G9" s="7"/>
      <c r="H9" s="7"/>
      <c r="I9" s="7">
        <v>28</v>
      </c>
      <c r="J9" s="7">
        <v>22</v>
      </c>
      <c r="K9" s="7"/>
      <c r="L9" s="7"/>
      <c r="M9" s="7"/>
      <c r="N9" s="7"/>
      <c r="O9" s="7"/>
      <c r="P9" s="7">
        <v>9</v>
      </c>
      <c r="Q9" s="7">
        <v>14</v>
      </c>
      <c r="R9" s="7"/>
      <c r="S9" s="7"/>
      <c r="T9" s="7"/>
      <c r="U9" s="7"/>
      <c r="V9" s="7"/>
      <c r="W9" s="7">
        <v>13</v>
      </c>
      <c r="X9" s="7">
        <v>26</v>
      </c>
      <c r="Y9" s="7"/>
      <c r="Z9" s="7"/>
      <c r="AA9" s="7"/>
      <c r="AB9" s="7"/>
      <c r="AC9" s="7"/>
      <c r="AD9" s="7">
        <v>19</v>
      </c>
      <c r="AE9" s="7">
        <v>23</v>
      </c>
      <c r="AF9" s="8"/>
      <c r="AG9" s="4">
        <f t="shared" si="2"/>
        <v>210</v>
      </c>
    </row>
    <row r="10" spans="1:33" ht="18.75" x14ac:dyDescent="0.25">
      <c r="A10" s="41" t="s">
        <v>41</v>
      </c>
      <c r="B10" s="7">
        <v>19</v>
      </c>
      <c r="C10" s="7">
        <v>17</v>
      </c>
      <c r="D10" s="7"/>
      <c r="E10" s="7"/>
      <c r="F10" s="7"/>
      <c r="G10" s="7"/>
      <c r="H10" s="7"/>
      <c r="I10" s="7">
        <v>20</v>
      </c>
      <c r="J10" s="7">
        <v>18</v>
      </c>
      <c r="K10" s="7"/>
      <c r="L10" s="7"/>
      <c r="M10" s="7"/>
      <c r="N10" s="7"/>
      <c r="O10" s="7"/>
      <c r="P10" s="7">
        <v>9</v>
      </c>
      <c r="Q10" s="7">
        <v>13</v>
      </c>
      <c r="R10" s="7"/>
      <c r="S10" s="7"/>
      <c r="T10" s="7"/>
      <c r="U10" s="7"/>
      <c r="V10" s="7"/>
      <c r="W10" s="7">
        <v>16</v>
      </c>
      <c r="X10" s="7">
        <v>19</v>
      </c>
      <c r="Y10" s="7"/>
      <c r="Z10" s="7"/>
      <c r="AA10" s="7"/>
      <c r="AB10" s="7"/>
      <c r="AC10" s="7"/>
      <c r="AD10" s="7">
        <v>13</v>
      </c>
      <c r="AE10" s="7">
        <v>20</v>
      </c>
      <c r="AF10" s="8"/>
      <c r="AG10" s="4">
        <f t="shared" si="2"/>
        <v>164</v>
      </c>
    </row>
    <row r="11" spans="1:33" ht="18.75" x14ac:dyDescent="0.25">
      <c r="A11" s="41" t="s">
        <v>42</v>
      </c>
      <c r="B11" s="7">
        <v>16</v>
      </c>
      <c r="C11" s="7">
        <v>18</v>
      </c>
      <c r="D11" s="7"/>
      <c r="E11" s="7"/>
      <c r="F11" s="7"/>
      <c r="G11" s="7"/>
      <c r="H11" s="7"/>
      <c r="I11" s="7">
        <v>28</v>
      </c>
      <c r="J11" s="7">
        <v>16</v>
      </c>
      <c r="K11" s="7"/>
      <c r="L11" s="7"/>
      <c r="M11" s="7"/>
      <c r="N11" s="7"/>
      <c r="O11" s="7"/>
      <c r="P11" s="7">
        <v>19</v>
      </c>
      <c r="Q11" s="7">
        <v>18</v>
      </c>
      <c r="R11" s="7"/>
      <c r="S11" s="7"/>
      <c r="T11" s="7"/>
      <c r="U11" s="7"/>
      <c r="V11" s="7"/>
      <c r="W11" s="7">
        <v>22</v>
      </c>
      <c r="X11" s="7">
        <v>23</v>
      </c>
      <c r="Y11" s="7"/>
      <c r="Z11" s="7"/>
      <c r="AA11" s="7"/>
      <c r="AB11" s="7"/>
      <c r="AC11" s="7"/>
      <c r="AD11" s="7">
        <v>20</v>
      </c>
      <c r="AE11" s="7">
        <v>24</v>
      </c>
      <c r="AF11" s="8"/>
      <c r="AG11" s="4">
        <f t="shared" si="2"/>
        <v>204</v>
      </c>
    </row>
    <row r="12" spans="1:33" ht="18.75" x14ac:dyDescent="0.25">
      <c r="A12" s="41" t="s">
        <v>43</v>
      </c>
      <c r="B12" s="7">
        <v>21</v>
      </c>
      <c r="C12" s="7">
        <v>22</v>
      </c>
      <c r="D12" s="7"/>
      <c r="E12" s="7"/>
      <c r="F12" s="7"/>
      <c r="G12" s="7"/>
      <c r="H12" s="7"/>
      <c r="I12" s="7">
        <v>17</v>
      </c>
      <c r="J12" s="7">
        <v>19</v>
      </c>
      <c r="K12" s="7"/>
      <c r="L12" s="7"/>
      <c r="M12" s="7"/>
      <c r="N12" s="7"/>
      <c r="O12" s="7">
        <v>1</v>
      </c>
      <c r="P12" s="7">
        <v>23</v>
      </c>
      <c r="Q12" s="7">
        <v>23</v>
      </c>
      <c r="R12" s="7"/>
      <c r="S12" s="7"/>
      <c r="T12" s="7">
        <v>1</v>
      </c>
      <c r="U12" s="7"/>
      <c r="V12" s="7"/>
      <c r="W12" s="7">
        <v>22</v>
      </c>
      <c r="X12" s="7">
        <v>28</v>
      </c>
      <c r="Y12" s="7"/>
      <c r="Z12" s="7"/>
      <c r="AA12" s="7"/>
      <c r="AB12" s="7"/>
      <c r="AC12" s="7"/>
      <c r="AD12" s="7">
        <v>17</v>
      </c>
      <c r="AE12" s="7">
        <v>18</v>
      </c>
      <c r="AF12" s="8"/>
      <c r="AG12" s="4">
        <f t="shared" si="2"/>
        <v>212</v>
      </c>
    </row>
    <row r="13" spans="1:33" ht="18.75" x14ac:dyDescent="0.25">
      <c r="A13" s="41" t="s">
        <v>44</v>
      </c>
      <c r="B13" s="7">
        <v>26</v>
      </c>
      <c r="C13" s="7">
        <v>20</v>
      </c>
      <c r="D13" s="7">
        <v>89</v>
      </c>
      <c r="E13" s="7">
        <v>79</v>
      </c>
      <c r="F13" s="7">
        <v>86</v>
      </c>
      <c r="G13" s="7">
        <v>82</v>
      </c>
      <c r="H13" s="7">
        <v>66</v>
      </c>
      <c r="I13" s="7">
        <v>20</v>
      </c>
      <c r="J13" s="7">
        <v>16</v>
      </c>
      <c r="K13" s="7">
        <v>98</v>
      </c>
      <c r="L13" s="7">
        <v>81</v>
      </c>
      <c r="M13" s="7">
        <v>72</v>
      </c>
      <c r="N13" s="7">
        <v>87</v>
      </c>
      <c r="O13" s="7">
        <v>59</v>
      </c>
      <c r="P13" s="7">
        <v>22</v>
      </c>
      <c r="Q13" s="7">
        <v>25</v>
      </c>
      <c r="R13" s="7">
        <v>92</v>
      </c>
      <c r="S13" s="7">
        <v>78</v>
      </c>
      <c r="T13" s="7">
        <v>78</v>
      </c>
      <c r="U13" s="7">
        <v>72</v>
      </c>
      <c r="V13" s="7">
        <v>70</v>
      </c>
      <c r="W13" s="7">
        <v>24</v>
      </c>
      <c r="X13" s="7">
        <v>22</v>
      </c>
      <c r="Y13" s="7">
        <v>64</v>
      </c>
      <c r="Z13" s="7">
        <v>83</v>
      </c>
      <c r="AA13" s="7">
        <v>67</v>
      </c>
      <c r="AB13" s="7">
        <v>52</v>
      </c>
      <c r="AC13" s="7">
        <v>30</v>
      </c>
      <c r="AD13" s="7">
        <v>22</v>
      </c>
      <c r="AE13" s="7">
        <v>22</v>
      </c>
      <c r="AF13" s="8"/>
      <c r="AG13" s="4">
        <f t="shared" si="2"/>
        <v>1704</v>
      </c>
    </row>
    <row r="14" spans="1:33" ht="18.75" x14ac:dyDescent="0.25">
      <c r="A14" s="41" t="s">
        <v>45</v>
      </c>
      <c r="B14" s="7">
        <v>18</v>
      </c>
      <c r="C14" s="7">
        <v>22</v>
      </c>
      <c r="D14" s="7">
        <v>27</v>
      </c>
      <c r="E14" s="7">
        <v>23</v>
      </c>
      <c r="F14" s="7">
        <v>20</v>
      </c>
      <c r="G14" s="7">
        <v>26</v>
      </c>
      <c r="H14" s="7">
        <v>21</v>
      </c>
      <c r="I14" s="7">
        <v>15</v>
      </c>
      <c r="J14" s="7">
        <v>26</v>
      </c>
      <c r="K14" s="7">
        <v>36</v>
      </c>
      <c r="L14" s="7">
        <v>29</v>
      </c>
      <c r="M14" s="7">
        <v>25</v>
      </c>
      <c r="N14" s="7">
        <v>19</v>
      </c>
      <c r="O14" s="7">
        <v>25</v>
      </c>
      <c r="P14" s="7">
        <v>14</v>
      </c>
      <c r="Q14" s="7">
        <v>16</v>
      </c>
      <c r="R14" s="7">
        <v>22</v>
      </c>
      <c r="S14" s="7">
        <v>29</v>
      </c>
      <c r="T14" s="7">
        <v>26</v>
      </c>
      <c r="U14" s="7">
        <v>23</v>
      </c>
      <c r="V14" s="7">
        <v>13</v>
      </c>
      <c r="W14" s="7">
        <v>21</v>
      </c>
      <c r="X14" s="7">
        <v>18</v>
      </c>
      <c r="Y14" s="7">
        <v>20</v>
      </c>
      <c r="Z14" s="7">
        <v>26</v>
      </c>
      <c r="AA14" s="7">
        <v>19</v>
      </c>
      <c r="AB14" s="7">
        <v>16</v>
      </c>
      <c r="AC14" s="7">
        <v>5</v>
      </c>
      <c r="AD14" s="7">
        <v>14</v>
      </c>
      <c r="AE14" s="7">
        <v>25</v>
      </c>
      <c r="AF14" s="8"/>
      <c r="AG14" s="4">
        <f t="shared" si="2"/>
        <v>639</v>
      </c>
    </row>
    <row r="15" spans="1:33" ht="18.75" x14ac:dyDescent="0.25">
      <c r="A15" s="41" t="s">
        <v>46</v>
      </c>
      <c r="B15" s="7">
        <v>13</v>
      </c>
      <c r="C15" s="7">
        <v>21</v>
      </c>
      <c r="D15" s="7">
        <v>23</v>
      </c>
      <c r="E15" s="7">
        <v>19</v>
      </c>
      <c r="F15" s="7">
        <v>25</v>
      </c>
      <c r="G15" s="7">
        <v>18</v>
      </c>
      <c r="H15" s="7">
        <v>18</v>
      </c>
      <c r="I15" s="7">
        <v>18</v>
      </c>
      <c r="J15" s="7">
        <v>24</v>
      </c>
      <c r="K15" s="7">
        <v>17</v>
      </c>
      <c r="L15" s="7">
        <v>26</v>
      </c>
      <c r="M15" s="7">
        <v>30</v>
      </c>
      <c r="N15" s="7">
        <v>17</v>
      </c>
      <c r="O15" s="7">
        <v>23</v>
      </c>
      <c r="P15" s="7">
        <v>9</v>
      </c>
      <c r="Q15" s="7">
        <v>9</v>
      </c>
      <c r="R15" s="7">
        <v>18</v>
      </c>
      <c r="S15" s="7">
        <v>24</v>
      </c>
      <c r="T15" s="7">
        <v>23</v>
      </c>
      <c r="U15" s="7">
        <v>15</v>
      </c>
      <c r="V15" s="7">
        <v>10</v>
      </c>
      <c r="W15" s="7">
        <v>19</v>
      </c>
      <c r="X15" s="7">
        <v>15</v>
      </c>
      <c r="Y15" s="7">
        <v>12</v>
      </c>
      <c r="Z15" s="7">
        <v>20</v>
      </c>
      <c r="AA15" s="7">
        <v>6</v>
      </c>
      <c r="AB15" s="7">
        <v>10</v>
      </c>
      <c r="AC15" s="7">
        <v>3</v>
      </c>
      <c r="AD15" s="7">
        <v>6</v>
      </c>
      <c r="AE15" s="7">
        <v>14</v>
      </c>
      <c r="AF15" s="8"/>
      <c r="AG15" s="4">
        <f t="shared" si="2"/>
        <v>505</v>
      </c>
    </row>
    <row r="16" spans="1:33" ht="18.75" x14ac:dyDescent="0.25">
      <c r="A16" s="41" t="s">
        <v>47</v>
      </c>
      <c r="B16" s="7">
        <v>18</v>
      </c>
      <c r="C16" s="7">
        <v>9</v>
      </c>
      <c r="D16" s="7">
        <v>31</v>
      </c>
      <c r="E16" s="7">
        <v>11</v>
      </c>
      <c r="F16" s="7">
        <v>24</v>
      </c>
      <c r="G16" s="7">
        <v>14</v>
      </c>
      <c r="H16" s="7">
        <v>22</v>
      </c>
      <c r="I16" s="7">
        <v>8</v>
      </c>
      <c r="J16" s="7">
        <v>19</v>
      </c>
      <c r="K16" s="7">
        <v>26</v>
      </c>
      <c r="L16" s="7">
        <v>24</v>
      </c>
      <c r="M16" s="7">
        <v>18</v>
      </c>
      <c r="N16" s="7">
        <v>15</v>
      </c>
      <c r="O16" s="7">
        <v>19</v>
      </c>
      <c r="P16" s="7">
        <v>8</v>
      </c>
      <c r="Q16" s="7">
        <v>13</v>
      </c>
      <c r="R16" s="7">
        <v>13</v>
      </c>
      <c r="S16" s="7">
        <v>19</v>
      </c>
      <c r="T16" s="7">
        <v>21</v>
      </c>
      <c r="U16" s="7">
        <v>21</v>
      </c>
      <c r="V16" s="7">
        <v>14</v>
      </c>
      <c r="W16" s="7">
        <v>10</v>
      </c>
      <c r="X16" s="7">
        <v>10</v>
      </c>
      <c r="Y16" s="7">
        <v>19</v>
      </c>
      <c r="Z16" s="7">
        <v>13</v>
      </c>
      <c r="AA16" s="7">
        <v>11</v>
      </c>
      <c r="AB16" s="7">
        <v>9</v>
      </c>
      <c r="AC16" s="7">
        <v>7</v>
      </c>
      <c r="AD16" s="7">
        <v>10</v>
      </c>
      <c r="AE16" s="7">
        <v>12</v>
      </c>
      <c r="AF16" s="8"/>
      <c r="AG16" s="4">
        <f t="shared" si="2"/>
        <v>468</v>
      </c>
    </row>
    <row r="17" spans="1:33" ht="18.75" x14ac:dyDescent="0.25">
      <c r="A17" s="41" t="s">
        <v>48</v>
      </c>
      <c r="B17" s="7">
        <v>19</v>
      </c>
      <c r="C17" s="7">
        <v>13</v>
      </c>
      <c r="D17" s="7">
        <v>17</v>
      </c>
      <c r="E17" s="7">
        <v>13</v>
      </c>
      <c r="F17" s="7">
        <v>20</v>
      </c>
      <c r="G17" s="7">
        <v>14</v>
      </c>
      <c r="H17" s="7">
        <v>9</v>
      </c>
      <c r="I17" s="7">
        <v>10</v>
      </c>
      <c r="J17" s="7">
        <v>13</v>
      </c>
      <c r="K17" s="7">
        <v>22</v>
      </c>
      <c r="L17" s="7">
        <v>20</v>
      </c>
      <c r="M17" s="7">
        <v>14</v>
      </c>
      <c r="N17" s="7">
        <v>16</v>
      </c>
      <c r="O17" s="7">
        <v>16</v>
      </c>
      <c r="P17" s="7">
        <v>10</v>
      </c>
      <c r="Q17" s="7">
        <v>5</v>
      </c>
      <c r="R17" s="7">
        <v>17</v>
      </c>
      <c r="S17" s="7">
        <v>24</v>
      </c>
      <c r="T17" s="7">
        <v>15</v>
      </c>
      <c r="U17" s="7">
        <v>19</v>
      </c>
      <c r="V17" s="7">
        <v>16</v>
      </c>
      <c r="W17" s="7">
        <v>12</v>
      </c>
      <c r="X17" s="7">
        <v>13</v>
      </c>
      <c r="Y17" s="7">
        <v>9</v>
      </c>
      <c r="Z17" s="7">
        <v>18</v>
      </c>
      <c r="AA17" s="7">
        <v>15</v>
      </c>
      <c r="AB17" s="7">
        <v>8</v>
      </c>
      <c r="AC17" s="7">
        <v>10</v>
      </c>
      <c r="AD17" s="7">
        <v>7</v>
      </c>
      <c r="AE17" s="7">
        <v>9</v>
      </c>
      <c r="AF17" s="8"/>
      <c r="AG17" s="4">
        <f t="shared" si="2"/>
        <v>423</v>
      </c>
    </row>
    <row r="18" spans="1:33" ht="18.75" x14ac:dyDescent="0.25">
      <c r="A18" s="41" t="s">
        <v>49</v>
      </c>
      <c r="B18" s="7">
        <v>7</v>
      </c>
      <c r="C18" s="7">
        <v>9</v>
      </c>
      <c r="D18" s="7">
        <v>9</v>
      </c>
      <c r="E18" s="7">
        <v>7</v>
      </c>
      <c r="F18" s="7">
        <v>8</v>
      </c>
      <c r="G18" s="7">
        <v>8</v>
      </c>
      <c r="H18" s="7">
        <v>7</v>
      </c>
      <c r="I18" s="7">
        <v>5</v>
      </c>
      <c r="J18" s="7">
        <v>6</v>
      </c>
      <c r="K18" s="7">
        <v>21</v>
      </c>
      <c r="L18" s="7">
        <v>12</v>
      </c>
      <c r="M18" s="7">
        <v>11</v>
      </c>
      <c r="N18" s="7">
        <v>12</v>
      </c>
      <c r="O18" s="7">
        <v>12</v>
      </c>
      <c r="P18" s="7">
        <v>15</v>
      </c>
      <c r="Q18" s="7">
        <v>11</v>
      </c>
      <c r="R18" s="7">
        <v>16</v>
      </c>
      <c r="S18" s="7">
        <v>10</v>
      </c>
      <c r="T18" s="7">
        <v>11</v>
      </c>
      <c r="U18" s="7">
        <v>6</v>
      </c>
      <c r="V18" s="7">
        <v>10</v>
      </c>
      <c r="W18" s="7">
        <v>5</v>
      </c>
      <c r="X18" s="7">
        <v>11</v>
      </c>
      <c r="Y18" s="7">
        <v>16</v>
      </c>
      <c r="Z18" s="7">
        <v>9</v>
      </c>
      <c r="AA18" s="7">
        <v>9</v>
      </c>
      <c r="AB18" s="7">
        <v>16</v>
      </c>
      <c r="AC18" s="7">
        <v>7</v>
      </c>
      <c r="AD18" s="7">
        <v>4</v>
      </c>
      <c r="AE18" s="7">
        <v>10</v>
      </c>
      <c r="AF18" s="8"/>
      <c r="AG18" s="4">
        <f t="shared" si="2"/>
        <v>300</v>
      </c>
    </row>
    <row r="19" spans="1:33" ht="18.75" x14ac:dyDescent="0.25">
      <c r="A19" s="41" t="s">
        <v>50</v>
      </c>
      <c r="B19" s="7">
        <v>8</v>
      </c>
      <c r="C19" s="7">
        <v>9</v>
      </c>
      <c r="D19" s="7">
        <v>7</v>
      </c>
      <c r="E19" s="7">
        <v>19</v>
      </c>
      <c r="F19" s="7">
        <v>9</v>
      </c>
      <c r="G19" s="7">
        <v>13</v>
      </c>
      <c r="H19" s="7">
        <v>7</v>
      </c>
      <c r="I19" s="7">
        <v>15</v>
      </c>
      <c r="J19" s="7">
        <v>6</v>
      </c>
      <c r="K19" s="7">
        <v>7</v>
      </c>
      <c r="L19" s="7">
        <v>9</v>
      </c>
      <c r="M19" s="7">
        <v>5</v>
      </c>
      <c r="N19" s="7">
        <v>7</v>
      </c>
      <c r="O19" s="7">
        <v>5</v>
      </c>
      <c r="P19" s="7">
        <v>19</v>
      </c>
      <c r="Q19" s="7">
        <v>3</v>
      </c>
      <c r="R19" s="7">
        <v>6</v>
      </c>
      <c r="S19" s="7">
        <v>6</v>
      </c>
      <c r="T19" s="7">
        <v>9</v>
      </c>
      <c r="U19" s="7">
        <v>7</v>
      </c>
      <c r="V19" s="7">
        <v>10</v>
      </c>
      <c r="W19" s="7">
        <v>10</v>
      </c>
      <c r="X19" s="7">
        <v>5</v>
      </c>
      <c r="Y19" s="7">
        <v>6</v>
      </c>
      <c r="Z19" s="7">
        <v>8</v>
      </c>
      <c r="AA19" s="7">
        <v>12</v>
      </c>
      <c r="AB19" s="7">
        <v>7</v>
      </c>
      <c r="AC19" s="7">
        <v>3</v>
      </c>
      <c r="AD19" s="7">
        <v>10</v>
      </c>
      <c r="AE19" s="7">
        <v>5</v>
      </c>
      <c r="AF19" s="8"/>
      <c r="AG19" s="4">
        <f t="shared" si="2"/>
        <v>252</v>
      </c>
    </row>
    <row r="20" spans="1:33" ht="18.75" x14ac:dyDescent="0.25">
      <c r="A20" s="41" t="s">
        <v>33</v>
      </c>
      <c r="B20" s="7">
        <v>10</v>
      </c>
      <c r="C20" s="7">
        <v>3</v>
      </c>
      <c r="D20" s="7">
        <v>8</v>
      </c>
      <c r="E20" s="7">
        <v>5</v>
      </c>
      <c r="F20" s="7">
        <v>7</v>
      </c>
      <c r="G20" s="7">
        <v>3</v>
      </c>
      <c r="H20" s="7">
        <v>14</v>
      </c>
      <c r="I20" s="7">
        <v>5</v>
      </c>
      <c r="J20" s="7">
        <v>7</v>
      </c>
      <c r="K20" s="7">
        <v>5</v>
      </c>
      <c r="L20" s="7">
        <v>3</v>
      </c>
      <c r="M20" s="7">
        <v>3</v>
      </c>
      <c r="N20" s="7">
        <v>7</v>
      </c>
      <c r="O20" s="7">
        <v>7</v>
      </c>
      <c r="P20" s="7">
        <v>3</v>
      </c>
      <c r="Q20" s="7">
        <v>6</v>
      </c>
      <c r="R20" s="7">
        <v>5</v>
      </c>
      <c r="S20" s="7">
        <v>3</v>
      </c>
      <c r="T20" s="7">
        <v>5</v>
      </c>
      <c r="U20" s="7">
        <v>6</v>
      </c>
      <c r="V20" s="7">
        <v>7</v>
      </c>
      <c r="W20" s="7"/>
      <c r="X20" s="7">
        <v>6</v>
      </c>
      <c r="Y20" s="7">
        <v>5</v>
      </c>
      <c r="Z20" s="7">
        <v>4</v>
      </c>
      <c r="AA20" s="7">
        <v>4</v>
      </c>
      <c r="AB20" s="7">
        <v>4</v>
      </c>
      <c r="AC20" s="7">
        <v>4</v>
      </c>
      <c r="AD20" s="7">
        <v>2</v>
      </c>
      <c r="AE20" s="7">
        <v>3</v>
      </c>
      <c r="AF20" s="8"/>
      <c r="AG20" s="4">
        <f t="shared" si="2"/>
        <v>154</v>
      </c>
    </row>
    <row r="21" spans="1:33" ht="18.75" x14ac:dyDescent="0.25">
      <c r="A21" s="41" t="s">
        <v>34</v>
      </c>
      <c r="B21" s="7">
        <v>5</v>
      </c>
      <c r="C21" s="7">
        <v>4</v>
      </c>
      <c r="D21" s="7">
        <v>5</v>
      </c>
      <c r="E21" s="7">
        <v>4</v>
      </c>
      <c r="F21" s="7">
        <v>2</v>
      </c>
      <c r="G21" s="7">
        <v>2</v>
      </c>
      <c r="H21" s="7">
        <v>4</v>
      </c>
      <c r="I21" s="7">
        <v>1</v>
      </c>
      <c r="J21" s="7">
        <v>5</v>
      </c>
      <c r="K21" s="7">
        <v>4</v>
      </c>
      <c r="L21" s="7">
        <v>4</v>
      </c>
      <c r="M21" s="7">
        <v>2</v>
      </c>
      <c r="N21" s="7">
        <v>5</v>
      </c>
      <c r="O21" s="7">
        <v>5</v>
      </c>
      <c r="P21" s="7">
        <v>4</v>
      </c>
      <c r="Q21" s="7">
        <v>5</v>
      </c>
      <c r="R21" s="7">
        <v>2</v>
      </c>
      <c r="S21" s="7">
        <v>3</v>
      </c>
      <c r="T21" s="7">
        <v>1</v>
      </c>
      <c r="U21" s="7">
        <v>3</v>
      </c>
      <c r="V21" s="7">
        <v>3</v>
      </c>
      <c r="W21" s="7">
        <v>2</v>
      </c>
      <c r="X21" s="7">
        <v>8</v>
      </c>
      <c r="Y21" s="7">
        <v>3</v>
      </c>
      <c r="Z21" s="7">
        <v>6</v>
      </c>
      <c r="AA21" s="7">
        <v>1</v>
      </c>
      <c r="AB21" s="7"/>
      <c r="AC21" s="7">
        <v>1</v>
      </c>
      <c r="AD21" s="7">
        <v>6</v>
      </c>
      <c r="AE21" s="7">
        <v>4</v>
      </c>
      <c r="AF21" s="8"/>
      <c r="AG21" s="4">
        <f t="shared" si="2"/>
        <v>104</v>
      </c>
    </row>
    <row r="22" spans="1:33" ht="18.75" x14ac:dyDescent="0.25">
      <c r="A22" s="41" t="s">
        <v>35</v>
      </c>
      <c r="B22" s="7">
        <v>2</v>
      </c>
      <c r="C22" s="7">
        <v>4</v>
      </c>
      <c r="D22" s="7">
        <v>1</v>
      </c>
      <c r="E22" s="7">
        <v>1</v>
      </c>
      <c r="F22" s="7">
        <v>2</v>
      </c>
      <c r="G22" s="7">
        <v>1</v>
      </c>
      <c r="H22" s="7"/>
      <c r="I22" s="7">
        <v>3</v>
      </c>
      <c r="J22" s="7">
        <v>7</v>
      </c>
      <c r="K22" s="7">
        <v>2</v>
      </c>
      <c r="L22" s="7">
        <v>3</v>
      </c>
      <c r="M22" s="7"/>
      <c r="N22" s="7">
        <v>5</v>
      </c>
      <c r="O22" s="7">
        <v>1</v>
      </c>
      <c r="P22" s="7">
        <v>3</v>
      </c>
      <c r="Q22" s="7">
        <v>2</v>
      </c>
      <c r="R22" s="7">
        <v>3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3</v>
      </c>
      <c r="Y22" s="7"/>
      <c r="Z22" s="7">
        <v>3</v>
      </c>
      <c r="AA22" s="7">
        <v>1</v>
      </c>
      <c r="AB22" s="7">
        <v>3</v>
      </c>
      <c r="AC22" s="7"/>
      <c r="AD22" s="7">
        <v>4</v>
      </c>
      <c r="AE22" s="7">
        <v>4</v>
      </c>
      <c r="AF22" s="8"/>
      <c r="AG22" s="4">
        <f t="shared" si="2"/>
        <v>63</v>
      </c>
    </row>
    <row r="23" spans="1:33" ht="18.75" x14ac:dyDescent="0.25">
      <c r="A23" s="41" t="s">
        <v>36</v>
      </c>
      <c r="B23" s="7"/>
      <c r="C23" s="7">
        <v>1</v>
      </c>
      <c r="D23" s="7">
        <v>3</v>
      </c>
      <c r="E23" s="7"/>
      <c r="F23" s="7"/>
      <c r="G23" s="7">
        <v>3</v>
      </c>
      <c r="H23" s="7">
        <v>1</v>
      </c>
      <c r="I23" s="7">
        <v>1</v>
      </c>
      <c r="J23" s="7">
        <v>1</v>
      </c>
      <c r="K23" s="7">
        <v>2</v>
      </c>
      <c r="L23" s="7"/>
      <c r="M23" s="7">
        <v>1</v>
      </c>
      <c r="N23" s="7"/>
      <c r="O23" s="7">
        <v>2</v>
      </c>
      <c r="P23" s="7">
        <v>3</v>
      </c>
      <c r="Q23" s="7">
        <v>2</v>
      </c>
      <c r="R23" s="7"/>
      <c r="S23" s="7">
        <v>1</v>
      </c>
      <c r="T23" s="7">
        <v>1</v>
      </c>
      <c r="U23" s="7">
        <v>2</v>
      </c>
      <c r="V23" s="7">
        <v>3</v>
      </c>
      <c r="W23" s="7">
        <v>4</v>
      </c>
      <c r="X23" s="7">
        <v>2</v>
      </c>
      <c r="Y23" s="7"/>
      <c r="Z23" s="7">
        <v>1</v>
      </c>
      <c r="AA23" s="7">
        <v>2</v>
      </c>
      <c r="AB23" s="7">
        <v>1</v>
      </c>
      <c r="AC23" s="7">
        <v>3</v>
      </c>
      <c r="AD23" s="7"/>
      <c r="AE23" s="7"/>
      <c r="AF23" s="8"/>
      <c r="AG23" s="4">
        <f t="shared" si="2"/>
        <v>40</v>
      </c>
    </row>
    <row r="24" spans="1:33" ht="18.75" x14ac:dyDescent="0.25">
      <c r="A24" s="41" t="s">
        <v>51</v>
      </c>
      <c r="B24" s="7"/>
      <c r="C24" s="7"/>
      <c r="D24" s="7">
        <v>2</v>
      </c>
      <c r="E24" s="7">
        <v>2</v>
      </c>
      <c r="F24" s="7">
        <v>2</v>
      </c>
      <c r="G24" s="7"/>
      <c r="H24" s="7">
        <v>2</v>
      </c>
      <c r="I24" s="7">
        <v>2</v>
      </c>
      <c r="J24" s="7">
        <v>2</v>
      </c>
      <c r="K24" s="7">
        <v>4</v>
      </c>
      <c r="L24" s="7"/>
      <c r="M24" s="7">
        <v>1</v>
      </c>
      <c r="N24" s="7"/>
      <c r="O24" s="7">
        <v>2</v>
      </c>
      <c r="P24" s="7">
        <v>2</v>
      </c>
      <c r="Q24" s="7">
        <v>2</v>
      </c>
      <c r="R24" s="7">
        <v>1</v>
      </c>
      <c r="S24" s="7">
        <v>1</v>
      </c>
      <c r="T24" s="7"/>
      <c r="U24" s="7"/>
      <c r="V24" s="7">
        <v>3</v>
      </c>
      <c r="W24" s="7"/>
      <c r="X24" s="7"/>
      <c r="Y24" s="7">
        <v>3</v>
      </c>
      <c r="Z24" s="7"/>
      <c r="AA24" s="7">
        <v>1</v>
      </c>
      <c r="AB24" s="7"/>
      <c r="AC24" s="7"/>
      <c r="AD24" s="7">
        <v>5</v>
      </c>
      <c r="AE24" s="7">
        <v>1</v>
      </c>
      <c r="AF24" s="8"/>
      <c r="AG24" s="4">
        <f t="shared" si="2"/>
        <v>38</v>
      </c>
    </row>
    <row r="25" spans="1:33" ht="18.75" x14ac:dyDescent="0.25">
      <c r="A25" s="41" t="s">
        <v>52</v>
      </c>
      <c r="B25" s="7">
        <v>1</v>
      </c>
      <c r="C25" s="7"/>
      <c r="D25" s="7">
        <v>1</v>
      </c>
      <c r="E25" s="7"/>
      <c r="F25" s="7"/>
      <c r="G25" s="7">
        <v>2</v>
      </c>
      <c r="H25" s="7">
        <v>1</v>
      </c>
      <c r="I25" s="7">
        <v>3</v>
      </c>
      <c r="J25" s="7">
        <v>1</v>
      </c>
      <c r="K25" s="7">
        <v>1</v>
      </c>
      <c r="L25" s="7"/>
      <c r="M25" s="7"/>
      <c r="N25" s="7">
        <v>1</v>
      </c>
      <c r="O25" s="7">
        <v>2</v>
      </c>
      <c r="P25" s="7">
        <v>1</v>
      </c>
      <c r="Q25" s="7"/>
      <c r="R25" s="7"/>
      <c r="S25" s="7"/>
      <c r="T25" s="7">
        <v>3</v>
      </c>
      <c r="U25" s="7">
        <v>1</v>
      </c>
      <c r="V25" s="7">
        <v>2</v>
      </c>
      <c r="W25" s="7">
        <v>1</v>
      </c>
      <c r="X25" s="7">
        <v>1</v>
      </c>
      <c r="Y25" s="7">
        <v>1</v>
      </c>
      <c r="Z25" s="7"/>
      <c r="AA25" s="7">
        <v>1</v>
      </c>
      <c r="AB25" s="7"/>
      <c r="AC25" s="7">
        <v>3</v>
      </c>
      <c r="AD25" s="7"/>
      <c r="AE25" s="7">
        <v>4</v>
      </c>
      <c r="AF25" s="8"/>
      <c r="AG25" s="4">
        <f t="shared" si="2"/>
        <v>31</v>
      </c>
    </row>
    <row r="26" spans="1:33" ht="18.75" x14ac:dyDescent="0.25">
      <c r="A26" s="41" t="s">
        <v>37</v>
      </c>
      <c r="B26" s="7">
        <v>4</v>
      </c>
      <c r="C26" s="7">
        <v>1</v>
      </c>
      <c r="D26" s="7"/>
      <c r="E26" s="7">
        <v>1</v>
      </c>
      <c r="F26" s="7"/>
      <c r="G26" s="7">
        <v>3</v>
      </c>
      <c r="H26" s="7">
        <v>1</v>
      </c>
      <c r="I26" s="7">
        <v>1</v>
      </c>
      <c r="J26" s="7"/>
      <c r="K26" s="7"/>
      <c r="L26" s="7"/>
      <c r="M26" s="7">
        <v>3</v>
      </c>
      <c r="N26" s="7">
        <v>2</v>
      </c>
      <c r="O26" s="7"/>
      <c r="P26" s="7"/>
      <c r="Q26" s="7">
        <v>1</v>
      </c>
      <c r="R26" s="7">
        <v>1</v>
      </c>
      <c r="S26" s="7"/>
      <c r="T26" s="7"/>
      <c r="U26" s="7"/>
      <c r="V26" s="7"/>
      <c r="W26" s="7">
        <v>2</v>
      </c>
      <c r="X26" s="7">
        <v>1</v>
      </c>
      <c r="Y26" s="7"/>
      <c r="Z26" s="7"/>
      <c r="AA26" s="7">
        <v>1</v>
      </c>
      <c r="AB26" s="7">
        <v>2</v>
      </c>
      <c r="AC26" s="7"/>
      <c r="AD26" s="7">
        <v>1</v>
      </c>
      <c r="AE26" s="7">
        <v>1</v>
      </c>
      <c r="AF26" s="8"/>
      <c r="AG26" s="4">
        <f t="shared" si="2"/>
        <v>26</v>
      </c>
    </row>
    <row r="27" spans="1:33" ht="19.5" thickBot="1" x14ac:dyDescent="0.3">
      <c r="A27" s="81" t="s">
        <v>53</v>
      </c>
      <c r="B27" s="78"/>
      <c r="C27" s="78"/>
      <c r="D27" s="78"/>
      <c r="E27" s="78">
        <v>1</v>
      </c>
      <c r="F27" s="78">
        <v>1</v>
      </c>
      <c r="G27" s="78"/>
      <c r="H27" s="78">
        <v>2</v>
      </c>
      <c r="I27" s="78">
        <v>3</v>
      </c>
      <c r="J27" s="78"/>
      <c r="K27" s="78"/>
      <c r="L27" s="78"/>
      <c r="M27" s="78"/>
      <c r="N27" s="78">
        <v>1</v>
      </c>
      <c r="O27" s="78">
        <v>8</v>
      </c>
      <c r="P27" s="78">
        <v>1</v>
      </c>
      <c r="Q27" s="78"/>
      <c r="R27" s="78">
        <v>1</v>
      </c>
      <c r="S27" s="78"/>
      <c r="T27" s="78">
        <v>1</v>
      </c>
      <c r="U27" s="78"/>
      <c r="V27" s="78"/>
      <c r="W27" s="78">
        <v>1</v>
      </c>
      <c r="X27" s="78">
        <v>1</v>
      </c>
      <c r="Y27" s="78"/>
      <c r="Z27" s="78">
        <v>1</v>
      </c>
      <c r="AA27" s="78"/>
      <c r="AB27" s="78">
        <v>1</v>
      </c>
      <c r="AC27" s="78">
        <v>1</v>
      </c>
      <c r="AD27" s="78">
        <v>5</v>
      </c>
      <c r="AE27" s="78">
        <v>2</v>
      </c>
      <c r="AF27" s="83"/>
      <c r="AG27" s="4">
        <f t="shared" si="2"/>
        <v>31</v>
      </c>
    </row>
    <row r="28" spans="1:33" ht="18.75" x14ac:dyDescent="0.25">
      <c r="A28" s="79" t="s">
        <v>107</v>
      </c>
      <c r="B28" s="80">
        <f>SUM(B29:B52)</f>
        <v>267</v>
      </c>
      <c r="C28" s="80">
        <f t="shared" ref="C28:AF28" si="3">SUM(C29:C52)</f>
        <v>208</v>
      </c>
      <c r="D28" s="80">
        <f t="shared" si="3"/>
        <v>181</v>
      </c>
      <c r="E28" s="80">
        <f t="shared" si="3"/>
        <v>157</v>
      </c>
      <c r="F28" s="80">
        <f t="shared" si="3"/>
        <v>175</v>
      </c>
      <c r="G28" s="80">
        <f t="shared" si="3"/>
        <v>152</v>
      </c>
      <c r="H28" s="80">
        <f t="shared" si="3"/>
        <v>159</v>
      </c>
      <c r="I28" s="80">
        <f t="shared" si="3"/>
        <v>244</v>
      </c>
      <c r="J28" s="80">
        <f t="shared" si="3"/>
        <v>240</v>
      </c>
      <c r="K28" s="80">
        <f t="shared" si="3"/>
        <v>198</v>
      </c>
      <c r="L28" s="80">
        <f t="shared" si="3"/>
        <v>183</v>
      </c>
      <c r="M28" s="80">
        <f t="shared" si="3"/>
        <v>168</v>
      </c>
      <c r="N28" s="80">
        <f t="shared" si="3"/>
        <v>176</v>
      </c>
      <c r="O28" s="80">
        <f t="shared" si="3"/>
        <v>177</v>
      </c>
      <c r="P28" s="80">
        <f t="shared" si="3"/>
        <v>208</v>
      </c>
      <c r="Q28" s="80">
        <f t="shared" si="3"/>
        <v>224</v>
      </c>
      <c r="R28" s="80">
        <f t="shared" si="3"/>
        <v>179</v>
      </c>
      <c r="S28" s="80">
        <f t="shared" si="3"/>
        <v>175</v>
      </c>
      <c r="T28" s="80">
        <f t="shared" si="3"/>
        <v>174</v>
      </c>
      <c r="U28" s="80">
        <f t="shared" si="3"/>
        <v>166</v>
      </c>
      <c r="V28" s="80">
        <f t="shared" si="3"/>
        <v>148</v>
      </c>
      <c r="W28" s="80">
        <f t="shared" si="3"/>
        <v>234</v>
      </c>
      <c r="X28" s="80">
        <f t="shared" si="3"/>
        <v>276</v>
      </c>
      <c r="Y28" s="80">
        <f t="shared" si="3"/>
        <v>152</v>
      </c>
      <c r="Z28" s="80">
        <f t="shared" si="3"/>
        <v>177</v>
      </c>
      <c r="AA28" s="80">
        <f t="shared" si="3"/>
        <v>136</v>
      </c>
      <c r="AB28" s="80">
        <f t="shared" si="3"/>
        <v>127</v>
      </c>
      <c r="AC28" s="80">
        <f t="shared" si="3"/>
        <v>74</v>
      </c>
      <c r="AD28" s="80">
        <f t="shared" si="3"/>
        <v>198</v>
      </c>
      <c r="AE28" s="80">
        <f>SUM(AE29:AE52)</f>
        <v>253</v>
      </c>
      <c r="AF28" s="80">
        <f t="shared" si="3"/>
        <v>0</v>
      </c>
      <c r="AG28" s="150">
        <f t="shared" si="2"/>
        <v>5586</v>
      </c>
    </row>
    <row r="29" spans="1:33" ht="18.75" x14ac:dyDescent="0.25">
      <c r="A29" s="41" t="s">
        <v>54</v>
      </c>
      <c r="B29" s="7">
        <v>4</v>
      </c>
      <c r="C29" s="7">
        <v>1</v>
      </c>
      <c r="D29" s="7"/>
      <c r="E29" s="7"/>
      <c r="F29" s="7"/>
      <c r="G29" s="7"/>
      <c r="H29" s="7">
        <v>1</v>
      </c>
      <c r="I29" s="7">
        <v>4</v>
      </c>
      <c r="J29" s="7">
        <v>4</v>
      </c>
      <c r="K29" s="7"/>
      <c r="L29" s="7"/>
      <c r="M29" s="7"/>
      <c r="N29" s="7"/>
      <c r="O29" s="7">
        <v>4</v>
      </c>
      <c r="P29" s="7"/>
      <c r="Q29" s="7">
        <v>3</v>
      </c>
      <c r="R29" s="7"/>
      <c r="S29" s="7"/>
      <c r="T29" s="7"/>
      <c r="U29" s="7"/>
      <c r="V29" s="7"/>
      <c r="W29" s="7">
        <v>4</v>
      </c>
      <c r="X29" s="7">
        <v>1</v>
      </c>
      <c r="Y29" s="7"/>
      <c r="Z29" s="7"/>
      <c r="AA29" s="7"/>
      <c r="AB29" s="7"/>
      <c r="AC29" s="7"/>
      <c r="AD29" s="7">
        <v>4</v>
      </c>
      <c r="AE29" s="7">
        <v>1</v>
      </c>
      <c r="AF29" s="8"/>
      <c r="AG29" s="4">
        <f t="shared" si="2"/>
        <v>31</v>
      </c>
    </row>
    <row r="30" spans="1:33" ht="18.75" x14ac:dyDescent="0.25">
      <c r="A30" s="41" t="s">
        <v>55</v>
      </c>
      <c r="B30" s="7">
        <v>10</v>
      </c>
      <c r="C30" s="7">
        <v>5</v>
      </c>
      <c r="D30" s="7"/>
      <c r="E30" s="7"/>
      <c r="F30" s="7"/>
      <c r="G30" s="7"/>
      <c r="H30" s="7"/>
      <c r="I30" s="7">
        <v>10</v>
      </c>
      <c r="J30" s="7">
        <v>6</v>
      </c>
      <c r="K30" s="7"/>
      <c r="L30" s="7"/>
      <c r="M30" s="7"/>
      <c r="N30" s="7"/>
      <c r="O30" s="7">
        <v>2</v>
      </c>
      <c r="P30" s="7">
        <v>4</v>
      </c>
      <c r="Q30" s="7">
        <v>5</v>
      </c>
      <c r="R30" s="7"/>
      <c r="S30" s="7"/>
      <c r="T30" s="7"/>
      <c r="U30" s="7"/>
      <c r="V30" s="7"/>
      <c r="W30" s="7">
        <v>7</v>
      </c>
      <c r="X30" s="7">
        <v>4</v>
      </c>
      <c r="Y30" s="7"/>
      <c r="Z30" s="7"/>
      <c r="AA30" s="7"/>
      <c r="AB30" s="7"/>
      <c r="AC30" s="7"/>
      <c r="AD30" s="7">
        <v>7</v>
      </c>
      <c r="AE30" s="7">
        <v>2</v>
      </c>
      <c r="AF30" s="8"/>
      <c r="AG30" s="4">
        <f t="shared" si="2"/>
        <v>62</v>
      </c>
    </row>
    <row r="31" spans="1:33" ht="18.75" x14ac:dyDescent="0.25">
      <c r="A31" s="41" t="s">
        <v>56</v>
      </c>
      <c r="B31" s="7">
        <v>14</v>
      </c>
      <c r="C31" s="7">
        <v>14</v>
      </c>
      <c r="D31" s="7"/>
      <c r="E31" s="7"/>
      <c r="F31" s="7"/>
      <c r="G31" s="7"/>
      <c r="H31" s="7"/>
      <c r="I31" s="7">
        <v>15</v>
      </c>
      <c r="J31" s="7">
        <v>4</v>
      </c>
      <c r="K31" s="7"/>
      <c r="L31" s="7"/>
      <c r="M31" s="7"/>
      <c r="N31" s="7"/>
      <c r="O31" s="7"/>
      <c r="P31" s="7">
        <v>8</v>
      </c>
      <c r="Q31" s="7">
        <v>7</v>
      </c>
      <c r="R31" s="7"/>
      <c r="S31" s="7"/>
      <c r="T31" s="7"/>
      <c r="U31" s="7"/>
      <c r="V31" s="7"/>
      <c r="W31" s="7">
        <v>13</v>
      </c>
      <c r="X31" s="7">
        <v>22</v>
      </c>
      <c r="Y31" s="7"/>
      <c r="Z31" s="7"/>
      <c r="AA31" s="7"/>
      <c r="AB31" s="7"/>
      <c r="AC31" s="7"/>
      <c r="AD31" s="7">
        <v>6</v>
      </c>
      <c r="AE31" s="7">
        <v>11</v>
      </c>
      <c r="AF31" s="8"/>
      <c r="AG31" s="4">
        <f t="shared" si="2"/>
        <v>114</v>
      </c>
    </row>
    <row r="32" spans="1:33" ht="18.75" x14ac:dyDescent="0.25">
      <c r="A32" s="41" t="s">
        <v>38</v>
      </c>
      <c r="B32" s="7">
        <v>18</v>
      </c>
      <c r="C32" s="7">
        <v>11</v>
      </c>
      <c r="D32" s="7"/>
      <c r="E32" s="7"/>
      <c r="F32" s="7"/>
      <c r="G32" s="7"/>
      <c r="H32" s="7"/>
      <c r="I32" s="7">
        <v>16</v>
      </c>
      <c r="J32" s="7">
        <v>11</v>
      </c>
      <c r="K32" s="7"/>
      <c r="L32" s="7"/>
      <c r="M32" s="7"/>
      <c r="N32" s="7"/>
      <c r="O32" s="7"/>
      <c r="P32" s="7">
        <v>9</v>
      </c>
      <c r="Q32" s="7">
        <v>16</v>
      </c>
      <c r="R32" s="7"/>
      <c r="S32" s="7"/>
      <c r="T32" s="7"/>
      <c r="U32" s="7"/>
      <c r="V32" s="7"/>
      <c r="W32" s="7">
        <v>18</v>
      </c>
      <c r="X32" s="7">
        <v>27</v>
      </c>
      <c r="Y32" s="7"/>
      <c r="Z32" s="7"/>
      <c r="AA32" s="7"/>
      <c r="AB32" s="7"/>
      <c r="AC32" s="7"/>
      <c r="AD32" s="7">
        <v>13</v>
      </c>
      <c r="AE32" s="7">
        <v>16</v>
      </c>
      <c r="AF32" s="8"/>
      <c r="AG32" s="4">
        <f t="shared" si="2"/>
        <v>155</v>
      </c>
    </row>
    <row r="33" spans="1:33" ht="18.75" x14ac:dyDescent="0.25">
      <c r="A33" s="41" t="s">
        <v>39</v>
      </c>
      <c r="B33" s="7">
        <v>10</v>
      </c>
      <c r="C33" s="7">
        <v>12</v>
      </c>
      <c r="D33" s="7"/>
      <c r="E33" s="7"/>
      <c r="F33" s="7"/>
      <c r="G33" s="7"/>
      <c r="H33" s="7"/>
      <c r="I33" s="7">
        <v>11</v>
      </c>
      <c r="J33" s="7">
        <v>11</v>
      </c>
      <c r="K33" s="7"/>
      <c r="L33" s="7"/>
      <c r="M33" s="7"/>
      <c r="N33" s="7"/>
      <c r="O33" s="7"/>
      <c r="P33" s="7">
        <v>11</v>
      </c>
      <c r="Q33" s="7">
        <v>13</v>
      </c>
      <c r="R33" s="7"/>
      <c r="S33" s="7"/>
      <c r="T33" s="7"/>
      <c r="U33" s="7"/>
      <c r="V33" s="7"/>
      <c r="W33" s="7">
        <v>11</v>
      </c>
      <c r="X33" s="7">
        <v>18</v>
      </c>
      <c r="Y33" s="7">
        <v>1</v>
      </c>
      <c r="Z33" s="7"/>
      <c r="AA33" s="7"/>
      <c r="AB33" s="7"/>
      <c r="AC33" s="7"/>
      <c r="AD33" s="7">
        <v>8</v>
      </c>
      <c r="AE33" s="7">
        <v>13</v>
      </c>
      <c r="AF33" s="8"/>
      <c r="AG33" s="4">
        <f t="shared" si="2"/>
        <v>119</v>
      </c>
    </row>
    <row r="34" spans="1:33" ht="18.75" x14ac:dyDescent="0.25">
      <c r="A34" s="41" t="s">
        <v>40</v>
      </c>
      <c r="B34" s="7">
        <v>17</v>
      </c>
      <c r="C34" s="7">
        <v>9</v>
      </c>
      <c r="D34" s="7"/>
      <c r="E34" s="7"/>
      <c r="F34" s="7"/>
      <c r="G34" s="7"/>
      <c r="H34" s="7"/>
      <c r="I34" s="7">
        <v>14</v>
      </c>
      <c r="J34" s="7">
        <v>10</v>
      </c>
      <c r="K34" s="7"/>
      <c r="L34" s="7"/>
      <c r="M34" s="7"/>
      <c r="N34" s="7"/>
      <c r="O34" s="7"/>
      <c r="P34" s="7">
        <v>6</v>
      </c>
      <c r="Q34" s="7">
        <v>11</v>
      </c>
      <c r="R34" s="7"/>
      <c r="S34" s="7"/>
      <c r="T34" s="7"/>
      <c r="U34" s="7"/>
      <c r="V34" s="7"/>
      <c r="W34" s="7">
        <v>8</v>
      </c>
      <c r="X34" s="7">
        <v>17</v>
      </c>
      <c r="Y34" s="7"/>
      <c r="Z34" s="7"/>
      <c r="AA34" s="7"/>
      <c r="AB34" s="7"/>
      <c r="AC34" s="7"/>
      <c r="AD34" s="7">
        <v>8</v>
      </c>
      <c r="AE34" s="7">
        <v>12</v>
      </c>
      <c r="AF34" s="8"/>
      <c r="AG34" s="4">
        <f t="shared" si="2"/>
        <v>112</v>
      </c>
    </row>
    <row r="35" spans="1:33" ht="18.75" x14ac:dyDescent="0.25">
      <c r="A35" s="41" t="s">
        <v>41</v>
      </c>
      <c r="B35" s="7">
        <v>19</v>
      </c>
      <c r="C35" s="7">
        <v>6</v>
      </c>
      <c r="D35" s="7"/>
      <c r="E35" s="7"/>
      <c r="F35" s="7"/>
      <c r="G35" s="7"/>
      <c r="H35" s="7"/>
      <c r="I35" s="7">
        <v>14</v>
      </c>
      <c r="J35" s="7">
        <v>11</v>
      </c>
      <c r="K35" s="7"/>
      <c r="L35" s="7"/>
      <c r="M35" s="7"/>
      <c r="N35" s="7"/>
      <c r="O35" s="7"/>
      <c r="P35" s="7">
        <v>7</v>
      </c>
      <c r="Q35" s="7">
        <v>10</v>
      </c>
      <c r="R35" s="7"/>
      <c r="S35" s="7"/>
      <c r="T35" s="7"/>
      <c r="U35" s="7"/>
      <c r="V35" s="7"/>
      <c r="W35" s="7">
        <v>12</v>
      </c>
      <c r="X35" s="7">
        <v>19</v>
      </c>
      <c r="Y35" s="7"/>
      <c r="Z35" s="7"/>
      <c r="AA35" s="7"/>
      <c r="AB35" s="7"/>
      <c r="AC35" s="7"/>
      <c r="AD35" s="7">
        <v>8</v>
      </c>
      <c r="AE35" s="7">
        <v>13</v>
      </c>
      <c r="AF35" s="8"/>
      <c r="AG35" s="4">
        <f t="shared" si="2"/>
        <v>119</v>
      </c>
    </row>
    <row r="36" spans="1:33" ht="18.75" x14ac:dyDescent="0.25">
      <c r="A36" s="41" t="s">
        <v>42</v>
      </c>
      <c r="B36" s="7">
        <v>14</v>
      </c>
      <c r="C36" s="7">
        <v>9</v>
      </c>
      <c r="D36" s="7"/>
      <c r="E36" s="7"/>
      <c r="F36" s="7"/>
      <c r="G36" s="7"/>
      <c r="H36" s="7"/>
      <c r="I36" s="7">
        <v>19</v>
      </c>
      <c r="J36" s="7">
        <v>15</v>
      </c>
      <c r="K36" s="7"/>
      <c r="L36" s="7"/>
      <c r="M36" s="7"/>
      <c r="N36" s="7"/>
      <c r="O36" s="7"/>
      <c r="P36" s="7">
        <v>18</v>
      </c>
      <c r="Q36" s="7">
        <v>15</v>
      </c>
      <c r="R36" s="7"/>
      <c r="S36" s="7"/>
      <c r="T36" s="7"/>
      <c r="U36" s="7"/>
      <c r="V36" s="7"/>
      <c r="W36" s="7">
        <v>13</v>
      </c>
      <c r="X36" s="7">
        <v>18</v>
      </c>
      <c r="Y36" s="7"/>
      <c r="Z36" s="7"/>
      <c r="AA36" s="7"/>
      <c r="AB36" s="7"/>
      <c r="AC36" s="7"/>
      <c r="AD36" s="7">
        <v>13</v>
      </c>
      <c r="AE36" s="7">
        <v>13</v>
      </c>
      <c r="AF36" s="8"/>
      <c r="AG36" s="4">
        <f t="shared" si="2"/>
        <v>147</v>
      </c>
    </row>
    <row r="37" spans="1:33" ht="18.75" x14ac:dyDescent="0.25">
      <c r="A37" s="41" t="s">
        <v>43</v>
      </c>
      <c r="B37" s="7">
        <v>12</v>
      </c>
      <c r="C37" s="7">
        <v>11</v>
      </c>
      <c r="D37" s="7"/>
      <c r="E37" s="7"/>
      <c r="F37" s="7"/>
      <c r="G37" s="7"/>
      <c r="H37" s="7"/>
      <c r="I37" s="7">
        <v>11</v>
      </c>
      <c r="J37" s="7">
        <v>17</v>
      </c>
      <c r="K37" s="7"/>
      <c r="L37" s="7"/>
      <c r="M37" s="7"/>
      <c r="N37" s="7"/>
      <c r="O37" s="7">
        <v>1</v>
      </c>
      <c r="P37" s="7">
        <v>17</v>
      </c>
      <c r="Q37" s="7">
        <v>18</v>
      </c>
      <c r="R37" s="7"/>
      <c r="S37" s="7"/>
      <c r="T37" s="7"/>
      <c r="U37" s="7"/>
      <c r="V37" s="7"/>
      <c r="W37" s="7">
        <v>18</v>
      </c>
      <c r="X37" s="7">
        <v>16</v>
      </c>
      <c r="Y37" s="7"/>
      <c r="Z37" s="7"/>
      <c r="AA37" s="7"/>
      <c r="AB37" s="7"/>
      <c r="AC37" s="7"/>
      <c r="AD37" s="7">
        <v>15</v>
      </c>
      <c r="AE37" s="7">
        <v>21</v>
      </c>
      <c r="AF37" s="8"/>
      <c r="AG37" s="4">
        <f t="shared" si="2"/>
        <v>157</v>
      </c>
    </row>
    <row r="38" spans="1:33" ht="18.75" x14ac:dyDescent="0.25">
      <c r="A38" s="41" t="s">
        <v>44</v>
      </c>
      <c r="B38" s="7">
        <v>17</v>
      </c>
      <c r="C38" s="7">
        <v>21</v>
      </c>
      <c r="D38" s="7">
        <v>3</v>
      </c>
      <c r="E38" s="7">
        <v>4</v>
      </c>
      <c r="F38" s="7">
        <v>9</v>
      </c>
      <c r="G38" s="7">
        <v>7</v>
      </c>
      <c r="H38" s="7">
        <v>7</v>
      </c>
      <c r="I38" s="7">
        <v>15</v>
      </c>
      <c r="J38" s="7">
        <v>20</v>
      </c>
      <c r="K38" s="7">
        <v>7</v>
      </c>
      <c r="L38" s="7">
        <v>13</v>
      </c>
      <c r="M38" s="7">
        <v>6</v>
      </c>
      <c r="N38" s="7">
        <v>11</v>
      </c>
      <c r="O38" s="7">
        <v>7</v>
      </c>
      <c r="P38" s="7">
        <v>17</v>
      </c>
      <c r="Q38" s="7">
        <v>19</v>
      </c>
      <c r="R38" s="7">
        <v>4</v>
      </c>
      <c r="S38" s="7">
        <v>9</v>
      </c>
      <c r="T38" s="7">
        <v>1</v>
      </c>
      <c r="U38" s="7">
        <v>11</v>
      </c>
      <c r="V38" s="7">
        <v>9</v>
      </c>
      <c r="W38" s="7">
        <v>21</v>
      </c>
      <c r="X38" s="7">
        <v>17</v>
      </c>
      <c r="Y38" s="7">
        <v>8</v>
      </c>
      <c r="Z38" s="7">
        <v>12</v>
      </c>
      <c r="AA38" s="7">
        <v>8</v>
      </c>
      <c r="AB38" s="7">
        <v>9</v>
      </c>
      <c r="AC38" s="7">
        <v>4</v>
      </c>
      <c r="AD38" s="7">
        <v>11</v>
      </c>
      <c r="AE38" s="7">
        <v>22</v>
      </c>
      <c r="AF38" s="8"/>
      <c r="AG38" s="4">
        <f t="shared" si="2"/>
        <v>329</v>
      </c>
    </row>
    <row r="39" spans="1:33" ht="18.75" x14ac:dyDescent="0.25">
      <c r="A39" s="41" t="s">
        <v>45</v>
      </c>
      <c r="B39" s="7">
        <v>17</v>
      </c>
      <c r="C39" s="7">
        <v>18</v>
      </c>
      <c r="D39" s="7">
        <v>22</v>
      </c>
      <c r="E39" s="7">
        <v>19</v>
      </c>
      <c r="F39" s="7">
        <v>26</v>
      </c>
      <c r="G39" s="7">
        <v>13</v>
      </c>
      <c r="H39" s="7">
        <v>24</v>
      </c>
      <c r="I39" s="7">
        <v>12</v>
      </c>
      <c r="J39" s="7">
        <v>23</v>
      </c>
      <c r="K39" s="7">
        <v>27</v>
      </c>
      <c r="L39" s="7">
        <v>25</v>
      </c>
      <c r="M39" s="7">
        <v>25</v>
      </c>
      <c r="N39" s="7">
        <v>27</v>
      </c>
      <c r="O39" s="7">
        <v>23</v>
      </c>
      <c r="P39" s="7">
        <v>12</v>
      </c>
      <c r="Q39" s="7">
        <v>12</v>
      </c>
      <c r="R39" s="7">
        <v>23</v>
      </c>
      <c r="S39" s="7">
        <v>28</v>
      </c>
      <c r="T39" s="7">
        <v>32</v>
      </c>
      <c r="U39" s="7">
        <v>24</v>
      </c>
      <c r="V39" s="7">
        <v>28</v>
      </c>
      <c r="W39" s="7">
        <v>16</v>
      </c>
      <c r="X39" s="7">
        <v>17</v>
      </c>
      <c r="Y39" s="7">
        <v>29</v>
      </c>
      <c r="Z39" s="7">
        <v>26</v>
      </c>
      <c r="AA39" s="7">
        <v>21</v>
      </c>
      <c r="AB39" s="7">
        <v>25</v>
      </c>
      <c r="AC39" s="7">
        <v>21</v>
      </c>
      <c r="AD39" s="7">
        <v>12</v>
      </c>
      <c r="AE39" s="7">
        <v>23</v>
      </c>
      <c r="AF39" s="8"/>
      <c r="AG39" s="4">
        <f t="shared" si="2"/>
        <v>650</v>
      </c>
    </row>
    <row r="40" spans="1:33" ht="18.75" x14ac:dyDescent="0.25">
      <c r="A40" s="41" t="s">
        <v>46</v>
      </c>
      <c r="B40" s="7">
        <v>15</v>
      </c>
      <c r="C40" s="7">
        <v>15</v>
      </c>
      <c r="D40" s="7">
        <v>27</v>
      </c>
      <c r="E40" s="7">
        <v>29</v>
      </c>
      <c r="F40" s="7">
        <v>26</v>
      </c>
      <c r="G40" s="7">
        <v>19</v>
      </c>
      <c r="H40" s="7">
        <v>18</v>
      </c>
      <c r="I40" s="7">
        <v>11</v>
      </c>
      <c r="J40" s="7">
        <v>12</v>
      </c>
      <c r="K40" s="7">
        <v>27</v>
      </c>
      <c r="L40" s="7">
        <v>22</v>
      </c>
      <c r="M40" s="7">
        <v>36</v>
      </c>
      <c r="N40" s="7">
        <v>30</v>
      </c>
      <c r="O40" s="7">
        <v>22</v>
      </c>
      <c r="P40" s="7">
        <v>10</v>
      </c>
      <c r="Q40" s="7">
        <v>20</v>
      </c>
      <c r="R40" s="7">
        <v>39</v>
      </c>
      <c r="S40" s="7">
        <v>24</v>
      </c>
      <c r="T40" s="7">
        <v>32</v>
      </c>
      <c r="U40" s="7">
        <v>39</v>
      </c>
      <c r="V40" s="7">
        <v>25</v>
      </c>
      <c r="W40" s="7">
        <v>13</v>
      </c>
      <c r="X40" s="7">
        <v>17</v>
      </c>
      <c r="Y40" s="7">
        <v>29</v>
      </c>
      <c r="Z40" s="7">
        <v>31</v>
      </c>
      <c r="AA40" s="7">
        <v>27</v>
      </c>
      <c r="AB40" s="7">
        <v>35</v>
      </c>
      <c r="AC40" s="7">
        <v>10</v>
      </c>
      <c r="AD40" s="7">
        <v>13</v>
      </c>
      <c r="AE40" s="7">
        <v>26</v>
      </c>
      <c r="AF40" s="8"/>
      <c r="AG40" s="4">
        <f t="shared" si="2"/>
        <v>699</v>
      </c>
    </row>
    <row r="41" spans="1:33" ht="18.75" x14ac:dyDescent="0.25">
      <c r="A41" s="41" t="s">
        <v>47</v>
      </c>
      <c r="B41" s="7">
        <v>16</v>
      </c>
      <c r="C41" s="7">
        <v>12</v>
      </c>
      <c r="D41" s="7">
        <v>31</v>
      </c>
      <c r="E41" s="7">
        <v>19</v>
      </c>
      <c r="F41" s="7">
        <v>20</v>
      </c>
      <c r="G41" s="7">
        <v>21</v>
      </c>
      <c r="H41" s="7">
        <v>24</v>
      </c>
      <c r="I41" s="7">
        <v>11</v>
      </c>
      <c r="J41" s="7">
        <v>19</v>
      </c>
      <c r="K41" s="7">
        <v>34</v>
      </c>
      <c r="L41" s="7">
        <v>23</v>
      </c>
      <c r="M41" s="7">
        <v>30</v>
      </c>
      <c r="N41" s="7">
        <v>29</v>
      </c>
      <c r="O41" s="7">
        <v>24</v>
      </c>
      <c r="P41" s="7">
        <v>17</v>
      </c>
      <c r="Q41" s="7">
        <v>24</v>
      </c>
      <c r="R41" s="7">
        <v>34</v>
      </c>
      <c r="S41" s="7">
        <v>30</v>
      </c>
      <c r="T41" s="7">
        <v>28</v>
      </c>
      <c r="U41" s="7">
        <v>34</v>
      </c>
      <c r="V41" s="7">
        <v>28</v>
      </c>
      <c r="W41" s="7">
        <v>21</v>
      </c>
      <c r="X41" s="7">
        <v>14</v>
      </c>
      <c r="Y41" s="7">
        <v>28</v>
      </c>
      <c r="Z41" s="7">
        <v>35</v>
      </c>
      <c r="AA41" s="7">
        <v>25</v>
      </c>
      <c r="AB41" s="7">
        <v>14</v>
      </c>
      <c r="AC41" s="7">
        <v>7</v>
      </c>
      <c r="AD41" s="7">
        <v>16</v>
      </c>
      <c r="AE41" s="7">
        <v>24</v>
      </c>
      <c r="AF41" s="8"/>
      <c r="AG41" s="4">
        <f t="shared" si="2"/>
        <v>692</v>
      </c>
    </row>
    <row r="42" spans="1:33" ht="18.75" x14ac:dyDescent="0.25">
      <c r="A42" s="41" t="s">
        <v>48</v>
      </c>
      <c r="B42" s="7">
        <v>22</v>
      </c>
      <c r="C42" s="7">
        <v>7</v>
      </c>
      <c r="D42" s="7">
        <v>33</v>
      </c>
      <c r="E42" s="7">
        <v>23</v>
      </c>
      <c r="F42" s="7">
        <v>12</v>
      </c>
      <c r="G42" s="7">
        <v>23</v>
      </c>
      <c r="H42" s="7">
        <v>20</v>
      </c>
      <c r="I42" s="7">
        <v>14</v>
      </c>
      <c r="J42" s="7">
        <v>11</v>
      </c>
      <c r="K42" s="7">
        <v>31</v>
      </c>
      <c r="L42" s="7">
        <v>23</v>
      </c>
      <c r="M42" s="7">
        <v>25</v>
      </c>
      <c r="N42" s="7">
        <v>17</v>
      </c>
      <c r="O42" s="7">
        <v>27</v>
      </c>
      <c r="P42" s="7">
        <v>16</v>
      </c>
      <c r="Q42" s="7">
        <v>15</v>
      </c>
      <c r="R42" s="7">
        <v>37</v>
      </c>
      <c r="S42" s="7">
        <v>15</v>
      </c>
      <c r="T42" s="7">
        <v>33</v>
      </c>
      <c r="U42" s="7">
        <v>23</v>
      </c>
      <c r="V42" s="7">
        <v>14</v>
      </c>
      <c r="W42" s="7">
        <v>15</v>
      </c>
      <c r="X42" s="7">
        <v>17</v>
      </c>
      <c r="Y42" s="7">
        <v>22</v>
      </c>
      <c r="Z42" s="7">
        <v>30</v>
      </c>
      <c r="AA42" s="7">
        <v>19</v>
      </c>
      <c r="AB42" s="7">
        <v>10</v>
      </c>
      <c r="AC42" s="7">
        <v>5</v>
      </c>
      <c r="AD42" s="7">
        <v>18</v>
      </c>
      <c r="AE42" s="7">
        <v>20</v>
      </c>
      <c r="AF42" s="8"/>
      <c r="AG42" s="4">
        <f t="shared" si="2"/>
        <v>597</v>
      </c>
    </row>
    <row r="43" spans="1:33" ht="18.75" x14ac:dyDescent="0.25">
      <c r="A43" s="41" t="s">
        <v>49</v>
      </c>
      <c r="B43" s="7">
        <v>14</v>
      </c>
      <c r="C43" s="7">
        <v>11</v>
      </c>
      <c r="D43" s="7">
        <v>19</v>
      </c>
      <c r="E43" s="7">
        <v>21</v>
      </c>
      <c r="F43" s="7">
        <v>17</v>
      </c>
      <c r="G43" s="7">
        <v>25</v>
      </c>
      <c r="H43" s="7">
        <v>23</v>
      </c>
      <c r="I43" s="7">
        <v>15</v>
      </c>
      <c r="J43" s="7">
        <v>10</v>
      </c>
      <c r="K43" s="7">
        <v>32</v>
      </c>
      <c r="L43" s="7">
        <v>25</v>
      </c>
      <c r="M43" s="7">
        <v>28</v>
      </c>
      <c r="N43" s="7">
        <v>24</v>
      </c>
      <c r="O43" s="7">
        <v>22</v>
      </c>
      <c r="P43" s="7">
        <v>9</v>
      </c>
      <c r="Q43" s="7">
        <v>8</v>
      </c>
      <c r="R43" s="7">
        <v>18</v>
      </c>
      <c r="S43" s="7">
        <v>22</v>
      </c>
      <c r="T43" s="7">
        <v>27</v>
      </c>
      <c r="U43" s="7">
        <v>11</v>
      </c>
      <c r="V43" s="7">
        <v>10</v>
      </c>
      <c r="W43" s="7">
        <v>8</v>
      </c>
      <c r="X43" s="7">
        <v>12</v>
      </c>
      <c r="Y43" s="7">
        <v>7</v>
      </c>
      <c r="Z43" s="7">
        <v>18</v>
      </c>
      <c r="AA43" s="7">
        <v>13</v>
      </c>
      <c r="AB43" s="7">
        <v>9</v>
      </c>
      <c r="AC43" s="7">
        <v>11</v>
      </c>
      <c r="AD43" s="7">
        <v>15</v>
      </c>
      <c r="AE43" s="7">
        <v>11</v>
      </c>
      <c r="AF43" s="8"/>
      <c r="AG43" s="4">
        <f t="shared" si="2"/>
        <v>495</v>
      </c>
    </row>
    <row r="44" spans="1:33" ht="18.75" x14ac:dyDescent="0.25">
      <c r="A44" s="41" t="s">
        <v>50</v>
      </c>
      <c r="B44" s="7">
        <v>10</v>
      </c>
      <c r="C44" s="7">
        <v>9</v>
      </c>
      <c r="D44" s="7">
        <v>11</v>
      </c>
      <c r="E44" s="7">
        <v>10</v>
      </c>
      <c r="F44" s="7">
        <v>24</v>
      </c>
      <c r="G44" s="7">
        <v>17</v>
      </c>
      <c r="H44" s="7">
        <v>8</v>
      </c>
      <c r="I44" s="7">
        <v>14</v>
      </c>
      <c r="J44" s="7">
        <v>19</v>
      </c>
      <c r="K44" s="7">
        <v>18</v>
      </c>
      <c r="L44" s="7">
        <v>24</v>
      </c>
      <c r="M44" s="7">
        <v>5</v>
      </c>
      <c r="N44" s="7">
        <v>16</v>
      </c>
      <c r="O44" s="7">
        <v>16</v>
      </c>
      <c r="P44" s="7">
        <v>14</v>
      </c>
      <c r="Q44" s="7">
        <v>9</v>
      </c>
      <c r="R44" s="7">
        <v>10</v>
      </c>
      <c r="S44" s="7">
        <v>15</v>
      </c>
      <c r="T44" s="7">
        <v>9</v>
      </c>
      <c r="U44" s="7">
        <v>11</v>
      </c>
      <c r="V44" s="7">
        <v>34</v>
      </c>
      <c r="W44" s="7">
        <v>9</v>
      </c>
      <c r="X44" s="7">
        <v>9</v>
      </c>
      <c r="Y44" s="7">
        <v>15</v>
      </c>
      <c r="Z44" s="7">
        <v>7</v>
      </c>
      <c r="AA44" s="7">
        <v>9</v>
      </c>
      <c r="AB44" s="7">
        <v>14</v>
      </c>
      <c r="AC44" s="7">
        <v>3</v>
      </c>
      <c r="AD44" s="7">
        <v>7</v>
      </c>
      <c r="AE44" s="7">
        <v>4</v>
      </c>
      <c r="AF44" s="8"/>
      <c r="AG44" s="4">
        <f t="shared" si="2"/>
        <v>380</v>
      </c>
    </row>
    <row r="45" spans="1:33" ht="18.75" x14ac:dyDescent="0.25">
      <c r="A45" s="41" t="s">
        <v>33</v>
      </c>
      <c r="B45" s="7">
        <v>9</v>
      </c>
      <c r="C45" s="7">
        <v>13</v>
      </c>
      <c r="D45" s="7">
        <v>8</v>
      </c>
      <c r="E45" s="7">
        <v>8</v>
      </c>
      <c r="F45" s="7">
        <v>14</v>
      </c>
      <c r="G45" s="7">
        <v>10</v>
      </c>
      <c r="H45" s="7">
        <v>13</v>
      </c>
      <c r="I45" s="7">
        <v>8</v>
      </c>
      <c r="J45" s="7">
        <v>15</v>
      </c>
      <c r="K45" s="7">
        <v>7</v>
      </c>
      <c r="L45" s="7">
        <v>13</v>
      </c>
      <c r="M45" s="7">
        <v>6</v>
      </c>
      <c r="N45" s="7">
        <v>8</v>
      </c>
      <c r="O45" s="7">
        <v>12</v>
      </c>
      <c r="P45" s="7">
        <v>13</v>
      </c>
      <c r="Q45" s="7">
        <v>5</v>
      </c>
      <c r="R45" s="7">
        <v>4</v>
      </c>
      <c r="S45" s="7">
        <v>9</v>
      </c>
      <c r="T45" s="7">
        <v>7</v>
      </c>
      <c r="U45" s="7">
        <v>5</v>
      </c>
      <c r="V45" s="7"/>
      <c r="W45" s="7">
        <v>8</v>
      </c>
      <c r="X45" s="7">
        <v>8</v>
      </c>
      <c r="Y45" s="7">
        <v>3</v>
      </c>
      <c r="Z45" s="7">
        <v>5</v>
      </c>
      <c r="AA45" s="7">
        <v>6</v>
      </c>
      <c r="AB45" s="7">
        <v>4</v>
      </c>
      <c r="AC45" s="7">
        <v>3</v>
      </c>
      <c r="AD45" s="7">
        <v>6</v>
      </c>
      <c r="AE45" s="7">
        <v>4</v>
      </c>
      <c r="AF45" s="8"/>
      <c r="AG45" s="4">
        <f t="shared" si="2"/>
        <v>234</v>
      </c>
    </row>
    <row r="46" spans="1:33" ht="18.75" x14ac:dyDescent="0.25">
      <c r="A46" s="41" t="s">
        <v>34</v>
      </c>
      <c r="B46" s="7">
        <v>11</v>
      </c>
      <c r="C46" s="7">
        <v>6</v>
      </c>
      <c r="D46" s="7">
        <v>14</v>
      </c>
      <c r="E46" s="7">
        <v>8</v>
      </c>
      <c r="F46" s="7">
        <v>11</v>
      </c>
      <c r="G46" s="7">
        <v>8</v>
      </c>
      <c r="H46" s="7">
        <v>8</v>
      </c>
      <c r="I46" s="7">
        <v>10</v>
      </c>
      <c r="J46" s="7">
        <v>11</v>
      </c>
      <c r="K46" s="7">
        <v>5</v>
      </c>
      <c r="L46" s="7">
        <v>7</v>
      </c>
      <c r="M46" s="7">
        <v>2</v>
      </c>
      <c r="N46" s="7">
        <v>6</v>
      </c>
      <c r="O46" s="7">
        <v>7</v>
      </c>
      <c r="P46" s="7">
        <v>6</v>
      </c>
      <c r="Q46" s="7">
        <v>7</v>
      </c>
      <c r="R46" s="7">
        <v>4</v>
      </c>
      <c r="S46" s="7">
        <v>10</v>
      </c>
      <c r="T46" s="7">
        <v>1</v>
      </c>
      <c r="U46" s="7">
        <v>4</v>
      </c>
      <c r="V46" s="7"/>
      <c r="W46" s="7">
        <v>6</v>
      </c>
      <c r="X46" s="7">
        <v>8</v>
      </c>
      <c r="Y46" s="7">
        <v>5</v>
      </c>
      <c r="Z46" s="7">
        <v>5</v>
      </c>
      <c r="AA46" s="7">
        <v>2</v>
      </c>
      <c r="AB46" s="7"/>
      <c r="AC46" s="7">
        <v>3</v>
      </c>
      <c r="AD46" s="7">
        <v>4</v>
      </c>
      <c r="AE46" s="7">
        <v>4</v>
      </c>
      <c r="AF46" s="8"/>
      <c r="AG46" s="4">
        <f t="shared" si="2"/>
        <v>183</v>
      </c>
    </row>
    <row r="47" spans="1:33" ht="18.75" x14ac:dyDescent="0.25">
      <c r="A47" s="41" t="s">
        <v>35</v>
      </c>
      <c r="B47" s="7">
        <v>6</v>
      </c>
      <c r="C47" s="7">
        <v>7</v>
      </c>
      <c r="D47" s="7">
        <v>6</v>
      </c>
      <c r="E47" s="7">
        <v>10</v>
      </c>
      <c r="F47" s="7">
        <v>11</v>
      </c>
      <c r="G47" s="7">
        <v>1</v>
      </c>
      <c r="H47" s="7">
        <v>8</v>
      </c>
      <c r="I47" s="7">
        <v>5</v>
      </c>
      <c r="J47" s="7">
        <v>6</v>
      </c>
      <c r="K47" s="7">
        <v>3</v>
      </c>
      <c r="L47" s="7">
        <v>6</v>
      </c>
      <c r="M47" s="7"/>
      <c r="N47" s="7">
        <v>5</v>
      </c>
      <c r="O47" s="7">
        <v>2</v>
      </c>
      <c r="P47" s="7">
        <v>4</v>
      </c>
      <c r="Q47" s="7">
        <v>2</v>
      </c>
      <c r="R47" s="7">
        <v>3</v>
      </c>
      <c r="S47" s="7">
        <v>3</v>
      </c>
      <c r="T47" s="7">
        <v>1</v>
      </c>
      <c r="U47" s="7">
        <v>1</v>
      </c>
      <c r="V47" s="7"/>
      <c r="W47" s="7">
        <v>4</v>
      </c>
      <c r="X47" s="7">
        <v>8</v>
      </c>
      <c r="Y47" s="7">
        <v>1</v>
      </c>
      <c r="Z47" s="7">
        <v>6</v>
      </c>
      <c r="AA47" s="7">
        <v>1</v>
      </c>
      <c r="AB47" s="7">
        <v>2</v>
      </c>
      <c r="AC47" s="7"/>
      <c r="AD47" s="7">
        <v>5</v>
      </c>
      <c r="AE47" s="7">
        <v>4</v>
      </c>
      <c r="AF47" s="8"/>
      <c r="AG47" s="4">
        <f t="shared" si="2"/>
        <v>121</v>
      </c>
    </row>
    <row r="48" spans="1:33" ht="18.75" x14ac:dyDescent="0.25">
      <c r="A48" s="41" t="s">
        <v>36</v>
      </c>
      <c r="B48" s="7">
        <v>5</v>
      </c>
      <c r="C48" s="7">
        <v>9</v>
      </c>
      <c r="D48" s="7">
        <v>4</v>
      </c>
      <c r="E48" s="7">
        <v>2</v>
      </c>
      <c r="F48" s="7">
        <v>2</v>
      </c>
      <c r="G48" s="7">
        <v>2</v>
      </c>
      <c r="H48" s="7">
        <v>1</v>
      </c>
      <c r="I48" s="7">
        <v>8</v>
      </c>
      <c r="J48" s="7">
        <v>2</v>
      </c>
      <c r="K48" s="7">
        <v>2</v>
      </c>
      <c r="L48" s="7">
        <v>2</v>
      </c>
      <c r="M48" s="7">
        <v>1</v>
      </c>
      <c r="N48" s="7"/>
      <c r="O48" s="7">
        <v>1</v>
      </c>
      <c r="P48" s="7">
        <v>5</v>
      </c>
      <c r="Q48" s="7">
        <v>1</v>
      </c>
      <c r="R48" s="7"/>
      <c r="S48" s="7">
        <v>8</v>
      </c>
      <c r="T48" s="7"/>
      <c r="U48" s="7">
        <v>1</v>
      </c>
      <c r="V48" s="7"/>
      <c r="W48" s="7">
        <v>5</v>
      </c>
      <c r="X48" s="7">
        <v>3</v>
      </c>
      <c r="Y48" s="7"/>
      <c r="Z48" s="7">
        <v>1</v>
      </c>
      <c r="AA48" s="7">
        <v>2</v>
      </c>
      <c r="AB48" s="7">
        <v>2</v>
      </c>
      <c r="AC48" s="7">
        <v>3</v>
      </c>
      <c r="AD48" s="7"/>
      <c r="AE48" s="7">
        <v>1</v>
      </c>
      <c r="AF48" s="8"/>
      <c r="AG48" s="4">
        <f t="shared" si="2"/>
        <v>73</v>
      </c>
    </row>
    <row r="49" spans="1:33" ht="18.75" x14ac:dyDescent="0.25">
      <c r="A49" s="41" t="s">
        <v>51</v>
      </c>
      <c r="B49" s="7">
        <v>2</v>
      </c>
      <c r="C49" s="7">
        <v>1</v>
      </c>
      <c r="D49" s="7"/>
      <c r="E49" s="7">
        <v>2</v>
      </c>
      <c r="F49" s="7">
        <v>2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/>
      <c r="M49" s="7"/>
      <c r="N49" s="7"/>
      <c r="O49" s="7">
        <v>1</v>
      </c>
      <c r="P49" s="7">
        <v>3</v>
      </c>
      <c r="Q49" s="7">
        <v>3</v>
      </c>
      <c r="R49" s="7">
        <v>1</v>
      </c>
      <c r="S49" s="7">
        <v>2</v>
      </c>
      <c r="T49" s="7"/>
      <c r="U49" s="7">
        <v>1</v>
      </c>
      <c r="V49" s="7"/>
      <c r="W49" s="7"/>
      <c r="X49" s="7">
        <v>1</v>
      </c>
      <c r="Y49" s="7">
        <v>3</v>
      </c>
      <c r="Z49" s="7"/>
      <c r="AA49" s="7">
        <v>1</v>
      </c>
      <c r="AB49" s="7"/>
      <c r="AC49" s="7"/>
      <c r="AD49" s="7">
        <v>5</v>
      </c>
      <c r="AE49" s="7"/>
      <c r="AF49" s="8"/>
      <c r="AG49" s="4">
        <f t="shared" si="2"/>
        <v>33</v>
      </c>
    </row>
    <row r="50" spans="1:33" ht="18.75" x14ac:dyDescent="0.25">
      <c r="A50" s="41" t="s">
        <v>52</v>
      </c>
      <c r="B50" s="7">
        <v>2</v>
      </c>
      <c r="C50" s="7"/>
      <c r="D50" s="7">
        <v>3</v>
      </c>
      <c r="E50" s="7"/>
      <c r="F50" s="7"/>
      <c r="G50" s="7">
        <v>2</v>
      </c>
      <c r="H50" s="7">
        <v>2</v>
      </c>
      <c r="I50" s="7">
        <v>3</v>
      </c>
      <c r="J50" s="7">
        <v>1</v>
      </c>
      <c r="K50" s="7">
        <v>4</v>
      </c>
      <c r="L50" s="7"/>
      <c r="M50" s="7">
        <v>1</v>
      </c>
      <c r="N50" s="7">
        <v>1</v>
      </c>
      <c r="O50" s="7">
        <v>3</v>
      </c>
      <c r="P50" s="7">
        <v>1</v>
      </c>
      <c r="Q50" s="7"/>
      <c r="R50" s="7"/>
      <c r="S50" s="7"/>
      <c r="T50" s="7">
        <v>2</v>
      </c>
      <c r="U50" s="7">
        <v>1</v>
      </c>
      <c r="V50" s="7"/>
      <c r="W50" s="7"/>
      <c r="X50" s="7">
        <v>1</v>
      </c>
      <c r="Y50" s="7">
        <v>1</v>
      </c>
      <c r="Z50" s="7"/>
      <c r="AA50" s="7">
        <v>1</v>
      </c>
      <c r="AB50" s="7"/>
      <c r="AC50" s="7">
        <v>3</v>
      </c>
      <c r="AD50" s="7"/>
      <c r="AE50" s="7">
        <v>5</v>
      </c>
      <c r="AF50" s="8"/>
      <c r="AG50" s="4">
        <f t="shared" si="2"/>
        <v>37</v>
      </c>
    </row>
    <row r="51" spans="1:33" ht="18.75" x14ac:dyDescent="0.25">
      <c r="A51" s="41" t="s">
        <v>37</v>
      </c>
      <c r="B51" s="7">
        <v>1</v>
      </c>
      <c r="C51" s="7">
        <v>1</v>
      </c>
      <c r="D51" s="7"/>
      <c r="E51" s="7"/>
      <c r="F51" s="7"/>
      <c r="G51" s="7">
        <v>1</v>
      </c>
      <c r="H51" s="7"/>
      <c r="I51" s="7"/>
      <c r="J51" s="7">
        <v>1</v>
      </c>
      <c r="K51" s="7"/>
      <c r="L51" s="7"/>
      <c r="M51" s="7">
        <v>1</v>
      </c>
      <c r="N51" s="7"/>
      <c r="O51" s="7">
        <v>1</v>
      </c>
      <c r="P51" s="7"/>
      <c r="Q51" s="7">
        <v>1</v>
      </c>
      <c r="R51" s="7">
        <v>1</v>
      </c>
      <c r="S51" s="7"/>
      <c r="T51" s="7">
        <v>1</v>
      </c>
      <c r="U51" s="7"/>
      <c r="V51" s="7"/>
      <c r="W51" s="7">
        <v>2</v>
      </c>
      <c r="X51" s="7"/>
      <c r="Y51" s="7"/>
      <c r="Z51" s="7"/>
      <c r="AA51" s="7">
        <v>1</v>
      </c>
      <c r="AB51" s="7">
        <v>1</v>
      </c>
      <c r="AC51" s="7"/>
      <c r="AD51" s="7">
        <v>1</v>
      </c>
      <c r="AE51" s="7">
        <v>1</v>
      </c>
      <c r="AF51" s="8"/>
      <c r="AG51" s="4">
        <f t="shared" si="2"/>
        <v>15</v>
      </c>
    </row>
    <row r="52" spans="1:33" ht="19.5" thickBot="1" x14ac:dyDescent="0.3">
      <c r="A52" s="77" t="s">
        <v>53</v>
      </c>
      <c r="B52" s="9">
        <v>2</v>
      </c>
      <c r="C52" s="9"/>
      <c r="D52" s="9"/>
      <c r="E52" s="9">
        <v>2</v>
      </c>
      <c r="F52" s="9">
        <v>1</v>
      </c>
      <c r="G52" s="9">
        <v>2</v>
      </c>
      <c r="H52" s="9">
        <v>1</v>
      </c>
      <c r="I52" s="9">
        <v>3</v>
      </c>
      <c r="J52" s="9"/>
      <c r="K52" s="9"/>
      <c r="L52" s="9"/>
      <c r="M52" s="9">
        <v>2</v>
      </c>
      <c r="N52" s="9">
        <v>2</v>
      </c>
      <c r="O52" s="9">
        <v>2</v>
      </c>
      <c r="P52" s="9">
        <v>1</v>
      </c>
      <c r="Q52" s="9"/>
      <c r="R52" s="9">
        <v>1</v>
      </c>
      <c r="S52" s="9"/>
      <c r="T52" s="9"/>
      <c r="U52" s="9"/>
      <c r="V52" s="9"/>
      <c r="W52" s="9">
        <v>2</v>
      </c>
      <c r="X52" s="9">
        <v>2</v>
      </c>
      <c r="Y52" s="9"/>
      <c r="Z52" s="9">
        <v>1</v>
      </c>
      <c r="AA52" s="9"/>
      <c r="AB52" s="9">
        <v>2</v>
      </c>
      <c r="AC52" s="9">
        <v>1</v>
      </c>
      <c r="AD52" s="9">
        <v>3</v>
      </c>
      <c r="AE52" s="9">
        <v>2</v>
      </c>
      <c r="AF52" s="10"/>
      <c r="AG52" s="108">
        <f t="shared" si="2"/>
        <v>32</v>
      </c>
    </row>
    <row r="53" spans="1:33" ht="19.5" thickBot="1" x14ac:dyDescent="0.3">
      <c r="A53" s="136" t="s">
        <v>108</v>
      </c>
      <c r="B53" s="135">
        <f t="shared" ref="B53:AF53" si="4">SUM(B54:B77)</f>
        <v>31</v>
      </c>
      <c r="C53" s="135">
        <f t="shared" si="4"/>
        <v>91</v>
      </c>
      <c r="D53" s="135">
        <f t="shared" si="4"/>
        <v>42</v>
      </c>
      <c r="E53" s="135">
        <f t="shared" si="4"/>
        <v>28</v>
      </c>
      <c r="F53" s="135">
        <f t="shared" si="4"/>
        <v>31</v>
      </c>
      <c r="G53" s="135">
        <f t="shared" si="4"/>
        <v>37</v>
      </c>
      <c r="H53" s="135">
        <f t="shared" si="4"/>
        <v>16</v>
      </c>
      <c r="I53" s="135">
        <f t="shared" si="4"/>
        <v>49</v>
      </c>
      <c r="J53" s="135">
        <f t="shared" si="4"/>
        <v>49</v>
      </c>
      <c r="K53" s="135">
        <f t="shared" si="4"/>
        <v>47</v>
      </c>
      <c r="L53" s="135">
        <f t="shared" si="4"/>
        <v>28</v>
      </c>
      <c r="M53" s="135">
        <f t="shared" si="4"/>
        <v>17</v>
      </c>
      <c r="N53" s="135">
        <f t="shared" si="4"/>
        <v>18</v>
      </c>
      <c r="O53" s="135">
        <f t="shared" si="4"/>
        <v>10</v>
      </c>
      <c r="P53" s="135">
        <f t="shared" si="4"/>
        <v>46</v>
      </c>
      <c r="Q53" s="135">
        <f t="shared" si="4"/>
        <v>8</v>
      </c>
      <c r="R53" s="135">
        <f t="shared" si="4"/>
        <v>18</v>
      </c>
      <c r="S53" s="135">
        <f t="shared" si="4"/>
        <v>24</v>
      </c>
      <c r="T53" s="135">
        <f t="shared" si="4"/>
        <v>22</v>
      </c>
      <c r="U53" s="135">
        <f t="shared" si="4"/>
        <v>10</v>
      </c>
      <c r="V53" s="135">
        <f t="shared" si="4"/>
        <v>14</v>
      </c>
      <c r="W53" s="135">
        <f t="shared" si="4"/>
        <v>37</v>
      </c>
      <c r="X53" s="135">
        <f t="shared" si="4"/>
        <v>18</v>
      </c>
      <c r="Y53" s="135">
        <f t="shared" si="4"/>
        <v>7</v>
      </c>
      <c r="Z53" s="135">
        <f t="shared" si="4"/>
        <v>15</v>
      </c>
      <c r="AA53" s="135">
        <f t="shared" si="4"/>
        <v>14</v>
      </c>
      <c r="AB53" s="135">
        <f t="shared" si="4"/>
        <v>2</v>
      </c>
      <c r="AC53" s="135">
        <f t="shared" si="4"/>
        <v>3</v>
      </c>
      <c r="AD53" s="135">
        <f t="shared" si="4"/>
        <v>27</v>
      </c>
      <c r="AE53" s="135">
        <f t="shared" si="4"/>
        <v>13</v>
      </c>
      <c r="AF53" s="135">
        <f t="shared" si="4"/>
        <v>0</v>
      </c>
      <c r="AG53" s="116">
        <f t="shared" si="2"/>
        <v>772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>
        <v>2</v>
      </c>
      <c r="Q54" s="114"/>
      <c r="R54" s="114"/>
      <c r="S54" s="114"/>
      <c r="T54" s="114"/>
      <c r="U54" s="114"/>
      <c r="V54" s="7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2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>
        <v>1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>
        <v>1</v>
      </c>
      <c r="AF55" s="8"/>
      <c r="AG55" s="4">
        <f t="shared" si="2"/>
        <v>2</v>
      </c>
    </row>
    <row r="56" spans="1:33" ht="18.75" x14ac:dyDescent="0.25">
      <c r="A56" s="41" t="s">
        <v>56</v>
      </c>
      <c r="B56" s="7"/>
      <c r="C56" s="7">
        <v>3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>
        <v>1</v>
      </c>
      <c r="Y56" s="7"/>
      <c r="Z56" s="7"/>
      <c r="AA56" s="7"/>
      <c r="AB56" s="7"/>
      <c r="AC56" s="7"/>
      <c r="AD56" s="7">
        <v>1</v>
      </c>
      <c r="AE56" s="7"/>
      <c r="AF56" s="8"/>
      <c r="AG56" s="4">
        <f t="shared" si="2"/>
        <v>5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>
        <v>1</v>
      </c>
      <c r="Q57" s="7"/>
      <c r="R57" s="7"/>
      <c r="S57" s="7"/>
      <c r="T57" s="7"/>
      <c r="U57" s="7"/>
      <c r="V57" s="7"/>
      <c r="W57" s="7"/>
      <c r="X57" s="7">
        <v>1</v>
      </c>
      <c r="Y57" s="7"/>
      <c r="Z57" s="7"/>
      <c r="AA57" s="7"/>
      <c r="AB57" s="7"/>
      <c r="AC57" s="7"/>
      <c r="AD57" s="7">
        <v>1</v>
      </c>
      <c r="AE57" s="7"/>
      <c r="AF57" s="8"/>
      <c r="AG57" s="4">
        <f t="shared" si="2"/>
        <v>3</v>
      </c>
    </row>
    <row r="58" spans="1:33" ht="18.75" x14ac:dyDescent="0.25">
      <c r="A58" s="41" t="s">
        <v>39</v>
      </c>
      <c r="B58" s="7">
        <v>3</v>
      </c>
      <c r="C58" s="7"/>
      <c r="D58" s="7"/>
      <c r="E58" s="7"/>
      <c r="F58" s="7"/>
      <c r="G58" s="7"/>
      <c r="H58" s="7"/>
      <c r="I58" s="7">
        <v>2</v>
      </c>
      <c r="J58" s="7"/>
      <c r="K58" s="7"/>
      <c r="L58" s="7"/>
      <c r="M58" s="7"/>
      <c r="N58" s="7"/>
      <c r="O58" s="7"/>
      <c r="P58" s="7">
        <v>1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6</v>
      </c>
    </row>
    <row r="59" spans="1:33" ht="18.75" x14ac:dyDescent="0.25">
      <c r="A59" s="41" t="s">
        <v>40</v>
      </c>
      <c r="B59" s="7">
        <v>5</v>
      </c>
      <c r="C59" s="7">
        <v>6</v>
      </c>
      <c r="D59" s="7"/>
      <c r="E59" s="7"/>
      <c r="F59" s="7"/>
      <c r="G59" s="7"/>
      <c r="H59" s="7"/>
      <c r="I59" s="7"/>
      <c r="J59" s="7">
        <v>3</v>
      </c>
      <c r="K59" s="7"/>
      <c r="L59" s="7"/>
      <c r="M59" s="7"/>
      <c r="N59" s="7"/>
      <c r="O59" s="7"/>
      <c r="P59" s="7">
        <v>3</v>
      </c>
      <c r="Q59" s="7"/>
      <c r="R59" s="7"/>
      <c r="S59" s="7"/>
      <c r="T59" s="7"/>
      <c r="U59" s="7"/>
      <c r="V59" s="7"/>
      <c r="W59" s="7">
        <v>3</v>
      </c>
      <c r="X59" s="7"/>
      <c r="Y59" s="7"/>
      <c r="Z59" s="7"/>
      <c r="AA59" s="7"/>
      <c r="AB59" s="7"/>
      <c r="AC59" s="7"/>
      <c r="AD59" s="7"/>
      <c r="AE59" s="7">
        <v>1</v>
      </c>
      <c r="AF59" s="8"/>
      <c r="AG59" s="4">
        <f t="shared" si="2"/>
        <v>21</v>
      </c>
    </row>
    <row r="60" spans="1:33" ht="18.75" x14ac:dyDescent="0.25">
      <c r="A60" s="41" t="s">
        <v>41</v>
      </c>
      <c r="B60" s="7">
        <v>1</v>
      </c>
      <c r="C60" s="7"/>
      <c r="D60" s="7"/>
      <c r="E60" s="7"/>
      <c r="F60" s="7"/>
      <c r="G60" s="7"/>
      <c r="H60" s="7"/>
      <c r="I60" s="7">
        <v>5</v>
      </c>
      <c r="J60" s="7">
        <v>5</v>
      </c>
      <c r="K60" s="7"/>
      <c r="L60" s="7"/>
      <c r="M60" s="7"/>
      <c r="N60" s="7"/>
      <c r="O60" s="7"/>
      <c r="P60" s="7"/>
      <c r="Q60" s="7">
        <v>2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>
        <v>1</v>
      </c>
      <c r="AE60" s="7"/>
      <c r="AF60" s="8"/>
      <c r="AG60" s="4">
        <f t="shared" si="2"/>
        <v>14</v>
      </c>
    </row>
    <row r="61" spans="1:33" ht="18.75" x14ac:dyDescent="0.25">
      <c r="A61" s="41" t="s">
        <v>42</v>
      </c>
      <c r="B61" s="7">
        <v>4</v>
      </c>
      <c r="C61" s="7">
        <v>10</v>
      </c>
      <c r="D61" s="7"/>
      <c r="E61" s="7"/>
      <c r="F61" s="7"/>
      <c r="G61" s="7"/>
      <c r="H61" s="7"/>
      <c r="I61" s="7">
        <v>7</v>
      </c>
      <c r="J61" s="7">
        <v>8</v>
      </c>
      <c r="K61" s="7"/>
      <c r="L61" s="7"/>
      <c r="M61" s="7"/>
      <c r="N61" s="7"/>
      <c r="O61" s="7"/>
      <c r="P61" s="7">
        <v>5</v>
      </c>
      <c r="Q61" s="7">
        <v>1</v>
      </c>
      <c r="R61" s="7"/>
      <c r="S61" s="7"/>
      <c r="T61" s="7"/>
      <c r="U61" s="7"/>
      <c r="V61" s="7"/>
      <c r="W61" s="7">
        <v>2</v>
      </c>
      <c r="X61" s="7"/>
      <c r="Y61" s="7"/>
      <c r="Z61" s="7"/>
      <c r="AA61" s="7"/>
      <c r="AB61" s="7"/>
      <c r="AC61" s="7"/>
      <c r="AD61" s="7">
        <v>1</v>
      </c>
      <c r="AE61" s="7">
        <v>4</v>
      </c>
      <c r="AF61" s="8"/>
      <c r="AG61" s="4">
        <f t="shared" si="2"/>
        <v>42</v>
      </c>
    </row>
    <row r="62" spans="1:33" ht="18.75" x14ac:dyDescent="0.25">
      <c r="A62" s="41" t="s">
        <v>43</v>
      </c>
      <c r="B62" s="7">
        <v>2</v>
      </c>
      <c r="C62" s="7">
        <v>3</v>
      </c>
      <c r="D62" s="7"/>
      <c r="E62" s="7"/>
      <c r="F62" s="7"/>
      <c r="G62" s="7"/>
      <c r="H62" s="7"/>
      <c r="I62" s="7">
        <v>3</v>
      </c>
      <c r="J62" s="7">
        <v>1</v>
      </c>
      <c r="K62" s="7"/>
      <c r="L62" s="7"/>
      <c r="M62" s="7"/>
      <c r="N62" s="7"/>
      <c r="O62" s="7"/>
      <c r="P62" s="7">
        <v>2</v>
      </c>
      <c r="Q62" s="7"/>
      <c r="R62" s="7"/>
      <c r="S62" s="7"/>
      <c r="T62" s="7"/>
      <c r="U62" s="7"/>
      <c r="V62" s="7"/>
      <c r="W62" s="7">
        <v>6</v>
      </c>
      <c r="X62" s="7">
        <v>1</v>
      </c>
      <c r="Y62" s="7"/>
      <c r="Z62" s="7"/>
      <c r="AA62" s="7"/>
      <c r="AB62" s="7"/>
      <c r="AC62" s="7"/>
      <c r="AD62" s="7">
        <v>3</v>
      </c>
      <c r="AE62" s="7">
        <v>4</v>
      </c>
      <c r="AF62" s="8"/>
      <c r="AG62" s="4">
        <f t="shared" si="2"/>
        <v>25</v>
      </c>
    </row>
    <row r="63" spans="1:33" ht="18.75" x14ac:dyDescent="0.25">
      <c r="A63" s="41" t="s">
        <v>44</v>
      </c>
      <c r="B63" s="7">
        <v>1</v>
      </c>
      <c r="C63" s="7">
        <v>15</v>
      </c>
      <c r="D63" s="7"/>
      <c r="E63" s="7"/>
      <c r="F63" s="7"/>
      <c r="G63" s="7">
        <v>1</v>
      </c>
      <c r="H63" s="7"/>
      <c r="I63" s="7">
        <v>6</v>
      </c>
      <c r="J63" s="7">
        <v>6</v>
      </c>
      <c r="K63" s="7">
        <v>1</v>
      </c>
      <c r="L63" s="7"/>
      <c r="M63" s="7"/>
      <c r="N63" s="7">
        <v>1</v>
      </c>
      <c r="O63" s="7"/>
      <c r="P63" s="7">
        <v>4</v>
      </c>
      <c r="Q63" s="7">
        <v>3</v>
      </c>
      <c r="R63" s="7">
        <v>1</v>
      </c>
      <c r="S63" s="7"/>
      <c r="T63" s="7"/>
      <c r="U63" s="7"/>
      <c r="V63" s="7"/>
      <c r="W63" s="7">
        <v>8</v>
      </c>
      <c r="X63" s="7">
        <v>5</v>
      </c>
      <c r="Y63" s="7"/>
      <c r="Z63" s="7">
        <v>1</v>
      </c>
      <c r="AA63" s="7"/>
      <c r="AB63" s="7">
        <v>1</v>
      </c>
      <c r="AC63" s="7">
        <v>2</v>
      </c>
      <c r="AD63" s="7"/>
      <c r="AE63" s="7"/>
      <c r="AF63" s="8"/>
      <c r="AG63" s="4">
        <f t="shared" si="2"/>
        <v>56</v>
      </c>
    </row>
    <row r="64" spans="1:33" ht="18.75" x14ac:dyDescent="0.25">
      <c r="A64" s="41" t="s">
        <v>45</v>
      </c>
      <c r="B64" s="7">
        <v>2</v>
      </c>
      <c r="C64" s="7">
        <v>21</v>
      </c>
      <c r="D64" s="7">
        <v>2</v>
      </c>
      <c r="E64" s="7">
        <v>1</v>
      </c>
      <c r="F64" s="7">
        <v>2</v>
      </c>
      <c r="G64" s="7">
        <v>1</v>
      </c>
      <c r="H64" s="7"/>
      <c r="I64" s="7">
        <v>9</v>
      </c>
      <c r="J64" s="7">
        <v>3</v>
      </c>
      <c r="K64" s="7">
        <v>2</v>
      </c>
      <c r="L64" s="7">
        <v>1</v>
      </c>
      <c r="M64" s="7">
        <v>2</v>
      </c>
      <c r="N64" s="7">
        <v>2</v>
      </c>
      <c r="O64" s="7">
        <v>3</v>
      </c>
      <c r="P64" s="7"/>
      <c r="Q64" s="7"/>
      <c r="R64" s="7">
        <v>4</v>
      </c>
      <c r="S64" s="7">
        <v>2</v>
      </c>
      <c r="T64" s="7">
        <v>7</v>
      </c>
      <c r="U64" s="7"/>
      <c r="V64" s="7">
        <v>3</v>
      </c>
      <c r="W64" s="7">
        <v>3</v>
      </c>
      <c r="X64" s="7">
        <v>3</v>
      </c>
      <c r="Y64" s="7">
        <v>1</v>
      </c>
      <c r="Z64" s="7"/>
      <c r="AA64" s="7"/>
      <c r="AB64" s="7">
        <v>1</v>
      </c>
      <c r="AC64" s="7">
        <v>1</v>
      </c>
      <c r="AD64" s="7">
        <v>2</v>
      </c>
      <c r="AE64" s="7">
        <v>1</v>
      </c>
      <c r="AF64" s="8"/>
      <c r="AG64" s="4">
        <f t="shared" si="2"/>
        <v>79</v>
      </c>
    </row>
    <row r="65" spans="1:33" ht="18.75" x14ac:dyDescent="0.25">
      <c r="A65" s="41" t="s">
        <v>46</v>
      </c>
      <c r="B65" s="7"/>
      <c r="C65" s="7">
        <v>3</v>
      </c>
      <c r="D65" s="7">
        <v>3</v>
      </c>
      <c r="E65" s="7">
        <v>3</v>
      </c>
      <c r="F65" s="7">
        <v>7</v>
      </c>
      <c r="G65" s="7">
        <v>10</v>
      </c>
      <c r="H65" s="7">
        <v>1</v>
      </c>
      <c r="I65" s="7">
        <v>5</v>
      </c>
      <c r="J65" s="7"/>
      <c r="K65" s="7">
        <v>6</v>
      </c>
      <c r="L65" s="7">
        <v>2</v>
      </c>
      <c r="M65" s="7">
        <v>1</v>
      </c>
      <c r="N65" s="7">
        <v>6</v>
      </c>
      <c r="O65" s="7">
        <v>2</v>
      </c>
      <c r="P65" s="7">
        <v>4</v>
      </c>
      <c r="Q65" s="7"/>
      <c r="R65" s="7">
        <v>4</v>
      </c>
      <c r="S65" s="7">
        <v>5</v>
      </c>
      <c r="T65" s="7">
        <v>8</v>
      </c>
      <c r="U65" s="7">
        <v>5</v>
      </c>
      <c r="V65" s="7">
        <v>5</v>
      </c>
      <c r="W65" s="7">
        <v>1</v>
      </c>
      <c r="X65" s="7">
        <v>1</v>
      </c>
      <c r="Y65" s="7">
        <v>6</v>
      </c>
      <c r="Z65" s="7">
        <v>5</v>
      </c>
      <c r="AA65" s="7">
        <v>2</v>
      </c>
      <c r="AB65" s="7"/>
      <c r="AC65" s="7"/>
      <c r="AD65" s="7">
        <v>5</v>
      </c>
      <c r="AE65" s="7">
        <v>1</v>
      </c>
      <c r="AF65" s="8"/>
      <c r="AG65" s="4">
        <f t="shared" si="2"/>
        <v>101</v>
      </c>
    </row>
    <row r="66" spans="1:33" ht="18.75" x14ac:dyDescent="0.25">
      <c r="A66" s="41" t="s">
        <v>47</v>
      </c>
      <c r="B66" s="7">
        <v>4</v>
      </c>
      <c r="C66" s="7">
        <v>1</v>
      </c>
      <c r="D66" s="7">
        <v>12</v>
      </c>
      <c r="E66" s="7">
        <v>8</v>
      </c>
      <c r="F66" s="7">
        <v>3</v>
      </c>
      <c r="G66" s="7">
        <v>2</v>
      </c>
      <c r="H66" s="7">
        <v>1</v>
      </c>
      <c r="I66" s="7">
        <v>1</v>
      </c>
      <c r="J66" s="7">
        <v>1</v>
      </c>
      <c r="K66" s="7">
        <v>21</v>
      </c>
      <c r="L66" s="7">
        <v>2</v>
      </c>
      <c r="M66" s="7">
        <v>10</v>
      </c>
      <c r="N66" s="7">
        <v>2</v>
      </c>
      <c r="O66" s="7"/>
      <c r="P66" s="7">
        <v>6</v>
      </c>
      <c r="Q66" s="7">
        <v>1</v>
      </c>
      <c r="R66" s="7">
        <v>8</v>
      </c>
      <c r="S66" s="7">
        <v>3</v>
      </c>
      <c r="T66" s="7">
        <v>1</v>
      </c>
      <c r="U66" s="7">
        <v>2</v>
      </c>
      <c r="V66" s="7">
        <v>4</v>
      </c>
      <c r="W66" s="7">
        <v>3</v>
      </c>
      <c r="X66" s="7">
        <v>1</v>
      </c>
      <c r="Y66" s="7"/>
      <c r="Z66" s="7">
        <v>5</v>
      </c>
      <c r="AA66" s="7">
        <v>9</v>
      </c>
      <c r="AB66" s="7"/>
      <c r="AC66" s="7"/>
      <c r="AD66" s="7">
        <v>5</v>
      </c>
      <c r="AE66" s="7">
        <v>1</v>
      </c>
      <c r="AF66" s="8"/>
      <c r="AG66" s="4">
        <f t="shared" si="2"/>
        <v>117</v>
      </c>
    </row>
    <row r="67" spans="1:33" ht="18.75" x14ac:dyDescent="0.25">
      <c r="A67" s="41" t="s">
        <v>48</v>
      </c>
      <c r="B67" s="7">
        <v>2</v>
      </c>
      <c r="C67" s="7">
        <v>1</v>
      </c>
      <c r="D67" s="7">
        <v>3</v>
      </c>
      <c r="E67" s="7">
        <v>11</v>
      </c>
      <c r="F67" s="7"/>
      <c r="G67" s="7">
        <v>5</v>
      </c>
      <c r="H67" s="7">
        <v>1</v>
      </c>
      <c r="I67" s="7">
        <v>5</v>
      </c>
      <c r="J67" s="7">
        <v>4</v>
      </c>
      <c r="K67" s="7">
        <v>13</v>
      </c>
      <c r="L67" s="7">
        <v>12</v>
      </c>
      <c r="M67" s="7">
        <v>3</v>
      </c>
      <c r="N67" s="7">
        <v>3</v>
      </c>
      <c r="O67" s="7"/>
      <c r="P67" s="7">
        <v>6</v>
      </c>
      <c r="Q67" s="7">
        <v>1</v>
      </c>
      <c r="R67" s="7">
        <v>1</v>
      </c>
      <c r="S67" s="7">
        <v>5</v>
      </c>
      <c r="T67" s="7">
        <v>3</v>
      </c>
      <c r="U67" s="7">
        <v>2</v>
      </c>
      <c r="V67" s="7"/>
      <c r="W67" s="7"/>
      <c r="X67" s="7">
        <v>1</v>
      </c>
      <c r="Y67" s="7"/>
      <c r="Z67" s="7">
        <v>3</v>
      </c>
      <c r="AA67" s="7">
        <v>1</v>
      </c>
      <c r="AB67" s="7"/>
      <c r="AC67" s="7"/>
      <c r="AD67" s="7">
        <v>5</v>
      </c>
      <c r="AE67" s="7"/>
      <c r="AF67" s="8"/>
      <c r="AG67" s="4">
        <f t="shared" si="2"/>
        <v>91</v>
      </c>
    </row>
    <row r="68" spans="1:33" ht="18.75" x14ac:dyDescent="0.25">
      <c r="A68" s="41" t="s">
        <v>49</v>
      </c>
      <c r="B68" s="7">
        <v>2</v>
      </c>
      <c r="C68" s="7">
        <v>5</v>
      </c>
      <c r="D68" s="7">
        <v>8</v>
      </c>
      <c r="E68" s="7">
        <v>2</v>
      </c>
      <c r="F68" s="7">
        <v>1</v>
      </c>
      <c r="G68" s="7">
        <v>14</v>
      </c>
      <c r="H68" s="7">
        <v>7</v>
      </c>
      <c r="I68" s="7">
        <v>1</v>
      </c>
      <c r="J68" s="7"/>
      <c r="K68" s="7">
        <v>4</v>
      </c>
      <c r="L68" s="7">
        <v>5</v>
      </c>
      <c r="M68" s="7"/>
      <c r="N68" s="7">
        <v>3</v>
      </c>
      <c r="O68" s="7">
        <v>1</v>
      </c>
      <c r="P68" s="7"/>
      <c r="Q68" s="7"/>
      <c r="R68" s="7"/>
      <c r="S68" s="7">
        <v>2</v>
      </c>
      <c r="T68" s="7">
        <v>1</v>
      </c>
      <c r="U68" s="7"/>
      <c r="V68" s="7">
        <v>1</v>
      </c>
      <c r="W68" s="7">
        <v>3</v>
      </c>
      <c r="X68" s="7">
        <v>1</v>
      </c>
      <c r="Y68" s="7"/>
      <c r="Z68" s="7"/>
      <c r="AA68" s="7">
        <v>2</v>
      </c>
      <c r="AB68" s="7"/>
      <c r="AC68" s="7"/>
      <c r="AD68" s="7">
        <v>2</v>
      </c>
      <c r="AE68" s="7"/>
      <c r="AF68" s="8"/>
      <c r="AG68" s="4">
        <f t="shared" si="2"/>
        <v>65</v>
      </c>
    </row>
    <row r="69" spans="1:33" ht="18.75" x14ac:dyDescent="0.25">
      <c r="A69" s="41" t="s">
        <v>50</v>
      </c>
      <c r="B69" s="7">
        <v>1</v>
      </c>
      <c r="C69" s="7">
        <v>2</v>
      </c>
      <c r="D69" s="7">
        <v>7</v>
      </c>
      <c r="E69" s="7"/>
      <c r="F69" s="7">
        <v>4</v>
      </c>
      <c r="G69" s="7">
        <v>3</v>
      </c>
      <c r="H69" s="7">
        <v>1</v>
      </c>
      <c r="I69" s="7">
        <v>2</v>
      </c>
      <c r="J69" s="7">
        <v>3</v>
      </c>
      <c r="K69" s="7"/>
      <c r="L69" s="7">
        <v>3</v>
      </c>
      <c r="M69" s="7"/>
      <c r="N69" s="7"/>
      <c r="O69" s="7">
        <v>2</v>
      </c>
      <c r="P69" s="7">
        <v>4</v>
      </c>
      <c r="Q69" s="7"/>
      <c r="R69" s="7"/>
      <c r="S69" s="7">
        <v>1</v>
      </c>
      <c r="T69" s="7"/>
      <c r="U69" s="7">
        <v>1</v>
      </c>
      <c r="V69" s="7"/>
      <c r="W69" s="7">
        <v>2</v>
      </c>
      <c r="X69" s="7">
        <v>1</v>
      </c>
      <c r="Y69" s="7"/>
      <c r="Z69" s="7"/>
      <c r="AA69" s="7"/>
      <c r="AB69" s="7"/>
      <c r="AC69" s="7"/>
      <c r="AD69" s="7"/>
      <c r="AE69" s="7"/>
      <c r="AF69" s="8"/>
      <c r="AG69" s="4">
        <f t="shared" si="2"/>
        <v>37</v>
      </c>
    </row>
    <row r="70" spans="1:33" ht="18.75" x14ac:dyDescent="0.25">
      <c r="A70" s="41" t="s">
        <v>33</v>
      </c>
      <c r="B70" s="114">
        <v>1</v>
      </c>
      <c r="C70" s="114">
        <v>16</v>
      </c>
      <c r="D70" s="7"/>
      <c r="E70" s="114"/>
      <c r="F70" s="114">
        <v>4</v>
      </c>
      <c r="G70" s="7">
        <v>1</v>
      </c>
      <c r="H70" s="114">
        <v>4</v>
      </c>
      <c r="I70" s="7"/>
      <c r="J70" s="114">
        <v>13</v>
      </c>
      <c r="K70" s="114"/>
      <c r="L70" s="114">
        <v>1</v>
      </c>
      <c r="M70" s="114"/>
      <c r="N70" s="114"/>
      <c r="O70" s="114"/>
      <c r="P70" s="114">
        <v>6</v>
      </c>
      <c r="Q70" s="114"/>
      <c r="R70" s="114"/>
      <c r="S70" s="114">
        <v>2</v>
      </c>
      <c r="T70" s="114"/>
      <c r="U70" s="114"/>
      <c r="V70" s="7">
        <v>1</v>
      </c>
      <c r="W70" s="114">
        <v>1</v>
      </c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50</v>
      </c>
    </row>
    <row r="71" spans="1:33" ht="18.75" x14ac:dyDescent="0.25">
      <c r="A71" s="41" t="s">
        <v>34</v>
      </c>
      <c r="B71" s="114">
        <v>3</v>
      </c>
      <c r="C71" s="114">
        <v>2</v>
      </c>
      <c r="D71" s="7">
        <v>7</v>
      </c>
      <c r="E71" s="114">
        <v>1</v>
      </c>
      <c r="F71" s="114">
        <v>9</v>
      </c>
      <c r="G71" s="7"/>
      <c r="H71" s="114"/>
      <c r="I71" s="7"/>
      <c r="J71" s="114"/>
      <c r="K71" s="114"/>
      <c r="L71" s="114">
        <v>2</v>
      </c>
      <c r="M71" s="114">
        <v>1</v>
      </c>
      <c r="N71" s="114"/>
      <c r="O71" s="114">
        <v>1</v>
      </c>
      <c r="P71" s="114">
        <v>1</v>
      </c>
      <c r="Q71" s="114"/>
      <c r="R71" s="114"/>
      <c r="S71" s="114">
        <v>1</v>
      </c>
      <c r="T71" s="114"/>
      <c r="U71" s="114"/>
      <c r="V71" s="7"/>
      <c r="W71" s="114">
        <v>3</v>
      </c>
      <c r="X71" s="114">
        <v>2</v>
      </c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33</v>
      </c>
    </row>
    <row r="72" spans="1:33" ht="18.75" x14ac:dyDescent="0.25">
      <c r="A72" s="41" t="s">
        <v>35</v>
      </c>
      <c r="B72" s="114"/>
      <c r="C72" s="114"/>
      <c r="D72" s="7"/>
      <c r="E72" s="114">
        <v>2</v>
      </c>
      <c r="F72" s="114">
        <v>1</v>
      </c>
      <c r="G72" s="7"/>
      <c r="H72" s="114"/>
      <c r="I72" s="7"/>
      <c r="J72" s="114">
        <v>2</v>
      </c>
      <c r="K72" s="114"/>
      <c r="L72" s="114"/>
      <c r="M72" s="114"/>
      <c r="N72" s="114"/>
      <c r="O72" s="114">
        <v>1</v>
      </c>
      <c r="P72" s="114"/>
      <c r="Q72" s="114"/>
      <c r="R72" s="114"/>
      <c r="S72" s="114"/>
      <c r="T72" s="114"/>
      <c r="U72" s="114"/>
      <c r="V72" s="7"/>
      <c r="W72" s="114">
        <v>2</v>
      </c>
      <c r="X72" s="114"/>
      <c r="Y72" s="114"/>
      <c r="Z72" s="114"/>
      <c r="AA72" s="114"/>
      <c r="AB72" s="114"/>
      <c r="AC72" s="114"/>
      <c r="AD72" s="114">
        <v>1</v>
      </c>
      <c r="AE72" s="114"/>
      <c r="AF72" s="115"/>
      <c r="AG72" s="4">
        <f t="shared" si="2"/>
        <v>9</v>
      </c>
    </row>
    <row r="73" spans="1:33" ht="18.75" x14ac:dyDescent="0.25">
      <c r="A73" s="41" t="s">
        <v>36</v>
      </c>
      <c r="B73" s="114"/>
      <c r="C73" s="114">
        <v>3</v>
      </c>
      <c r="D73" s="7"/>
      <c r="E73" s="114"/>
      <c r="F73" s="114"/>
      <c r="G73" s="7"/>
      <c r="H73" s="114"/>
      <c r="I73" s="7">
        <v>2</v>
      </c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7"/>
      <c r="W73" s="114"/>
      <c r="X73" s="114"/>
      <c r="Y73" s="114"/>
      <c r="Z73" s="114">
        <v>1</v>
      </c>
      <c r="AA73" s="114"/>
      <c r="AB73" s="114"/>
      <c r="AC73" s="114"/>
      <c r="AD73" s="114"/>
      <c r="AE73" s="114"/>
      <c r="AF73" s="115"/>
      <c r="AG73" s="4">
        <f t="shared" si="2"/>
        <v>6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>
        <v>3</v>
      </c>
      <c r="T74" s="114"/>
      <c r="U74" s="114"/>
      <c r="V74" s="7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3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>
        <v>1</v>
      </c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>
        <v>1</v>
      </c>
      <c r="U75" s="114"/>
      <c r="V75" s="7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2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>
        <v>1</v>
      </c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7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>
        <v>1</v>
      </c>
      <c r="O77" s="166"/>
      <c r="P77" s="166"/>
      <c r="Q77" s="166"/>
      <c r="R77" s="166"/>
      <c r="S77" s="166"/>
      <c r="T77" s="166">
        <v>1</v>
      </c>
      <c r="U77" s="166"/>
      <c r="V77" s="9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2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298</v>
      </c>
      <c r="C78" s="185">
        <f t="shared" si="5"/>
        <v>299</v>
      </c>
      <c r="D78" s="185">
        <f t="shared" si="5"/>
        <v>223</v>
      </c>
      <c r="E78" s="184">
        <f t="shared" si="5"/>
        <v>185</v>
      </c>
      <c r="F78" s="184">
        <f t="shared" si="5"/>
        <v>206</v>
      </c>
      <c r="G78" s="184">
        <f t="shared" si="5"/>
        <v>189</v>
      </c>
      <c r="H78" s="184">
        <f t="shared" si="5"/>
        <v>175</v>
      </c>
      <c r="I78" s="184">
        <f t="shared" si="5"/>
        <v>293</v>
      </c>
      <c r="J78" s="184">
        <f t="shared" si="5"/>
        <v>289</v>
      </c>
      <c r="K78" s="184">
        <f t="shared" si="5"/>
        <v>245</v>
      </c>
      <c r="L78" s="184">
        <f t="shared" si="5"/>
        <v>211</v>
      </c>
      <c r="M78" s="184">
        <f t="shared" si="5"/>
        <v>185</v>
      </c>
      <c r="N78" s="184">
        <f t="shared" si="5"/>
        <v>194</v>
      </c>
      <c r="O78" s="184">
        <f>SUM(O79:O80)</f>
        <v>187</v>
      </c>
      <c r="P78" s="184">
        <f t="shared" si="5"/>
        <v>254</v>
      </c>
      <c r="Q78" s="184">
        <f t="shared" si="5"/>
        <v>232</v>
      </c>
      <c r="R78" s="184">
        <f t="shared" si="5"/>
        <v>197</v>
      </c>
      <c r="S78" s="184">
        <f t="shared" si="5"/>
        <v>199</v>
      </c>
      <c r="T78" s="184">
        <f t="shared" si="5"/>
        <v>196</v>
      </c>
      <c r="U78" s="184">
        <f t="shared" si="5"/>
        <v>176</v>
      </c>
      <c r="V78" s="184">
        <f t="shared" si="5"/>
        <v>162</v>
      </c>
      <c r="W78" s="184">
        <f t="shared" si="5"/>
        <v>271</v>
      </c>
      <c r="X78" s="184">
        <f t="shared" si="5"/>
        <v>294</v>
      </c>
      <c r="Y78" s="184">
        <f t="shared" si="5"/>
        <v>159</v>
      </c>
      <c r="Z78" s="184">
        <f t="shared" si="5"/>
        <v>192</v>
      </c>
      <c r="AA78" s="184">
        <f t="shared" si="5"/>
        <v>150</v>
      </c>
      <c r="AB78" s="184">
        <f t="shared" si="5"/>
        <v>129</v>
      </c>
      <c r="AC78" s="184">
        <f t="shared" si="5"/>
        <v>77</v>
      </c>
      <c r="AD78" s="184">
        <f t="shared" si="5"/>
        <v>225</v>
      </c>
      <c r="AE78" s="184">
        <f t="shared" si="5"/>
        <v>266</v>
      </c>
      <c r="AF78" s="186">
        <f t="shared" si="5"/>
        <v>0</v>
      </c>
      <c r="AG78" s="116">
        <f t="shared" si="2"/>
        <v>6358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298</v>
      </c>
      <c r="C79" s="114">
        <f t="shared" si="6"/>
        <v>299</v>
      </c>
      <c r="D79" s="114">
        <f t="shared" si="6"/>
        <v>223</v>
      </c>
      <c r="E79" s="114">
        <f t="shared" si="6"/>
        <v>185</v>
      </c>
      <c r="F79" s="114">
        <f t="shared" si="6"/>
        <v>206</v>
      </c>
      <c r="G79" s="114">
        <f t="shared" si="6"/>
        <v>189</v>
      </c>
      <c r="H79" s="114">
        <f t="shared" si="6"/>
        <v>175</v>
      </c>
      <c r="I79" s="114">
        <f t="shared" si="6"/>
        <v>293</v>
      </c>
      <c r="J79" s="114">
        <f t="shared" si="6"/>
        <v>289</v>
      </c>
      <c r="K79" s="114">
        <f t="shared" si="6"/>
        <v>245</v>
      </c>
      <c r="L79" s="114">
        <f t="shared" si="6"/>
        <v>211</v>
      </c>
      <c r="M79" s="114">
        <f t="shared" si="6"/>
        <v>185</v>
      </c>
      <c r="N79" s="114">
        <f t="shared" si="6"/>
        <v>194</v>
      </c>
      <c r="O79" s="114">
        <f t="shared" si="6"/>
        <v>186</v>
      </c>
      <c r="P79" s="114">
        <f t="shared" si="6"/>
        <v>254</v>
      </c>
      <c r="Q79" s="114">
        <f t="shared" si="6"/>
        <v>232</v>
      </c>
      <c r="R79" s="114">
        <f t="shared" si="6"/>
        <v>197</v>
      </c>
      <c r="S79" s="114">
        <f t="shared" si="6"/>
        <v>199</v>
      </c>
      <c r="T79" s="114">
        <f t="shared" si="6"/>
        <v>195</v>
      </c>
      <c r="U79" s="114">
        <f t="shared" si="6"/>
        <v>176</v>
      </c>
      <c r="V79" s="114">
        <f t="shared" si="6"/>
        <v>162</v>
      </c>
      <c r="W79" s="114">
        <f t="shared" si="6"/>
        <v>271</v>
      </c>
      <c r="X79" s="114">
        <f t="shared" si="6"/>
        <v>294</v>
      </c>
      <c r="Y79" s="114">
        <f t="shared" si="6"/>
        <v>158</v>
      </c>
      <c r="Z79" s="114">
        <f t="shared" si="6"/>
        <v>192</v>
      </c>
      <c r="AA79" s="114">
        <f t="shared" si="6"/>
        <v>150</v>
      </c>
      <c r="AB79" s="114">
        <f t="shared" si="6"/>
        <v>129</v>
      </c>
      <c r="AC79" s="114">
        <f t="shared" si="6"/>
        <v>77</v>
      </c>
      <c r="AD79" s="114">
        <f t="shared" si="6"/>
        <v>225</v>
      </c>
      <c r="AE79" s="114">
        <f t="shared" si="6"/>
        <v>266</v>
      </c>
      <c r="AF79" s="114">
        <f t="shared" si="6"/>
        <v>0</v>
      </c>
      <c r="AG79" s="132">
        <f t="shared" si="2"/>
        <v>6355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0</v>
      </c>
      <c r="H80" s="9">
        <f>SUM(H4:H12)</f>
        <v>0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0</v>
      </c>
      <c r="O80" s="9">
        <f>SUM(O4:O12)</f>
        <v>1</v>
      </c>
      <c r="P80" s="11"/>
      <c r="Q80" s="11"/>
      <c r="R80" s="9">
        <f>SUM(R4:R12)</f>
        <v>0</v>
      </c>
      <c r="S80" s="9">
        <f>SUM(S4:S12)</f>
        <v>0</v>
      </c>
      <c r="T80" s="9">
        <f>SUM(T4:T12)</f>
        <v>1</v>
      </c>
      <c r="U80" s="9">
        <f>SUM(U4:U12)</f>
        <v>0</v>
      </c>
      <c r="V80" s="9">
        <f>SUM(V4:V12)</f>
        <v>0</v>
      </c>
      <c r="W80" s="11"/>
      <c r="X80" s="11"/>
      <c r="Y80" s="9">
        <f>SUM(Y4:Y12)</f>
        <v>1</v>
      </c>
      <c r="Z80" s="11"/>
      <c r="AA80" s="9">
        <f>SUM(AA4:AA12)</f>
        <v>0</v>
      </c>
      <c r="AB80" s="9">
        <f>SUM(AB4:AB12)</f>
        <v>0</v>
      </c>
      <c r="AC80" s="9">
        <f>SUM(AC4:AC12)</f>
        <v>0</v>
      </c>
      <c r="AD80" s="11"/>
      <c r="AE80" s="11"/>
      <c r="AF80" s="9">
        <f>SUM(AF4:AF12)</f>
        <v>0</v>
      </c>
      <c r="AG80" s="108">
        <f t="shared" si="2"/>
        <v>3</v>
      </c>
    </row>
    <row r="81" spans="1:35" ht="19.5" thickBot="1" x14ac:dyDescent="0.3">
      <c r="A81" s="183" t="s">
        <v>98</v>
      </c>
      <c r="B81" s="184">
        <f t="shared" ref="B81:AF81" si="7">SUM(B82:B83)</f>
        <v>31</v>
      </c>
      <c r="C81" s="184">
        <f t="shared" si="7"/>
        <v>91</v>
      </c>
      <c r="D81" s="184">
        <f t="shared" si="7"/>
        <v>42</v>
      </c>
      <c r="E81" s="184">
        <f t="shared" si="7"/>
        <v>28</v>
      </c>
      <c r="F81" s="184">
        <f t="shared" si="7"/>
        <v>31</v>
      </c>
      <c r="G81" s="184">
        <f t="shared" si="7"/>
        <v>37</v>
      </c>
      <c r="H81" s="184">
        <f t="shared" si="7"/>
        <v>16</v>
      </c>
      <c r="I81" s="184">
        <f t="shared" si="7"/>
        <v>49</v>
      </c>
      <c r="J81" s="184">
        <f t="shared" si="7"/>
        <v>49</v>
      </c>
      <c r="K81" s="184">
        <f t="shared" si="7"/>
        <v>47</v>
      </c>
      <c r="L81" s="184">
        <f t="shared" si="7"/>
        <v>28</v>
      </c>
      <c r="M81" s="184">
        <f t="shared" si="7"/>
        <v>17</v>
      </c>
      <c r="N81" s="184">
        <f t="shared" si="7"/>
        <v>18</v>
      </c>
      <c r="O81" s="184">
        <f t="shared" si="7"/>
        <v>10</v>
      </c>
      <c r="P81" s="184">
        <f t="shared" si="7"/>
        <v>46</v>
      </c>
      <c r="Q81" s="184">
        <f t="shared" si="7"/>
        <v>8</v>
      </c>
      <c r="R81" s="184">
        <f t="shared" si="7"/>
        <v>18</v>
      </c>
      <c r="S81" s="184">
        <f t="shared" si="7"/>
        <v>24</v>
      </c>
      <c r="T81" s="184">
        <f t="shared" si="7"/>
        <v>22</v>
      </c>
      <c r="U81" s="184">
        <f t="shared" si="7"/>
        <v>10</v>
      </c>
      <c r="V81" s="184">
        <f t="shared" si="7"/>
        <v>14</v>
      </c>
      <c r="W81" s="184">
        <f t="shared" si="7"/>
        <v>37</v>
      </c>
      <c r="X81" s="184">
        <f t="shared" si="7"/>
        <v>18</v>
      </c>
      <c r="Y81" s="184">
        <f t="shared" si="7"/>
        <v>7</v>
      </c>
      <c r="Z81" s="184">
        <f>SUM(Z82:Z83)</f>
        <v>15</v>
      </c>
      <c r="AA81" s="184">
        <f t="shared" si="7"/>
        <v>14</v>
      </c>
      <c r="AB81" s="184">
        <f t="shared" si="7"/>
        <v>2</v>
      </c>
      <c r="AC81" s="184">
        <f t="shared" si="7"/>
        <v>3</v>
      </c>
      <c r="AD81" s="184">
        <f t="shared" si="7"/>
        <v>27</v>
      </c>
      <c r="AE81" s="184">
        <f t="shared" si="7"/>
        <v>13</v>
      </c>
      <c r="AF81" s="184">
        <f t="shared" si="7"/>
        <v>0</v>
      </c>
      <c r="AG81" s="116">
        <f t="shared" si="2"/>
        <v>772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82"/>
      <c r="D82" s="114">
        <f t="shared" ref="D82:AF82" si="8">SUM(D54:D62)</f>
        <v>0</v>
      </c>
      <c r="E82" s="114">
        <f t="shared" si="8"/>
        <v>0</v>
      </c>
      <c r="F82" s="114">
        <f t="shared" si="8"/>
        <v>0</v>
      </c>
      <c r="G82" s="114">
        <f t="shared" si="8"/>
        <v>0</v>
      </c>
      <c r="H82" s="114">
        <f t="shared" si="8"/>
        <v>0</v>
      </c>
      <c r="I82" s="182"/>
      <c r="J82" s="182"/>
      <c r="K82" s="114">
        <f t="shared" si="8"/>
        <v>0</v>
      </c>
      <c r="L82" s="114">
        <f t="shared" si="8"/>
        <v>0</v>
      </c>
      <c r="M82" s="114">
        <f t="shared" si="8"/>
        <v>0</v>
      </c>
      <c r="N82" s="114">
        <f t="shared" si="8"/>
        <v>0</v>
      </c>
      <c r="O82" s="114">
        <f t="shared" si="8"/>
        <v>0</v>
      </c>
      <c r="P82" s="182"/>
      <c r="Q82" s="182"/>
      <c r="R82" s="114">
        <f t="shared" si="8"/>
        <v>0</v>
      </c>
      <c r="S82" s="114">
        <f t="shared" si="8"/>
        <v>0</v>
      </c>
      <c r="T82" s="114">
        <f t="shared" si="8"/>
        <v>0</v>
      </c>
      <c r="U82" s="114">
        <f t="shared" si="8"/>
        <v>0</v>
      </c>
      <c r="V82" s="114">
        <f t="shared" si="8"/>
        <v>0</v>
      </c>
      <c r="W82" s="182"/>
      <c r="X82" s="182"/>
      <c r="Y82" s="114">
        <f t="shared" si="8"/>
        <v>0</v>
      </c>
      <c r="Z82" s="114">
        <f t="shared" si="8"/>
        <v>0</v>
      </c>
      <c r="AA82" s="114">
        <f t="shared" si="8"/>
        <v>0</v>
      </c>
      <c r="AB82" s="114">
        <f t="shared" si="8"/>
        <v>0</v>
      </c>
      <c r="AC82" s="114">
        <f t="shared" si="8"/>
        <v>0</v>
      </c>
      <c r="AD82" s="182"/>
      <c r="AE82" s="182"/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31</v>
      </c>
      <c r="C83" s="9">
        <f t="shared" ref="C83" si="10">SUM(C54:C77)-C82</f>
        <v>91</v>
      </c>
      <c r="D83" s="9">
        <f t="shared" ref="D83:AF83" si="11">SUM(D54:D77)-D82</f>
        <v>42</v>
      </c>
      <c r="E83" s="9">
        <f t="shared" si="11"/>
        <v>28</v>
      </c>
      <c r="F83" s="9">
        <f t="shared" si="11"/>
        <v>31</v>
      </c>
      <c r="G83" s="9">
        <f t="shared" si="11"/>
        <v>37</v>
      </c>
      <c r="H83" s="9">
        <f t="shared" si="11"/>
        <v>16</v>
      </c>
      <c r="I83" s="9">
        <f t="shared" si="11"/>
        <v>49</v>
      </c>
      <c r="J83" s="9">
        <f t="shared" si="11"/>
        <v>49</v>
      </c>
      <c r="K83" s="9">
        <f t="shared" si="11"/>
        <v>47</v>
      </c>
      <c r="L83" s="9">
        <f t="shared" si="11"/>
        <v>28</v>
      </c>
      <c r="M83" s="9">
        <f t="shared" si="11"/>
        <v>17</v>
      </c>
      <c r="N83" s="9">
        <f t="shared" si="11"/>
        <v>18</v>
      </c>
      <c r="O83" s="9">
        <f t="shared" si="11"/>
        <v>10</v>
      </c>
      <c r="P83" s="9">
        <f t="shared" si="11"/>
        <v>46</v>
      </c>
      <c r="Q83" s="9">
        <f t="shared" si="11"/>
        <v>8</v>
      </c>
      <c r="R83" s="9">
        <f t="shared" si="11"/>
        <v>18</v>
      </c>
      <c r="S83" s="9">
        <f t="shared" si="11"/>
        <v>24</v>
      </c>
      <c r="T83" s="9">
        <f t="shared" si="11"/>
        <v>22</v>
      </c>
      <c r="U83" s="9">
        <f t="shared" si="11"/>
        <v>10</v>
      </c>
      <c r="V83" s="9">
        <f t="shared" si="11"/>
        <v>14</v>
      </c>
      <c r="W83" s="9">
        <f t="shared" si="11"/>
        <v>37</v>
      </c>
      <c r="X83" s="9">
        <f t="shared" si="11"/>
        <v>18</v>
      </c>
      <c r="Y83" s="9">
        <f t="shared" si="11"/>
        <v>7</v>
      </c>
      <c r="Z83" s="9">
        <f t="shared" si="11"/>
        <v>15</v>
      </c>
      <c r="AA83" s="9">
        <f t="shared" si="11"/>
        <v>14</v>
      </c>
      <c r="AB83" s="9">
        <f t="shared" si="11"/>
        <v>2</v>
      </c>
      <c r="AC83" s="9">
        <f t="shared" si="11"/>
        <v>3</v>
      </c>
      <c r="AD83" s="9">
        <f t="shared" si="11"/>
        <v>27</v>
      </c>
      <c r="AE83" s="9">
        <f t="shared" si="11"/>
        <v>13</v>
      </c>
      <c r="AF83" s="9">
        <f t="shared" si="11"/>
        <v>0</v>
      </c>
      <c r="AG83" s="4">
        <f t="shared" si="2"/>
        <v>772</v>
      </c>
    </row>
    <row r="84" spans="1:35" ht="19.5" thickBot="1" x14ac:dyDescent="0.3">
      <c r="A84" s="164" t="s">
        <v>146</v>
      </c>
      <c r="B84" s="165">
        <f>SUM(B85:B86)</f>
        <v>31</v>
      </c>
      <c r="C84" s="165">
        <f t="shared" ref="C84:AF84" si="12">SUM(C85:C86)</f>
        <v>91</v>
      </c>
      <c r="D84" s="165">
        <f t="shared" si="12"/>
        <v>42</v>
      </c>
      <c r="E84" s="165">
        <f t="shared" si="12"/>
        <v>28</v>
      </c>
      <c r="F84" s="165">
        <f t="shared" si="12"/>
        <v>31</v>
      </c>
      <c r="G84" s="165">
        <f t="shared" si="12"/>
        <v>37</v>
      </c>
      <c r="H84" s="165">
        <f t="shared" si="12"/>
        <v>16</v>
      </c>
      <c r="I84" s="165">
        <f t="shared" si="12"/>
        <v>49</v>
      </c>
      <c r="J84" s="165">
        <f t="shared" si="12"/>
        <v>49</v>
      </c>
      <c r="K84" s="165">
        <f t="shared" si="12"/>
        <v>47</v>
      </c>
      <c r="L84" s="165">
        <f t="shared" si="12"/>
        <v>28</v>
      </c>
      <c r="M84" s="165">
        <f t="shared" si="12"/>
        <v>17</v>
      </c>
      <c r="N84" s="165">
        <f t="shared" si="12"/>
        <v>18</v>
      </c>
      <c r="O84" s="165">
        <f t="shared" si="12"/>
        <v>10</v>
      </c>
      <c r="P84" s="165">
        <f t="shared" si="12"/>
        <v>46</v>
      </c>
      <c r="Q84" s="165">
        <f t="shared" si="12"/>
        <v>8</v>
      </c>
      <c r="R84" s="165">
        <f t="shared" si="12"/>
        <v>18</v>
      </c>
      <c r="S84" s="165">
        <f t="shared" si="12"/>
        <v>24</v>
      </c>
      <c r="T84" s="165">
        <f t="shared" si="12"/>
        <v>22</v>
      </c>
      <c r="U84" s="165">
        <f t="shared" si="12"/>
        <v>10</v>
      </c>
      <c r="V84" s="165">
        <f t="shared" si="12"/>
        <v>14</v>
      </c>
      <c r="W84" s="165">
        <f t="shared" si="12"/>
        <v>37</v>
      </c>
      <c r="X84" s="165">
        <f t="shared" si="12"/>
        <v>18</v>
      </c>
      <c r="Y84" s="165">
        <f t="shared" si="12"/>
        <v>7</v>
      </c>
      <c r="Z84" s="165">
        <f t="shared" si="12"/>
        <v>15</v>
      </c>
      <c r="AA84" s="165">
        <f t="shared" si="12"/>
        <v>14</v>
      </c>
      <c r="AB84" s="165">
        <f t="shared" si="12"/>
        <v>2</v>
      </c>
      <c r="AC84" s="165">
        <f t="shared" si="12"/>
        <v>3</v>
      </c>
      <c r="AD84" s="165">
        <f t="shared" si="12"/>
        <v>27</v>
      </c>
      <c r="AE84" s="165">
        <f t="shared" si="12"/>
        <v>13</v>
      </c>
      <c r="AF84" s="165">
        <f t="shared" si="12"/>
        <v>0</v>
      </c>
      <c r="AG84" s="171">
        <f t="shared" ref="AG84:AG126" si="13">SUM(B84:AF84)</f>
        <v>772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11</v>
      </c>
      <c r="C85" s="169">
        <v>27</v>
      </c>
      <c r="D85" s="169">
        <v>11</v>
      </c>
      <c r="E85" s="169">
        <v>7</v>
      </c>
      <c r="F85" s="169">
        <v>10</v>
      </c>
      <c r="G85" s="169">
        <v>6</v>
      </c>
      <c r="H85" s="169">
        <v>2</v>
      </c>
      <c r="I85" s="169">
        <v>18</v>
      </c>
      <c r="J85" s="169">
        <v>16</v>
      </c>
      <c r="K85" s="169">
        <v>9</v>
      </c>
      <c r="L85" s="169">
        <v>11</v>
      </c>
      <c r="M85" s="169">
        <v>3</v>
      </c>
      <c r="N85" s="169">
        <v>4</v>
      </c>
      <c r="O85" s="169">
        <v>1</v>
      </c>
      <c r="P85" s="169">
        <v>9</v>
      </c>
      <c r="Q85" s="169">
        <v>2</v>
      </c>
      <c r="R85" s="169">
        <v>2</v>
      </c>
      <c r="S85" s="169">
        <v>4</v>
      </c>
      <c r="T85" s="169">
        <v>4</v>
      </c>
      <c r="U85" s="169">
        <v>1</v>
      </c>
      <c r="V85" s="169">
        <v>1</v>
      </c>
      <c r="W85" s="169">
        <v>7</v>
      </c>
      <c r="X85" s="169">
        <v>0</v>
      </c>
      <c r="Y85" s="169">
        <v>1</v>
      </c>
      <c r="Z85" s="169">
        <v>2</v>
      </c>
      <c r="AA85" s="169">
        <v>2</v>
      </c>
      <c r="AB85" s="169">
        <v>1</v>
      </c>
      <c r="AC85" s="169">
        <v>1</v>
      </c>
      <c r="AD85" s="169">
        <v>4</v>
      </c>
      <c r="AE85" s="169">
        <v>1</v>
      </c>
      <c r="AF85" s="170"/>
      <c r="AG85" s="168">
        <f t="shared" si="13"/>
        <v>178</v>
      </c>
      <c r="AI85" s="374"/>
    </row>
    <row r="86" spans="1:35" ht="19.5" thickBot="1" x14ac:dyDescent="0.3">
      <c r="A86" s="172" t="s">
        <v>145</v>
      </c>
      <c r="B86" s="173">
        <v>20</v>
      </c>
      <c r="C86" s="173">
        <f>91-27</f>
        <v>64</v>
      </c>
      <c r="D86" s="173">
        <f>42-11</f>
        <v>31</v>
      </c>
      <c r="E86" s="173">
        <f>28-7</f>
        <v>21</v>
      </c>
      <c r="F86" s="173">
        <v>21</v>
      </c>
      <c r="G86" s="173">
        <v>31</v>
      </c>
      <c r="H86" s="173">
        <v>14</v>
      </c>
      <c r="I86" s="173">
        <v>31</v>
      </c>
      <c r="J86" s="173">
        <v>33</v>
      </c>
      <c r="K86" s="173">
        <v>38</v>
      </c>
      <c r="L86" s="173">
        <v>17</v>
      </c>
      <c r="M86" s="173">
        <v>14</v>
      </c>
      <c r="N86" s="173">
        <v>14</v>
      </c>
      <c r="O86" s="173">
        <v>9</v>
      </c>
      <c r="P86" s="173">
        <v>37</v>
      </c>
      <c r="Q86" s="173">
        <v>6</v>
      </c>
      <c r="R86" s="173">
        <v>16</v>
      </c>
      <c r="S86" s="173">
        <v>20</v>
      </c>
      <c r="T86" s="173">
        <v>18</v>
      </c>
      <c r="U86" s="173">
        <v>9</v>
      </c>
      <c r="V86" s="173">
        <v>13</v>
      </c>
      <c r="W86" s="173">
        <v>30</v>
      </c>
      <c r="X86" s="173">
        <v>18</v>
      </c>
      <c r="Y86" s="173">
        <v>6</v>
      </c>
      <c r="Z86" s="173">
        <v>13</v>
      </c>
      <c r="AA86" s="173">
        <v>12</v>
      </c>
      <c r="AB86" s="173">
        <v>1</v>
      </c>
      <c r="AC86" s="173">
        <v>2</v>
      </c>
      <c r="AD86" s="173">
        <v>23</v>
      </c>
      <c r="AE86" s="173">
        <v>12</v>
      </c>
      <c r="AF86" s="174"/>
      <c r="AG86" s="176">
        <f t="shared" si="13"/>
        <v>594</v>
      </c>
      <c r="AI86" s="375"/>
    </row>
    <row r="87" spans="1:35" ht="19.5" thickBot="1" x14ac:dyDescent="0.3">
      <c r="A87" s="177" t="s">
        <v>147</v>
      </c>
      <c r="B87" s="178">
        <f>SUM(B88:B92)</f>
        <v>31</v>
      </c>
      <c r="C87" s="178">
        <f t="shared" ref="C87:AF87" si="14">SUM(C88:C92)</f>
        <v>91</v>
      </c>
      <c r="D87" s="178">
        <f t="shared" si="14"/>
        <v>42</v>
      </c>
      <c r="E87" s="178">
        <f t="shared" si="14"/>
        <v>28</v>
      </c>
      <c r="F87" s="178">
        <f t="shared" si="14"/>
        <v>31</v>
      </c>
      <c r="G87" s="178">
        <f t="shared" si="14"/>
        <v>37</v>
      </c>
      <c r="H87" s="178">
        <f t="shared" si="14"/>
        <v>16</v>
      </c>
      <c r="I87" s="178">
        <f t="shared" si="14"/>
        <v>49</v>
      </c>
      <c r="J87" s="178">
        <f t="shared" si="14"/>
        <v>49</v>
      </c>
      <c r="K87" s="178">
        <f t="shared" si="14"/>
        <v>47</v>
      </c>
      <c r="L87" s="178">
        <f t="shared" si="14"/>
        <v>28</v>
      </c>
      <c r="M87" s="178">
        <f t="shared" si="14"/>
        <v>17</v>
      </c>
      <c r="N87" s="178">
        <f t="shared" si="14"/>
        <v>18</v>
      </c>
      <c r="O87" s="178">
        <f t="shared" si="14"/>
        <v>10</v>
      </c>
      <c r="P87" s="178">
        <f t="shared" si="14"/>
        <v>46</v>
      </c>
      <c r="Q87" s="178">
        <f t="shared" si="14"/>
        <v>8</v>
      </c>
      <c r="R87" s="178">
        <f t="shared" si="14"/>
        <v>18</v>
      </c>
      <c r="S87" s="178">
        <f t="shared" si="14"/>
        <v>24</v>
      </c>
      <c r="T87" s="178">
        <f t="shared" si="14"/>
        <v>22</v>
      </c>
      <c r="U87" s="178">
        <f t="shared" si="14"/>
        <v>10</v>
      </c>
      <c r="V87" s="178">
        <f t="shared" si="14"/>
        <v>14</v>
      </c>
      <c r="W87" s="178">
        <f t="shared" si="14"/>
        <v>37</v>
      </c>
      <c r="X87" s="178">
        <f t="shared" si="14"/>
        <v>18</v>
      </c>
      <c r="Y87" s="178">
        <f t="shared" si="14"/>
        <v>7</v>
      </c>
      <c r="Z87" s="178">
        <f t="shared" si="14"/>
        <v>15</v>
      </c>
      <c r="AA87" s="178">
        <f t="shared" si="14"/>
        <v>14</v>
      </c>
      <c r="AB87" s="178">
        <f t="shared" si="14"/>
        <v>2</v>
      </c>
      <c r="AC87" s="178">
        <f t="shared" si="14"/>
        <v>3</v>
      </c>
      <c r="AD87" s="178">
        <f t="shared" si="14"/>
        <v>27</v>
      </c>
      <c r="AE87" s="178">
        <f t="shared" si="14"/>
        <v>13</v>
      </c>
      <c r="AF87" s="178">
        <f t="shared" si="14"/>
        <v>0</v>
      </c>
      <c r="AG87" s="179">
        <f t="shared" si="13"/>
        <v>772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9</v>
      </c>
      <c r="C88" s="166">
        <v>19</v>
      </c>
      <c r="D88" s="166">
        <v>17</v>
      </c>
      <c r="E88" s="166">
        <v>13</v>
      </c>
      <c r="F88" s="166">
        <v>11</v>
      </c>
      <c r="G88" s="166">
        <v>15</v>
      </c>
      <c r="H88" s="166">
        <v>3</v>
      </c>
      <c r="I88" s="166">
        <v>19</v>
      </c>
      <c r="J88" s="166">
        <v>8</v>
      </c>
      <c r="K88" s="166">
        <v>13</v>
      </c>
      <c r="L88" s="166">
        <v>10</v>
      </c>
      <c r="M88" s="166">
        <v>4</v>
      </c>
      <c r="N88" s="166">
        <v>8</v>
      </c>
      <c r="O88" s="166">
        <v>5</v>
      </c>
      <c r="P88" s="166">
        <v>16</v>
      </c>
      <c r="Q88" s="166">
        <v>1</v>
      </c>
      <c r="R88" s="166">
        <v>8</v>
      </c>
      <c r="S88" s="166">
        <v>6</v>
      </c>
      <c r="T88" s="166">
        <v>13</v>
      </c>
      <c r="U88" s="166">
        <v>2</v>
      </c>
      <c r="V88" s="166">
        <v>2</v>
      </c>
      <c r="W88" s="166">
        <v>12</v>
      </c>
      <c r="X88" s="166">
        <v>5</v>
      </c>
      <c r="Y88" s="166">
        <v>4</v>
      </c>
      <c r="Z88" s="166">
        <v>5</v>
      </c>
      <c r="AA88" s="166">
        <v>2</v>
      </c>
      <c r="AB88" s="166">
        <v>1</v>
      </c>
      <c r="AC88" s="166">
        <v>3</v>
      </c>
      <c r="AD88" s="166">
        <v>7</v>
      </c>
      <c r="AE88" s="166">
        <v>4</v>
      </c>
      <c r="AF88" s="167"/>
      <c r="AG88" s="132">
        <f t="shared" si="13"/>
        <v>245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>
        <v>1</v>
      </c>
      <c r="D90" s="9"/>
      <c r="E90" s="9"/>
      <c r="F90" s="9"/>
      <c r="G90" s="9">
        <v>1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>
        <v>1</v>
      </c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3</v>
      </c>
    </row>
    <row r="91" spans="1:35" ht="18.75" x14ac:dyDescent="0.25">
      <c r="A91" s="105" t="s">
        <v>75</v>
      </c>
      <c r="B91" s="9">
        <v>8</v>
      </c>
      <c r="C91" s="9">
        <v>32</v>
      </c>
      <c r="D91" s="9">
        <v>2</v>
      </c>
      <c r="E91" s="9">
        <v>7</v>
      </c>
      <c r="F91" s="9">
        <v>10</v>
      </c>
      <c r="G91" s="9">
        <v>9</v>
      </c>
      <c r="H91" s="9">
        <v>3</v>
      </c>
      <c r="I91" s="9">
        <v>1</v>
      </c>
      <c r="J91" s="9">
        <v>8</v>
      </c>
      <c r="K91" s="9">
        <v>1</v>
      </c>
      <c r="L91" s="9">
        <v>5</v>
      </c>
      <c r="M91" s="9">
        <v>2</v>
      </c>
      <c r="N91" s="9">
        <v>4</v>
      </c>
      <c r="O91" s="9">
        <v>4</v>
      </c>
      <c r="P91" s="9">
        <v>8</v>
      </c>
      <c r="Q91" s="9">
        <v>3</v>
      </c>
      <c r="R91" s="9">
        <v>4</v>
      </c>
      <c r="S91" s="9">
        <v>7</v>
      </c>
      <c r="T91" s="9">
        <v>4</v>
      </c>
      <c r="U91" s="9">
        <v>1</v>
      </c>
      <c r="V91" s="9">
        <v>2</v>
      </c>
      <c r="W91" s="9">
        <v>10</v>
      </c>
      <c r="X91" s="9">
        <v>5</v>
      </c>
      <c r="Y91" s="9"/>
      <c r="Z91" s="9">
        <v>5</v>
      </c>
      <c r="AA91" s="9">
        <v>3</v>
      </c>
      <c r="AB91" s="9">
        <v>1</v>
      </c>
      <c r="AC91" s="9"/>
      <c r="AD91" s="9">
        <v>8</v>
      </c>
      <c r="AE91" s="9">
        <v>2</v>
      </c>
      <c r="AF91" s="10"/>
      <c r="AG91" s="4">
        <f t="shared" si="13"/>
        <v>159</v>
      </c>
    </row>
    <row r="92" spans="1:35" ht="19.5" thickBot="1" x14ac:dyDescent="0.3">
      <c r="A92" s="105" t="s">
        <v>76</v>
      </c>
      <c r="B92" s="9">
        <v>14</v>
      </c>
      <c r="C92" s="9">
        <v>39</v>
      </c>
      <c r="D92" s="9">
        <v>23</v>
      </c>
      <c r="E92" s="9">
        <v>8</v>
      </c>
      <c r="F92" s="9">
        <v>10</v>
      </c>
      <c r="G92" s="9">
        <v>12</v>
      </c>
      <c r="H92" s="9">
        <v>10</v>
      </c>
      <c r="I92" s="9">
        <v>29</v>
      </c>
      <c r="J92" s="9">
        <v>33</v>
      </c>
      <c r="K92" s="9">
        <v>33</v>
      </c>
      <c r="L92" s="9">
        <v>13</v>
      </c>
      <c r="M92" s="9">
        <v>11</v>
      </c>
      <c r="N92" s="9">
        <v>6</v>
      </c>
      <c r="O92" s="9">
        <v>1</v>
      </c>
      <c r="P92" s="9">
        <v>22</v>
      </c>
      <c r="Q92" s="9">
        <v>4</v>
      </c>
      <c r="R92" s="9">
        <v>5</v>
      </c>
      <c r="S92" s="9">
        <v>11</v>
      </c>
      <c r="T92" s="9">
        <v>5</v>
      </c>
      <c r="U92" s="9">
        <v>7</v>
      </c>
      <c r="V92" s="9">
        <v>10</v>
      </c>
      <c r="W92" s="9">
        <v>15</v>
      </c>
      <c r="X92" s="9">
        <v>8</v>
      </c>
      <c r="Y92" s="9">
        <v>3</v>
      </c>
      <c r="Z92" s="9">
        <v>5</v>
      </c>
      <c r="AA92" s="9">
        <v>9</v>
      </c>
      <c r="AB92" s="9"/>
      <c r="AC92" s="9"/>
      <c r="AD92" s="9">
        <v>12</v>
      </c>
      <c r="AE92" s="9">
        <v>7</v>
      </c>
      <c r="AF92" s="10"/>
      <c r="AG92" s="4">
        <f t="shared" si="13"/>
        <v>365</v>
      </c>
    </row>
    <row r="93" spans="1:35" ht="18.75" x14ac:dyDescent="0.25">
      <c r="A93" s="73" t="s">
        <v>616</v>
      </c>
      <c r="B93" s="74">
        <f t="shared" ref="B93:AF93" si="15">+B94+B100</f>
        <v>267</v>
      </c>
      <c r="C93" s="74">
        <f t="shared" si="15"/>
        <v>208</v>
      </c>
      <c r="D93" s="74">
        <f t="shared" si="15"/>
        <v>181</v>
      </c>
      <c r="E93" s="74">
        <f t="shared" si="15"/>
        <v>157</v>
      </c>
      <c r="F93" s="74">
        <f t="shared" si="15"/>
        <v>175</v>
      </c>
      <c r="G93" s="74">
        <f t="shared" si="15"/>
        <v>152</v>
      </c>
      <c r="H93" s="74">
        <f t="shared" si="15"/>
        <v>159</v>
      </c>
      <c r="I93" s="74">
        <f t="shared" si="15"/>
        <v>244</v>
      </c>
      <c r="J93" s="74">
        <f t="shared" si="15"/>
        <v>240</v>
      </c>
      <c r="K93" s="74">
        <f t="shared" si="15"/>
        <v>198</v>
      </c>
      <c r="L93" s="74">
        <f t="shared" si="15"/>
        <v>183</v>
      </c>
      <c r="M93" s="74">
        <f t="shared" si="15"/>
        <v>168</v>
      </c>
      <c r="N93" s="74">
        <f t="shared" si="15"/>
        <v>176</v>
      </c>
      <c r="O93" s="74">
        <f t="shared" si="15"/>
        <v>177</v>
      </c>
      <c r="P93" s="74">
        <f t="shared" si="15"/>
        <v>208</v>
      </c>
      <c r="Q93" s="74">
        <f t="shared" si="15"/>
        <v>224</v>
      </c>
      <c r="R93" s="74">
        <f t="shared" si="15"/>
        <v>179</v>
      </c>
      <c r="S93" s="74">
        <f t="shared" si="15"/>
        <v>175</v>
      </c>
      <c r="T93" s="74">
        <f t="shared" si="15"/>
        <v>174</v>
      </c>
      <c r="U93" s="74">
        <f t="shared" si="15"/>
        <v>166</v>
      </c>
      <c r="V93" s="74">
        <f t="shared" si="15"/>
        <v>148</v>
      </c>
      <c r="W93" s="74">
        <f t="shared" si="15"/>
        <v>234</v>
      </c>
      <c r="X93" s="74">
        <f t="shared" si="15"/>
        <v>276</v>
      </c>
      <c r="Y93" s="74">
        <f t="shared" si="15"/>
        <v>152</v>
      </c>
      <c r="Z93" s="74">
        <f t="shared" si="15"/>
        <v>177</v>
      </c>
      <c r="AA93" s="74">
        <f t="shared" si="15"/>
        <v>136</v>
      </c>
      <c r="AB93" s="74">
        <f t="shared" si="15"/>
        <v>127</v>
      </c>
      <c r="AC93" s="74">
        <f t="shared" si="15"/>
        <v>74</v>
      </c>
      <c r="AD93" s="74">
        <f t="shared" si="15"/>
        <v>198</v>
      </c>
      <c r="AE93" s="74">
        <f t="shared" si="15"/>
        <v>253</v>
      </c>
      <c r="AF93" s="84">
        <f t="shared" si="15"/>
        <v>0</v>
      </c>
      <c r="AG93" s="150">
        <f t="shared" si="13"/>
        <v>5586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75</v>
      </c>
      <c r="C94" s="17">
        <f t="shared" si="16"/>
        <v>57</v>
      </c>
      <c r="D94" s="17">
        <f t="shared" si="16"/>
        <v>52</v>
      </c>
      <c r="E94" s="17">
        <f t="shared" si="16"/>
        <v>47</v>
      </c>
      <c r="F94" s="17">
        <f t="shared" si="16"/>
        <v>54</v>
      </c>
      <c r="G94" s="17">
        <f t="shared" si="16"/>
        <v>36</v>
      </c>
      <c r="H94" s="17">
        <f t="shared" si="16"/>
        <v>35</v>
      </c>
      <c r="I94" s="17">
        <f t="shared" si="16"/>
        <v>69</v>
      </c>
      <c r="J94" s="17">
        <f t="shared" si="16"/>
        <v>56</v>
      </c>
      <c r="K94" s="17">
        <f t="shared" si="16"/>
        <v>59</v>
      </c>
      <c r="L94" s="17">
        <f t="shared" si="16"/>
        <v>43</v>
      </c>
      <c r="M94" s="17">
        <f t="shared" si="16"/>
        <v>39</v>
      </c>
      <c r="N94" s="17">
        <f t="shared" si="16"/>
        <v>41</v>
      </c>
      <c r="O94" s="17">
        <f t="shared" si="16"/>
        <v>24</v>
      </c>
      <c r="P94" s="17">
        <f t="shared" si="16"/>
        <v>37</v>
      </c>
      <c r="Q94" s="17">
        <f t="shared" si="16"/>
        <v>47</v>
      </c>
      <c r="R94" s="17">
        <f t="shared" si="16"/>
        <v>55</v>
      </c>
      <c r="S94" s="17">
        <f t="shared" si="16"/>
        <v>43</v>
      </c>
      <c r="T94" s="17">
        <f t="shared" si="16"/>
        <v>32</v>
      </c>
      <c r="U94" s="17">
        <f t="shared" si="16"/>
        <v>38</v>
      </c>
      <c r="V94" s="17">
        <f t="shared" si="16"/>
        <v>17</v>
      </c>
      <c r="W94" s="17">
        <f t="shared" si="16"/>
        <v>49</v>
      </c>
      <c r="X94" s="17">
        <f t="shared" si="16"/>
        <v>49</v>
      </c>
      <c r="Y94" s="17">
        <f t="shared" si="16"/>
        <v>29</v>
      </c>
      <c r="Z94" s="17">
        <f t="shared" si="16"/>
        <v>39</v>
      </c>
      <c r="AA94" s="17">
        <f t="shared" si="16"/>
        <v>30</v>
      </c>
      <c r="AB94" s="17">
        <f t="shared" si="16"/>
        <v>25</v>
      </c>
      <c r="AC94" s="17">
        <f t="shared" si="16"/>
        <v>7</v>
      </c>
      <c r="AD94" s="17">
        <f t="shared" si="16"/>
        <v>37</v>
      </c>
      <c r="AE94" s="17">
        <f t="shared" si="16"/>
        <v>53</v>
      </c>
      <c r="AF94" s="18">
        <f t="shared" si="16"/>
        <v>0</v>
      </c>
      <c r="AG94" s="4">
        <f t="shared" si="13"/>
        <v>1274</v>
      </c>
    </row>
    <row r="95" spans="1:35" ht="18.75" x14ac:dyDescent="0.25">
      <c r="A95" s="44" t="s">
        <v>81</v>
      </c>
      <c r="B95" s="7">
        <v>4</v>
      </c>
      <c r="C95" s="7">
        <v>3</v>
      </c>
      <c r="D95" s="7">
        <v>1</v>
      </c>
      <c r="E95" s="7">
        <v>2</v>
      </c>
      <c r="F95" s="7">
        <v>0</v>
      </c>
      <c r="G95" s="7"/>
      <c r="H95" s="7">
        <v>1</v>
      </c>
      <c r="I95" s="7">
        <v>4</v>
      </c>
      <c r="J95" s="7">
        <v>1</v>
      </c>
      <c r="K95" s="7">
        <v>1</v>
      </c>
      <c r="L95" s="7"/>
      <c r="M95" s="7"/>
      <c r="N95" s="7"/>
      <c r="O95" s="7">
        <v>2</v>
      </c>
      <c r="P95" s="7">
        <v>1</v>
      </c>
      <c r="Q95" s="7">
        <v>2</v>
      </c>
      <c r="R95" s="7"/>
      <c r="S95" s="7">
        <v>2</v>
      </c>
      <c r="T95" s="7"/>
      <c r="U95" s="7">
        <v>6</v>
      </c>
      <c r="V95" s="7">
        <v>1</v>
      </c>
      <c r="W95" s="7">
        <v>2</v>
      </c>
      <c r="X95" s="7"/>
      <c r="Y95" s="7">
        <v>1</v>
      </c>
      <c r="Z95" s="7">
        <v>3</v>
      </c>
      <c r="AA95" s="7">
        <v>1</v>
      </c>
      <c r="AB95" s="7"/>
      <c r="AC95" s="7"/>
      <c r="AD95" s="7">
        <v>1</v>
      </c>
      <c r="AE95" s="7">
        <v>2</v>
      </c>
      <c r="AF95" s="8"/>
      <c r="AG95" s="4">
        <f t="shared" si="13"/>
        <v>41</v>
      </c>
    </row>
    <row r="96" spans="1:35" ht="18.75" x14ac:dyDescent="0.25">
      <c r="A96" s="45" t="s">
        <v>82</v>
      </c>
      <c r="B96" s="7">
        <v>4</v>
      </c>
      <c r="C96" s="7">
        <v>5</v>
      </c>
      <c r="D96" s="7">
        <v>1</v>
      </c>
      <c r="E96" s="7">
        <v>1</v>
      </c>
      <c r="F96" s="7">
        <v>5</v>
      </c>
      <c r="G96" s="7">
        <v>1</v>
      </c>
      <c r="H96" s="7">
        <v>3</v>
      </c>
      <c r="I96" s="7">
        <v>2</v>
      </c>
      <c r="J96" s="7">
        <v>2</v>
      </c>
      <c r="K96" s="7">
        <v>5</v>
      </c>
      <c r="L96" s="7">
        <v>2</v>
      </c>
      <c r="M96" s="7">
        <v>5</v>
      </c>
      <c r="N96" s="7">
        <v>2</v>
      </c>
      <c r="O96" s="7"/>
      <c r="P96" s="7">
        <v>2</v>
      </c>
      <c r="Q96" s="7">
        <v>2</v>
      </c>
      <c r="R96" s="7">
        <v>2</v>
      </c>
      <c r="S96" s="141">
        <v>4</v>
      </c>
      <c r="T96" s="7">
        <v>3</v>
      </c>
      <c r="U96" s="7"/>
      <c r="V96" s="7"/>
      <c r="W96" s="7">
        <v>4</v>
      </c>
      <c r="X96" s="7"/>
      <c r="Y96" s="7">
        <v>3</v>
      </c>
      <c r="Z96" s="7"/>
      <c r="AA96" s="7"/>
      <c r="AB96" s="7">
        <v>2</v>
      </c>
      <c r="AC96" s="7">
        <v>1</v>
      </c>
      <c r="AD96" s="7">
        <v>2</v>
      </c>
      <c r="AE96" s="7">
        <v>3</v>
      </c>
      <c r="AF96" s="8"/>
      <c r="AG96" s="4">
        <f t="shared" si="13"/>
        <v>66</v>
      </c>
    </row>
    <row r="97" spans="1:33" ht="18.75" x14ac:dyDescent="0.25">
      <c r="A97" s="46" t="s">
        <v>70</v>
      </c>
      <c r="B97" s="7">
        <v>21</v>
      </c>
      <c r="C97" s="7">
        <v>17</v>
      </c>
      <c r="D97" s="7">
        <v>11</v>
      </c>
      <c r="E97" s="7">
        <v>7</v>
      </c>
      <c r="F97" s="7">
        <v>11</v>
      </c>
      <c r="G97" s="7">
        <v>13</v>
      </c>
      <c r="H97" s="7">
        <v>10</v>
      </c>
      <c r="I97" s="7">
        <v>13</v>
      </c>
      <c r="J97" s="7">
        <v>7</v>
      </c>
      <c r="K97" s="7">
        <v>13</v>
      </c>
      <c r="L97" s="7">
        <v>4</v>
      </c>
      <c r="M97" s="7">
        <v>6</v>
      </c>
      <c r="N97" s="7">
        <v>7</v>
      </c>
      <c r="O97" s="7">
        <v>2</v>
      </c>
      <c r="P97" s="7">
        <v>9</v>
      </c>
      <c r="Q97" s="7">
        <v>8</v>
      </c>
      <c r="R97" s="7">
        <v>10</v>
      </c>
      <c r="S97" s="7">
        <v>6</v>
      </c>
      <c r="T97" s="7">
        <v>11</v>
      </c>
      <c r="U97" s="7">
        <v>11</v>
      </c>
      <c r="V97" s="7">
        <v>3</v>
      </c>
      <c r="W97" s="7">
        <v>13</v>
      </c>
      <c r="X97" s="7">
        <v>16</v>
      </c>
      <c r="Y97" s="7">
        <v>2</v>
      </c>
      <c r="Z97" s="7">
        <v>6</v>
      </c>
      <c r="AA97" s="7">
        <v>7</v>
      </c>
      <c r="AB97" s="7">
        <v>5</v>
      </c>
      <c r="AC97" s="7">
        <v>2</v>
      </c>
      <c r="AD97" s="7">
        <v>5</v>
      </c>
      <c r="AE97" s="7">
        <v>15</v>
      </c>
      <c r="AF97" s="8"/>
      <c r="AG97" s="4">
        <f t="shared" si="13"/>
        <v>271</v>
      </c>
    </row>
    <row r="98" spans="1:33" ht="18.75" x14ac:dyDescent="0.25">
      <c r="A98" s="47" t="s">
        <v>6</v>
      </c>
      <c r="B98" s="7">
        <v>29</v>
      </c>
      <c r="C98" s="7">
        <v>25</v>
      </c>
      <c r="D98" s="7">
        <v>27</v>
      </c>
      <c r="E98" s="7">
        <v>18</v>
      </c>
      <c r="F98" s="7">
        <v>17</v>
      </c>
      <c r="G98" s="7">
        <v>11</v>
      </c>
      <c r="H98" s="7">
        <v>15</v>
      </c>
      <c r="I98" s="7">
        <v>35</v>
      </c>
      <c r="J98" s="7">
        <v>28</v>
      </c>
      <c r="K98" s="7">
        <v>23</v>
      </c>
      <c r="L98" s="7">
        <v>14</v>
      </c>
      <c r="M98" s="7">
        <v>11</v>
      </c>
      <c r="N98" s="7">
        <v>16</v>
      </c>
      <c r="O98" s="7">
        <v>13</v>
      </c>
      <c r="P98" s="7">
        <v>12</v>
      </c>
      <c r="Q98" s="7">
        <v>20</v>
      </c>
      <c r="R98" s="7">
        <v>20</v>
      </c>
      <c r="S98" s="7">
        <v>20</v>
      </c>
      <c r="T98" s="7">
        <v>13</v>
      </c>
      <c r="U98" s="7">
        <v>15</v>
      </c>
      <c r="V98" s="7">
        <v>4</v>
      </c>
      <c r="W98" s="7">
        <v>19</v>
      </c>
      <c r="X98" s="7">
        <v>22</v>
      </c>
      <c r="Y98" s="7">
        <v>11</v>
      </c>
      <c r="Z98" s="7">
        <v>15</v>
      </c>
      <c r="AA98" s="7">
        <v>8</v>
      </c>
      <c r="AB98" s="7">
        <v>10</v>
      </c>
      <c r="AC98" s="7">
        <v>2</v>
      </c>
      <c r="AD98" s="7">
        <v>14</v>
      </c>
      <c r="AE98" s="7">
        <v>19</v>
      </c>
      <c r="AF98" s="8"/>
      <c r="AG98" s="4">
        <f t="shared" si="13"/>
        <v>506</v>
      </c>
    </row>
    <row r="99" spans="1:33" ht="18.75" x14ac:dyDescent="0.25">
      <c r="A99" s="48" t="s">
        <v>7</v>
      </c>
      <c r="B99" s="7">
        <v>17</v>
      </c>
      <c r="C99" s="7">
        <v>7</v>
      </c>
      <c r="D99" s="7">
        <v>12</v>
      </c>
      <c r="E99" s="7">
        <v>19</v>
      </c>
      <c r="F99" s="7">
        <v>21</v>
      </c>
      <c r="G99" s="7">
        <v>11</v>
      </c>
      <c r="H99" s="7">
        <v>6</v>
      </c>
      <c r="I99" s="7">
        <v>15</v>
      </c>
      <c r="J99" s="7">
        <v>18</v>
      </c>
      <c r="K99" s="7">
        <v>17</v>
      </c>
      <c r="L99" s="7">
        <v>23</v>
      </c>
      <c r="M99" s="7">
        <v>17</v>
      </c>
      <c r="N99" s="7">
        <v>16</v>
      </c>
      <c r="O99" s="7">
        <v>7</v>
      </c>
      <c r="P99" s="7">
        <v>13</v>
      </c>
      <c r="Q99" s="7">
        <v>15</v>
      </c>
      <c r="R99" s="7">
        <v>23</v>
      </c>
      <c r="S99" s="7">
        <v>11</v>
      </c>
      <c r="T99" s="7">
        <v>5</v>
      </c>
      <c r="U99" s="7">
        <v>6</v>
      </c>
      <c r="V99" s="7">
        <v>9</v>
      </c>
      <c r="W99" s="7">
        <v>11</v>
      </c>
      <c r="X99" s="7">
        <v>11</v>
      </c>
      <c r="Y99" s="7">
        <v>12</v>
      </c>
      <c r="Z99" s="7">
        <v>15</v>
      </c>
      <c r="AA99" s="7">
        <v>14</v>
      </c>
      <c r="AB99" s="7">
        <v>8</v>
      </c>
      <c r="AC99" s="7">
        <v>2</v>
      </c>
      <c r="AD99" s="7">
        <v>15</v>
      </c>
      <c r="AE99" s="7">
        <v>14</v>
      </c>
      <c r="AF99" s="8"/>
      <c r="AG99" s="4">
        <f t="shared" si="13"/>
        <v>390</v>
      </c>
    </row>
    <row r="100" spans="1:33" ht="18.75" x14ac:dyDescent="0.25">
      <c r="A100" s="42" t="s">
        <v>66</v>
      </c>
      <c r="B100" s="17">
        <f t="shared" ref="B100:AF100" si="17">SUM(B101:B115)</f>
        <v>192</v>
      </c>
      <c r="C100" s="17">
        <f t="shared" si="17"/>
        <v>151</v>
      </c>
      <c r="D100" s="17">
        <f t="shared" si="17"/>
        <v>129</v>
      </c>
      <c r="E100" s="17">
        <f t="shared" si="17"/>
        <v>110</v>
      </c>
      <c r="F100" s="17">
        <f t="shared" si="17"/>
        <v>121</v>
      </c>
      <c r="G100" s="17">
        <f t="shared" si="17"/>
        <v>116</v>
      </c>
      <c r="H100" s="17">
        <f t="shared" si="17"/>
        <v>124</v>
      </c>
      <c r="I100" s="17">
        <f t="shared" si="17"/>
        <v>175</v>
      </c>
      <c r="J100" s="17">
        <f t="shared" si="17"/>
        <v>184</v>
      </c>
      <c r="K100" s="17">
        <f t="shared" si="17"/>
        <v>139</v>
      </c>
      <c r="L100" s="17">
        <f t="shared" si="17"/>
        <v>140</v>
      </c>
      <c r="M100" s="17">
        <f t="shared" si="17"/>
        <v>129</v>
      </c>
      <c r="N100" s="17">
        <f t="shared" si="17"/>
        <v>135</v>
      </c>
      <c r="O100" s="17">
        <f t="shared" si="17"/>
        <v>153</v>
      </c>
      <c r="P100" s="17">
        <f t="shared" si="17"/>
        <v>171</v>
      </c>
      <c r="Q100" s="17">
        <f t="shared" si="17"/>
        <v>177</v>
      </c>
      <c r="R100" s="17">
        <f t="shared" si="17"/>
        <v>124</v>
      </c>
      <c r="S100" s="17">
        <f t="shared" si="17"/>
        <v>132</v>
      </c>
      <c r="T100" s="17">
        <f t="shared" si="17"/>
        <v>142</v>
      </c>
      <c r="U100" s="17">
        <f t="shared" si="17"/>
        <v>128</v>
      </c>
      <c r="V100" s="17">
        <f t="shared" si="17"/>
        <v>131</v>
      </c>
      <c r="W100" s="17">
        <f t="shared" si="17"/>
        <v>185</v>
      </c>
      <c r="X100" s="17">
        <f t="shared" si="17"/>
        <v>227</v>
      </c>
      <c r="Y100" s="17">
        <f t="shared" si="17"/>
        <v>123</v>
      </c>
      <c r="Z100" s="17">
        <f t="shared" si="17"/>
        <v>138</v>
      </c>
      <c r="AA100" s="17">
        <f t="shared" si="17"/>
        <v>106</v>
      </c>
      <c r="AB100" s="17">
        <f t="shared" si="17"/>
        <v>102</v>
      </c>
      <c r="AC100" s="17">
        <f t="shared" si="17"/>
        <v>67</v>
      </c>
      <c r="AD100" s="17">
        <f t="shared" si="17"/>
        <v>161</v>
      </c>
      <c r="AE100" s="17">
        <f t="shared" si="17"/>
        <v>200</v>
      </c>
      <c r="AF100" s="18">
        <f t="shared" si="17"/>
        <v>0</v>
      </c>
      <c r="AG100" s="4">
        <f t="shared" si="13"/>
        <v>4312</v>
      </c>
    </row>
    <row r="101" spans="1:33" ht="18.75" x14ac:dyDescent="0.25">
      <c r="A101" s="48" t="s">
        <v>8</v>
      </c>
      <c r="B101" s="7">
        <v>16</v>
      </c>
      <c r="C101" s="7">
        <v>12</v>
      </c>
      <c r="D101" s="7">
        <v>16</v>
      </c>
      <c r="E101" s="7">
        <v>11</v>
      </c>
      <c r="F101" s="7">
        <v>11</v>
      </c>
      <c r="G101" s="7">
        <v>12</v>
      </c>
      <c r="H101" s="7">
        <v>14</v>
      </c>
      <c r="I101" s="7">
        <v>13</v>
      </c>
      <c r="J101" s="7">
        <v>16</v>
      </c>
      <c r="K101" s="7">
        <v>17</v>
      </c>
      <c r="L101" s="7">
        <v>17</v>
      </c>
      <c r="M101" s="7">
        <v>14</v>
      </c>
      <c r="N101" s="7">
        <v>16</v>
      </c>
      <c r="O101" s="7">
        <v>16</v>
      </c>
      <c r="P101" s="7">
        <v>9</v>
      </c>
      <c r="Q101" s="7">
        <v>22</v>
      </c>
      <c r="R101" s="7">
        <v>19</v>
      </c>
      <c r="S101" s="7">
        <v>13</v>
      </c>
      <c r="T101" s="7">
        <v>16</v>
      </c>
      <c r="U101" s="7">
        <v>13</v>
      </c>
      <c r="V101" s="7">
        <v>13</v>
      </c>
      <c r="W101" s="7">
        <v>12</v>
      </c>
      <c r="X101" s="7">
        <v>19</v>
      </c>
      <c r="Y101" s="7">
        <v>11</v>
      </c>
      <c r="Z101" s="7">
        <v>19</v>
      </c>
      <c r="AA101" s="7">
        <v>16</v>
      </c>
      <c r="AB101" s="7">
        <v>8</v>
      </c>
      <c r="AC101" s="7">
        <v>7</v>
      </c>
      <c r="AD101" s="7">
        <v>15</v>
      </c>
      <c r="AE101" s="7">
        <v>15</v>
      </c>
      <c r="AF101" s="8"/>
      <c r="AG101" s="4">
        <f t="shared" si="13"/>
        <v>428</v>
      </c>
    </row>
    <row r="102" spans="1:33" ht="18.75" x14ac:dyDescent="0.25">
      <c r="A102" s="48" t="s">
        <v>9</v>
      </c>
      <c r="B102" s="7">
        <v>14</v>
      </c>
      <c r="C102" s="7">
        <v>16</v>
      </c>
      <c r="D102" s="7">
        <v>14</v>
      </c>
      <c r="E102" s="7">
        <v>17</v>
      </c>
      <c r="F102" s="7">
        <v>8</v>
      </c>
      <c r="G102" s="7">
        <v>18</v>
      </c>
      <c r="H102" s="7">
        <v>19</v>
      </c>
      <c r="I102" s="7">
        <v>15</v>
      </c>
      <c r="J102" s="7">
        <v>14</v>
      </c>
      <c r="K102" s="7">
        <v>20</v>
      </c>
      <c r="L102" s="7">
        <v>21</v>
      </c>
      <c r="M102" s="7">
        <v>21</v>
      </c>
      <c r="N102" s="7">
        <v>18</v>
      </c>
      <c r="O102" s="7">
        <v>23</v>
      </c>
      <c r="P102" s="7">
        <v>22</v>
      </c>
      <c r="Q102" s="7">
        <v>19</v>
      </c>
      <c r="R102" s="7">
        <v>13</v>
      </c>
      <c r="S102" s="7">
        <v>19</v>
      </c>
      <c r="T102" s="7">
        <v>18</v>
      </c>
      <c r="U102" s="7">
        <v>12</v>
      </c>
      <c r="V102" s="7">
        <v>10</v>
      </c>
      <c r="W102" s="7">
        <v>13</v>
      </c>
      <c r="X102" s="7">
        <v>18</v>
      </c>
      <c r="Y102" s="7">
        <v>18</v>
      </c>
      <c r="Z102" s="7">
        <v>16</v>
      </c>
      <c r="AA102" s="7">
        <v>13</v>
      </c>
      <c r="AB102" s="7">
        <v>15</v>
      </c>
      <c r="AC102" s="7">
        <v>6</v>
      </c>
      <c r="AD102" s="7">
        <v>14</v>
      </c>
      <c r="AE102" s="7">
        <v>24</v>
      </c>
      <c r="AF102" s="8"/>
      <c r="AG102" s="4">
        <f t="shared" si="13"/>
        <v>488</v>
      </c>
    </row>
    <row r="103" spans="1:33" ht="18.75" x14ac:dyDescent="0.25">
      <c r="A103" s="49" t="s">
        <v>10</v>
      </c>
      <c r="B103" s="7">
        <v>20</v>
      </c>
      <c r="C103" s="7">
        <v>18</v>
      </c>
      <c r="D103" s="7">
        <v>14</v>
      </c>
      <c r="E103" s="7">
        <v>12</v>
      </c>
      <c r="F103" s="7">
        <v>16</v>
      </c>
      <c r="G103" s="7">
        <v>8</v>
      </c>
      <c r="H103" s="7">
        <v>15</v>
      </c>
      <c r="I103" s="7">
        <v>16</v>
      </c>
      <c r="J103" s="7">
        <v>14</v>
      </c>
      <c r="K103" s="7">
        <v>13</v>
      </c>
      <c r="L103" s="7">
        <v>9</v>
      </c>
      <c r="M103" s="7">
        <v>17</v>
      </c>
      <c r="N103" s="7">
        <v>13</v>
      </c>
      <c r="O103" s="7">
        <v>21</v>
      </c>
      <c r="P103" s="7">
        <v>20</v>
      </c>
      <c r="Q103" s="7">
        <v>18</v>
      </c>
      <c r="R103" s="7">
        <v>10</v>
      </c>
      <c r="S103" s="7">
        <v>16</v>
      </c>
      <c r="T103" s="7">
        <v>19</v>
      </c>
      <c r="U103" s="7">
        <v>15</v>
      </c>
      <c r="V103" s="7">
        <v>16</v>
      </c>
      <c r="W103" s="7">
        <v>16</v>
      </c>
      <c r="X103" s="7">
        <v>15</v>
      </c>
      <c r="Y103" s="7">
        <v>18</v>
      </c>
      <c r="Z103" s="7">
        <v>16</v>
      </c>
      <c r="AA103" s="7">
        <v>10</v>
      </c>
      <c r="AB103" s="7">
        <v>9</v>
      </c>
      <c r="AC103" s="7">
        <v>4</v>
      </c>
      <c r="AD103" s="7">
        <v>11</v>
      </c>
      <c r="AE103" s="7">
        <v>18</v>
      </c>
      <c r="AF103" s="8"/>
      <c r="AG103" s="4">
        <f t="shared" si="13"/>
        <v>437</v>
      </c>
    </row>
    <row r="104" spans="1:33" ht="18.75" x14ac:dyDescent="0.25">
      <c r="A104" s="49" t="s">
        <v>11</v>
      </c>
      <c r="B104" s="7">
        <v>19</v>
      </c>
      <c r="C104" s="7">
        <v>11</v>
      </c>
      <c r="D104" s="7">
        <v>7</v>
      </c>
      <c r="E104" s="7">
        <v>11</v>
      </c>
      <c r="F104" s="7">
        <v>14</v>
      </c>
      <c r="G104" s="7">
        <v>6</v>
      </c>
      <c r="H104" s="7">
        <v>6</v>
      </c>
      <c r="I104" s="7">
        <v>8</v>
      </c>
      <c r="J104" s="7">
        <v>10</v>
      </c>
      <c r="K104" s="7">
        <v>8</v>
      </c>
      <c r="L104" s="7">
        <v>9</v>
      </c>
      <c r="M104" s="7">
        <v>5</v>
      </c>
      <c r="N104" s="7">
        <v>10</v>
      </c>
      <c r="O104" s="7">
        <v>10</v>
      </c>
      <c r="P104" s="7">
        <v>14</v>
      </c>
      <c r="Q104" s="7">
        <v>17</v>
      </c>
      <c r="R104" s="7">
        <v>13</v>
      </c>
      <c r="S104" s="7">
        <v>13</v>
      </c>
      <c r="T104" s="7">
        <v>15</v>
      </c>
      <c r="U104" s="7">
        <v>13</v>
      </c>
      <c r="V104" s="7">
        <v>8</v>
      </c>
      <c r="W104" s="7">
        <v>11</v>
      </c>
      <c r="X104" s="7">
        <v>23</v>
      </c>
      <c r="Y104" s="7">
        <v>10</v>
      </c>
      <c r="Z104" s="7">
        <v>11</v>
      </c>
      <c r="AA104" s="7">
        <v>7</v>
      </c>
      <c r="AB104" s="7">
        <v>14</v>
      </c>
      <c r="AC104" s="7">
        <v>8</v>
      </c>
      <c r="AD104" s="7">
        <v>17</v>
      </c>
      <c r="AE104" s="7">
        <v>16</v>
      </c>
      <c r="AF104" s="8"/>
      <c r="AG104" s="4">
        <f t="shared" si="13"/>
        <v>344</v>
      </c>
    </row>
    <row r="105" spans="1:33" ht="18.75" x14ac:dyDescent="0.25">
      <c r="A105" s="49" t="s">
        <v>12</v>
      </c>
      <c r="B105" s="7">
        <v>19</v>
      </c>
      <c r="C105" s="7">
        <v>13</v>
      </c>
      <c r="D105" s="7">
        <v>10</v>
      </c>
      <c r="E105" s="7">
        <v>10</v>
      </c>
      <c r="F105" s="7">
        <v>11</v>
      </c>
      <c r="G105" s="7">
        <v>12</v>
      </c>
      <c r="H105" s="7">
        <v>9</v>
      </c>
      <c r="I105" s="7">
        <v>23</v>
      </c>
      <c r="J105" s="7">
        <v>19</v>
      </c>
      <c r="K105" s="7">
        <v>9</v>
      </c>
      <c r="L105" s="7">
        <v>12</v>
      </c>
      <c r="M105" s="7">
        <v>13</v>
      </c>
      <c r="N105" s="7">
        <v>13</v>
      </c>
      <c r="O105" s="7">
        <v>15</v>
      </c>
      <c r="P105" s="7">
        <v>15</v>
      </c>
      <c r="Q105" s="7">
        <v>15</v>
      </c>
      <c r="R105" s="7">
        <v>11</v>
      </c>
      <c r="S105" s="7">
        <v>8</v>
      </c>
      <c r="T105" s="7">
        <v>9</v>
      </c>
      <c r="U105" s="7">
        <v>12</v>
      </c>
      <c r="V105" s="7">
        <v>10</v>
      </c>
      <c r="W105" s="7">
        <v>16</v>
      </c>
      <c r="X105" s="7">
        <v>13</v>
      </c>
      <c r="Y105" s="7">
        <v>3</v>
      </c>
      <c r="Z105" s="7">
        <v>7</v>
      </c>
      <c r="AA105" s="7">
        <v>4</v>
      </c>
      <c r="AB105" s="7">
        <v>11</v>
      </c>
      <c r="AC105" s="7">
        <v>6</v>
      </c>
      <c r="AD105" s="7">
        <v>13</v>
      </c>
      <c r="AE105" s="7">
        <v>15</v>
      </c>
      <c r="AF105" s="8"/>
      <c r="AG105" s="4">
        <f t="shared" si="13"/>
        <v>356</v>
      </c>
    </row>
    <row r="106" spans="1:33" ht="18.75" x14ac:dyDescent="0.25">
      <c r="A106" s="49" t="s">
        <v>13</v>
      </c>
      <c r="B106" s="7">
        <v>9</v>
      </c>
      <c r="C106" s="7">
        <v>16</v>
      </c>
      <c r="D106" s="7">
        <v>7</v>
      </c>
      <c r="E106" s="7">
        <v>6</v>
      </c>
      <c r="F106" s="7">
        <v>7</v>
      </c>
      <c r="G106" s="7">
        <v>6</v>
      </c>
      <c r="H106" s="7">
        <v>7</v>
      </c>
      <c r="I106" s="7">
        <v>10</v>
      </c>
      <c r="J106" s="7">
        <v>9</v>
      </c>
      <c r="K106" s="7">
        <v>18</v>
      </c>
      <c r="L106" s="7">
        <v>14</v>
      </c>
      <c r="M106" s="7">
        <v>9</v>
      </c>
      <c r="N106" s="7">
        <v>13</v>
      </c>
      <c r="O106" s="7">
        <v>10</v>
      </c>
      <c r="P106" s="7">
        <v>12</v>
      </c>
      <c r="Q106" s="7">
        <v>6</v>
      </c>
      <c r="R106" s="7">
        <v>7</v>
      </c>
      <c r="S106" s="7">
        <v>9</v>
      </c>
      <c r="T106" s="7">
        <v>9</v>
      </c>
      <c r="U106" s="7">
        <v>9</v>
      </c>
      <c r="V106" s="7">
        <v>10</v>
      </c>
      <c r="W106" s="7">
        <v>20</v>
      </c>
      <c r="X106" s="7">
        <v>16</v>
      </c>
      <c r="Y106" s="7">
        <v>11</v>
      </c>
      <c r="Z106" s="7">
        <v>11</v>
      </c>
      <c r="AA106" s="7">
        <v>7</v>
      </c>
      <c r="AB106" s="7">
        <v>10</v>
      </c>
      <c r="AC106" s="7">
        <v>6</v>
      </c>
      <c r="AD106" s="7">
        <v>12</v>
      </c>
      <c r="AE106" s="7">
        <v>14</v>
      </c>
      <c r="AF106" s="8"/>
      <c r="AG106" s="4">
        <f t="shared" si="13"/>
        <v>310</v>
      </c>
    </row>
    <row r="107" spans="1:33" ht="18.75" x14ac:dyDescent="0.25">
      <c r="A107" s="49" t="s">
        <v>14</v>
      </c>
      <c r="B107" s="7">
        <v>16</v>
      </c>
      <c r="C107" s="7">
        <v>11</v>
      </c>
      <c r="D107" s="7">
        <v>13</v>
      </c>
      <c r="E107" s="7">
        <v>5</v>
      </c>
      <c r="F107" s="7">
        <v>18</v>
      </c>
      <c r="G107" s="7">
        <v>6</v>
      </c>
      <c r="H107" s="7">
        <v>13</v>
      </c>
      <c r="I107" s="7">
        <v>20</v>
      </c>
      <c r="J107" s="7">
        <v>25</v>
      </c>
      <c r="K107" s="7">
        <v>14</v>
      </c>
      <c r="L107" s="7">
        <v>9</v>
      </c>
      <c r="M107" s="7">
        <v>11</v>
      </c>
      <c r="N107" s="7">
        <v>10</v>
      </c>
      <c r="O107" s="7">
        <v>10</v>
      </c>
      <c r="P107" s="7">
        <v>17</v>
      </c>
      <c r="Q107" s="7">
        <v>15</v>
      </c>
      <c r="R107" s="7">
        <v>9</v>
      </c>
      <c r="S107" s="7">
        <v>12</v>
      </c>
      <c r="T107" s="7">
        <v>9</v>
      </c>
      <c r="U107" s="7">
        <v>10</v>
      </c>
      <c r="V107" s="7">
        <v>12</v>
      </c>
      <c r="W107" s="7">
        <v>17</v>
      </c>
      <c r="X107" s="7">
        <v>19</v>
      </c>
      <c r="Y107" s="7">
        <v>11</v>
      </c>
      <c r="Z107" s="7">
        <v>11</v>
      </c>
      <c r="AA107" s="7">
        <v>10</v>
      </c>
      <c r="AB107" s="7">
        <v>10</v>
      </c>
      <c r="AC107" s="7">
        <v>5</v>
      </c>
      <c r="AD107" s="7">
        <v>13</v>
      </c>
      <c r="AE107" s="7">
        <v>16</v>
      </c>
      <c r="AF107" s="8"/>
      <c r="AG107" s="4">
        <f t="shared" si="13"/>
        <v>377</v>
      </c>
    </row>
    <row r="108" spans="1:33" ht="18.75" x14ac:dyDescent="0.25">
      <c r="A108" s="49" t="s">
        <v>15</v>
      </c>
      <c r="B108" s="7">
        <v>19</v>
      </c>
      <c r="C108" s="7">
        <v>9</v>
      </c>
      <c r="D108" s="7">
        <v>7</v>
      </c>
      <c r="E108" s="7">
        <v>5</v>
      </c>
      <c r="F108" s="7">
        <v>10</v>
      </c>
      <c r="G108" s="7">
        <v>11</v>
      </c>
      <c r="H108" s="7">
        <v>7</v>
      </c>
      <c r="I108" s="7">
        <v>13</v>
      </c>
      <c r="J108" s="7">
        <v>18</v>
      </c>
      <c r="K108" s="7">
        <v>11</v>
      </c>
      <c r="L108" s="7">
        <v>11</v>
      </c>
      <c r="M108" s="7">
        <v>11</v>
      </c>
      <c r="N108" s="7">
        <v>12</v>
      </c>
      <c r="O108" s="7">
        <v>13</v>
      </c>
      <c r="P108" s="7">
        <v>12</v>
      </c>
      <c r="Q108" s="7">
        <v>25</v>
      </c>
      <c r="R108" s="7">
        <v>12</v>
      </c>
      <c r="S108" s="7">
        <v>15</v>
      </c>
      <c r="T108" s="7">
        <v>10</v>
      </c>
      <c r="U108" s="7">
        <v>12</v>
      </c>
      <c r="V108" s="7">
        <v>13</v>
      </c>
      <c r="W108" s="7">
        <v>16</v>
      </c>
      <c r="X108" s="7">
        <v>27</v>
      </c>
      <c r="Y108" s="7">
        <v>6</v>
      </c>
      <c r="Z108" s="7">
        <v>11</v>
      </c>
      <c r="AA108" s="7">
        <v>3</v>
      </c>
      <c r="AB108" s="7">
        <v>13</v>
      </c>
      <c r="AC108" s="7">
        <v>5</v>
      </c>
      <c r="AD108" s="7">
        <v>12</v>
      </c>
      <c r="AE108" s="7">
        <v>17</v>
      </c>
      <c r="AF108" s="8"/>
      <c r="AG108" s="4">
        <f t="shared" si="13"/>
        <v>366</v>
      </c>
    </row>
    <row r="109" spans="1:33" ht="18.75" x14ac:dyDescent="0.25">
      <c r="A109" s="49" t="s">
        <v>16</v>
      </c>
      <c r="B109" s="7">
        <v>11</v>
      </c>
      <c r="C109" s="7">
        <v>12</v>
      </c>
      <c r="D109" s="7">
        <v>13</v>
      </c>
      <c r="E109" s="7">
        <v>6</v>
      </c>
      <c r="F109" s="7">
        <v>4</v>
      </c>
      <c r="G109" s="7">
        <v>7</v>
      </c>
      <c r="H109" s="7">
        <v>9</v>
      </c>
      <c r="I109" s="7">
        <v>13</v>
      </c>
      <c r="J109" s="7">
        <v>18</v>
      </c>
      <c r="K109" s="7">
        <v>9</v>
      </c>
      <c r="L109" s="7">
        <v>10</v>
      </c>
      <c r="M109" s="7">
        <v>11</v>
      </c>
      <c r="N109" s="7">
        <v>11</v>
      </c>
      <c r="O109" s="7">
        <v>7</v>
      </c>
      <c r="P109" s="7">
        <v>9</v>
      </c>
      <c r="Q109" s="7">
        <v>14</v>
      </c>
      <c r="R109" s="7">
        <v>9</v>
      </c>
      <c r="S109" s="7">
        <v>4</v>
      </c>
      <c r="T109" s="7">
        <v>16</v>
      </c>
      <c r="U109" s="7">
        <v>8</v>
      </c>
      <c r="V109" s="7">
        <v>10</v>
      </c>
      <c r="W109" s="7">
        <v>14</v>
      </c>
      <c r="X109" s="7">
        <v>15</v>
      </c>
      <c r="Y109" s="7">
        <v>11</v>
      </c>
      <c r="Z109" s="7">
        <v>10</v>
      </c>
      <c r="AA109" s="7">
        <v>6</v>
      </c>
      <c r="AB109" s="7">
        <v>1</v>
      </c>
      <c r="AC109" s="7">
        <v>6</v>
      </c>
      <c r="AD109" s="7">
        <v>12</v>
      </c>
      <c r="AE109" s="7">
        <v>14</v>
      </c>
      <c r="AF109" s="8"/>
      <c r="AG109" s="4">
        <f t="shared" si="13"/>
        <v>300</v>
      </c>
    </row>
    <row r="110" spans="1:33" ht="18.75" x14ac:dyDescent="0.25">
      <c r="A110" s="49" t="s">
        <v>17</v>
      </c>
      <c r="B110" s="7">
        <v>19</v>
      </c>
      <c r="C110" s="7">
        <v>8</v>
      </c>
      <c r="D110" s="7">
        <v>5</v>
      </c>
      <c r="E110" s="7">
        <v>9</v>
      </c>
      <c r="F110" s="7">
        <v>7</v>
      </c>
      <c r="G110" s="7">
        <v>8</v>
      </c>
      <c r="H110" s="7">
        <v>8</v>
      </c>
      <c r="I110" s="7">
        <v>12</v>
      </c>
      <c r="J110" s="7">
        <v>12</v>
      </c>
      <c r="K110" s="7">
        <v>4</v>
      </c>
      <c r="L110" s="7">
        <v>8</v>
      </c>
      <c r="M110" s="7">
        <v>4</v>
      </c>
      <c r="N110" s="7">
        <v>3</v>
      </c>
      <c r="O110" s="7">
        <v>6</v>
      </c>
      <c r="P110" s="7">
        <v>13</v>
      </c>
      <c r="Q110" s="7">
        <v>7</v>
      </c>
      <c r="R110" s="7">
        <v>6</v>
      </c>
      <c r="S110" s="7">
        <v>3</v>
      </c>
      <c r="T110" s="7">
        <v>4</v>
      </c>
      <c r="U110" s="7">
        <v>7</v>
      </c>
      <c r="V110" s="7">
        <v>10</v>
      </c>
      <c r="W110" s="7">
        <v>15</v>
      </c>
      <c r="X110" s="7">
        <v>20</v>
      </c>
      <c r="Y110" s="7">
        <v>5</v>
      </c>
      <c r="Z110" s="7">
        <v>5</v>
      </c>
      <c r="AA110" s="7">
        <v>12</v>
      </c>
      <c r="AB110" s="7">
        <v>3</v>
      </c>
      <c r="AC110" s="7">
        <v>4</v>
      </c>
      <c r="AD110" s="7">
        <v>15</v>
      </c>
      <c r="AE110" s="7">
        <v>12</v>
      </c>
      <c r="AF110" s="8"/>
      <c r="AG110" s="4">
        <f t="shared" si="13"/>
        <v>254</v>
      </c>
    </row>
    <row r="111" spans="1:33" ht="18.75" x14ac:dyDescent="0.25">
      <c r="A111" s="49" t="s">
        <v>18</v>
      </c>
      <c r="B111" s="7">
        <v>13</v>
      </c>
      <c r="C111" s="7">
        <v>8</v>
      </c>
      <c r="D111" s="7">
        <v>6</v>
      </c>
      <c r="E111" s="7">
        <v>4</v>
      </c>
      <c r="F111" s="7">
        <v>4</v>
      </c>
      <c r="G111" s="7">
        <v>7</v>
      </c>
      <c r="H111" s="7">
        <v>8</v>
      </c>
      <c r="I111" s="7">
        <v>7</v>
      </c>
      <c r="J111" s="7">
        <v>10</v>
      </c>
      <c r="K111" s="7">
        <v>4</v>
      </c>
      <c r="L111" s="7">
        <v>8</v>
      </c>
      <c r="M111" s="7">
        <v>4</v>
      </c>
      <c r="N111" s="7">
        <v>5</v>
      </c>
      <c r="O111" s="7">
        <v>9</v>
      </c>
      <c r="P111" s="7">
        <v>8</v>
      </c>
      <c r="Q111" s="7">
        <v>5</v>
      </c>
      <c r="R111" s="7">
        <v>6</v>
      </c>
      <c r="S111" s="7">
        <v>7</v>
      </c>
      <c r="T111" s="7">
        <v>6</v>
      </c>
      <c r="U111" s="7">
        <v>6</v>
      </c>
      <c r="V111" s="7">
        <v>8</v>
      </c>
      <c r="W111" s="7">
        <v>12</v>
      </c>
      <c r="X111" s="7">
        <v>23</v>
      </c>
      <c r="Y111" s="7">
        <v>3</v>
      </c>
      <c r="Z111" s="7">
        <v>3</v>
      </c>
      <c r="AA111" s="7">
        <v>6</v>
      </c>
      <c r="AB111" s="7">
        <v>3</v>
      </c>
      <c r="AC111" s="7">
        <v>2</v>
      </c>
      <c r="AD111" s="7">
        <v>8</v>
      </c>
      <c r="AE111" s="7">
        <v>12</v>
      </c>
      <c r="AF111" s="8"/>
      <c r="AG111" s="4">
        <f t="shared" si="13"/>
        <v>215</v>
      </c>
    </row>
    <row r="112" spans="1:33" ht="18.75" x14ac:dyDescent="0.25">
      <c r="A112" s="49" t="s">
        <v>19</v>
      </c>
      <c r="B112" s="7">
        <v>6</v>
      </c>
      <c r="C112" s="7">
        <v>9</v>
      </c>
      <c r="D112" s="7">
        <v>6</v>
      </c>
      <c r="E112" s="7">
        <v>8</v>
      </c>
      <c r="F112" s="7">
        <v>7</v>
      </c>
      <c r="G112" s="7">
        <v>6</v>
      </c>
      <c r="H112" s="7">
        <v>4</v>
      </c>
      <c r="I112" s="7">
        <v>9</v>
      </c>
      <c r="J112" s="7">
        <v>5</v>
      </c>
      <c r="K112" s="7">
        <v>5</v>
      </c>
      <c r="L112" s="7">
        <v>3</v>
      </c>
      <c r="M112" s="7">
        <v>4</v>
      </c>
      <c r="N112" s="7">
        <v>6</v>
      </c>
      <c r="O112" s="7">
        <v>5</v>
      </c>
      <c r="P112" s="7">
        <v>6</v>
      </c>
      <c r="Q112" s="7">
        <v>6</v>
      </c>
      <c r="R112" s="7">
        <v>3</v>
      </c>
      <c r="S112" s="7">
        <v>3</v>
      </c>
      <c r="T112" s="7">
        <v>5</v>
      </c>
      <c r="U112" s="7">
        <v>4</v>
      </c>
      <c r="V112" s="7">
        <v>5</v>
      </c>
      <c r="W112" s="7">
        <v>12</v>
      </c>
      <c r="X112" s="7">
        <v>8</v>
      </c>
      <c r="Y112" s="7">
        <v>3</v>
      </c>
      <c r="Z112" s="7">
        <v>6</v>
      </c>
      <c r="AA112" s="7">
        <v>3</v>
      </c>
      <c r="AB112" s="7">
        <v>1</v>
      </c>
      <c r="AC112" s="7">
        <v>4</v>
      </c>
      <c r="AD112" s="7">
        <v>7</v>
      </c>
      <c r="AE112" s="7">
        <v>11</v>
      </c>
      <c r="AF112" s="8"/>
      <c r="AG112" s="4">
        <f>SUM(B112:AF112)</f>
        <v>170</v>
      </c>
    </row>
    <row r="113" spans="1:33" ht="18.75" x14ac:dyDescent="0.25">
      <c r="A113" s="49" t="s">
        <v>20</v>
      </c>
      <c r="B113" s="7">
        <v>8</v>
      </c>
      <c r="C113" s="7">
        <v>4</v>
      </c>
      <c r="D113" s="7">
        <v>6</v>
      </c>
      <c r="E113" s="7">
        <v>3</v>
      </c>
      <c r="F113" s="7"/>
      <c r="G113" s="7">
        <v>2</v>
      </c>
      <c r="H113" s="7">
        <v>1</v>
      </c>
      <c r="I113" s="7">
        <v>5</v>
      </c>
      <c r="J113" s="7">
        <v>4</v>
      </c>
      <c r="K113" s="7">
        <v>2</v>
      </c>
      <c r="L113" s="7">
        <v>4</v>
      </c>
      <c r="M113" s="7">
        <v>4</v>
      </c>
      <c r="N113" s="7">
        <v>1</v>
      </c>
      <c r="O113" s="7">
        <v>4</v>
      </c>
      <c r="P113" s="7">
        <v>5</v>
      </c>
      <c r="Q113" s="7">
        <v>1</v>
      </c>
      <c r="R113" s="7">
        <v>4</v>
      </c>
      <c r="S113" s="7">
        <v>4</v>
      </c>
      <c r="T113" s="7">
        <v>3</v>
      </c>
      <c r="U113" s="7">
        <v>3</v>
      </c>
      <c r="V113" s="7">
        <v>5</v>
      </c>
      <c r="W113" s="7">
        <v>5</v>
      </c>
      <c r="X113" s="7">
        <v>7</v>
      </c>
      <c r="Y113" s="7">
        <v>7</v>
      </c>
      <c r="Z113" s="7">
        <v>7</v>
      </c>
      <c r="AA113" s="7">
        <v>6</v>
      </c>
      <c r="AB113" s="7">
        <v>1</v>
      </c>
      <c r="AC113" s="7">
        <v>2</v>
      </c>
      <c r="AD113" s="7">
        <v>5</v>
      </c>
      <c r="AE113" s="7">
        <v>8</v>
      </c>
      <c r="AF113" s="8"/>
      <c r="AG113" s="4">
        <f t="shared" si="13"/>
        <v>121</v>
      </c>
    </row>
    <row r="114" spans="1:33" ht="18.75" x14ac:dyDescent="0.25">
      <c r="A114" s="49" t="s">
        <v>21</v>
      </c>
      <c r="B114" s="7">
        <v>3</v>
      </c>
      <c r="C114" s="7">
        <v>4</v>
      </c>
      <c r="D114" s="7">
        <v>5</v>
      </c>
      <c r="E114" s="7">
        <v>3</v>
      </c>
      <c r="F114" s="7">
        <v>4</v>
      </c>
      <c r="G114" s="7">
        <v>7</v>
      </c>
      <c r="H114" s="7">
        <v>4</v>
      </c>
      <c r="I114" s="7">
        <v>11</v>
      </c>
      <c r="J114" s="7">
        <v>10</v>
      </c>
      <c r="K114" s="7">
        <v>5</v>
      </c>
      <c r="L114" s="7">
        <v>5</v>
      </c>
      <c r="M114" s="7">
        <v>1</v>
      </c>
      <c r="N114" s="7">
        <v>4</v>
      </c>
      <c r="O114" s="7">
        <v>4</v>
      </c>
      <c r="P114" s="7">
        <v>9</v>
      </c>
      <c r="Q114" s="7">
        <v>7</v>
      </c>
      <c r="R114" s="7">
        <v>2</v>
      </c>
      <c r="S114" s="7">
        <v>6</v>
      </c>
      <c r="T114" s="7">
        <v>3</v>
      </c>
      <c r="U114" s="7">
        <v>4</v>
      </c>
      <c r="V114" s="7">
        <v>1</v>
      </c>
      <c r="W114" s="7">
        <v>6</v>
      </c>
      <c r="X114" s="7">
        <v>4</v>
      </c>
      <c r="Y114" s="7">
        <v>6</v>
      </c>
      <c r="Z114" s="7">
        <v>5</v>
      </c>
      <c r="AA114" s="7">
        <v>3</v>
      </c>
      <c r="AB114" s="7">
        <v>3</v>
      </c>
      <c r="AC114" s="7">
        <v>2</v>
      </c>
      <c r="AD114" s="7">
        <v>7</v>
      </c>
      <c r="AE114" s="7">
        <v>8</v>
      </c>
      <c r="AF114" s="8"/>
      <c r="AG114" s="4">
        <f t="shared" si="13"/>
        <v>146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128</v>
      </c>
      <c r="C116" s="74">
        <f t="shared" si="18"/>
        <v>121</v>
      </c>
      <c r="D116" s="74">
        <f t="shared" si="18"/>
        <v>99</v>
      </c>
      <c r="E116" s="74">
        <f t="shared" si="18"/>
        <v>84</v>
      </c>
      <c r="F116" s="74">
        <f t="shared" si="18"/>
        <v>73</v>
      </c>
      <c r="G116" s="74">
        <f t="shared" si="18"/>
        <v>78</v>
      </c>
      <c r="H116" s="74">
        <f t="shared" si="18"/>
        <v>63</v>
      </c>
      <c r="I116" s="74">
        <f t="shared" si="18"/>
        <v>140</v>
      </c>
      <c r="J116" s="74">
        <f t="shared" si="18"/>
        <v>106</v>
      </c>
      <c r="K116" s="74">
        <f t="shared" si="18"/>
        <v>101</v>
      </c>
      <c r="L116" s="74">
        <f t="shared" si="18"/>
        <v>88</v>
      </c>
      <c r="M116" s="74">
        <f t="shared" si="18"/>
        <v>72</v>
      </c>
      <c r="N116" s="74">
        <f t="shared" si="18"/>
        <v>79</v>
      </c>
      <c r="O116" s="74">
        <f t="shared" si="18"/>
        <v>75</v>
      </c>
      <c r="P116" s="74">
        <f t="shared" si="18"/>
        <v>101</v>
      </c>
      <c r="Q116" s="74">
        <f t="shared" si="18"/>
        <v>92</v>
      </c>
      <c r="R116" s="74">
        <f t="shared" si="18"/>
        <v>82</v>
      </c>
      <c r="S116" s="74">
        <f t="shared" si="18"/>
        <v>74</v>
      </c>
      <c r="T116" s="74">
        <f t="shared" si="18"/>
        <v>85</v>
      </c>
      <c r="U116" s="74">
        <f t="shared" si="18"/>
        <v>71</v>
      </c>
      <c r="V116" s="74">
        <f t="shared" si="18"/>
        <v>72</v>
      </c>
      <c r="W116" s="74">
        <f t="shared" si="18"/>
        <v>108</v>
      </c>
      <c r="X116" s="74">
        <f t="shared" si="18"/>
        <v>128</v>
      </c>
      <c r="Y116" s="74">
        <f t="shared" si="18"/>
        <v>72</v>
      </c>
      <c r="Z116" s="74">
        <f t="shared" si="18"/>
        <v>83</v>
      </c>
      <c r="AA116" s="74">
        <f t="shared" si="18"/>
        <v>70</v>
      </c>
      <c r="AB116" s="74">
        <f t="shared" si="18"/>
        <v>52</v>
      </c>
      <c r="AC116" s="74">
        <f t="shared" si="18"/>
        <v>30</v>
      </c>
      <c r="AD116" s="74">
        <f t="shared" si="18"/>
        <v>105</v>
      </c>
      <c r="AE116" s="74">
        <f t="shared" si="18"/>
        <v>109</v>
      </c>
      <c r="AF116" s="84">
        <f t="shared" si="18"/>
        <v>0</v>
      </c>
      <c r="AG116" s="4">
        <f t="shared" si="13"/>
        <v>2641</v>
      </c>
    </row>
    <row r="117" spans="1:33" ht="18.75" x14ac:dyDescent="0.25">
      <c r="A117" s="43" t="s">
        <v>59</v>
      </c>
      <c r="B117" s="7">
        <v>86</v>
      </c>
      <c r="C117" s="7">
        <v>87</v>
      </c>
      <c r="D117" s="7">
        <v>73</v>
      </c>
      <c r="E117" s="7">
        <v>54</v>
      </c>
      <c r="F117" s="7">
        <v>49</v>
      </c>
      <c r="G117" s="7">
        <v>46</v>
      </c>
      <c r="H117" s="7">
        <v>42</v>
      </c>
      <c r="I117" s="7">
        <v>95</v>
      </c>
      <c r="J117" s="7">
        <v>71</v>
      </c>
      <c r="K117" s="7">
        <v>71</v>
      </c>
      <c r="L117" s="7">
        <v>59</v>
      </c>
      <c r="M117" s="7">
        <v>47</v>
      </c>
      <c r="N117" s="7">
        <v>62</v>
      </c>
      <c r="O117" s="7">
        <v>47</v>
      </c>
      <c r="P117" s="7">
        <v>63</v>
      </c>
      <c r="Q117" s="7">
        <v>68</v>
      </c>
      <c r="R117" s="7">
        <v>56</v>
      </c>
      <c r="S117" s="7">
        <v>51</v>
      </c>
      <c r="T117" s="7">
        <v>49</v>
      </c>
      <c r="U117" s="7">
        <v>50</v>
      </c>
      <c r="V117" s="7">
        <v>55</v>
      </c>
      <c r="W117" s="7">
        <v>78</v>
      </c>
      <c r="X117" s="7">
        <v>90</v>
      </c>
      <c r="Y117" s="7">
        <v>48</v>
      </c>
      <c r="Z117" s="7">
        <v>67</v>
      </c>
      <c r="AA117" s="7">
        <v>51</v>
      </c>
      <c r="AB117" s="7">
        <v>37</v>
      </c>
      <c r="AC117" s="7">
        <v>24</v>
      </c>
      <c r="AD117" s="7">
        <v>71</v>
      </c>
      <c r="AE117" s="7">
        <v>83</v>
      </c>
      <c r="AF117" s="8"/>
      <c r="AG117" s="4">
        <f t="shared" si="13"/>
        <v>1830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24+18</f>
        <v>42</v>
      </c>
      <c r="C129" s="13">
        <f>19+1+14</f>
        <v>34</v>
      </c>
      <c r="D129" s="13">
        <f>8+18</f>
        <v>26</v>
      </c>
      <c r="E129" s="13">
        <f>13+1+16</f>
        <v>30</v>
      </c>
      <c r="F129" s="13">
        <f>12+12</f>
        <v>24</v>
      </c>
      <c r="G129" s="13">
        <f>12+20</f>
        <v>32</v>
      </c>
      <c r="H129" s="13">
        <f>11+10</f>
        <v>21</v>
      </c>
      <c r="I129" s="13">
        <f>14+1+30</f>
        <v>45</v>
      </c>
      <c r="J129" s="13">
        <f>23+12</f>
        <v>35</v>
      </c>
      <c r="K129" s="13">
        <f>15+15</f>
        <v>30</v>
      </c>
      <c r="L129" s="13">
        <f>13+1+15</f>
        <v>29</v>
      </c>
      <c r="M129" s="13">
        <f>9+16</f>
        <v>25</v>
      </c>
      <c r="N129" s="13">
        <f>5+12</f>
        <v>17</v>
      </c>
      <c r="O129" s="13">
        <f>13+15</f>
        <v>28</v>
      </c>
      <c r="P129" s="13">
        <f>26+12</f>
        <v>38</v>
      </c>
      <c r="Q129" s="13">
        <f>1+7+16</f>
        <v>24</v>
      </c>
      <c r="R129" s="13">
        <f>13+13</f>
        <v>26</v>
      </c>
      <c r="S129" s="13">
        <f>9+14</f>
        <v>23</v>
      </c>
      <c r="T129" s="13">
        <f>25+11</f>
        <v>36</v>
      </c>
      <c r="U129" s="13">
        <f>11+10</f>
        <v>21</v>
      </c>
      <c r="V129" s="13">
        <f>5+12</f>
        <v>17</v>
      </c>
      <c r="W129" s="13">
        <f>19+11</f>
        <v>30</v>
      </c>
      <c r="X129" s="13">
        <f>22+16</f>
        <v>38</v>
      </c>
      <c r="Y129" s="13">
        <f>17+7</f>
        <v>24</v>
      </c>
      <c r="Z129" s="13">
        <f>7+9</f>
        <v>16</v>
      </c>
      <c r="AA129" s="13">
        <f>9+10</f>
        <v>19</v>
      </c>
      <c r="AB129" s="13">
        <f>6+9</f>
        <v>15</v>
      </c>
      <c r="AC129" s="13">
        <f>5+1</f>
        <v>6</v>
      </c>
      <c r="AD129" s="13">
        <f>17+17</f>
        <v>34</v>
      </c>
      <c r="AE129" s="13">
        <f>15+11</f>
        <v>26</v>
      </c>
      <c r="AF129" s="14"/>
      <c r="AG129" s="4">
        <f t="shared" si="19"/>
        <v>811</v>
      </c>
    </row>
    <row r="130" spans="1:35" ht="18.75" x14ac:dyDescent="0.25">
      <c r="A130" s="73" t="s">
        <v>109</v>
      </c>
      <c r="B130" s="74">
        <f t="shared" ref="B130:AF130" si="20">SUM(B131:B143)</f>
        <v>267</v>
      </c>
      <c r="C130" s="74">
        <f t="shared" si="20"/>
        <v>208</v>
      </c>
      <c r="D130" s="74">
        <f t="shared" si="20"/>
        <v>181</v>
      </c>
      <c r="E130" s="74">
        <f t="shared" si="20"/>
        <v>157</v>
      </c>
      <c r="F130" s="74">
        <f t="shared" si="20"/>
        <v>175</v>
      </c>
      <c r="G130" s="74">
        <f t="shared" si="20"/>
        <v>152</v>
      </c>
      <c r="H130" s="74">
        <f t="shared" si="20"/>
        <v>159</v>
      </c>
      <c r="I130" s="74">
        <f t="shared" si="20"/>
        <v>244</v>
      </c>
      <c r="J130" s="74">
        <f t="shared" si="20"/>
        <v>240</v>
      </c>
      <c r="K130" s="74">
        <f t="shared" si="20"/>
        <v>198</v>
      </c>
      <c r="L130" s="74">
        <f t="shared" si="20"/>
        <v>183</v>
      </c>
      <c r="M130" s="74">
        <f t="shared" si="20"/>
        <v>168</v>
      </c>
      <c r="N130" s="74">
        <f t="shared" si="20"/>
        <v>176</v>
      </c>
      <c r="O130" s="74">
        <f t="shared" si="20"/>
        <v>177</v>
      </c>
      <c r="P130" s="74">
        <f t="shared" si="20"/>
        <v>208</v>
      </c>
      <c r="Q130" s="74">
        <f t="shared" si="20"/>
        <v>224</v>
      </c>
      <c r="R130" s="74">
        <f t="shared" si="20"/>
        <v>179</v>
      </c>
      <c r="S130" s="74">
        <f t="shared" si="20"/>
        <v>175</v>
      </c>
      <c r="T130" s="74">
        <f t="shared" si="20"/>
        <v>174</v>
      </c>
      <c r="U130" s="74">
        <f t="shared" si="20"/>
        <v>166</v>
      </c>
      <c r="V130" s="74">
        <f t="shared" si="20"/>
        <v>148</v>
      </c>
      <c r="W130" s="74">
        <f t="shared" si="20"/>
        <v>234</v>
      </c>
      <c r="X130" s="74">
        <f t="shared" si="20"/>
        <v>276</v>
      </c>
      <c r="Y130" s="74">
        <f t="shared" si="20"/>
        <v>152</v>
      </c>
      <c r="Z130" s="74">
        <f t="shared" si="20"/>
        <v>177</v>
      </c>
      <c r="AA130" s="74">
        <f t="shared" si="20"/>
        <v>136</v>
      </c>
      <c r="AB130" s="74">
        <f t="shared" si="20"/>
        <v>127</v>
      </c>
      <c r="AC130" s="74">
        <f t="shared" si="20"/>
        <v>74</v>
      </c>
      <c r="AD130" s="74">
        <f t="shared" si="20"/>
        <v>198</v>
      </c>
      <c r="AE130" s="74">
        <f t="shared" si="20"/>
        <v>253</v>
      </c>
      <c r="AF130" s="84">
        <f t="shared" si="20"/>
        <v>0</v>
      </c>
      <c r="AG130" s="150">
        <f t="shared" si="19"/>
        <v>5586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79</v>
      </c>
      <c r="C131" s="7">
        <v>66</v>
      </c>
      <c r="D131" s="7">
        <v>55</v>
      </c>
      <c r="E131" s="7">
        <v>48</v>
      </c>
      <c r="F131" s="7">
        <v>43</v>
      </c>
      <c r="G131" s="7">
        <v>36</v>
      </c>
      <c r="H131" s="7">
        <v>40</v>
      </c>
      <c r="I131" s="7">
        <v>74</v>
      </c>
      <c r="J131" s="7">
        <v>56</v>
      </c>
      <c r="K131" s="7">
        <v>59</v>
      </c>
      <c r="L131" s="7">
        <v>52</v>
      </c>
      <c r="M131" s="7">
        <v>41</v>
      </c>
      <c r="N131" s="7">
        <v>56</v>
      </c>
      <c r="O131" s="7">
        <v>43</v>
      </c>
      <c r="P131" s="7">
        <v>54</v>
      </c>
      <c r="Q131" s="7">
        <v>64</v>
      </c>
      <c r="R131" s="7">
        <v>46</v>
      </c>
      <c r="S131" s="7">
        <v>50</v>
      </c>
      <c r="T131" s="7">
        <v>42</v>
      </c>
      <c r="U131" s="7">
        <v>47</v>
      </c>
      <c r="V131" s="7">
        <v>51</v>
      </c>
      <c r="W131" s="7">
        <v>68</v>
      </c>
      <c r="X131" s="7">
        <v>86</v>
      </c>
      <c r="Y131" s="7">
        <v>45</v>
      </c>
      <c r="Z131" s="7">
        <v>61</v>
      </c>
      <c r="AA131" s="7">
        <v>47</v>
      </c>
      <c r="AB131" s="7">
        <v>36</v>
      </c>
      <c r="AC131" s="7">
        <v>22</v>
      </c>
      <c r="AD131" s="7">
        <v>64</v>
      </c>
      <c r="AE131" s="7">
        <v>79</v>
      </c>
      <c r="AF131" s="8"/>
      <c r="AG131" s="4">
        <f t="shared" si="19"/>
        <v>1610</v>
      </c>
    </row>
    <row r="132" spans="1:35" ht="18.75" x14ac:dyDescent="0.25">
      <c r="A132" s="43" t="s">
        <v>23</v>
      </c>
      <c r="B132" s="7">
        <v>7</v>
      </c>
      <c r="C132" s="7">
        <v>4</v>
      </c>
      <c r="D132" s="7">
        <v>10</v>
      </c>
      <c r="E132" s="7">
        <v>6</v>
      </c>
      <c r="F132" s="7">
        <v>7</v>
      </c>
      <c r="G132" s="7">
        <v>9</v>
      </c>
      <c r="H132" s="7">
        <v>14</v>
      </c>
      <c r="I132" s="7">
        <v>9</v>
      </c>
      <c r="J132" s="7">
        <v>16</v>
      </c>
      <c r="K132" s="7">
        <v>12</v>
      </c>
      <c r="L132" s="7">
        <v>8</v>
      </c>
      <c r="M132" s="7">
        <v>10</v>
      </c>
      <c r="N132" s="7">
        <v>8</v>
      </c>
      <c r="O132" s="7">
        <v>13</v>
      </c>
      <c r="P132" s="7">
        <v>11</v>
      </c>
      <c r="Q132" s="7">
        <v>19</v>
      </c>
      <c r="R132" s="7">
        <v>10</v>
      </c>
      <c r="S132" s="7">
        <v>12</v>
      </c>
      <c r="T132" s="7">
        <v>11</v>
      </c>
      <c r="U132" s="7">
        <v>6</v>
      </c>
      <c r="V132" s="7">
        <v>7</v>
      </c>
      <c r="W132" s="7">
        <v>10</v>
      </c>
      <c r="X132" s="7">
        <v>11</v>
      </c>
      <c r="Y132" s="7">
        <v>11</v>
      </c>
      <c r="Z132" s="7">
        <v>7</v>
      </c>
      <c r="AA132" s="7">
        <v>7</v>
      </c>
      <c r="AB132" s="7">
        <v>4</v>
      </c>
      <c r="AC132" s="7">
        <v>4</v>
      </c>
      <c r="AD132" s="7">
        <v>7</v>
      </c>
      <c r="AE132" s="7">
        <v>14</v>
      </c>
      <c r="AF132" s="8"/>
      <c r="AG132" s="4">
        <f t="shared" si="19"/>
        <v>284</v>
      </c>
    </row>
    <row r="133" spans="1:35" ht="18.75" x14ac:dyDescent="0.25">
      <c r="A133" s="43" t="s">
        <v>24</v>
      </c>
      <c r="B133" s="7">
        <v>17</v>
      </c>
      <c r="C133" s="7">
        <v>9</v>
      </c>
      <c r="D133" s="7">
        <v>14</v>
      </c>
      <c r="E133" s="7">
        <v>11</v>
      </c>
      <c r="F133" s="7">
        <v>13</v>
      </c>
      <c r="G133" s="7">
        <v>12</v>
      </c>
      <c r="H133" s="7">
        <v>14</v>
      </c>
      <c r="I133" s="7">
        <v>18</v>
      </c>
      <c r="J133" s="7">
        <v>17</v>
      </c>
      <c r="K133" s="7">
        <v>20</v>
      </c>
      <c r="L133" s="7">
        <v>15</v>
      </c>
      <c r="M133" s="7">
        <v>13</v>
      </c>
      <c r="N133" s="7">
        <v>10</v>
      </c>
      <c r="O133" s="7">
        <v>11</v>
      </c>
      <c r="P133" s="7">
        <v>9</v>
      </c>
      <c r="Q133" s="7">
        <v>18</v>
      </c>
      <c r="R133" s="7">
        <v>13</v>
      </c>
      <c r="S133" s="7">
        <v>14</v>
      </c>
      <c r="T133" s="7">
        <v>6</v>
      </c>
      <c r="U133" s="7">
        <v>12</v>
      </c>
      <c r="V133" s="7">
        <v>12</v>
      </c>
      <c r="W133" s="7">
        <v>16</v>
      </c>
      <c r="X133" s="7">
        <v>15</v>
      </c>
      <c r="Y133" s="7">
        <v>11</v>
      </c>
      <c r="Z133" s="7">
        <v>13</v>
      </c>
      <c r="AA133" s="7">
        <v>10</v>
      </c>
      <c r="AB133" s="7">
        <v>15</v>
      </c>
      <c r="AC133" s="7">
        <v>7</v>
      </c>
      <c r="AD133" s="7">
        <v>13</v>
      </c>
      <c r="AE133" s="7">
        <v>16</v>
      </c>
      <c r="AF133" s="8"/>
      <c r="AG133" s="4">
        <f t="shared" si="19"/>
        <v>394</v>
      </c>
    </row>
    <row r="134" spans="1:35" ht="18.75" x14ac:dyDescent="0.25">
      <c r="A134" s="43" t="s">
        <v>25</v>
      </c>
      <c r="B134" s="7">
        <v>13</v>
      </c>
      <c r="C134" s="7">
        <v>10</v>
      </c>
      <c r="D134" s="7">
        <f>1+8+2</f>
        <v>11</v>
      </c>
      <c r="E134" s="7">
        <v>7</v>
      </c>
      <c r="F134" s="7">
        <v>14</v>
      </c>
      <c r="G134" s="7">
        <f>2+9</f>
        <v>11</v>
      </c>
      <c r="H134" s="7">
        <v>8</v>
      </c>
      <c r="I134" s="7">
        <v>6</v>
      </c>
      <c r="J134" s="7">
        <v>17</v>
      </c>
      <c r="K134" s="7">
        <v>11</v>
      </c>
      <c r="L134" s="7">
        <v>10</v>
      </c>
      <c r="M134" s="7">
        <f>6+1</f>
        <v>7</v>
      </c>
      <c r="N134" s="7">
        <f>2+13</f>
        <v>15</v>
      </c>
      <c r="O134" s="7">
        <v>8</v>
      </c>
      <c r="P134" s="7">
        <v>15</v>
      </c>
      <c r="Q134" s="7">
        <f>1+10+2</f>
        <v>13</v>
      </c>
      <c r="R134" s="7">
        <f>1+12</f>
        <v>13</v>
      </c>
      <c r="S134" s="7">
        <v>7</v>
      </c>
      <c r="T134" s="7">
        <f>10+1</f>
        <v>11</v>
      </c>
      <c r="U134" s="7">
        <v>7</v>
      </c>
      <c r="V134" s="7">
        <v>8</v>
      </c>
      <c r="W134" s="7">
        <f>2+7</f>
        <v>9</v>
      </c>
      <c r="X134" s="7">
        <f>2+15</f>
        <v>17</v>
      </c>
      <c r="Y134" s="7">
        <f>5+1</f>
        <v>6</v>
      </c>
      <c r="Z134" s="7">
        <f>5+1</f>
        <v>6</v>
      </c>
      <c r="AA134" s="7">
        <f>1+6</f>
        <v>7</v>
      </c>
      <c r="AB134" s="7">
        <f>1+2</f>
        <v>3</v>
      </c>
      <c r="AC134" s="7">
        <f>1+3</f>
        <v>4</v>
      </c>
      <c r="AD134" s="7">
        <v>14</v>
      </c>
      <c r="AE134" s="7">
        <v>19</v>
      </c>
      <c r="AF134" s="8"/>
      <c r="AG134" s="4">
        <f t="shared" ref="AG134:AG147" si="21">SUM(B134:AF134)</f>
        <v>307</v>
      </c>
    </row>
    <row r="135" spans="1:35" ht="18.75" x14ac:dyDescent="0.25">
      <c r="A135" s="43" t="s">
        <v>26</v>
      </c>
      <c r="B135" s="7">
        <v>15</v>
      </c>
      <c r="C135" s="7">
        <v>14</v>
      </c>
      <c r="D135" s="7">
        <v>18</v>
      </c>
      <c r="E135" s="7">
        <v>13</v>
      </c>
      <c r="F135" s="7">
        <v>14</v>
      </c>
      <c r="G135" s="7">
        <v>10</v>
      </c>
      <c r="H135" s="7">
        <v>14</v>
      </c>
      <c r="I135" s="7">
        <v>13</v>
      </c>
      <c r="J135" s="7">
        <v>16</v>
      </c>
      <c r="K135" s="7">
        <v>16</v>
      </c>
      <c r="L135" s="7">
        <v>12</v>
      </c>
      <c r="M135" s="7">
        <v>12</v>
      </c>
      <c r="N135" s="7">
        <v>10</v>
      </c>
      <c r="O135" s="7">
        <v>13</v>
      </c>
      <c r="P135" s="7">
        <v>15</v>
      </c>
      <c r="Q135" s="7">
        <v>18</v>
      </c>
      <c r="R135" s="7">
        <v>15</v>
      </c>
      <c r="S135" s="7">
        <v>10</v>
      </c>
      <c r="T135" s="7">
        <v>12</v>
      </c>
      <c r="U135" s="7">
        <v>12</v>
      </c>
      <c r="V135" s="7">
        <v>2</v>
      </c>
      <c r="W135" s="7">
        <v>13</v>
      </c>
      <c r="X135" s="7">
        <v>19</v>
      </c>
      <c r="Y135" s="7">
        <v>12</v>
      </c>
      <c r="Z135" s="7">
        <v>14</v>
      </c>
      <c r="AA135" s="7">
        <v>11</v>
      </c>
      <c r="AB135" s="7">
        <v>4</v>
      </c>
      <c r="AC135" s="7">
        <v>5</v>
      </c>
      <c r="AD135" s="7">
        <v>14</v>
      </c>
      <c r="AE135" s="7">
        <v>20</v>
      </c>
      <c r="AF135" s="8"/>
      <c r="AG135" s="4">
        <f t="shared" si="21"/>
        <v>386</v>
      </c>
    </row>
    <row r="136" spans="1:35" ht="18.75" x14ac:dyDescent="0.25">
      <c r="A136" s="43" t="s">
        <v>27</v>
      </c>
      <c r="B136" s="7">
        <v>73</v>
      </c>
      <c r="C136" s="7">
        <v>45</v>
      </c>
      <c r="D136" s="7">
        <v>24</v>
      </c>
      <c r="E136" s="7">
        <v>25</v>
      </c>
      <c r="F136" s="7">
        <v>36</v>
      </c>
      <c r="G136" s="7">
        <v>27</v>
      </c>
      <c r="H136" s="7">
        <v>32</v>
      </c>
      <c r="I136" s="7">
        <v>51</v>
      </c>
      <c r="J136" s="7">
        <v>55</v>
      </c>
      <c r="K136" s="7">
        <v>32</v>
      </c>
      <c r="L136" s="7">
        <v>39</v>
      </c>
      <c r="M136" s="7">
        <v>40</v>
      </c>
      <c r="N136" s="7">
        <v>36</v>
      </c>
      <c r="O136" s="7">
        <v>37</v>
      </c>
      <c r="P136" s="7">
        <v>50</v>
      </c>
      <c r="Q136" s="7">
        <v>41</v>
      </c>
      <c r="R136" s="7">
        <v>34</v>
      </c>
      <c r="S136" s="7">
        <v>42</v>
      </c>
      <c r="T136" s="7">
        <v>36</v>
      </c>
      <c r="U136" s="7">
        <v>36</v>
      </c>
      <c r="V136" s="7">
        <v>32</v>
      </c>
      <c r="W136" s="7">
        <v>60</v>
      </c>
      <c r="X136" s="7">
        <v>55</v>
      </c>
      <c r="Y136" s="7">
        <v>35</v>
      </c>
      <c r="Z136" s="7">
        <v>32</v>
      </c>
      <c r="AA136" s="7">
        <v>17</v>
      </c>
      <c r="AB136" s="7">
        <v>22</v>
      </c>
      <c r="AC136" s="7">
        <f>1+17</f>
        <v>18</v>
      </c>
      <c r="AD136" s="7">
        <v>32</v>
      </c>
      <c r="AE136" s="7">
        <v>50</v>
      </c>
      <c r="AF136" s="8"/>
      <c r="AG136" s="4">
        <f t="shared" si="21"/>
        <v>1144</v>
      </c>
    </row>
    <row r="137" spans="1:35" ht="18.75" x14ac:dyDescent="0.25">
      <c r="A137" s="43" t="s">
        <v>28</v>
      </c>
      <c r="B137" s="7">
        <v>6</v>
      </c>
      <c r="C137" s="7">
        <f>8+3</f>
        <v>11</v>
      </c>
      <c r="D137" s="7">
        <v>4</v>
      </c>
      <c r="E137" s="7">
        <v>6</v>
      </c>
      <c r="F137" s="7">
        <f>7+1</f>
        <v>8</v>
      </c>
      <c r="G137" s="7">
        <f>3+4</f>
        <v>7</v>
      </c>
      <c r="H137" s="7">
        <f>8+3</f>
        <v>11</v>
      </c>
      <c r="I137" s="7">
        <v>10</v>
      </c>
      <c r="J137" s="7">
        <f>8+3</f>
        <v>11</v>
      </c>
      <c r="K137" s="7">
        <v>5</v>
      </c>
      <c r="L137" s="7">
        <f>6+2</f>
        <v>8</v>
      </c>
      <c r="M137" s="7">
        <f>11+1</f>
        <v>12</v>
      </c>
      <c r="N137" s="7">
        <f>9+2</f>
        <v>11</v>
      </c>
      <c r="O137" s="7">
        <v>7</v>
      </c>
      <c r="P137" s="7">
        <f>10+1</f>
        <v>11</v>
      </c>
      <c r="Q137" s="7">
        <v>7</v>
      </c>
      <c r="R137" s="7">
        <v>9</v>
      </c>
      <c r="S137" s="7">
        <f>13+1</f>
        <v>14</v>
      </c>
      <c r="T137" s="7">
        <f>6+3</f>
        <v>9</v>
      </c>
      <c r="U137" s="7">
        <f>12+1</f>
        <v>13</v>
      </c>
      <c r="V137" s="7">
        <v>3</v>
      </c>
      <c r="W137" s="7">
        <v>11</v>
      </c>
      <c r="X137" s="7">
        <f>9+5</f>
        <v>14</v>
      </c>
      <c r="Y137" s="7">
        <v>4</v>
      </c>
      <c r="Z137" s="7">
        <f>7+1</f>
        <v>8</v>
      </c>
      <c r="AA137" s="7">
        <f>11+1</f>
        <v>12</v>
      </c>
      <c r="AB137" s="7">
        <f>8+3</f>
        <v>11</v>
      </c>
      <c r="AC137" s="7"/>
      <c r="AD137" s="7">
        <f>6+2</f>
        <v>8</v>
      </c>
      <c r="AE137" s="7">
        <f>6+2</f>
        <v>8</v>
      </c>
      <c r="AF137" s="8"/>
      <c r="AG137" s="4">
        <f t="shared" si="21"/>
        <v>259</v>
      </c>
    </row>
    <row r="138" spans="1:35" ht="18.75" x14ac:dyDescent="0.25">
      <c r="A138" s="43" t="s">
        <v>29</v>
      </c>
      <c r="B138" s="7">
        <v>12</v>
      </c>
      <c r="C138" s="7">
        <v>12</v>
      </c>
      <c r="D138" s="7">
        <v>10</v>
      </c>
      <c r="E138" s="7">
        <v>5</v>
      </c>
      <c r="F138" s="7">
        <v>13</v>
      </c>
      <c r="G138" s="7">
        <v>3</v>
      </c>
      <c r="H138" s="7">
        <v>3</v>
      </c>
      <c r="I138" s="7">
        <v>9</v>
      </c>
      <c r="J138" s="7">
        <v>7</v>
      </c>
      <c r="K138" s="7">
        <v>10</v>
      </c>
      <c r="L138" s="7">
        <v>5</v>
      </c>
      <c r="M138" s="7">
        <v>3</v>
      </c>
      <c r="N138" s="7">
        <v>7</v>
      </c>
      <c r="O138" s="7">
        <v>7</v>
      </c>
      <c r="P138" s="7">
        <v>4</v>
      </c>
      <c r="Q138" s="7">
        <v>8</v>
      </c>
      <c r="R138" s="7">
        <v>3</v>
      </c>
      <c r="S138" s="7">
        <v>3</v>
      </c>
      <c r="T138" s="7">
        <v>7</v>
      </c>
      <c r="U138" s="7">
        <v>5</v>
      </c>
      <c r="V138" s="7">
        <v>7</v>
      </c>
      <c r="W138" s="7">
        <v>13</v>
      </c>
      <c r="X138" s="7">
        <v>8</v>
      </c>
      <c r="Y138" s="7">
        <v>2</v>
      </c>
      <c r="Z138" s="7">
        <v>10</v>
      </c>
      <c r="AA138" s="7">
        <v>3</v>
      </c>
      <c r="AB138" s="7">
        <v>6</v>
      </c>
      <c r="AC138" s="7">
        <v>2</v>
      </c>
      <c r="AD138" s="7">
        <v>7</v>
      </c>
      <c r="AE138" s="7">
        <v>15</v>
      </c>
      <c r="AF138" s="8"/>
      <c r="AG138" s="4">
        <f t="shared" si="21"/>
        <v>209</v>
      </c>
    </row>
    <row r="139" spans="1:35" ht="18.75" x14ac:dyDescent="0.25">
      <c r="A139" s="41" t="s">
        <v>30</v>
      </c>
      <c r="B139" s="7">
        <f>2+1</f>
        <v>3</v>
      </c>
      <c r="C139" s="7">
        <v>3</v>
      </c>
      <c r="D139" s="7">
        <f>1+1</f>
        <v>2</v>
      </c>
      <c r="E139" s="7">
        <v>1</v>
      </c>
      <c r="F139" s="7"/>
      <c r="G139" s="7">
        <v>1</v>
      </c>
      <c r="H139" s="7"/>
      <c r="I139" s="7">
        <f>3+2</f>
        <v>5</v>
      </c>
      <c r="J139" s="7">
        <v>4</v>
      </c>
      <c r="K139" s="7">
        <v>1</v>
      </c>
      <c r="L139" s="7">
        <v>2</v>
      </c>
      <c r="M139" s="7">
        <v>3</v>
      </c>
      <c r="N139" s="7">
        <f>2+2</f>
        <v>4</v>
      </c>
      <c r="O139" s="7">
        <f>3+1</f>
        <v>4</v>
      </c>
      <c r="P139" s="7">
        <f>3+3</f>
        <v>6</v>
      </c>
      <c r="Q139" s="7">
        <f>8+1</f>
        <v>9</v>
      </c>
      <c r="R139" s="7">
        <f>1+1</f>
        <v>2</v>
      </c>
      <c r="S139" s="7"/>
      <c r="T139" s="7">
        <v>1</v>
      </c>
      <c r="U139" s="7">
        <v>5</v>
      </c>
      <c r="V139" s="7">
        <v>3</v>
      </c>
      <c r="W139" s="7">
        <f>3+2</f>
        <v>5</v>
      </c>
      <c r="X139" s="7">
        <f>2+1</f>
        <v>3</v>
      </c>
      <c r="Y139" s="7"/>
      <c r="Z139" s="7">
        <v>1</v>
      </c>
      <c r="AA139" s="7">
        <f>2+1</f>
        <v>3</v>
      </c>
      <c r="AB139" s="7">
        <f>2+2</f>
        <v>4</v>
      </c>
      <c r="AC139" s="7">
        <v>1</v>
      </c>
      <c r="AD139" s="7"/>
      <c r="AE139" s="7">
        <v>3</v>
      </c>
      <c r="AF139" s="8"/>
      <c r="AG139" s="4">
        <f t="shared" si="21"/>
        <v>79</v>
      </c>
    </row>
    <row r="140" spans="1:35" ht="18.75" x14ac:dyDescent="0.25">
      <c r="A140" s="41" t="s">
        <v>31</v>
      </c>
      <c r="B140" s="7">
        <v>3</v>
      </c>
      <c r="C140" s="7">
        <v>2</v>
      </c>
      <c r="D140" s="7">
        <v>2</v>
      </c>
      <c r="E140" s="7">
        <v>6</v>
      </c>
      <c r="F140" s="7">
        <v>1</v>
      </c>
      <c r="G140" s="7">
        <v>3</v>
      </c>
      <c r="H140" s="7">
        <v>1</v>
      </c>
      <c r="I140" s="7"/>
      <c r="J140" s="7">
        <v>3</v>
      </c>
      <c r="K140" s="7">
        <v>3</v>
      </c>
      <c r="L140" s="7">
        <v>2</v>
      </c>
      <c r="M140" s="7">
        <v>1</v>
      </c>
      <c r="N140" s="7">
        <v>1</v>
      </c>
      <c r="O140" s="7">
        <v>2</v>
      </c>
      <c r="P140" s="7"/>
      <c r="Q140" s="7"/>
      <c r="R140" s="7">
        <v>2</v>
      </c>
      <c r="S140" s="7"/>
      <c r="T140" s="7">
        <v>1</v>
      </c>
      <c r="U140" s="7"/>
      <c r="V140" s="7">
        <v>2</v>
      </c>
      <c r="W140" s="7">
        <v>1</v>
      </c>
      <c r="X140" s="7">
        <v>1</v>
      </c>
      <c r="Y140" s="7">
        <v>1</v>
      </c>
      <c r="Z140" s="7"/>
      <c r="AA140" s="7"/>
      <c r="AB140" s="7">
        <v>1</v>
      </c>
      <c r="AC140" s="7">
        <v>1</v>
      </c>
      <c r="AD140" s="7">
        <v>3</v>
      </c>
      <c r="AE140" s="7"/>
      <c r="AF140" s="8"/>
      <c r="AG140" s="4">
        <f t="shared" si="21"/>
        <v>43</v>
      </c>
    </row>
    <row r="141" spans="1:35" ht="18.75" x14ac:dyDescent="0.25">
      <c r="A141" s="41" t="s">
        <v>32</v>
      </c>
      <c r="B141" s="7"/>
      <c r="C141" s="7">
        <v>1</v>
      </c>
      <c r="D141" s="7"/>
      <c r="E141" s="7"/>
      <c r="F141" s="7"/>
      <c r="G141" s="7"/>
      <c r="H141" s="7"/>
      <c r="I141" s="7"/>
      <c r="J141" s="7"/>
      <c r="K141" s="7"/>
      <c r="L141" s="7"/>
      <c r="M141" s="7">
        <v>1</v>
      </c>
      <c r="N141" s="7">
        <v>1</v>
      </c>
      <c r="O141" s="7">
        <v>1</v>
      </c>
      <c r="P141" s="7"/>
      <c r="Q141" s="7"/>
      <c r="R141" s="7">
        <v>1</v>
      </c>
      <c r="S141" s="7">
        <v>1</v>
      </c>
      <c r="T141" s="7">
        <v>1</v>
      </c>
      <c r="U141" s="7"/>
      <c r="V141" s="7"/>
      <c r="W141" s="7"/>
      <c r="X141" s="7"/>
      <c r="Y141" s="7"/>
      <c r="Z141" s="7"/>
      <c r="AA141" s="7"/>
      <c r="AB141" s="7"/>
      <c r="AC141" s="7"/>
      <c r="AD141" s="7">
        <v>1</v>
      </c>
      <c r="AE141" s="7">
        <v>3</v>
      </c>
      <c r="AF141" s="8"/>
      <c r="AG141" s="4">
        <f t="shared" si="21"/>
        <v>11</v>
      </c>
    </row>
    <row r="142" spans="1:35" ht="18.75" x14ac:dyDescent="0.25">
      <c r="A142" s="43" t="s">
        <v>60</v>
      </c>
      <c r="B142" s="7">
        <f>1+2+1+1</f>
        <v>5</v>
      </c>
      <c r="C142" s="7">
        <f>1+1+3+1+1</f>
        <v>7</v>
      </c>
      <c r="D142" s="7">
        <f>3+1+1+1</f>
        <v>6</v>
      </c>
      <c r="E142" s="7">
        <f>1+1</f>
        <v>2</v>
      </c>
      <c r="F142" s="7">
        <f>1+1+2+1+1+1+1</f>
        <v>8</v>
      </c>
      <c r="G142" s="7">
        <f>1+1+1+1+1+1+1</f>
        <v>7</v>
      </c>
      <c r="H142" s="7">
        <f>2+1+1</f>
        <v>4</v>
      </c>
      <c r="I142" s="7">
        <f>1+1+1+1+1+2</f>
        <v>7</v>
      </c>
      <c r="J142" s="7">
        <f>5+1+1+1+1+1+1</f>
        <v>11</v>
      </c>
      <c r="K142" s="7">
        <f>1+1+1</f>
        <v>3</v>
      </c>
      <c r="L142" s="7">
        <f>1+1+1+2</f>
        <v>5</v>
      </c>
      <c r="M142" s="7">
        <f>1+2</f>
        <v>3</v>
      </c>
      <c r="N142" s="7">
        <v>1</v>
      </c>
      <c r="O142" s="7">
        <f>1+1+1</f>
        <v>3</v>
      </c>
      <c r="P142" s="7">
        <f>1+1+1+1+2+1</f>
        <v>7</v>
      </c>
      <c r="Q142" s="7">
        <f>1+2+1+1</f>
        <v>5</v>
      </c>
      <c r="R142" s="7">
        <f>1+1+2+1+1</f>
        <v>6</v>
      </c>
      <c r="S142" s="7">
        <f>1</f>
        <v>1</v>
      </c>
      <c r="T142" s="7">
        <v>6</v>
      </c>
      <c r="U142" s="7">
        <f>2+1+1</f>
        <v>4</v>
      </c>
      <c r="V142" s="7">
        <f>1+1+1+1</f>
        <v>4</v>
      </c>
      <c r="W142" s="7">
        <f>1+1+1+1</f>
        <v>4</v>
      </c>
      <c r="X142" s="7">
        <f>1+1+1+2+1+1+1+1+1+2</f>
        <v>12</v>
      </c>
      <c r="Y142" s="7">
        <f>1+1</f>
        <v>2</v>
      </c>
      <c r="Z142" s="7">
        <f>1+1+2+1+1+2+1</f>
        <v>9</v>
      </c>
      <c r="AA142" s="7">
        <f>1+1+1</f>
        <v>3</v>
      </c>
      <c r="AB142" s="7">
        <f>2+1+1+1+1</f>
        <v>6</v>
      </c>
      <c r="AC142" s="7">
        <f>1+1+1+1</f>
        <v>4</v>
      </c>
      <c r="AD142" s="7">
        <f>1+1+1+1+1+1</f>
        <v>6</v>
      </c>
      <c r="AE142" s="7">
        <f>1+1+1+1</f>
        <v>4</v>
      </c>
      <c r="AF142" s="8"/>
      <c r="AG142" s="4">
        <f t="shared" si="21"/>
        <v>155</v>
      </c>
    </row>
    <row r="143" spans="1:35" ht="19.5" thickBot="1" x14ac:dyDescent="0.3">
      <c r="A143" s="75" t="s">
        <v>86</v>
      </c>
      <c r="B143" s="13">
        <f>17+17</f>
        <v>34</v>
      </c>
      <c r="C143" s="13">
        <f>13+1+10</f>
        <v>24</v>
      </c>
      <c r="D143" s="13">
        <f>8+17</f>
        <v>25</v>
      </c>
      <c r="E143" s="13">
        <f>11+16</f>
        <v>27</v>
      </c>
      <c r="F143" s="13">
        <f>10+8</f>
        <v>18</v>
      </c>
      <c r="G143" s="13">
        <f>10+16</f>
        <v>26</v>
      </c>
      <c r="H143" s="13">
        <f>10+8</f>
        <v>18</v>
      </c>
      <c r="I143" s="13">
        <f>13+1+28</f>
        <v>42</v>
      </c>
      <c r="J143" s="13">
        <f>18+9</f>
        <v>27</v>
      </c>
      <c r="K143" s="13">
        <f>14+12</f>
        <v>26</v>
      </c>
      <c r="L143" s="13">
        <f>12+1+12</f>
        <v>25</v>
      </c>
      <c r="M143" s="13">
        <f>8+14</f>
        <v>22</v>
      </c>
      <c r="N143" s="13">
        <f>5+11</f>
        <v>16</v>
      </c>
      <c r="O143" s="13">
        <f>13+15</f>
        <v>28</v>
      </c>
      <c r="P143" s="13">
        <f>17+9</f>
        <v>26</v>
      </c>
      <c r="Q143" s="13">
        <f>1+7+14</f>
        <v>22</v>
      </c>
      <c r="R143" s="13">
        <f>13+12</f>
        <v>25</v>
      </c>
      <c r="S143" s="13">
        <f>9+12</f>
        <v>21</v>
      </c>
      <c r="T143" s="13">
        <f>21+10</f>
        <v>31</v>
      </c>
      <c r="U143" s="13">
        <f>9+10</f>
        <v>19</v>
      </c>
      <c r="V143" s="13">
        <f>5+12</f>
        <v>17</v>
      </c>
      <c r="W143" s="13">
        <f>16+8</f>
        <v>24</v>
      </c>
      <c r="X143" s="13">
        <f>20+15</f>
        <v>35</v>
      </c>
      <c r="Y143" s="13">
        <f>17+6</f>
        <v>23</v>
      </c>
      <c r="Z143" s="13">
        <f>7+9</f>
        <v>16</v>
      </c>
      <c r="AA143" s="13">
        <f>8+8</f>
        <v>16</v>
      </c>
      <c r="AB143" s="13">
        <f>6+9</f>
        <v>15</v>
      </c>
      <c r="AC143" s="13">
        <f>5+1</f>
        <v>6</v>
      </c>
      <c r="AD143" s="13">
        <f>14+15</f>
        <v>29</v>
      </c>
      <c r="AE143" s="13">
        <f>11+11</f>
        <v>22</v>
      </c>
      <c r="AF143" s="14"/>
      <c r="AG143" s="108">
        <f t="shared" si="21"/>
        <v>705</v>
      </c>
    </row>
    <row r="144" spans="1:35" ht="19.5" thickBot="1" x14ac:dyDescent="0.3">
      <c r="A144" s="164" t="s">
        <v>89</v>
      </c>
      <c r="B144" s="165">
        <f t="shared" ref="B144:AD144" si="22">+B146+B156+B158+B167</f>
        <v>267</v>
      </c>
      <c r="C144" s="165">
        <f t="shared" si="22"/>
        <v>208</v>
      </c>
      <c r="D144" s="165">
        <f t="shared" si="22"/>
        <v>181</v>
      </c>
      <c r="E144" s="165">
        <f t="shared" si="22"/>
        <v>157</v>
      </c>
      <c r="F144" s="165">
        <f t="shared" si="22"/>
        <v>175</v>
      </c>
      <c r="G144" s="165">
        <f t="shared" si="22"/>
        <v>152</v>
      </c>
      <c r="H144" s="165">
        <f t="shared" si="22"/>
        <v>159</v>
      </c>
      <c r="I144" s="165">
        <f t="shared" si="22"/>
        <v>244</v>
      </c>
      <c r="J144" s="165">
        <f t="shared" si="22"/>
        <v>240</v>
      </c>
      <c r="K144" s="165">
        <f t="shared" si="22"/>
        <v>198</v>
      </c>
      <c r="L144" s="165">
        <f t="shared" si="22"/>
        <v>183</v>
      </c>
      <c r="M144" s="165">
        <f t="shared" si="22"/>
        <v>168</v>
      </c>
      <c r="N144" s="165">
        <f t="shared" si="22"/>
        <v>176</v>
      </c>
      <c r="O144" s="165">
        <f t="shared" si="22"/>
        <v>177</v>
      </c>
      <c r="P144" s="165">
        <f t="shared" si="22"/>
        <v>208</v>
      </c>
      <c r="Q144" s="165">
        <f t="shared" si="22"/>
        <v>224</v>
      </c>
      <c r="R144" s="165">
        <f t="shared" si="22"/>
        <v>179</v>
      </c>
      <c r="S144" s="165">
        <f t="shared" si="22"/>
        <v>175</v>
      </c>
      <c r="T144" s="165">
        <f t="shared" si="22"/>
        <v>174</v>
      </c>
      <c r="U144" s="165">
        <f t="shared" si="22"/>
        <v>166</v>
      </c>
      <c r="V144" s="165">
        <f t="shared" si="22"/>
        <v>148</v>
      </c>
      <c r="W144" s="165">
        <f t="shared" si="22"/>
        <v>234</v>
      </c>
      <c r="X144" s="165">
        <f t="shared" si="22"/>
        <v>276</v>
      </c>
      <c r="Y144" s="165">
        <f t="shared" si="22"/>
        <v>152</v>
      </c>
      <c r="Z144" s="165">
        <f t="shared" si="22"/>
        <v>177</v>
      </c>
      <c r="AA144" s="165">
        <f t="shared" si="22"/>
        <v>136</v>
      </c>
      <c r="AB144" s="165">
        <f t="shared" si="22"/>
        <v>127</v>
      </c>
      <c r="AC144" s="165">
        <f t="shared" si="22"/>
        <v>74</v>
      </c>
      <c r="AD144" s="165">
        <f t="shared" si="22"/>
        <v>198</v>
      </c>
      <c r="AE144" s="165">
        <f>+AE146+AE156+AE158+AE167</f>
        <v>253</v>
      </c>
      <c r="AF144" s="165">
        <f t="shared" ref="AF144" si="23">+AF146+AF156+AF158+AF167</f>
        <v>0</v>
      </c>
      <c r="AG144" s="116">
        <f t="shared" si="21"/>
        <v>5586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31</v>
      </c>
      <c r="C145" s="161">
        <f t="shared" si="24"/>
        <v>91</v>
      </c>
      <c r="D145" s="161">
        <f t="shared" si="24"/>
        <v>42</v>
      </c>
      <c r="E145" s="161">
        <f t="shared" si="24"/>
        <v>28</v>
      </c>
      <c r="F145" s="161">
        <f t="shared" si="24"/>
        <v>31</v>
      </c>
      <c r="G145" s="161">
        <f t="shared" si="24"/>
        <v>37</v>
      </c>
      <c r="H145" s="161">
        <f t="shared" si="24"/>
        <v>16</v>
      </c>
      <c r="I145" s="161">
        <f t="shared" si="24"/>
        <v>49</v>
      </c>
      <c r="J145" s="161">
        <f t="shared" si="24"/>
        <v>49</v>
      </c>
      <c r="K145" s="161">
        <f t="shared" si="24"/>
        <v>47</v>
      </c>
      <c r="L145" s="161">
        <f t="shared" si="24"/>
        <v>28</v>
      </c>
      <c r="M145" s="161">
        <f t="shared" si="24"/>
        <v>17</v>
      </c>
      <c r="N145" s="161">
        <f t="shared" si="24"/>
        <v>18</v>
      </c>
      <c r="O145" s="161">
        <f t="shared" si="24"/>
        <v>10</v>
      </c>
      <c r="P145" s="161">
        <f t="shared" si="24"/>
        <v>46</v>
      </c>
      <c r="Q145" s="161">
        <f t="shared" si="24"/>
        <v>8</v>
      </c>
      <c r="R145" s="161">
        <f t="shared" si="24"/>
        <v>18</v>
      </c>
      <c r="S145" s="161">
        <f t="shared" si="24"/>
        <v>24</v>
      </c>
      <c r="T145" s="161">
        <f t="shared" si="24"/>
        <v>22</v>
      </c>
      <c r="U145" s="161">
        <f t="shared" si="24"/>
        <v>10</v>
      </c>
      <c r="V145" s="161">
        <f t="shared" si="24"/>
        <v>14</v>
      </c>
      <c r="W145" s="161">
        <f t="shared" si="24"/>
        <v>37</v>
      </c>
      <c r="X145" s="161">
        <f t="shared" si="24"/>
        <v>18</v>
      </c>
      <c r="Y145" s="161">
        <f t="shared" si="24"/>
        <v>7</v>
      </c>
      <c r="Z145" s="161">
        <f t="shared" si="24"/>
        <v>15</v>
      </c>
      <c r="AA145" s="161">
        <f t="shared" si="24"/>
        <v>14</v>
      </c>
      <c r="AB145" s="161">
        <f t="shared" si="24"/>
        <v>2</v>
      </c>
      <c r="AC145" s="161">
        <f t="shared" si="24"/>
        <v>3</v>
      </c>
      <c r="AD145" s="161">
        <f t="shared" si="24"/>
        <v>27</v>
      </c>
      <c r="AE145" s="161">
        <f>+AE149+AE155+AE157+AE172</f>
        <v>13</v>
      </c>
      <c r="AF145" s="162">
        <f t="shared" ref="AF145" si="25">+AF149+AF155+AF157+AF172</f>
        <v>0</v>
      </c>
      <c r="AG145" s="163">
        <f t="shared" si="21"/>
        <v>772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4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1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4</v>
      </c>
      <c r="R146" s="118">
        <f t="shared" si="26"/>
        <v>0</v>
      </c>
      <c r="S146" s="118">
        <f t="shared" si="26"/>
        <v>0</v>
      </c>
      <c r="T146" s="118">
        <f t="shared" si="26"/>
        <v>1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10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1</v>
      </c>
      <c r="D147" s="154">
        <f t="shared" si="26"/>
        <v>0</v>
      </c>
      <c r="E147" s="154">
        <f t="shared" si="26"/>
        <v>0</v>
      </c>
      <c r="F147" s="154">
        <f t="shared" si="26"/>
        <v>1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2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23" si="28">SUM(B148:AF148)</f>
        <v>0</v>
      </c>
    </row>
    <row r="149" spans="1:34" ht="19.5" thickBot="1" x14ac:dyDescent="0.3">
      <c r="A149" s="153" t="s">
        <v>131</v>
      </c>
      <c r="B149" s="154">
        <v>0</v>
      </c>
      <c r="C149" s="154">
        <v>0</v>
      </c>
      <c r="D149" s="154">
        <v>0</v>
      </c>
      <c r="E149" s="154">
        <v>0</v>
      </c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>
        <v>4</v>
      </c>
      <c r="D154" s="126"/>
      <c r="E154" s="126"/>
      <c r="F154" s="126"/>
      <c r="G154" s="126"/>
      <c r="H154" s="126"/>
      <c r="I154" s="126"/>
      <c r="J154" s="126"/>
      <c r="K154" s="126"/>
      <c r="L154" s="126"/>
      <c r="M154" s="126">
        <v>1</v>
      </c>
      <c r="N154" s="126"/>
      <c r="O154" s="126"/>
      <c r="P154" s="126"/>
      <c r="Q154" s="126">
        <v>4</v>
      </c>
      <c r="R154" s="126"/>
      <c r="S154" s="126"/>
      <c r="T154" s="126">
        <v>1</v>
      </c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10</v>
      </c>
    </row>
    <row r="155" spans="1:34" ht="19.5" thickBot="1" x14ac:dyDescent="0.3">
      <c r="A155" s="153" t="s">
        <v>132</v>
      </c>
      <c r="B155" s="154">
        <v>0</v>
      </c>
      <c r="C155" s="154">
        <v>1</v>
      </c>
      <c r="D155" s="154">
        <v>0</v>
      </c>
      <c r="E155" s="154">
        <v>0</v>
      </c>
      <c r="F155" s="154">
        <v>1</v>
      </c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2</v>
      </c>
    </row>
    <row r="156" spans="1:34" ht="18.75" x14ac:dyDescent="0.25">
      <c r="A156" s="69" t="s">
        <v>62</v>
      </c>
      <c r="B156" s="56">
        <v>266</v>
      </c>
      <c r="C156" s="56">
        <v>203</v>
      </c>
      <c r="D156" s="56">
        <v>181</v>
      </c>
      <c r="E156" s="56">
        <v>155</v>
      </c>
      <c r="F156" s="56">
        <v>173</v>
      </c>
      <c r="G156" s="56">
        <v>152</v>
      </c>
      <c r="H156" s="56">
        <v>158</v>
      </c>
      <c r="I156" s="56">
        <v>243</v>
      </c>
      <c r="J156" s="56">
        <v>237</v>
      </c>
      <c r="K156" s="56">
        <v>197</v>
      </c>
      <c r="L156" s="56">
        <v>183</v>
      </c>
      <c r="M156" s="56">
        <v>167</v>
      </c>
      <c r="N156" s="56">
        <v>174</v>
      </c>
      <c r="O156" s="56">
        <v>176</v>
      </c>
      <c r="P156" s="56">
        <v>207</v>
      </c>
      <c r="Q156" s="56">
        <v>218</v>
      </c>
      <c r="R156" s="56">
        <v>179</v>
      </c>
      <c r="S156" s="56">
        <v>175</v>
      </c>
      <c r="T156" s="56">
        <v>172</v>
      </c>
      <c r="U156" s="56">
        <v>164</v>
      </c>
      <c r="V156" s="56">
        <v>148</v>
      </c>
      <c r="W156" s="56">
        <v>234</v>
      </c>
      <c r="X156" s="56">
        <v>273</v>
      </c>
      <c r="Y156" s="56">
        <v>151</v>
      </c>
      <c r="Z156" s="56">
        <v>177</v>
      </c>
      <c r="AA156" s="56">
        <v>136</v>
      </c>
      <c r="AB156" s="56">
        <v>127</v>
      </c>
      <c r="AC156" s="56">
        <v>73</v>
      </c>
      <c r="AD156" s="56">
        <v>198</v>
      </c>
      <c r="AE156" s="56">
        <v>253</v>
      </c>
      <c r="AF156" s="85"/>
      <c r="AG156" s="95">
        <f t="shared" si="28"/>
        <v>5550</v>
      </c>
      <c r="AH156" s="2" t="s">
        <v>84</v>
      </c>
    </row>
    <row r="157" spans="1:34" ht="19.5" thickBot="1" x14ac:dyDescent="0.3">
      <c r="A157" s="75" t="s">
        <v>1</v>
      </c>
      <c r="B157" s="13">
        <v>31</v>
      </c>
      <c r="C157" s="13">
        <v>90</v>
      </c>
      <c r="D157" s="13">
        <v>42</v>
      </c>
      <c r="E157" s="13">
        <v>28</v>
      </c>
      <c r="F157" s="13">
        <v>30</v>
      </c>
      <c r="G157" s="13">
        <v>37</v>
      </c>
      <c r="H157" s="13">
        <v>16</v>
      </c>
      <c r="I157" s="13">
        <v>49</v>
      </c>
      <c r="J157" s="13">
        <v>49</v>
      </c>
      <c r="K157" s="13">
        <v>47</v>
      </c>
      <c r="L157" s="13">
        <v>28</v>
      </c>
      <c r="M157" s="13">
        <v>17</v>
      </c>
      <c r="N157" s="13">
        <v>18</v>
      </c>
      <c r="O157" s="13">
        <v>10</v>
      </c>
      <c r="P157" s="13">
        <v>46</v>
      </c>
      <c r="Q157" s="13">
        <v>8</v>
      </c>
      <c r="R157" s="13">
        <v>18</v>
      </c>
      <c r="S157" s="13">
        <v>24</v>
      </c>
      <c r="T157" s="13">
        <v>22</v>
      </c>
      <c r="U157" s="13">
        <v>10</v>
      </c>
      <c r="V157" s="13">
        <v>14</v>
      </c>
      <c r="W157" s="13">
        <v>37</v>
      </c>
      <c r="X157" s="13">
        <v>18</v>
      </c>
      <c r="Y157" s="13">
        <v>7</v>
      </c>
      <c r="Z157" s="13">
        <v>15</v>
      </c>
      <c r="AA157" s="13">
        <v>14</v>
      </c>
      <c r="AB157" s="13">
        <v>2</v>
      </c>
      <c r="AC157" s="13">
        <v>3</v>
      </c>
      <c r="AD157" s="13">
        <v>27</v>
      </c>
      <c r="AE157" s="13">
        <v>13</v>
      </c>
      <c r="AF157" s="14"/>
      <c r="AG157" s="157">
        <f t="shared" si="28"/>
        <v>770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1</v>
      </c>
      <c r="C158" s="122">
        <f t="shared" si="29"/>
        <v>1</v>
      </c>
      <c r="D158" s="122">
        <f t="shared" si="29"/>
        <v>0</v>
      </c>
      <c r="E158" s="122">
        <f t="shared" si="29"/>
        <v>1</v>
      </c>
      <c r="F158" s="122">
        <f t="shared" si="29"/>
        <v>2</v>
      </c>
      <c r="G158" s="122">
        <f t="shared" si="29"/>
        <v>0</v>
      </c>
      <c r="H158" s="122">
        <f t="shared" si="29"/>
        <v>1</v>
      </c>
      <c r="I158" s="122">
        <f t="shared" si="29"/>
        <v>1</v>
      </c>
      <c r="J158" s="122">
        <f t="shared" si="29"/>
        <v>3</v>
      </c>
      <c r="K158" s="122">
        <f t="shared" si="29"/>
        <v>0</v>
      </c>
      <c r="L158" s="122">
        <f t="shared" si="29"/>
        <v>0</v>
      </c>
      <c r="M158" s="122">
        <f t="shared" si="29"/>
        <v>0</v>
      </c>
      <c r="N158" s="122">
        <f t="shared" si="29"/>
        <v>2</v>
      </c>
      <c r="O158" s="122">
        <f t="shared" si="29"/>
        <v>1</v>
      </c>
      <c r="P158" s="122">
        <f t="shared" si="29"/>
        <v>1</v>
      </c>
      <c r="Q158" s="122">
        <f t="shared" si="29"/>
        <v>1</v>
      </c>
      <c r="R158" s="122">
        <f t="shared" si="29"/>
        <v>0</v>
      </c>
      <c r="S158" s="122">
        <f t="shared" si="29"/>
        <v>0</v>
      </c>
      <c r="T158" s="122">
        <f t="shared" si="29"/>
        <v>0</v>
      </c>
      <c r="U158" s="122">
        <f t="shared" si="29"/>
        <v>1</v>
      </c>
      <c r="V158" s="122">
        <f t="shared" si="29"/>
        <v>0</v>
      </c>
      <c r="W158" s="122">
        <f t="shared" si="29"/>
        <v>0</v>
      </c>
      <c r="X158" s="122">
        <f t="shared" si="29"/>
        <v>1</v>
      </c>
      <c r="Y158" s="122">
        <f t="shared" si="29"/>
        <v>0</v>
      </c>
      <c r="Z158" s="122">
        <f t="shared" si="29"/>
        <v>0</v>
      </c>
      <c r="AA158" s="122">
        <f t="shared" si="29"/>
        <v>0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17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0</v>
      </c>
    </row>
    <row r="160" spans="1:34" ht="18.75" x14ac:dyDescent="0.25">
      <c r="A160" s="50" t="s">
        <v>24</v>
      </c>
      <c r="B160" s="29"/>
      <c r="C160" s="29"/>
      <c r="D160" s="29"/>
      <c r="E160" s="29">
        <v>1</v>
      </c>
      <c r="F160" s="29">
        <v>1</v>
      </c>
      <c r="G160" s="29"/>
      <c r="H160" s="29"/>
      <c r="I160" s="29"/>
      <c r="J160" s="29"/>
      <c r="K160" s="29"/>
      <c r="L160" s="29"/>
      <c r="M160" s="29"/>
      <c r="N160" s="29">
        <v>1</v>
      </c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3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0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>
        <v>1</v>
      </c>
      <c r="G162" s="29"/>
      <c r="H162" s="29"/>
      <c r="I162" s="29">
        <v>1</v>
      </c>
      <c r="J162" s="29"/>
      <c r="K162" s="29"/>
      <c r="L162" s="29"/>
      <c r="M162" s="29"/>
      <c r="N162" s="29">
        <v>1</v>
      </c>
      <c r="O162" s="29">
        <v>1</v>
      </c>
      <c r="P162" s="29">
        <v>1</v>
      </c>
      <c r="Q162" s="29">
        <v>1</v>
      </c>
      <c r="R162" s="29"/>
      <c r="S162" s="29"/>
      <c r="T162" s="29"/>
      <c r="U162" s="29"/>
      <c r="V162" s="29"/>
      <c r="W162" s="29"/>
      <c r="X162" s="29">
        <v>1</v>
      </c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7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>
        <v>1</v>
      </c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>
        <v>1</v>
      </c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2</v>
      </c>
    </row>
    <row r="165" spans="1:34" ht="18.75" x14ac:dyDescent="0.25">
      <c r="A165" s="50" t="s">
        <v>28</v>
      </c>
      <c r="B165" s="29">
        <v>1</v>
      </c>
      <c r="C165" s="29">
        <v>1</v>
      </c>
      <c r="D165" s="29"/>
      <c r="E165" s="29"/>
      <c r="F165" s="29"/>
      <c r="G165" s="29"/>
      <c r="H165" s="29"/>
      <c r="I165" s="29"/>
      <c r="J165" s="29">
        <v>3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5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0</v>
      </c>
      <c r="E167" s="56">
        <f t="shared" si="30"/>
        <v>1</v>
      </c>
      <c r="F167" s="56">
        <f t="shared" si="30"/>
        <v>0</v>
      </c>
      <c r="G167" s="56">
        <f t="shared" si="30"/>
        <v>0</v>
      </c>
      <c r="H167" s="56">
        <f t="shared" si="30"/>
        <v>0</v>
      </c>
      <c r="I167" s="56">
        <f t="shared" si="30"/>
        <v>0</v>
      </c>
      <c r="J167" s="56">
        <f t="shared" si="30"/>
        <v>0</v>
      </c>
      <c r="K167" s="56">
        <f t="shared" si="30"/>
        <v>1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0</v>
      </c>
      <c r="P167" s="56">
        <f t="shared" si="30"/>
        <v>0</v>
      </c>
      <c r="Q167" s="56">
        <f t="shared" si="30"/>
        <v>1</v>
      </c>
      <c r="R167" s="56">
        <f t="shared" si="30"/>
        <v>0</v>
      </c>
      <c r="S167" s="56">
        <f t="shared" si="30"/>
        <v>0</v>
      </c>
      <c r="T167" s="56">
        <f t="shared" si="30"/>
        <v>1</v>
      </c>
      <c r="U167" s="56">
        <f t="shared" si="30"/>
        <v>1</v>
      </c>
      <c r="V167" s="56">
        <f t="shared" si="30"/>
        <v>0</v>
      </c>
      <c r="W167" s="56">
        <f t="shared" si="30"/>
        <v>0</v>
      </c>
      <c r="X167" s="56">
        <f t="shared" si="30"/>
        <v>2</v>
      </c>
      <c r="Y167" s="56">
        <f t="shared" si="30"/>
        <v>1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1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9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>
        <v>1</v>
      </c>
      <c r="R168" s="29"/>
      <c r="S168" s="29"/>
      <c r="T168" s="29"/>
      <c r="U168" s="29"/>
      <c r="V168" s="29"/>
      <c r="W168" s="29"/>
      <c r="X168" s="29">
        <v>2</v>
      </c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3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>
        <v>1</v>
      </c>
      <c r="L169" s="29"/>
      <c r="M169" s="29"/>
      <c r="N169" s="29"/>
      <c r="O169" s="29"/>
      <c r="P169" s="29"/>
      <c r="Q169" s="29"/>
      <c r="R169" s="29"/>
      <c r="S169" s="29"/>
      <c r="T169" s="29">
        <v>1</v>
      </c>
      <c r="U169" s="29"/>
      <c r="V169" s="29"/>
      <c r="W169" s="29"/>
      <c r="X169" s="29"/>
      <c r="Y169" s="29">
        <v>1</v>
      </c>
      <c r="Z169" s="29"/>
      <c r="AA169" s="29"/>
      <c r="AB169" s="29"/>
      <c r="AC169" s="29"/>
      <c r="AD169" s="29"/>
      <c r="AE169" s="29"/>
      <c r="AF169" s="21"/>
      <c r="AG169" s="4">
        <f t="shared" si="28"/>
        <v>3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>
        <v>1</v>
      </c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>
        <v>1</v>
      </c>
      <c r="V171" s="30"/>
      <c r="W171" s="30"/>
      <c r="X171" s="30"/>
      <c r="Y171" s="30"/>
      <c r="Z171" s="30"/>
      <c r="AA171" s="30"/>
      <c r="AB171" s="30"/>
      <c r="AC171" s="30">
        <v>1</v>
      </c>
      <c r="AD171" s="30"/>
      <c r="AE171" s="30"/>
      <c r="AF171" s="22"/>
      <c r="AG171" s="28">
        <f t="shared" si="28"/>
        <v>3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0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5</v>
      </c>
      <c r="J173" s="15">
        <v>1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1</v>
      </c>
      <c r="S173" s="15">
        <v>1</v>
      </c>
      <c r="T173" s="15">
        <v>1</v>
      </c>
      <c r="U173" s="15">
        <v>2</v>
      </c>
      <c r="V173" s="15">
        <v>1</v>
      </c>
      <c r="W173" s="15">
        <v>1</v>
      </c>
      <c r="X173" s="15">
        <v>0</v>
      </c>
      <c r="Y173" s="15">
        <v>0</v>
      </c>
      <c r="Z173" s="15">
        <v>0</v>
      </c>
      <c r="AA173" s="15">
        <f>1+1</f>
        <v>2</v>
      </c>
      <c r="AB173" s="15">
        <v>0</v>
      </c>
      <c r="AC173" s="15">
        <v>0</v>
      </c>
      <c r="AD173" s="15">
        <v>1</v>
      </c>
      <c r="AE173" s="15">
        <v>2</v>
      </c>
      <c r="AF173" s="23"/>
      <c r="AG173" s="5">
        <f t="shared" si="28"/>
        <v>18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6</v>
      </c>
      <c r="C174" s="16">
        <f t="shared" ref="C174:AF174" si="31">SUM(C175:C176)</f>
        <v>3</v>
      </c>
      <c r="D174" s="16">
        <f t="shared" si="31"/>
        <v>3</v>
      </c>
      <c r="E174" s="16">
        <f t="shared" si="31"/>
        <v>0</v>
      </c>
      <c r="F174" s="16">
        <f t="shared" si="31"/>
        <v>8</v>
      </c>
      <c r="G174" s="16">
        <f t="shared" si="31"/>
        <v>2</v>
      </c>
      <c r="H174" s="16">
        <f t="shared" si="31"/>
        <v>6</v>
      </c>
      <c r="I174" s="16">
        <f t="shared" si="31"/>
        <v>13</v>
      </c>
      <c r="J174" s="16">
        <f t="shared" si="31"/>
        <v>9</v>
      </c>
      <c r="K174" s="16">
        <f t="shared" si="31"/>
        <v>4</v>
      </c>
      <c r="L174" s="16">
        <f t="shared" si="31"/>
        <v>5</v>
      </c>
      <c r="M174" s="16">
        <f t="shared" si="31"/>
        <v>2</v>
      </c>
      <c r="N174" s="16">
        <f t="shared" si="31"/>
        <v>6</v>
      </c>
      <c r="O174" s="16">
        <f t="shared" si="31"/>
        <v>4</v>
      </c>
      <c r="P174" s="16">
        <f t="shared" si="31"/>
        <v>3</v>
      </c>
      <c r="Q174" s="16">
        <f t="shared" si="31"/>
        <v>10</v>
      </c>
      <c r="R174" s="16">
        <f t="shared" si="31"/>
        <v>4</v>
      </c>
      <c r="S174" s="16">
        <f t="shared" si="31"/>
        <v>4</v>
      </c>
      <c r="T174" s="16">
        <f t="shared" si="31"/>
        <v>3</v>
      </c>
      <c r="U174" s="16">
        <f t="shared" si="31"/>
        <v>3</v>
      </c>
      <c r="V174" s="16">
        <f t="shared" si="31"/>
        <v>6</v>
      </c>
      <c r="W174" s="16">
        <f t="shared" si="31"/>
        <v>3</v>
      </c>
      <c r="X174" s="16">
        <f t="shared" si="31"/>
        <v>9</v>
      </c>
      <c r="Y174" s="16">
        <f t="shared" si="31"/>
        <v>4</v>
      </c>
      <c r="Z174" s="16">
        <f t="shared" si="31"/>
        <v>1</v>
      </c>
      <c r="AA174" s="16">
        <f t="shared" si="31"/>
        <v>8</v>
      </c>
      <c r="AB174" s="16">
        <f t="shared" si="31"/>
        <v>2</v>
      </c>
      <c r="AC174" s="16">
        <f t="shared" si="31"/>
        <v>6</v>
      </c>
      <c r="AD174" s="16">
        <f t="shared" si="31"/>
        <v>3</v>
      </c>
      <c r="AE174" s="16">
        <f t="shared" si="31"/>
        <v>10</v>
      </c>
      <c r="AF174" s="24">
        <f t="shared" si="31"/>
        <v>0</v>
      </c>
      <c r="AG174" s="6">
        <f t="shared" si="28"/>
        <v>150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0</v>
      </c>
      <c r="D175" s="15">
        <v>0</v>
      </c>
      <c r="E175" s="15">
        <v>0</v>
      </c>
      <c r="F175" s="15">
        <v>2</v>
      </c>
      <c r="G175" s="15">
        <v>0</v>
      </c>
      <c r="H175" s="15">
        <v>0</v>
      </c>
      <c r="I175" s="15">
        <v>1</v>
      </c>
      <c r="J175" s="15">
        <v>2</v>
      </c>
      <c r="K175" s="15">
        <v>0</v>
      </c>
      <c r="L175" s="15">
        <v>1</v>
      </c>
      <c r="M175" s="15">
        <v>1</v>
      </c>
      <c r="N175" s="15">
        <v>1</v>
      </c>
      <c r="O175" s="15">
        <v>0</v>
      </c>
      <c r="P175" s="15">
        <v>0</v>
      </c>
      <c r="Q175" s="15">
        <v>0</v>
      </c>
      <c r="R175" s="15">
        <v>2</v>
      </c>
      <c r="S175" s="15">
        <v>0</v>
      </c>
      <c r="T175" s="15">
        <v>0</v>
      </c>
      <c r="U175" s="15">
        <v>2</v>
      </c>
      <c r="V175" s="15">
        <v>0</v>
      </c>
      <c r="W175" s="15">
        <v>1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1</v>
      </c>
      <c r="AD175" s="15">
        <v>0</v>
      </c>
      <c r="AE175" s="15">
        <v>1</v>
      </c>
      <c r="AF175" s="23"/>
      <c r="AG175" s="5">
        <f t="shared" si="28"/>
        <v>17</v>
      </c>
      <c r="AH175" s="2" t="s">
        <v>138</v>
      </c>
    </row>
    <row r="176" spans="1:34" ht="19.5" thickBot="1" x14ac:dyDescent="0.3">
      <c r="A176" s="104" t="s">
        <v>119</v>
      </c>
      <c r="B176" s="101">
        <v>5</v>
      </c>
      <c r="C176" s="101">
        <v>3</v>
      </c>
      <c r="D176" s="101">
        <v>3</v>
      </c>
      <c r="E176" s="101">
        <v>0</v>
      </c>
      <c r="F176" s="101">
        <v>6</v>
      </c>
      <c r="G176" s="101">
        <v>2</v>
      </c>
      <c r="H176" s="101">
        <v>6</v>
      </c>
      <c r="I176" s="101">
        <v>12</v>
      </c>
      <c r="J176" s="101">
        <v>7</v>
      </c>
      <c r="K176" s="101">
        <v>4</v>
      </c>
      <c r="L176" s="101">
        <v>4</v>
      </c>
      <c r="M176" s="101">
        <v>1</v>
      </c>
      <c r="N176" s="101">
        <v>5</v>
      </c>
      <c r="O176" s="101">
        <v>4</v>
      </c>
      <c r="P176" s="101">
        <v>3</v>
      </c>
      <c r="Q176" s="101">
        <v>10</v>
      </c>
      <c r="R176" s="101">
        <v>2</v>
      </c>
      <c r="S176" s="101">
        <v>4</v>
      </c>
      <c r="T176" s="101">
        <v>3</v>
      </c>
      <c r="U176" s="101">
        <v>1</v>
      </c>
      <c r="V176" s="101">
        <v>6</v>
      </c>
      <c r="W176" s="101">
        <v>2</v>
      </c>
      <c r="X176" s="101">
        <v>9</v>
      </c>
      <c r="Y176" s="101">
        <v>4</v>
      </c>
      <c r="Z176" s="101">
        <v>1</v>
      </c>
      <c r="AA176" s="101">
        <v>7</v>
      </c>
      <c r="AB176" s="101">
        <v>2</v>
      </c>
      <c r="AC176" s="101">
        <v>5</v>
      </c>
      <c r="AD176" s="101">
        <v>3</v>
      </c>
      <c r="AE176" s="101">
        <v>9</v>
      </c>
      <c r="AF176" s="102"/>
      <c r="AG176" s="103">
        <f t="shared" si="28"/>
        <v>133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22</v>
      </c>
      <c r="C179" s="220">
        <f t="shared" si="32"/>
        <v>7</v>
      </c>
      <c r="D179" s="220">
        <f t="shared" si="32"/>
        <v>15</v>
      </c>
      <c r="E179" s="220">
        <f t="shared" si="32"/>
        <v>14</v>
      </c>
      <c r="F179" s="220">
        <f t="shared" si="32"/>
        <v>11</v>
      </c>
      <c r="G179" s="220">
        <f t="shared" si="32"/>
        <v>14</v>
      </c>
      <c r="H179" s="220">
        <f t="shared" si="32"/>
        <v>16</v>
      </c>
      <c r="I179" s="220">
        <f t="shared" si="32"/>
        <v>15</v>
      </c>
      <c r="J179" s="220">
        <f t="shared" si="32"/>
        <v>20</v>
      </c>
      <c r="K179" s="220">
        <f t="shared" si="32"/>
        <v>13</v>
      </c>
      <c r="L179" s="220">
        <f t="shared" si="32"/>
        <v>12</v>
      </c>
      <c r="M179" s="220">
        <f t="shared" si="32"/>
        <v>14</v>
      </c>
      <c r="N179" s="220">
        <f t="shared" si="32"/>
        <v>18</v>
      </c>
      <c r="O179" s="220">
        <f t="shared" si="32"/>
        <v>12</v>
      </c>
      <c r="P179" s="220">
        <f t="shared" si="32"/>
        <v>9</v>
      </c>
      <c r="Q179" s="220">
        <f t="shared" si="32"/>
        <v>17</v>
      </c>
      <c r="R179" s="220">
        <f t="shared" si="32"/>
        <v>5</v>
      </c>
      <c r="S179" s="220">
        <f t="shared" si="32"/>
        <v>8</v>
      </c>
      <c r="T179" s="220">
        <f t="shared" si="32"/>
        <v>9</v>
      </c>
      <c r="U179" s="220">
        <f t="shared" si="32"/>
        <v>9</v>
      </c>
      <c r="V179" s="220">
        <f t="shared" si="32"/>
        <v>16</v>
      </c>
      <c r="W179" s="220">
        <f t="shared" si="32"/>
        <v>4</v>
      </c>
      <c r="X179" s="220">
        <f t="shared" si="32"/>
        <v>9</v>
      </c>
      <c r="Y179" s="220">
        <f t="shared" si="32"/>
        <v>14</v>
      </c>
      <c r="Z179" s="220">
        <f t="shared" si="32"/>
        <v>9</v>
      </c>
      <c r="AA179" s="220">
        <f t="shared" si="32"/>
        <v>7</v>
      </c>
      <c r="AB179" s="220">
        <f t="shared" si="32"/>
        <v>14</v>
      </c>
      <c r="AC179" s="220">
        <f t="shared" si="32"/>
        <v>9</v>
      </c>
      <c r="AD179" s="220">
        <f t="shared" si="32"/>
        <v>25</v>
      </c>
      <c r="AE179" s="220">
        <f t="shared" si="32"/>
        <v>12</v>
      </c>
      <c r="AF179" s="221">
        <f t="shared" si="32"/>
        <v>0</v>
      </c>
      <c r="AG179" s="156">
        <f t="shared" si="28"/>
        <v>379</v>
      </c>
      <c r="AH179" s="38"/>
    </row>
    <row r="180" spans="1:34" ht="18.75" x14ac:dyDescent="0.25">
      <c r="A180" s="109" t="s">
        <v>4</v>
      </c>
      <c r="B180" s="216">
        <v>11</v>
      </c>
      <c r="C180" s="216">
        <v>4</v>
      </c>
      <c r="D180" s="216">
        <v>8</v>
      </c>
      <c r="E180" s="216">
        <v>3</v>
      </c>
      <c r="F180" s="216">
        <v>3</v>
      </c>
      <c r="G180" s="216">
        <v>5</v>
      </c>
      <c r="H180" s="216">
        <v>6</v>
      </c>
      <c r="I180" s="216">
        <v>8</v>
      </c>
      <c r="J180" s="216">
        <v>7</v>
      </c>
      <c r="K180" s="216">
        <v>3</v>
      </c>
      <c r="L180" s="216">
        <v>4</v>
      </c>
      <c r="M180" s="216">
        <v>5</v>
      </c>
      <c r="N180" s="217">
        <v>7</v>
      </c>
      <c r="O180" s="217">
        <v>4</v>
      </c>
      <c r="P180" s="217">
        <v>3</v>
      </c>
      <c r="Q180" s="217">
        <v>4</v>
      </c>
      <c r="R180" s="217">
        <v>1</v>
      </c>
      <c r="S180" s="217">
        <v>3</v>
      </c>
      <c r="T180" s="217">
        <v>2</v>
      </c>
      <c r="U180" s="217">
        <v>2</v>
      </c>
      <c r="V180" s="217">
        <v>9</v>
      </c>
      <c r="W180" s="217">
        <v>3</v>
      </c>
      <c r="X180" s="217">
        <v>4</v>
      </c>
      <c r="Y180" s="217">
        <v>3</v>
      </c>
      <c r="Z180" s="217">
        <v>1</v>
      </c>
      <c r="AA180" s="217">
        <v>2</v>
      </c>
      <c r="AB180" s="217">
        <v>4</v>
      </c>
      <c r="AC180" s="217"/>
      <c r="AD180" s="217">
        <v>5</v>
      </c>
      <c r="AE180" s="217">
        <v>10</v>
      </c>
      <c r="AF180" s="218"/>
      <c r="AG180" s="31">
        <f t="shared" si="28"/>
        <v>134</v>
      </c>
    </row>
    <row r="181" spans="1:34" ht="18.75" x14ac:dyDescent="0.25">
      <c r="A181" s="109" t="s">
        <v>122</v>
      </c>
      <c r="B181" s="147"/>
      <c r="C181" s="147">
        <v>1</v>
      </c>
      <c r="D181" s="147"/>
      <c r="E181" s="147">
        <v>1</v>
      </c>
      <c r="F181" s="147"/>
      <c r="G181" s="147">
        <v>2</v>
      </c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>
        <v>4</v>
      </c>
      <c r="AD181" s="17">
        <v>1</v>
      </c>
      <c r="AE181" s="17"/>
      <c r="AF181" s="18"/>
      <c r="AG181" s="4">
        <f t="shared" si="28"/>
        <v>9</v>
      </c>
    </row>
    <row r="182" spans="1:34" ht="18.75" x14ac:dyDescent="0.25">
      <c r="A182" s="109" t="s">
        <v>123</v>
      </c>
      <c r="B182" s="147">
        <v>6</v>
      </c>
      <c r="C182" s="147"/>
      <c r="D182" s="147">
        <v>6</v>
      </c>
      <c r="E182" s="147">
        <v>5</v>
      </c>
      <c r="F182" s="147">
        <v>4</v>
      </c>
      <c r="G182" s="147">
        <v>4</v>
      </c>
      <c r="H182" s="147">
        <v>7</v>
      </c>
      <c r="I182" s="147"/>
      <c r="J182" s="147">
        <v>9</v>
      </c>
      <c r="K182" s="147">
        <v>8</v>
      </c>
      <c r="L182" s="147">
        <v>6</v>
      </c>
      <c r="M182" s="147">
        <v>6</v>
      </c>
      <c r="N182" s="17">
        <v>1</v>
      </c>
      <c r="O182" s="17">
        <v>6</v>
      </c>
      <c r="P182" s="17">
        <v>1</v>
      </c>
      <c r="Q182" s="17">
        <v>10</v>
      </c>
      <c r="R182" s="17">
        <v>3</v>
      </c>
      <c r="S182" s="17">
        <v>3</v>
      </c>
      <c r="T182" s="17">
        <v>5</v>
      </c>
      <c r="U182" s="17"/>
      <c r="V182" s="17">
        <v>5</v>
      </c>
      <c r="W182" s="17"/>
      <c r="X182" s="17">
        <v>2</v>
      </c>
      <c r="Y182" s="17">
        <v>7</v>
      </c>
      <c r="Z182" s="17">
        <v>6</v>
      </c>
      <c r="AA182" s="17">
        <v>3</v>
      </c>
      <c r="AB182" s="17"/>
      <c r="AC182" s="17">
        <v>5</v>
      </c>
      <c r="AD182" s="17">
        <v>3</v>
      </c>
      <c r="AE182" s="17"/>
      <c r="AF182" s="18"/>
      <c r="AG182" s="4">
        <f t="shared" si="28"/>
        <v>121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>
        <v>1</v>
      </c>
      <c r="AB183" s="17"/>
      <c r="AC183" s="17"/>
      <c r="AD183" s="17"/>
      <c r="AE183" s="17"/>
      <c r="AF183" s="18"/>
      <c r="AG183" s="4">
        <f t="shared" si="28"/>
        <v>1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>
        <v>2</v>
      </c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2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139</v>
      </c>
      <c r="B187" s="147">
        <v>1</v>
      </c>
      <c r="C187" s="147"/>
      <c r="D187" s="147">
        <v>1</v>
      </c>
      <c r="E187" s="147">
        <v>1</v>
      </c>
      <c r="F187" s="147"/>
      <c r="G187" s="147">
        <v>3</v>
      </c>
      <c r="H187" s="147">
        <v>1</v>
      </c>
      <c r="I187" s="147">
        <v>1</v>
      </c>
      <c r="J187" s="147"/>
      <c r="K187" s="147"/>
      <c r="L187" s="147"/>
      <c r="M187" s="147"/>
      <c r="N187" s="17">
        <v>7</v>
      </c>
      <c r="O187" s="17"/>
      <c r="P187" s="17"/>
      <c r="Q187" s="17">
        <v>1</v>
      </c>
      <c r="R187" s="17"/>
      <c r="S187" s="17">
        <v>1</v>
      </c>
      <c r="T187" s="17"/>
      <c r="U187" s="17">
        <v>7</v>
      </c>
      <c r="V187" s="17"/>
      <c r="W187" s="17">
        <v>1</v>
      </c>
      <c r="X187" s="17">
        <v>1</v>
      </c>
      <c r="Y187" s="17"/>
      <c r="Z187" s="17"/>
      <c r="AA187" s="17"/>
      <c r="AB187" s="17">
        <v>6</v>
      </c>
      <c r="AC187" s="17"/>
      <c r="AD187" s="17">
        <v>8</v>
      </c>
      <c r="AE187" s="17"/>
      <c r="AF187" s="18"/>
      <c r="AG187" s="4">
        <f t="shared" si="28"/>
        <v>40</v>
      </c>
    </row>
    <row r="188" spans="1:34" ht="18.75" x14ac:dyDescent="0.25">
      <c r="A188" s="110" t="s">
        <v>63</v>
      </c>
      <c r="B188" s="147">
        <v>1</v>
      </c>
      <c r="C188" s="147"/>
      <c r="D188" s="147"/>
      <c r="E188" s="147">
        <v>1</v>
      </c>
      <c r="F188" s="147">
        <v>1</v>
      </c>
      <c r="G188" s="147"/>
      <c r="H188" s="147">
        <v>1</v>
      </c>
      <c r="I188" s="147"/>
      <c r="J188" s="147"/>
      <c r="K188" s="147"/>
      <c r="L188" s="147">
        <v>2</v>
      </c>
      <c r="M188" s="147"/>
      <c r="N188" s="17">
        <v>1</v>
      </c>
      <c r="O188" s="17"/>
      <c r="P188" s="17"/>
      <c r="Q188" s="17"/>
      <c r="R188" s="17"/>
      <c r="S188" s="17">
        <v>1</v>
      </c>
      <c r="T188" s="17"/>
      <c r="U188" s="17"/>
      <c r="V188" s="17">
        <v>1</v>
      </c>
      <c r="W188" s="17"/>
      <c r="X188" s="17"/>
      <c r="Y188" s="17">
        <v>1</v>
      </c>
      <c r="Z188" s="17">
        <v>2</v>
      </c>
      <c r="AA188" s="17">
        <v>1</v>
      </c>
      <c r="AB188" s="17"/>
      <c r="AC188" s="17"/>
      <c r="AD188" s="17">
        <v>1</v>
      </c>
      <c r="AE188" s="17"/>
      <c r="AF188" s="18"/>
      <c r="AG188" s="4">
        <f t="shared" si="28"/>
        <v>14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>
        <v>1</v>
      </c>
      <c r="C192" s="244">
        <v>2</v>
      </c>
      <c r="D192" s="244"/>
      <c r="E192" s="244">
        <v>3</v>
      </c>
      <c r="F192" s="244">
        <v>1</v>
      </c>
      <c r="G192" s="244"/>
      <c r="H192" s="244"/>
      <c r="I192" s="244">
        <v>6</v>
      </c>
      <c r="J192" s="244">
        <v>4</v>
      </c>
      <c r="K192" s="244"/>
      <c r="L192" s="244"/>
      <c r="M192" s="244">
        <v>2</v>
      </c>
      <c r="N192" s="245"/>
      <c r="O192" s="245">
        <v>1</v>
      </c>
      <c r="P192" s="245">
        <v>1</v>
      </c>
      <c r="Q192" s="245">
        <v>1</v>
      </c>
      <c r="R192" s="245">
        <v>1</v>
      </c>
      <c r="S192" s="245"/>
      <c r="T192" s="245"/>
      <c r="U192" s="245"/>
      <c r="V192" s="245"/>
      <c r="W192" s="245"/>
      <c r="X192" s="245">
        <v>2</v>
      </c>
      <c r="Y192" s="245">
        <v>3</v>
      </c>
      <c r="Z192" s="245"/>
      <c r="AA192" s="245"/>
      <c r="AB192" s="245">
        <v>4</v>
      </c>
      <c r="AC192" s="245"/>
      <c r="AD192" s="245">
        <v>4</v>
      </c>
      <c r="AE192" s="245"/>
      <c r="AF192" s="246"/>
      <c r="AG192" s="247">
        <f t="shared" si="28"/>
        <v>36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>
        <v>3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>
        <v>1</v>
      </c>
      <c r="AE196" s="17"/>
      <c r="AF196" s="18"/>
      <c r="AG196" s="4">
        <f t="shared" si="28"/>
        <v>4</v>
      </c>
    </row>
    <row r="197" spans="1:34" ht="18.75" x14ac:dyDescent="0.25">
      <c r="A197" s="111" t="s">
        <v>143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>
        <v>1</v>
      </c>
      <c r="AE197" s="17"/>
      <c r="AF197" s="18"/>
      <c r="AG197" s="4">
        <f t="shared" si="28"/>
        <v>1</v>
      </c>
    </row>
    <row r="198" spans="1:34" ht="18.75" x14ac:dyDescent="0.25">
      <c r="A198" s="110" t="s">
        <v>124</v>
      </c>
      <c r="B198" s="147">
        <v>1</v>
      </c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>
        <v>1</v>
      </c>
      <c r="N198" s="17"/>
      <c r="O198" s="17"/>
      <c r="P198" s="17"/>
      <c r="Q198" s="17"/>
      <c r="R198" s="17"/>
      <c r="S198" s="17"/>
      <c r="T198" s="17">
        <v>2</v>
      </c>
      <c r="U198" s="17"/>
      <c r="V198" s="17">
        <v>1</v>
      </c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5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>
        <v>1</v>
      </c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1</v>
      </c>
    </row>
    <row r="201" spans="1:34" ht="18.75" x14ac:dyDescent="0.25">
      <c r="A201" s="110" t="s">
        <v>126</v>
      </c>
      <c r="B201" s="202">
        <v>1</v>
      </c>
      <c r="C201" s="202"/>
      <c r="D201" s="202"/>
      <c r="E201" s="202"/>
      <c r="F201" s="202">
        <v>1</v>
      </c>
      <c r="G201" s="202"/>
      <c r="H201" s="202">
        <v>1</v>
      </c>
      <c r="I201" s="202"/>
      <c r="J201" s="202"/>
      <c r="K201" s="202">
        <v>2</v>
      </c>
      <c r="L201" s="202"/>
      <c r="M201" s="202"/>
      <c r="N201" s="203"/>
      <c r="O201" s="203"/>
      <c r="P201" s="203"/>
      <c r="Q201" s="203">
        <v>1</v>
      </c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>
        <v>1</v>
      </c>
      <c r="AE201" s="203">
        <v>2</v>
      </c>
      <c r="AF201" s="204"/>
      <c r="AG201" s="4">
        <f t="shared" si="28"/>
        <v>9</v>
      </c>
    </row>
    <row r="202" spans="1:34" ht="18.75" x14ac:dyDescent="0.25">
      <c r="A202" s="112" t="s">
        <v>170</v>
      </c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3"/>
      <c r="O202" s="203">
        <v>1</v>
      </c>
      <c r="P202" s="203">
        <v>1</v>
      </c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4"/>
      <c r="AG202" s="4">
        <f t="shared" si="28"/>
        <v>2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0</v>
      </c>
    </row>
    <row r="204" spans="1:34" ht="19.5" thickBot="1" x14ac:dyDescent="0.3">
      <c r="A204" s="215" t="s">
        <v>83</v>
      </c>
      <c r="B204" s="209">
        <f>SUM(B205:B209)</f>
        <v>267</v>
      </c>
      <c r="C204" s="210">
        <f t="shared" ref="C204:AF204" si="33">SUM(C205:C209)</f>
        <v>208</v>
      </c>
      <c r="D204" s="210">
        <f t="shared" si="33"/>
        <v>181</v>
      </c>
      <c r="E204" s="210">
        <f t="shared" si="33"/>
        <v>157</v>
      </c>
      <c r="F204" s="210">
        <f t="shared" si="33"/>
        <v>175</v>
      </c>
      <c r="G204" s="210">
        <f t="shared" si="33"/>
        <v>152</v>
      </c>
      <c r="H204" s="210">
        <f t="shared" si="33"/>
        <v>159</v>
      </c>
      <c r="I204" s="210">
        <f t="shared" si="33"/>
        <v>244</v>
      </c>
      <c r="J204" s="210">
        <f t="shared" si="33"/>
        <v>240</v>
      </c>
      <c r="K204" s="210">
        <f t="shared" si="33"/>
        <v>198</v>
      </c>
      <c r="L204" s="210">
        <f t="shared" si="33"/>
        <v>183</v>
      </c>
      <c r="M204" s="210">
        <f t="shared" si="33"/>
        <v>168</v>
      </c>
      <c r="N204" s="211">
        <f t="shared" si="33"/>
        <v>176</v>
      </c>
      <c r="O204" s="211">
        <f t="shared" si="33"/>
        <v>177</v>
      </c>
      <c r="P204" s="211">
        <f t="shared" si="33"/>
        <v>208</v>
      </c>
      <c r="Q204" s="211">
        <f t="shared" si="33"/>
        <v>224</v>
      </c>
      <c r="R204" s="211">
        <f t="shared" si="33"/>
        <v>179</v>
      </c>
      <c r="S204" s="211">
        <f t="shared" si="33"/>
        <v>175</v>
      </c>
      <c r="T204" s="211">
        <f t="shared" si="33"/>
        <v>174</v>
      </c>
      <c r="U204" s="211">
        <f t="shared" si="33"/>
        <v>166</v>
      </c>
      <c r="V204" s="211">
        <f t="shared" si="33"/>
        <v>148</v>
      </c>
      <c r="W204" s="211">
        <f t="shared" si="33"/>
        <v>234</v>
      </c>
      <c r="X204" s="211">
        <f t="shared" si="33"/>
        <v>276</v>
      </c>
      <c r="Y204" s="211">
        <f t="shared" si="33"/>
        <v>152</v>
      </c>
      <c r="Z204" s="211">
        <f t="shared" si="33"/>
        <v>177</v>
      </c>
      <c r="AA204" s="211">
        <f t="shared" si="33"/>
        <v>136</v>
      </c>
      <c r="AB204" s="211">
        <f t="shared" si="33"/>
        <v>127</v>
      </c>
      <c r="AC204" s="211">
        <f t="shared" si="33"/>
        <v>74</v>
      </c>
      <c r="AD204" s="211">
        <f t="shared" si="33"/>
        <v>198</v>
      </c>
      <c r="AE204" s="211">
        <f t="shared" si="33"/>
        <v>253</v>
      </c>
      <c r="AF204" s="212">
        <f t="shared" si="33"/>
        <v>0</v>
      </c>
      <c r="AG204" s="213">
        <f t="shared" si="28"/>
        <v>5586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6"/>
      <c r="O205" s="206"/>
      <c r="P205" s="206">
        <v>1</v>
      </c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/>
      <c r="AG205" s="208">
        <f t="shared" si="28"/>
        <v>1</v>
      </c>
    </row>
    <row r="206" spans="1:34" ht="18.75" x14ac:dyDescent="0.25">
      <c r="A206" s="52" t="s">
        <v>73</v>
      </c>
      <c r="B206" s="148">
        <v>1</v>
      </c>
      <c r="C206" s="148">
        <v>4</v>
      </c>
      <c r="D206" s="148">
        <v>2</v>
      </c>
      <c r="E206" s="148"/>
      <c r="F206" s="148">
        <v>2</v>
      </c>
      <c r="G206" s="148"/>
      <c r="H206" s="148">
        <v>2</v>
      </c>
      <c r="I206" s="148">
        <v>2</v>
      </c>
      <c r="J206" s="148">
        <v>5</v>
      </c>
      <c r="K206" s="148"/>
      <c r="L206" s="148"/>
      <c r="M206" s="148">
        <v>4</v>
      </c>
      <c r="N206" s="33"/>
      <c r="O206" s="33">
        <v>1</v>
      </c>
      <c r="P206" s="33">
        <v>2</v>
      </c>
      <c r="Q206" s="33">
        <v>1</v>
      </c>
      <c r="R206" s="33"/>
      <c r="S206" s="33">
        <v>1</v>
      </c>
      <c r="T206" s="33"/>
      <c r="U206" s="33"/>
      <c r="V206" s="33"/>
      <c r="W206" s="33">
        <v>1</v>
      </c>
      <c r="X206" s="33">
        <v>2</v>
      </c>
      <c r="Y206" s="33">
        <v>2</v>
      </c>
      <c r="Z206" s="33">
        <v>1</v>
      </c>
      <c r="AA206" s="33">
        <v>1</v>
      </c>
      <c r="AB206" s="33"/>
      <c r="AC206" s="33">
        <v>1</v>
      </c>
      <c r="AD206" s="33">
        <v>3</v>
      </c>
      <c r="AE206" s="33"/>
      <c r="AF206" s="88"/>
      <c r="AG206" s="97">
        <f t="shared" si="28"/>
        <v>38</v>
      </c>
    </row>
    <row r="207" spans="1:34" ht="18.75" x14ac:dyDescent="0.25">
      <c r="A207" s="52" t="s">
        <v>74</v>
      </c>
      <c r="B207" s="148">
        <v>30</v>
      </c>
      <c r="C207" s="148">
        <v>28</v>
      </c>
      <c r="D207" s="148">
        <v>15</v>
      </c>
      <c r="E207" s="148">
        <v>16</v>
      </c>
      <c r="F207" s="148">
        <v>25</v>
      </c>
      <c r="G207" s="148">
        <v>25</v>
      </c>
      <c r="H207" s="148">
        <v>23</v>
      </c>
      <c r="I207" s="148">
        <v>21</v>
      </c>
      <c r="J207" s="148">
        <v>25</v>
      </c>
      <c r="K207" s="148">
        <v>16</v>
      </c>
      <c r="L207" s="148">
        <v>15</v>
      </c>
      <c r="M207" s="148">
        <v>19</v>
      </c>
      <c r="N207" s="33">
        <v>18</v>
      </c>
      <c r="O207" s="33">
        <v>14</v>
      </c>
      <c r="P207" s="33">
        <v>23</v>
      </c>
      <c r="Q207" s="33">
        <v>15</v>
      </c>
      <c r="R207" s="33">
        <v>15</v>
      </c>
      <c r="S207" s="33">
        <v>16</v>
      </c>
      <c r="T207" s="33">
        <v>15</v>
      </c>
      <c r="U207" s="33">
        <v>21</v>
      </c>
      <c r="V207" s="33">
        <v>25</v>
      </c>
      <c r="W207" s="33">
        <v>26</v>
      </c>
      <c r="X207" s="33">
        <v>17</v>
      </c>
      <c r="Y207" s="33">
        <v>14</v>
      </c>
      <c r="Z207" s="33">
        <v>5</v>
      </c>
      <c r="AA207" s="33">
        <v>12</v>
      </c>
      <c r="AB207" s="33">
        <v>17</v>
      </c>
      <c r="AC207" s="33">
        <v>9</v>
      </c>
      <c r="AD207" s="33">
        <v>23</v>
      </c>
      <c r="AE207" s="33">
        <v>27</v>
      </c>
      <c r="AF207" s="88"/>
      <c r="AG207" s="97">
        <f t="shared" si="28"/>
        <v>570</v>
      </c>
    </row>
    <row r="208" spans="1:34" ht="18.75" x14ac:dyDescent="0.25">
      <c r="A208" s="52" t="s">
        <v>75</v>
      </c>
      <c r="B208" s="148">
        <v>158</v>
      </c>
      <c r="C208" s="148">
        <v>129</v>
      </c>
      <c r="D208" s="148">
        <v>104</v>
      </c>
      <c r="E208" s="148">
        <v>131</v>
      </c>
      <c r="F208" s="148">
        <v>126</v>
      </c>
      <c r="G208" s="148">
        <v>97</v>
      </c>
      <c r="H208" s="148">
        <v>116</v>
      </c>
      <c r="I208" s="148">
        <v>100</v>
      </c>
      <c r="J208" s="148">
        <v>155</v>
      </c>
      <c r="K208" s="148">
        <v>140</v>
      </c>
      <c r="L208" s="148">
        <v>135</v>
      </c>
      <c r="M208" s="148">
        <v>128</v>
      </c>
      <c r="N208" s="33">
        <v>119</v>
      </c>
      <c r="O208" s="33">
        <v>109</v>
      </c>
      <c r="P208" s="33">
        <v>116</v>
      </c>
      <c r="Q208" s="33">
        <v>130</v>
      </c>
      <c r="R208" s="33">
        <v>127</v>
      </c>
      <c r="S208" s="33">
        <v>131</v>
      </c>
      <c r="T208" s="33">
        <v>130</v>
      </c>
      <c r="U208" s="33">
        <v>111</v>
      </c>
      <c r="V208" s="33">
        <v>83</v>
      </c>
      <c r="W208" s="33">
        <v>143</v>
      </c>
      <c r="X208" s="33">
        <v>168</v>
      </c>
      <c r="Y208" s="33">
        <v>83</v>
      </c>
      <c r="Z208" s="33">
        <v>128</v>
      </c>
      <c r="AA208" s="33">
        <v>105</v>
      </c>
      <c r="AB208" s="33">
        <v>88</v>
      </c>
      <c r="AC208" s="33">
        <v>56</v>
      </c>
      <c r="AD208" s="33">
        <v>115</v>
      </c>
      <c r="AE208" s="33">
        <v>155</v>
      </c>
      <c r="AF208" s="88"/>
      <c r="AG208" s="97">
        <f t="shared" si="28"/>
        <v>3616</v>
      </c>
    </row>
    <row r="209" spans="1:34" ht="19.5" thickBot="1" x14ac:dyDescent="0.3">
      <c r="A209" s="63" t="s">
        <v>76</v>
      </c>
      <c r="B209" s="149">
        <v>78</v>
      </c>
      <c r="C209" s="149">
        <v>47</v>
      </c>
      <c r="D209" s="149">
        <v>60</v>
      </c>
      <c r="E209" s="149">
        <v>10</v>
      </c>
      <c r="F209" s="149">
        <v>22</v>
      </c>
      <c r="G209" s="149">
        <v>30</v>
      </c>
      <c r="H209" s="149">
        <v>18</v>
      </c>
      <c r="I209" s="149">
        <v>121</v>
      </c>
      <c r="J209" s="149">
        <v>55</v>
      </c>
      <c r="K209" s="149">
        <v>42</v>
      </c>
      <c r="L209" s="149">
        <v>33</v>
      </c>
      <c r="M209" s="149">
        <v>17</v>
      </c>
      <c r="N209" s="34">
        <v>39</v>
      </c>
      <c r="O209" s="34">
        <v>53</v>
      </c>
      <c r="P209" s="34">
        <v>66</v>
      </c>
      <c r="Q209" s="34">
        <v>78</v>
      </c>
      <c r="R209" s="34">
        <v>37</v>
      </c>
      <c r="S209" s="34">
        <v>27</v>
      </c>
      <c r="T209" s="34">
        <v>29</v>
      </c>
      <c r="U209" s="34">
        <v>34</v>
      </c>
      <c r="V209" s="34">
        <v>40</v>
      </c>
      <c r="W209" s="34">
        <v>64</v>
      </c>
      <c r="X209" s="34">
        <v>89</v>
      </c>
      <c r="Y209" s="34">
        <v>53</v>
      </c>
      <c r="Z209" s="34">
        <v>43</v>
      </c>
      <c r="AA209" s="34">
        <v>18</v>
      </c>
      <c r="AB209" s="34">
        <v>22</v>
      </c>
      <c r="AC209" s="34">
        <v>8</v>
      </c>
      <c r="AD209" s="34">
        <v>57</v>
      </c>
      <c r="AE209" s="34">
        <v>71</v>
      </c>
      <c r="AF209" s="89"/>
      <c r="AG209" s="35">
        <f t="shared" si="28"/>
        <v>1361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25"/>
      <c r="AG211" s="99">
        <f t="shared" si="28"/>
        <v>0</v>
      </c>
      <c r="AH211" s="376" t="s">
        <v>85</v>
      </c>
    </row>
    <row r="212" spans="1:34" ht="18.75" x14ac:dyDescent="0.25">
      <c r="A212" s="53" t="s">
        <v>110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91"/>
      <c r="AG212" s="100">
        <f t="shared" si="28"/>
        <v>0</v>
      </c>
      <c r="AH212" s="377"/>
    </row>
    <row r="213" spans="1:34" ht="18.75" x14ac:dyDescent="0.25">
      <c r="A213" s="53" t="s">
        <v>111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91"/>
      <c r="AG213" s="100">
        <f t="shared" si="28"/>
        <v>0</v>
      </c>
      <c r="AH213" s="377"/>
    </row>
    <row r="214" spans="1:34" ht="18.75" x14ac:dyDescent="0.25">
      <c r="A214" s="53" t="s">
        <v>112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91"/>
      <c r="AG214" s="100">
        <f t="shared" si="28"/>
        <v>0</v>
      </c>
      <c r="AH214" s="377"/>
    </row>
    <row r="215" spans="1:34" ht="18.75" x14ac:dyDescent="0.25">
      <c r="A215" s="53" t="s">
        <v>113</v>
      </c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91"/>
      <c r="AG215" s="100">
        <f t="shared" si="28"/>
        <v>0</v>
      </c>
      <c r="AH215" s="377"/>
    </row>
    <row r="216" spans="1:34" ht="18.75" x14ac:dyDescent="0.25">
      <c r="A216" s="53" t="s">
        <v>114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91"/>
      <c r="AG216" s="100">
        <f t="shared" ref="AG216:AG218" si="34">SUM(B216:AF216)</f>
        <v>0</v>
      </c>
      <c r="AH216" s="377"/>
    </row>
    <row r="217" spans="1:34" ht="18.75" x14ac:dyDescent="0.25">
      <c r="A217" s="53" t="s">
        <v>115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91"/>
      <c r="AG217" s="100">
        <f t="shared" si="34"/>
        <v>0</v>
      </c>
      <c r="AH217" s="377"/>
    </row>
    <row r="218" spans="1:34" ht="18.75" x14ac:dyDescent="0.25">
      <c r="A218" s="53" t="s">
        <v>116</v>
      </c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91"/>
      <c r="AG218" s="100">
        <f t="shared" si="34"/>
        <v>0</v>
      </c>
      <c r="AH218" s="377"/>
    </row>
    <row r="219" spans="1:34" ht="18.75" x14ac:dyDescent="0.25">
      <c r="A219" s="53" t="s">
        <v>117</v>
      </c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91"/>
      <c r="AG219" s="100">
        <f t="shared" si="28"/>
        <v>0</v>
      </c>
      <c r="AH219" s="377"/>
    </row>
    <row r="220" spans="1:34" ht="18.75" x14ac:dyDescent="0.25">
      <c r="A220" s="43" t="s">
        <v>150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377"/>
    </row>
    <row r="221" spans="1:34" ht="18.75" x14ac:dyDescent="0.25">
      <c r="A221" s="43" t="s">
        <v>78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25"/>
      <c r="AG221" s="99">
        <f t="shared" si="28"/>
        <v>0</v>
      </c>
      <c r="AH221" s="377"/>
    </row>
    <row r="222" spans="1:34" ht="19.5" thickBot="1" x14ac:dyDescent="0.3">
      <c r="A222" s="43" t="s">
        <v>79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25"/>
      <c r="AG222" s="99">
        <f t="shared" si="28"/>
        <v>0</v>
      </c>
      <c r="AH222" s="378"/>
    </row>
    <row r="223" spans="1:34" ht="24" thickBot="1" x14ac:dyDescent="0.3">
      <c r="A223" s="62" t="s">
        <v>118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6"/>
      <c r="AG223" s="99">
        <f t="shared" si="28"/>
        <v>0</v>
      </c>
      <c r="AH223" s="36"/>
    </row>
    <row r="224" spans="1:34" ht="18.75" x14ac:dyDescent="0.25">
      <c r="A224" s="57" t="s">
        <v>90</v>
      </c>
      <c r="B224" s="27">
        <v>19</v>
      </c>
      <c r="C224" s="27">
        <v>18</v>
      </c>
      <c r="D224" s="27">
        <v>33</v>
      </c>
      <c r="E224" s="27">
        <v>27</v>
      </c>
      <c r="F224" s="27">
        <v>37</v>
      </c>
      <c r="G224" s="27">
        <v>32</v>
      </c>
      <c r="H224" s="27">
        <v>23</v>
      </c>
      <c r="I224" s="27">
        <v>14</v>
      </c>
      <c r="J224" s="27">
        <v>16</v>
      </c>
      <c r="K224" s="27">
        <v>27</v>
      </c>
      <c r="L224" s="27">
        <v>24</v>
      </c>
      <c r="M224" s="27">
        <v>30</v>
      </c>
      <c r="N224" s="27">
        <v>35</v>
      </c>
      <c r="O224" s="27">
        <v>18</v>
      </c>
      <c r="P224" s="27">
        <v>12</v>
      </c>
      <c r="Q224" s="27">
        <v>16</v>
      </c>
      <c r="R224" s="27">
        <v>39</v>
      </c>
      <c r="S224" s="27">
        <v>17</v>
      </c>
      <c r="T224" s="27">
        <v>31</v>
      </c>
      <c r="U224" s="27">
        <v>38</v>
      </c>
      <c r="V224" s="27">
        <v>31</v>
      </c>
      <c r="W224" s="27">
        <v>8</v>
      </c>
      <c r="X224" s="27">
        <v>19</v>
      </c>
      <c r="Y224" s="27">
        <v>34</v>
      </c>
      <c r="Z224" s="27">
        <v>28</v>
      </c>
      <c r="AA224" s="27">
        <v>33</v>
      </c>
      <c r="AB224" s="27">
        <v>33</v>
      </c>
      <c r="AC224" s="27">
        <v>11</v>
      </c>
      <c r="AD224" s="27">
        <v>18</v>
      </c>
      <c r="AE224" s="27">
        <v>11</v>
      </c>
      <c r="AF224" s="92"/>
      <c r="AG224" s="31">
        <f t="shared" ref="AG224:AG237" si="35">SUM(B224:AF224)</f>
        <v>732</v>
      </c>
      <c r="AH224" s="379" t="s">
        <v>96</v>
      </c>
    </row>
    <row r="225" spans="1:34" ht="18.75" x14ac:dyDescent="0.25">
      <c r="A225" s="54" t="s">
        <v>91</v>
      </c>
      <c r="B225" s="40"/>
      <c r="C225" s="40">
        <v>0.33333333333333331</v>
      </c>
      <c r="D225" s="40">
        <v>0.33333333333333331</v>
      </c>
      <c r="E225" s="40">
        <v>0.33333333333333331</v>
      </c>
      <c r="F225" s="40">
        <v>0.33333333333333331</v>
      </c>
      <c r="G225" s="40">
        <v>0.33333333333333331</v>
      </c>
      <c r="H225" s="40"/>
      <c r="I225" s="40"/>
      <c r="J225" s="40">
        <v>0.33333333333333331</v>
      </c>
      <c r="K225" s="40">
        <v>0.33333333333333331</v>
      </c>
      <c r="L225" s="40">
        <v>0.33333333333333331</v>
      </c>
      <c r="M225" s="40">
        <v>0.33333333333333331</v>
      </c>
      <c r="N225" s="40">
        <v>0.33333333333333331</v>
      </c>
      <c r="O225" s="40"/>
      <c r="P225" s="40"/>
      <c r="Q225" s="40">
        <v>0.33333333333333331</v>
      </c>
      <c r="R225" s="40">
        <v>0.33333333333333331</v>
      </c>
      <c r="S225" s="40">
        <v>0.33333333333333331</v>
      </c>
      <c r="T225" s="40">
        <v>0.33333333333333331</v>
      </c>
      <c r="U225" s="40">
        <v>0.33333333333333331</v>
      </c>
      <c r="V225" s="40"/>
      <c r="W225" s="40"/>
      <c r="X225" s="40">
        <v>0.33333333333333331</v>
      </c>
      <c r="Y225" s="40">
        <v>0.33333333333333331</v>
      </c>
      <c r="Z225" s="40">
        <v>0.33333333333333331</v>
      </c>
      <c r="AA225" s="40">
        <v>0.33333333333333331</v>
      </c>
      <c r="AB225" s="40">
        <v>0.33333333333333331</v>
      </c>
      <c r="AC225" s="40"/>
      <c r="AD225" s="40"/>
      <c r="AE225" s="40">
        <v>0.33333333333333331</v>
      </c>
      <c r="AF225" s="93"/>
      <c r="AG225" s="99">
        <f t="shared" si="35"/>
        <v>6.9999999999999973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/>
      <c r="AG226" s="28">
        <f t="shared" si="35"/>
        <v>0</v>
      </c>
      <c r="AH226" s="381"/>
    </row>
    <row r="227" spans="1:34" ht="18.75" x14ac:dyDescent="0.25">
      <c r="A227" s="55" t="s">
        <v>92</v>
      </c>
      <c r="B227" s="118">
        <v>6</v>
      </c>
      <c r="C227" s="118">
        <v>3</v>
      </c>
      <c r="D227" s="118">
        <v>5</v>
      </c>
      <c r="E227" s="118">
        <v>0</v>
      </c>
      <c r="F227" s="118">
        <v>9</v>
      </c>
      <c r="G227" s="118">
        <v>1</v>
      </c>
      <c r="H227" s="118">
        <v>4</v>
      </c>
      <c r="I227" s="118">
        <v>8</v>
      </c>
      <c r="J227" s="118">
        <v>5</v>
      </c>
      <c r="K227" s="118">
        <v>3</v>
      </c>
      <c r="L227" s="118">
        <v>2</v>
      </c>
      <c r="M227" s="118">
        <v>3</v>
      </c>
      <c r="N227" s="118">
        <v>6</v>
      </c>
      <c r="O227" s="118">
        <v>4</v>
      </c>
      <c r="P227" s="118">
        <v>5</v>
      </c>
      <c r="Q227" s="118">
        <v>7</v>
      </c>
      <c r="R227" s="118">
        <v>3</v>
      </c>
      <c r="S227" s="118">
        <v>2</v>
      </c>
      <c r="T227" s="118">
        <v>1</v>
      </c>
      <c r="U227" s="118">
        <v>0</v>
      </c>
      <c r="V227" s="118">
        <v>4</v>
      </c>
      <c r="W227" s="118">
        <v>5</v>
      </c>
      <c r="X227" s="118">
        <v>8</v>
      </c>
      <c r="Y227" s="118">
        <v>5</v>
      </c>
      <c r="Z227" s="118">
        <v>5</v>
      </c>
      <c r="AA227" s="118">
        <v>2</v>
      </c>
      <c r="AB227" s="118">
        <v>7</v>
      </c>
      <c r="AC227" s="118">
        <v>7</v>
      </c>
      <c r="AD227" s="118">
        <v>3</v>
      </c>
      <c r="AE227" s="118">
        <v>7</v>
      </c>
      <c r="AF227" s="118"/>
      <c r="AG227" s="95">
        <f t="shared" si="35"/>
        <v>130</v>
      </c>
      <c r="AH227" s="379" t="s">
        <v>93</v>
      </c>
    </row>
    <row r="228" spans="1:34" ht="18.75" x14ac:dyDescent="0.25">
      <c r="A228" s="139" t="s">
        <v>94</v>
      </c>
      <c r="B228" s="140">
        <v>2</v>
      </c>
      <c r="C228" s="140">
        <v>0</v>
      </c>
      <c r="D228" s="140">
        <v>3</v>
      </c>
      <c r="E228" s="140">
        <v>0</v>
      </c>
      <c r="F228" s="140">
        <v>2</v>
      </c>
      <c r="G228" s="140">
        <v>1</v>
      </c>
      <c r="H228" s="140">
        <v>2</v>
      </c>
      <c r="I228" s="140">
        <v>3</v>
      </c>
      <c r="J228" s="140">
        <v>3</v>
      </c>
      <c r="K228" s="140">
        <v>2</v>
      </c>
      <c r="L228" s="140">
        <v>1</v>
      </c>
      <c r="M228" s="140">
        <v>1</v>
      </c>
      <c r="N228" s="145">
        <v>0</v>
      </c>
      <c r="O228" s="140">
        <v>4</v>
      </c>
      <c r="P228" s="140">
        <v>2</v>
      </c>
      <c r="Q228" s="140">
        <v>4</v>
      </c>
      <c r="R228" s="140">
        <v>0</v>
      </c>
      <c r="S228" s="140">
        <v>0</v>
      </c>
      <c r="T228" s="140">
        <v>0</v>
      </c>
      <c r="U228" s="140">
        <v>0</v>
      </c>
      <c r="V228" s="140">
        <v>2</v>
      </c>
      <c r="W228" s="140">
        <v>1</v>
      </c>
      <c r="X228" s="140">
        <v>3</v>
      </c>
      <c r="Y228" s="140">
        <v>2</v>
      </c>
      <c r="Z228" s="142">
        <v>3</v>
      </c>
      <c r="AA228" s="140">
        <v>1</v>
      </c>
      <c r="AB228" s="140">
        <v>3</v>
      </c>
      <c r="AC228" s="140">
        <v>1</v>
      </c>
      <c r="AD228" s="140">
        <v>0</v>
      </c>
      <c r="AE228" s="140">
        <v>4</v>
      </c>
      <c r="AF228" s="144"/>
      <c r="AG228" s="143">
        <f t="shared" si="35"/>
        <v>50</v>
      </c>
      <c r="AH228" s="380"/>
    </row>
    <row r="229" spans="1:34" ht="18.75" x14ac:dyDescent="0.25">
      <c r="A229" s="139" t="s">
        <v>95</v>
      </c>
      <c r="B229" s="140">
        <v>4</v>
      </c>
      <c r="C229" s="140">
        <v>3</v>
      </c>
      <c r="D229" s="140">
        <v>2</v>
      </c>
      <c r="E229" s="140">
        <v>0</v>
      </c>
      <c r="F229" s="140">
        <v>7</v>
      </c>
      <c r="G229" s="140">
        <v>0</v>
      </c>
      <c r="H229" s="140">
        <v>2</v>
      </c>
      <c r="I229" s="140">
        <v>5</v>
      </c>
      <c r="J229" s="140">
        <v>2</v>
      </c>
      <c r="K229" s="140">
        <v>1</v>
      </c>
      <c r="L229" s="140">
        <v>1</v>
      </c>
      <c r="M229" s="140">
        <v>3</v>
      </c>
      <c r="N229" s="145">
        <v>6</v>
      </c>
      <c r="O229" s="140">
        <v>0</v>
      </c>
      <c r="P229" s="140">
        <v>3</v>
      </c>
      <c r="Q229" s="140">
        <v>3</v>
      </c>
      <c r="R229" s="140">
        <v>3</v>
      </c>
      <c r="S229" s="140">
        <v>2</v>
      </c>
      <c r="T229" s="140">
        <v>1</v>
      </c>
      <c r="U229" s="140">
        <v>0</v>
      </c>
      <c r="V229" s="140">
        <v>2</v>
      </c>
      <c r="W229" s="140">
        <v>4</v>
      </c>
      <c r="X229" s="140">
        <v>5</v>
      </c>
      <c r="Y229" s="140">
        <v>3</v>
      </c>
      <c r="Z229" s="142">
        <v>2</v>
      </c>
      <c r="AA229" s="140">
        <v>1</v>
      </c>
      <c r="AB229" s="140">
        <v>4</v>
      </c>
      <c r="AC229" s="140">
        <v>6</v>
      </c>
      <c r="AD229" s="140">
        <v>3</v>
      </c>
      <c r="AE229" s="140">
        <v>3</v>
      </c>
      <c r="AF229" s="144"/>
      <c r="AG229" s="143">
        <f t="shared" si="35"/>
        <v>81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5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36">SUM(C232:C237)</f>
        <v>0</v>
      </c>
      <c r="D231" s="199">
        <f t="shared" si="36"/>
        <v>0</v>
      </c>
      <c r="E231" s="199">
        <f t="shared" si="36"/>
        <v>0</v>
      </c>
      <c r="F231" s="199">
        <f t="shared" si="36"/>
        <v>0</v>
      </c>
      <c r="G231" s="199">
        <f t="shared" si="36"/>
        <v>0</v>
      </c>
      <c r="H231" s="199">
        <f t="shared" si="36"/>
        <v>0</v>
      </c>
      <c r="I231" s="199">
        <f t="shared" si="36"/>
        <v>0</v>
      </c>
      <c r="J231" s="199">
        <f t="shared" si="36"/>
        <v>0</v>
      </c>
      <c r="K231" s="199">
        <f t="shared" si="36"/>
        <v>0</v>
      </c>
      <c r="L231" s="199">
        <f t="shared" si="36"/>
        <v>0</v>
      </c>
      <c r="M231" s="199">
        <f t="shared" si="36"/>
        <v>0</v>
      </c>
      <c r="N231" s="199">
        <f t="shared" si="36"/>
        <v>0</v>
      </c>
      <c r="O231" s="199">
        <f t="shared" si="36"/>
        <v>0</v>
      </c>
      <c r="P231" s="199">
        <f t="shared" si="36"/>
        <v>0</v>
      </c>
      <c r="Q231" s="199">
        <f t="shared" si="36"/>
        <v>0</v>
      </c>
      <c r="R231" s="199">
        <f t="shared" si="36"/>
        <v>0</v>
      </c>
      <c r="S231" s="199">
        <f t="shared" si="36"/>
        <v>0</v>
      </c>
      <c r="T231" s="199">
        <f t="shared" si="36"/>
        <v>0</v>
      </c>
      <c r="U231" s="199">
        <f t="shared" si="36"/>
        <v>0</v>
      </c>
      <c r="V231" s="199">
        <f t="shared" si="36"/>
        <v>0</v>
      </c>
      <c r="W231" s="199">
        <f t="shared" si="36"/>
        <v>0</v>
      </c>
      <c r="X231" s="199">
        <f t="shared" si="36"/>
        <v>0</v>
      </c>
      <c r="Y231" s="199">
        <f t="shared" si="36"/>
        <v>0</v>
      </c>
      <c r="Z231" s="199">
        <f t="shared" si="36"/>
        <v>0</v>
      </c>
      <c r="AA231" s="199">
        <f t="shared" si="36"/>
        <v>0</v>
      </c>
      <c r="AB231" s="199">
        <f t="shared" si="36"/>
        <v>0</v>
      </c>
      <c r="AC231" s="199">
        <f t="shared" si="36"/>
        <v>0</v>
      </c>
      <c r="AD231" s="199">
        <f t="shared" si="36"/>
        <v>0</v>
      </c>
      <c r="AE231" s="199">
        <f t="shared" si="36"/>
        <v>0</v>
      </c>
      <c r="AF231" s="200">
        <f t="shared" si="36"/>
        <v>0</v>
      </c>
      <c r="AG231" s="201">
        <f t="shared" si="35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35"/>
        <v>0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35"/>
        <v>0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35"/>
        <v>0</v>
      </c>
    </row>
    <row r="238" spans="1:34" s="357" customFormat="1" ht="21.75" x14ac:dyDescent="0.25">
      <c r="A238" s="225" t="s">
        <v>151</v>
      </c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  <c r="AB238" s="226"/>
      <c r="AC238" s="226"/>
      <c r="AD238" s="226"/>
      <c r="AE238" s="226"/>
      <c r="AF238" s="226"/>
      <c r="AG238" s="227"/>
    </row>
    <row r="239" spans="1:34" s="357" customFormat="1" ht="22.5" thickBot="1" x14ac:dyDescent="0.3">
      <c r="A239" s="228" t="s">
        <v>152</v>
      </c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30"/>
    </row>
    <row r="240" spans="1:34" s="357" customFormat="1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s="357" customFormat="1" ht="23.25" x14ac:dyDescent="0.35">
      <c r="A241" s="253" t="s">
        <v>72</v>
      </c>
      <c r="B241" s="254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6"/>
      <c r="AG241" s="257" t="e">
        <f>AVERAGE(B241:AF241)</f>
        <v>#DIV/0!</v>
      </c>
    </row>
    <row r="242" spans="1:33" s="357" customFormat="1" ht="23.25" x14ac:dyDescent="0.35">
      <c r="A242" s="253" t="s">
        <v>73</v>
      </c>
      <c r="B242" s="258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60"/>
      <c r="AG242" s="261" t="e">
        <f>AVERAGE(B242:AF242)</f>
        <v>#DIV/0!</v>
      </c>
    </row>
    <row r="243" spans="1:33" s="357" customFormat="1" ht="23.25" x14ac:dyDescent="0.35">
      <c r="A243" s="253" t="s">
        <v>74</v>
      </c>
      <c r="B243" s="258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60"/>
      <c r="AG243" s="261" t="e">
        <f>AVERAGE(B243:AF243)</f>
        <v>#DIV/0!</v>
      </c>
    </row>
    <row r="244" spans="1:33" s="357" customFormat="1" ht="23.25" x14ac:dyDescent="0.35">
      <c r="A244" s="253" t="s">
        <v>75</v>
      </c>
      <c r="B244" s="258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60"/>
      <c r="AG244" s="261" t="e">
        <f>AVERAGE(B244:AF244)</f>
        <v>#DIV/0!</v>
      </c>
    </row>
    <row r="245" spans="1:33" s="357" customFormat="1" ht="24" thickBot="1" x14ac:dyDescent="0.4">
      <c r="A245" s="262" t="s">
        <v>76</v>
      </c>
      <c r="B245" s="263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5"/>
      <c r="AG245" s="266" t="e">
        <f>AVERAGE(B245:AF245)</f>
        <v>#DIV/0!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73" priority="7" operator="lessThan">
      <formula>0</formula>
    </cfRule>
  </conditionalFormatting>
  <conditionalFormatting sqref="D54:D77">
    <cfRule type="cellIs" dxfId="72" priority="3" operator="lessThan">
      <formula>0</formula>
    </cfRule>
  </conditionalFormatting>
  <conditionalFormatting sqref="G54:G77">
    <cfRule type="cellIs" dxfId="71" priority="2" operator="lessThan">
      <formula>0</formula>
    </cfRule>
  </conditionalFormatting>
  <conditionalFormatting sqref="V54:V77">
    <cfRule type="cellIs" dxfId="70" priority="1" operator="lessThan">
      <formula>0</formula>
    </cfRule>
  </conditionalFormatting>
  <conditionalFormatting sqref="AH81">
    <cfRule type="cellIs" dxfId="69" priority="5" operator="equal">
      <formula>"*"</formula>
    </cfRule>
  </conditionalFormatting>
  <conditionalFormatting sqref="AH84 AH87">
    <cfRule type="cellIs" dxfId="68" priority="6" operator="equal">
      <formula>"*"</formula>
    </cfRule>
  </conditionalFormatting>
  <conditionalFormatting sqref="AH93">
    <cfRule type="cellIs" dxfId="67" priority="11" operator="equal">
      <formula>"*"</formula>
    </cfRule>
  </conditionalFormatting>
  <conditionalFormatting sqref="AH130">
    <cfRule type="cellIs" dxfId="66" priority="9" operator="equal">
      <formula>"*"</formula>
    </cfRule>
  </conditionalFormatting>
  <conditionalFormatting sqref="AH144:AH145">
    <cfRule type="cellIs" dxfId="65" priority="10" operator="equal">
      <formula>"*"</formula>
    </cfRule>
  </conditionalFormatting>
  <conditionalFormatting sqref="AH179">
    <cfRule type="cellIs" dxfId="64" priority="8" operator="equal">
      <formula>"*"</formula>
    </cfRule>
  </conditionalFormatting>
  <conditionalFormatting sqref="AH204">
    <cfRule type="cellIs" dxfId="63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8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75"/>
  <sheetViews>
    <sheetView zoomScale="80" zoomScaleNormal="80" workbookViewId="0">
      <pane xSplit="1" ySplit="3" topLeftCell="I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121</v>
      </c>
      <c r="B2" s="234">
        <v>1</v>
      </c>
      <c r="C2" s="234">
        <f t="shared" ref="C2:AA2" si="0">+B2+1</f>
        <v>2</v>
      </c>
      <c r="D2" s="234">
        <f t="shared" si="0"/>
        <v>3</v>
      </c>
      <c r="E2" s="234">
        <f t="shared" si="0"/>
        <v>4</v>
      </c>
      <c r="F2" s="234">
        <f t="shared" si="0"/>
        <v>5</v>
      </c>
      <c r="G2" s="106">
        <f t="shared" si="0"/>
        <v>6</v>
      </c>
      <c r="H2" s="106">
        <f t="shared" si="0"/>
        <v>7</v>
      </c>
      <c r="I2" s="234">
        <f t="shared" si="0"/>
        <v>8</v>
      </c>
      <c r="J2" s="234">
        <f t="shared" si="0"/>
        <v>9</v>
      </c>
      <c r="K2" s="234">
        <f t="shared" si="0"/>
        <v>10</v>
      </c>
      <c r="L2" s="234">
        <f t="shared" si="0"/>
        <v>11</v>
      </c>
      <c r="M2" s="234">
        <f t="shared" si="0"/>
        <v>12</v>
      </c>
      <c r="N2" s="106">
        <f t="shared" si="0"/>
        <v>13</v>
      </c>
      <c r="O2" s="106">
        <f t="shared" si="0"/>
        <v>14</v>
      </c>
      <c r="P2" s="234">
        <f t="shared" si="0"/>
        <v>15</v>
      </c>
      <c r="Q2" s="106">
        <f t="shared" si="0"/>
        <v>16</v>
      </c>
      <c r="R2" s="234">
        <f t="shared" si="0"/>
        <v>17</v>
      </c>
      <c r="S2" s="234">
        <f t="shared" si="0"/>
        <v>18</v>
      </c>
      <c r="T2" s="234">
        <f t="shared" si="0"/>
        <v>19</v>
      </c>
      <c r="U2" s="106">
        <f t="shared" si="0"/>
        <v>20</v>
      </c>
      <c r="V2" s="106">
        <f t="shared" si="0"/>
        <v>21</v>
      </c>
      <c r="W2" s="234">
        <f t="shared" si="0"/>
        <v>22</v>
      </c>
      <c r="X2" s="234">
        <f t="shared" si="0"/>
        <v>23</v>
      </c>
      <c r="Y2" s="234">
        <f t="shared" si="0"/>
        <v>24</v>
      </c>
      <c r="Z2" s="234">
        <f t="shared" si="0"/>
        <v>25</v>
      </c>
      <c r="AA2" s="234">
        <f t="shared" si="0"/>
        <v>26</v>
      </c>
      <c r="AB2" s="106">
        <v>27</v>
      </c>
      <c r="AC2" s="106">
        <f>+AB2+1</f>
        <v>28</v>
      </c>
      <c r="AD2" s="234">
        <v>29</v>
      </c>
      <c r="AE2" s="234">
        <v>30</v>
      </c>
      <c r="AF2" s="234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175</v>
      </c>
      <c r="C3" s="135">
        <f t="shared" si="1"/>
        <v>128</v>
      </c>
      <c r="D3" s="135">
        <f t="shared" si="1"/>
        <v>164</v>
      </c>
      <c r="E3" s="135">
        <f t="shared" si="1"/>
        <v>167</v>
      </c>
      <c r="F3" s="135">
        <f t="shared" si="1"/>
        <v>165</v>
      </c>
      <c r="G3" s="135">
        <f t="shared" si="1"/>
        <v>247</v>
      </c>
      <c r="H3" s="135">
        <f t="shared" si="1"/>
        <v>241</v>
      </c>
      <c r="I3" s="135">
        <f t="shared" si="1"/>
        <v>205</v>
      </c>
      <c r="J3" s="135">
        <f t="shared" si="1"/>
        <v>154</v>
      </c>
      <c r="K3" s="135">
        <f t="shared" si="1"/>
        <v>133</v>
      </c>
      <c r="L3" s="135">
        <f t="shared" si="1"/>
        <v>155</v>
      </c>
      <c r="M3" s="135">
        <f t="shared" si="1"/>
        <v>159</v>
      </c>
      <c r="N3" s="135">
        <f t="shared" si="1"/>
        <v>243</v>
      </c>
      <c r="O3" s="135">
        <f t="shared" si="1"/>
        <v>232</v>
      </c>
      <c r="P3" s="135">
        <f t="shared" si="1"/>
        <v>187</v>
      </c>
      <c r="Q3" s="135">
        <f t="shared" si="1"/>
        <v>204</v>
      </c>
      <c r="R3" s="135">
        <f t="shared" si="1"/>
        <v>150</v>
      </c>
      <c r="S3" s="135">
        <f t="shared" si="1"/>
        <v>155</v>
      </c>
      <c r="T3" s="135">
        <f t="shared" si="1"/>
        <v>150</v>
      </c>
      <c r="U3" s="135">
        <f t="shared" si="1"/>
        <v>218</v>
      </c>
      <c r="V3" s="135">
        <f t="shared" si="1"/>
        <v>215</v>
      </c>
      <c r="W3" s="135">
        <f t="shared" si="1"/>
        <v>142</v>
      </c>
      <c r="X3" s="135">
        <f t="shared" si="1"/>
        <v>149</v>
      </c>
      <c r="Y3" s="135">
        <f t="shared" si="1"/>
        <v>155</v>
      </c>
      <c r="Z3" s="135">
        <f t="shared" si="1"/>
        <v>135</v>
      </c>
      <c r="AA3" s="135">
        <f t="shared" si="1"/>
        <v>130</v>
      </c>
      <c r="AB3" s="135">
        <f t="shared" si="1"/>
        <v>224</v>
      </c>
      <c r="AC3" s="135">
        <f t="shared" si="1"/>
        <v>201</v>
      </c>
      <c r="AD3" s="135">
        <f t="shared" si="1"/>
        <v>178</v>
      </c>
      <c r="AE3" s="135">
        <f t="shared" si="1"/>
        <v>167</v>
      </c>
      <c r="AF3" s="135">
        <f t="shared" si="1"/>
        <v>150</v>
      </c>
      <c r="AG3" s="187">
        <f>SUM(B3:AF3)</f>
        <v>5478</v>
      </c>
    </row>
    <row r="4" spans="1:33" ht="18.75" x14ac:dyDescent="0.25">
      <c r="A4" s="113" t="s">
        <v>54</v>
      </c>
      <c r="B4" s="114"/>
      <c r="C4" s="114"/>
      <c r="D4" s="114"/>
      <c r="E4" s="114"/>
      <c r="F4" s="114"/>
      <c r="G4" s="114"/>
      <c r="H4" s="114">
        <v>6</v>
      </c>
      <c r="I4" s="114"/>
      <c r="J4" s="114"/>
      <c r="K4" s="114"/>
      <c r="L4" s="114"/>
      <c r="M4" s="114"/>
      <c r="N4" s="114">
        <v>6</v>
      </c>
      <c r="O4" s="114">
        <v>2</v>
      </c>
      <c r="P4" s="114"/>
      <c r="Q4" s="114">
        <v>1</v>
      </c>
      <c r="R4" s="114"/>
      <c r="S4" s="114"/>
      <c r="T4" s="114"/>
      <c r="U4" s="114">
        <v>9</v>
      </c>
      <c r="V4" s="114">
        <v>6</v>
      </c>
      <c r="W4" s="114"/>
      <c r="X4" s="114"/>
      <c r="Y4" s="114"/>
      <c r="Z4" s="114"/>
      <c r="AA4" s="114"/>
      <c r="AB4" s="114">
        <v>3</v>
      </c>
      <c r="AC4" s="114">
        <v>2</v>
      </c>
      <c r="AD4" s="114"/>
      <c r="AE4" s="114"/>
      <c r="AF4" s="115"/>
      <c r="AG4" s="132">
        <f t="shared" ref="AG4:AG83" si="2">SUM(B4:AF4)</f>
        <v>35</v>
      </c>
    </row>
    <row r="5" spans="1:33" ht="18.75" x14ac:dyDescent="0.25">
      <c r="A5" s="41" t="s">
        <v>55</v>
      </c>
      <c r="B5" s="7"/>
      <c r="C5" s="7"/>
      <c r="D5" s="7"/>
      <c r="E5" s="7"/>
      <c r="F5" s="7"/>
      <c r="G5" s="7">
        <v>9</v>
      </c>
      <c r="H5" s="7">
        <v>15</v>
      </c>
      <c r="I5" s="7"/>
      <c r="J5" s="7"/>
      <c r="K5" s="7"/>
      <c r="L5" s="7"/>
      <c r="M5" s="7"/>
      <c r="N5" s="7">
        <v>7</v>
      </c>
      <c r="O5" s="7">
        <v>11</v>
      </c>
      <c r="P5" s="7"/>
      <c r="Q5" s="7">
        <v>14</v>
      </c>
      <c r="R5" s="7"/>
      <c r="S5" s="7"/>
      <c r="T5" s="7"/>
      <c r="U5" s="7">
        <v>24</v>
      </c>
      <c r="V5" s="7">
        <v>13</v>
      </c>
      <c r="W5" s="7"/>
      <c r="X5" s="7"/>
      <c r="Y5" s="7"/>
      <c r="Z5" s="7"/>
      <c r="AA5" s="7"/>
      <c r="AB5" s="7">
        <v>12</v>
      </c>
      <c r="AC5" s="7">
        <v>9</v>
      </c>
      <c r="AD5" s="7"/>
      <c r="AE5" s="7"/>
      <c r="AF5" s="8"/>
      <c r="AG5" s="4">
        <f t="shared" si="2"/>
        <v>114</v>
      </c>
    </row>
    <row r="6" spans="1:33" ht="18.75" x14ac:dyDescent="0.25">
      <c r="A6" s="41" t="s">
        <v>56</v>
      </c>
      <c r="B6" s="7"/>
      <c r="C6" s="7"/>
      <c r="D6" s="7"/>
      <c r="E6" s="7"/>
      <c r="F6" s="7"/>
      <c r="G6" s="7">
        <v>16</v>
      </c>
      <c r="H6" s="7">
        <v>12</v>
      </c>
      <c r="I6" s="7"/>
      <c r="J6" s="7"/>
      <c r="K6" s="7"/>
      <c r="L6" s="7"/>
      <c r="M6" s="7"/>
      <c r="N6" s="7">
        <v>16</v>
      </c>
      <c r="O6" s="7">
        <v>13</v>
      </c>
      <c r="P6" s="7"/>
      <c r="Q6" s="7">
        <v>7</v>
      </c>
      <c r="R6" s="7"/>
      <c r="S6" s="7"/>
      <c r="T6" s="7"/>
      <c r="U6" s="7">
        <v>8</v>
      </c>
      <c r="V6" s="7">
        <v>17</v>
      </c>
      <c r="W6" s="7"/>
      <c r="X6" s="7"/>
      <c r="Y6" s="7"/>
      <c r="Z6" s="7"/>
      <c r="AA6" s="7"/>
      <c r="AB6" s="7">
        <v>9</v>
      </c>
      <c r="AC6" s="7">
        <v>13</v>
      </c>
      <c r="AD6" s="7"/>
      <c r="AE6" s="7"/>
      <c r="AF6" s="8"/>
      <c r="AG6" s="4">
        <f t="shared" si="2"/>
        <v>111</v>
      </c>
    </row>
    <row r="7" spans="1:33" ht="18.75" x14ac:dyDescent="0.25">
      <c r="A7" s="41" t="s">
        <v>38</v>
      </c>
      <c r="B7" s="7"/>
      <c r="C7" s="7"/>
      <c r="D7" s="7"/>
      <c r="E7" s="7"/>
      <c r="F7" s="7"/>
      <c r="G7" s="7">
        <v>10</v>
      </c>
      <c r="H7" s="7">
        <v>14</v>
      </c>
      <c r="I7" s="7"/>
      <c r="J7" s="7"/>
      <c r="K7" s="7"/>
      <c r="L7" s="7"/>
      <c r="M7" s="7"/>
      <c r="N7" s="7">
        <v>24</v>
      </c>
      <c r="O7" s="7">
        <v>17</v>
      </c>
      <c r="P7" s="7"/>
      <c r="Q7" s="7">
        <v>16</v>
      </c>
      <c r="R7" s="7"/>
      <c r="S7" s="7"/>
      <c r="T7" s="7"/>
      <c r="U7" s="7">
        <v>22</v>
      </c>
      <c r="V7" s="7">
        <v>19</v>
      </c>
      <c r="W7" s="7"/>
      <c r="X7" s="7"/>
      <c r="Y7" s="7"/>
      <c r="Z7" s="7"/>
      <c r="AA7" s="7"/>
      <c r="AB7" s="7">
        <v>17</v>
      </c>
      <c r="AC7" s="7">
        <v>10</v>
      </c>
      <c r="AD7" s="7"/>
      <c r="AE7" s="7"/>
      <c r="AF7" s="8"/>
      <c r="AG7" s="4">
        <f t="shared" si="2"/>
        <v>149</v>
      </c>
    </row>
    <row r="8" spans="1:33" ht="18.75" x14ac:dyDescent="0.25">
      <c r="A8" s="41" t="s">
        <v>39</v>
      </c>
      <c r="B8" s="7"/>
      <c r="C8" s="7"/>
      <c r="D8" s="7"/>
      <c r="E8" s="7"/>
      <c r="F8" s="7"/>
      <c r="G8" s="7">
        <v>15</v>
      </c>
      <c r="H8" s="7">
        <v>12</v>
      </c>
      <c r="I8" s="7"/>
      <c r="J8" s="7"/>
      <c r="K8" s="7"/>
      <c r="L8" s="7"/>
      <c r="M8" s="7"/>
      <c r="N8" s="7">
        <v>14</v>
      </c>
      <c r="O8" s="7">
        <v>18</v>
      </c>
      <c r="P8" s="7">
        <v>1</v>
      </c>
      <c r="Q8" s="7">
        <v>21</v>
      </c>
      <c r="R8" s="7">
        <v>1</v>
      </c>
      <c r="S8" s="7"/>
      <c r="T8" s="7"/>
      <c r="U8" s="7">
        <v>15</v>
      </c>
      <c r="V8" s="7">
        <v>20</v>
      </c>
      <c r="W8" s="7"/>
      <c r="X8" s="7"/>
      <c r="Y8" s="7"/>
      <c r="Z8" s="7"/>
      <c r="AA8" s="7"/>
      <c r="AB8" s="7">
        <v>19</v>
      </c>
      <c r="AC8" s="7">
        <v>10</v>
      </c>
      <c r="AD8" s="7"/>
      <c r="AE8" s="7"/>
      <c r="AF8" s="8"/>
      <c r="AG8" s="4">
        <f t="shared" si="2"/>
        <v>146</v>
      </c>
    </row>
    <row r="9" spans="1:33" ht="18.75" x14ac:dyDescent="0.25">
      <c r="A9" s="41" t="s">
        <v>40</v>
      </c>
      <c r="B9" s="7"/>
      <c r="C9" s="7"/>
      <c r="D9" s="7"/>
      <c r="E9" s="7"/>
      <c r="F9" s="7"/>
      <c r="G9" s="7">
        <v>22</v>
      </c>
      <c r="H9" s="7">
        <v>15</v>
      </c>
      <c r="I9" s="7"/>
      <c r="J9" s="7"/>
      <c r="K9" s="7"/>
      <c r="L9" s="7"/>
      <c r="M9" s="7"/>
      <c r="N9" s="7">
        <v>13</v>
      </c>
      <c r="O9" s="7">
        <v>15</v>
      </c>
      <c r="P9" s="7"/>
      <c r="Q9" s="7">
        <v>14</v>
      </c>
      <c r="R9" s="7"/>
      <c r="S9" s="7"/>
      <c r="T9" s="7"/>
      <c r="U9" s="7">
        <v>8</v>
      </c>
      <c r="V9" s="7">
        <v>9</v>
      </c>
      <c r="W9" s="7"/>
      <c r="X9" s="7"/>
      <c r="Y9" s="7"/>
      <c r="Z9" s="7"/>
      <c r="AA9" s="7"/>
      <c r="AB9" s="7">
        <v>12</v>
      </c>
      <c r="AC9" s="7">
        <v>17</v>
      </c>
      <c r="AD9" s="7"/>
      <c r="AE9" s="7"/>
      <c r="AF9" s="8"/>
      <c r="AG9" s="4">
        <f t="shared" si="2"/>
        <v>125</v>
      </c>
    </row>
    <row r="10" spans="1:33" ht="18.75" x14ac:dyDescent="0.25">
      <c r="A10" s="41" t="s">
        <v>41</v>
      </c>
      <c r="B10" s="7"/>
      <c r="C10" s="7"/>
      <c r="D10" s="7"/>
      <c r="E10" s="7"/>
      <c r="F10" s="7"/>
      <c r="G10" s="7">
        <v>14</v>
      </c>
      <c r="H10" s="7">
        <v>12</v>
      </c>
      <c r="I10" s="7"/>
      <c r="J10" s="7"/>
      <c r="K10" s="7"/>
      <c r="L10" s="7"/>
      <c r="M10" s="7"/>
      <c r="N10" s="7">
        <v>18</v>
      </c>
      <c r="O10" s="7">
        <v>12</v>
      </c>
      <c r="P10" s="7"/>
      <c r="Q10" s="7">
        <v>7</v>
      </c>
      <c r="R10" s="7"/>
      <c r="S10" s="7"/>
      <c r="T10" s="7"/>
      <c r="U10" s="7">
        <v>12</v>
      </c>
      <c r="V10" s="7">
        <v>19</v>
      </c>
      <c r="W10" s="7"/>
      <c r="X10" s="7"/>
      <c r="Y10" s="7"/>
      <c r="Z10" s="7"/>
      <c r="AA10" s="7"/>
      <c r="AB10" s="7">
        <v>11</v>
      </c>
      <c r="AC10" s="7">
        <v>18</v>
      </c>
      <c r="AD10" s="7"/>
      <c r="AE10" s="7"/>
      <c r="AF10" s="8"/>
      <c r="AG10" s="4">
        <f t="shared" si="2"/>
        <v>123</v>
      </c>
    </row>
    <row r="11" spans="1:33" ht="18.75" x14ac:dyDescent="0.25">
      <c r="A11" s="41" t="s">
        <v>42</v>
      </c>
      <c r="B11" s="7"/>
      <c r="C11" s="7"/>
      <c r="D11" s="7"/>
      <c r="E11" s="7"/>
      <c r="F11" s="7"/>
      <c r="G11" s="7">
        <v>15</v>
      </c>
      <c r="H11" s="7">
        <v>14</v>
      </c>
      <c r="I11" s="7"/>
      <c r="J11" s="7"/>
      <c r="K11" s="7"/>
      <c r="L11" s="7"/>
      <c r="M11" s="7"/>
      <c r="N11" s="7">
        <v>13</v>
      </c>
      <c r="O11" s="7">
        <v>25</v>
      </c>
      <c r="P11" s="7"/>
      <c r="Q11" s="7">
        <v>14</v>
      </c>
      <c r="R11" s="7"/>
      <c r="S11" s="7"/>
      <c r="T11" s="7"/>
      <c r="U11" s="7">
        <v>12</v>
      </c>
      <c r="V11" s="7">
        <v>12</v>
      </c>
      <c r="W11" s="7"/>
      <c r="X11" s="7"/>
      <c r="Y11" s="7"/>
      <c r="Z11" s="7"/>
      <c r="AA11" s="7"/>
      <c r="AB11" s="7">
        <v>28</v>
      </c>
      <c r="AC11" s="7">
        <v>26</v>
      </c>
      <c r="AD11" s="7"/>
      <c r="AE11" s="7"/>
      <c r="AF11" s="8"/>
      <c r="AG11" s="4">
        <f t="shared" si="2"/>
        <v>159</v>
      </c>
    </row>
    <row r="12" spans="1:33" ht="18.75" x14ac:dyDescent="0.25">
      <c r="A12" s="41" t="s">
        <v>43</v>
      </c>
      <c r="B12" s="7"/>
      <c r="C12" s="7"/>
      <c r="D12" s="7"/>
      <c r="E12" s="7"/>
      <c r="F12" s="7"/>
      <c r="G12" s="7">
        <v>17</v>
      </c>
      <c r="H12" s="7">
        <v>21</v>
      </c>
      <c r="I12" s="7"/>
      <c r="J12" s="7"/>
      <c r="K12" s="7"/>
      <c r="L12" s="7"/>
      <c r="M12" s="7"/>
      <c r="N12" s="7">
        <v>26</v>
      </c>
      <c r="O12" s="7">
        <v>18</v>
      </c>
      <c r="P12" s="7"/>
      <c r="Q12" s="7">
        <v>12</v>
      </c>
      <c r="R12" s="7"/>
      <c r="S12" s="7"/>
      <c r="T12" s="7"/>
      <c r="U12" s="7">
        <v>24</v>
      </c>
      <c r="V12" s="7">
        <v>19</v>
      </c>
      <c r="W12" s="7"/>
      <c r="X12" s="7"/>
      <c r="Y12" s="7"/>
      <c r="Z12" s="7">
        <v>1</v>
      </c>
      <c r="AA12" s="7"/>
      <c r="AB12" s="7">
        <v>18</v>
      </c>
      <c r="AC12" s="7">
        <v>18</v>
      </c>
      <c r="AD12" s="7"/>
      <c r="AE12" s="7"/>
      <c r="AF12" s="8"/>
      <c r="AG12" s="4">
        <f t="shared" si="2"/>
        <v>174</v>
      </c>
    </row>
    <row r="13" spans="1:33" ht="18.75" x14ac:dyDescent="0.25">
      <c r="A13" s="41" t="s">
        <v>44</v>
      </c>
      <c r="B13" s="7">
        <v>61</v>
      </c>
      <c r="C13" s="7">
        <v>55</v>
      </c>
      <c r="D13" s="7">
        <v>68</v>
      </c>
      <c r="E13" s="7">
        <v>66</v>
      </c>
      <c r="F13" s="7">
        <v>55</v>
      </c>
      <c r="G13" s="7">
        <v>25</v>
      </c>
      <c r="H13" s="7">
        <v>20</v>
      </c>
      <c r="I13" s="7">
        <v>76</v>
      </c>
      <c r="J13" s="7">
        <v>56</v>
      </c>
      <c r="K13" s="7">
        <v>52</v>
      </c>
      <c r="L13" s="7">
        <v>60</v>
      </c>
      <c r="M13" s="7">
        <v>60</v>
      </c>
      <c r="N13" s="7">
        <v>24</v>
      </c>
      <c r="O13" s="7">
        <v>28</v>
      </c>
      <c r="P13" s="7">
        <v>69</v>
      </c>
      <c r="Q13" s="7">
        <v>24</v>
      </c>
      <c r="R13" s="7">
        <v>56</v>
      </c>
      <c r="S13" s="7">
        <v>63</v>
      </c>
      <c r="T13" s="7">
        <v>59</v>
      </c>
      <c r="U13" s="7">
        <v>18</v>
      </c>
      <c r="V13" s="7">
        <v>11</v>
      </c>
      <c r="W13" s="7">
        <v>64</v>
      </c>
      <c r="X13" s="7">
        <v>59</v>
      </c>
      <c r="Y13" s="7">
        <v>61</v>
      </c>
      <c r="Z13" s="7">
        <v>42</v>
      </c>
      <c r="AA13" s="7">
        <v>50</v>
      </c>
      <c r="AB13" s="7">
        <v>17</v>
      </c>
      <c r="AC13" s="7">
        <v>15</v>
      </c>
      <c r="AD13" s="7">
        <v>75</v>
      </c>
      <c r="AE13" s="7">
        <v>70</v>
      </c>
      <c r="AF13" s="8">
        <v>58</v>
      </c>
      <c r="AG13" s="4">
        <f t="shared" si="2"/>
        <v>1517</v>
      </c>
    </row>
    <row r="14" spans="1:33" ht="18.75" x14ac:dyDescent="0.25">
      <c r="A14" s="41" t="s">
        <v>45</v>
      </c>
      <c r="B14" s="7">
        <v>23</v>
      </c>
      <c r="C14" s="7">
        <v>19</v>
      </c>
      <c r="D14" s="7">
        <v>19</v>
      </c>
      <c r="E14" s="7">
        <v>23</v>
      </c>
      <c r="F14" s="7">
        <v>17</v>
      </c>
      <c r="G14" s="7">
        <v>19</v>
      </c>
      <c r="H14" s="7">
        <v>16</v>
      </c>
      <c r="I14" s="7">
        <v>31</v>
      </c>
      <c r="J14" s="7">
        <v>21</v>
      </c>
      <c r="K14" s="7">
        <v>13</v>
      </c>
      <c r="L14" s="7">
        <v>16</v>
      </c>
      <c r="M14" s="7">
        <v>18</v>
      </c>
      <c r="N14" s="7">
        <v>16</v>
      </c>
      <c r="O14" s="7">
        <v>12</v>
      </c>
      <c r="P14" s="7">
        <v>25</v>
      </c>
      <c r="Q14" s="7">
        <v>15</v>
      </c>
      <c r="R14" s="7">
        <v>20</v>
      </c>
      <c r="S14" s="7">
        <v>20</v>
      </c>
      <c r="T14" s="7">
        <v>17</v>
      </c>
      <c r="U14" s="7">
        <v>15</v>
      </c>
      <c r="V14" s="7">
        <v>13</v>
      </c>
      <c r="W14" s="7">
        <v>23</v>
      </c>
      <c r="X14" s="7">
        <v>17</v>
      </c>
      <c r="Y14" s="7">
        <v>15</v>
      </c>
      <c r="Z14" s="7">
        <v>14</v>
      </c>
      <c r="AA14" s="7">
        <v>16</v>
      </c>
      <c r="AB14" s="7">
        <v>19</v>
      </c>
      <c r="AC14" s="7">
        <v>19</v>
      </c>
      <c r="AD14" s="7">
        <v>24</v>
      </c>
      <c r="AE14" s="7">
        <v>19</v>
      </c>
      <c r="AF14" s="8">
        <v>13</v>
      </c>
      <c r="AG14" s="4">
        <f t="shared" si="2"/>
        <v>567</v>
      </c>
    </row>
    <row r="15" spans="1:33" ht="18.75" x14ac:dyDescent="0.25">
      <c r="A15" s="41" t="s">
        <v>46</v>
      </c>
      <c r="B15" s="7">
        <v>16</v>
      </c>
      <c r="C15" s="7">
        <v>17</v>
      </c>
      <c r="D15" s="7">
        <v>18</v>
      </c>
      <c r="E15" s="7">
        <v>17</v>
      </c>
      <c r="F15" s="7">
        <v>18</v>
      </c>
      <c r="G15" s="7">
        <v>16</v>
      </c>
      <c r="H15" s="7">
        <v>23</v>
      </c>
      <c r="I15" s="7">
        <v>19</v>
      </c>
      <c r="J15" s="7">
        <v>21</v>
      </c>
      <c r="K15" s="7">
        <v>11</v>
      </c>
      <c r="L15" s="7">
        <v>20</v>
      </c>
      <c r="M15" s="7">
        <v>18</v>
      </c>
      <c r="N15" s="7">
        <v>9</v>
      </c>
      <c r="O15" s="7">
        <v>14</v>
      </c>
      <c r="P15" s="7">
        <v>18</v>
      </c>
      <c r="Q15" s="7">
        <v>18</v>
      </c>
      <c r="R15" s="7">
        <v>22</v>
      </c>
      <c r="S15" s="7">
        <v>17</v>
      </c>
      <c r="T15" s="7">
        <v>16</v>
      </c>
      <c r="U15" s="7">
        <v>8</v>
      </c>
      <c r="V15" s="7">
        <v>18</v>
      </c>
      <c r="W15" s="7">
        <v>18</v>
      </c>
      <c r="X15" s="7">
        <v>22</v>
      </c>
      <c r="Y15" s="7">
        <v>20</v>
      </c>
      <c r="Z15" s="7">
        <v>18</v>
      </c>
      <c r="AA15" s="7">
        <v>12</v>
      </c>
      <c r="AB15" s="7">
        <v>7</v>
      </c>
      <c r="AC15" s="7">
        <v>6</v>
      </c>
      <c r="AD15" s="7">
        <v>18</v>
      </c>
      <c r="AE15" s="7">
        <v>12</v>
      </c>
      <c r="AF15" s="8">
        <v>19</v>
      </c>
      <c r="AG15" s="4">
        <f t="shared" si="2"/>
        <v>506</v>
      </c>
    </row>
    <row r="16" spans="1:33" ht="18.75" x14ac:dyDescent="0.25">
      <c r="A16" s="41" t="s">
        <v>47</v>
      </c>
      <c r="B16" s="7">
        <v>17</v>
      </c>
      <c r="C16" s="7">
        <v>8</v>
      </c>
      <c r="D16" s="7">
        <v>10</v>
      </c>
      <c r="E16" s="7">
        <v>11</v>
      </c>
      <c r="F16" s="7">
        <v>22</v>
      </c>
      <c r="G16" s="7">
        <v>11</v>
      </c>
      <c r="H16" s="7">
        <v>15</v>
      </c>
      <c r="I16" s="7">
        <v>26</v>
      </c>
      <c r="J16" s="7">
        <v>23</v>
      </c>
      <c r="K16" s="7">
        <v>13</v>
      </c>
      <c r="L16" s="7">
        <v>16</v>
      </c>
      <c r="M16" s="7">
        <v>13</v>
      </c>
      <c r="N16" s="7">
        <v>15</v>
      </c>
      <c r="O16" s="7">
        <v>14</v>
      </c>
      <c r="P16" s="7">
        <v>15</v>
      </c>
      <c r="Q16" s="7">
        <v>7</v>
      </c>
      <c r="R16" s="7">
        <v>15</v>
      </c>
      <c r="S16" s="7">
        <v>17</v>
      </c>
      <c r="T16" s="7">
        <v>11</v>
      </c>
      <c r="U16" s="7">
        <v>8</v>
      </c>
      <c r="V16" s="7">
        <v>12</v>
      </c>
      <c r="W16" s="7">
        <v>8</v>
      </c>
      <c r="X16" s="7">
        <v>14</v>
      </c>
      <c r="Y16" s="7">
        <v>11</v>
      </c>
      <c r="Z16" s="7">
        <v>12</v>
      </c>
      <c r="AA16" s="7">
        <v>10</v>
      </c>
      <c r="AB16" s="7">
        <v>10</v>
      </c>
      <c r="AC16" s="7">
        <v>8</v>
      </c>
      <c r="AD16" s="7">
        <v>12</v>
      </c>
      <c r="AE16" s="7">
        <v>20</v>
      </c>
      <c r="AF16" s="8">
        <v>17</v>
      </c>
      <c r="AG16" s="4">
        <f t="shared" si="2"/>
        <v>421</v>
      </c>
    </row>
    <row r="17" spans="1:33" ht="18.75" x14ac:dyDescent="0.25">
      <c r="A17" s="41" t="s">
        <v>48</v>
      </c>
      <c r="B17" s="7">
        <v>17</v>
      </c>
      <c r="C17" s="7">
        <v>8</v>
      </c>
      <c r="D17" s="7">
        <v>7</v>
      </c>
      <c r="E17" s="7">
        <v>11</v>
      </c>
      <c r="F17" s="7">
        <v>15</v>
      </c>
      <c r="G17" s="7">
        <v>19</v>
      </c>
      <c r="H17" s="7">
        <v>14</v>
      </c>
      <c r="I17" s="7">
        <v>17</v>
      </c>
      <c r="J17" s="7">
        <v>13</v>
      </c>
      <c r="K17" s="7">
        <v>13</v>
      </c>
      <c r="L17" s="7">
        <v>13</v>
      </c>
      <c r="M17" s="7">
        <v>16</v>
      </c>
      <c r="N17" s="7">
        <v>10</v>
      </c>
      <c r="O17" s="7">
        <v>12</v>
      </c>
      <c r="P17" s="7">
        <v>14</v>
      </c>
      <c r="Q17" s="7">
        <v>8</v>
      </c>
      <c r="R17" s="7">
        <v>9</v>
      </c>
      <c r="S17" s="7">
        <v>11</v>
      </c>
      <c r="T17" s="7">
        <v>17</v>
      </c>
      <c r="U17" s="7">
        <v>9</v>
      </c>
      <c r="V17" s="7">
        <v>8</v>
      </c>
      <c r="W17" s="7">
        <v>12</v>
      </c>
      <c r="X17" s="7">
        <v>12</v>
      </c>
      <c r="Y17" s="7">
        <v>13</v>
      </c>
      <c r="Z17" s="7">
        <v>10</v>
      </c>
      <c r="AA17" s="7">
        <v>10</v>
      </c>
      <c r="AB17" s="7">
        <v>5</v>
      </c>
      <c r="AC17" s="7">
        <v>11</v>
      </c>
      <c r="AD17" s="7">
        <v>12</v>
      </c>
      <c r="AE17" s="7">
        <v>16</v>
      </c>
      <c r="AF17" s="8">
        <v>12</v>
      </c>
      <c r="AG17" s="4">
        <f t="shared" si="2"/>
        <v>374</v>
      </c>
    </row>
    <row r="18" spans="1:33" ht="18.75" x14ac:dyDescent="0.25">
      <c r="A18" s="41" t="s">
        <v>49</v>
      </c>
      <c r="B18" s="7">
        <v>12</v>
      </c>
      <c r="C18" s="7">
        <v>4</v>
      </c>
      <c r="D18" s="7">
        <v>7</v>
      </c>
      <c r="E18" s="7">
        <v>15</v>
      </c>
      <c r="F18" s="7">
        <v>16</v>
      </c>
      <c r="G18" s="7">
        <v>11</v>
      </c>
      <c r="H18" s="7">
        <v>6</v>
      </c>
      <c r="I18" s="7">
        <v>7</v>
      </c>
      <c r="J18" s="7">
        <v>9</v>
      </c>
      <c r="K18" s="7">
        <v>10</v>
      </c>
      <c r="L18" s="7">
        <v>10</v>
      </c>
      <c r="M18" s="7">
        <v>12</v>
      </c>
      <c r="N18" s="7">
        <v>7</v>
      </c>
      <c r="O18" s="7">
        <v>3</v>
      </c>
      <c r="P18" s="7">
        <v>13</v>
      </c>
      <c r="Q18" s="7">
        <v>6</v>
      </c>
      <c r="R18" s="7">
        <v>7</v>
      </c>
      <c r="S18" s="7">
        <v>7</v>
      </c>
      <c r="T18" s="7">
        <v>9</v>
      </c>
      <c r="U18" s="7">
        <v>8</v>
      </c>
      <c r="V18" s="7">
        <v>7</v>
      </c>
      <c r="W18" s="7">
        <v>4</v>
      </c>
      <c r="X18" s="7">
        <v>7</v>
      </c>
      <c r="Y18" s="7">
        <v>13</v>
      </c>
      <c r="Z18" s="7">
        <v>16</v>
      </c>
      <c r="AA18" s="7">
        <v>12</v>
      </c>
      <c r="AB18" s="7">
        <v>12</v>
      </c>
      <c r="AC18" s="7">
        <v>5</v>
      </c>
      <c r="AD18" s="7">
        <v>15</v>
      </c>
      <c r="AE18" s="7">
        <v>13</v>
      </c>
      <c r="AF18" s="8">
        <v>10</v>
      </c>
      <c r="AG18" s="4">
        <f t="shared" si="2"/>
        <v>293</v>
      </c>
    </row>
    <row r="19" spans="1:33" ht="18.75" x14ac:dyDescent="0.25">
      <c r="A19" s="41" t="s">
        <v>50</v>
      </c>
      <c r="B19" s="7">
        <v>9</v>
      </c>
      <c r="C19" s="7">
        <v>9</v>
      </c>
      <c r="D19" s="7">
        <v>17</v>
      </c>
      <c r="E19" s="7">
        <v>8</v>
      </c>
      <c r="F19" s="7">
        <v>6</v>
      </c>
      <c r="G19" s="7">
        <v>7</v>
      </c>
      <c r="H19" s="7">
        <v>11</v>
      </c>
      <c r="I19" s="7">
        <v>14</v>
      </c>
      <c r="J19" s="7">
        <v>5</v>
      </c>
      <c r="K19" s="7">
        <v>3</v>
      </c>
      <c r="L19" s="7">
        <v>4</v>
      </c>
      <c r="M19" s="7">
        <v>12</v>
      </c>
      <c r="N19" s="7">
        <v>4</v>
      </c>
      <c r="O19" s="7">
        <v>9</v>
      </c>
      <c r="P19" s="7">
        <v>8</v>
      </c>
      <c r="Q19" s="7">
        <v>8</v>
      </c>
      <c r="R19" s="7">
        <v>5</v>
      </c>
      <c r="S19" s="7">
        <v>7</v>
      </c>
      <c r="T19" s="7">
        <v>5</v>
      </c>
      <c r="U19" s="7">
        <v>4</v>
      </c>
      <c r="V19" s="7">
        <v>7</v>
      </c>
      <c r="W19" s="7">
        <v>7</v>
      </c>
      <c r="X19" s="7">
        <v>4</v>
      </c>
      <c r="Y19" s="7">
        <v>8</v>
      </c>
      <c r="Z19" s="7">
        <v>9</v>
      </c>
      <c r="AA19" s="7">
        <v>6</v>
      </c>
      <c r="AB19" s="7">
        <v>8</v>
      </c>
      <c r="AC19" s="7">
        <v>5</v>
      </c>
      <c r="AD19" s="7">
        <v>9</v>
      </c>
      <c r="AE19" s="7">
        <v>8</v>
      </c>
      <c r="AF19" s="8">
        <v>3</v>
      </c>
      <c r="AG19" s="4">
        <f t="shared" si="2"/>
        <v>229</v>
      </c>
    </row>
    <row r="20" spans="1:33" ht="18.75" x14ac:dyDescent="0.25">
      <c r="A20" s="41" t="s">
        <v>33</v>
      </c>
      <c r="B20" s="7">
        <v>4</v>
      </c>
      <c r="C20" s="7">
        <v>1</v>
      </c>
      <c r="D20" s="7">
        <v>3</v>
      </c>
      <c r="E20" s="7">
        <v>4</v>
      </c>
      <c r="F20" s="7">
        <v>6</v>
      </c>
      <c r="G20" s="7">
        <v>3</v>
      </c>
      <c r="H20" s="7">
        <v>5</v>
      </c>
      <c r="I20" s="7">
        <v>7</v>
      </c>
      <c r="J20" s="7">
        <v>3</v>
      </c>
      <c r="K20" s="7">
        <v>5</v>
      </c>
      <c r="L20" s="7">
        <v>4</v>
      </c>
      <c r="M20" s="7">
        <v>4</v>
      </c>
      <c r="N20" s="7">
        <v>7</v>
      </c>
      <c r="O20" s="7">
        <v>2</v>
      </c>
      <c r="P20" s="7">
        <v>8</v>
      </c>
      <c r="Q20" s="7">
        <v>3</v>
      </c>
      <c r="R20" s="7">
        <v>11</v>
      </c>
      <c r="S20" s="7">
        <v>4</v>
      </c>
      <c r="T20" s="7">
        <v>4</v>
      </c>
      <c r="U20" s="7">
        <v>1</v>
      </c>
      <c r="V20" s="7">
        <v>1</v>
      </c>
      <c r="W20" s="7">
        <v>1</v>
      </c>
      <c r="X20" s="7">
        <v>4</v>
      </c>
      <c r="Y20" s="7">
        <v>7</v>
      </c>
      <c r="Z20" s="7">
        <v>2</v>
      </c>
      <c r="AA20" s="7">
        <v>1</v>
      </c>
      <c r="AB20" s="7">
        <v>3</v>
      </c>
      <c r="AC20" s="7">
        <v>4</v>
      </c>
      <c r="AD20" s="7">
        <v>4</v>
      </c>
      <c r="AE20" s="7">
        <v>3</v>
      </c>
      <c r="AF20" s="8">
        <v>6</v>
      </c>
      <c r="AG20" s="4">
        <f t="shared" si="2"/>
        <v>125</v>
      </c>
    </row>
    <row r="21" spans="1:33" ht="18.75" x14ac:dyDescent="0.25">
      <c r="A21" s="41" t="s">
        <v>34</v>
      </c>
      <c r="B21" s="7">
        <v>3</v>
      </c>
      <c r="C21" s="7">
        <v>1</v>
      </c>
      <c r="D21" s="7">
        <v>4</v>
      </c>
      <c r="E21" s="7">
        <v>5</v>
      </c>
      <c r="F21" s="7">
        <v>7</v>
      </c>
      <c r="G21" s="7">
        <v>7</v>
      </c>
      <c r="H21" s="7">
        <v>4</v>
      </c>
      <c r="I21" s="7">
        <v>3</v>
      </c>
      <c r="J21" s="7"/>
      <c r="K21" s="7">
        <v>2</v>
      </c>
      <c r="L21" s="7">
        <v>6</v>
      </c>
      <c r="M21" s="7">
        <v>3</v>
      </c>
      <c r="N21" s="7">
        <v>3</v>
      </c>
      <c r="O21" s="7">
        <v>1</v>
      </c>
      <c r="P21" s="7">
        <v>7</v>
      </c>
      <c r="Q21" s="7">
        <v>4</v>
      </c>
      <c r="R21" s="7">
        <v>2</v>
      </c>
      <c r="S21" s="7">
        <v>3</v>
      </c>
      <c r="T21" s="7">
        <v>3</v>
      </c>
      <c r="U21" s="7">
        <v>4</v>
      </c>
      <c r="V21" s="7">
        <v>1</v>
      </c>
      <c r="W21" s="7"/>
      <c r="X21" s="7">
        <v>4</v>
      </c>
      <c r="Y21" s="7">
        <v>2</v>
      </c>
      <c r="Z21" s="7">
        <v>4</v>
      </c>
      <c r="AA21" s="7">
        <v>4</v>
      </c>
      <c r="AB21" s="7">
        <v>4</v>
      </c>
      <c r="AC21" s="7">
        <v>2</v>
      </c>
      <c r="AD21" s="7">
        <v>1</v>
      </c>
      <c r="AE21" s="7">
        <v>3</v>
      </c>
      <c r="AF21" s="8">
        <v>6</v>
      </c>
      <c r="AG21" s="4">
        <f t="shared" si="2"/>
        <v>103</v>
      </c>
    </row>
    <row r="22" spans="1:33" ht="18.75" x14ac:dyDescent="0.25">
      <c r="A22" s="41" t="s">
        <v>35</v>
      </c>
      <c r="B22" s="7">
        <v>6</v>
      </c>
      <c r="C22" s="7">
        <v>2</v>
      </c>
      <c r="D22" s="7">
        <v>2</v>
      </c>
      <c r="E22" s="7">
        <v>3</v>
      </c>
      <c r="F22" s="7"/>
      <c r="G22" s="7">
        <v>5</v>
      </c>
      <c r="H22" s="7">
        <v>3</v>
      </c>
      <c r="I22" s="7">
        <v>1</v>
      </c>
      <c r="J22" s="7"/>
      <c r="K22" s="7">
        <v>1</v>
      </c>
      <c r="L22" s="7">
        <v>3</v>
      </c>
      <c r="M22" s="7"/>
      <c r="N22" s="7"/>
      <c r="O22" s="7">
        <v>2</v>
      </c>
      <c r="P22" s="7">
        <v>2</v>
      </c>
      <c r="Q22" s="7">
        <v>3</v>
      </c>
      <c r="R22" s="7"/>
      <c r="S22" s="7">
        <v>1</v>
      </c>
      <c r="T22" s="7">
        <v>2</v>
      </c>
      <c r="U22" s="7">
        <v>4</v>
      </c>
      <c r="V22" s="7">
        <v>1</v>
      </c>
      <c r="W22" s="7"/>
      <c r="X22" s="7">
        <v>2</v>
      </c>
      <c r="Y22" s="7">
        <v>2</v>
      </c>
      <c r="Z22" s="7">
        <v>5</v>
      </c>
      <c r="AA22" s="7"/>
      <c r="AB22" s="7">
        <v>3</v>
      </c>
      <c r="AC22" s="7">
        <v>1</v>
      </c>
      <c r="AD22" s="7">
        <v>3</v>
      </c>
      <c r="AE22" s="7"/>
      <c r="AF22" s="8">
        <v>2</v>
      </c>
      <c r="AG22" s="4">
        <f t="shared" si="2"/>
        <v>59</v>
      </c>
    </row>
    <row r="23" spans="1:33" ht="18.75" x14ac:dyDescent="0.25">
      <c r="A23" s="41" t="s">
        <v>36</v>
      </c>
      <c r="B23" s="7">
        <v>1</v>
      </c>
      <c r="C23" s="7">
        <v>1</v>
      </c>
      <c r="D23" s="7">
        <v>1</v>
      </c>
      <c r="E23" s="7">
        <v>2</v>
      </c>
      <c r="F23" s="7"/>
      <c r="G23" s="7">
        <v>2</v>
      </c>
      <c r="H23" s="7">
        <v>2</v>
      </c>
      <c r="I23" s="7">
        <v>2</v>
      </c>
      <c r="J23" s="7"/>
      <c r="K23" s="7">
        <v>2</v>
      </c>
      <c r="L23" s="7">
        <v>3</v>
      </c>
      <c r="M23" s="7"/>
      <c r="N23" s="7">
        <v>1</v>
      </c>
      <c r="O23" s="7">
        <v>1</v>
      </c>
      <c r="P23" s="7">
        <v>2</v>
      </c>
      <c r="Q23" s="7"/>
      <c r="R23" s="7">
        <v>1</v>
      </c>
      <c r="S23" s="7">
        <v>2</v>
      </c>
      <c r="T23" s="7">
        <v>4</v>
      </c>
      <c r="U23" s="7">
        <v>2</v>
      </c>
      <c r="V23" s="7">
        <v>1</v>
      </c>
      <c r="W23" s="7">
        <v>2</v>
      </c>
      <c r="X23" s="7"/>
      <c r="Y23" s="7">
        <v>1</v>
      </c>
      <c r="Z23" s="7"/>
      <c r="AA23" s="7">
        <v>5</v>
      </c>
      <c r="AB23" s="7"/>
      <c r="AC23" s="7"/>
      <c r="AD23" s="7">
        <v>3</v>
      </c>
      <c r="AE23" s="7"/>
      <c r="AF23" s="8"/>
      <c r="AG23" s="4">
        <f t="shared" si="2"/>
        <v>41</v>
      </c>
    </row>
    <row r="24" spans="1:33" ht="18.75" x14ac:dyDescent="0.25">
      <c r="A24" s="41" t="s">
        <v>51</v>
      </c>
      <c r="B24" s="7">
        <v>1</v>
      </c>
      <c r="C24" s="7">
        <v>1</v>
      </c>
      <c r="D24" s="7">
        <v>5</v>
      </c>
      <c r="E24" s="7">
        <v>2</v>
      </c>
      <c r="F24" s="7">
        <v>1</v>
      </c>
      <c r="G24" s="7"/>
      <c r="H24" s="7"/>
      <c r="I24" s="7">
        <v>2</v>
      </c>
      <c r="J24" s="7">
        <v>1</v>
      </c>
      <c r="K24" s="7">
        <v>3</v>
      </c>
      <c r="L24" s="7"/>
      <c r="M24" s="7"/>
      <c r="N24" s="7">
        <v>3</v>
      </c>
      <c r="O24" s="7">
        <v>2</v>
      </c>
      <c r="P24" s="7">
        <v>1</v>
      </c>
      <c r="Q24" s="7"/>
      <c r="R24" s="7"/>
      <c r="S24" s="7"/>
      <c r="T24" s="7"/>
      <c r="U24" s="7"/>
      <c r="V24" s="7"/>
      <c r="W24" s="7"/>
      <c r="X24" s="7"/>
      <c r="Y24" s="7">
        <v>1</v>
      </c>
      <c r="Z24" s="7">
        <v>1</v>
      </c>
      <c r="AA24" s="7"/>
      <c r="AB24" s="7">
        <v>2</v>
      </c>
      <c r="AC24" s="7">
        <v>1</v>
      </c>
      <c r="AD24" s="7">
        <v>1</v>
      </c>
      <c r="AE24" s="7"/>
      <c r="AF24" s="8"/>
      <c r="AG24" s="4">
        <f t="shared" si="2"/>
        <v>28</v>
      </c>
    </row>
    <row r="25" spans="1:33" ht="18.75" x14ac:dyDescent="0.25">
      <c r="A25" s="41" t="s">
        <v>52</v>
      </c>
      <c r="B25" s="7">
        <v>2</v>
      </c>
      <c r="C25" s="7">
        <v>1</v>
      </c>
      <c r="D25" s="7">
        <v>2</v>
      </c>
      <c r="E25" s="7"/>
      <c r="F25" s="7">
        <v>1</v>
      </c>
      <c r="G25" s="7">
        <v>1</v>
      </c>
      <c r="H25" s="7"/>
      <c r="I25" s="7"/>
      <c r="J25" s="7"/>
      <c r="K25" s="7"/>
      <c r="L25" s="7"/>
      <c r="M25" s="7"/>
      <c r="N25" s="7">
        <v>2</v>
      </c>
      <c r="O25" s="7"/>
      <c r="P25" s="7">
        <v>1</v>
      </c>
      <c r="Q25" s="7"/>
      <c r="R25" s="7">
        <v>1</v>
      </c>
      <c r="S25" s="7">
        <v>1</v>
      </c>
      <c r="T25" s="7">
        <v>1</v>
      </c>
      <c r="U25" s="7"/>
      <c r="V25" s="7">
        <v>1</v>
      </c>
      <c r="W25" s="7">
        <v>3</v>
      </c>
      <c r="X25" s="7">
        <v>2</v>
      </c>
      <c r="Y25" s="7"/>
      <c r="Z25" s="7">
        <v>1</v>
      </c>
      <c r="AA25" s="7">
        <v>3</v>
      </c>
      <c r="AB25" s="7">
        <v>5</v>
      </c>
      <c r="AC25" s="7">
        <v>1</v>
      </c>
      <c r="AD25" s="7"/>
      <c r="AE25" s="7">
        <v>1</v>
      </c>
      <c r="AF25" s="8">
        <v>2</v>
      </c>
      <c r="AG25" s="4">
        <f t="shared" si="2"/>
        <v>32</v>
      </c>
    </row>
    <row r="26" spans="1:33" ht="18.75" x14ac:dyDescent="0.25">
      <c r="A26" s="41" t="s">
        <v>37</v>
      </c>
      <c r="B26" s="7">
        <v>2</v>
      </c>
      <c r="C26" s="7"/>
      <c r="D26" s="7">
        <v>1</v>
      </c>
      <c r="E26" s="7"/>
      <c r="F26" s="7"/>
      <c r="G26" s="7">
        <v>1</v>
      </c>
      <c r="H26" s="7">
        <v>1</v>
      </c>
      <c r="I26" s="7"/>
      <c r="J26" s="7"/>
      <c r="K26" s="7">
        <v>3</v>
      </c>
      <c r="L26" s="7"/>
      <c r="M26" s="7">
        <v>1</v>
      </c>
      <c r="N26" s="7">
        <v>2</v>
      </c>
      <c r="O26" s="7">
        <v>1</v>
      </c>
      <c r="P26" s="7">
        <v>2</v>
      </c>
      <c r="Q26" s="7">
        <v>2</v>
      </c>
      <c r="R26" s="7"/>
      <c r="S26" s="7">
        <v>1</v>
      </c>
      <c r="T26" s="7">
        <v>1</v>
      </c>
      <c r="U26" s="7">
        <v>1</v>
      </c>
      <c r="V26" s="7"/>
      <c r="W26" s="7"/>
      <c r="X26" s="7">
        <v>2</v>
      </c>
      <c r="Y26" s="7">
        <v>1</v>
      </c>
      <c r="Z26" s="7"/>
      <c r="AA26" s="7"/>
      <c r="AB26" s="7"/>
      <c r="AC26" s="7"/>
      <c r="AD26" s="7"/>
      <c r="AE26" s="7">
        <v>1</v>
      </c>
      <c r="AF26" s="8">
        <v>1</v>
      </c>
      <c r="AG26" s="4">
        <f t="shared" si="2"/>
        <v>24</v>
      </c>
    </row>
    <row r="27" spans="1:33" ht="19.5" thickBot="1" x14ac:dyDescent="0.3">
      <c r="A27" s="81" t="s">
        <v>53</v>
      </c>
      <c r="B27" s="78">
        <v>1</v>
      </c>
      <c r="C27" s="78">
        <v>1</v>
      </c>
      <c r="D27" s="78"/>
      <c r="E27" s="78"/>
      <c r="F27" s="78">
        <v>1</v>
      </c>
      <c r="G27" s="78">
        <v>2</v>
      </c>
      <c r="H27" s="78"/>
      <c r="I27" s="78"/>
      <c r="J27" s="78">
        <v>2</v>
      </c>
      <c r="K27" s="78">
        <v>2</v>
      </c>
      <c r="L27" s="78"/>
      <c r="M27" s="78">
        <v>2</v>
      </c>
      <c r="N27" s="78">
        <v>3</v>
      </c>
      <c r="O27" s="78"/>
      <c r="P27" s="78">
        <v>1</v>
      </c>
      <c r="Q27" s="78"/>
      <c r="R27" s="78"/>
      <c r="S27" s="78">
        <v>1</v>
      </c>
      <c r="T27" s="78">
        <v>1</v>
      </c>
      <c r="U27" s="78">
        <v>2</v>
      </c>
      <c r="V27" s="78"/>
      <c r="W27" s="78"/>
      <c r="X27" s="78"/>
      <c r="Y27" s="78"/>
      <c r="Z27" s="78"/>
      <c r="AA27" s="78">
        <v>1</v>
      </c>
      <c r="AB27" s="78"/>
      <c r="AC27" s="78"/>
      <c r="AD27" s="78">
        <v>1</v>
      </c>
      <c r="AE27" s="78">
        <v>1</v>
      </c>
      <c r="AF27" s="83">
        <v>1</v>
      </c>
      <c r="AG27" s="4">
        <f t="shared" si="2"/>
        <v>23</v>
      </c>
    </row>
    <row r="28" spans="1:33" ht="18.75" x14ac:dyDescent="0.25">
      <c r="A28" s="79" t="s">
        <v>107</v>
      </c>
      <c r="B28" s="80">
        <f>SUM(B29:B52)</f>
        <v>162</v>
      </c>
      <c r="C28" s="80">
        <f t="shared" ref="C28:AF28" si="3">SUM(C29:C52)</f>
        <v>122</v>
      </c>
      <c r="D28" s="80">
        <f t="shared" si="3"/>
        <v>154</v>
      </c>
      <c r="E28" s="80">
        <f t="shared" si="3"/>
        <v>152</v>
      </c>
      <c r="F28" s="80">
        <f t="shared" si="3"/>
        <v>156</v>
      </c>
      <c r="G28" s="80">
        <f t="shared" si="3"/>
        <v>243</v>
      </c>
      <c r="H28" s="80">
        <f t="shared" si="3"/>
        <v>239</v>
      </c>
      <c r="I28" s="80">
        <f t="shared" si="3"/>
        <v>182</v>
      </c>
      <c r="J28" s="80">
        <f t="shared" si="3"/>
        <v>143</v>
      </c>
      <c r="K28" s="80">
        <f t="shared" si="3"/>
        <v>125</v>
      </c>
      <c r="L28" s="80">
        <f t="shared" si="3"/>
        <v>141</v>
      </c>
      <c r="M28" s="80">
        <f t="shared" si="3"/>
        <v>157</v>
      </c>
      <c r="N28" s="80">
        <f t="shared" si="3"/>
        <v>237</v>
      </c>
      <c r="O28" s="80">
        <f t="shared" si="3"/>
        <v>225</v>
      </c>
      <c r="P28" s="80">
        <f t="shared" si="3"/>
        <v>180</v>
      </c>
      <c r="Q28" s="80">
        <f t="shared" si="3"/>
        <v>198</v>
      </c>
      <c r="R28" s="80">
        <f t="shared" si="3"/>
        <v>146</v>
      </c>
      <c r="S28" s="80">
        <f t="shared" si="3"/>
        <v>146</v>
      </c>
      <c r="T28" s="80">
        <f t="shared" si="3"/>
        <v>144</v>
      </c>
      <c r="U28" s="80">
        <f t="shared" si="3"/>
        <v>214</v>
      </c>
      <c r="V28" s="80">
        <f t="shared" si="3"/>
        <v>207</v>
      </c>
      <c r="W28" s="80">
        <f t="shared" si="3"/>
        <v>131</v>
      </c>
      <c r="X28" s="80">
        <f t="shared" si="3"/>
        <v>139</v>
      </c>
      <c r="Y28" s="80">
        <f t="shared" si="3"/>
        <v>144</v>
      </c>
      <c r="Z28" s="80">
        <f t="shared" si="3"/>
        <v>130</v>
      </c>
      <c r="AA28" s="80">
        <f t="shared" si="3"/>
        <v>124</v>
      </c>
      <c r="AB28" s="80">
        <f t="shared" si="3"/>
        <v>214</v>
      </c>
      <c r="AC28" s="80">
        <f t="shared" si="3"/>
        <v>198</v>
      </c>
      <c r="AD28" s="80">
        <f t="shared" si="3"/>
        <v>158</v>
      </c>
      <c r="AE28" s="80">
        <f>SUM(AE29:AE52)</f>
        <v>155</v>
      </c>
      <c r="AF28" s="80">
        <f t="shared" si="3"/>
        <v>145</v>
      </c>
      <c r="AG28" s="150">
        <f t="shared" si="2"/>
        <v>5211</v>
      </c>
    </row>
    <row r="29" spans="1:33" ht="18.75" x14ac:dyDescent="0.25">
      <c r="A29" s="41" t="s">
        <v>54</v>
      </c>
      <c r="B29" s="7"/>
      <c r="C29" s="7"/>
      <c r="D29" s="7"/>
      <c r="E29" s="7"/>
      <c r="F29" s="7"/>
      <c r="G29" s="7">
        <v>1</v>
      </c>
      <c r="H29" s="7">
        <v>1</v>
      </c>
      <c r="I29" s="7"/>
      <c r="J29" s="7"/>
      <c r="K29" s="7"/>
      <c r="L29" s="7"/>
      <c r="M29" s="7">
        <v>1</v>
      </c>
      <c r="N29" s="7">
        <v>2</v>
      </c>
      <c r="O29" s="7"/>
      <c r="P29" s="7">
        <v>1</v>
      </c>
      <c r="Q29" s="7">
        <v>1</v>
      </c>
      <c r="R29" s="7"/>
      <c r="S29" s="7"/>
      <c r="T29" s="7"/>
      <c r="U29" s="7">
        <v>1</v>
      </c>
      <c r="V29" s="7">
        <v>2</v>
      </c>
      <c r="W29" s="7"/>
      <c r="X29" s="7"/>
      <c r="Y29" s="7"/>
      <c r="Z29" s="7"/>
      <c r="AA29" s="7"/>
      <c r="AB29" s="7">
        <v>1</v>
      </c>
      <c r="AC29" s="7">
        <v>1</v>
      </c>
      <c r="AD29" s="7"/>
      <c r="AE29" s="7"/>
      <c r="AF29" s="8"/>
      <c r="AG29" s="4">
        <f t="shared" si="2"/>
        <v>12</v>
      </c>
    </row>
    <row r="30" spans="1:33" ht="18.75" x14ac:dyDescent="0.25">
      <c r="A30" s="41" t="s">
        <v>55</v>
      </c>
      <c r="B30" s="7"/>
      <c r="C30" s="7"/>
      <c r="D30" s="7"/>
      <c r="E30" s="7"/>
      <c r="F30" s="7"/>
      <c r="G30" s="7">
        <v>4</v>
      </c>
      <c r="H30" s="7">
        <v>8</v>
      </c>
      <c r="I30" s="7"/>
      <c r="J30" s="7"/>
      <c r="K30" s="7"/>
      <c r="L30" s="7"/>
      <c r="M30" s="7"/>
      <c r="N30" s="7">
        <v>7</v>
      </c>
      <c r="O30" s="7">
        <v>6</v>
      </c>
      <c r="P30" s="7"/>
      <c r="Q30" s="7">
        <v>6</v>
      </c>
      <c r="R30" s="7"/>
      <c r="S30" s="7"/>
      <c r="T30" s="7"/>
      <c r="U30" s="7">
        <v>10</v>
      </c>
      <c r="V30" s="7">
        <v>7</v>
      </c>
      <c r="W30" s="7"/>
      <c r="X30" s="7"/>
      <c r="Y30" s="7"/>
      <c r="Z30" s="7"/>
      <c r="AA30" s="7"/>
      <c r="AB30" s="7">
        <v>7</v>
      </c>
      <c r="AC30" s="7">
        <v>6</v>
      </c>
      <c r="AD30" s="7"/>
      <c r="AE30" s="7"/>
      <c r="AF30" s="8"/>
      <c r="AG30" s="4">
        <f t="shared" si="2"/>
        <v>61</v>
      </c>
    </row>
    <row r="31" spans="1:33" ht="18.75" x14ac:dyDescent="0.25">
      <c r="A31" s="41" t="s">
        <v>56</v>
      </c>
      <c r="B31" s="7"/>
      <c r="C31" s="7"/>
      <c r="D31" s="7"/>
      <c r="E31" s="7"/>
      <c r="F31" s="7"/>
      <c r="G31" s="7">
        <v>13</v>
      </c>
      <c r="H31" s="7">
        <v>12</v>
      </c>
      <c r="I31" s="7"/>
      <c r="J31" s="7"/>
      <c r="K31" s="7"/>
      <c r="L31" s="7"/>
      <c r="M31" s="7"/>
      <c r="N31" s="7">
        <v>18</v>
      </c>
      <c r="O31" s="7">
        <v>15</v>
      </c>
      <c r="P31" s="7"/>
      <c r="Q31" s="7">
        <v>10</v>
      </c>
      <c r="R31" s="7"/>
      <c r="S31" s="7"/>
      <c r="T31" s="7"/>
      <c r="U31" s="7">
        <v>14</v>
      </c>
      <c r="V31" s="7">
        <v>7</v>
      </c>
      <c r="W31" s="7"/>
      <c r="X31" s="7"/>
      <c r="Y31" s="7"/>
      <c r="Z31" s="7"/>
      <c r="AA31" s="7"/>
      <c r="AB31" s="7">
        <v>15</v>
      </c>
      <c r="AC31" s="7">
        <v>12</v>
      </c>
      <c r="AD31" s="7"/>
      <c r="AE31" s="7"/>
      <c r="AF31" s="8"/>
      <c r="AG31" s="4">
        <f t="shared" si="2"/>
        <v>116</v>
      </c>
    </row>
    <row r="32" spans="1:33" ht="18.75" x14ac:dyDescent="0.25">
      <c r="A32" s="41" t="s">
        <v>38</v>
      </c>
      <c r="B32" s="7"/>
      <c r="C32" s="7"/>
      <c r="D32" s="7"/>
      <c r="E32" s="7"/>
      <c r="F32" s="7"/>
      <c r="G32" s="7">
        <v>16</v>
      </c>
      <c r="H32" s="7">
        <v>14</v>
      </c>
      <c r="I32" s="7"/>
      <c r="J32" s="7"/>
      <c r="K32" s="7"/>
      <c r="L32" s="7"/>
      <c r="M32" s="7"/>
      <c r="N32" s="7">
        <v>16</v>
      </c>
      <c r="O32" s="7">
        <v>9</v>
      </c>
      <c r="P32" s="7"/>
      <c r="Q32" s="7">
        <v>5</v>
      </c>
      <c r="R32" s="7"/>
      <c r="S32" s="7"/>
      <c r="T32" s="7"/>
      <c r="U32" s="7">
        <v>13</v>
      </c>
      <c r="V32" s="7">
        <v>16</v>
      </c>
      <c r="W32" s="7"/>
      <c r="X32" s="7"/>
      <c r="Y32" s="7"/>
      <c r="Z32" s="7"/>
      <c r="AA32" s="7"/>
      <c r="AB32" s="7">
        <v>13</v>
      </c>
      <c r="AC32" s="7">
        <v>12</v>
      </c>
      <c r="AD32" s="7"/>
      <c r="AE32" s="7"/>
      <c r="AF32" s="8"/>
      <c r="AG32" s="4">
        <f t="shared" si="2"/>
        <v>114</v>
      </c>
    </row>
    <row r="33" spans="1:33" ht="18.75" x14ac:dyDescent="0.25">
      <c r="A33" s="41" t="s">
        <v>39</v>
      </c>
      <c r="B33" s="7"/>
      <c r="C33" s="7"/>
      <c r="D33" s="7"/>
      <c r="E33" s="7"/>
      <c r="F33" s="7"/>
      <c r="G33" s="7">
        <v>11</v>
      </c>
      <c r="H33" s="7">
        <v>17</v>
      </c>
      <c r="I33" s="7"/>
      <c r="J33" s="7"/>
      <c r="K33" s="7"/>
      <c r="L33" s="7"/>
      <c r="M33" s="7"/>
      <c r="N33" s="7">
        <v>14</v>
      </c>
      <c r="O33" s="7">
        <v>13</v>
      </c>
      <c r="P33" s="7"/>
      <c r="Q33" s="7">
        <v>15</v>
      </c>
      <c r="R33" s="7"/>
      <c r="S33" s="7"/>
      <c r="T33" s="7"/>
      <c r="U33" s="7">
        <v>13</v>
      </c>
      <c r="V33" s="7">
        <v>14</v>
      </c>
      <c r="W33" s="7"/>
      <c r="X33" s="7"/>
      <c r="Y33" s="7"/>
      <c r="Z33" s="7"/>
      <c r="AA33" s="7"/>
      <c r="AB33" s="7">
        <v>13</v>
      </c>
      <c r="AC33" s="7">
        <v>7</v>
      </c>
      <c r="AD33" s="7"/>
      <c r="AE33" s="7"/>
      <c r="AF33" s="8"/>
      <c r="AG33" s="4">
        <f t="shared" si="2"/>
        <v>117</v>
      </c>
    </row>
    <row r="34" spans="1:33" ht="18.75" x14ac:dyDescent="0.25">
      <c r="A34" s="41" t="s">
        <v>40</v>
      </c>
      <c r="B34" s="7"/>
      <c r="C34" s="7"/>
      <c r="D34" s="7"/>
      <c r="E34" s="7"/>
      <c r="F34" s="7"/>
      <c r="G34" s="7">
        <v>13</v>
      </c>
      <c r="H34" s="7">
        <v>9</v>
      </c>
      <c r="I34" s="7"/>
      <c r="J34" s="7"/>
      <c r="K34" s="7"/>
      <c r="L34" s="7"/>
      <c r="M34" s="7"/>
      <c r="N34" s="7">
        <v>11</v>
      </c>
      <c r="O34" s="7">
        <v>11</v>
      </c>
      <c r="P34" s="7">
        <v>1</v>
      </c>
      <c r="Q34" s="7">
        <v>9</v>
      </c>
      <c r="R34" s="7">
        <v>1</v>
      </c>
      <c r="S34" s="7"/>
      <c r="T34" s="7"/>
      <c r="U34" s="7">
        <v>10</v>
      </c>
      <c r="V34" s="7">
        <v>14</v>
      </c>
      <c r="W34" s="7"/>
      <c r="X34" s="7"/>
      <c r="Y34" s="7"/>
      <c r="Z34" s="7"/>
      <c r="AA34" s="7"/>
      <c r="AB34" s="7">
        <v>16</v>
      </c>
      <c r="AC34" s="7">
        <v>11</v>
      </c>
      <c r="AD34" s="7"/>
      <c r="AE34" s="7"/>
      <c r="AF34" s="8"/>
      <c r="AG34" s="4">
        <f t="shared" si="2"/>
        <v>106</v>
      </c>
    </row>
    <row r="35" spans="1:33" ht="18.75" x14ac:dyDescent="0.25">
      <c r="A35" s="41" t="s">
        <v>41</v>
      </c>
      <c r="B35" s="7"/>
      <c r="C35" s="7"/>
      <c r="D35" s="7"/>
      <c r="E35" s="7"/>
      <c r="F35" s="7"/>
      <c r="G35" s="7">
        <v>7</v>
      </c>
      <c r="H35" s="7">
        <v>17</v>
      </c>
      <c r="I35" s="7"/>
      <c r="J35" s="7"/>
      <c r="K35" s="7"/>
      <c r="L35" s="7"/>
      <c r="M35" s="7"/>
      <c r="N35" s="7">
        <v>12</v>
      </c>
      <c r="O35" s="7">
        <v>15</v>
      </c>
      <c r="P35" s="7"/>
      <c r="Q35" s="7">
        <v>16</v>
      </c>
      <c r="R35" s="7"/>
      <c r="S35" s="7"/>
      <c r="T35" s="7"/>
      <c r="U35" s="7">
        <v>11</v>
      </c>
      <c r="V35" s="7">
        <v>13</v>
      </c>
      <c r="W35" s="7"/>
      <c r="X35" s="7"/>
      <c r="Y35" s="7"/>
      <c r="Z35" s="7"/>
      <c r="AA35" s="7"/>
      <c r="AB35" s="7">
        <v>9</v>
      </c>
      <c r="AC35" s="7">
        <v>11</v>
      </c>
      <c r="AD35" s="7"/>
      <c r="AE35" s="7"/>
      <c r="AF35" s="8"/>
      <c r="AG35" s="4">
        <f t="shared" si="2"/>
        <v>111</v>
      </c>
    </row>
    <row r="36" spans="1:33" ht="18.75" x14ac:dyDescent="0.25">
      <c r="A36" s="41" t="s">
        <v>42</v>
      </c>
      <c r="B36" s="7"/>
      <c r="C36" s="7"/>
      <c r="D36" s="7"/>
      <c r="E36" s="7"/>
      <c r="F36" s="7"/>
      <c r="G36" s="7">
        <v>22</v>
      </c>
      <c r="H36" s="7">
        <v>14</v>
      </c>
      <c r="I36" s="7"/>
      <c r="J36" s="7"/>
      <c r="K36" s="7"/>
      <c r="L36" s="7"/>
      <c r="M36" s="7"/>
      <c r="N36" s="7">
        <v>9</v>
      </c>
      <c r="O36" s="7">
        <v>19</v>
      </c>
      <c r="P36" s="7"/>
      <c r="Q36" s="7">
        <v>17</v>
      </c>
      <c r="R36" s="7"/>
      <c r="S36" s="7"/>
      <c r="T36" s="7"/>
      <c r="U36" s="7">
        <v>14</v>
      </c>
      <c r="V36" s="7">
        <v>16</v>
      </c>
      <c r="W36" s="7"/>
      <c r="X36" s="7"/>
      <c r="Y36" s="7"/>
      <c r="Z36" s="7"/>
      <c r="AA36" s="7"/>
      <c r="AB36" s="7">
        <v>16</v>
      </c>
      <c r="AC36" s="7">
        <v>21</v>
      </c>
      <c r="AD36" s="7"/>
      <c r="AE36" s="7"/>
      <c r="AF36" s="8"/>
      <c r="AG36" s="4">
        <f t="shared" si="2"/>
        <v>148</v>
      </c>
    </row>
    <row r="37" spans="1:33" ht="18.75" x14ac:dyDescent="0.25">
      <c r="A37" s="41" t="s">
        <v>43</v>
      </c>
      <c r="B37" s="7"/>
      <c r="C37" s="7"/>
      <c r="D37" s="7"/>
      <c r="E37" s="7"/>
      <c r="F37" s="7"/>
      <c r="G37" s="7">
        <v>13</v>
      </c>
      <c r="H37" s="7">
        <v>12</v>
      </c>
      <c r="I37" s="7"/>
      <c r="J37" s="7"/>
      <c r="K37" s="7"/>
      <c r="L37" s="7"/>
      <c r="M37" s="7"/>
      <c r="N37" s="7">
        <v>14</v>
      </c>
      <c r="O37" s="7">
        <v>18</v>
      </c>
      <c r="P37" s="7"/>
      <c r="Q37" s="7">
        <v>11</v>
      </c>
      <c r="R37" s="7"/>
      <c r="S37" s="7"/>
      <c r="T37" s="7"/>
      <c r="U37" s="7">
        <v>22</v>
      </c>
      <c r="V37" s="7">
        <v>24</v>
      </c>
      <c r="W37" s="7"/>
      <c r="X37" s="7"/>
      <c r="Y37" s="7"/>
      <c r="Z37" s="7"/>
      <c r="AA37" s="7"/>
      <c r="AB37" s="7">
        <v>23</v>
      </c>
      <c r="AC37" s="7">
        <v>24</v>
      </c>
      <c r="AD37" s="7"/>
      <c r="AE37" s="7"/>
      <c r="AF37" s="8"/>
      <c r="AG37" s="4">
        <f t="shared" si="2"/>
        <v>161</v>
      </c>
    </row>
    <row r="38" spans="1:33" ht="18.75" x14ac:dyDescent="0.25">
      <c r="A38" s="41" t="s">
        <v>44</v>
      </c>
      <c r="B38" s="7">
        <v>6</v>
      </c>
      <c r="C38" s="7">
        <v>17</v>
      </c>
      <c r="D38" s="7"/>
      <c r="E38" s="7">
        <v>9</v>
      </c>
      <c r="F38" s="7">
        <v>3</v>
      </c>
      <c r="G38" s="7">
        <v>26</v>
      </c>
      <c r="H38" s="7">
        <v>23</v>
      </c>
      <c r="I38" s="7">
        <v>11</v>
      </c>
      <c r="J38" s="7">
        <v>12</v>
      </c>
      <c r="K38" s="7">
        <v>3</v>
      </c>
      <c r="L38" s="7">
        <v>3</v>
      </c>
      <c r="M38" s="7">
        <v>10</v>
      </c>
      <c r="N38" s="7">
        <v>25</v>
      </c>
      <c r="O38" s="7">
        <v>27</v>
      </c>
      <c r="P38" s="7">
        <v>7</v>
      </c>
      <c r="Q38" s="7">
        <v>16</v>
      </c>
      <c r="R38" s="7">
        <v>5</v>
      </c>
      <c r="S38" s="7">
        <v>9</v>
      </c>
      <c r="T38" s="7">
        <v>7</v>
      </c>
      <c r="U38" s="7">
        <v>24</v>
      </c>
      <c r="V38" s="7">
        <v>23</v>
      </c>
      <c r="W38" s="7">
        <v>10</v>
      </c>
      <c r="X38" s="7">
        <v>12</v>
      </c>
      <c r="Y38" s="7">
        <v>4</v>
      </c>
      <c r="Z38" s="7">
        <v>7</v>
      </c>
      <c r="AA38" s="7">
        <v>4</v>
      </c>
      <c r="AB38" s="7">
        <v>16</v>
      </c>
      <c r="AC38" s="7">
        <v>19</v>
      </c>
      <c r="AD38" s="7">
        <v>11</v>
      </c>
      <c r="AE38" s="7">
        <v>10</v>
      </c>
      <c r="AF38" s="8">
        <v>6</v>
      </c>
      <c r="AG38" s="4">
        <f t="shared" si="2"/>
        <v>365</v>
      </c>
    </row>
    <row r="39" spans="1:33" ht="18.75" x14ac:dyDescent="0.25">
      <c r="A39" s="41" t="s">
        <v>45</v>
      </c>
      <c r="B39" s="7">
        <v>28</v>
      </c>
      <c r="C39" s="7">
        <v>21</v>
      </c>
      <c r="D39" s="7">
        <v>35</v>
      </c>
      <c r="E39" s="7">
        <v>21</v>
      </c>
      <c r="F39" s="7">
        <v>29</v>
      </c>
      <c r="G39" s="7">
        <v>16</v>
      </c>
      <c r="H39" s="7">
        <v>21</v>
      </c>
      <c r="I39" s="7">
        <v>22</v>
      </c>
      <c r="J39" s="7">
        <v>22</v>
      </c>
      <c r="K39" s="7">
        <v>25</v>
      </c>
      <c r="L39" s="7">
        <v>29</v>
      </c>
      <c r="M39" s="7">
        <v>24</v>
      </c>
      <c r="N39" s="7">
        <v>22</v>
      </c>
      <c r="O39" s="7">
        <v>18</v>
      </c>
      <c r="P39" s="7">
        <v>25</v>
      </c>
      <c r="Q39" s="7">
        <v>19</v>
      </c>
      <c r="R39" s="7">
        <v>27</v>
      </c>
      <c r="S39" s="7">
        <v>18</v>
      </c>
      <c r="T39" s="7">
        <v>25</v>
      </c>
      <c r="U39" s="7">
        <v>20</v>
      </c>
      <c r="V39" s="7">
        <v>11</v>
      </c>
      <c r="W39" s="7">
        <v>26</v>
      </c>
      <c r="X39" s="7">
        <v>23</v>
      </c>
      <c r="Y39" s="7">
        <v>22</v>
      </c>
      <c r="Z39" s="7">
        <v>23</v>
      </c>
      <c r="AA39" s="7">
        <v>21</v>
      </c>
      <c r="AB39" s="7">
        <v>19</v>
      </c>
      <c r="AC39" s="7">
        <v>15</v>
      </c>
      <c r="AD39" s="7">
        <v>25</v>
      </c>
      <c r="AE39" s="7">
        <v>21</v>
      </c>
      <c r="AF39" s="8">
        <v>27</v>
      </c>
      <c r="AG39" s="4">
        <f t="shared" si="2"/>
        <v>700</v>
      </c>
    </row>
    <row r="40" spans="1:33" ht="18.75" x14ac:dyDescent="0.25">
      <c r="A40" s="41" t="s">
        <v>46</v>
      </c>
      <c r="B40" s="7">
        <v>31</v>
      </c>
      <c r="C40" s="7">
        <v>25</v>
      </c>
      <c r="D40" s="7">
        <v>41</v>
      </c>
      <c r="E40" s="7">
        <v>28</v>
      </c>
      <c r="F40" s="7">
        <v>31</v>
      </c>
      <c r="G40" s="7">
        <v>16</v>
      </c>
      <c r="H40" s="7">
        <v>13</v>
      </c>
      <c r="I40" s="7">
        <v>34</v>
      </c>
      <c r="J40" s="7">
        <v>25</v>
      </c>
      <c r="K40" s="7">
        <v>27</v>
      </c>
      <c r="L40" s="7">
        <v>25</v>
      </c>
      <c r="M40" s="7">
        <v>30</v>
      </c>
      <c r="N40" s="7">
        <v>20</v>
      </c>
      <c r="O40" s="7">
        <v>12</v>
      </c>
      <c r="P40" s="7">
        <v>45</v>
      </c>
      <c r="Q40" s="7">
        <v>13</v>
      </c>
      <c r="R40" s="7">
        <v>30</v>
      </c>
      <c r="S40" s="7">
        <v>29</v>
      </c>
      <c r="T40" s="7">
        <v>28</v>
      </c>
      <c r="U40" s="7">
        <v>16</v>
      </c>
      <c r="V40" s="7">
        <v>14</v>
      </c>
      <c r="W40" s="7">
        <v>33</v>
      </c>
      <c r="X40" s="7">
        <v>24</v>
      </c>
      <c r="Y40" s="7">
        <v>24</v>
      </c>
      <c r="Z40" s="7">
        <v>30</v>
      </c>
      <c r="AA40" s="7">
        <v>22</v>
      </c>
      <c r="AB40" s="7">
        <v>13</v>
      </c>
      <c r="AC40" s="7">
        <v>10</v>
      </c>
      <c r="AD40" s="7">
        <v>28</v>
      </c>
      <c r="AE40" s="7">
        <v>33</v>
      </c>
      <c r="AF40" s="8">
        <v>33</v>
      </c>
      <c r="AG40" s="4">
        <f t="shared" si="2"/>
        <v>783</v>
      </c>
    </row>
    <row r="41" spans="1:33" ht="18.75" x14ac:dyDescent="0.25">
      <c r="A41" s="41" t="s">
        <v>47</v>
      </c>
      <c r="B41" s="7">
        <v>32</v>
      </c>
      <c r="C41" s="7">
        <v>25</v>
      </c>
      <c r="D41" s="7">
        <v>25</v>
      </c>
      <c r="E41" s="7">
        <v>30</v>
      </c>
      <c r="F41" s="7">
        <v>19</v>
      </c>
      <c r="G41" s="7">
        <v>20</v>
      </c>
      <c r="H41" s="7">
        <v>22</v>
      </c>
      <c r="I41" s="7">
        <v>39</v>
      </c>
      <c r="J41" s="7">
        <v>37</v>
      </c>
      <c r="K41" s="7">
        <v>23</v>
      </c>
      <c r="L41" s="7">
        <v>18</v>
      </c>
      <c r="M41" s="7">
        <v>32</v>
      </c>
      <c r="N41" s="7">
        <v>16</v>
      </c>
      <c r="O41" s="7">
        <v>14</v>
      </c>
      <c r="P41" s="7">
        <v>38</v>
      </c>
      <c r="Q41" s="7">
        <v>22</v>
      </c>
      <c r="R41" s="7">
        <v>36</v>
      </c>
      <c r="S41" s="7">
        <v>24</v>
      </c>
      <c r="T41" s="7">
        <v>26</v>
      </c>
      <c r="U41" s="7">
        <v>8</v>
      </c>
      <c r="V41" s="7">
        <v>13</v>
      </c>
      <c r="W41" s="7">
        <v>30</v>
      </c>
      <c r="X41" s="7">
        <v>30</v>
      </c>
      <c r="Y41" s="7">
        <v>25</v>
      </c>
      <c r="Z41" s="7">
        <v>18</v>
      </c>
      <c r="AA41" s="7">
        <v>25</v>
      </c>
      <c r="AB41" s="7">
        <v>11</v>
      </c>
      <c r="AC41" s="7">
        <v>15</v>
      </c>
      <c r="AD41" s="7">
        <v>29</v>
      </c>
      <c r="AE41" s="7">
        <v>30</v>
      </c>
      <c r="AF41" s="8">
        <v>27</v>
      </c>
      <c r="AG41" s="4">
        <f t="shared" si="2"/>
        <v>759</v>
      </c>
    </row>
    <row r="42" spans="1:33" ht="18.75" x14ac:dyDescent="0.25">
      <c r="A42" s="41" t="s">
        <v>48</v>
      </c>
      <c r="B42" s="7">
        <v>17</v>
      </c>
      <c r="C42" s="7">
        <v>9</v>
      </c>
      <c r="D42" s="7">
        <v>10</v>
      </c>
      <c r="E42" s="7">
        <v>18</v>
      </c>
      <c r="F42" s="7">
        <v>21</v>
      </c>
      <c r="G42" s="7">
        <v>15</v>
      </c>
      <c r="H42" s="7">
        <v>17</v>
      </c>
      <c r="I42" s="7">
        <v>32</v>
      </c>
      <c r="J42" s="7">
        <v>21</v>
      </c>
      <c r="K42" s="7">
        <v>11</v>
      </c>
      <c r="L42" s="7">
        <v>25</v>
      </c>
      <c r="M42" s="7">
        <v>22</v>
      </c>
      <c r="N42" s="7">
        <v>16</v>
      </c>
      <c r="O42" s="7">
        <v>17</v>
      </c>
      <c r="P42" s="7">
        <v>14</v>
      </c>
      <c r="Q42" s="7">
        <v>10</v>
      </c>
      <c r="R42" s="7">
        <v>17</v>
      </c>
      <c r="S42" s="7">
        <v>26</v>
      </c>
      <c r="T42" s="7">
        <v>21</v>
      </c>
      <c r="U42" s="7">
        <v>9</v>
      </c>
      <c r="V42" s="7">
        <v>12</v>
      </c>
      <c r="W42" s="7">
        <v>11</v>
      </c>
      <c r="X42" s="7">
        <v>20</v>
      </c>
      <c r="Y42" s="7">
        <v>27</v>
      </c>
      <c r="Z42" s="7">
        <v>12</v>
      </c>
      <c r="AA42" s="7">
        <v>10</v>
      </c>
      <c r="AB42" s="7">
        <v>6</v>
      </c>
      <c r="AC42" s="7">
        <v>10</v>
      </c>
      <c r="AD42" s="7">
        <v>23</v>
      </c>
      <c r="AE42" s="7">
        <v>24</v>
      </c>
      <c r="AF42" s="8">
        <v>13</v>
      </c>
      <c r="AG42" s="4">
        <f t="shared" si="2"/>
        <v>516</v>
      </c>
    </row>
    <row r="43" spans="1:33" ht="18.75" x14ac:dyDescent="0.25">
      <c r="A43" s="41" t="s">
        <v>49</v>
      </c>
      <c r="B43" s="7">
        <v>16</v>
      </c>
      <c r="C43" s="7">
        <v>6</v>
      </c>
      <c r="D43" s="7">
        <v>3</v>
      </c>
      <c r="E43" s="7">
        <v>15</v>
      </c>
      <c r="F43" s="7">
        <v>22</v>
      </c>
      <c r="G43" s="7">
        <v>10</v>
      </c>
      <c r="H43" s="7">
        <v>11</v>
      </c>
      <c r="I43" s="7">
        <v>17</v>
      </c>
      <c r="J43" s="7">
        <v>12</v>
      </c>
      <c r="K43" s="7">
        <v>14</v>
      </c>
      <c r="L43" s="7">
        <v>19</v>
      </c>
      <c r="M43" s="7">
        <v>12</v>
      </c>
      <c r="N43" s="7">
        <v>8</v>
      </c>
      <c r="O43" s="7">
        <v>8</v>
      </c>
      <c r="P43" s="7">
        <v>13</v>
      </c>
      <c r="Q43" s="7">
        <v>9</v>
      </c>
      <c r="R43" s="7">
        <v>10</v>
      </c>
      <c r="S43" s="7">
        <v>20</v>
      </c>
      <c r="T43" s="7">
        <v>16</v>
      </c>
      <c r="U43" s="7">
        <v>7</v>
      </c>
      <c r="V43" s="7">
        <v>7</v>
      </c>
      <c r="W43" s="7">
        <v>7</v>
      </c>
      <c r="X43" s="7">
        <v>7</v>
      </c>
      <c r="Y43" s="7">
        <v>14</v>
      </c>
      <c r="Z43" s="7">
        <v>13</v>
      </c>
      <c r="AA43" s="7">
        <v>15</v>
      </c>
      <c r="AB43" s="7">
        <v>2</v>
      </c>
      <c r="AC43" s="7">
        <v>6</v>
      </c>
      <c r="AD43" s="7">
        <v>14</v>
      </c>
      <c r="AE43" s="7">
        <v>15</v>
      </c>
      <c r="AF43" s="8">
        <v>13</v>
      </c>
      <c r="AG43" s="4">
        <f t="shared" si="2"/>
        <v>361</v>
      </c>
    </row>
    <row r="44" spans="1:33" ht="18.75" x14ac:dyDescent="0.25">
      <c r="A44" s="41" t="s">
        <v>50</v>
      </c>
      <c r="B44" s="7">
        <v>9</v>
      </c>
      <c r="C44" s="7">
        <v>8</v>
      </c>
      <c r="D44" s="7">
        <v>17</v>
      </c>
      <c r="E44" s="7">
        <v>12</v>
      </c>
      <c r="F44" s="7">
        <v>13</v>
      </c>
      <c r="G44" s="7">
        <v>11</v>
      </c>
      <c r="H44" s="7">
        <v>7</v>
      </c>
      <c r="I44" s="7">
        <v>6</v>
      </c>
      <c r="J44" s="7">
        <v>6</v>
      </c>
      <c r="K44" s="7">
        <v>5</v>
      </c>
      <c r="L44" s="7">
        <v>4</v>
      </c>
      <c r="M44" s="7">
        <v>14</v>
      </c>
      <c r="N44" s="7">
        <v>7</v>
      </c>
      <c r="O44" s="7">
        <v>4</v>
      </c>
      <c r="P44" s="7">
        <v>11</v>
      </c>
      <c r="Q44" s="7">
        <v>8</v>
      </c>
      <c r="R44" s="7">
        <v>5</v>
      </c>
      <c r="S44" s="7">
        <v>7</v>
      </c>
      <c r="T44" s="7">
        <v>4</v>
      </c>
      <c r="U44" s="7">
        <v>6</v>
      </c>
      <c r="V44" s="7">
        <v>7</v>
      </c>
      <c r="W44" s="7">
        <v>7</v>
      </c>
      <c r="X44" s="7">
        <v>8</v>
      </c>
      <c r="Y44" s="7">
        <v>13</v>
      </c>
      <c r="Z44" s="7">
        <v>4</v>
      </c>
      <c r="AA44" s="7">
        <v>11</v>
      </c>
      <c r="AB44" s="7">
        <v>6</v>
      </c>
      <c r="AC44" s="7">
        <v>9</v>
      </c>
      <c r="AD44" s="7">
        <v>13</v>
      </c>
      <c r="AE44" s="7">
        <v>10</v>
      </c>
      <c r="AF44" s="8">
        <v>9</v>
      </c>
      <c r="AG44" s="4">
        <f t="shared" si="2"/>
        <v>261</v>
      </c>
    </row>
    <row r="45" spans="1:33" ht="18.75" x14ac:dyDescent="0.25">
      <c r="A45" s="41" t="s">
        <v>33</v>
      </c>
      <c r="B45" s="7">
        <v>5</v>
      </c>
      <c r="C45" s="7">
        <v>4</v>
      </c>
      <c r="D45" s="7">
        <v>9</v>
      </c>
      <c r="E45" s="7">
        <v>7</v>
      </c>
      <c r="F45" s="7">
        <v>5</v>
      </c>
      <c r="G45" s="7">
        <v>11</v>
      </c>
      <c r="H45" s="7">
        <v>10</v>
      </c>
      <c r="I45" s="7">
        <v>1</v>
      </c>
      <c r="J45" s="7">
        <v>5</v>
      </c>
      <c r="K45" s="7">
        <v>5</v>
      </c>
      <c r="L45" s="7">
        <v>6</v>
      </c>
      <c r="M45" s="7">
        <v>6</v>
      </c>
      <c r="N45" s="7">
        <v>5</v>
      </c>
      <c r="O45" s="7">
        <v>6</v>
      </c>
      <c r="P45" s="7">
        <v>3</v>
      </c>
      <c r="Q45" s="7">
        <v>3</v>
      </c>
      <c r="R45" s="7">
        <v>6</v>
      </c>
      <c r="S45" s="7">
        <v>4</v>
      </c>
      <c r="T45" s="7">
        <v>3</v>
      </c>
      <c r="U45" s="7">
        <v>3</v>
      </c>
      <c r="V45" s="7">
        <v>3</v>
      </c>
      <c r="W45" s="7">
        <v>1</v>
      </c>
      <c r="X45" s="7">
        <v>5</v>
      </c>
      <c r="Y45" s="7">
        <v>4</v>
      </c>
      <c r="Z45" s="7">
        <v>4</v>
      </c>
      <c r="AA45" s="7">
        <v>3</v>
      </c>
      <c r="AB45" s="7">
        <v>5</v>
      </c>
      <c r="AC45" s="7">
        <v>2</v>
      </c>
      <c r="AD45" s="7">
        <v>3</v>
      </c>
      <c r="AE45" s="7">
        <v>6</v>
      </c>
      <c r="AF45" s="8">
        <v>2</v>
      </c>
      <c r="AG45" s="4">
        <f t="shared" si="2"/>
        <v>145</v>
      </c>
    </row>
    <row r="46" spans="1:33" ht="18.75" x14ac:dyDescent="0.25">
      <c r="A46" s="41" t="s">
        <v>34</v>
      </c>
      <c r="B46" s="7">
        <v>4</v>
      </c>
      <c r="C46" s="7">
        <v>1</v>
      </c>
      <c r="D46" s="7">
        <v>3</v>
      </c>
      <c r="E46" s="7">
        <v>3</v>
      </c>
      <c r="F46" s="7">
        <v>8</v>
      </c>
      <c r="G46" s="7">
        <v>3</v>
      </c>
      <c r="H46" s="7">
        <v>5</v>
      </c>
      <c r="I46" s="7">
        <v>3</v>
      </c>
      <c r="J46" s="7"/>
      <c r="K46" s="7">
        <v>3</v>
      </c>
      <c r="L46" s="7">
        <v>3</v>
      </c>
      <c r="M46" s="7">
        <v>3</v>
      </c>
      <c r="N46" s="7">
        <v>6</v>
      </c>
      <c r="O46" s="7">
        <v>7</v>
      </c>
      <c r="P46" s="7">
        <v>6</v>
      </c>
      <c r="Q46" s="7">
        <v>3</v>
      </c>
      <c r="R46" s="7">
        <v>6</v>
      </c>
      <c r="S46" s="7">
        <v>3</v>
      </c>
      <c r="T46" s="7">
        <v>5</v>
      </c>
      <c r="U46" s="7">
        <v>3</v>
      </c>
      <c r="V46" s="7">
        <v>1</v>
      </c>
      <c r="W46" s="7">
        <v>1</v>
      </c>
      <c r="X46" s="7">
        <v>3</v>
      </c>
      <c r="Y46" s="7">
        <v>5</v>
      </c>
      <c r="Z46" s="7">
        <v>3</v>
      </c>
      <c r="AA46" s="7">
        <v>4</v>
      </c>
      <c r="AB46" s="7">
        <v>7</v>
      </c>
      <c r="AC46" s="7">
        <v>4</v>
      </c>
      <c r="AD46" s="7">
        <v>4</v>
      </c>
      <c r="AE46" s="7">
        <v>2</v>
      </c>
      <c r="AF46" s="8">
        <v>6</v>
      </c>
      <c r="AG46" s="4">
        <f t="shared" si="2"/>
        <v>118</v>
      </c>
    </row>
    <row r="47" spans="1:33" ht="18.75" x14ac:dyDescent="0.25">
      <c r="A47" s="41" t="s">
        <v>35</v>
      </c>
      <c r="B47" s="7">
        <v>5</v>
      </c>
      <c r="C47" s="7"/>
      <c r="D47" s="7">
        <v>1</v>
      </c>
      <c r="E47" s="7">
        <v>5</v>
      </c>
      <c r="F47" s="7">
        <v>2</v>
      </c>
      <c r="G47" s="7">
        <v>8</v>
      </c>
      <c r="H47" s="7">
        <v>2</v>
      </c>
      <c r="I47" s="7">
        <v>12</v>
      </c>
      <c r="J47" s="7"/>
      <c r="K47" s="7"/>
      <c r="L47" s="7">
        <v>6</v>
      </c>
      <c r="M47" s="7">
        <v>1</v>
      </c>
      <c r="N47" s="7"/>
      <c r="O47" s="7">
        <v>2</v>
      </c>
      <c r="P47" s="7">
        <v>10</v>
      </c>
      <c r="Q47" s="7">
        <v>1</v>
      </c>
      <c r="R47" s="7">
        <v>1</v>
      </c>
      <c r="S47" s="7">
        <v>2</v>
      </c>
      <c r="T47" s="7">
        <v>2</v>
      </c>
      <c r="U47" s="7">
        <v>3</v>
      </c>
      <c r="V47" s="7">
        <v>1</v>
      </c>
      <c r="W47" s="7"/>
      <c r="X47" s="7">
        <v>3</v>
      </c>
      <c r="Y47" s="7">
        <v>2</v>
      </c>
      <c r="Z47" s="7">
        <v>7</v>
      </c>
      <c r="AA47" s="7"/>
      <c r="AB47" s="7">
        <v>5</v>
      </c>
      <c r="AC47" s="7">
        <v>1</v>
      </c>
      <c r="AD47" s="7">
        <v>2</v>
      </c>
      <c r="AE47" s="7">
        <v>1</v>
      </c>
      <c r="AF47" s="8">
        <v>3</v>
      </c>
      <c r="AG47" s="4">
        <f t="shared" si="2"/>
        <v>88</v>
      </c>
    </row>
    <row r="48" spans="1:33" ht="18.75" x14ac:dyDescent="0.25">
      <c r="A48" s="41" t="s">
        <v>36</v>
      </c>
      <c r="B48" s="7">
        <v>2</v>
      </c>
      <c r="C48" s="7">
        <v>2</v>
      </c>
      <c r="D48" s="7">
        <v>2</v>
      </c>
      <c r="E48" s="7"/>
      <c r="F48" s="7"/>
      <c r="G48" s="7">
        <v>2</v>
      </c>
      <c r="H48" s="7">
        <v>1</v>
      </c>
      <c r="I48" s="7">
        <v>2</v>
      </c>
      <c r="J48" s="7"/>
      <c r="K48" s="7">
        <v>3</v>
      </c>
      <c r="L48" s="7">
        <v>2</v>
      </c>
      <c r="M48" s="7"/>
      <c r="N48" s="7">
        <v>1</v>
      </c>
      <c r="O48" s="7">
        <v>1</v>
      </c>
      <c r="P48" s="7"/>
      <c r="Q48" s="7">
        <v>2</v>
      </c>
      <c r="R48" s="7"/>
      <c r="S48" s="7">
        <v>1</v>
      </c>
      <c r="T48" s="7">
        <v>4</v>
      </c>
      <c r="U48" s="7">
        <v>4</v>
      </c>
      <c r="V48" s="7">
        <v>1</v>
      </c>
      <c r="W48" s="7">
        <v>2</v>
      </c>
      <c r="X48" s="7"/>
      <c r="Y48" s="7">
        <v>1</v>
      </c>
      <c r="Z48" s="7">
        <v>4</v>
      </c>
      <c r="AA48" s="7">
        <v>1</v>
      </c>
      <c r="AB48" s="7">
        <v>4</v>
      </c>
      <c r="AC48" s="7"/>
      <c r="AD48" s="7">
        <v>4</v>
      </c>
      <c r="AE48" s="7"/>
      <c r="AF48" s="8">
        <v>2</v>
      </c>
      <c r="AG48" s="4">
        <f t="shared" si="2"/>
        <v>48</v>
      </c>
    </row>
    <row r="49" spans="1:33" ht="18.75" x14ac:dyDescent="0.25">
      <c r="A49" s="41" t="s">
        <v>51</v>
      </c>
      <c r="B49" s="7">
        <v>1</v>
      </c>
      <c r="C49" s="7">
        <v>2</v>
      </c>
      <c r="D49" s="7">
        <v>5</v>
      </c>
      <c r="E49" s="7">
        <v>2</v>
      </c>
      <c r="F49" s="7">
        <v>1</v>
      </c>
      <c r="G49" s="7">
        <v>2</v>
      </c>
      <c r="H49" s="7">
        <v>2</v>
      </c>
      <c r="I49" s="7">
        <v>3</v>
      </c>
      <c r="J49" s="7"/>
      <c r="K49" s="7">
        <v>2</v>
      </c>
      <c r="L49" s="7">
        <v>1</v>
      </c>
      <c r="M49" s="7"/>
      <c r="N49" s="7"/>
      <c r="O49" s="7">
        <v>1</v>
      </c>
      <c r="P49" s="7">
        <v>2</v>
      </c>
      <c r="Q49" s="7"/>
      <c r="R49" s="7">
        <v>1</v>
      </c>
      <c r="S49" s="7">
        <v>1</v>
      </c>
      <c r="T49" s="7"/>
      <c r="U49" s="7"/>
      <c r="V49" s="7"/>
      <c r="W49" s="7"/>
      <c r="X49" s="7"/>
      <c r="Y49" s="7">
        <v>2</v>
      </c>
      <c r="Z49" s="7">
        <v>4</v>
      </c>
      <c r="AA49" s="7">
        <v>4</v>
      </c>
      <c r="AB49" s="7">
        <v>2</v>
      </c>
      <c r="AC49" s="7"/>
      <c r="AD49" s="7"/>
      <c r="AE49" s="7"/>
      <c r="AF49" s="8"/>
      <c r="AG49" s="4">
        <f t="shared" si="2"/>
        <v>38</v>
      </c>
    </row>
    <row r="50" spans="1:33" ht="18.75" x14ac:dyDescent="0.25">
      <c r="A50" s="41" t="s">
        <v>52</v>
      </c>
      <c r="B50" s="7">
        <v>2</v>
      </c>
      <c r="C50" s="7">
        <v>1</v>
      </c>
      <c r="D50" s="7"/>
      <c r="E50" s="7">
        <v>2</v>
      </c>
      <c r="F50" s="7">
        <v>1</v>
      </c>
      <c r="G50" s="7"/>
      <c r="H50" s="7"/>
      <c r="I50" s="7"/>
      <c r="J50" s="7">
        <v>1</v>
      </c>
      <c r="K50" s="7">
        <v>1</v>
      </c>
      <c r="L50" s="7"/>
      <c r="M50" s="7"/>
      <c r="N50" s="7">
        <v>4</v>
      </c>
      <c r="O50" s="7">
        <v>1</v>
      </c>
      <c r="P50" s="7">
        <v>2</v>
      </c>
      <c r="Q50" s="7"/>
      <c r="R50" s="7">
        <v>1</v>
      </c>
      <c r="S50" s="7">
        <v>1</v>
      </c>
      <c r="T50" s="7"/>
      <c r="U50" s="7"/>
      <c r="V50" s="7">
        <v>1</v>
      </c>
      <c r="W50" s="7"/>
      <c r="X50" s="7">
        <v>2</v>
      </c>
      <c r="Y50" s="7"/>
      <c r="Z50" s="7">
        <v>1</v>
      </c>
      <c r="AA50" s="7">
        <v>2</v>
      </c>
      <c r="AB50" s="7">
        <v>2</v>
      </c>
      <c r="AC50" s="7">
        <v>2</v>
      </c>
      <c r="AD50" s="7">
        <v>1</v>
      </c>
      <c r="AE50" s="7">
        <v>1</v>
      </c>
      <c r="AF50" s="8"/>
      <c r="AG50" s="4">
        <f t="shared" si="2"/>
        <v>29</v>
      </c>
    </row>
    <row r="51" spans="1:33" ht="18.75" x14ac:dyDescent="0.25">
      <c r="A51" s="41" t="s">
        <v>37</v>
      </c>
      <c r="B51" s="7">
        <v>1</v>
      </c>
      <c r="C51" s="7"/>
      <c r="D51" s="7">
        <v>2</v>
      </c>
      <c r="E51" s="7"/>
      <c r="F51" s="7"/>
      <c r="G51" s="7">
        <v>2</v>
      </c>
      <c r="H51" s="7">
        <v>1</v>
      </c>
      <c r="I51" s="7"/>
      <c r="J51" s="7"/>
      <c r="K51" s="7">
        <v>1</v>
      </c>
      <c r="L51" s="7"/>
      <c r="M51" s="7">
        <v>1</v>
      </c>
      <c r="N51" s="7">
        <v>1</v>
      </c>
      <c r="O51" s="7"/>
      <c r="P51" s="7">
        <v>1</v>
      </c>
      <c r="Q51" s="7">
        <v>2</v>
      </c>
      <c r="R51" s="7"/>
      <c r="S51" s="7"/>
      <c r="T51" s="7">
        <v>2</v>
      </c>
      <c r="U51" s="7"/>
      <c r="V51" s="7"/>
      <c r="W51" s="7">
        <v>3</v>
      </c>
      <c r="X51" s="7">
        <v>2</v>
      </c>
      <c r="Y51" s="7">
        <v>1</v>
      </c>
      <c r="Z51" s="7"/>
      <c r="AA51" s="7">
        <v>1</v>
      </c>
      <c r="AB51" s="7">
        <v>3</v>
      </c>
      <c r="AC51" s="7"/>
      <c r="AD51" s="7"/>
      <c r="AE51" s="7"/>
      <c r="AF51" s="8">
        <v>2</v>
      </c>
      <c r="AG51" s="4">
        <f t="shared" si="2"/>
        <v>26</v>
      </c>
    </row>
    <row r="52" spans="1:33" ht="19.5" thickBot="1" x14ac:dyDescent="0.3">
      <c r="A52" s="77" t="s">
        <v>53</v>
      </c>
      <c r="B52" s="9">
        <v>3</v>
      </c>
      <c r="C52" s="9">
        <v>1</v>
      </c>
      <c r="D52" s="9">
        <v>1</v>
      </c>
      <c r="E52" s="9"/>
      <c r="F52" s="9">
        <v>1</v>
      </c>
      <c r="G52" s="9">
        <v>1</v>
      </c>
      <c r="H52" s="9"/>
      <c r="I52" s="9"/>
      <c r="J52" s="9">
        <v>2</v>
      </c>
      <c r="K52" s="9">
        <v>2</v>
      </c>
      <c r="L52" s="9"/>
      <c r="M52" s="9">
        <v>1</v>
      </c>
      <c r="N52" s="9">
        <v>3</v>
      </c>
      <c r="O52" s="9">
        <v>1</v>
      </c>
      <c r="P52" s="9">
        <v>1</v>
      </c>
      <c r="Q52" s="9"/>
      <c r="R52" s="9"/>
      <c r="S52" s="9">
        <v>1</v>
      </c>
      <c r="T52" s="9">
        <v>1</v>
      </c>
      <c r="U52" s="9">
        <v>3</v>
      </c>
      <c r="V52" s="9"/>
      <c r="W52" s="9"/>
      <c r="X52" s="9"/>
      <c r="Y52" s="9"/>
      <c r="Z52" s="9"/>
      <c r="AA52" s="9">
        <v>1</v>
      </c>
      <c r="AB52" s="9"/>
      <c r="AC52" s="9"/>
      <c r="AD52" s="9">
        <v>1</v>
      </c>
      <c r="AE52" s="9">
        <v>2</v>
      </c>
      <c r="AF52" s="10">
        <v>2</v>
      </c>
      <c r="AG52" s="108">
        <f t="shared" si="2"/>
        <v>28</v>
      </c>
    </row>
    <row r="53" spans="1:33" ht="19.5" thickBot="1" x14ac:dyDescent="0.3">
      <c r="A53" s="136" t="s">
        <v>108</v>
      </c>
      <c r="B53" s="135">
        <f t="shared" ref="B53:AF53" si="4">SUM(B54:B77)</f>
        <v>13</v>
      </c>
      <c r="C53" s="135">
        <f t="shared" si="4"/>
        <v>6</v>
      </c>
      <c r="D53" s="135">
        <f t="shared" si="4"/>
        <v>10</v>
      </c>
      <c r="E53" s="135">
        <f t="shared" si="4"/>
        <v>15</v>
      </c>
      <c r="F53" s="135">
        <f t="shared" si="4"/>
        <v>9</v>
      </c>
      <c r="G53" s="135">
        <f t="shared" si="4"/>
        <v>4</v>
      </c>
      <c r="H53" s="135">
        <f t="shared" si="4"/>
        <v>2</v>
      </c>
      <c r="I53" s="135">
        <f t="shared" si="4"/>
        <v>23</v>
      </c>
      <c r="J53" s="135">
        <f t="shared" si="4"/>
        <v>11</v>
      </c>
      <c r="K53" s="135">
        <f t="shared" si="4"/>
        <v>8</v>
      </c>
      <c r="L53" s="135">
        <f t="shared" si="4"/>
        <v>14</v>
      </c>
      <c r="M53" s="135">
        <f t="shared" si="4"/>
        <v>2</v>
      </c>
      <c r="N53" s="135">
        <f t="shared" si="4"/>
        <v>6</v>
      </c>
      <c r="O53" s="135">
        <f t="shared" si="4"/>
        <v>7</v>
      </c>
      <c r="P53" s="135">
        <f t="shared" si="4"/>
        <v>7</v>
      </c>
      <c r="Q53" s="135">
        <f t="shared" si="4"/>
        <v>6</v>
      </c>
      <c r="R53" s="135">
        <f t="shared" si="4"/>
        <v>4</v>
      </c>
      <c r="S53" s="135">
        <f t="shared" si="4"/>
        <v>9</v>
      </c>
      <c r="T53" s="135">
        <f t="shared" si="4"/>
        <v>6</v>
      </c>
      <c r="U53" s="135">
        <f t="shared" si="4"/>
        <v>4</v>
      </c>
      <c r="V53" s="135">
        <f t="shared" si="4"/>
        <v>8</v>
      </c>
      <c r="W53" s="135">
        <f t="shared" si="4"/>
        <v>11</v>
      </c>
      <c r="X53" s="135">
        <f t="shared" si="4"/>
        <v>10</v>
      </c>
      <c r="Y53" s="135">
        <f t="shared" si="4"/>
        <v>11</v>
      </c>
      <c r="Z53" s="135">
        <f t="shared" si="4"/>
        <v>5</v>
      </c>
      <c r="AA53" s="135">
        <f t="shared" si="4"/>
        <v>6</v>
      </c>
      <c r="AB53" s="135">
        <f t="shared" si="4"/>
        <v>10</v>
      </c>
      <c r="AC53" s="135">
        <f t="shared" si="4"/>
        <v>3</v>
      </c>
      <c r="AD53" s="135">
        <f t="shared" si="4"/>
        <v>20</v>
      </c>
      <c r="AE53" s="135">
        <f t="shared" si="4"/>
        <v>12</v>
      </c>
      <c r="AF53" s="135">
        <f t="shared" si="4"/>
        <v>5</v>
      </c>
      <c r="AG53" s="116">
        <f t="shared" si="2"/>
        <v>267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1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1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0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0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>
        <v>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>
        <v>2</v>
      </c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4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>
        <v>1</v>
      </c>
      <c r="O59" s="7"/>
      <c r="P59" s="7"/>
      <c r="Q59" s="7"/>
      <c r="R59" s="7"/>
      <c r="S59" s="7"/>
      <c r="T59" s="7"/>
      <c r="U59" s="7"/>
      <c r="V59" s="7">
        <v>2</v>
      </c>
      <c r="W59" s="7"/>
      <c r="X59" s="7"/>
      <c r="Y59" s="7"/>
      <c r="Z59" s="7"/>
      <c r="AA59" s="7"/>
      <c r="AB59" s="7">
        <v>1</v>
      </c>
      <c r="AC59" s="7"/>
      <c r="AD59" s="7"/>
      <c r="AE59" s="7"/>
      <c r="AF59" s="8"/>
      <c r="AG59" s="4">
        <f t="shared" si="2"/>
        <v>4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>
        <v>2</v>
      </c>
      <c r="P60" s="7"/>
      <c r="Q60" s="7"/>
      <c r="R60" s="7"/>
      <c r="S60" s="7"/>
      <c r="T60" s="7"/>
      <c r="U60" s="7">
        <v>1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4">
        <f t="shared" si="2"/>
        <v>3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>
        <v>2</v>
      </c>
      <c r="H61" s="7"/>
      <c r="I61" s="7"/>
      <c r="J61" s="7"/>
      <c r="K61" s="7"/>
      <c r="L61" s="7"/>
      <c r="M61" s="7"/>
      <c r="N61" s="7"/>
      <c r="O61" s="7"/>
      <c r="P61" s="7"/>
      <c r="Q61" s="7">
        <v>2</v>
      </c>
      <c r="R61" s="7"/>
      <c r="S61" s="7"/>
      <c r="T61" s="7"/>
      <c r="U61" s="7">
        <v>2</v>
      </c>
      <c r="V61" s="7">
        <v>1</v>
      </c>
      <c r="W61" s="7"/>
      <c r="X61" s="7"/>
      <c r="Y61" s="7"/>
      <c r="Z61" s="7"/>
      <c r="AA61" s="7"/>
      <c r="AB61" s="7">
        <v>1</v>
      </c>
      <c r="AC61" s="7">
        <v>2</v>
      </c>
      <c r="AD61" s="7"/>
      <c r="AE61" s="7"/>
      <c r="AF61" s="8"/>
      <c r="AG61" s="4">
        <f t="shared" si="2"/>
        <v>10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>
        <v>1</v>
      </c>
      <c r="H62" s="7"/>
      <c r="I62" s="7"/>
      <c r="J62" s="7"/>
      <c r="K62" s="7"/>
      <c r="L62" s="7"/>
      <c r="M62" s="7"/>
      <c r="N62" s="7"/>
      <c r="O62" s="7">
        <v>1</v>
      </c>
      <c r="P62" s="7"/>
      <c r="Q62" s="7"/>
      <c r="R62" s="7"/>
      <c r="S62" s="7"/>
      <c r="T62" s="7"/>
      <c r="U62" s="7"/>
      <c r="V62" s="7">
        <v>1</v>
      </c>
      <c r="W62" s="7"/>
      <c r="X62" s="7"/>
      <c r="Y62" s="7"/>
      <c r="Z62" s="7"/>
      <c r="AA62" s="7"/>
      <c r="AB62" s="7"/>
      <c r="AC62" s="7"/>
      <c r="AD62" s="7"/>
      <c r="AE62" s="7"/>
      <c r="AF62" s="8"/>
      <c r="AG62" s="4">
        <f t="shared" si="2"/>
        <v>3</v>
      </c>
    </row>
    <row r="63" spans="1:33" ht="18.75" x14ac:dyDescent="0.25">
      <c r="A63" s="41" t="s">
        <v>44</v>
      </c>
      <c r="B63" s="7"/>
      <c r="C63" s="7"/>
      <c r="D63" s="7"/>
      <c r="E63" s="7">
        <v>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>
        <v>1</v>
      </c>
      <c r="V63" s="7"/>
      <c r="W63" s="7"/>
      <c r="X63" s="7"/>
      <c r="Y63" s="7"/>
      <c r="Z63" s="7"/>
      <c r="AA63" s="7"/>
      <c r="AB63" s="7"/>
      <c r="AC63" s="7">
        <v>1</v>
      </c>
      <c r="AD63" s="7">
        <v>1</v>
      </c>
      <c r="AE63" s="7"/>
      <c r="AF63" s="8"/>
      <c r="AG63" s="4">
        <f t="shared" si="2"/>
        <v>4</v>
      </c>
    </row>
    <row r="64" spans="1:33" ht="18.75" x14ac:dyDescent="0.25">
      <c r="A64" s="41" t="s">
        <v>45</v>
      </c>
      <c r="B64" s="7">
        <v>4</v>
      </c>
      <c r="C64" s="7">
        <v>4</v>
      </c>
      <c r="D64" s="7">
        <v>5</v>
      </c>
      <c r="E64" s="7">
        <v>5</v>
      </c>
      <c r="F64" s="7">
        <v>3</v>
      </c>
      <c r="G64" s="7">
        <v>1</v>
      </c>
      <c r="H64" s="7"/>
      <c r="I64" s="7">
        <v>5</v>
      </c>
      <c r="J64" s="7"/>
      <c r="K64" s="7">
        <v>3</v>
      </c>
      <c r="L64" s="7">
        <v>6</v>
      </c>
      <c r="M64" s="7">
        <v>1</v>
      </c>
      <c r="N64" s="7"/>
      <c r="O64" s="7">
        <v>1</v>
      </c>
      <c r="P64" s="7">
        <v>1</v>
      </c>
      <c r="Q64" s="7"/>
      <c r="R64" s="7">
        <v>2</v>
      </c>
      <c r="S64" s="7">
        <v>1</v>
      </c>
      <c r="T64" s="7">
        <v>2</v>
      </c>
      <c r="U64" s="7"/>
      <c r="V64" s="7"/>
      <c r="W64" s="7">
        <v>4</v>
      </c>
      <c r="X64" s="7">
        <v>4</v>
      </c>
      <c r="Y64" s="7">
        <v>5</v>
      </c>
      <c r="Z64" s="7"/>
      <c r="AA64" s="7">
        <v>2</v>
      </c>
      <c r="AB64" s="7">
        <v>2</v>
      </c>
      <c r="AC64" s="7"/>
      <c r="AD64" s="7">
        <v>3</v>
      </c>
      <c r="AE64" s="7">
        <v>1</v>
      </c>
      <c r="AF64" s="8">
        <v>1</v>
      </c>
      <c r="AG64" s="4">
        <f t="shared" si="2"/>
        <v>66</v>
      </c>
    </row>
    <row r="65" spans="1:33" ht="18.75" x14ac:dyDescent="0.25">
      <c r="A65" s="41" t="s">
        <v>46</v>
      </c>
      <c r="B65" s="7">
        <v>1</v>
      </c>
      <c r="C65" s="7">
        <v>1</v>
      </c>
      <c r="D65" s="7">
        <v>2</v>
      </c>
      <c r="E65" s="7"/>
      <c r="F65" s="7">
        <v>2</v>
      </c>
      <c r="G65" s="7"/>
      <c r="H65" s="7"/>
      <c r="I65" s="7">
        <v>6</v>
      </c>
      <c r="J65" s="7">
        <v>8</v>
      </c>
      <c r="K65" s="7">
        <v>3</v>
      </c>
      <c r="L65" s="7">
        <v>7</v>
      </c>
      <c r="M65" s="7"/>
      <c r="N65" s="7">
        <v>4</v>
      </c>
      <c r="O65" s="7">
        <v>1</v>
      </c>
      <c r="P65" s="7">
        <v>5</v>
      </c>
      <c r="Q65" s="7"/>
      <c r="R65" s="7"/>
      <c r="S65" s="7">
        <v>4</v>
      </c>
      <c r="T65" s="7"/>
      <c r="U65" s="7"/>
      <c r="V65" s="7"/>
      <c r="W65" s="7">
        <v>3</v>
      </c>
      <c r="X65" s="7">
        <v>6</v>
      </c>
      <c r="Y65" s="7"/>
      <c r="Z65" s="7">
        <v>2</v>
      </c>
      <c r="AA65" s="7"/>
      <c r="AB65" s="7"/>
      <c r="AC65" s="7"/>
      <c r="AD65" s="7">
        <v>7</v>
      </c>
      <c r="AE65" s="7">
        <v>5</v>
      </c>
      <c r="AF65" s="8">
        <v>3</v>
      </c>
      <c r="AG65" s="4">
        <f t="shared" si="2"/>
        <v>70</v>
      </c>
    </row>
    <row r="66" spans="1:33" ht="18.75" x14ac:dyDescent="0.25">
      <c r="A66" s="41" t="s">
        <v>47</v>
      </c>
      <c r="B66" s="7">
        <v>6</v>
      </c>
      <c r="C66" s="7">
        <v>1</v>
      </c>
      <c r="D66" s="7">
        <v>2</v>
      </c>
      <c r="E66" s="7">
        <v>6</v>
      </c>
      <c r="F66" s="7">
        <v>2</v>
      </c>
      <c r="G66" s="7"/>
      <c r="H66" s="7"/>
      <c r="I66" s="7">
        <v>3</v>
      </c>
      <c r="J66" s="7">
        <v>3</v>
      </c>
      <c r="K66" s="7"/>
      <c r="L66" s="7">
        <v>1</v>
      </c>
      <c r="M66" s="7">
        <v>1</v>
      </c>
      <c r="N66" s="7"/>
      <c r="O66" s="7"/>
      <c r="P66" s="7"/>
      <c r="Q66" s="7"/>
      <c r="R66" s="7">
        <v>1</v>
      </c>
      <c r="S66" s="7">
        <v>2</v>
      </c>
      <c r="T66" s="7">
        <v>3</v>
      </c>
      <c r="U66" s="7"/>
      <c r="V66" s="7">
        <v>1</v>
      </c>
      <c r="W66" s="7">
        <v>4</v>
      </c>
      <c r="X66" s="7"/>
      <c r="Y66" s="7">
        <v>5</v>
      </c>
      <c r="Z66" s="7"/>
      <c r="AA66" s="7">
        <v>3</v>
      </c>
      <c r="AB66" s="7">
        <v>1</v>
      </c>
      <c r="AC66" s="7"/>
      <c r="AD66" s="7">
        <v>6</v>
      </c>
      <c r="AE66" s="7">
        <v>5</v>
      </c>
      <c r="AF66" s="8"/>
      <c r="AG66" s="4">
        <f t="shared" si="2"/>
        <v>56</v>
      </c>
    </row>
    <row r="67" spans="1:33" ht="18.75" x14ac:dyDescent="0.25">
      <c r="A67" s="41" t="s">
        <v>48</v>
      </c>
      <c r="B67" s="7">
        <v>1</v>
      </c>
      <c r="C67" s="7"/>
      <c r="D67" s="7"/>
      <c r="E67" s="7">
        <v>3</v>
      </c>
      <c r="F67" s="7"/>
      <c r="G67" s="7"/>
      <c r="H67" s="7"/>
      <c r="I67" s="7">
        <v>4</v>
      </c>
      <c r="J67" s="7"/>
      <c r="K67" s="7"/>
      <c r="L67" s="7"/>
      <c r="M67" s="7"/>
      <c r="N67" s="7"/>
      <c r="O67" s="7">
        <v>1</v>
      </c>
      <c r="P67" s="7"/>
      <c r="Q67" s="7"/>
      <c r="R67" s="7"/>
      <c r="S67" s="7">
        <v>1</v>
      </c>
      <c r="T67" s="7"/>
      <c r="U67" s="7"/>
      <c r="V67" s="7"/>
      <c r="W67" s="7"/>
      <c r="X67" s="7"/>
      <c r="Y67" s="7">
        <v>1</v>
      </c>
      <c r="Z67" s="7"/>
      <c r="AA67" s="7"/>
      <c r="AB67" s="7"/>
      <c r="AC67" s="7"/>
      <c r="AD67" s="7">
        <v>2</v>
      </c>
      <c r="AE67" s="7"/>
      <c r="AF67" s="8"/>
      <c r="AG67" s="4">
        <f t="shared" si="2"/>
        <v>13</v>
      </c>
    </row>
    <row r="68" spans="1:33" ht="18.75" x14ac:dyDescent="0.25">
      <c r="A68" s="41" t="s">
        <v>49</v>
      </c>
      <c r="B68" s="7">
        <v>1</v>
      </c>
      <c r="C68" s="7"/>
      <c r="D68" s="7"/>
      <c r="E68" s="7"/>
      <c r="F68" s="7">
        <v>1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2</v>
      </c>
      <c r="R68" s="7"/>
      <c r="S68" s="7"/>
      <c r="T68" s="7"/>
      <c r="U68" s="7"/>
      <c r="V68" s="7"/>
      <c r="W68" s="7"/>
      <c r="X68" s="7"/>
      <c r="Y68" s="7"/>
      <c r="Z68" s="7"/>
      <c r="AA68" s="7">
        <v>1</v>
      </c>
      <c r="AB68" s="7"/>
      <c r="AC68" s="7"/>
      <c r="AD68" s="7">
        <v>1</v>
      </c>
      <c r="AE68" s="7"/>
      <c r="AF68" s="8"/>
      <c r="AG68" s="4">
        <f t="shared" si="2"/>
        <v>6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>
        <v>1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>
        <v>1</v>
      </c>
      <c r="W69" s="7"/>
      <c r="X69" s="7"/>
      <c r="Y69" s="7"/>
      <c r="Z69" s="7">
        <v>1</v>
      </c>
      <c r="AA69" s="7"/>
      <c r="AB69" s="7"/>
      <c r="AC69" s="7"/>
      <c r="AD69" s="7"/>
      <c r="AE69" s="7">
        <v>1</v>
      </c>
      <c r="AF69" s="8"/>
      <c r="AG69" s="4">
        <f t="shared" si="2"/>
        <v>4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>
        <v>1</v>
      </c>
      <c r="G70" s="7"/>
      <c r="H70" s="114"/>
      <c r="I70" s="7"/>
      <c r="J70" s="114"/>
      <c r="K70" s="114"/>
      <c r="L70" s="114"/>
      <c r="M70" s="114"/>
      <c r="N70" s="114"/>
      <c r="O70" s="114">
        <v>1</v>
      </c>
      <c r="P70" s="114"/>
      <c r="Q70" s="114"/>
      <c r="R70" s="114">
        <v>1</v>
      </c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>
        <v>1</v>
      </c>
      <c r="AG70" s="4">
        <f t="shared" si="2"/>
        <v>4</v>
      </c>
    </row>
    <row r="71" spans="1:33" ht="18.75" x14ac:dyDescent="0.25">
      <c r="A71" s="41" t="s">
        <v>34</v>
      </c>
      <c r="B71" s="114"/>
      <c r="C71" s="114"/>
      <c r="D71" s="7">
        <v>1</v>
      </c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>
        <v>1</v>
      </c>
      <c r="Q71" s="114">
        <v>1</v>
      </c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>
        <v>5</v>
      </c>
      <c r="AC71" s="114"/>
      <c r="AD71" s="114"/>
      <c r="AE71" s="114"/>
      <c r="AF71" s="115"/>
      <c r="AG71" s="4">
        <f t="shared" si="2"/>
        <v>8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>
        <v>4</v>
      </c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4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>
        <v>1</v>
      </c>
      <c r="U73" s="114"/>
      <c r="V73" s="114"/>
      <c r="W73" s="114"/>
      <c r="X73" s="114"/>
      <c r="Y73" s="114"/>
      <c r="Z73" s="114">
        <v>2</v>
      </c>
      <c r="AA73" s="114"/>
      <c r="AB73" s="114"/>
      <c r="AC73" s="114"/>
      <c r="AD73" s="114"/>
      <c r="AE73" s="114"/>
      <c r="AF73" s="115"/>
      <c r="AG73" s="4">
        <f t="shared" si="2"/>
        <v>3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>
        <v>1</v>
      </c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1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>
        <v>1</v>
      </c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>
        <v>1</v>
      </c>
      <c r="L77" s="166"/>
      <c r="M77" s="166"/>
      <c r="N77" s="166"/>
      <c r="O77" s="166"/>
      <c r="P77" s="166"/>
      <c r="Q77" s="166"/>
      <c r="R77" s="166"/>
      <c r="S77" s="166">
        <v>1</v>
      </c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2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175</v>
      </c>
      <c r="C78" s="185">
        <f t="shared" si="5"/>
        <v>128</v>
      </c>
      <c r="D78" s="185">
        <f t="shared" si="5"/>
        <v>164</v>
      </c>
      <c r="E78" s="184">
        <f t="shared" si="5"/>
        <v>167</v>
      </c>
      <c r="F78" s="184">
        <f t="shared" si="5"/>
        <v>165</v>
      </c>
      <c r="G78" s="184">
        <f t="shared" si="5"/>
        <v>247</v>
      </c>
      <c r="H78" s="184">
        <f t="shared" si="5"/>
        <v>241</v>
      </c>
      <c r="I78" s="184">
        <f t="shared" si="5"/>
        <v>205</v>
      </c>
      <c r="J78" s="184">
        <f t="shared" si="5"/>
        <v>154</v>
      </c>
      <c r="K78" s="184">
        <f t="shared" si="5"/>
        <v>133</v>
      </c>
      <c r="L78" s="184">
        <f t="shared" si="5"/>
        <v>155</v>
      </c>
      <c r="M78" s="184">
        <f t="shared" si="5"/>
        <v>159</v>
      </c>
      <c r="N78" s="184">
        <f t="shared" si="5"/>
        <v>243</v>
      </c>
      <c r="O78" s="184">
        <f>SUM(O79:O80)</f>
        <v>232</v>
      </c>
      <c r="P78" s="184">
        <f t="shared" si="5"/>
        <v>187</v>
      </c>
      <c r="Q78" s="184">
        <f t="shared" si="5"/>
        <v>204</v>
      </c>
      <c r="R78" s="184">
        <f t="shared" si="5"/>
        <v>150</v>
      </c>
      <c r="S78" s="184">
        <f t="shared" si="5"/>
        <v>155</v>
      </c>
      <c r="T78" s="184">
        <f t="shared" si="5"/>
        <v>150</v>
      </c>
      <c r="U78" s="184">
        <f t="shared" si="5"/>
        <v>218</v>
      </c>
      <c r="V78" s="184">
        <f t="shared" si="5"/>
        <v>215</v>
      </c>
      <c r="W78" s="184">
        <f t="shared" si="5"/>
        <v>142</v>
      </c>
      <c r="X78" s="184">
        <f t="shared" si="5"/>
        <v>149</v>
      </c>
      <c r="Y78" s="184">
        <f t="shared" si="5"/>
        <v>155</v>
      </c>
      <c r="Z78" s="184">
        <f t="shared" si="5"/>
        <v>135</v>
      </c>
      <c r="AA78" s="184">
        <f t="shared" si="5"/>
        <v>130</v>
      </c>
      <c r="AB78" s="184">
        <f t="shared" si="5"/>
        <v>224</v>
      </c>
      <c r="AC78" s="184">
        <f t="shared" si="5"/>
        <v>201</v>
      </c>
      <c r="AD78" s="184">
        <f t="shared" si="5"/>
        <v>178</v>
      </c>
      <c r="AE78" s="184">
        <f t="shared" si="5"/>
        <v>167</v>
      </c>
      <c r="AF78" s="186">
        <f t="shared" si="5"/>
        <v>150</v>
      </c>
      <c r="AG78" s="116">
        <f t="shared" si="2"/>
        <v>5478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175</v>
      </c>
      <c r="C79" s="114">
        <f t="shared" si="6"/>
        <v>128</v>
      </c>
      <c r="D79" s="114">
        <f t="shared" si="6"/>
        <v>164</v>
      </c>
      <c r="E79" s="114">
        <f t="shared" si="6"/>
        <v>167</v>
      </c>
      <c r="F79" s="114">
        <f t="shared" si="6"/>
        <v>165</v>
      </c>
      <c r="G79" s="114">
        <f t="shared" si="6"/>
        <v>129</v>
      </c>
      <c r="H79" s="114">
        <f t="shared" si="6"/>
        <v>120</v>
      </c>
      <c r="I79" s="114">
        <f t="shared" si="6"/>
        <v>205</v>
      </c>
      <c r="J79" s="114">
        <f t="shared" si="6"/>
        <v>154</v>
      </c>
      <c r="K79" s="114">
        <f t="shared" si="6"/>
        <v>133</v>
      </c>
      <c r="L79" s="114">
        <f t="shared" si="6"/>
        <v>155</v>
      </c>
      <c r="M79" s="114">
        <f t="shared" si="6"/>
        <v>159</v>
      </c>
      <c r="N79" s="114">
        <f t="shared" si="6"/>
        <v>106</v>
      </c>
      <c r="O79" s="114">
        <f t="shared" si="6"/>
        <v>101</v>
      </c>
      <c r="P79" s="114">
        <f t="shared" si="6"/>
        <v>187</v>
      </c>
      <c r="Q79" s="114">
        <f t="shared" si="6"/>
        <v>204</v>
      </c>
      <c r="R79" s="114">
        <f t="shared" si="6"/>
        <v>149</v>
      </c>
      <c r="S79" s="114">
        <f t="shared" si="6"/>
        <v>155</v>
      </c>
      <c r="T79" s="114">
        <f t="shared" si="6"/>
        <v>150</v>
      </c>
      <c r="U79" s="114">
        <f t="shared" si="6"/>
        <v>84</v>
      </c>
      <c r="V79" s="114">
        <f t="shared" si="6"/>
        <v>81</v>
      </c>
      <c r="W79" s="114">
        <f t="shared" si="6"/>
        <v>142</v>
      </c>
      <c r="X79" s="114">
        <f t="shared" si="6"/>
        <v>149</v>
      </c>
      <c r="Y79" s="114">
        <f t="shared" si="6"/>
        <v>155</v>
      </c>
      <c r="Z79" s="114">
        <f t="shared" si="6"/>
        <v>135</v>
      </c>
      <c r="AA79" s="114">
        <f t="shared" si="6"/>
        <v>130</v>
      </c>
      <c r="AB79" s="114">
        <f t="shared" si="6"/>
        <v>95</v>
      </c>
      <c r="AC79" s="114">
        <f t="shared" si="6"/>
        <v>78</v>
      </c>
      <c r="AD79" s="114">
        <f t="shared" si="6"/>
        <v>178</v>
      </c>
      <c r="AE79" s="114">
        <f t="shared" si="6"/>
        <v>167</v>
      </c>
      <c r="AF79" s="114">
        <f t="shared" si="6"/>
        <v>150</v>
      </c>
      <c r="AG79" s="132">
        <f t="shared" si="2"/>
        <v>4450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118</v>
      </c>
      <c r="H80" s="9">
        <f>SUM(H4:H12)</f>
        <v>121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137</v>
      </c>
      <c r="O80" s="9">
        <f>SUM(O4:O12)</f>
        <v>131</v>
      </c>
      <c r="P80" s="11"/>
      <c r="Q80" s="11"/>
      <c r="R80" s="9">
        <f>SUM(R4:R12)</f>
        <v>1</v>
      </c>
      <c r="S80" s="9">
        <f>SUM(S4:S12)</f>
        <v>0</v>
      </c>
      <c r="T80" s="9">
        <f>SUM(T4:T12)</f>
        <v>0</v>
      </c>
      <c r="U80" s="9">
        <f>SUM(U4:U12)</f>
        <v>134</v>
      </c>
      <c r="V80" s="9">
        <f>SUM(V4:V12)</f>
        <v>134</v>
      </c>
      <c r="W80" s="11"/>
      <c r="X80" s="11"/>
      <c r="Y80" s="9">
        <f>SUM(Y4:Y12)</f>
        <v>0</v>
      </c>
      <c r="Z80" s="11"/>
      <c r="AA80" s="9">
        <f>SUM(AA4:AA12)</f>
        <v>0</v>
      </c>
      <c r="AB80" s="9">
        <f>SUM(AB4:AB12)</f>
        <v>129</v>
      </c>
      <c r="AC80" s="9">
        <f>SUM(AC4:AC12)</f>
        <v>123</v>
      </c>
      <c r="AD80" s="11"/>
      <c r="AE80" s="11"/>
      <c r="AF80" s="9">
        <f>SUM(AF4:AF12)</f>
        <v>0</v>
      </c>
      <c r="AG80" s="108">
        <f t="shared" si="2"/>
        <v>1028</v>
      </c>
    </row>
    <row r="81" spans="1:35" ht="19.5" thickBot="1" x14ac:dyDescent="0.3">
      <c r="A81" s="183" t="s">
        <v>98</v>
      </c>
      <c r="B81" s="184">
        <f t="shared" ref="B81:AF81" si="7">SUM(B82:B83)</f>
        <v>13</v>
      </c>
      <c r="C81" s="184">
        <f t="shared" si="7"/>
        <v>6</v>
      </c>
      <c r="D81" s="184">
        <f t="shared" si="7"/>
        <v>10</v>
      </c>
      <c r="E81" s="184">
        <f t="shared" si="7"/>
        <v>15</v>
      </c>
      <c r="F81" s="184">
        <f t="shared" si="7"/>
        <v>9</v>
      </c>
      <c r="G81" s="184">
        <f t="shared" si="7"/>
        <v>4</v>
      </c>
      <c r="H81" s="184">
        <f t="shared" si="7"/>
        <v>2</v>
      </c>
      <c r="I81" s="184">
        <f t="shared" si="7"/>
        <v>23</v>
      </c>
      <c r="J81" s="184">
        <f t="shared" si="7"/>
        <v>11</v>
      </c>
      <c r="K81" s="184">
        <f t="shared" si="7"/>
        <v>8</v>
      </c>
      <c r="L81" s="184">
        <f t="shared" si="7"/>
        <v>14</v>
      </c>
      <c r="M81" s="184">
        <f t="shared" si="7"/>
        <v>2</v>
      </c>
      <c r="N81" s="184">
        <f t="shared" si="7"/>
        <v>6</v>
      </c>
      <c r="O81" s="184">
        <f t="shared" si="7"/>
        <v>7</v>
      </c>
      <c r="P81" s="184">
        <f t="shared" si="7"/>
        <v>7</v>
      </c>
      <c r="Q81" s="184">
        <f t="shared" si="7"/>
        <v>6</v>
      </c>
      <c r="R81" s="184">
        <f t="shared" si="7"/>
        <v>4</v>
      </c>
      <c r="S81" s="184">
        <f t="shared" si="7"/>
        <v>9</v>
      </c>
      <c r="T81" s="184">
        <f t="shared" si="7"/>
        <v>6</v>
      </c>
      <c r="U81" s="184">
        <f t="shared" si="7"/>
        <v>4</v>
      </c>
      <c r="V81" s="184">
        <f t="shared" si="7"/>
        <v>8</v>
      </c>
      <c r="W81" s="184">
        <f t="shared" si="7"/>
        <v>11</v>
      </c>
      <c r="X81" s="184">
        <f t="shared" si="7"/>
        <v>10</v>
      </c>
      <c r="Y81" s="184">
        <f t="shared" si="7"/>
        <v>11</v>
      </c>
      <c r="Z81" s="184">
        <f>SUM(Z82:Z83)</f>
        <v>5</v>
      </c>
      <c r="AA81" s="184">
        <f t="shared" si="7"/>
        <v>6</v>
      </c>
      <c r="AB81" s="184">
        <f t="shared" si="7"/>
        <v>10</v>
      </c>
      <c r="AC81" s="184">
        <f t="shared" si="7"/>
        <v>3</v>
      </c>
      <c r="AD81" s="184">
        <f t="shared" si="7"/>
        <v>20</v>
      </c>
      <c r="AE81" s="184">
        <f t="shared" si="7"/>
        <v>12</v>
      </c>
      <c r="AF81" s="184">
        <f t="shared" si="7"/>
        <v>5</v>
      </c>
      <c r="AG81" s="116">
        <f t="shared" si="2"/>
        <v>267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14">
        <f t="shared" si="8"/>
        <v>0</v>
      </c>
      <c r="D82" s="114">
        <f t="shared" si="8"/>
        <v>0</v>
      </c>
      <c r="E82" s="114">
        <f t="shared" si="8"/>
        <v>0</v>
      </c>
      <c r="F82" s="114">
        <f t="shared" si="8"/>
        <v>0</v>
      </c>
      <c r="G82" s="182"/>
      <c r="H82" s="182"/>
      <c r="I82" s="114">
        <f t="shared" si="8"/>
        <v>0</v>
      </c>
      <c r="J82" s="114">
        <f t="shared" si="8"/>
        <v>0</v>
      </c>
      <c r="K82" s="114">
        <f t="shared" si="8"/>
        <v>0</v>
      </c>
      <c r="L82" s="114">
        <f t="shared" si="8"/>
        <v>0</v>
      </c>
      <c r="M82" s="114">
        <f t="shared" si="8"/>
        <v>0</v>
      </c>
      <c r="N82" s="182"/>
      <c r="O82" s="182"/>
      <c r="P82" s="114">
        <f t="shared" si="8"/>
        <v>0</v>
      </c>
      <c r="Q82" s="182"/>
      <c r="R82" s="114">
        <f t="shared" si="8"/>
        <v>0</v>
      </c>
      <c r="S82" s="114">
        <f t="shared" si="8"/>
        <v>0</v>
      </c>
      <c r="T82" s="114">
        <f t="shared" si="8"/>
        <v>0</v>
      </c>
      <c r="U82" s="182"/>
      <c r="V82" s="182"/>
      <c r="W82" s="114">
        <f t="shared" si="8"/>
        <v>0</v>
      </c>
      <c r="X82" s="114">
        <f t="shared" si="8"/>
        <v>0</v>
      </c>
      <c r="Y82" s="114">
        <f t="shared" si="8"/>
        <v>0</v>
      </c>
      <c r="Z82" s="114">
        <f t="shared" si="8"/>
        <v>0</v>
      </c>
      <c r="AA82" s="114">
        <f t="shared" si="8"/>
        <v>0</v>
      </c>
      <c r="AB82" s="182"/>
      <c r="AC82" s="182"/>
      <c r="AD82" s="114">
        <f t="shared" si="8"/>
        <v>0</v>
      </c>
      <c r="AE82" s="114">
        <f t="shared" si="8"/>
        <v>0</v>
      </c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13</v>
      </c>
      <c r="C83" s="9">
        <f t="shared" ref="C83" si="10">SUM(C54:C77)-C82</f>
        <v>6</v>
      </c>
      <c r="D83" s="9">
        <f t="shared" ref="D83:AF83" si="11">SUM(D54:D77)-D82</f>
        <v>10</v>
      </c>
      <c r="E83" s="9">
        <f t="shared" si="11"/>
        <v>15</v>
      </c>
      <c r="F83" s="9">
        <f t="shared" si="11"/>
        <v>9</v>
      </c>
      <c r="G83" s="9">
        <f t="shared" si="11"/>
        <v>4</v>
      </c>
      <c r="H83" s="9">
        <f t="shared" si="11"/>
        <v>2</v>
      </c>
      <c r="I83" s="9">
        <f t="shared" si="11"/>
        <v>23</v>
      </c>
      <c r="J83" s="9">
        <f t="shared" si="11"/>
        <v>11</v>
      </c>
      <c r="K83" s="9">
        <f t="shared" si="11"/>
        <v>8</v>
      </c>
      <c r="L83" s="9">
        <f t="shared" si="11"/>
        <v>14</v>
      </c>
      <c r="M83" s="9">
        <f t="shared" si="11"/>
        <v>2</v>
      </c>
      <c r="N83" s="9">
        <f t="shared" si="11"/>
        <v>6</v>
      </c>
      <c r="O83" s="9">
        <f t="shared" si="11"/>
        <v>7</v>
      </c>
      <c r="P83" s="9">
        <f t="shared" si="11"/>
        <v>7</v>
      </c>
      <c r="Q83" s="9">
        <f t="shared" si="11"/>
        <v>6</v>
      </c>
      <c r="R83" s="9">
        <f t="shared" si="11"/>
        <v>4</v>
      </c>
      <c r="S83" s="9">
        <f t="shared" si="11"/>
        <v>9</v>
      </c>
      <c r="T83" s="9">
        <f t="shared" si="11"/>
        <v>6</v>
      </c>
      <c r="U83" s="9">
        <f t="shared" si="11"/>
        <v>4</v>
      </c>
      <c r="V83" s="9">
        <f t="shared" si="11"/>
        <v>8</v>
      </c>
      <c r="W83" s="9">
        <f t="shared" si="11"/>
        <v>11</v>
      </c>
      <c r="X83" s="9">
        <f t="shared" si="11"/>
        <v>10</v>
      </c>
      <c r="Y83" s="9">
        <f t="shared" si="11"/>
        <v>11</v>
      </c>
      <c r="Z83" s="9">
        <f t="shared" si="11"/>
        <v>5</v>
      </c>
      <c r="AA83" s="9">
        <f t="shared" si="11"/>
        <v>6</v>
      </c>
      <c r="AB83" s="9">
        <f t="shared" si="11"/>
        <v>10</v>
      </c>
      <c r="AC83" s="9">
        <f t="shared" si="11"/>
        <v>3</v>
      </c>
      <c r="AD83" s="9">
        <f t="shared" si="11"/>
        <v>20</v>
      </c>
      <c r="AE83" s="9">
        <f t="shared" si="11"/>
        <v>12</v>
      </c>
      <c r="AF83" s="9">
        <f t="shared" si="11"/>
        <v>5</v>
      </c>
      <c r="AG83" s="4">
        <f t="shared" si="2"/>
        <v>267</v>
      </c>
    </row>
    <row r="84" spans="1:35" ht="19.5" thickBot="1" x14ac:dyDescent="0.3">
      <c r="A84" s="164" t="s">
        <v>146</v>
      </c>
      <c r="B84" s="165">
        <f>SUM(B85:B86)</f>
        <v>13</v>
      </c>
      <c r="C84" s="165">
        <f t="shared" ref="C84:AF84" si="12">SUM(C85:C86)</f>
        <v>6</v>
      </c>
      <c r="D84" s="165">
        <f t="shared" si="12"/>
        <v>10</v>
      </c>
      <c r="E84" s="165">
        <f t="shared" si="12"/>
        <v>15</v>
      </c>
      <c r="F84" s="165">
        <f t="shared" si="12"/>
        <v>9</v>
      </c>
      <c r="G84" s="165">
        <f t="shared" si="12"/>
        <v>4</v>
      </c>
      <c r="H84" s="165">
        <f t="shared" si="12"/>
        <v>2</v>
      </c>
      <c r="I84" s="165">
        <f t="shared" si="12"/>
        <v>23</v>
      </c>
      <c r="J84" s="165">
        <f t="shared" si="12"/>
        <v>11</v>
      </c>
      <c r="K84" s="165">
        <f t="shared" si="12"/>
        <v>8</v>
      </c>
      <c r="L84" s="165">
        <f t="shared" si="12"/>
        <v>14</v>
      </c>
      <c r="M84" s="165">
        <f t="shared" si="12"/>
        <v>2</v>
      </c>
      <c r="N84" s="165">
        <f t="shared" si="12"/>
        <v>6</v>
      </c>
      <c r="O84" s="165">
        <f t="shared" si="12"/>
        <v>7</v>
      </c>
      <c r="P84" s="165">
        <f t="shared" si="12"/>
        <v>7</v>
      </c>
      <c r="Q84" s="165">
        <f t="shared" si="12"/>
        <v>6</v>
      </c>
      <c r="R84" s="165">
        <f t="shared" si="12"/>
        <v>4</v>
      </c>
      <c r="S84" s="165">
        <f t="shared" si="12"/>
        <v>9</v>
      </c>
      <c r="T84" s="165">
        <f t="shared" si="12"/>
        <v>6</v>
      </c>
      <c r="U84" s="165">
        <f t="shared" si="12"/>
        <v>4</v>
      </c>
      <c r="V84" s="165">
        <f t="shared" si="12"/>
        <v>8</v>
      </c>
      <c r="W84" s="165">
        <f t="shared" si="12"/>
        <v>11</v>
      </c>
      <c r="X84" s="165">
        <f t="shared" si="12"/>
        <v>10</v>
      </c>
      <c r="Y84" s="165">
        <f t="shared" si="12"/>
        <v>11</v>
      </c>
      <c r="Z84" s="165">
        <f t="shared" si="12"/>
        <v>5</v>
      </c>
      <c r="AA84" s="165">
        <f t="shared" si="12"/>
        <v>6</v>
      </c>
      <c r="AB84" s="165">
        <f t="shared" si="12"/>
        <v>10</v>
      </c>
      <c r="AC84" s="165">
        <f t="shared" si="12"/>
        <v>3</v>
      </c>
      <c r="AD84" s="165">
        <f t="shared" si="12"/>
        <v>20</v>
      </c>
      <c r="AE84" s="165">
        <f t="shared" si="12"/>
        <v>12</v>
      </c>
      <c r="AF84" s="165">
        <f t="shared" si="12"/>
        <v>5</v>
      </c>
      <c r="AG84" s="171">
        <f t="shared" ref="AG84:AG126" si="13">SUM(B84:AF84)</f>
        <v>267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1</v>
      </c>
      <c r="C85" s="169">
        <v>2</v>
      </c>
      <c r="D85" s="169">
        <v>0</v>
      </c>
      <c r="E85" s="169">
        <v>3</v>
      </c>
      <c r="F85" s="169">
        <v>0</v>
      </c>
      <c r="G85" s="169">
        <v>0</v>
      </c>
      <c r="H85" s="169">
        <v>0</v>
      </c>
      <c r="I85" s="169">
        <v>4</v>
      </c>
      <c r="J85" s="169">
        <v>2</v>
      </c>
      <c r="K85" s="169">
        <v>0</v>
      </c>
      <c r="L85" s="169">
        <v>1</v>
      </c>
      <c r="M85" s="169">
        <v>0</v>
      </c>
      <c r="N85" s="169">
        <v>2</v>
      </c>
      <c r="O85" s="169">
        <v>3</v>
      </c>
      <c r="P85" s="169">
        <v>2</v>
      </c>
      <c r="Q85" s="169">
        <v>2</v>
      </c>
      <c r="R85" s="169">
        <v>0</v>
      </c>
      <c r="S85" s="169">
        <v>0</v>
      </c>
      <c r="T85" s="169">
        <v>1</v>
      </c>
      <c r="U85" s="169">
        <v>2</v>
      </c>
      <c r="V85" s="169">
        <v>0</v>
      </c>
      <c r="W85" s="169">
        <v>1</v>
      </c>
      <c r="X85" s="169">
        <v>0</v>
      </c>
      <c r="Y85" s="169">
        <v>1</v>
      </c>
      <c r="Z85" s="169">
        <v>0</v>
      </c>
      <c r="AA85" s="169">
        <v>1</v>
      </c>
      <c r="AB85" s="169">
        <v>1</v>
      </c>
      <c r="AC85" s="169">
        <v>0</v>
      </c>
      <c r="AD85" s="169">
        <v>7</v>
      </c>
      <c r="AE85" s="169">
        <v>0</v>
      </c>
      <c r="AF85" s="170">
        <v>1</v>
      </c>
      <c r="AG85" s="168">
        <f t="shared" si="13"/>
        <v>37</v>
      </c>
      <c r="AI85" s="374"/>
    </row>
    <row r="86" spans="1:35" ht="19.5" thickBot="1" x14ac:dyDescent="0.3">
      <c r="A86" s="172" t="s">
        <v>145</v>
      </c>
      <c r="B86" s="173">
        <v>12</v>
      </c>
      <c r="C86" s="173">
        <v>4</v>
      </c>
      <c r="D86" s="173">
        <v>10</v>
      </c>
      <c r="E86" s="173">
        <v>12</v>
      </c>
      <c r="F86" s="173">
        <v>9</v>
      </c>
      <c r="G86" s="173">
        <v>4</v>
      </c>
      <c r="H86" s="173">
        <v>2</v>
      </c>
      <c r="I86" s="173">
        <v>19</v>
      </c>
      <c r="J86" s="173">
        <v>9</v>
      </c>
      <c r="K86" s="173">
        <v>8</v>
      </c>
      <c r="L86" s="173">
        <v>13</v>
      </c>
      <c r="M86" s="173">
        <v>2</v>
      </c>
      <c r="N86" s="173">
        <v>4</v>
      </c>
      <c r="O86" s="173">
        <v>4</v>
      </c>
      <c r="P86" s="173">
        <v>5</v>
      </c>
      <c r="Q86" s="173">
        <v>4</v>
      </c>
      <c r="R86" s="173">
        <v>4</v>
      </c>
      <c r="S86" s="173">
        <v>9</v>
      </c>
      <c r="T86" s="173">
        <v>5</v>
      </c>
      <c r="U86" s="173">
        <v>2</v>
      </c>
      <c r="V86" s="173">
        <v>8</v>
      </c>
      <c r="W86" s="173">
        <v>10</v>
      </c>
      <c r="X86" s="173">
        <v>10</v>
      </c>
      <c r="Y86" s="173">
        <v>10</v>
      </c>
      <c r="Z86" s="173">
        <v>5</v>
      </c>
      <c r="AA86" s="173">
        <v>5</v>
      </c>
      <c r="AB86" s="173">
        <v>9</v>
      </c>
      <c r="AC86" s="173">
        <v>3</v>
      </c>
      <c r="AD86" s="173">
        <v>13</v>
      </c>
      <c r="AE86" s="173">
        <v>12</v>
      </c>
      <c r="AF86" s="174">
        <v>4</v>
      </c>
      <c r="AG86" s="176">
        <f t="shared" si="13"/>
        <v>230</v>
      </c>
      <c r="AI86" s="375"/>
    </row>
    <row r="87" spans="1:35" ht="19.5" thickBot="1" x14ac:dyDescent="0.3">
      <c r="A87" s="177" t="s">
        <v>147</v>
      </c>
      <c r="B87" s="178">
        <f>SUM(B88:B92)</f>
        <v>13</v>
      </c>
      <c r="C87" s="178">
        <f t="shared" ref="C87:AF87" si="14">SUM(C88:C92)</f>
        <v>6</v>
      </c>
      <c r="D87" s="178">
        <f t="shared" si="14"/>
        <v>10</v>
      </c>
      <c r="E87" s="178">
        <f t="shared" si="14"/>
        <v>15</v>
      </c>
      <c r="F87" s="178">
        <f t="shared" si="14"/>
        <v>9</v>
      </c>
      <c r="G87" s="178">
        <f t="shared" si="14"/>
        <v>4</v>
      </c>
      <c r="H87" s="178">
        <f t="shared" si="14"/>
        <v>2</v>
      </c>
      <c r="I87" s="178">
        <f t="shared" si="14"/>
        <v>23</v>
      </c>
      <c r="J87" s="178">
        <f t="shared" si="14"/>
        <v>11</v>
      </c>
      <c r="K87" s="178">
        <f t="shared" si="14"/>
        <v>8</v>
      </c>
      <c r="L87" s="178">
        <f t="shared" si="14"/>
        <v>14</v>
      </c>
      <c r="M87" s="178">
        <f t="shared" si="14"/>
        <v>2</v>
      </c>
      <c r="N87" s="178">
        <f t="shared" si="14"/>
        <v>6</v>
      </c>
      <c r="O87" s="178">
        <f t="shared" si="14"/>
        <v>7</v>
      </c>
      <c r="P87" s="178">
        <f t="shared" si="14"/>
        <v>7</v>
      </c>
      <c r="Q87" s="178">
        <f t="shared" si="14"/>
        <v>6</v>
      </c>
      <c r="R87" s="178">
        <f t="shared" si="14"/>
        <v>4</v>
      </c>
      <c r="S87" s="178">
        <f t="shared" si="14"/>
        <v>9</v>
      </c>
      <c r="T87" s="178">
        <f t="shared" si="14"/>
        <v>6</v>
      </c>
      <c r="U87" s="178">
        <f t="shared" si="14"/>
        <v>4</v>
      </c>
      <c r="V87" s="178">
        <f t="shared" si="14"/>
        <v>8</v>
      </c>
      <c r="W87" s="178">
        <f t="shared" si="14"/>
        <v>11</v>
      </c>
      <c r="X87" s="178">
        <f t="shared" si="14"/>
        <v>10</v>
      </c>
      <c r="Y87" s="178">
        <f t="shared" si="14"/>
        <v>11</v>
      </c>
      <c r="Z87" s="178">
        <f t="shared" si="14"/>
        <v>5</v>
      </c>
      <c r="AA87" s="178">
        <f t="shared" si="14"/>
        <v>6</v>
      </c>
      <c r="AB87" s="178">
        <f t="shared" si="14"/>
        <v>10</v>
      </c>
      <c r="AC87" s="178">
        <f t="shared" si="14"/>
        <v>3</v>
      </c>
      <c r="AD87" s="178">
        <f t="shared" si="14"/>
        <v>20</v>
      </c>
      <c r="AE87" s="178">
        <f t="shared" si="14"/>
        <v>12</v>
      </c>
      <c r="AF87" s="178">
        <f t="shared" si="14"/>
        <v>5</v>
      </c>
      <c r="AG87" s="179">
        <f t="shared" si="13"/>
        <v>267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5</v>
      </c>
      <c r="C88" s="166">
        <v>4</v>
      </c>
      <c r="D88" s="166">
        <v>5</v>
      </c>
      <c r="E88" s="166">
        <v>7</v>
      </c>
      <c r="F88" s="166">
        <v>4</v>
      </c>
      <c r="G88" s="166">
        <v>0</v>
      </c>
      <c r="H88" s="166">
        <v>1</v>
      </c>
      <c r="I88" s="166">
        <v>12</v>
      </c>
      <c r="J88" s="166">
        <v>3</v>
      </c>
      <c r="K88" s="166">
        <v>3</v>
      </c>
      <c r="L88" s="166">
        <v>7</v>
      </c>
      <c r="M88" s="166">
        <v>1</v>
      </c>
      <c r="N88" s="166">
        <v>0</v>
      </c>
      <c r="O88" s="166">
        <v>4</v>
      </c>
      <c r="P88" s="166">
        <v>3</v>
      </c>
      <c r="Q88" s="166">
        <v>4</v>
      </c>
      <c r="R88" s="166">
        <v>1</v>
      </c>
      <c r="S88" s="166">
        <v>6</v>
      </c>
      <c r="T88" s="166">
        <v>3</v>
      </c>
      <c r="U88" s="166">
        <v>1</v>
      </c>
      <c r="V88" s="166">
        <v>5</v>
      </c>
      <c r="W88" s="166">
        <v>5</v>
      </c>
      <c r="X88" s="166">
        <v>5</v>
      </c>
      <c r="Y88" s="166">
        <v>4</v>
      </c>
      <c r="Z88" s="166">
        <v>1</v>
      </c>
      <c r="AA88" s="166">
        <v>2</v>
      </c>
      <c r="AB88" s="166">
        <v>4</v>
      </c>
      <c r="AC88" s="166">
        <v>0</v>
      </c>
      <c r="AD88" s="166">
        <v>13</v>
      </c>
      <c r="AE88" s="166">
        <v>6</v>
      </c>
      <c r="AF88" s="167">
        <v>3</v>
      </c>
      <c r="AG88" s="132">
        <f t="shared" si="13"/>
        <v>122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>
        <v>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1</v>
      </c>
    </row>
    <row r="91" spans="1:35" ht="18.75" x14ac:dyDescent="0.25">
      <c r="A91" s="105" t="s">
        <v>75</v>
      </c>
      <c r="B91" s="9">
        <v>1</v>
      </c>
      <c r="C91" s="9">
        <v>1</v>
      </c>
      <c r="D91" s="9">
        <v>0</v>
      </c>
      <c r="E91" s="9">
        <v>2</v>
      </c>
      <c r="F91" s="9">
        <v>2</v>
      </c>
      <c r="G91" s="9">
        <v>0</v>
      </c>
      <c r="H91" s="9"/>
      <c r="I91" s="9">
        <v>5</v>
      </c>
      <c r="J91" s="9">
        <v>2</v>
      </c>
      <c r="K91" s="9">
        <v>2</v>
      </c>
      <c r="L91" s="9">
        <v>2</v>
      </c>
      <c r="M91" s="9"/>
      <c r="N91" s="9">
        <v>2</v>
      </c>
      <c r="O91" s="9">
        <v>1</v>
      </c>
      <c r="P91" s="9">
        <v>3</v>
      </c>
      <c r="Q91" s="9"/>
      <c r="R91" s="9">
        <v>1</v>
      </c>
      <c r="S91" s="9">
        <v>2</v>
      </c>
      <c r="T91" s="9"/>
      <c r="U91" s="9">
        <v>2</v>
      </c>
      <c r="V91" s="9">
        <v>1</v>
      </c>
      <c r="W91" s="9">
        <v>1</v>
      </c>
      <c r="X91" s="9">
        <v>1</v>
      </c>
      <c r="Y91" s="9">
        <v>2</v>
      </c>
      <c r="Z91" s="9">
        <v>2</v>
      </c>
      <c r="AA91" s="9"/>
      <c r="AB91" s="9"/>
      <c r="AC91" s="9">
        <v>1</v>
      </c>
      <c r="AD91" s="9">
        <v>2</v>
      </c>
      <c r="AE91" s="9">
        <v>1</v>
      </c>
      <c r="AF91" s="10"/>
      <c r="AG91" s="4">
        <f t="shared" si="13"/>
        <v>39</v>
      </c>
    </row>
    <row r="92" spans="1:35" ht="19.5" thickBot="1" x14ac:dyDescent="0.3">
      <c r="A92" s="105" t="s">
        <v>76</v>
      </c>
      <c r="B92" s="9">
        <v>7</v>
      </c>
      <c r="C92" s="9">
        <v>1</v>
      </c>
      <c r="D92" s="9">
        <v>5</v>
      </c>
      <c r="E92" s="9">
        <v>6</v>
      </c>
      <c r="F92" s="9">
        <v>3</v>
      </c>
      <c r="G92" s="9">
        <v>4</v>
      </c>
      <c r="H92" s="9">
        <v>1</v>
      </c>
      <c r="I92" s="9">
        <v>6</v>
      </c>
      <c r="J92" s="9">
        <v>5</v>
      </c>
      <c r="K92" s="9">
        <v>3</v>
      </c>
      <c r="L92" s="9">
        <v>5</v>
      </c>
      <c r="M92" s="9">
        <v>1</v>
      </c>
      <c r="N92" s="9">
        <v>4</v>
      </c>
      <c r="O92" s="9">
        <v>2</v>
      </c>
      <c r="P92" s="9">
        <v>1</v>
      </c>
      <c r="Q92" s="9">
        <v>2</v>
      </c>
      <c r="R92" s="9">
        <v>2</v>
      </c>
      <c r="S92" s="9">
        <v>1</v>
      </c>
      <c r="T92" s="9">
        <v>3</v>
      </c>
      <c r="U92" s="9">
        <v>1</v>
      </c>
      <c r="V92" s="9">
        <v>2</v>
      </c>
      <c r="W92" s="9">
        <v>5</v>
      </c>
      <c r="X92" s="9">
        <v>4</v>
      </c>
      <c r="Y92" s="9">
        <v>5</v>
      </c>
      <c r="Z92" s="9">
        <v>2</v>
      </c>
      <c r="AA92" s="9">
        <v>4</v>
      </c>
      <c r="AB92" s="9">
        <v>6</v>
      </c>
      <c r="AC92" s="9">
        <v>2</v>
      </c>
      <c r="AD92" s="9">
        <v>5</v>
      </c>
      <c r="AE92" s="9">
        <v>5</v>
      </c>
      <c r="AF92" s="10">
        <v>2</v>
      </c>
      <c r="AG92" s="4">
        <f t="shared" si="13"/>
        <v>105</v>
      </c>
    </row>
    <row r="93" spans="1:35" ht="18.75" x14ac:dyDescent="0.25">
      <c r="A93" s="73" t="s">
        <v>616</v>
      </c>
      <c r="B93" s="74">
        <f t="shared" ref="B93:AF93" si="15">+B94+B100</f>
        <v>162</v>
      </c>
      <c r="C93" s="74">
        <f t="shared" si="15"/>
        <v>122</v>
      </c>
      <c r="D93" s="74">
        <f t="shared" si="15"/>
        <v>154</v>
      </c>
      <c r="E93" s="74">
        <f t="shared" si="15"/>
        <v>152</v>
      </c>
      <c r="F93" s="74">
        <f t="shared" si="15"/>
        <v>156</v>
      </c>
      <c r="G93" s="74">
        <f t="shared" si="15"/>
        <v>243</v>
      </c>
      <c r="H93" s="74">
        <f t="shared" si="15"/>
        <v>239</v>
      </c>
      <c r="I93" s="74">
        <f t="shared" si="15"/>
        <v>182</v>
      </c>
      <c r="J93" s="74">
        <f t="shared" si="15"/>
        <v>143</v>
      </c>
      <c r="K93" s="74">
        <f t="shared" si="15"/>
        <v>125</v>
      </c>
      <c r="L93" s="74">
        <f t="shared" si="15"/>
        <v>141</v>
      </c>
      <c r="M93" s="74">
        <f t="shared" si="15"/>
        <v>157</v>
      </c>
      <c r="N93" s="74">
        <f t="shared" si="15"/>
        <v>237</v>
      </c>
      <c r="O93" s="74">
        <f t="shared" si="15"/>
        <v>225</v>
      </c>
      <c r="P93" s="74">
        <f t="shared" si="15"/>
        <v>180</v>
      </c>
      <c r="Q93" s="74">
        <f t="shared" si="15"/>
        <v>198</v>
      </c>
      <c r="R93" s="74">
        <f t="shared" si="15"/>
        <v>146</v>
      </c>
      <c r="S93" s="74">
        <f t="shared" si="15"/>
        <v>146</v>
      </c>
      <c r="T93" s="74">
        <f t="shared" si="15"/>
        <v>144</v>
      </c>
      <c r="U93" s="74">
        <f t="shared" si="15"/>
        <v>214</v>
      </c>
      <c r="V93" s="74">
        <f t="shared" si="15"/>
        <v>207</v>
      </c>
      <c r="W93" s="74">
        <f t="shared" si="15"/>
        <v>131</v>
      </c>
      <c r="X93" s="74">
        <f t="shared" si="15"/>
        <v>139</v>
      </c>
      <c r="Y93" s="74">
        <f t="shared" si="15"/>
        <v>144</v>
      </c>
      <c r="Z93" s="74">
        <f t="shared" si="15"/>
        <v>130</v>
      </c>
      <c r="AA93" s="74">
        <f t="shared" si="15"/>
        <v>124</v>
      </c>
      <c r="AB93" s="74">
        <f t="shared" si="15"/>
        <v>214</v>
      </c>
      <c r="AC93" s="74">
        <f t="shared" si="15"/>
        <v>198</v>
      </c>
      <c r="AD93" s="74">
        <f t="shared" si="15"/>
        <v>158</v>
      </c>
      <c r="AE93" s="74">
        <f t="shared" si="15"/>
        <v>155</v>
      </c>
      <c r="AF93" s="84">
        <f t="shared" si="15"/>
        <v>145</v>
      </c>
      <c r="AG93" s="150">
        <f t="shared" si="13"/>
        <v>5211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30</v>
      </c>
      <c r="C94" s="17">
        <f t="shared" si="16"/>
        <v>26</v>
      </c>
      <c r="D94" s="17">
        <f t="shared" si="16"/>
        <v>24</v>
      </c>
      <c r="E94" s="17">
        <f t="shared" si="16"/>
        <v>30</v>
      </c>
      <c r="F94" s="17">
        <f t="shared" si="16"/>
        <v>38</v>
      </c>
      <c r="G94" s="17">
        <f t="shared" si="16"/>
        <v>43</v>
      </c>
      <c r="H94" s="17">
        <f t="shared" si="16"/>
        <v>47</v>
      </c>
      <c r="I94" s="17">
        <f t="shared" si="16"/>
        <v>38</v>
      </c>
      <c r="J94" s="17">
        <f t="shared" si="16"/>
        <v>32</v>
      </c>
      <c r="K94" s="17">
        <f t="shared" si="16"/>
        <v>25</v>
      </c>
      <c r="L94" s="17">
        <f t="shared" si="16"/>
        <v>21</v>
      </c>
      <c r="M94" s="17">
        <f t="shared" si="16"/>
        <v>20</v>
      </c>
      <c r="N94" s="17">
        <f t="shared" si="16"/>
        <v>49</v>
      </c>
      <c r="O94" s="17">
        <f t="shared" si="16"/>
        <v>45</v>
      </c>
      <c r="P94" s="17">
        <f t="shared" si="16"/>
        <v>38</v>
      </c>
      <c r="Q94" s="17">
        <f t="shared" si="16"/>
        <v>38</v>
      </c>
      <c r="R94" s="17">
        <f t="shared" si="16"/>
        <v>16</v>
      </c>
      <c r="S94" s="17">
        <f t="shared" si="16"/>
        <v>20</v>
      </c>
      <c r="T94" s="17">
        <f t="shared" si="16"/>
        <v>24</v>
      </c>
      <c r="U94" s="17">
        <f t="shared" si="16"/>
        <v>32</v>
      </c>
      <c r="V94" s="17">
        <f t="shared" si="16"/>
        <v>30</v>
      </c>
      <c r="W94" s="17">
        <f t="shared" si="16"/>
        <v>21</v>
      </c>
      <c r="X94" s="17">
        <f t="shared" si="16"/>
        <v>19</v>
      </c>
      <c r="Y94" s="17">
        <f t="shared" si="16"/>
        <v>18</v>
      </c>
      <c r="Z94" s="17">
        <f t="shared" si="16"/>
        <v>14</v>
      </c>
      <c r="AA94" s="17">
        <f t="shared" si="16"/>
        <v>17</v>
      </c>
      <c r="AB94" s="17">
        <f t="shared" si="16"/>
        <v>35</v>
      </c>
      <c r="AC94" s="17">
        <f t="shared" si="16"/>
        <v>34</v>
      </c>
      <c r="AD94" s="17">
        <f t="shared" si="16"/>
        <v>18</v>
      </c>
      <c r="AE94" s="17">
        <f t="shared" si="16"/>
        <v>27</v>
      </c>
      <c r="AF94" s="18">
        <f t="shared" si="16"/>
        <v>20</v>
      </c>
      <c r="AG94" s="4">
        <f t="shared" si="13"/>
        <v>889</v>
      </c>
    </row>
    <row r="95" spans="1:35" ht="18.75" x14ac:dyDescent="0.25">
      <c r="A95" s="44" t="s">
        <v>81</v>
      </c>
      <c r="B95" s="7">
        <v>1</v>
      </c>
      <c r="C95" s="7">
        <v>3</v>
      </c>
      <c r="D95" s="7"/>
      <c r="E95" s="7">
        <v>2</v>
      </c>
      <c r="F95" s="7">
        <v>2</v>
      </c>
      <c r="G95" s="7">
        <v>2</v>
      </c>
      <c r="H95" s="7">
        <v>1</v>
      </c>
      <c r="I95" s="7">
        <v>6</v>
      </c>
      <c r="J95" s="7">
        <v>1</v>
      </c>
      <c r="K95" s="7">
        <v>1</v>
      </c>
      <c r="L95" s="7">
        <v>2</v>
      </c>
      <c r="M95" s="7">
        <v>1</v>
      </c>
      <c r="N95" s="7">
        <v>1</v>
      </c>
      <c r="O95" s="7">
        <v>4</v>
      </c>
      <c r="P95" s="7">
        <v>1</v>
      </c>
      <c r="Q95" s="7">
        <v>1</v>
      </c>
      <c r="R95" s="7">
        <v>1</v>
      </c>
      <c r="S95" s="7">
        <v>2</v>
      </c>
      <c r="T95" s="7">
        <v>2</v>
      </c>
      <c r="U95" s="7">
        <v>2</v>
      </c>
      <c r="V95" s="7">
        <v>3</v>
      </c>
      <c r="W95" s="7"/>
      <c r="X95" s="7">
        <v>3</v>
      </c>
      <c r="Y95" s="7">
        <v>1</v>
      </c>
      <c r="Z95" s="7"/>
      <c r="AA95" s="7">
        <v>3</v>
      </c>
      <c r="AB95" s="7">
        <v>3</v>
      </c>
      <c r="AC95" s="7">
        <v>2</v>
      </c>
      <c r="AD95" s="7"/>
      <c r="AE95" s="7">
        <v>1</v>
      </c>
      <c r="AF95" s="8"/>
      <c r="AG95" s="4">
        <f t="shared" si="13"/>
        <v>52</v>
      </c>
    </row>
    <row r="96" spans="1:35" ht="18.75" x14ac:dyDescent="0.25">
      <c r="A96" s="45" t="s">
        <v>82</v>
      </c>
      <c r="B96" s="7">
        <v>1</v>
      </c>
      <c r="C96" s="7">
        <v>5</v>
      </c>
      <c r="D96" s="7">
        <v>1</v>
      </c>
      <c r="E96" s="7">
        <v>4</v>
      </c>
      <c r="F96" s="7">
        <v>3</v>
      </c>
      <c r="G96" s="7">
        <v>3</v>
      </c>
      <c r="H96" s="7">
        <v>3</v>
      </c>
      <c r="I96" s="7">
        <v>1</v>
      </c>
      <c r="J96" s="7">
        <v>3</v>
      </c>
      <c r="K96" s="7">
        <v>4</v>
      </c>
      <c r="L96" s="7">
        <v>2</v>
      </c>
      <c r="M96" s="7">
        <v>3</v>
      </c>
      <c r="N96" s="7">
        <v>1</v>
      </c>
      <c r="O96" s="7">
        <v>4</v>
      </c>
      <c r="P96" s="7">
        <v>2</v>
      </c>
      <c r="Q96" s="7">
        <v>4</v>
      </c>
      <c r="R96" s="7"/>
      <c r="S96" s="141">
        <v>1</v>
      </c>
      <c r="T96" s="7">
        <v>3</v>
      </c>
      <c r="U96" s="7">
        <v>4</v>
      </c>
      <c r="V96" s="7">
        <v>4</v>
      </c>
      <c r="W96" s="7">
        <v>7</v>
      </c>
      <c r="X96" s="7">
        <v>2</v>
      </c>
      <c r="Y96" s="7"/>
      <c r="Z96" s="7">
        <v>2</v>
      </c>
      <c r="AA96" s="7">
        <v>2</v>
      </c>
      <c r="AB96" s="7">
        <v>3</v>
      </c>
      <c r="AC96" s="7">
        <v>6</v>
      </c>
      <c r="AD96" s="7"/>
      <c r="AE96" s="7">
        <v>1</v>
      </c>
      <c r="AF96" s="8"/>
      <c r="AG96" s="4">
        <f t="shared" si="13"/>
        <v>79</v>
      </c>
    </row>
    <row r="97" spans="1:33" ht="18.75" x14ac:dyDescent="0.25">
      <c r="A97" s="46" t="s">
        <v>70</v>
      </c>
      <c r="B97" s="7">
        <v>6</v>
      </c>
      <c r="C97" s="7">
        <v>4</v>
      </c>
      <c r="D97" s="7">
        <v>10</v>
      </c>
      <c r="E97" s="7">
        <v>8</v>
      </c>
      <c r="F97" s="7">
        <v>12</v>
      </c>
      <c r="G97" s="7">
        <v>9</v>
      </c>
      <c r="H97" s="7">
        <v>12</v>
      </c>
      <c r="I97" s="7">
        <v>16</v>
      </c>
      <c r="J97" s="7">
        <v>7</v>
      </c>
      <c r="K97" s="7">
        <v>10</v>
      </c>
      <c r="L97" s="7">
        <v>3</v>
      </c>
      <c r="M97" s="7">
        <v>5</v>
      </c>
      <c r="N97" s="7">
        <v>16</v>
      </c>
      <c r="O97" s="7">
        <v>17</v>
      </c>
      <c r="P97" s="7">
        <v>9</v>
      </c>
      <c r="Q97" s="7">
        <v>11</v>
      </c>
      <c r="R97" s="7">
        <v>6</v>
      </c>
      <c r="S97" s="7">
        <v>5</v>
      </c>
      <c r="T97" s="7">
        <v>5</v>
      </c>
      <c r="U97" s="7">
        <v>13</v>
      </c>
      <c r="V97" s="7">
        <v>8</v>
      </c>
      <c r="W97" s="7">
        <v>3</v>
      </c>
      <c r="X97" s="7">
        <v>6</v>
      </c>
      <c r="Y97" s="7">
        <v>5</v>
      </c>
      <c r="Z97" s="7">
        <v>3</v>
      </c>
      <c r="AA97" s="7">
        <v>2</v>
      </c>
      <c r="AB97" s="7">
        <v>7</v>
      </c>
      <c r="AC97" s="7">
        <v>7</v>
      </c>
      <c r="AD97" s="7">
        <v>4</v>
      </c>
      <c r="AE97" s="7">
        <v>4</v>
      </c>
      <c r="AF97" s="8">
        <v>4</v>
      </c>
      <c r="AG97" s="4">
        <f t="shared" si="13"/>
        <v>237</v>
      </c>
    </row>
    <row r="98" spans="1:33" ht="18.75" x14ac:dyDescent="0.25">
      <c r="A98" s="47" t="s">
        <v>6</v>
      </c>
      <c r="B98" s="7">
        <v>13</v>
      </c>
      <c r="C98" s="7">
        <v>6</v>
      </c>
      <c r="D98" s="7">
        <v>8</v>
      </c>
      <c r="E98" s="7">
        <v>5</v>
      </c>
      <c r="F98" s="7">
        <v>11</v>
      </c>
      <c r="G98" s="7">
        <v>16</v>
      </c>
      <c r="H98" s="7">
        <v>17</v>
      </c>
      <c r="I98" s="7">
        <v>9</v>
      </c>
      <c r="J98" s="7">
        <v>10</v>
      </c>
      <c r="K98" s="7">
        <v>2</v>
      </c>
      <c r="L98" s="7">
        <v>9</v>
      </c>
      <c r="M98" s="7">
        <v>7</v>
      </c>
      <c r="N98" s="7">
        <v>18</v>
      </c>
      <c r="O98" s="7">
        <v>7</v>
      </c>
      <c r="P98" s="7">
        <v>15</v>
      </c>
      <c r="Q98" s="7">
        <v>15</v>
      </c>
      <c r="R98" s="7">
        <v>6</v>
      </c>
      <c r="S98" s="7">
        <v>9</v>
      </c>
      <c r="T98" s="7">
        <v>7</v>
      </c>
      <c r="U98" s="7">
        <v>9</v>
      </c>
      <c r="V98" s="7">
        <v>10</v>
      </c>
      <c r="W98" s="7">
        <v>5</v>
      </c>
      <c r="X98" s="7">
        <v>4</v>
      </c>
      <c r="Y98" s="7">
        <v>6</v>
      </c>
      <c r="Z98" s="7">
        <v>4</v>
      </c>
      <c r="AA98" s="7">
        <v>6</v>
      </c>
      <c r="AB98" s="7">
        <v>9</v>
      </c>
      <c r="AC98" s="7">
        <v>9</v>
      </c>
      <c r="AD98" s="7">
        <v>7</v>
      </c>
      <c r="AE98" s="7">
        <v>10</v>
      </c>
      <c r="AF98" s="8">
        <v>11</v>
      </c>
      <c r="AG98" s="4">
        <f t="shared" si="13"/>
        <v>280</v>
      </c>
    </row>
    <row r="99" spans="1:33" ht="18.75" x14ac:dyDescent="0.25">
      <c r="A99" s="48" t="s">
        <v>7</v>
      </c>
      <c r="B99" s="7">
        <v>9</v>
      </c>
      <c r="C99" s="7">
        <v>8</v>
      </c>
      <c r="D99" s="7">
        <v>5</v>
      </c>
      <c r="E99" s="7">
        <v>11</v>
      </c>
      <c r="F99" s="7">
        <v>10</v>
      </c>
      <c r="G99" s="7">
        <v>13</v>
      </c>
      <c r="H99" s="7">
        <v>14</v>
      </c>
      <c r="I99" s="7">
        <v>6</v>
      </c>
      <c r="J99" s="7">
        <v>11</v>
      </c>
      <c r="K99" s="7">
        <v>8</v>
      </c>
      <c r="L99" s="7">
        <v>5</v>
      </c>
      <c r="M99" s="7">
        <v>4</v>
      </c>
      <c r="N99" s="7">
        <v>13</v>
      </c>
      <c r="O99" s="7">
        <v>13</v>
      </c>
      <c r="P99" s="7">
        <v>11</v>
      </c>
      <c r="Q99" s="7">
        <v>7</v>
      </c>
      <c r="R99" s="7">
        <v>3</v>
      </c>
      <c r="S99" s="7">
        <v>3</v>
      </c>
      <c r="T99" s="7">
        <v>7</v>
      </c>
      <c r="U99" s="7">
        <v>4</v>
      </c>
      <c r="V99" s="7">
        <v>5</v>
      </c>
      <c r="W99" s="7">
        <v>6</v>
      </c>
      <c r="X99" s="7">
        <v>4</v>
      </c>
      <c r="Y99" s="7">
        <v>6</v>
      </c>
      <c r="Z99" s="7">
        <v>5</v>
      </c>
      <c r="AA99" s="7">
        <v>4</v>
      </c>
      <c r="AB99" s="7">
        <v>13</v>
      </c>
      <c r="AC99" s="7">
        <v>10</v>
      </c>
      <c r="AD99" s="7">
        <v>7</v>
      </c>
      <c r="AE99" s="7">
        <v>11</v>
      </c>
      <c r="AF99" s="8">
        <v>5</v>
      </c>
      <c r="AG99" s="4">
        <f t="shared" si="13"/>
        <v>241</v>
      </c>
    </row>
    <row r="100" spans="1:33" ht="18.75" x14ac:dyDescent="0.25">
      <c r="A100" s="42" t="s">
        <v>66</v>
      </c>
      <c r="B100" s="17">
        <f t="shared" ref="B100:AF100" si="17">SUM(B101:B115)</f>
        <v>132</v>
      </c>
      <c r="C100" s="17">
        <f t="shared" si="17"/>
        <v>96</v>
      </c>
      <c r="D100" s="17">
        <f t="shared" si="17"/>
        <v>130</v>
      </c>
      <c r="E100" s="17">
        <f t="shared" si="17"/>
        <v>122</v>
      </c>
      <c r="F100" s="17">
        <f t="shared" si="17"/>
        <v>118</v>
      </c>
      <c r="G100" s="17">
        <f t="shared" si="17"/>
        <v>200</v>
      </c>
      <c r="H100" s="17">
        <f t="shared" si="17"/>
        <v>192</v>
      </c>
      <c r="I100" s="17">
        <f t="shared" si="17"/>
        <v>144</v>
      </c>
      <c r="J100" s="17">
        <f t="shared" si="17"/>
        <v>111</v>
      </c>
      <c r="K100" s="17">
        <f t="shared" si="17"/>
        <v>100</v>
      </c>
      <c r="L100" s="17">
        <f t="shared" si="17"/>
        <v>120</v>
      </c>
      <c r="M100" s="17">
        <f t="shared" si="17"/>
        <v>137</v>
      </c>
      <c r="N100" s="17">
        <f t="shared" si="17"/>
        <v>188</v>
      </c>
      <c r="O100" s="17">
        <f t="shared" si="17"/>
        <v>180</v>
      </c>
      <c r="P100" s="17">
        <f t="shared" si="17"/>
        <v>142</v>
      </c>
      <c r="Q100" s="17">
        <f t="shared" si="17"/>
        <v>160</v>
      </c>
      <c r="R100" s="17">
        <f t="shared" si="17"/>
        <v>130</v>
      </c>
      <c r="S100" s="17">
        <f t="shared" si="17"/>
        <v>126</v>
      </c>
      <c r="T100" s="17">
        <f t="shared" si="17"/>
        <v>120</v>
      </c>
      <c r="U100" s="17">
        <f t="shared" si="17"/>
        <v>182</v>
      </c>
      <c r="V100" s="17">
        <f t="shared" si="17"/>
        <v>177</v>
      </c>
      <c r="W100" s="17">
        <f t="shared" si="17"/>
        <v>110</v>
      </c>
      <c r="X100" s="17">
        <f t="shared" si="17"/>
        <v>120</v>
      </c>
      <c r="Y100" s="17">
        <f t="shared" si="17"/>
        <v>126</v>
      </c>
      <c r="Z100" s="17">
        <f t="shared" si="17"/>
        <v>116</v>
      </c>
      <c r="AA100" s="17">
        <f t="shared" si="17"/>
        <v>107</v>
      </c>
      <c r="AB100" s="17">
        <f t="shared" si="17"/>
        <v>179</v>
      </c>
      <c r="AC100" s="17">
        <f t="shared" si="17"/>
        <v>164</v>
      </c>
      <c r="AD100" s="17">
        <f t="shared" si="17"/>
        <v>140</v>
      </c>
      <c r="AE100" s="17">
        <f t="shared" si="17"/>
        <v>128</v>
      </c>
      <c r="AF100" s="18">
        <f t="shared" si="17"/>
        <v>125</v>
      </c>
      <c r="AG100" s="4">
        <f t="shared" si="13"/>
        <v>4322</v>
      </c>
    </row>
    <row r="101" spans="1:33" ht="18.75" x14ac:dyDescent="0.25">
      <c r="A101" s="48" t="s">
        <v>8</v>
      </c>
      <c r="B101" s="7">
        <v>25</v>
      </c>
      <c r="C101" s="7">
        <v>5</v>
      </c>
      <c r="D101" s="7">
        <v>6</v>
      </c>
      <c r="E101" s="7">
        <v>13</v>
      </c>
      <c r="F101" s="7">
        <v>4</v>
      </c>
      <c r="G101" s="7">
        <v>17</v>
      </c>
      <c r="H101" s="7">
        <v>23</v>
      </c>
      <c r="I101" s="7">
        <v>16</v>
      </c>
      <c r="J101" s="7">
        <v>12</v>
      </c>
      <c r="K101" s="7">
        <v>12</v>
      </c>
      <c r="L101" s="7">
        <v>10</v>
      </c>
      <c r="M101" s="7">
        <v>8</v>
      </c>
      <c r="N101" s="7">
        <v>10</v>
      </c>
      <c r="O101" s="7">
        <v>9</v>
      </c>
      <c r="P101" s="7">
        <v>16</v>
      </c>
      <c r="Q101" s="7">
        <v>12</v>
      </c>
      <c r="R101" s="7">
        <v>11</v>
      </c>
      <c r="S101" s="7">
        <v>10</v>
      </c>
      <c r="T101" s="7">
        <v>12</v>
      </c>
      <c r="U101" s="7">
        <v>17</v>
      </c>
      <c r="V101" s="7">
        <v>11</v>
      </c>
      <c r="W101" s="7">
        <v>6</v>
      </c>
      <c r="X101" s="7">
        <v>9</v>
      </c>
      <c r="Y101" s="7">
        <v>8</v>
      </c>
      <c r="Z101" s="7">
        <v>11</v>
      </c>
      <c r="AA101" s="7">
        <v>3</v>
      </c>
      <c r="AB101" s="7">
        <v>12</v>
      </c>
      <c r="AC101" s="7">
        <v>12</v>
      </c>
      <c r="AD101" s="7">
        <v>7</v>
      </c>
      <c r="AE101" s="7">
        <v>12</v>
      </c>
      <c r="AF101" s="8">
        <v>10</v>
      </c>
      <c r="AG101" s="4">
        <f t="shared" si="13"/>
        <v>349</v>
      </c>
    </row>
    <row r="102" spans="1:33" ht="18.75" x14ac:dyDescent="0.25">
      <c r="A102" s="48" t="s">
        <v>9</v>
      </c>
      <c r="B102" s="7">
        <v>13</v>
      </c>
      <c r="C102" s="7">
        <v>10</v>
      </c>
      <c r="D102" s="7">
        <v>25</v>
      </c>
      <c r="E102" s="7">
        <v>15</v>
      </c>
      <c r="F102" s="7">
        <v>15</v>
      </c>
      <c r="G102" s="7">
        <v>22</v>
      </c>
      <c r="H102" s="7">
        <v>17</v>
      </c>
      <c r="I102" s="7">
        <v>14</v>
      </c>
      <c r="J102" s="7">
        <v>18</v>
      </c>
      <c r="K102" s="7">
        <v>18</v>
      </c>
      <c r="L102" s="7">
        <v>16</v>
      </c>
      <c r="M102" s="7">
        <v>20</v>
      </c>
      <c r="N102" s="7">
        <v>20</v>
      </c>
      <c r="O102" s="7">
        <v>20</v>
      </c>
      <c r="P102" s="7">
        <v>11</v>
      </c>
      <c r="Q102" s="7">
        <v>17</v>
      </c>
      <c r="R102" s="7">
        <v>17</v>
      </c>
      <c r="S102" s="7">
        <v>15</v>
      </c>
      <c r="T102" s="7">
        <v>15</v>
      </c>
      <c r="U102" s="7">
        <v>20</v>
      </c>
      <c r="V102" s="7">
        <v>23</v>
      </c>
      <c r="W102" s="7">
        <v>13</v>
      </c>
      <c r="X102" s="7">
        <v>17</v>
      </c>
      <c r="Y102" s="7">
        <v>17</v>
      </c>
      <c r="Z102" s="7">
        <v>12</v>
      </c>
      <c r="AA102" s="7">
        <v>14</v>
      </c>
      <c r="AB102" s="7">
        <v>20</v>
      </c>
      <c r="AC102" s="7">
        <v>11</v>
      </c>
      <c r="AD102" s="7">
        <v>15</v>
      </c>
      <c r="AE102" s="7">
        <v>16</v>
      </c>
      <c r="AF102" s="8">
        <v>12</v>
      </c>
      <c r="AG102" s="4">
        <f t="shared" si="13"/>
        <v>508</v>
      </c>
    </row>
    <row r="103" spans="1:33" ht="18.75" x14ac:dyDescent="0.25">
      <c r="A103" s="49" t="s">
        <v>10</v>
      </c>
      <c r="B103" s="7">
        <v>7</v>
      </c>
      <c r="C103" s="7">
        <v>10</v>
      </c>
      <c r="D103" s="7">
        <v>12</v>
      </c>
      <c r="E103" s="7">
        <v>14</v>
      </c>
      <c r="F103" s="7">
        <v>20</v>
      </c>
      <c r="G103" s="7">
        <v>19</v>
      </c>
      <c r="H103" s="7">
        <v>8</v>
      </c>
      <c r="I103" s="7">
        <v>14</v>
      </c>
      <c r="J103" s="7">
        <v>7</v>
      </c>
      <c r="K103" s="7">
        <v>11</v>
      </c>
      <c r="L103" s="7">
        <v>16</v>
      </c>
      <c r="M103" s="7">
        <v>13</v>
      </c>
      <c r="N103" s="7">
        <v>15</v>
      </c>
      <c r="O103" s="7">
        <v>16</v>
      </c>
      <c r="P103" s="7">
        <v>15</v>
      </c>
      <c r="Q103" s="7">
        <v>16</v>
      </c>
      <c r="R103" s="7">
        <v>21</v>
      </c>
      <c r="S103" s="7">
        <v>19</v>
      </c>
      <c r="T103" s="7">
        <v>13</v>
      </c>
      <c r="U103" s="7">
        <v>20</v>
      </c>
      <c r="V103" s="7">
        <v>13</v>
      </c>
      <c r="W103" s="7">
        <v>9</v>
      </c>
      <c r="X103" s="7">
        <v>17</v>
      </c>
      <c r="Y103" s="7">
        <v>14</v>
      </c>
      <c r="Z103" s="7">
        <v>14</v>
      </c>
      <c r="AA103" s="7">
        <v>8</v>
      </c>
      <c r="AB103" s="7">
        <v>15</v>
      </c>
      <c r="AC103" s="7">
        <v>11</v>
      </c>
      <c r="AD103" s="7">
        <v>12</v>
      </c>
      <c r="AE103" s="7">
        <v>7</v>
      </c>
      <c r="AF103" s="8">
        <v>15</v>
      </c>
      <c r="AG103" s="4">
        <f t="shared" si="13"/>
        <v>421</v>
      </c>
    </row>
    <row r="104" spans="1:33" ht="18.75" x14ac:dyDescent="0.25">
      <c r="A104" s="49" t="s">
        <v>11</v>
      </c>
      <c r="B104" s="7">
        <v>11</v>
      </c>
      <c r="C104" s="7">
        <v>7</v>
      </c>
      <c r="D104" s="7">
        <v>9</v>
      </c>
      <c r="E104" s="7">
        <v>10</v>
      </c>
      <c r="F104" s="7">
        <v>11</v>
      </c>
      <c r="G104" s="7">
        <v>16</v>
      </c>
      <c r="H104" s="7">
        <v>15</v>
      </c>
      <c r="I104" s="7">
        <v>16</v>
      </c>
      <c r="J104" s="7">
        <v>6</v>
      </c>
      <c r="K104" s="7">
        <v>5</v>
      </c>
      <c r="L104" s="7">
        <v>12</v>
      </c>
      <c r="M104" s="7">
        <v>12</v>
      </c>
      <c r="N104" s="7">
        <v>20</v>
      </c>
      <c r="O104" s="7">
        <v>8</v>
      </c>
      <c r="P104" s="7">
        <v>12</v>
      </c>
      <c r="Q104" s="7">
        <v>13</v>
      </c>
      <c r="R104" s="7">
        <v>15</v>
      </c>
      <c r="S104" s="7">
        <v>8</v>
      </c>
      <c r="T104" s="7">
        <v>10</v>
      </c>
      <c r="U104" s="7">
        <v>16</v>
      </c>
      <c r="V104" s="7">
        <v>15</v>
      </c>
      <c r="W104" s="7">
        <v>10</v>
      </c>
      <c r="X104" s="7">
        <v>10</v>
      </c>
      <c r="Y104" s="7">
        <v>12</v>
      </c>
      <c r="Z104" s="7">
        <v>13</v>
      </c>
      <c r="AA104" s="7">
        <v>10</v>
      </c>
      <c r="AB104" s="7">
        <v>22</v>
      </c>
      <c r="AC104" s="7">
        <v>11</v>
      </c>
      <c r="AD104" s="7">
        <v>11</v>
      </c>
      <c r="AE104" s="7">
        <v>11</v>
      </c>
      <c r="AF104" s="8">
        <v>10</v>
      </c>
      <c r="AG104" s="4">
        <f t="shared" si="13"/>
        <v>367</v>
      </c>
    </row>
    <row r="105" spans="1:33" ht="18.75" x14ac:dyDescent="0.25">
      <c r="A105" s="49" t="s">
        <v>12</v>
      </c>
      <c r="B105" s="7">
        <v>10</v>
      </c>
      <c r="C105" s="7">
        <v>6</v>
      </c>
      <c r="D105" s="7">
        <v>10</v>
      </c>
      <c r="E105" s="7">
        <v>14</v>
      </c>
      <c r="F105" s="7">
        <v>13</v>
      </c>
      <c r="G105" s="7">
        <v>11</v>
      </c>
      <c r="H105" s="7">
        <v>16</v>
      </c>
      <c r="I105" s="7">
        <v>16</v>
      </c>
      <c r="J105" s="7">
        <v>17</v>
      </c>
      <c r="K105" s="7">
        <v>3</v>
      </c>
      <c r="L105" s="7">
        <v>11</v>
      </c>
      <c r="M105" s="7">
        <v>7</v>
      </c>
      <c r="N105" s="7">
        <v>9</v>
      </c>
      <c r="O105" s="7">
        <v>12</v>
      </c>
      <c r="P105" s="7">
        <v>14</v>
      </c>
      <c r="Q105" s="7">
        <v>16</v>
      </c>
      <c r="R105" s="7">
        <v>7</v>
      </c>
      <c r="S105" s="7">
        <v>6</v>
      </c>
      <c r="T105" s="7">
        <v>2</v>
      </c>
      <c r="U105" s="7">
        <v>15</v>
      </c>
      <c r="V105" s="7">
        <v>16</v>
      </c>
      <c r="W105" s="7">
        <v>3</v>
      </c>
      <c r="X105" s="7">
        <v>9</v>
      </c>
      <c r="Y105" s="7">
        <v>10</v>
      </c>
      <c r="Z105" s="7">
        <v>8</v>
      </c>
      <c r="AA105" s="7">
        <v>7</v>
      </c>
      <c r="AB105" s="7">
        <v>7</v>
      </c>
      <c r="AC105" s="7">
        <v>15</v>
      </c>
      <c r="AD105" s="7">
        <v>15</v>
      </c>
      <c r="AE105" s="7">
        <v>9</v>
      </c>
      <c r="AF105" s="8">
        <v>9</v>
      </c>
      <c r="AG105" s="4">
        <f t="shared" si="13"/>
        <v>323</v>
      </c>
    </row>
    <row r="106" spans="1:33" ht="18.75" x14ac:dyDescent="0.25">
      <c r="A106" s="49" t="s">
        <v>13</v>
      </c>
      <c r="B106" s="7">
        <v>8</v>
      </c>
      <c r="C106" s="7">
        <v>9</v>
      </c>
      <c r="D106" s="7">
        <v>8</v>
      </c>
      <c r="E106" s="7">
        <v>7</v>
      </c>
      <c r="F106" s="7">
        <v>1</v>
      </c>
      <c r="G106" s="7">
        <v>15</v>
      </c>
      <c r="H106" s="7">
        <v>18</v>
      </c>
      <c r="I106" s="7">
        <v>8</v>
      </c>
      <c r="J106" s="7">
        <v>3</v>
      </c>
      <c r="K106" s="7">
        <v>7</v>
      </c>
      <c r="L106" s="7">
        <v>7</v>
      </c>
      <c r="M106" s="7">
        <v>5</v>
      </c>
      <c r="N106" s="7">
        <v>14</v>
      </c>
      <c r="O106" s="7">
        <v>14</v>
      </c>
      <c r="P106" s="7">
        <v>5</v>
      </c>
      <c r="Q106" s="7">
        <v>7</v>
      </c>
      <c r="R106" s="7">
        <v>7</v>
      </c>
      <c r="S106" s="7">
        <v>8</v>
      </c>
      <c r="T106" s="7">
        <v>8</v>
      </c>
      <c r="U106" s="7">
        <v>14</v>
      </c>
      <c r="V106" s="7">
        <v>12</v>
      </c>
      <c r="W106" s="7">
        <v>6</v>
      </c>
      <c r="X106" s="7">
        <v>8</v>
      </c>
      <c r="Y106" s="7">
        <v>6</v>
      </c>
      <c r="Z106" s="7">
        <v>8</v>
      </c>
      <c r="AA106" s="7">
        <v>11</v>
      </c>
      <c r="AB106" s="7">
        <v>16</v>
      </c>
      <c r="AC106" s="7">
        <v>6</v>
      </c>
      <c r="AD106" s="7">
        <v>7</v>
      </c>
      <c r="AE106" s="7">
        <v>11</v>
      </c>
      <c r="AF106" s="8">
        <v>13</v>
      </c>
      <c r="AG106" s="4">
        <f t="shared" si="13"/>
        <v>277</v>
      </c>
    </row>
    <row r="107" spans="1:33" ht="18.75" x14ac:dyDescent="0.25">
      <c r="A107" s="49" t="s">
        <v>14</v>
      </c>
      <c r="B107" s="7">
        <v>12</v>
      </c>
      <c r="C107" s="7">
        <v>11</v>
      </c>
      <c r="D107" s="7">
        <v>11</v>
      </c>
      <c r="E107" s="7">
        <v>6</v>
      </c>
      <c r="F107" s="7">
        <v>8</v>
      </c>
      <c r="G107" s="7">
        <v>16</v>
      </c>
      <c r="H107" s="7">
        <v>19</v>
      </c>
      <c r="I107" s="7">
        <v>12</v>
      </c>
      <c r="J107" s="7">
        <v>8</v>
      </c>
      <c r="K107" s="7">
        <v>5</v>
      </c>
      <c r="L107" s="7">
        <v>8</v>
      </c>
      <c r="M107" s="7">
        <v>10</v>
      </c>
      <c r="N107" s="7">
        <v>17</v>
      </c>
      <c r="O107" s="7">
        <v>19</v>
      </c>
      <c r="P107" s="7">
        <v>17</v>
      </c>
      <c r="Q107" s="7">
        <v>18</v>
      </c>
      <c r="R107" s="7">
        <v>9</v>
      </c>
      <c r="S107" s="7">
        <v>11</v>
      </c>
      <c r="T107" s="7">
        <v>8</v>
      </c>
      <c r="U107" s="7">
        <v>16</v>
      </c>
      <c r="V107" s="7">
        <v>14</v>
      </c>
      <c r="W107" s="7">
        <v>12</v>
      </c>
      <c r="X107" s="7">
        <v>9</v>
      </c>
      <c r="Y107" s="7">
        <v>9</v>
      </c>
      <c r="Z107" s="7">
        <v>5</v>
      </c>
      <c r="AA107" s="7">
        <v>5</v>
      </c>
      <c r="AB107" s="7">
        <v>16</v>
      </c>
      <c r="AC107" s="7">
        <v>20</v>
      </c>
      <c r="AD107" s="7">
        <v>16</v>
      </c>
      <c r="AE107" s="7">
        <v>9</v>
      </c>
      <c r="AF107" s="8">
        <v>10</v>
      </c>
      <c r="AG107" s="4">
        <f t="shared" si="13"/>
        <v>366</v>
      </c>
    </row>
    <row r="108" spans="1:33" ht="18.75" x14ac:dyDescent="0.25">
      <c r="A108" s="49" t="s">
        <v>15</v>
      </c>
      <c r="B108" s="7">
        <v>6</v>
      </c>
      <c r="C108" s="7">
        <v>13</v>
      </c>
      <c r="D108" s="7">
        <v>13</v>
      </c>
      <c r="E108" s="7">
        <v>8</v>
      </c>
      <c r="F108" s="7">
        <v>4</v>
      </c>
      <c r="G108" s="7">
        <v>19</v>
      </c>
      <c r="H108" s="7">
        <v>22</v>
      </c>
      <c r="I108" s="7">
        <v>11</v>
      </c>
      <c r="J108" s="7">
        <v>12</v>
      </c>
      <c r="K108" s="7">
        <v>6</v>
      </c>
      <c r="L108" s="7">
        <v>5</v>
      </c>
      <c r="M108" s="7">
        <v>11</v>
      </c>
      <c r="N108" s="7">
        <v>15</v>
      </c>
      <c r="O108" s="7">
        <v>19</v>
      </c>
      <c r="P108" s="7">
        <v>9</v>
      </c>
      <c r="Q108" s="7">
        <v>18</v>
      </c>
      <c r="R108" s="7">
        <v>10</v>
      </c>
      <c r="S108" s="7">
        <v>12</v>
      </c>
      <c r="T108" s="7">
        <v>10</v>
      </c>
      <c r="U108" s="7">
        <v>19</v>
      </c>
      <c r="V108" s="7">
        <v>16</v>
      </c>
      <c r="W108" s="7">
        <v>7</v>
      </c>
      <c r="X108" s="7">
        <v>10</v>
      </c>
      <c r="Y108" s="7">
        <v>12</v>
      </c>
      <c r="Z108" s="7">
        <v>13</v>
      </c>
      <c r="AA108" s="7">
        <v>11</v>
      </c>
      <c r="AB108" s="7">
        <v>15</v>
      </c>
      <c r="AC108" s="7">
        <v>18</v>
      </c>
      <c r="AD108" s="7">
        <v>16</v>
      </c>
      <c r="AE108" s="7">
        <v>11</v>
      </c>
      <c r="AF108" s="8">
        <v>8</v>
      </c>
      <c r="AG108" s="4">
        <f t="shared" si="13"/>
        <v>379</v>
      </c>
    </row>
    <row r="109" spans="1:33" ht="18.75" x14ac:dyDescent="0.25">
      <c r="A109" s="49" t="s">
        <v>16</v>
      </c>
      <c r="B109" s="7">
        <v>7</v>
      </c>
      <c r="C109" s="7">
        <v>9</v>
      </c>
      <c r="D109" s="7">
        <v>10</v>
      </c>
      <c r="E109" s="7">
        <v>7</v>
      </c>
      <c r="F109" s="7">
        <v>10</v>
      </c>
      <c r="G109" s="7">
        <v>20</v>
      </c>
      <c r="H109" s="7">
        <v>20</v>
      </c>
      <c r="I109" s="7">
        <v>10</v>
      </c>
      <c r="J109" s="7">
        <v>7</v>
      </c>
      <c r="K109" s="7">
        <v>8</v>
      </c>
      <c r="L109" s="7">
        <v>10</v>
      </c>
      <c r="M109" s="7">
        <v>15</v>
      </c>
      <c r="N109" s="7">
        <v>18</v>
      </c>
      <c r="O109" s="7">
        <v>19</v>
      </c>
      <c r="P109" s="7">
        <v>7</v>
      </c>
      <c r="Q109" s="7">
        <v>9</v>
      </c>
      <c r="R109" s="7">
        <v>9</v>
      </c>
      <c r="S109" s="7">
        <v>12</v>
      </c>
      <c r="T109" s="7">
        <v>10</v>
      </c>
      <c r="U109" s="7">
        <v>11</v>
      </c>
      <c r="V109" s="7">
        <v>18</v>
      </c>
      <c r="W109" s="7">
        <v>6</v>
      </c>
      <c r="X109" s="7">
        <v>10</v>
      </c>
      <c r="Y109" s="7">
        <v>6</v>
      </c>
      <c r="Z109" s="7">
        <v>7</v>
      </c>
      <c r="AA109" s="7">
        <v>8</v>
      </c>
      <c r="AB109" s="7">
        <v>9</v>
      </c>
      <c r="AC109" s="7">
        <v>14</v>
      </c>
      <c r="AD109" s="7">
        <v>13</v>
      </c>
      <c r="AE109" s="7">
        <v>12</v>
      </c>
      <c r="AF109" s="8">
        <v>10</v>
      </c>
      <c r="AG109" s="4">
        <f t="shared" si="13"/>
        <v>341</v>
      </c>
    </row>
    <row r="110" spans="1:33" ht="18.75" x14ac:dyDescent="0.25">
      <c r="A110" s="49" t="s">
        <v>17</v>
      </c>
      <c r="B110" s="7">
        <v>10</v>
      </c>
      <c r="C110" s="7">
        <v>5</v>
      </c>
      <c r="D110" s="7">
        <v>4</v>
      </c>
      <c r="E110" s="7">
        <v>5</v>
      </c>
      <c r="F110" s="7">
        <v>4</v>
      </c>
      <c r="G110" s="7">
        <v>12</v>
      </c>
      <c r="H110" s="7">
        <v>14</v>
      </c>
      <c r="I110" s="7">
        <v>3</v>
      </c>
      <c r="J110" s="7">
        <v>3</v>
      </c>
      <c r="K110" s="7">
        <v>13</v>
      </c>
      <c r="L110" s="7">
        <v>5</v>
      </c>
      <c r="M110" s="7">
        <v>9</v>
      </c>
      <c r="N110" s="7">
        <v>16</v>
      </c>
      <c r="O110" s="7">
        <v>15</v>
      </c>
      <c r="P110" s="7">
        <v>8</v>
      </c>
      <c r="Q110" s="7">
        <v>5</v>
      </c>
      <c r="R110" s="7">
        <v>8</v>
      </c>
      <c r="S110" s="7">
        <v>6</v>
      </c>
      <c r="T110" s="7">
        <v>3</v>
      </c>
      <c r="U110" s="7">
        <v>12</v>
      </c>
      <c r="V110" s="7">
        <v>13</v>
      </c>
      <c r="W110" s="7">
        <v>7</v>
      </c>
      <c r="X110" s="7">
        <v>9</v>
      </c>
      <c r="Y110" s="7">
        <v>10</v>
      </c>
      <c r="Z110" s="7">
        <v>10</v>
      </c>
      <c r="AA110" s="7">
        <v>11</v>
      </c>
      <c r="AB110" s="7">
        <v>14</v>
      </c>
      <c r="AC110" s="7">
        <v>21</v>
      </c>
      <c r="AD110" s="7">
        <v>7</v>
      </c>
      <c r="AE110" s="7">
        <v>8</v>
      </c>
      <c r="AF110" s="8">
        <v>7</v>
      </c>
      <c r="AG110" s="4">
        <f t="shared" si="13"/>
        <v>277</v>
      </c>
    </row>
    <row r="111" spans="1:33" ht="18.75" x14ac:dyDescent="0.25">
      <c r="A111" s="49" t="s">
        <v>18</v>
      </c>
      <c r="B111" s="7">
        <v>10</v>
      </c>
      <c r="C111" s="7">
        <v>2</v>
      </c>
      <c r="D111" s="7">
        <v>9</v>
      </c>
      <c r="E111" s="7">
        <v>4</v>
      </c>
      <c r="F111" s="7">
        <v>11</v>
      </c>
      <c r="G111" s="7">
        <v>9</v>
      </c>
      <c r="H111" s="7">
        <v>8</v>
      </c>
      <c r="I111" s="7">
        <v>10</v>
      </c>
      <c r="J111" s="7">
        <v>6</v>
      </c>
      <c r="K111" s="7">
        <v>4</v>
      </c>
      <c r="L111" s="7">
        <v>6</v>
      </c>
      <c r="M111" s="7">
        <v>8</v>
      </c>
      <c r="N111" s="7">
        <v>13</v>
      </c>
      <c r="O111" s="7">
        <v>6</v>
      </c>
      <c r="P111" s="7">
        <v>9</v>
      </c>
      <c r="Q111" s="7">
        <v>11</v>
      </c>
      <c r="R111" s="7">
        <v>5</v>
      </c>
      <c r="S111" s="7">
        <v>7</v>
      </c>
      <c r="T111" s="7">
        <v>8</v>
      </c>
      <c r="U111" s="7">
        <v>5</v>
      </c>
      <c r="V111" s="7">
        <v>9</v>
      </c>
      <c r="W111" s="7">
        <v>5</v>
      </c>
      <c r="X111" s="7">
        <v>3</v>
      </c>
      <c r="Y111" s="7">
        <v>11</v>
      </c>
      <c r="Z111" s="7">
        <v>6</v>
      </c>
      <c r="AA111" s="7">
        <v>7</v>
      </c>
      <c r="AB111" s="7">
        <v>11</v>
      </c>
      <c r="AC111" s="7">
        <v>9</v>
      </c>
      <c r="AD111" s="7">
        <v>5</v>
      </c>
      <c r="AE111" s="7">
        <v>3</v>
      </c>
      <c r="AF111" s="8">
        <v>8</v>
      </c>
      <c r="AG111" s="4">
        <f t="shared" si="13"/>
        <v>228</v>
      </c>
    </row>
    <row r="112" spans="1:33" ht="18.75" x14ac:dyDescent="0.25">
      <c r="A112" s="49" t="s">
        <v>19</v>
      </c>
      <c r="B112" s="7">
        <v>4</v>
      </c>
      <c r="C112" s="7">
        <v>1</v>
      </c>
      <c r="D112" s="7">
        <v>6</v>
      </c>
      <c r="E112" s="7">
        <v>8</v>
      </c>
      <c r="F112" s="7">
        <v>5</v>
      </c>
      <c r="G112" s="7">
        <v>7</v>
      </c>
      <c r="H112" s="7">
        <v>6</v>
      </c>
      <c r="I112" s="7">
        <v>6</v>
      </c>
      <c r="J112" s="7">
        <v>4</v>
      </c>
      <c r="K112" s="7">
        <v>4</v>
      </c>
      <c r="L112" s="7">
        <v>8</v>
      </c>
      <c r="M112" s="7">
        <v>6</v>
      </c>
      <c r="N112" s="7">
        <v>7</v>
      </c>
      <c r="O112" s="7">
        <v>12</v>
      </c>
      <c r="P112" s="7">
        <v>5</v>
      </c>
      <c r="Q112" s="7">
        <v>10</v>
      </c>
      <c r="R112" s="7">
        <v>6</v>
      </c>
      <c r="S112" s="7">
        <v>6</v>
      </c>
      <c r="T112" s="7">
        <v>8</v>
      </c>
      <c r="U112" s="7">
        <v>6</v>
      </c>
      <c r="V112" s="7">
        <v>7</v>
      </c>
      <c r="W112" s="7">
        <v>7</v>
      </c>
      <c r="X112" s="7">
        <v>3</v>
      </c>
      <c r="Y112" s="7">
        <v>5</v>
      </c>
      <c r="Z112" s="7">
        <v>1</v>
      </c>
      <c r="AA112" s="7">
        <v>3</v>
      </c>
      <c r="AB112" s="7">
        <v>8</v>
      </c>
      <c r="AC112" s="7">
        <v>6</v>
      </c>
      <c r="AD112" s="7">
        <v>9</v>
      </c>
      <c r="AE112" s="7">
        <v>7</v>
      </c>
      <c r="AF112" s="8">
        <v>4</v>
      </c>
      <c r="AG112" s="4">
        <f>SUM(B112:AF112)</f>
        <v>185</v>
      </c>
    </row>
    <row r="113" spans="1:33" ht="18.75" x14ac:dyDescent="0.25">
      <c r="A113" s="49" t="s">
        <v>20</v>
      </c>
      <c r="B113" s="7">
        <v>5</v>
      </c>
      <c r="C113" s="7">
        <v>4</v>
      </c>
      <c r="D113" s="7">
        <v>3</v>
      </c>
      <c r="E113" s="7">
        <v>3</v>
      </c>
      <c r="F113" s="7">
        <v>6</v>
      </c>
      <c r="G113" s="7">
        <v>11</v>
      </c>
      <c r="H113" s="7">
        <v>1</v>
      </c>
      <c r="I113" s="7">
        <v>4</v>
      </c>
      <c r="J113" s="7">
        <v>4</v>
      </c>
      <c r="K113" s="7">
        <v>2</v>
      </c>
      <c r="L113" s="7">
        <v>2</v>
      </c>
      <c r="M113" s="7">
        <v>7</v>
      </c>
      <c r="N113" s="7">
        <v>9</v>
      </c>
      <c r="O113" s="7">
        <v>3</v>
      </c>
      <c r="P113" s="7">
        <v>6</v>
      </c>
      <c r="Q113" s="7">
        <v>4</v>
      </c>
      <c r="R113" s="7"/>
      <c r="S113" s="7">
        <v>1</v>
      </c>
      <c r="T113" s="7">
        <v>8</v>
      </c>
      <c r="U113" s="7">
        <v>7</v>
      </c>
      <c r="V113" s="7">
        <v>4</v>
      </c>
      <c r="W113" s="7">
        <v>13</v>
      </c>
      <c r="X113" s="7">
        <v>2</v>
      </c>
      <c r="Y113" s="7">
        <v>3</v>
      </c>
      <c r="Z113" s="7">
        <v>5</v>
      </c>
      <c r="AA113" s="7">
        <v>6</v>
      </c>
      <c r="AB113" s="7">
        <v>5</v>
      </c>
      <c r="AC113" s="7">
        <v>6</v>
      </c>
      <c r="AD113" s="7">
        <v>4</v>
      </c>
      <c r="AE113" s="7">
        <v>10</v>
      </c>
      <c r="AF113" s="8">
        <v>2</v>
      </c>
      <c r="AG113" s="4">
        <f t="shared" si="13"/>
        <v>150</v>
      </c>
    </row>
    <row r="114" spans="1:33" ht="18.75" x14ac:dyDescent="0.25">
      <c r="A114" s="49" t="s">
        <v>21</v>
      </c>
      <c r="B114" s="7">
        <v>4</v>
      </c>
      <c r="C114" s="7">
        <v>4</v>
      </c>
      <c r="D114" s="7">
        <v>4</v>
      </c>
      <c r="E114" s="7">
        <v>8</v>
      </c>
      <c r="F114" s="7">
        <v>6</v>
      </c>
      <c r="G114" s="7">
        <v>6</v>
      </c>
      <c r="H114" s="7">
        <v>5</v>
      </c>
      <c r="I114" s="7">
        <v>4</v>
      </c>
      <c r="J114" s="7">
        <v>4</v>
      </c>
      <c r="K114" s="7">
        <v>2</v>
      </c>
      <c r="L114" s="7">
        <v>4</v>
      </c>
      <c r="M114" s="7">
        <v>6</v>
      </c>
      <c r="N114" s="7">
        <v>5</v>
      </c>
      <c r="O114" s="7">
        <v>8</v>
      </c>
      <c r="P114" s="7">
        <v>8</v>
      </c>
      <c r="Q114" s="7">
        <v>4</v>
      </c>
      <c r="R114" s="7">
        <v>5</v>
      </c>
      <c r="S114" s="7">
        <v>5</v>
      </c>
      <c r="T114" s="7">
        <v>5</v>
      </c>
      <c r="U114" s="7">
        <v>4</v>
      </c>
      <c r="V114" s="7">
        <v>6</v>
      </c>
      <c r="W114" s="7">
        <v>6</v>
      </c>
      <c r="X114" s="7">
        <v>4</v>
      </c>
      <c r="Y114" s="7">
        <v>3</v>
      </c>
      <c r="Z114" s="7">
        <v>3</v>
      </c>
      <c r="AA114" s="7">
        <v>3</v>
      </c>
      <c r="AB114" s="7">
        <v>9</v>
      </c>
      <c r="AC114" s="7">
        <v>4</v>
      </c>
      <c r="AD114" s="7">
        <v>3</v>
      </c>
      <c r="AE114" s="7">
        <v>2</v>
      </c>
      <c r="AF114" s="8">
        <v>7</v>
      </c>
      <c r="AG114" s="4">
        <f t="shared" si="13"/>
        <v>151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70</v>
      </c>
      <c r="C116" s="74">
        <f t="shared" si="18"/>
        <v>58</v>
      </c>
      <c r="D116" s="74">
        <f t="shared" si="18"/>
        <v>75</v>
      </c>
      <c r="E116" s="74">
        <f t="shared" si="18"/>
        <v>56</v>
      </c>
      <c r="F116" s="74">
        <f t="shared" si="18"/>
        <v>79</v>
      </c>
      <c r="G116" s="74">
        <f t="shared" si="18"/>
        <v>107</v>
      </c>
      <c r="H116" s="74">
        <f t="shared" si="18"/>
        <v>99</v>
      </c>
      <c r="I116" s="74">
        <f t="shared" si="18"/>
        <v>84</v>
      </c>
      <c r="J116" s="74">
        <f t="shared" si="18"/>
        <v>62</v>
      </c>
      <c r="K116" s="74">
        <f t="shared" si="18"/>
        <v>53</v>
      </c>
      <c r="L116" s="74">
        <f t="shared" si="18"/>
        <v>71</v>
      </c>
      <c r="M116" s="74">
        <f t="shared" si="18"/>
        <v>56</v>
      </c>
      <c r="N116" s="74">
        <f t="shared" si="18"/>
        <v>103</v>
      </c>
      <c r="O116" s="74">
        <f t="shared" si="18"/>
        <v>103</v>
      </c>
      <c r="P116" s="74">
        <f t="shared" si="18"/>
        <v>76</v>
      </c>
      <c r="Q116" s="74">
        <f t="shared" si="18"/>
        <v>104</v>
      </c>
      <c r="R116" s="74">
        <f t="shared" si="18"/>
        <v>62</v>
      </c>
      <c r="S116" s="74">
        <f t="shared" si="18"/>
        <v>74</v>
      </c>
      <c r="T116" s="74">
        <f t="shared" si="18"/>
        <v>70</v>
      </c>
      <c r="U116" s="74">
        <f t="shared" si="18"/>
        <v>95</v>
      </c>
      <c r="V116" s="74">
        <f t="shared" si="18"/>
        <v>97</v>
      </c>
      <c r="W116" s="74">
        <f t="shared" si="18"/>
        <v>60</v>
      </c>
      <c r="X116" s="74">
        <f t="shared" si="18"/>
        <v>69</v>
      </c>
      <c r="Y116" s="74">
        <f t="shared" si="18"/>
        <v>64</v>
      </c>
      <c r="Z116" s="74">
        <f t="shared" si="18"/>
        <v>53</v>
      </c>
      <c r="AA116" s="74">
        <f t="shared" si="18"/>
        <v>64</v>
      </c>
      <c r="AB116" s="74">
        <f t="shared" si="18"/>
        <v>106</v>
      </c>
      <c r="AC116" s="74">
        <f t="shared" si="18"/>
        <v>90</v>
      </c>
      <c r="AD116" s="74">
        <f t="shared" si="18"/>
        <v>92</v>
      </c>
      <c r="AE116" s="74">
        <f t="shared" si="18"/>
        <v>77</v>
      </c>
      <c r="AF116" s="84">
        <f t="shared" si="18"/>
        <v>73</v>
      </c>
      <c r="AG116" s="4">
        <f t="shared" si="13"/>
        <v>2402</v>
      </c>
    </row>
    <row r="117" spans="1:33" ht="18.75" x14ac:dyDescent="0.25">
      <c r="A117" s="43" t="s">
        <v>59</v>
      </c>
      <c r="B117" s="7">
        <v>51</v>
      </c>
      <c r="C117" s="7">
        <v>43</v>
      </c>
      <c r="D117" s="7">
        <v>53</v>
      </c>
      <c r="E117" s="7">
        <v>38</v>
      </c>
      <c r="F117" s="7">
        <v>53</v>
      </c>
      <c r="G117" s="7">
        <v>75</v>
      </c>
      <c r="H117" s="7">
        <v>67</v>
      </c>
      <c r="I117" s="7">
        <v>59</v>
      </c>
      <c r="J117" s="7">
        <v>44</v>
      </c>
      <c r="K117" s="7">
        <v>38</v>
      </c>
      <c r="L117" s="7">
        <v>50</v>
      </c>
      <c r="M117" s="7">
        <v>41</v>
      </c>
      <c r="N117" s="7">
        <v>68</v>
      </c>
      <c r="O117" s="7">
        <v>76</v>
      </c>
      <c r="P117" s="7">
        <v>57</v>
      </c>
      <c r="Q117" s="7">
        <v>70</v>
      </c>
      <c r="R117" s="7">
        <v>35</v>
      </c>
      <c r="S117" s="7">
        <v>50</v>
      </c>
      <c r="T117" s="7">
        <v>49</v>
      </c>
      <c r="U117" s="7">
        <v>73</v>
      </c>
      <c r="V117" s="7">
        <v>79</v>
      </c>
      <c r="W117" s="7">
        <v>43</v>
      </c>
      <c r="X117" s="7">
        <v>50</v>
      </c>
      <c r="Y117" s="7">
        <v>42</v>
      </c>
      <c r="Z117" s="7">
        <v>39</v>
      </c>
      <c r="AA117" s="7">
        <v>45</v>
      </c>
      <c r="AB117" s="7">
        <v>70</v>
      </c>
      <c r="AC117" s="7">
        <v>70</v>
      </c>
      <c r="AD117" s="7">
        <v>69</v>
      </c>
      <c r="AE117" s="7">
        <v>56</v>
      </c>
      <c r="AF117" s="8">
        <v>50</v>
      </c>
      <c r="AG117" s="4">
        <f t="shared" si="13"/>
        <v>1703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8+11</f>
        <v>19</v>
      </c>
      <c r="C129" s="13">
        <f>7+8</f>
        <v>15</v>
      </c>
      <c r="D129" s="13">
        <f>11+11</f>
        <v>22</v>
      </c>
      <c r="E129" s="13">
        <f>9+9</f>
        <v>18</v>
      </c>
      <c r="F129" s="13">
        <f>9+17</f>
        <v>26</v>
      </c>
      <c r="G129" s="13">
        <f>13+1+18</f>
        <v>32</v>
      </c>
      <c r="H129" s="13">
        <f>14+1+17</f>
        <v>32</v>
      </c>
      <c r="I129" s="13">
        <f>11+14</f>
        <v>25</v>
      </c>
      <c r="J129" s="13">
        <f>11+7</f>
        <v>18</v>
      </c>
      <c r="K129" s="13">
        <f>6+9</f>
        <v>15</v>
      </c>
      <c r="L129" s="13">
        <f>10+11</f>
        <v>21</v>
      </c>
      <c r="M129" s="13">
        <f>8+7</f>
        <v>15</v>
      </c>
      <c r="N129" s="13">
        <f>21+14</f>
        <v>35</v>
      </c>
      <c r="O129" s="13">
        <f>9+1+17</f>
        <v>27</v>
      </c>
      <c r="P129" s="13">
        <f>10+9</f>
        <v>19</v>
      </c>
      <c r="Q129" s="13">
        <f>16+18</f>
        <v>34</v>
      </c>
      <c r="R129" s="13">
        <f>17+10</f>
        <v>27</v>
      </c>
      <c r="S129" s="13">
        <f>13+11</f>
        <v>24</v>
      </c>
      <c r="T129" s="13">
        <f>8+1+12</f>
        <v>21</v>
      </c>
      <c r="U129" s="13">
        <f>12+10</f>
        <v>22</v>
      </c>
      <c r="V129" s="13">
        <f>7+11</f>
        <v>18</v>
      </c>
      <c r="W129" s="13">
        <f>7+10</f>
        <v>17</v>
      </c>
      <c r="X129" s="13">
        <f>10+9</f>
        <v>19</v>
      </c>
      <c r="Y129" s="13">
        <f>15+7</f>
        <v>22</v>
      </c>
      <c r="Z129" s="13">
        <f>8+6</f>
        <v>14</v>
      </c>
      <c r="AA129" s="13">
        <f>9+10</f>
        <v>19</v>
      </c>
      <c r="AB129" s="13">
        <f>20+16</f>
        <v>36</v>
      </c>
      <c r="AC129" s="13">
        <f>12+8</f>
        <v>20</v>
      </c>
      <c r="AD129" s="13">
        <f>12+1+10</f>
        <v>23</v>
      </c>
      <c r="AE129" s="13">
        <f>10+11</f>
        <v>21</v>
      </c>
      <c r="AF129" s="14">
        <f>11+12</f>
        <v>23</v>
      </c>
      <c r="AG129" s="4">
        <f t="shared" si="19"/>
        <v>699</v>
      </c>
    </row>
    <row r="130" spans="1:35" ht="18.75" x14ac:dyDescent="0.25">
      <c r="A130" s="73" t="s">
        <v>109</v>
      </c>
      <c r="B130" s="74">
        <f t="shared" ref="B130:AF130" si="20">SUM(B131:B143)</f>
        <v>162</v>
      </c>
      <c r="C130" s="74">
        <f t="shared" si="20"/>
        <v>122</v>
      </c>
      <c r="D130" s="74">
        <f t="shared" si="20"/>
        <v>154</v>
      </c>
      <c r="E130" s="74">
        <f t="shared" si="20"/>
        <v>152</v>
      </c>
      <c r="F130" s="74">
        <f t="shared" si="20"/>
        <v>156</v>
      </c>
      <c r="G130" s="74">
        <f t="shared" si="20"/>
        <v>243</v>
      </c>
      <c r="H130" s="74">
        <f t="shared" si="20"/>
        <v>239</v>
      </c>
      <c r="I130" s="74">
        <f t="shared" si="20"/>
        <v>182</v>
      </c>
      <c r="J130" s="74">
        <f t="shared" si="20"/>
        <v>143</v>
      </c>
      <c r="K130" s="74">
        <f t="shared" si="20"/>
        <v>125</v>
      </c>
      <c r="L130" s="74">
        <f t="shared" si="20"/>
        <v>141</v>
      </c>
      <c r="M130" s="74">
        <f t="shared" si="20"/>
        <v>157</v>
      </c>
      <c r="N130" s="74">
        <f t="shared" si="20"/>
        <v>237</v>
      </c>
      <c r="O130" s="74">
        <f t="shared" si="20"/>
        <v>225</v>
      </c>
      <c r="P130" s="74">
        <f t="shared" si="20"/>
        <v>180</v>
      </c>
      <c r="Q130" s="74">
        <f t="shared" si="20"/>
        <v>198</v>
      </c>
      <c r="R130" s="74">
        <f t="shared" si="20"/>
        <v>146</v>
      </c>
      <c r="S130" s="74">
        <f t="shared" si="20"/>
        <v>146</v>
      </c>
      <c r="T130" s="74">
        <f t="shared" si="20"/>
        <v>144</v>
      </c>
      <c r="U130" s="74">
        <f t="shared" si="20"/>
        <v>214</v>
      </c>
      <c r="V130" s="74">
        <f t="shared" si="20"/>
        <v>207</v>
      </c>
      <c r="W130" s="74">
        <f t="shared" si="20"/>
        <v>131</v>
      </c>
      <c r="X130" s="74">
        <f t="shared" si="20"/>
        <v>139</v>
      </c>
      <c r="Y130" s="74">
        <f t="shared" si="20"/>
        <v>144</v>
      </c>
      <c r="Z130" s="74">
        <f t="shared" si="20"/>
        <v>130</v>
      </c>
      <c r="AA130" s="74">
        <f t="shared" si="20"/>
        <v>124</v>
      </c>
      <c r="AB130" s="74">
        <f t="shared" si="20"/>
        <v>214</v>
      </c>
      <c r="AC130" s="74">
        <f t="shared" si="20"/>
        <v>198</v>
      </c>
      <c r="AD130" s="74">
        <f t="shared" si="20"/>
        <v>158</v>
      </c>
      <c r="AE130" s="74">
        <f t="shared" si="20"/>
        <v>155</v>
      </c>
      <c r="AF130" s="84">
        <f t="shared" si="20"/>
        <v>145</v>
      </c>
      <c r="AG130" s="150">
        <f t="shared" si="19"/>
        <v>5211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45</v>
      </c>
      <c r="C131" s="7">
        <v>42</v>
      </c>
      <c r="D131" s="7">
        <v>49</v>
      </c>
      <c r="E131" s="7">
        <v>35</v>
      </c>
      <c r="F131" s="7">
        <v>49</v>
      </c>
      <c r="G131" s="7">
        <v>74</v>
      </c>
      <c r="H131" s="7">
        <v>67</v>
      </c>
      <c r="I131" s="7">
        <v>47</v>
      </c>
      <c r="J131" s="7">
        <v>41</v>
      </c>
      <c r="K131" s="7">
        <v>32</v>
      </c>
      <c r="L131" s="7">
        <v>45</v>
      </c>
      <c r="M131" s="7">
        <v>40</v>
      </c>
      <c r="N131" s="7">
        <v>68</v>
      </c>
      <c r="O131" s="7">
        <v>72</v>
      </c>
      <c r="P131" s="7">
        <v>55</v>
      </c>
      <c r="Q131" s="7">
        <v>70</v>
      </c>
      <c r="R131" s="7">
        <v>33</v>
      </c>
      <c r="S131" s="7">
        <v>47</v>
      </c>
      <c r="T131" s="7">
        <v>48</v>
      </c>
      <c r="U131" s="7">
        <v>71</v>
      </c>
      <c r="V131" s="7">
        <v>77</v>
      </c>
      <c r="W131" s="7">
        <v>38</v>
      </c>
      <c r="X131" s="7">
        <v>46</v>
      </c>
      <c r="Y131" s="7">
        <v>37</v>
      </c>
      <c r="Z131" s="7">
        <v>36</v>
      </c>
      <c r="AA131" s="7">
        <v>42</v>
      </c>
      <c r="AB131" s="7">
        <v>67</v>
      </c>
      <c r="AC131" s="7">
        <v>68</v>
      </c>
      <c r="AD131" s="7">
        <v>63</v>
      </c>
      <c r="AE131" s="7">
        <v>52</v>
      </c>
      <c r="AF131" s="8">
        <v>49</v>
      </c>
      <c r="AG131" s="4">
        <f t="shared" si="19"/>
        <v>1605</v>
      </c>
    </row>
    <row r="132" spans="1:35" ht="18.75" x14ac:dyDescent="0.25">
      <c r="A132" s="43" t="s">
        <v>23</v>
      </c>
      <c r="B132" s="7">
        <v>13</v>
      </c>
      <c r="C132" s="7">
        <v>8</v>
      </c>
      <c r="D132" s="7">
        <v>9</v>
      </c>
      <c r="E132" s="7">
        <v>13</v>
      </c>
      <c r="F132" s="7">
        <v>11</v>
      </c>
      <c r="G132" s="7">
        <v>20</v>
      </c>
      <c r="H132" s="7">
        <v>19</v>
      </c>
      <c r="I132" s="7">
        <v>8</v>
      </c>
      <c r="J132" s="7">
        <v>5</v>
      </c>
      <c r="K132" s="7">
        <v>7</v>
      </c>
      <c r="L132" s="7">
        <v>4</v>
      </c>
      <c r="M132" s="7">
        <v>11</v>
      </c>
      <c r="N132" s="7">
        <v>18</v>
      </c>
      <c r="O132" s="7">
        <v>15</v>
      </c>
      <c r="P132" s="7">
        <v>19</v>
      </c>
      <c r="Q132" s="7">
        <v>8</v>
      </c>
      <c r="R132" s="7">
        <v>8</v>
      </c>
      <c r="S132" s="7">
        <v>6</v>
      </c>
      <c r="T132" s="7">
        <v>8</v>
      </c>
      <c r="U132" s="7">
        <v>7</v>
      </c>
      <c r="V132" s="7">
        <v>6</v>
      </c>
      <c r="W132" s="7">
        <v>11</v>
      </c>
      <c r="X132" s="7">
        <v>8</v>
      </c>
      <c r="Y132" s="7">
        <v>5</v>
      </c>
      <c r="Z132" s="7">
        <v>9</v>
      </c>
      <c r="AA132" s="7">
        <v>5</v>
      </c>
      <c r="AB132" s="7">
        <v>8</v>
      </c>
      <c r="AC132" s="7">
        <v>16</v>
      </c>
      <c r="AD132" s="7">
        <v>7</v>
      </c>
      <c r="AE132" s="7">
        <v>7</v>
      </c>
      <c r="AF132" s="8">
        <v>12</v>
      </c>
      <c r="AG132" s="4">
        <f t="shared" si="19"/>
        <v>311</v>
      </c>
    </row>
    <row r="133" spans="1:35" ht="18.75" x14ac:dyDescent="0.25">
      <c r="A133" s="43" t="s">
        <v>24</v>
      </c>
      <c r="B133" s="7">
        <v>9</v>
      </c>
      <c r="C133" s="7">
        <v>9</v>
      </c>
      <c r="D133" s="7">
        <v>7</v>
      </c>
      <c r="E133" s="7">
        <f>9+1</f>
        <v>10</v>
      </c>
      <c r="F133" s="7">
        <v>6</v>
      </c>
      <c r="G133" s="7">
        <v>15</v>
      </c>
      <c r="H133" s="7">
        <v>16</v>
      </c>
      <c r="I133" s="7">
        <v>8</v>
      </c>
      <c r="J133" s="7">
        <v>10</v>
      </c>
      <c r="K133" s="7">
        <v>8</v>
      </c>
      <c r="L133" s="7">
        <v>6</v>
      </c>
      <c r="M133" s="7">
        <v>14</v>
      </c>
      <c r="N133" s="7">
        <v>11</v>
      </c>
      <c r="O133" s="7">
        <v>16</v>
      </c>
      <c r="P133" s="7">
        <v>6</v>
      </c>
      <c r="Q133" s="7">
        <v>12</v>
      </c>
      <c r="R133" s="7">
        <v>9</v>
      </c>
      <c r="S133" s="7">
        <v>11</v>
      </c>
      <c r="T133" s="7">
        <v>7</v>
      </c>
      <c r="U133" s="7">
        <v>13</v>
      </c>
      <c r="V133" s="7">
        <v>17</v>
      </c>
      <c r="W133" s="7">
        <v>14</v>
      </c>
      <c r="X133" s="7">
        <v>9</v>
      </c>
      <c r="Y133" s="7">
        <v>18</v>
      </c>
      <c r="Z133" s="7">
        <v>18</v>
      </c>
      <c r="AA133" s="7">
        <v>9</v>
      </c>
      <c r="AB133" s="7">
        <v>15</v>
      </c>
      <c r="AC133" s="7">
        <v>12</v>
      </c>
      <c r="AD133" s="7">
        <v>14</v>
      </c>
      <c r="AE133" s="7">
        <v>9</v>
      </c>
      <c r="AF133" s="8">
        <v>8</v>
      </c>
      <c r="AG133" s="4">
        <f t="shared" si="19"/>
        <v>346</v>
      </c>
    </row>
    <row r="134" spans="1:35" ht="18.75" x14ac:dyDescent="0.25">
      <c r="A134" s="43" t="s">
        <v>25</v>
      </c>
      <c r="B134" s="7">
        <f>1+8</f>
        <v>9</v>
      </c>
      <c r="C134" s="7">
        <v>2</v>
      </c>
      <c r="D134" s="7">
        <v>9</v>
      </c>
      <c r="E134" s="7">
        <v>12</v>
      </c>
      <c r="F134" s="7">
        <f>2+15+1</f>
        <v>18</v>
      </c>
      <c r="G134" s="7">
        <v>13</v>
      </c>
      <c r="H134" s="7">
        <v>12</v>
      </c>
      <c r="I134" s="7">
        <f>15+1</f>
        <v>16</v>
      </c>
      <c r="J134" s="7">
        <v>13</v>
      </c>
      <c r="K134" s="7">
        <v>8</v>
      </c>
      <c r="L134" s="7">
        <f>1+9</f>
        <v>10</v>
      </c>
      <c r="M134" s="7">
        <v>12</v>
      </c>
      <c r="N134" s="7">
        <f>1+17</f>
        <v>18</v>
      </c>
      <c r="O134" s="7">
        <v>12</v>
      </c>
      <c r="P134" s="7">
        <v>9</v>
      </c>
      <c r="Q134" s="7">
        <v>11</v>
      </c>
      <c r="R134" s="7">
        <f>10+1</f>
        <v>11</v>
      </c>
      <c r="S134" s="7">
        <f>1+6</f>
        <v>7</v>
      </c>
      <c r="T134" s="7">
        <v>7</v>
      </c>
      <c r="U134" s="7">
        <v>10</v>
      </c>
      <c r="V134" s="7">
        <v>11</v>
      </c>
      <c r="W134" s="7">
        <f>2+9</f>
        <v>11</v>
      </c>
      <c r="X134" s="7">
        <v>7</v>
      </c>
      <c r="Y134" s="7">
        <v>6</v>
      </c>
      <c r="Z134" s="7">
        <v>5</v>
      </c>
      <c r="AA134" s="7">
        <f>12+1</f>
        <v>13</v>
      </c>
      <c r="AB134" s="7">
        <f>12+1</f>
        <v>13</v>
      </c>
      <c r="AC134" s="7">
        <f>5+1</f>
        <v>6</v>
      </c>
      <c r="AD134" s="7">
        <f>7+1</f>
        <v>8</v>
      </c>
      <c r="AE134" s="7">
        <f>5+1</f>
        <v>6</v>
      </c>
      <c r="AF134" s="8">
        <v>7</v>
      </c>
      <c r="AG134" s="4">
        <f t="shared" ref="AG134:AG147" si="21">SUM(B134:AF134)</f>
        <v>312</v>
      </c>
    </row>
    <row r="135" spans="1:35" ht="18.75" x14ac:dyDescent="0.25">
      <c r="A135" s="43" t="s">
        <v>26</v>
      </c>
      <c r="B135" s="7">
        <v>13</v>
      </c>
      <c r="C135" s="7">
        <v>9</v>
      </c>
      <c r="D135" s="7">
        <v>17</v>
      </c>
      <c r="E135" s="7">
        <v>11</v>
      </c>
      <c r="F135" s="7">
        <v>7</v>
      </c>
      <c r="G135" s="7">
        <v>10</v>
      </c>
      <c r="H135" s="7">
        <v>23</v>
      </c>
      <c r="I135" s="7">
        <v>16</v>
      </c>
      <c r="J135" s="7">
        <v>5</v>
      </c>
      <c r="K135" s="7">
        <v>14</v>
      </c>
      <c r="L135" s="7">
        <v>9</v>
      </c>
      <c r="M135" s="7">
        <v>11</v>
      </c>
      <c r="N135" s="7">
        <v>9</v>
      </c>
      <c r="O135" s="7">
        <v>13</v>
      </c>
      <c r="P135" s="7">
        <v>8</v>
      </c>
      <c r="Q135" s="7">
        <v>15</v>
      </c>
      <c r="R135" s="7">
        <v>9</v>
      </c>
      <c r="S135" s="7">
        <v>11</v>
      </c>
      <c r="T135" s="7">
        <v>8</v>
      </c>
      <c r="U135" s="7">
        <v>17</v>
      </c>
      <c r="V135" s="7">
        <v>15</v>
      </c>
      <c r="W135" s="7">
        <v>10</v>
      </c>
      <c r="X135" s="7">
        <v>12</v>
      </c>
      <c r="Y135" s="7">
        <v>9</v>
      </c>
      <c r="Z135" s="7">
        <v>7</v>
      </c>
      <c r="AA135" s="7">
        <v>7</v>
      </c>
      <c r="AB135" s="7">
        <v>9</v>
      </c>
      <c r="AC135" s="7">
        <v>14</v>
      </c>
      <c r="AD135" s="7">
        <v>9</v>
      </c>
      <c r="AE135" s="7">
        <v>12</v>
      </c>
      <c r="AF135" s="8">
        <v>4</v>
      </c>
      <c r="AG135" s="4">
        <f t="shared" si="21"/>
        <v>343</v>
      </c>
    </row>
    <row r="136" spans="1:35" ht="18.75" x14ac:dyDescent="0.25">
      <c r="A136" s="43" t="s">
        <v>27</v>
      </c>
      <c r="B136" s="7">
        <v>35</v>
      </c>
      <c r="C136" s="7">
        <v>27</v>
      </c>
      <c r="D136" s="7">
        <v>25</v>
      </c>
      <c r="E136" s="7">
        <v>25</v>
      </c>
      <c r="F136" s="7">
        <v>24</v>
      </c>
      <c r="G136" s="7">
        <v>33</v>
      </c>
      <c r="H136" s="7">
        <v>44</v>
      </c>
      <c r="I136" s="7">
        <v>34</v>
      </c>
      <c r="J136" s="7">
        <v>32</v>
      </c>
      <c r="K136" s="7">
        <v>24</v>
      </c>
      <c r="L136" s="7">
        <v>28</v>
      </c>
      <c r="M136" s="7">
        <v>38</v>
      </c>
      <c r="N136" s="7">
        <v>49</v>
      </c>
      <c r="O136" s="7">
        <v>40</v>
      </c>
      <c r="P136" s="7">
        <v>40</v>
      </c>
      <c r="Q136" s="7">
        <v>29</v>
      </c>
      <c r="R136" s="7">
        <v>23</v>
      </c>
      <c r="S136" s="7">
        <v>23</v>
      </c>
      <c r="T136" s="7">
        <v>26</v>
      </c>
      <c r="U136" s="7">
        <v>44</v>
      </c>
      <c r="V136" s="7">
        <v>38</v>
      </c>
      <c r="W136" s="7">
        <v>22</v>
      </c>
      <c r="X136" s="7">
        <v>20</v>
      </c>
      <c r="Y136" s="7">
        <v>28</v>
      </c>
      <c r="Z136" s="7">
        <v>20</v>
      </c>
      <c r="AA136" s="7">
        <v>22</v>
      </c>
      <c r="AB136" s="7">
        <v>41</v>
      </c>
      <c r="AC136" s="7">
        <v>42</v>
      </c>
      <c r="AD136" s="7">
        <v>21</v>
      </c>
      <c r="AE136" s="7">
        <v>28</v>
      </c>
      <c r="AF136" s="8">
        <v>19</v>
      </c>
      <c r="AG136" s="4">
        <f t="shared" si="21"/>
        <v>944</v>
      </c>
    </row>
    <row r="137" spans="1:35" ht="18.75" x14ac:dyDescent="0.25">
      <c r="A137" s="43" t="s">
        <v>28</v>
      </c>
      <c r="B137" s="7">
        <v>7</v>
      </c>
      <c r="C137" s="7">
        <v>3</v>
      </c>
      <c r="D137" s="7">
        <f>3+1</f>
        <v>4</v>
      </c>
      <c r="E137" s="7">
        <f>10+3</f>
        <v>13</v>
      </c>
      <c r="F137" s="7">
        <f>3+1</f>
        <v>4</v>
      </c>
      <c r="G137" s="7">
        <f>11+7</f>
        <v>18</v>
      </c>
      <c r="H137" s="7">
        <f>8+1</f>
        <v>9</v>
      </c>
      <c r="I137" s="7">
        <f>5+2</f>
        <v>7</v>
      </c>
      <c r="J137" s="7">
        <f>5+1</f>
        <v>6</v>
      </c>
      <c r="K137" s="7">
        <v>6</v>
      </c>
      <c r="L137" s="7">
        <v>7</v>
      </c>
      <c r="M137" s="7">
        <v>6</v>
      </c>
      <c r="N137" s="7">
        <f>5+1</f>
        <v>6</v>
      </c>
      <c r="O137" s="7">
        <f>6+2</f>
        <v>8</v>
      </c>
      <c r="P137" s="7">
        <f>8+1</f>
        <v>9</v>
      </c>
      <c r="Q137" s="7">
        <v>11</v>
      </c>
      <c r="R137" s="7">
        <f>10+1</f>
        <v>11</v>
      </c>
      <c r="S137" s="7">
        <v>4</v>
      </c>
      <c r="T137" s="7">
        <f>4+2</f>
        <v>6</v>
      </c>
      <c r="U137" s="7">
        <f>9+2</f>
        <v>11</v>
      </c>
      <c r="V137" s="7">
        <f>8+3</f>
        <v>11</v>
      </c>
      <c r="W137" s="7">
        <v>1</v>
      </c>
      <c r="X137" s="7">
        <f>8+1</f>
        <v>9</v>
      </c>
      <c r="Y137" s="7">
        <v>4</v>
      </c>
      <c r="Z137" s="7">
        <f>8+1</f>
        <v>9</v>
      </c>
      <c r="AA137" s="7">
        <v>1</v>
      </c>
      <c r="AB137" s="7">
        <f>10+1</f>
        <v>11</v>
      </c>
      <c r="AC137" s="7">
        <f>4+2</f>
        <v>6</v>
      </c>
      <c r="AD137" s="7">
        <f>4+2</f>
        <v>6</v>
      </c>
      <c r="AE137" s="7">
        <v>7</v>
      </c>
      <c r="AF137" s="8">
        <v>6</v>
      </c>
      <c r="AG137" s="4">
        <f t="shared" si="21"/>
        <v>227</v>
      </c>
    </row>
    <row r="138" spans="1:35" ht="18.75" x14ac:dyDescent="0.25">
      <c r="A138" s="43" t="s">
        <v>29</v>
      </c>
      <c r="B138" s="7">
        <v>6</v>
      </c>
      <c r="C138" s="7">
        <v>2</v>
      </c>
      <c r="D138" s="7">
        <v>1</v>
      </c>
      <c r="E138" s="7">
        <v>5</v>
      </c>
      <c r="F138" s="7">
        <v>6</v>
      </c>
      <c r="G138" s="7">
        <v>14</v>
      </c>
      <c r="H138" s="7">
        <v>6</v>
      </c>
      <c r="I138" s="7">
        <v>4</v>
      </c>
      <c r="J138" s="7">
        <v>3</v>
      </c>
      <c r="K138" s="7">
        <v>5</v>
      </c>
      <c r="L138" s="7">
        <v>5</v>
      </c>
      <c r="M138" s="7">
        <v>3</v>
      </c>
      <c r="N138" s="7">
        <v>9</v>
      </c>
      <c r="O138" s="7">
        <v>8</v>
      </c>
      <c r="P138" s="7">
        <v>4</v>
      </c>
      <c r="Q138" s="7">
        <v>6</v>
      </c>
      <c r="R138" s="7">
        <v>5</v>
      </c>
      <c r="S138" s="7">
        <v>5</v>
      </c>
      <c r="T138" s="7">
        <v>8</v>
      </c>
      <c r="U138" s="7">
        <v>7</v>
      </c>
      <c r="V138" s="7">
        <v>5</v>
      </c>
      <c r="W138" s="7">
        <v>5</v>
      </c>
      <c r="X138" s="7">
        <v>2</v>
      </c>
      <c r="Y138" s="7">
        <v>6</v>
      </c>
      <c r="Z138" s="7">
        <v>3</v>
      </c>
      <c r="AA138" s="7">
        <v>2</v>
      </c>
      <c r="AB138" s="7">
        <v>5</v>
      </c>
      <c r="AC138" s="7">
        <v>5</v>
      </c>
      <c r="AD138" s="7">
        <v>5</v>
      </c>
      <c r="AE138" s="7">
        <v>7</v>
      </c>
      <c r="AF138" s="8">
        <v>13</v>
      </c>
      <c r="AG138" s="4">
        <f t="shared" si="21"/>
        <v>170</v>
      </c>
    </row>
    <row r="139" spans="1:35" ht="18.75" x14ac:dyDescent="0.25">
      <c r="A139" s="41" t="s">
        <v>30</v>
      </c>
      <c r="B139" s="7">
        <f>1+1</f>
        <v>2</v>
      </c>
      <c r="C139" s="7">
        <f>1+1</f>
        <v>2</v>
      </c>
      <c r="D139" s="7">
        <v>4</v>
      </c>
      <c r="E139" s="7">
        <f>4+1</f>
        <v>5</v>
      </c>
      <c r="F139" s="7">
        <f>1+1</f>
        <v>2</v>
      </c>
      <c r="G139" s="7">
        <v>3</v>
      </c>
      <c r="H139" s="7">
        <f>3+1</f>
        <v>4</v>
      </c>
      <c r="I139" s="7">
        <f>5+2</f>
        <v>7</v>
      </c>
      <c r="J139" s="7">
        <f>1+1</f>
        <v>2</v>
      </c>
      <c r="K139" s="7">
        <v>2</v>
      </c>
      <c r="L139" s="7">
        <f>2+1</f>
        <v>3</v>
      </c>
      <c r="M139" s="7">
        <v>1</v>
      </c>
      <c r="N139" s="7">
        <f>4+1</f>
        <v>5</v>
      </c>
      <c r="O139" s="7">
        <f>5+2</f>
        <v>7</v>
      </c>
      <c r="P139" s="7">
        <v>2</v>
      </c>
      <c r="Q139" s="7">
        <v>3</v>
      </c>
      <c r="R139" s="7">
        <v>1</v>
      </c>
      <c r="S139" s="7">
        <v>2</v>
      </c>
      <c r="T139" s="7">
        <v>1</v>
      </c>
      <c r="U139" s="7">
        <v>4</v>
      </c>
      <c r="V139" s="7">
        <f>3+1</f>
        <v>4</v>
      </c>
      <c r="W139" s="7">
        <f>1+1</f>
        <v>2</v>
      </c>
      <c r="X139" s="7">
        <v>1</v>
      </c>
      <c r="Y139" s="7">
        <v>2</v>
      </c>
      <c r="Z139" s="7">
        <f>1+2</f>
        <v>3</v>
      </c>
      <c r="AA139" s="7">
        <v>2</v>
      </c>
      <c r="AB139" s="7">
        <v>1</v>
      </c>
      <c r="AC139" s="7">
        <v>2</v>
      </c>
      <c r="AD139" s="7">
        <v>1</v>
      </c>
      <c r="AE139" s="7">
        <f>4+1</f>
        <v>5</v>
      </c>
      <c r="AF139" s="8">
        <v>2</v>
      </c>
      <c r="AG139" s="4">
        <f t="shared" si="21"/>
        <v>87</v>
      </c>
    </row>
    <row r="140" spans="1:35" ht="18.75" x14ac:dyDescent="0.25">
      <c r="A140" s="41" t="s">
        <v>31</v>
      </c>
      <c r="B140" s="7">
        <v>2</v>
      </c>
      <c r="C140" s="7"/>
      <c r="D140" s="7">
        <v>1</v>
      </c>
      <c r="E140" s="7">
        <v>3</v>
      </c>
      <c r="F140" s="7"/>
      <c r="G140" s="7">
        <v>3</v>
      </c>
      <c r="H140" s="7">
        <v>2</v>
      </c>
      <c r="I140" s="7">
        <v>3</v>
      </c>
      <c r="J140" s="7">
        <v>3</v>
      </c>
      <c r="K140" s="7">
        <v>1</v>
      </c>
      <c r="L140" s="7">
        <v>2</v>
      </c>
      <c r="M140" s="7">
        <v>1</v>
      </c>
      <c r="N140" s="7">
        <v>3</v>
      </c>
      <c r="O140" s="7"/>
      <c r="P140" s="7">
        <v>4</v>
      </c>
      <c r="Q140" s="7">
        <v>1</v>
      </c>
      <c r="R140" s="7">
        <v>1</v>
      </c>
      <c r="S140" s="7">
        <v>2</v>
      </c>
      <c r="T140" s="7">
        <v>2</v>
      </c>
      <c r="U140" s="7"/>
      <c r="V140" s="7">
        <v>1</v>
      </c>
      <c r="W140" s="7"/>
      <c r="X140" s="7">
        <v>2</v>
      </c>
      <c r="Y140" s="7"/>
      <c r="Z140" s="7">
        <v>3</v>
      </c>
      <c r="AA140" s="7"/>
      <c r="AB140" s="7">
        <v>3</v>
      </c>
      <c r="AC140" s="7">
        <v>4</v>
      </c>
      <c r="AD140" s="7">
        <v>3</v>
      </c>
      <c r="AE140" s="7">
        <v>1</v>
      </c>
      <c r="AF140" s="8">
        <v>1</v>
      </c>
      <c r="AG140" s="4">
        <f t="shared" si="21"/>
        <v>52</v>
      </c>
    </row>
    <row r="141" spans="1:35" ht="18.75" x14ac:dyDescent="0.25">
      <c r="A141" s="41" t="s">
        <v>32</v>
      </c>
      <c r="B141" s="7">
        <v>1</v>
      </c>
      <c r="C141" s="7"/>
      <c r="D141" s="7">
        <v>1</v>
      </c>
      <c r="E141" s="7"/>
      <c r="F141" s="7"/>
      <c r="G141" s="7">
        <v>1</v>
      </c>
      <c r="H141" s="7"/>
      <c r="I141" s="7"/>
      <c r="J141" s="7"/>
      <c r="K141" s="7"/>
      <c r="L141" s="7"/>
      <c r="M141" s="7">
        <v>1</v>
      </c>
      <c r="N141" s="7"/>
      <c r="O141" s="7"/>
      <c r="P141" s="7"/>
      <c r="Q141" s="7"/>
      <c r="R141" s="7">
        <v>1</v>
      </c>
      <c r="S141" s="7"/>
      <c r="T141" s="7"/>
      <c r="U141" s="7"/>
      <c r="V141" s="7">
        <v>2</v>
      </c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7</v>
      </c>
    </row>
    <row r="142" spans="1:35" ht="18.75" x14ac:dyDescent="0.25">
      <c r="A142" s="43" t="s">
        <v>60</v>
      </c>
      <c r="B142" s="7">
        <f>1+1+1</f>
        <v>3</v>
      </c>
      <c r="C142" s="7">
        <f>1+1+1+1</f>
        <v>4</v>
      </c>
      <c r="D142" s="7">
        <f>1+1+1+1+1+1</f>
        <v>6</v>
      </c>
      <c r="E142" s="7">
        <f>1+1+1</f>
        <v>3</v>
      </c>
      <c r="F142" s="7">
        <f>1+1+2</f>
        <v>4</v>
      </c>
      <c r="G142" s="7">
        <f>1+1+2+1+1+1+2</f>
        <v>9</v>
      </c>
      <c r="H142" s="7">
        <f>3+1+1</f>
        <v>5</v>
      </c>
      <c r="I142" s="7">
        <f>2+1+2+1+1</f>
        <v>7</v>
      </c>
      <c r="J142" s="7">
        <f>1+1+2+1+1</f>
        <v>6</v>
      </c>
      <c r="K142" s="7">
        <f>1+1+1</f>
        <v>3</v>
      </c>
      <c r="L142" s="7">
        <f>2+10</f>
        <v>12</v>
      </c>
      <c r="M142" s="7">
        <f>1+1+1+1</f>
        <v>4</v>
      </c>
      <c r="N142" s="7">
        <f>1+3+2+1</f>
        <v>7</v>
      </c>
      <c r="O142" s="7">
        <f>1+2+1+1+1+1</f>
        <v>7</v>
      </c>
      <c r="P142" s="7">
        <f>1+1+1+1+2</f>
        <v>6</v>
      </c>
      <c r="Q142" s="7">
        <f>1+1</f>
        <v>2</v>
      </c>
      <c r="R142" s="7">
        <f>3+1+2+1+1</f>
        <v>8</v>
      </c>
      <c r="S142" s="7">
        <f>3+1+1</f>
        <v>5</v>
      </c>
      <c r="T142" s="7">
        <f>1+1+1+1</f>
        <v>4</v>
      </c>
      <c r="U142" s="7">
        <f>1+2+3+1+1</f>
        <v>8</v>
      </c>
      <c r="V142" s="7">
        <f>1+1+2</f>
        <v>4</v>
      </c>
      <c r="W142" s="7">
        <v>1</v>
      </c>
      <c r="X142" s="7">
        <f>1+1+1+1+2+1</f>
        <v>7</v>
      </c>
      <c r="Y142" s="7">
        <f>1+1+1+1+3+1+1</f>
        <v>9</v>
      </c>
      <c r="Z142" s="7">
        <f>1+1+1</f>
        <v>3</v>
      </c>
      <c r="AA142" s="7">
        <f>3+1</f>
        <v>4</v>
      </c>
      <c r="AB142" s="7">
        <f>1+2+2+1+1</f>
        <v>7</v>
      </c>
      <c r="AC142" s="7">
        <f>2+1</f>
        <v>3</v>
      </c>
      <c r="AD142" s="7">
        <f>2+1+1+1</f>
        <v>5</v>
      </c>
      <c r="AE142" s="7">
        <f>1+1+10</f>
        <v>12</v>
      </c>
      <c r="AF142" s="8">
        <f>1+1</f>
        <v>2</v>
      </c>
      <c r="AG142" s="4">
        <f t="shared" si="21"/>
        <v>170</v>
      </c>
    </row>
    <row r="143" spans="1:35" ht="19.5" thickBot="1" x14ac:dyDescent="0.3">
      <c r="A143" s="75" t="s">
        <v>86</v>
      </c>
      <c r="B143" s="13">
        <f>7+10</f>
        <v>17</v>
      </c>
      <c r="C143" s="13">
        <f>6+8</f>
        <v>14</v>
      </c>
      <c r="D143" s="13">
        <f>10+11</f>
        <v>21</v>
      </c>
      <c r="E143" s="13">
        <f>9+8</f>
        <v>17</v>
      </c>
      <c r="F143" s="13">
        <f>8+17</f>
        <v>25</v>
      </c>
      <c r="G143" s="13">
        <f>13+1+16</f>
        <v>30</v>
      </c>
      <c r="H143" s="13">
        <f>14+1+17</f>
        <v>32</v>
      </c>
      <c r="I143" s="13">
        <f>11+14</f>
        <v>25</v>
      </c>
      <c r="J143" s="13">
        <f>11+6</f>
        <v>17</v>
      </c>
      <c r="K143" s="13">
        <f>6+9</f>
        <v>15</v>
      </c>
      <c r="L143" s="13">
        <v>10</v>
      </c>
      <c r="M143" s="13">
        <f>8+7</f>
        <v>15</v>
      </c>
      <c r="N143" s="13">
        <f>20+1+13</f>
        <v>34</v>
      </c>
      <c r="O143" s="13">
        <f>9+1+1+16</f>
        <v>27</v>
      </c>
      <c r="P143" s="13">
        <f>10+8</f>
        <v>18</v>
      </c>
      <c r="Q143" s="13">
        <f>15+15</f>
        <v>30</v>
      </c>
      <c r="R143" s="13">
        <f>16+10</f>
        <v>26</v>
      </c>
      <c r="S143" s="13">
        <f>13+10</f>
        <v>23</v>
      </c>
      <c r="T143" s="13">
        <f>7+1+11</f>
        <v>19</v>
      </c>
      <c r="U143" s="13">
        <f>12+10</f>
        <v>22</v>
      </c>
      <c r="V143" s="13">
        <f>7+9</f>
        <v>16</v>
      </c>
      <c r="W143" s="13">
        <f>7+9</f>
        <v>16</v>
      </c>
      <c r="X143" s="13">
        <f>9+7</f>
        <v>16</v>
      </c>
      <c r="Y143" s="13">
        <f>13+7</f>
        <v>20</v>
      </c>
      <c r="Z143" s="13">
        <f>8+6</f>
        <v>14</v>
      </c>
      <c r="AA143" s="13">
        <f>7+10</f>
        <v>17</v>
      </c>
      <c r="AB143" s="13">
        <f>19+15</f>
        <v>34</v>
      </c>
      <c r="AC143" s="13">
        <f>12+8</f>
        <v>20</v>
      </c>
      <c r="AD143" s="13">
        <f>8+1+7</f>
        <v>16</v>
      </c>
      <c r="AE143" s="13">
        <v>9</v>
      </c>
      <c r="AF143" s="14">
        <f>11+11</f>
        <v>22</v>
      </c>
      <c r="AG143" s="108">
        <f t="shared" si="21"/>
        <v>637</v>
      </c>
    </row>
    <row r="144" spans="1:35" ht="19.5" thickBot="1" x14ac:dyDescent="0.3">
      <c r="A144" s="164" t="s">
        <v>89</v>
      </c>
      <c r="B144" s="165">
        <f t="shared" ref="B144:AD144" si="22">+B146+B156+B158+B167</f>
        <v>162</v>
      </c>
      <c r="C144" s="165">
        <f t="shared" si="22"/>
        <v>122</v>
      </c>
      <c r="D144" s="165">
        <f t="shared" si="22"/>
        <v>154</v>
      </c>
      <c r="E144" s="165">
        <f t="shared" si="22"/>
        <v>152</v>
      </c>
      <c r="F144" s="165">
        <f t="shared" si="22"/>
        <v>156</v>
      </c>
      <c r="G144" s="165">
        <f t="shared" si="22"/>
        <v>243</v>
      </c>
      <c r="H144" s="165">
        <f t="shared" si="22"/>
        <v>239</v>
      </c>
      <c r="I144" s="165">
        <f t="shared" si="22"/>
        <v>182</v>
      </c>
      <c r="J144" s="165">
        <f t="shared" si="22"/>
        <v>143</v>
      </c>
      <c r="K144" s="165">
        <f t="shared" si="22"/>
        <v>125</v>
      </c>
      <c r="L144" s="165">
        <f t="shared" si="22"/>
        <v>141</v>
      </c>
      <c r="M144" s="165">
        <f t="shared" si="22"/>
        <v>157</v>
      </c>
      <c r="N144" s="165">
        <f t="shared" si="22"/>
        <v>237</v>
      </c>
      <c r="O144" s="165">
        <f t="shared" si="22"/>
        <v>225</v>
      </c>
      <c r="P144" s="165">
        <f t="shared" si="22"/>
        <v>180</v>
      </c>
      <c r="Q144" s="165">
        <f t="shared" si="22"/>
        <v>198</v>
      </c>
      <c r="R144" s="165">
        <f t="shared" si="22"/>
        <v>146</v>
      </c>
      <c r="S144" s="165">
        <f t="shared" si="22"/>
        <v>146</v>
      </c>
      <c r="T144" s="165">
        <f t="shared" si="22"/>
        <v>144</v>
      </c>
      <c r="U144" s="165">
        <f t="shared" si="22"/>
        <v>214</v>
      </c>
      <c r="V144" s="165">
        <f t="shared" si="22"/>
        <v>207</v>
      </c>
      <c r="W144" s="165">
        <f t="shared" si="22"/>
        <v>131</v>
      </c>
      <c r="X144" s="165">
        <f t="shared" si="22"/>
        <v>139</v>
      </c>
      <c r="Y144" s="165">
        <f t="shared" si="22"/>
        <v>144</v>
      </c>
      <c r="Z144" s="165">
        <f t="shared" si="22"/>
        <v>130</v>
      </c>
      <c r="AA144" s="165">
        <f t="shared" si="22"/>
        <v>124</v>
      </c>
      <c r="AB144" s="165">
        <f t="shared" si="22"/>
        <v>214</v>
      </c>
      <c r="AC144" s="165">
        <f t="shared" si="22"/>
        <v>198</v>
      </c>
      <c r="AD144" s="165">
        <f t="shared" si="22"/>
        <v>158</v>
      </c>
      <c r="AE144" s="165">
        <f>+AE146+AE156+AE158+AE167</f>
        <v>155</v>
      </c>
      <c r="AF144" s="165">
        <f t="shared" ref="AF144" si="23">+AF146+AF156+AF158+AF167</f>
        <v>145</v>
      </c>
      <c r="AG144" s="116">
        <f t="shared" si="21"/>
        <v>5211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13</v>
      </c>
      <c r="C145" s="161">
        <f t="shared" si="24"/>
        <v>6</v>
      </c>
      <c r="D145" s="161">
        <f t="shared" si="24"/>
        <v>10</v>
      </c>
      <c r="E145" s="161">
        <f t="shared" si="24"/>
        <v>15</v>
      </c>
      <c r="F145" s="161">
        <f t="shared" si="24"/>
        <v>9</v>
      </c>
      <c r="G145" s="161">
        <f t="shared" si="24"/>
        <v>4</v>
      </c>
      <c r="H145" s="161">
        <f t="shared" si="24"/>
        <v>2</v>
      </c>
      <c r="I145" s="161">
        <f t="shared" si="24"/>
        <v>23</v>
      </c>
      <c r="J145" s="161">
        <f t="shared" si="24"/>
        <v>11</v>
      </c>
      <c r="K145" s="161">
        <f t="shared" si="24"/>
        <v>8</v>
      </c>
      <c r="L145" s="161">
        <f t="shared" si="24"/>
        <v>14</v>
      </c>
      <c r="M145" s="161">
        <f t="shared" si="24"/>
        <v>2</v>
      </c>
      <c r="N145" s="161">
        <f t="shared" si="24"/>
        <v>6</v>
      </c>
      <c r="O145" s="161">
        <f t="shared" si="24"/>
        <v>7</v>
      </c>
      <c r="P145" s="161">
        <f t="shared" si="24"/>
        <v>7</v>
      </c>
      <c r="Q145" s="161">
        <f t="shared" si="24"/>
        <v>6</v>
      </c>
      <c r="R145" s="161">
        <f t="shared" si="24"/>
        <v>4</v>
      </c>
      <c r="S145" s="161">
        <f t="shared" si="24"/>
        <v>9</v>
      </c>
      <c r="T145" s="161">
        <f t="shared" si="24"/>
        <v>6</v>
      </c>
      <c r="U145" s="161">
        <f t="shared" si="24"/>
        <v>4</v>
      </c>
      <c r="V145" s="161">
        <f t="shared" si="24"/>
        <v>8</v>
      </c>
      <c r="W145" s="161">
        <f t="shared" si="24"/>
        <v>11</v>
      </c>
      <c r="X145" s="161">
        <f t="shared" si="24"/>
        <v>10</v>
      </c>
      <c r="Y145" s="161">
        <f t="shared" si="24"/>
        <v>11</v>
      </c>
      <c r="Z145" s="161">
        <f t="shared" si="24"/>
        <v>5</v>
      </c>
      <c r="AA145" s="161">
        <f t="shared" si="24"/>
        <v>6</v>
      </c>
      <c r="AB145" s="161">
        <f t="shared" si="24"/>
        <v>10</v>
      </c>
      <c r="AC145" s="161">
        <f t="shared" si="24"/>
        <v>3</v>
      </c>
      <c r="AD145" s="161">
        <f t="shared" si="24"/>
        <v>20</v>
      </c>
      <c r="AE145" s="161">
        <f>+AE149+AE155+AE157+AE172</f>
        <v>12</v>
      </c>
      <c r="AF145" s="162">
        <f t="shared" ref="AF145" si="25">+AF149+AF155+AF157+AF172</f>
        <v>5</v>
      </c>
      <c r="AG145" s="163">
        <f t="shared" si="21"/>
        <v>267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2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1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1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1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5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1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23" si="28">SUM(B148:AF148)</f>
        <v>1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>
        <v>1</v>
      </c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1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>
        <v>2</v>
      </c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>
        <v>1</v>
      </c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>
        <v>1</v>
      </c>
      <c r="AC154" s="126"/>
      <c r="AD154" s="126"/>
      <c r="AE154" s="126"/>
      <c r="AF154" s="127"/>
      <c r="AG154" s="128">
        <f t="shared" si="28"/>
        <v>4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161</v>
      </c>
      <c r="C156" s="56">
        <v>121</v>
      </c>
      <c r="D156" s="56">
        <v>151</v>
      </c>
      <c r="E156" s="56">
        <v>152</v>
      </c>
      <c r="F156" s="56">
        <v>155</v>
      </c>
      <c r="G156" s="56">
        <v>243</v>
      </c>
      <c r="H156" s="56">
        <v>238</v>
      </c>
      <c r="I156" s="56">
        <v>181</v>
      </c>
      <c r="J156" s="56">
        <v>142</v>
      </c>
      <c r="K156" s="56">
        <v>125</v>
      </c>
      <c r="L156" s="56">
        <v>139</v>
      </c>
      <c r="M156" s="56">
        <v>156</v>
      </c>
      <c r="N156" s="56">
        <v>235</v>
      </c>
      <c r="O156" s="56">
        <v>221</v>
      </c>
      <c r="P156" s="56">
        <v>179</v>
      </c>
      <c r="Q156" s="56">
        <v>198</v>
      </c>
      <c r="R156" s="56">
        <v>146</v>
      </c>
      <c r="S156" s="56">
        <v>145</v>
      </c>
      <c r="T156" s="56">
        <v>141</v>
      </c>
      <c r="U156" s="56">
        <v>214</v>
      </c>
      <c r="V156" s="56">
        <v>206</v>
      </c>
      <c r="W156" s="56">
        <v>130</v>
      </c>
      <c r="X156" s="56">
        <v>139</v>
      </c>
      <c r="Y156" s="56">
        <v>142</v>
      </c>
      <c r="Z156" s="56">
        <v>130</v>
      </c>
      <c r="AA156" s="56">
        <v>123</v>
      </c>
      <c r="AB156" s="56">
        <v>212</v>
      </c>
      <c r="AC156" s="56">
        <v>197</v>
      </c>
      <c r="AD156" s="56">
        <v>158</v>
      </c>
      <c r="AE156" s="56">
        <v>153</v>
      </c>
      <c r="AF156" s="85">
        <v>145</v>
      </c>
      <c r="AG156" s="95">
        <f t="shared" si="28"/>
        <v>5178</v>
      </c>
      <c r="AH156" s="2" t="s">
        <v>84</v>
      </c>
    </row>
    <row r="157" spans="1:34" ht="19.5" thickBot="1" x14ac:dyDescent="0.3">
      <c r="A157" s="75" t="s">
        <v>1</v>
      </c>
      <c r="B157" s="13">
        <v>13</v>
      </c>
      <c r="C157" s="13">
        <v>6</v>
      </c>
      <c r="D157" s="13">
        <v>10</v>
      </c>
      <c r="E157" s="13">
        <v>15</v>
      </c>
      <c r="F157" s="13">
        <v>9</v>
      </c>
      <c r="G157" s="13">
        <v>4</v>
      </c>
      <c r="H157" s="13">
        <v>2</v>
      </c>
      <c r="I157" s="13">
        <v>22</v>
      </c>
      <c r="J157" s="13">
        <v>11</v>
      </c>
      <c r="K157" s="13">
        <v>8</v>
      </c>
      <c r="L157" s="13">
        <v>14</v>
      </c>
      <c r="M157" s="13">
        <v>2</v>
      </c>
      <c r="N157" s="13">
        <v>6</v>
      </c>
      <c r="O157" s="13">
        <v>7</v>
      </c>
      <c r="P157" s="13">
        <v>7</v>
      </c>
      <c r="Q157" s="13">
        <v>6</v>
      </c>
      <c r="R157" s="13">
        <v>4</v>
      </c>
      <c r="S157" s="13">
        <v>9</v>
      </c>
      <c r="T157" s="13">
        <v>6</v>
      </c>
      <c r="U157" s="13">
        <v>4</v>
      </c>
      <c r="V157" s="13">
        <v>8</v>
      </c>
      <c r="W157" s="13">
        <v>11</v>
      </c>
      <c r="X157" s="13">
        <v>10</v>
      </c>
      <c r="Y157" s="13">
        <v>11</v>
      </c>
      <c r="Z157" s="13">
        <v>5</v>
      </c>
      <c r="AA157" s="13">
        <v>6</v>
      </c>
      <c r="AB157" s="13">
        <v>10</v>
      </c>
      <c r="AC157" s="13">
        <v>3</v>
      </c>
      <c r="AD157" s="13">
        <v>20</v>
      </c>
      <c r="AE157" s="13">
        <v>12</v>
      </c>
      <c r="AF157" s="14">
        <v>5</v>
      </c>
      <c r="AG157" s="157">
        <f t="shared" si="28"/>
        <v>266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1</v>
      </c>
      <c r="D158" s="122">
        <f t="shared" si="29"/>
        <v>1</v>
      </c>
      <c r="E158" s="122">
        <f t="shared" si="29"/>
        <v>0</v>
      </c>
      <c r="F158" s="122">
        <f t="shared" si="29"/>
        <v>1</v>
      </c>
      <c r="G158" s="122">
        <f t="shared" si="29"/>
        <v>0</v>
      </c>
      <c r="H158" s="122">
        <f t="shared" si="29"/>
        <v>0</v>
      </c>
      <c r="I158" s="122">
        <f t="shared" si="29"/>
        <v>1</v>
      </c>
      <c r="J158" s="122">
        <f t="shared" si="29"/>
        <v>1</v>
      </c>
      <c r="K158" s="122">
        <f t="shared" si="29"/>
        <v>0</v>
      </c>
      <c r="L158" s="122">
        <f t="shared" si="29"/>
        <v>1</v>
      </c>
      <c r="M158" s="122">
        <f t="shared" si="29"/>
        <v>1</v>
      </c>
      <c r="N158" s="122">
        <f t="shared" si="29"/>
        <v>2</v>
      </c>
      <c r="O158" s="122">
        <f t="shared" si="29"/>
        <v>2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1</v>
      </c>
      <c r="T158" s="122">
        <f t="shared" si="29"/>
        <v>2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1</v>
      </c>
      <c r="Z158" s="122">
        <f t="shared" si="29"/>
        <v>0</v>
      </c>
      <c r="AA158" s="122">
        <f t="shared" si="29"/>
        <v>1</v>
      </c>
      <c r="AB158" s="122">
        <f t="shared" si="29"/>
        <v>1</v>
      </c>
      <c r="AC158" s="122">
        <f t="shared" si="29"/>
        <v>1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18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>
        <v>1</v>
      </c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>
        <v>1</v>
      </c>
      <c r="AD159" s="130"/>
      <c r="AE159" s="130"/>
      <c r="AF159" s="131"/>
      <c r="AG159" s="132">
        <f t="shared" si="28"/>
        <v>2</v>
      </c>
    </row>
    <row r="160" spans="1:34" ht="18.75" x14ac:dyDescent="0.25">
      <c r="A160" s="50" t="s">
        <v>24</v>
      </c>
      <c r="B160" s="29"/>
      <c r="C160" s="29">
        <v>1</v>
      </c>
      <c r="D160" s="29">
        <v>1</v>
      </c>
      <c r="E160" s="29"/>
      <c r="F160" s="29"/>
      <c r="G160" s="29"/>
      <c r="H160" s="29"/>
      <c r="I160" s="29"/>
      <c r="J160" s="29"/>
      <c r="K160" s="29"/>
      <c r="L160" s="29">
        <v>1</v>
      </c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>
        <v>1</v>
      </c>
      <c r="Z160" s="29"/>
      <c r="AA160" s="29"/>
      <c r="AB160" s="29">
        <v>1</v>
      </c>
      <c r="AC160" s="29"/>
      <c r="AD160" s="29"/>
      <c r="AE160" s="29"/>
      <c r="AF160" s="21"/>
      <c r="AG160" s="4">
        <f t="shared" si="28"/>
        <v>5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0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>
        <v>1</v>
      </c>
      <c r="G162" s="29"/>
      <c r="H162" s="29"/>
      <c r="I162" s="29"/>
      <c r="J162" s="29"/>
      <c r="K162" s="29"/>
      <c r="L162" s="29"/>
      <c r="M162" s="29"/>
      <c r="N162" s="29"/>
      <c r="O162" s="29">
        <v>1</v>
      </c>
      <c r="P162" s="29"/>
      <c r="Q162" s="29"/>
      <c r="R162" s="29"/>
      <c r="S162" s="29">
        <v>1</v>
      </c>
      <c r="T162" s="29">
        <v>2</v>
      </c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5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>
        <v>1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>
        <v>1</v>
      </c>
      <c r="AB164" s="29"/>
      <c r="AC164" s="29"/>
      <c r="AD164" s="29"/>
      <c r="AE164" s="29"/>
      <c r="AF164" s="21"/>
      <c r="AG164" s="4">
        <f t="shared" si="28"/>
        <v>2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>
        <v>1</v>
      </c>
      <c r="J165" s="29"/>
      <c r="K165" s="29"/>
      <c r="L165" s="29"/>
      <c r="M165" s="29">
        <v>1</v>
      </c>
      <c r="N165" s="29">
        <v>1</v>
      </c>
      <c r="O165" s="29">
        <v>1</v>
      </c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4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1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0</v>
      </c>
      <c r="H167" s="56">
        <f t="shared" si="30"/>
        <v>1</v>
      </c>
      <c r="I167" s="56">
        <f t="shared" si="30"/>
        <v>0</v>
      </c>
      <c r="J167" s="56">
        <f t="shared" si="30"/>
        <v>0</v>
      </c>
      <c r="K167" s="56">
        <f t="shared" si="30"/>
        <v>0</v>
      </c>
      <c r="L167" s="56">
        <f t="shared" si="30"/>
        <v>1</v>
      </c>
      <c r="M167" s="56">
        <f t="shared" si="30"/>
        <v>0</v>
      </c>
      <c r="N167" s="56">
        <f t="shared" si="30"/>
        <v>0</v>
      </c>
      <c r="O167" s="56">
        <f t="shared" si="30"/>
        <v>1</v>
      </c>
      <c r="P167" s="56">
        <f t="shared" si="30"/>
        <v>1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0</v>
      </c>
      <c r="V167" s="56">
        <f t="shared" si="30"/>
        <v>1</v>
      </c>
      <c r="W167" s="56">
        <f t="shared" si="30"/>
        <v>1</v>
      </c>
      <c r="X167" s="56">
        <f t="shared" si="30"/>
        <v>0</v>
      </c>
      <c r="Y167" s="56">
        <f t="shared" si="30"/>
        <v>1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0</v>
      </c>
      <c r="AD167" s="56">
        <f t="shared" si="30"/>
        <v>0</v>
      </c>
      <c r="AE167" s="56">
        <f t="shared" si="30"/>
        <v>2</v>
      </c>
      <c r="AF167" s="85">
        <f t="shared" si="30"/>
        <v>0</v>
      </c>
      <c r="AG167" s="95">
        <f t="shared" si="28"/>
        <v>10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>
        <v>1</v>
      </c>
      <c r="I168" s="29"/>
      <c r="J168" s="29"/>
      <c r="K168" s="29"/>
      <c r="L168" s="29">
        <v>1</v>
      </c>
      <c r="M168" s="29"/>
      <c r="N168" s="29"/>
      <c r="O168" s="29">
        <v>1</v>
      </c>
      <c r="P168" s="29"/>
      <c r="Q168" s="29"/>
      <c r="R168" s="29"/>
      <c r="S168" s="29"/>
      <c r="T168" s="29"/>
      <c r="U168" s="29"/>
      <c r="V168" s="29">
        <v>1</v>
      </c>
      <c r="W168" s="29"/>
      <c r="X168" s="29"/>
      <c r="Y168" s="29"/>
      <c r="Z168" s="29"/>
      <c r="AA168" s="29"/>
      <c r="AB168" s="29"/>
      <c r="AC168" s="29"/>
      <c r="AD168" s="29"/>
      <c r="AE168" s="29">
        <v>2</v>
      </c>
      <c r="AF168" s="21"/>
      <c r="AG168" s="4">
        <f t="shared" si="28"/>
        <v>6</v>
      </c>
    </row>
    <row r="169" spans="1:34" ht="18.75" x14ac:dyDescent="0.25">
      <c r="A169" s="51" t="s">
        <v>31</v>
      </c>
      <c r="B169" s="29">
        <v>1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>
        <v>1</v>
      </c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2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>
        <v>1</v>
      </c>
      <c r="X171" s="30"/>
      <c r="Y171" s="30">
        <v>1</v>
      </c>
      <c r="Z171" s="30"/>
      <c r="AA171" s="30"/>
      <c r="AB171" s="30"/>
      <c r="AC171" s="30"/>
      <c r="AD171" s="30"/>
      <c r="AE171" s="30"/>
      <c r="AF171" s="22"/>
      <c r="AG171" s="28">
        <f t="shared" si="28"/>
        <v>2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>
        <v>1</v>
      </c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1</v>
      </c>
    </row>
    <row r="173" spans="1:34" ht="18.75" x14ac:dyDescent="0.25">
      <c r="A173" s="68" t="s">
        <v>2</v>
      </c>
      <c r="B173" s="15">
        <v>2</v>
      </c>
      <c r="C173" s="15">
        <v>0</v>
      </c>
      <c r="D173" s="15">
        <v>0</v>
      </c>
      <c r="E173" s="15">
        <v>0</v>
      </c>
      <c r="F173" s="15">
        <v>3</v>
      </c>
      <c r="G173" s="15">
        <v>0</v>
      </c>
      <c r="H173" s="15">
        <v>0</v>
      </c>
      <c r="I173" s="15">
        <v>0</v>
      </c>
      <c r="J173" s="15">
        <v>0</v>
      </c>
      <c r="K173" s="15">
        <v>1</v>
      </c>
      <c r="L173" s="15">
        <v>0</v>
      </c>
      <c r="M173" s="15">
        <v>0</v>
      </c>
      <c r="N173" s="15">
        <v>0</v>
      </c>
      <c r="O173" s="15">
        <v>1</v>
      </c>
      <c r="P173" s="15">
        <f>1+1</f>
        <v>2</v>
      </c>
      <c r="Q173" s="15">
        <v>0</v>
      </c>
      <c r="R173" s="15">
        <v>0</v>
      </c>
      <c r="S173" s="15">
        <v>2</v>
      </c>
      <c r="T173" s="15">
        <v>0</v>
      </c>
      <c r="U173" s="15">
        <v>2</v>
      </c>
      <c r="V173" s="15">
        <v>1</v>
      </c>
      <c r="W173" s="15">
        <v>1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1</v>
      </c>
      <c r="AD173" s="15">
        <v>0</v>
      </c>
      <c r="AE173" s="15">
        <v>2</v>
      </c>
      <c r="AF173" s="23">
        <v>0</v>
      </c>
      <c r="AG173" s="5">
        <f t="shared" si="28"/>
        <v>18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5</v>
      </c>
      <c r="C174" s="16">
        <f t="shared" ref="C174:AF174" si="31">SUM(C175:C176)</f>
        <v>1</v>
      </c>
      <c r="D174" s="16">
        <f t="shared" si="31"/>
        <v>5</v>
      </c>
      <c r="E174" s="16">
        <f t="shared" si="31"/>
        <v>4</v>
      </c>
      <c r="F174" s="16">
        <f t="shared" si="31"/>
        <v>4</v>
      </c>
      <c r="G174" s="16">
        <f t="shared" si="31"/>
        <v>6</v>
      </c>
      <c r="H174" s="16">
        <f t="shared" si="31"/>
        <v>6</v>
      </c>
      <c r="I174" s="16">
        <f t="shared" si="31"/>
        <v>4</v>
      </c>
      <c r="J174" s="16">
        <f t="shared" si="31"/>
        <v>2</v>
      </c>
      <c r="K174" s="16">
        <f t="shared" si="31"/>
        <v>2</v>
      </c>
      <c r="L174" s="16">
        <f t="shared" si="31"/>
        <v>7</v>
      </c>
      <c r="M174" s="16">
        <f t="shared" si="31"/>
        <v>5</v>
      </c>
      <c r="N174" s="16">
        <f t="shared" si="31"/>
        <v>9</v>
      </c>
      <c r="O174" s="16">
        <f t="shared" si="31"/>
        <v>7</v>
      </c>
      <c r="P174" s="16">
        <f t="shared" si="31"/>
        <v>8</v>
      </c>
      <c r="Q174" s="16">
        <f t="shared" si="31"/>
        <v>7</v>
      </c>
      <c r="R174" s="16">
        <f t="shared" si="31"/>
        <v>4</v>
      </c>
      <c r="S174" s="16">
        <f t="shared" si="31"/>
        <v>2</v>
      </c>
      <c r="T174" s="16">
        <f t="shared" si="31"/>
        <v>6</v>
      </c>
      <c r="U174" s="16">
        <f t="shared" si="31"/>
        <v>3</v>
      </c>
      <c r="V174" s="16">
        <f t="shared" si="31"/>
        <v>7</v>
      </c>
      <c r="W174" s="16">
        <f t="shared" si="31"/>
        <v>7</v>
      </c>
      <c r="X174" s="16">
        <f t="shared" si="31"/>
        <v>8</v>
      </c>
      <c r="Y174" s="16">
        <f t="shared" si="31"/>
        <v>6</v>
      </c>
      <c r="Z174" s="16">
        <f t="shared" si="31"/>
        <v>5</v>
      </c>
      <c r="AA174" s="16">
        <f t="shared" si="31"/>
        <v>10</v>
      </c>
      <c r="AB174" s="16">
        <f t="shared" si="31"/>
        <v>6</v>
      </c>
      <c r="AC174" s="16">
        <f t="shared" si="31"/>
        <v>9</v>
      </c>
      <c r="AD174" s="16">
        <f t="shared" si="31"/>
        <v>12</v>
      </c>
      <c r="AE174" s="16">
        <f t="shared" si="31"/>
        <v>3</v>
      </c>
      <c r="AF174" s="24">
        <f t="shared" si="31"/>
        <v>5</v>
      </c>
      <c r="AG174" s="6">
        <f t="shared" si="28"/>
        <v>175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1</v>
      </c>
      <c r="H175" s="15">
        <v>2</v>
      </c>
      <c r="I175" s="15">
        <v>1</v>
      </c>
      <c r="J175" s="15">
        <v>1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3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1</v>
      </c>
      <c r="Y175" s="15">
        <v>0</v>
      </c>
      <c r="Z175" s="15">
        <v>1</v>
      </c>
      <c r="AA175" s="15">
        <v>0</v>
      </c>
      <c r="AB175" s="15">
        <v>1</v>
      </c>
      <c r="AC175" s="15">
        <v>1</v>
      </c>
      <c r="AD175" s="15">
        <v>0</v>
      </c>
      <c r="AE175" s="15">
        <v>0</v>
      </c>
      <c r="AF175" s="23">
        <v>1</v>
      </c>
      <c r="AG175" s="5">
        <f t="shared" si="28"/>
        <v>13</v>
      </c>
      <c r="AH175" s="2" t="s">
        <v>138</v>
      </c>
    </row>
    <row r="176" spans="1:34" ht="19.5" thickBot="1" x14ac:dyDescent="0.3">
      <c r="A176" s="104" t="s">
        <v>119</v>
      </c>
      <c r="B176" s="101">
        <v>5</v>
      </c>
      <c r="C176" s="101">
        <v>1</v>
      </c>
      <c r="D176" s="101">
        <v>5</v>
      </c>
      <c r="E176" s="101">
        <v>4</v>
      </c>
      <c r="F176" s="101">
        <v>4</v>
      </c>
      <c r="G176" s="101">
        <v>5</v>
      </c>
      <c r="H176" s="101">
        <v>4</v>
      </c>
      <c r="I176" s="101">
        <v>3</v>
      </c>
      <c r="J176" s="101">
        <v>1</v>
      </c>
      <c r="K176" s="101">
        <v>2</v>
      </c>
      <c r="L176" s="101">
        <v>7</v>
      </c>
      <c r="M176" s="101">
        <v>5</v>
      </c>
      <c r="N176" s="101">
        <v>9</v>
      </c>
      <c r="O176" s="101">
        <v>7</v>
      </c>
      <c r="P176" s="101">
        <v>8</v>
      </c>
      <c r="Q176" s="101">
        <v>4</v>
      </c>
      <c r="R176" s="101">
        <v>4</v>
      </c>
      <c r="S176" s="101">
        <v>2</v>
      </c>
      <c r="T176" s="101">
        <v>6</v>
      </c>
      <c r="U176" s="101">
        <v>3</v>
      </c>
      <c r="V176" s="101">
        <v>7</v>
      </c>
      <c r="W176" s="101">
        <v>7</v>
      </c>
      <c r="X176" s="101">
        <v>7</v>
      </c>
      <c r="Y176" s="101">
        <v>6</v>
      </c>
      <c r="Z176" s="101">
        <v>4</v>
      </c>
      <c r="AA176" s="101">
        <v>10</v>
      </c>
      <c r="AB176" s="101">
        <v>5</v>
      </c>
      <c r="AC176" s="101">
        <v>8</v>
      </c>
      <c r="AD176" s="101">
        <v>12</v>
      </c>
      <c r="AE176" s="101">
        <v>3</v>
      </c>
      <c r="AF176" s="102">
        <v>4</v>
      </c>
      <c r="AG176" s="103">
        <f t="shared" si="28"/>
        <v>162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12</v>
      </c>
      <c r="C179" s="220">
        <f t="shared" si="32"/>
        <v>10</v>
      </c>
      <c r="D179" s="220">
        <f t="shared" si="32"/>
        <v>9</v>
      </c>
      <c r="E179" s="220">
        <f t="shared" si="32"/>
        <v>14</v>
      </c>
      <c r="F179" s="220">
        <f t="shared" si="32"/>
        <v>14</v>
      </c>
      <c r="G179" s="220">
        <f t="shared" si="32"/>
        <v>14</v>
      </c>
      <c r="H179" s="220">
        <f t="shared" si="32"/>
        <v>17</v>
      </c>
      <c r="I179" s="220">
        <f t="shared" si="32"/>
        <v>12</v>
      </c>
      <c r="J179" s="220">
        <f t="shared" si="32"/>
        <v>8</v>
      </c>
      <c r="K179" s="220">
        <f t="shared" si="32"/>
        <v>13</v>
      </c>
      <c r="L179" s="220">
        <f t="shared" si="32"/>
        <v>9</v>
      </c>
      <c r="M179" s="220">
        <f t="shared" si="32"/>
        <v>21</v>
      </c>
      <c r="N179" s="220">
        <f t="shared" si="32"/>
        <v>22</v>
      </c>
      <c r="O179" s="220">
        <f t="shared" si="32"/>
        <v>13</v>
      </c>
      <c r="P179" s="220">
        <f t="shared" si="32"/>
        <v>10</v>
      </c>
      <c r="Q179" s="220">
        <f t="shared" si="32"/>
        <v>15</v>
      </c>
      <c r="R179" s="220">
        <f t="shared" si="32"/>
        <v>5</v>
      </c>
      <c r="S179" s="220">
        <f t="shared" si="32"/>
        <v>6</v>
      </c>
      <c r="T179" s="220">
        <f t="shared" si="32"/>
        <v>5</v>
      </c>
      <c r="U179" s="220">
        <f t="shared" si="32"/>
        <v>5</v>
      </c>
      <c r="V179" s="220">
        <f t="shared" si="32"/>
        <v>23</v>
      </c>
      <c r="W179" s="220">
        <f t="shared" si="32"/>
        <v>12</v>
      </c>
      <c r="X179" s="220">
        <f t="shared" si="32"/>
        <v>21</v>
      </c>
      <c r="Y179" s="220">
        <f t="shared" si="32"/>
        <v>10</v>
      </c>
      <c r="Z179" s="220">
        <f t="shared" si="32"/>
        <v>12</v>
      </c>
      <c r="AA179" s="220">
        <f t="shared" si="32"/>
        <v>12</v>
      </c>
      <c r="AB179" s="220">
        <f t="shared" si="32"/>
        <v>19</v>
      </c>
      <c r="AC179" s="220">
        <f t="shared" si="32"/>
        <v>5</v>
      </c>
      <c r="AD179" s="220">
        <f t="shared" si="32"/>
        <v>27</v>
      </c>
      <c r="AE179" s="220">
        <f t="shared" si="32"/>
        <v>16</v>
      </c>
      <c r="AF179" s="221">
        <f t="shared" si="32"/>
        <v>11</v>
      </c>
      <c r="AG179" s="156">
        <f t="shared" si="28"/>
        <v>402</v>
      </c>
      <c r="AH179" s="38"/>
    </row>
    <row r="180" spans="1:34" ht="18.75" x14ac:dyDescent="0.25">
      <c r="A180" s="109" t="s">
        <v>4</v>
      </c>
      <c r="B180" s="216">
        <v>2</v>
      </c>
      <c r="C180" s="216">
        <v>4</v>
      </c>
      <c r="D180" s="216">
        <v>7</v>
      </c>
      <c r="E180" s="216">
        <v>3</v>
      </c>
      <c r="F180" s="216">
        <v>3</v>
      </c>
      <c r="G180" s="216">
        <v>10</v>
      </c>
      <c r="H180" s="216">
        <v>7</v>
      </c>
      <c r="I180" s="216">
        <v>1</v>
      </c>
      <c r="J180" s="216"/>
      <c r="K180" s="216">
        <v>5</v>
      </c>
      <c r="L180" s="216">
        <v>5</v>
      </c>
      <c r="M180" s="216">
        <v>7</v>
      </c>
      <c r="N180" s="217">
        <v>7</v>
      </c>
      <c r="O180" s="217">
        <v>4</v>
      </c>
      <c r="P180" s="217">
        <v>1</v>
      </c>
      <c r="Q180" s="217">
        <v>3</v>
      </c>
      <c r="R180" s="217">
        <v>1</v>
      </c>
      <c r="S180" s="217">
        <v>4</v>
      </c>
      <c r="T180" s="217">
        <v>1</v>
      </c>
      <c r="U180" s="217">
        <v>5</v>
      </c>
      <c r="V180" s="217">
        <v>9</v>
      </c>
      <c r="W180" s="217">
        <v>2</v>
      </c>
      <c r="X180" s="217">
        <v>5</v>
      </c>
      <c r="Y180" s="217">
        <v>3</v>
      </c>
      <c r="Z180" s="217">
        <v>5</v>
      </c>
      <c r="AA180" s="217">
        <v>4</v>
      </c>
      <c r="AB180" s="217">
        <v>10</v>
      </c>
      <c r="AC180" s="217">
        <v>3</v>
      </c>
      <c r="AD180" s="217">
        <v>5</v>
      </c>
      <c r="AE180" s="217">
        <v>1</v>
      </c>
      <c r="AF180" s="218">
        <v>1</v>
      </c>
      <c r="AG180" s="31">
        <f t="shared" si="28"/>
        <v>128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>
        <v>5</v>
      </c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>
        <v>2</v>
      </c>
      <c r="AC181" s="17"/>
      <c r="AD181" s="17"/>
      <c r="AE181" s="17"/>
      <c r="AF181" s="18"/>
      <c r="AG181" s="4">
        <f t="shared" si="28"/>
        <v>7</v>
      </c>
    </row>
    <row r="182" spans="1:34" ht="18.75" x14ac:dyDescent="0.25">
      <c r="A182" s="109" t="s">
        <v>123</v>
      </c>
      <c r="B182" s="147">
        <v>6</v>
      </c>
      <c r="C182" s="147">
        <v>6</v>
      </c>
      <c r="D182" s="147"/>
      <c r="E182" s="147">
        <v>4</v>
      </c>
      <c r="F182" s="147">
        <v>7</v>
      </c>
      <c r="G182" s="147"/>
      <c r="H182" s="147">
        <v>7</v>
      </c>
      <c r="I182" s="147">
        <v>9</v>
      </c>
      <c r="J182" s="147">
        <v>5</v>
      </c>
      <c r="K182" s="147">
        <v>6</v>
      </c>
      <c r="L182" s="147">
        <v>1</v>
      </c>
      <c r="M182" s="147">
        <v>8</v>
      </c>
      <c r="N182" s="17">
        <v>6</v>
      </c>
      <c r="O182" s="17">
        <v>7</v>
      </c>
      <c r="P182" s="17">
        <v>8</v>
      </c>
      <c r="Q182" s="17">
        <v>11</v>
      </c>
      <c r="R182" s="17">
        <v>2</v>
      </c>
      <c r="S182" s="17"/>
      <c r="T182" s="17">
        <v>1</v>
      </c>
      <c r="U182" s="17"/>
      <c r="V182" s="17">
        <v>13</v>
      </c>
      <c r="W182" s="17">
        <v>9</v>
      </c>
      <c r="X182" s="17">
        <v>15</v>
      </c>
      <c r="Y182" s="17">
        <v>6</v>
      </c>
      <c r="Z182" s="17">
        <v>6</v>
      </c>
      <c r="AA182" s="17">
        <v>7</v>
      </c>
      <c r="AB182" s="17">
        <v>3</v>
      </c>
      <c r="AC182" s="17"/>
      <c r="AD182" s="17">
        <v>14</v>
      </c>
      <c r="AE182" s="17">
        <v>13</v>
      </c>
      <c r="AF182" s="18">
        <v>6</v>
      </c>
      <c r="AG182" s="4">
        <f t="shared" si="28"/>
        <v>186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139</v>
      </c>
      <c r="B187" s="147">
        <v>1</v>
      </c>
      <c r="C187" s="147"/>
      <c r="D187" s="147"/>
      <c r="E187" s="147">
        <v>3</v>
      </c>
      <c r="F187" s="147"/>
      <c r="G187" s="147">
        <v>1</v>
      </c>
      <c r="H187" s="147"/>
      <c r="I187" s="147"/>
      <c r="J187" s="147">
        <v>2</v>
      </c>
      <c r="K187" s="147">
        <v>1</v>
      </c>
      <c r="L187" s="147"/>
      <c r="M187" s="147"/>
      <c r="N187" s="17"/>
      <c r="O187" s="17"/>
      <c r="P187" s="17"/>
      <c r="Q187" s="17"/>
      <c r="R187" s="17"/>
      <c r="S187" s="17">
        <v>1</v>
      </c>
      <c r="T187" s="17">
        <v>2</v>
      </c>
      <c r="U187" s="17"/>
      <c r="V187" s="17">
        <v>1</v>
      </c>
      <c r="W187" s="17"/>
      <c r="X187" s="17"/>
      <c r="Y187" s="17"/>
      <c r="Z187" s="17"/>
      <c r="AA187" s="17"/>
      <c r="AB187" s="17"/>
      <c r="AC187" s="17"/>
      <c r="AD187" s="17">
        <v>3</v>
      </c>
      <c r="AE187" s="17"/>
      <c r="AF187" s="18"/>
      <c r="AG187" s="4">
        <f t="shared" si="28"/>
        <v>15</v>
      </c>
    </row>
    <row r="188" spans="1:34" ht="18.75" x14ac:dyDescent="0.25">
      <c r="A188" s="110" t="s">
        <v>63</v>
      </c>
      <c r="B188" s="147">
        <v>1</v>
      </c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8"/>
      <c r="AG188" s="4">
        <f t="shared" si="28"/>
        <v>1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/>
      <c r="C192" s="244"/>
      <c r="D192" s="244">
        <v>1</v>
      </c>
      <c r="E192" s="244">
        <v>2</v>
      </c>
      <c r="F192" s="244">
        <v>1</v>
      </c>
      <c r="G192" s="244">
        <v>2</v>
      </c>
      <c r="H192" s="244"/>
      <c r="I192" s="244">
        <v>1</v>
      </c>
      <c r="J192" s="244"/>
      <c r="K192" s="244">
        <v>1</v>
      </c>
      <c r="L192" s="244">
        <v>2</v>
      </c>
      <c r="M192" s="244">
        <v>1</v>
      </c>
      <c r="N192" s="245">
        <v>5</v>
      </c>
      <c r="O192" s="245"/>
      <c r="P192" s="245"/>
      <c r="Q192" s="245"/>
      <c r="R192" s="245">
        <v>1</v>
      </c>
      <c r="S192" s="245"/>
      <c r="T192" s="245"/>
      <c r="U192" s="245"/>
      <c r="V192" s="245"/>
      <c r="W192" s="245"/>
      <c r="X192" s="245"/>
      <c r="Y192" s="245"/>
      <c r="Z192" s="245">
        <v>1</v>
      </c>
      <c r="AA192" s="245"/>
      <c r="AB192" s="245">
        <v>1</v>
      </c>
      <c r="AC192" s="245">
        <v>2</v>
      </c>
      <c r="AD192" s="245">
        <v>1</v>
      </c>
      <c r="AE192" s="245"/>
      <c r="AF192" s="246">
        <v>4</v>
      </c>
      <c r="AG192" s="247">
        <f t="shared" si="28"/>
        <v>26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>
        <v>2</v>
      </c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2</v>
      </c>
    </row>
    <row r="197" spans="1:34" ht="18.75" x14ac:dyDescent="0.25">
      <c r="A197" s="111" t="s">
        <v>143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>
        <v>1</v>
      </c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>
        <v>1</v>
      </c>
      <c r="AE197" s="17">
        <v>1</v>
      </c>
      <c r="AF197" s="18"/>
      <c r="AG197" s="4">
        <f t="shared" si="28"/>
        <v>3</v>
      </c>
    </row>
    <row r="198" spans="1:34" ht="18.75" x14ac:dyDescent="0.25">
      <c r="A198" s="110" t="s">
        <v>124</v>
      </c>
      <c r="B198" s="147"/>
      <c r="C198" s="147"/>
      <c r="D198" s="147">
        <v>1</v>
      </c>
      <c r="E198" s="147"/>
      <c r="F198" s="147"/>
      <c r="G198" s="147"/>
      <c r="H198" s="147">
        <v>2</v>
      </c>
      <c r="I198" s="147"/>
      <c r="J198" s="147"/>
      <c r="K198" s="147"/>
      <c r="L198" s="147">
        <v>1</v>
      </c>
      <c r="M198" s="147"/>
      <c r="N198" s="17"/>
      <c r="O198" s="17"/>
      <c r="P198" s="17"/>
      <c r="Q198" s="17"/>
      <c r="R198" s="17"/>
      <c r="S198" s="17"/>
      <c r="T198" s="17">
        <v>1</v>
      </c>
      <c r="U198" s="17"/>
      <c r="V198" s="17"/>
      <c r="W198" s="17"/>
      <c r="X198" s="17"/>
      <c r="Y198" s="17"/>
      <c r="Z198" s="17"/>
      <c r="AA198" s="17"/>
      <c r="AB198" s="17">
        <v>1</v>
      </c>
      <c r="AC198" s="17"/>
      <c r="AD198" s="17">
        <v>2</v>
      </c>
      <c r="AE198" s="17">
        <v>1</v>
      </c>
      <c r="AF198" s="18"/>
      <c r="AG198" s="4">
        <f t="shared" si="28"/>
        <v>9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125</v>
      </c>
      <c r="B200" s="147">
        <v>1</v>
      </c>
      <c r="C200" s="147"/>
      <c r="D200" s="147"/>
      <c r="E200" s="147"/>
      <c r="F200" s="147"/>
      <c r="G200" s="147"/>
      <c r="H200" s="147">
        <v>1</v>
      </c>
      <c r="I200" s="147">
        <v>1</v>
      </c>
      <c r="J200" s="147"/>
      <c r="K200" s="147"/>
      <c r="L200" s="147"/>
      <c r="M200" s="147"/>
      <c r="N200" s="17">
        <v>1</v>
      </c>
      <c r="O200" s="17">
        <v>1</v>
      </c>
      <c r="P200" s="17"/>
      <c r="Q200" s="17"/>
      <c r="R200" s="17">
        <v>1</v>
      </c>
      <c r="S200" s="17"/>
      <c r="T200" s="17"/>
      <c r="U200" s="17"/>
      <c r="V200" s="17"/>
      <c r="W200" s="17"/>
      <c r="X200" s="17">
        <v>1</v>
      </c>
      <c r="Y200" s="17"/>
      <c r="Z200" s="17"/>
      <c r="AA200" s="17"/>
      <c r="AB200" s="17">
        <v>1</v>
      </c>
      <c r="AC200" s="17"/>
      <c r="AD200" s="17">
        <v>1</v>
      </c>
      <c r="AE200" s="17"/>
      <c r="AF200" s="18"/>
      <c r="AG200" s="4">
        <f t="shared" si="28"/>
        <v>9</v>
      </c>
    </row>
    <row r="201" spans="1:34" ht="18.75" x14ac:dyDescent="0.25">
      <c r="A201" s="110" t="s">
        <v>126</v>
      </c>
      <c r="B201" s="202">
        <v>1</v>
      </c>
      <c r="C201" s="202"/>
      <c r="D201" s="202"/>
      <c r="E201" s="202">
        <v>2</v>
      </c>
      <c r="F201" s="202">
        <v>1</v>
      </c>
      <c r="G201" s="202"/>
      <c r="H201" s="202"/>
      <c r="I201" s="202"/>
      <c r="J201" s="202">
        <v>1</v>
      </c>
      <c r="K201" s="202"/>
      <c r="L201" s="202"/>
      <c r="M201" s="202"/>
      <c r="N201" s="203">
        <v>1</v>
      </c>
      <c r="O201" s="203"/>
      <c r="P201" s="203">
        <v>1</v>
      </c>
      <c r="Q201" s="203"/>
      <c r="R201" s="203"/>
      <c r="S201" s="203"/>
      <c r="T201" s="203"/>
      <c r="U201" s="203"/>
      <c r="V201" s="203"/>
      <c r="W201" s="203">
        <v>1</v>
      </c>
      <c r="X201" s="203"/>
      <c r="Y201" s="203">
        <v>1</v>
      </c>
      <c r="Z201" s="203"/>
      <c r="AA201" s="203">
        <v>1</v>
      </c>
      <c r="AB201" s="203">
        <v>1</v>
      </c>
      <c r="AC201" s="203"/>
      <c r="AD201" s="203"/>
      <c r="AE201" s="203"/>
      <c r="AF201" s="204"/>
      <c r="AG201" s="4">
        <f t="shared" si="28"/>
        <v>11</v>
      </c>
    </row>
    <row r="202" spans="1:34" ht="18.75" x14ac:dyDescent="0.25">
      <c r="A202" s="112" t="s">
        <v>170</v>
      </c>
      <c r="B202" s="202"/>
      <c r="C202" s="202"/>
      <c r="D202" s="202"/>
      <c r="E202" s="202"/>
      <c r="F202" s="202">
        <v>2</v>
      </c>
      <c r="G202" s="202">
        <v>1</v>
      </c>
      <c r="H202" s="202"/>
      <c r="I202" s="202"/>
      <c r="J202" s="202"/>
      <c r="K202" s="202"/>
      <c r="L202" s="202"/>
      <c r="M202" s="202"/>
      <c r="N202" s="203"/>
      <c r="O202" s="203"/>
      <c r="P202" s="203"/>
      <c r="Q202" s="203">
        <v>1</v>
      </c>
      <c r="R202" s="203"/>
      <c r="S202" s="203">
        <v>1</v>
      </c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4"/>
      <c r="AG202" s="4">
        <f t="shared" si="28"/>
        <v>5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0</v>
      </c>
    </row>
    <row r="204" spans="1:34" ht="19.5" thickBot="1" x14ac:dyDescent="0.3">
      <c r="A204" s="215" t="s">
        <v>83</v>
      </c>
      <c r="B204" s="209">
        <f>SUM(B205:B209)</f>
        <v>162</v>
      </c>
      <c r="C204" s="210">
        <f t="shared" ref="C204:AF204" si="33">SUM(C205:C209)</f>
        <v>122</v>
      </c>
      <c r="D204" s="210">
        <f t="shared" si="33"/>
        <v>154</v>
      </c>
      <c r="E204" s="210">
        <f t="shared" si="33"/>
        <v>152</v>
      </c>
      <c r="F204" s="210">
        <f t="shared" si="33"/>
        <v>156</v>
      </c>
      <c r="G204" s="210">
        <f t="shared" si="33"/>
        <v>243</v>
      </c>
      <c r="H204" s="210">
        <f t="shared" si="33"/>
        <v>239</v>
      </c>
      <c r="I204" s="210">
        <f t="shared" si="33"/>
        <v>182</v>
      </c>
      <c r="J204" s="210">
        <f t="shared" si="33"/>
        <v>143</v>
      </c>
      <c r="K204" s="210">
        <f t="shared" si="33"/>
        <v>125</v>
      </c>
      <c r="L204" s="210">
        <f t="shared" si="33"/>
        <v>141</v>
      </c>
      <c r="M204" s="210">
        <f t="shared" si="33"/>
        <v>157</v>
      </c>
      <c r="N204" s="211">
        <f t="shared" si="33"/>
        <v>237</v>
      </c>
      <c r="O204" s="211">
        <f t="shared" si="33"/>
        <v>225</v>
      </c>
      <c r="P204" s="211">
        <f t="shared" si="33"/>
        <v>180</v>
      </c>
      <c r="Q204" s="211">
        <f t="shared" si="33"/>
        <v>198</v>
      </c>
      <c r="R204" s="211">
        <f t="shared" si="33"/>
        <v>146</v>
      </c>
      <c r="S204" s="211">
        <f t="shared" si="33"/>
        <v>146</v>
      </c>
      <c r="T204" s="211">
        <f t="shared" si="33"/>
        <v>144</v>
      </c>
      <c r="U204" s="211">
        <f t="shared" si="33"/>
        <v>214</v>
      </c>
      <c r="V204" s="211">
        <f t="shared" si="33"/>
        <v>207</v>
      </c>
      <c r="W204" s="211">
        <f t="shared" si="33"/>
        <v>131</v>
      </c>
      <c r="X204" s="211">
        <f t="shared" si="33"/>
        <v>139</v>
      </c>
      <c r="Y204" s="211">
        <f t="shared" si="33"/>
        <v>144</v>
      </c>
      <c r="Z204" s="211">
        <f t="shared" si="33"/>
        <v>130</v>
      </c>
      <c r="AA204" s="211">
        <f t="shared" si="33"/>
        <v>124</v>
      </c>
      <c r="AB204" s="211">
        <f t="shared" si="33"/>
        <v>214</v>
      </c>
      <c r="AC204" s="211">
        <f t="shared" si="33"/>
        <v>198</v>
      </c>
      <c r="AD204" s="211">
        <f t="shared" si="33"/>
        <v>158</v>
      </c>
      <c r="AE204" s="211">
        <f t="shared" si="33"/>
        <v>155</v>
      </c>
      <c r="AF204" s="212">
        <f t="shared" si="33"/>
        <v>145</v>
      </c>
      <c r="AG204" s="213">
        <f t="shared" si="28"/>
        <v>5211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/>
      <c r="H205" s="205"/>
      <c r="I205" s="205">
        <v>1</v>
      </c>
      <c r="J205" s="205"/>
      <c r="K205" s="205"/>
      <c r="L205" s="205"/>
      <c r="M205" s="205"/>
      <c r="N205" s="206"/>
      <c r="O205" s="206"/>
      <c r="P205" s="206"/>
      <c r="Q205" s="206"/>
      <c r="R205" s="206">
        <v>1</v>
      </c>
      <c r="S205" s="206"/>
      <c r="T205" s="206"/>
      <c r="U205" s="206"/>
      <c r="V205" s="206"/>
      <c r="W205" s="206"/>
      <c r="X205" s="206"/>
      <c r="Y205" s="206"/>
      <c r="Z205" s="206">
        <v>1</v>
      </c>
      <c r="AA205" s="206"/>
      <c r="AB205" s="206"/>
      <c r="AC205" s="206"/>
      <c r="AD205" s="206"/>
      <c r="AE205" s="206"/>
      <c r="AF205" s="207"/>
      <c r="AG205" s="208">
        <f t="shared" si="28"/>
        <v>3</v>
      </c>
    </row>
    <row r="206" spans="1:34" ht="18.75" x14ac:dyDescent="0.25">
      <c r="A206" s="52" t="s">
        <v>73</v>
      </c>
      <c r="B206" s="148"/>
      <c r="C206" s="148"/>
      <c r="D206" s="148"/>
      <c r="E206" s="148">
        <v>1</v>
      </c>
      <c r="F206" s="148">
        <v>1</v>
      </c>
      <c r="G206" s="148"/>
      <c r="H206" s="148">
        <v>2</v>
      </c>
      <c r="I206" s="148">
        <v>1</v>
      </c>
      <c r="J206" s="148"/>
      <c r="K206" s="148">
        <v>2</v>
      </c>
      <c r="L206" s="148"/>
      <c r="M206" s="148"/>
      <c r="N206" s="33">
        <v>4</v>
      </c>
      <c r="O206" s="33"/>
      <c r="P206" s="33">
        <v>1</v>
      </c>
      <c r="Q206" s="33">
        <v>3</v>
      </c>
      <c r="R206" s="33"/>
      <c r="S206" s="33">
        <v>2</v>
      </c>
      <c r="T206" s="33">
        <v>2</v>
      </c>
      <c r="U206" s="33">
        <v>2</v>
      </c>
      <c r="V206" s="33"/>
      <c r="W206" s="33">
        <v>1</v>
      </c>
      <c r="X206" s="33">
        <v>2</v>
      </c>
      <c r="Y206" s="33"/>
      <c r="Z206" s="33">
        <v>1</v>
      </c>
      <c r="AA206" s="33">
        <v>3</v>
      </c>
      <c r="AB206" s="33">
        <v>3</v>
      </c>
      <c r="AC206" s="33">
        <v>4</v>
      </c>
      <c r="AD206" s="33">
        <v>2</v>
      </c>
      <c r="AE206" s="33"/>
      <c r="AF206" s="88"/>
      <c r="AG206" s="97">
        <f t="shared" si="28"/>
        <v>37</v>
      </c>
    </row>
    <row r="207" spans="1:34" ht="18.75" x14ac:dyDescent="0.25">
      <c r="A207" s="52" t="s">
        <v>74</v>
      </c>
      <c r="B207" s="148">
        <v>7</v>
      </c>
      <c r="C207" s="148">
        <v>10</v>
      </c>
      <c r="D207" s="148">
        <v>20</v>
      </c>
      <c r="E207" s="148">
        <v>11</v>
      </c>
      <c r="F207" s="148">
        <v>21</v>
      </c>
      <c r="G207" s="148">
        <v>19</v>
      </c>
      <c r="H207" s="148">
        <v>19</v>
      </c>
      <c r="I207" s="148">
        <v>13</v>
      </c>
      <c r="J207" s="148">
        <v>4</v>
      </c>
      <c r="K207" s="148">
        <v>14</v>
      </c>
      <c r="L207" s="148">
        <v>6</v>
      </c>
      <c r="M207" s="148">
        <v>23</v>
      </c>
      <c r="N207" s="33">
        <v>24</v>
      </c>
      <c r="O207" s="33">
        <v>17</v>
      </c>
      <c r="P207" s="33">
        <v>10</v>
      </c>
      <c r="Q207" s="33">
        <v>17</v>
      </c>
      <c r="R207" s="33">
        <v>9</v>
      </c>
      <c r="S207" s="33">
        <v>16</v>
      </c>
      <c r="T207" s="33">
        <v>7</v>
      </c>
      <c r="U207" s="33">
        <v>22</v>
      </c>
      <c r="V207" s="33">
        <v>28</v>
      </c>
      <c r="W207" s="33">
        <v>6</v>
      </c>
      <c r="X207" s="33">
        <v>14</v>
      </c>
      <c r="Y207" s="33">
        <v>16</v>
      </c>
      <c r="Z207" s="33">
        <v>16</v>
      </c>
      <c r="AA207" s="33">
        <v>18</v>
      </c>
      <c r="AB207" s="33">
        <v>24</v>
      </c>
      <c r="AC207" s="33">
        <v>19</v>
      </c>
      <c r="AD207" s="33">
        <v>21</v>
      </c>
      <c r="AE207" s="33">
        <v>8</v>
      </c>
      <c r="AF207" s="88">
        <v>7</v>
      </c>
      <c r="AG207" s="97">
        <f t="shared" si="28"/>
        <v>466</v>
      </c>
    </row>
    <row r="208" spans="1:34" ht="18.75" x14ac:dyDescent="0.25">
      <c r="A208" s="52" t="s">
        <v>75</v>
      </c>
      <c r="B208" s="148">
        <v>105</v>
      </c>
      <c r="C208" s="148">
        <v>83</v>
      </c>
      <c r="D208" s="148">
        <v>106</v>
      </c>
      <c r="E208" s="148">
        <v>113</v>
      </c>
      <c r="F208" s="148">
        <v>97</v>
      </c>
      <c r="G208" s="148">
        <v>150</v>
      </c>
      <c r="H208" s="148">
        <v>133</v>
      </c>
      <c r="I208" s="148">
        <v>136</v>
      </c>
      <c r="J208" s="148">
        <v>122</v>
      </c>
      <c r="K208" s="148">
        <v>95</v>
      </c>
      <c r="L208" s="148">
        <v>118</v>
      </c>
      <c r="M208" s="148">
        <v>111</v>
      </c>
      <c r="N208" s="33">
        <v>152</v>
      </c>
      <c r="O208" s="33">
        <v>122</v>
      </c>
      <c r="P208" s="33">
        <v>112</v>
      </c>
      <c r="Q208" s="33">
        <v>121</v>
      </c>
      <c r="R208" s="33">
        <v>113</v>
      </c>
      <c r="S208" s="33">
        <v>96</v>
      </c>
      <c r="T208" s="33">
        <v>100</v>
      </c>
      <c r="U208" s="33">
        <v>138</v>
      </c>
      <c r="V208" s="33">
        <v>117</v>
      </c>
      <c r="W208" s="33">
        <v>96</v>
      </c>
      <c r="X208" s="33">
        <v>90</v>
      </c>
      <c r="Y208" s="33">
        <v>96</v>
      </c>
      <c r="Z208" s="33">
        <v>90</v>
      </c>
      <c r="AA208" s="33">
        <v>77</v>
      </c>
      <c r="AB208" s="33">
        <v>136</v>
      </c>
      <c r="AC208" s="33">
        <v>98</v>
      </c>
      <c r="AD208" s="33">
        <v>118</v>
      </c>
      <c r="AE208" s="33">
        <v>125</v>
      </c>
      <c r="AF208" s="88">
        <v>92</v>
      </c>
      <c r="AG208" s="97">
        <f t="shared" si="28"/>
        <v>3458</v>
      </c>
    </row>
    <row r="209" spans="1:34" ht="19.5" thickBot="1" x14ac:dyDescent="0.3">
      <c r="A209" s="63" t="s">
        <v>76</v>
      </c>
      <c r="B209" s="149">
        <v>50</v>
      </c>
      <c r="C209" s="149">
        <v>29</v>
      </c>
      <c r="D209" s="149">
        <v>28</v>
      </c>
      <c r="E209" s="149">
        <v>27</v>
      </c>
      <c r="F209" s="149">
        <v>37</v>
      </c>
      <c r="G209" s="149">
        <v>74</v>
      </c>
      <c r="H209" s="149">
        <v>85</v>
      </c>
      <c r="I209" s="149">
        <v>31</v>
      </c>
      <c r="J209" s="149">
        <v>17</v>
      </c>
      <c r="K209" s="149">
        <v>14</v>
      </c>
      <c r="L209" s="149">
        <v>17</v>
      </c>
      <c r="M209" s="149">
        <v>23</v>
      </c>
      <c r="N209" s="34">
        <v>57</v>
      </c>
      <c r="O209" s="34">
        <v>86</v>
      </c>
      <c r="P209" s="34">
        <v>57</v>
      </c>
      <c r="Q209" s="34">
        <v>57</v>
      </c>
      <c r="R209" s="34">
        <v>23</v>
      </c>
      <c r="S209" s="34">
        <v>32</v>
      </c>
      <c r="T209" s="34">
        <v>35</v>
      </c>
      <c r="U209" s="34">
        <v>52</v>
      </c>
      <c r="V209" s="34">
        <v>62</v>
      </c>
      <c r="W209" s="34">
        <v>28</v>
      </c>
      <c r="X209" s="34">
        <v>33</v>
      </c>
      <c r="Y209" s="34">
        <v>32</v>
      </c>
      <c r="Z209" s="34">
        <v>22</v>
      </c>
      <c r="AA209" s="34">
        <v>26</v>
      </c>
      <c r="AB209" s="34">
        <v>51</v>
      </c>
      <c r="AC209" s="34">
        <v>77</v>
      </c>
      <c r="AD209" s="34">
        <v>17</v>
      </c>
      <c r="AE209" s="34">
        <v>22</v>
      </c>
      <c r="AF209" s="89">
        <v>46</v>
      </c>
      <c r="AG209" s="35">
        <f t="shared" si="28"/>
        <v>1247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25"/>
      <c r="AG211" s="99">
        <f t="shared" si="28"/>
        <v>0</v>
      </c>
      <c r="AH211" s="376" t="s">
        <v>85</v>
      </c>
    </row>
    <row r="212" spans="1:34" ht="18.75" x14ac:dyDescent="0.25">
      <c r="A212" s="53" t="s">
        <v>110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91"/>
      <c r="AG212" s="100">
        <f t="shared" si="28"/>
        <v>0</v>
      </c>
      <c r="AH212" s="377"/>
    </row>
    <row r="213" spans="1:34" ht="18.75" x14ac:dyDescent="0.25">
      <c r="A213" s="53" t="s">
        <v>111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91"/>
      <c r="AG213" s="100">
        <f t="shared" si="28"/>
        <v>0</v>
      </c>
      <c r="AH213" s="377"/>
    </row>
    <row r="214" spans="1:34" ht="18.75" x14ac:dyDescent="0.25">
      <c r="A214" s="53" t="s">
        <v>112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91"/>
      <c r="AG214" s="100">
        <f t="shared" si="28"/>
        <v>0</v>
      </c>
      <c r="AH214" s="377"/>
    </row>
    <row r="215" spans="1:34" ht="18.75" x14ac:dyDescent="0.25">
      <c r="A215" s="53" t="s">
        <v>113</v>
      </c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91"/>
      <c r="AG215" s="100">
        <f t="shared" si="28"/>
        <v>0</v>
      </c>
      <c r="AH215" s="377"/>
    </row>
    <row r="216" spans="1:34" ht="18.75" x14ac:dyDescent="0.25">
      <c r="A216" s="53" t="s">
        <v>114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91"/>
      <c r="AG216" s="100">
        <f t="shared" ref="AG216:AG218" si="34">SUM(B216:AF216)</f>
        <v>0</v>
      </c>
      <c r="AH216" s="377"/>
    </row>
    <row r="217" spans="1:34" ht="18.75" x14ac:dyDescent="0.25">
      <c r="A217" s="53" t="s">
        <v>115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91"/>
      <c r="AG217" s="100">
        <f t="shared" si="34"/>
        <v>0</v>
      </c>
      <c r="AH217" s="377"/>
    </row>
    <row r="218" spans="1:34" ht="18.75" x14ac:dyDescent="0.25">
      <c r="A218" s="53" t="s">
        <v>116</v>
      </c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91"/>
      <c r="AG218" s="100">
        <f t="shared" si="34"/>
        <v>0</v>
      </c>
      <c r="AH218" s="377"/>
    </row>
    <row r="219" spans="1:34" ht="18.75" x14ac:dyDescent="0.25">
      <c r="A219" s="53" t="s">
        <v>117</v>
      </c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91"/>
      <c r="AG219" s="100">
        <f t="shared" si="28"/>
        <v>0</v>
      </c>
      <c r="AH219" s="377"/>
    </row>
    <row r="220" spans="1:34" ht="18.75" x14ac:dyDescent="0.25">
      <c r="A220" s="43" t="s">
        <v>150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377"/>
    </row>
    <row r="221" spans="1:34" ht="18.75" x14ac:dyDescent="0.25">
      <c r="A221" s="43" t="s">
        <v>78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25"/>
      <c r="AG221" s="99">
        <f t="shared" si="28"/>
        <v>0</v>
      </c>
      <c r="AH221" s="377"/>
    </row>
    <row r="222" spans="1:34" ht="19.5" thickBot="1" x14ac:dyDescent="0.3">
      <c r="A222" s="43" t="s">
        <v>79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25"/>
      <c r="AG222" s="99">
        <f t="shared" si="28"/>
        <v>0</v>
      </c>
      <c r="AH222" s="378"/>
    </row>
    <row r="223" spans="1:34" ht="24" thickBot="1" x14ac:dyDescent="0.3">
      <c r="A223" s="62" t="s">
        <v>118</v>
      </c>
      <c r="B223" s="20">
        <f>+B222+B221+B211+B220</f>
        <v>0</v>
      </c>
      <c r="C223" s="20">
        <f t="shared" ref="C223:AF223" si="35">+C222+C221+C211+C220</f>
        <v>0</v>
      </c>
      <c r="D223" s="20">
        <f t="shared" si="35"/>
        <v>0</v>
      </c>
      <c r="E223" s="20">
        <f t="shared" si="35"/>
        <v>0</v>
      </c>
      <c r="F223" s="20">
        <f t="shared" si="35"/>
        <v>0</v>
      </c>
      <c r="G223" s="20">
        <f t="shared" si="35"/>
        <v>0</v>
      </c>
      <c r="H223" s="20">
        <f t="shared" si="35"/>
        <v>0</v>
      </c>
      <c r="I223" s="20">
        <f t="shared" si="35"/>
        <v>0</v>
      </c>
      <c r="J223" s="20">
        <f t="shared" si="35"/>
        <v>0</v>
      </c>
      <c r="K223" s="20">
        <f t="shared" si="35"/>
        <v>0</v>
      </c>
      <c r="L223" s="20">
        <f t="shared" si="35"/>
        <v>0</v>
      </c>
      <c r="M223" s="20">
        <f t="shared" si="35"/>
        <v>0</v>
      </c>
      <c r="N223" s="20">
        <f t="shared" si="35"/>
        <v>0</v>
      </c>
      <c r="O223" s="20">
        <f t="shared" si="35"/>
        <v>0</v>
      </c>
      <c r="P223" s="20">
        <f t="shared" si="35"/>
        <v>0</v>
      </c>
      <c r="Q223" s="20">
        <f t="shared" si="35"/>
        <v>0</v>
      </c>
      <c r="R223" s="20">
        <f t="shared" si="35"/>
        <v>0</v>
      </c>
      <c r="S223" s="20">
        <f t="shared" si="35"/>
        <v>0</v>
      </c>
      <c r="T223" s="20">
        <f t="shared" si="35"/>
        <v>0</v>
      </c>
      <c r="U223" s="20">
        <f t="shared" si="35"/>
        <v>0</v>
      </c>
      <c r="V223" s="20">
        <f t="shared" si="35"/>
        <v>0</v>
      </c>
      <c r="W223" s="20">
        <f t="shared" si="35"/>
        <v>0</v>
      </c>
      <c r="X223" s="20">
        <f t="shared" si="35"/>
        <v>0</v>
      </c>
      <c r="Y223" s="20">
        <f t="shared" si="35"/>
        <v>0</v>
      </c>
      <c r="Z223" s="20">
        <f t="shared" si="35"/>
        <v>0</v>
      </c>
      <c r="AA223" s="20">
        <f t="shared" si="35"/>
        <v>0</v>
      </c>
      <c r="AB223" s="20">
        <f t="shared" si="35"/>
        <v>0</v>
      </c>
      <c r="AC223" s="20">
        <f t="shared" si="35"/>
        <v>0</v>
      </c>
      <c r="AD223" s="20">
        <f t="shared" si="35"/>
        <v>0</v>
      </c>
      <c r="AE223" s="20">
        <f t="shared" si="35"/>
        <v>0</v>
      </c>
      <c r="AF223" s="26">
        <f t="shared" si="35"/>
        <v>0</v>
      </c>
      <c r="AG223" s="99">
        <f t="shared" si="28"/>
        <v>0</v>
      </c>
      <c r="AH223" s="36"/>
    </row>
    <row r="224" spans="1:34" ht="18.75" x14ac:dyDescent="0.25">
      <c r="A224" s="57" t="s">
        <v>90</v>
      </c>
      <c r="B224" s="27">
        <v>38</v>
      </c>
      <c r="C224" s="27">
        <v>31</v>
      </c>
      <c r="D224" s="27">
        <v>30</v>
      </c>
      <c r="E224" s="27">
        <v>37</v>
      </c>
      <c r="F224" s="27">
        <v>27</v>
      </c>
      <c r="G224" s="27">
        <v>16</v>
      </c>
      <c r="H224" s="27">
        <v>20</v>
      </c>
      <c r="I224" s="27">
        <v>35</v>
      </c>
      <c r="J224" s="27">
        <v>35</v>
      </c>
      <c r="K224" s="27">
        <v>34</v>
      </c>
      <c r="L224" s="27">
        <v>39</v>
      </c>
      <c r="M224" s="27">
        <v>38</v>
      </c>
      <c r="N224" s="27">
        <v>13</v>
      </c>
      <c r="O224" s="27">
        <v>15</v>
      </c>
      <c r="P224" s="27">
        <v>34</v>
      </c>
      <c r="Q224" s="27">
        <v>27</v>
      </c>
      <c r="R224" s="27">
        <v>26</v>
      </c>
      <c r="S224" s="27">
        <v>42</v>
      </c>
      <c r="T224" s="27">
        <v>39</v>
      </c>
      <c r="U224" s="27">
        <v>9</v>
      </c>
      <c r="V224" s="27">
        <v>10</v>
      </c>
      <c r="W224" s="27">
        <v>31</v>
      </c>
      <c r="X224" s="27">
        <v>14</v>
      </c>
      <c r="Y224" s="27">
        <v>17</v>
      </c>
      <c r="Z224" s="27">
        <v>16</v>
      </c>
      <c r="AA224" s="27">
        <v>19</v>
      </c>
      <c r="AB224" s="27">
        <v>22</v>
      </c>
      <c r="AC224" s="27">
        <v>15</v>
      </c>
      <c r="AD224" s="27">
        <v>35</v>
      </c>
      <c r="AE224" s="27">
        <v>23</v>
      </c>
      <c r="AF224" s="92">
        <v>20</v>
      </c>
      <c r="AG224" s="31">
        <f t="shared" ref="AG224:AG237" si="36">SUM(B224:AF224)</f>
        <v>807</v>
      </c>
      <c r="AH224" s="379" t="s">
        <v>96</v>
      </c>
    </row>
    <row r="225" spans="1:34" ht="18.75" x14ac:dyDescent="0.25">
      <c r="A225" s="54" t="s">
        <v>91</v>
      </c>
      <c r="B225" s="40">
        <v>0.33333333333333331</v>
      </c>
      <c r="C225" s="40">
        <v>0.33333333333333331</v>
      </c>
      <c r="D225" s="40">
        <v>0.33333333333333331</v>
      </c>
      <c r="E225" s="40">
        <v>0.33333333333333331</v>
      </c>
      <c r="F225" s="40"/>
      <c r="G225" s="40"/>
      <c r="H225" s="40">
        <v>0.33333333333333331</v>
      </c>
      <c r="I225" s="40">
        <v>0.33333333333333331</v>
      </c>
      <c r="J225" s="40">
        <v>0.33333333333333331</v>
      </c>
      <c r="K225" s="40">
        <v>0.33333333333333331</v>
      </c>
      <c r="L225" s="40">
        <v>0.33333333333333331</v>
      </c>
      <c r="M225" s="40"/>
      <c r="N225" s="40"/>
      <c r="O225" s="40">
        <v>0.33333333333333331</v>
      </c>
      <c r="P225" s="40">
        <v>0.33333333333333331</v>
      </c>
      <c r="Q225" s="40">
        <v>0.33333333333333331</v>
      </c>
      <c r="R225" s="40">
        <v>0.33333333333333331</v>
      </c>
      <c r="S225" s="40">
        <v>0.33333333333333331</v>
      </c>
      <c r="T225" s="40"/>
      <c r="U225" s="40"/>
      <c r="V225" s="40">
        <v>0.33333333333333331</v>
      </c>
      <c r="W225" s="40">
        <v>0.33333333333333331</v>
      </c>
      <c r="X225" s="40">
        <v>0.33333333333333331</v>
      </c>
      <c r="Y225" s="40">
        <v>0.33333333333333331</v>
      </c>
      <c r="Z225" s="40">
        <v>0.33333333333333331</v>
      </c>
      <c r="AA225" s="40"/>
      <c r="AB225" s="40"/>
      <c r="AC225" s="40">
        <v>0.33333333333333331</v>
      </c>
      <c r="AD225" s="40">
        <v>0.33333333333333331</v>
      </c>
      <c r="AE225" s="40">
        <v>0.33333333333333331</v>
      </c>
      <c r="AF225" s="93">
        <v>0.33333333333333331</v>
      </c>
      <c r="AG225" s="99">
        <f t="shared" si="36"/>
        <v>7.6666666666666634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>
        <v>0</v>
      </c>
      <c r="AG226" s="28">
        <f t="shared" si="36"/>
        <v>0</v>
      </c>
      <c r="AH226" s="381"/>
    </row>
    <row r="227" spans="1:34" ht="18.75" x14ac:dyDescent="0.25">
      <c r="A227" s="55" t="s">
        <v>92</v>
      </c>
      <c r="B227" s="118">
        <f>SUM(B228:B230)</f>
        <v>0</v>
      </c>
      <c r="C227" s="118">
        <f t="shared" ref="C227:AF227" si="37">SUM(C228:C230)</f>
        <v>2</v>
      </c>
      <c r="D227" s="118">
        <f t="shared" si="37"/>
        <v>0</v>
      </c>
      <c r="E227" s="118">
        <f t="shared" si="37"/>
        <v>3</v>
      </c>
      <c r="F227" s="118">
        <f t="shared" si="37"/>
        <v>1</v>
      </c>
      <c r="G227" s="118">
        <f t="shared" si="37"/>
        <v>4</v>
      </c>
      <c r="H227" s="118">
        <f t="shared" si="37"/>
        <v>0</v>
      </c>
      <c r="I227" s="118">
        <f t="shared" si="37"/>
        <v>7</v>
      </c>
      <c r="J227" s="118">
        <f t="shared" si="37"/>
        <v>3</v>
      </c>
      <c r="K227" s="118">
        <f t="shared" si="37"/>
        <v>3</v>
      </c>
      <c r="L227" s="118">
        <f t="shared" si="37"/>
        <v>5</v>
      </c>
      <c r="M227" s="118">
        <f t="shared" si="37"/>
        <v>4</v>
      </c>
      <c r="N227" s="118">
        <f t="shared" si="37"/>
        <v>7</v>
      </c>
      <c r="O227" s="118">
        <f t="shared" si="37"/>
        <v>4</v>
      </c>
      <c r="P227" s="118">
        <f t="shared" si="37"/>
        <v>9</v>
      </c>
      <c r="Q227" s="118">
        <f t="shared" si="37"/>
        <v>2</v>
      </c>
      <c r="R227" s="118">
        <f t="shared" si="37"/>
        <v>7</v>
      </c>
      <c r="S227" s="118">
        <f t="shared" si="37"/>
        <v>2</v>
      </c>
      <c r="T227" s="118">
        <f t="shared" si="37"/>
        <v>6</v>
      </c>
      <c r="U227" s="118">
        <f t="shared" si="37"/>
        <v>1</v>
      </c>
      <c r="V227" s="118">
        <f t="shared" si="37"/>
        <v>8</v>
      </c>
      <c r="W227" s="118">
        <f t="shared" si="37"/>
        <v>6</v>
      </c>
      <c r="X227" s="118">
        <f t="shared" si="37"/>
        <v>7</v>
      </c>
      <c r="Y227" s="118">
        <f t="shared" si="37"/>
        <v>5</v>
      </c>
      <c r="Z227" s="118">
        <f t="shared" si="37"/>
        <v>5</v>
      </c>
      <c r="AA227" s="118">
        <f t="shared" si="37"/>
        <v>8</v>
      </c>
      <c r="AB227" s="118">
        <f t="shared" si="37"/>
        <v>6</v>
      </c>
      <c r="AC227" s="118">
        <f t="shared" si="37"/>
        <v>6</v>
      </c>
      <c r="AD227" s="118">
        <f t="shared" si="37"/>
        <v>13</v>
      </c>
      <c r="AE227" s="118">
        <f t="shared" si="37"/>
        <v>1</v>
      </c>
      <c r="AF227" s="118">
        <f t="shared" si="37"/>
        <v>4</v>
      </c>
      <c r="AG227" s="95">
        <f t="shared" si="36"/>
        <v>139</v>
      </c>
      <c r="AH227" s="379" t="s">
        <v>93</v>
      </c>
    </row>
    <row r="228" spans="1:34" ht="18.75" x14ac:dyDescent="0.25">
      <c r="A228" s="139" t="s">
        <v>94</v>
      </c>
      <c r="B228" s="140">
        <v>0</v>
      </c>
      <c r="C228" s="140">
        <v>1</v>
      </c>
      <c r="D228" s="140">
        <v>0</v>
      </c>
      <c r="E228" s="140">
        <v>0</v>
      </c>
      <c r="F228" s="140">
        <v>0</v>
      </c>
      <c r="G228" s="140">
        <v>2</v>
      </c>
      <c r="H228" s="140">
        <v>0</v>
      </c>
      <c r="I228" s="140">
        <v>0</v>
      </c>
      <c r="J228" s="140">
        <v>1</v>
      </c>
      <c r="K228" s="140">
        <v>0</v>
      </c>
      <c r="L228" s="140">
        <v>1</v>
      </c>
      <c r="M228" s="140">
        <v>2</v>
      </c>
      <c r="N228" s="145">
        <v>3</v>
      </c>
      <c r="O228" s="140">
        <v>1</v>
      </c>
      <c r="P228" s="140">
        <v>1</v>
      </c>
      <c r="Q228" s="140">
        <v>0</v>
      </c>
      <c r="R228" s="140">
        <v>4</v>
      </c>
      <c r="S228" s="140">
        <v>0</v>
      </c>
      <c r="T228" s="140">
        <v>2</v>
      </c>
      <c r="U228" s="140">
        <v>0</v>
      </c>
      <c r="V228" s="140">
        <v>2</v>
      </c>
      <c r="W228" s="140">
        <v>3</v>
      </c>
      <c r="X228" s="140">
        <v>1</v>
      </c>
      <c r="Y228" s="140">
        <v>2</v>
      </c>
      <c r="Z228" s="142">
        <v>1</v>
      </c>
      <c r="AA228" s="140">
        <v>1</v>
      </c>
      <c r="AB228" s="140">
        <v>4</v>
      </c>
      <c r="AC228" s="140">
        <v>2</v>
      </c>
      <c r="AD228" s="140">
        <v>1</v>
      </c>
      <c r="AE228" s="140">
        <v>1</v>
      </c>
      <c r="AF228" s="144">
        <v>1</v>
      </c>
      <c r="AG228" s="143">
        <f t="shared" si="36"/>
        <v>37</v>
      </c>
      <c r="AH228" s="380"/>
    </row>
    <row r="229" spans="1:34" ht="18.75" x14ac:dyDescent="0.25">
      <c r="A229" s="139" t="s">
        <v>95</v>
      </c>
      <c r="B229" s="140">
        <v>0</v>
      </c>
      <c r="C229" s="140">
        <v>1</v>
      </c>
      <c r="D229" s="140">
        <v>0</v>
      </c>
      <c r="E229" s="140">
        <v>3</v>
      </c>
      <c r="F229" s="140">
        <v>1</v>
      </c>
      <c r="G229" s="140">
        <v>2</v>
      </c>
      <c r="H229" s="140">
        <v>0</v>
      </c>
      <c r="I229" s="140">
        <v>7</v>
      </c>
      <c r="J229" s="140">
        <v>2</v>
      </c>
      <c r="K229" s="140">
        <v>3</v>
      </c>
      <c r="L229" s="140">
        <v>4</v>
      </c>
      <c r="M229" s="140">
        <v>2</v>
      </c>
      <c r="N229" s="145">
        <v>4</v>
      </c>
      <c r="O229" s="140">
        <v>3</v>
      </c>
      <c r="P229" s="140">
        <v>8</v>
      </c>
      <c r="Q229" s="140">
        <v>2</v>
      </c>
      <c r="R229" s="140">
        <v>3</v>
      </c>
      <c r="S229" s="140">
        <v>2</v>
      </c>
      <c r="T229" s="140">
        <v>4</v>
      </c>
      <c r="U229" s="140">
        <v>1</v>
      </c>
      <c r="V229" s="140">
        <v>6</v>
      </c>
      <c r="W229" s="140">
        <v>3</v>
      </c>
      <c r="X229" s="140">
        <v>6</v>
      </c>
      <c r="Y229" s="140">
        <v>3</v>
      </c>
      <c r="Z229" s="142">
        <v>4</v>
      </c>
      <c r="AA229" s="140">
        <v>7</v>
      </c>
      <c r="AB229" s="140">
        <v>2</v>
      </c>
      <c r="AC229" s="140">
        <v>4</v>
      </c>
      <c r="AD229" s="140">
        <v>12</v>
      </c>
      <c r="AE229" s="140">
        <v>0</v>
      </c>
      <c r="AF229" s="144">
        <v>3</v>
      </c>
      <c r="AG229" s="143">
        <f t="shared" si="36"/>
        <v>102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6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38">SUM(C232:C237)</f>
        <v>0</v>
      </c>
      <c r="D231" s="199">
        <f t="shared" si="38"/>
        <v>0</v>
      </c>
      <c r="E231" s="199">
        <f t="shared" si="38"/>
        <v>0</v>
      </c>
      <c r="F231" s="199">
        <f t="shared" si="38"/>
        <v>0</v>
      </c>
      <c r="G231" s="199">
        <f t="shared" si="38"/>
        <v>0</v>
      </c>
      <c r="H231" s="199">
        <f t="shared" si="38"/>
        <v>0</v>
      </c>
      <c r="I231" s="199">
        <f t="shared" si="38"/>
        <v>0</v>
      </c>
      <c r="J231" s="199">
        <f t="shared" si="38"/>
        <v>0</v>
      </c>
      <c r="K231" s="199">
        <f t="shared" si="38"/>
        <v>0</v>
      </c>
      <c r="L231" s="199">
        <f t="shared" si="38"/>
        <v>0</v>
      </c>
      <c r="M231" s="199">
        <f t="shared" si="38"/>
        <v>0</v>
      </c>
      <c r="N231" s="199">
        <f t="shared" si="38"/>
        <v>0</v>
      </c>
      <c r="O231" s="199">
        <f t="shared" si="38"/>
        <v>0</v>
      </c>
      <c r="P231" s="199">
        <f t="shared" si="38"/>
        <v>0</v>
      </c>
      <c r="Q231" s="199">
        <f t="shared" si="38"/>
        <v>0</v>
      </c>
      <c r="R231" s="199">
        <f t="shared" si="38"/>
        <v>0</v>
      </c>
      <c r="S231" s="199">
        <f t="shared" si="38"/>
        <v>0</v>
      </c>
      <c r="T231" s="199">
        <f t="shared" si="38"/>
        <v>0</v>
      </c>
      <c r="U231" s="199">
        <f t="shared" si="38"/>
        <v>0</v>
      </c>
      <c r="V231" s="199">
        <f t="shared" si="38"/>
        <v>0</v>
      </c>
      <c r="W231" s="199">
        <f t="shared" si="38"/>
        <v>0</v>
      </c>
      <c r="X231" s="199">
        <f t="shared" si="38"/>
        <v>0</v>
      </c>
      <c r="Y231" s="199">
        <f t="shared" si="38"/>
        <v>0</v>
      </c>
      <c r="Z231" s="199">
        <f t="shared" si="38"/>
        <v>0</v>
      </c>
      <c r="AA231" s="199">
        <f t="shared" si="38"/>
        <v>0</v>
      </c>
      <c r="AB231" s="199">
        <f t="shared" si="38"/>
        <v>0</v>
      </c>
      <c r="AC231" s="199">
        <f t="shared" si="38"/>
        <v>0</v>
      </c>
      <c r="AD231" s="199">
        <f t="shared" si="38"/>
        <v>0</v>
      </c>
      <c r="AE231" s="199">
        <f t="shared" si="38"/>
        <v>0</v>
      </c>
      <c r="AF231" s="200">
        <f t="shared" si="38"/>
        <v>0</v>
      </c>
      <c r="AG231" s="201">
        <f t="shared" si="36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36"/>
        <v>0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36"/>
        <v>0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36"/>
        <v>0</v>
      </c>
    </row>
    <row r="238" spans="1:34" ht="21.75" x14ac:dyDescent="0.25">
      <c r="A238" s="225" t="s">
        <v>151</v>
      </c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  <c r="AB238" s="226"/>
      <c r="AC238" s="226"/>
      <c r="AD238" s="226"/>
      <c r="AE238" s="226"/>
      <c r="AF238" s="226"/>
      <c r="AG238" s="227"/>
    </row>
    <row r="239" spans="1:34" ht="22.5" thickBot="1" x14ac:dyDescent="0.3">
      <c r="A239" s="228" t="s">
        <v>152</v>
      </c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30"/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54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6"/>
      <c r="AG241" s="257" t="e">
        <f>AVERAGE(B241:AF241)</f>
        <v>#DIV/0!</v>
      </c>
    </row>
    <row r="242" spans="1:33" ht="23.25" x14ac:dyDescent="0.35">
      <c r="A242" s="253" t="s">
        <v>73</v>
      </c>
      <c r="B242" s="258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60"/>
      <c r="AG242" s="261" t="e">
        <f>AVERAGE(B242:AF242)</f>
        <v>#DIV/0!</v>
      </c>
    </row>
    <row r="243" spans="1:33" ht="23.25" x14ac:dyDescent="0.35">
      <c r="A243" s="253" t="s">
        <v>74</v>
      </c>
      <c r="B243" s="258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60"/>
      <c r="AG243" s="261" t="e">
        <f>AVERAGE(B243:AF243)</f>
        <v>#DIV/0!</v>
      </c>
    </row>
    <row r="244" spans="1:33" ht="23.25" x14ac:dyDescent="0.35">
      <c r="A244" s="253" t="s">
        <v>75</v>
      </c>
      <c r="B244" s="258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60"/>
      <c r="AG244" s="261" t="e">
        <f>AVERAGE(B244:AF244)</f>
        <v>#DIV/0!</v>
      </c>
    </row>
    <row r="245" spans="1:33" ht="24" thickBot="1" x14ac:dyDescent="0.4">
      <c r="A245" s="262" t="s">
        <v>76</v>
      </c>
      <c r="B245" s="263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5"/>
      <c r="AG245" s="266" t="e">
        <f>AVERAGE(B245:AF245)</f>
        <v>#DIV/0!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62" priority="6" operator="lessThan">
      <formula>0</formula>
    </cfRule>
  </conditionalFormatting>
  <conditionalFormatting sqref="D54:D77">
    <cfRule type="cellIs" dxfId="61" priority="2" operator="lessThan">
      <formula>0</formula>
    </cfRule>
  </conditionalFormatting>
  <conditionalFormatting sqref="G54:G77">
    <cfRule type="cellIs" dxfId="60" priority="1" operator="lessThan">
      <formula>0</formula>
    </cfRule>
  </conditionalFormatting>
  <conditionalFormatting sqref="AH81">
    <cfRule type="cellIs" dxfId="59" priority="4" operator="equal">
      <formula>"*"</formula>
    </cfRule>
  </conditionalFormatting>
  <conditionalFormatting sqref="AH84 AH87">
    <cfRule type="cellIs" dxfId="58" priority="5" operator="equal">
      <formula>"*"</formula>
    </cfRule>
  </conditionalFormatting>
  <conditionalFormatting sqref="AH93">
    <cfRule type="cellIs" dxfId="57" priority="10" operator="equal">
      <formula>"*"</formula>
    </cfRule>
  </conditionalFormatting>
  <conditionalFormatting sqref="AH130">
    <cfRule type="cellIs" dxfId="56" priority="8" operator="equal">
      <formula>"*"</formula>
    </cfRule>
  </conditionalFormatting>
  <conditionalFormatting sqref="AH144:AH145">
    <cfRule type="cellIs" dxfId="55" priority="9" operator="equal">
      <formula>"*"</formula>
    </cfRule>
  </conditionalFormatting>
  <conditionalFormatting sqref="AH179">
    <cfRule type="cellIs" dxfId="54" priority="7" operator="equal">
      <formula>"*"</formula>
    </cfRule>
  </conditionalFormatting>
  <conditionalFormatting sqref="AH204">
    <cfRule type="cellIs" dxfId="53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9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75"/>
  <sheetViews>
    <sheetView zoomScale="80" zoomScaleNormal="80" workbookViewId="0">
      <pane xSplit="1" ySplit="3" topLeftCell="I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129</v>
      </c>
      <c r="B2" s="234">
        <v>1</v>
      </c>
      <c r="C2" s="234">
        <f t="shared" ref="C2:AA2" si="0">+B2+1</f>
        <v>2</v>
      </c>
      <c r="D2" s="106">
        <f t="shared" si="0"/>
        <v>3</v>
      </c>
      <c r="E2" s="106">
        <f t="shared" si="0"/>
        <v>4</v>
      </c>
      <c r="F2" s="234">
        <f t="shared" si="0"/>
        <v>5</v>
      </c>
      <c r="G2" s="234">
        <f t="shared" si="0"/>
        <v>6</v>
      </c>
      <c r="H2" s="234">
        <f t="shared" si="0"/>
        <v>7</v>
      </c>
      <c r="I2" s="234">
        <f t="shared" si="0"/>
        <v>8</v>
      </c>
      <c r="J2" s="234">
        <f t="shared" si="0"/>
        <v>9</v>
      </c>
      <c r="K2" s="106">
        <f t="shared" si="0"/>
        <v>10</v>
      </c>
      <c r="L2" s="106">
        <f t="shared" si="0"/>
        <v>11</v>
      </c>
      <c r="M2" s="234">
        <f t="shared" si="0"/>
        <v>12</v>
      </c>
      <c r="N2" s="234">
        <f t="shared" si="0"/>
        <v>13</v>
      </c>
      <c r="O2" s="234">
        <f t="shared" si="0"/>
        <v>14</v>
      </c>
      <c r="P2" s="106">
        <f t="shared" si="0"/>
        <v>15</v>
      </c>
      <c r="Q2" s="234">
        <f t="shared" si="0"/>
        <v>16</v>
      </c>
      <c r="R2" s="106">
        <f t="shared" si="0"/>
        <v>17</v>
      </c>
      <c r="S2" s="106">
        <f t="shared" si="0"/>
        <v>18</v>
      </c>
      <c r="T2" s="234">
        <f t="shared" si="0"/>
        <v>19</v>
      </c>
      <c r="U2" s="106">
        <f t="shared" si="0"/>
        <v>20</v>
      </c>
      <c r="V2" s="234">
        <f t="shared" si="0"/>
        <v>21</v>
      </c>
      <c r="W2" s="234">
        <f t="shared" si="0"/>
        <v>22</v>
      </c>
      <c r="X2" s="234">
        <f t="shared" si="0"/>
        <v>23</v>
      </c>
      <c r="Y2" s="106">
        <f t="shared" si="0"/>
        <v>24</v>
      </c>
      <c r="Z2" s="106">
        <f t="shared" si="0"/>
        <v>25</v>
      </c>
      <c r="AA2" s="234">
        <f t="shared" si="0"/>
        <v>26</v>
      </c>
      <c r="AB2" s="234">
        <v>27</v>
      </c>
      <c r="AC2" s="234">
        <f>+AB2+1</f>
        <v>28</v>
      </c>
      <c r="AD2" s="234">
        <v>29</v>
      </c>
      <c r="AE2" s="234">
        <v>30</v>
      </c>
      <c r="AF2" s="106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152</v>
      </c>
      <c r="C3" s="135">
        <f t="shared" si="1"/>
        <v>144</v>
      </c>
      <c r="D3" s="135">
        <f t="shared" si="1"/>
        <v>229</v>
      </c>
      <c r="E3" s="135">
        <f t="shared" si="1"/>
        <v>174</v>
      </c>
      <c r="F3" s="135">
        <f t="shared" si="1"/>
        <v>182</v>
      </c>
      <c r="G3" s="135">
        <f t="shared" si="1"/>
        <v>150</v>
      </c>
      <c r="H3" s="135">
        <f t="shared" si="1"/>
        <v>150</v>
      </c>
      <c r="I3" s="135">
        <f t="shared" si="1"/>
        <v>128</v>
      </c>
      <c r="J3" s="135">
        <f t="shared" si="1"/>
        <v>152</v>
      </c>
      <c r="K3" s="135">
        <f t="shared" si="1"/>
        <v>229</v>
      </c>
      <c r="L3" s="135">
        <f t="shared" si="1"/>
        <v>252</v>
      </c>
      <c r="M3" s="135">
        <f t="shared" si="1"/>
        <v>213</v>
      </c>
      <c r="N3" s="135">
        <f t="shared" si="1"/>
        <v>205</v>
      </c>
      <c r="O3" s="135">
        <f t="shared" si="1"/>
        <v>190</v>
      </c>
      <c r="P3" s="135">
        <f t="shared" si="1"/>
        <v>230</v>
      </c>
      <c r="Q3" s="135">
        <f t="shared" si="1"/>
        <v>170</v>
      </c>
      <c r="R3" s="135">
        <f t="shared" si="1"/>
        <v>255</v>
      </c>
      <c r="S3" s="135">
        <f t="shared" si="1"/>
        <v>244</v>
      </c>
      <c r="T3" s="135">
        <f t="shared" si="1"/>
        <v>204</v>
      </c>
      <c r="U3" s="135">
        <f t="shared" si="1"/>
        <v>290</v>
      </c>
      <c r="V3" s="135">
        <f t="shared" si="1"/>
        <v>234</v>
      </c>
      <c r="W3" s="135">
        <f t="shared" si="1"/>
        <v>198</v>
      </c>
      <c r="X3" s="135">
        <f t="shared" si="1"/>
        <v>199</v>
      </c>
      <c r="Y3" s="135">
        <f t="shared" si="1"/>
        <v>292</v>
      </c>
      <c r="Z3" s="135">
        <f t="shared" si="1"/>
        <v>240</v>
      </c>
      <c r="AA3" s="135">
        <f t="shared" si="1"/>
        <v>217</v>
      </c>
      <c r="AB3" s="135">
        <f t="shared" si="1"/>
        <v>208</v>
      </c>
      <c r="AC3" s="135">
        <f t="shared" si="1"/>
        <v>222</v>
      </c>
      <c r="AD3" s="135">
        <f t="shared" si="1"/>
        <v>168</v>
      </c>
      <c r="AE3" s="135">
        <f t="shared" si="1"/>
        <v>183</v>
      </c>
      <c r="AF3" s="135">
        <f t="shared" si="1"/>
        <v>250</v>
      </c>
      <c r="AG3" s="187">
        <f>SUM(B3:AF3)</f>
        <v>6354</v>
      </c>
    </row>
    <row r="4" spans="1:33" ht="18.75" x14ac:dyDescent="0.25">
      <c r="A4" s="113" t="s">
        <v>54</v>
      </c>
      <c r="B4" s="114"/>
      <c r="C4" s="114"/>
      <c r="D4" s="114">
        <v>9</v>
      </c>
      <c r="E4" s="114">
        <v>1</v>
      </c>
      <c r="F4" s="114"/>
      <c r="G4" s="114"/>
      <c r="H4" s="114"/>
      <c r="I4" s="114"/>
      <c r="J4" s="114"/>
      <c r="K4" s="114">
        <v>1</v>
      </c>
      <c r="L4" s="114">
        <v>2</v>
      </c>
      <c r="M4" s="114"/>
      <c r="N4" s="114"/>
      <c r="O4" s="114"/>
      <c r="P4" s="114">
        <v>6</v>
      </c>
      <c r="Q4" s="114"/>
      <c r="R4" s="114">
        <v>11</v>
      </c>
      <c r="S4" s="114">
        <v>6</v>
      </c>
      <c r="T4" s="114"/>
      <c r="U4" s="114">
        <v>11</v>
      </c>
      <c r="V4" s="114"/>
      <c r="W4" s="114"/>
      <c r="X4" s="114"/>
      <c r="Y4" s="114">
        <v>9</v>
      </c>
      <c r="Z4" s="114">
        <v>8</v>
      </c>
      <c r="AA4" s="114"/>
      <c r="AB4" s="114"/>
      <c r="AC4" s="114"/>
      <c r="AD4" s="114"/>
      <c r="AE4" s="114"/>
      <c r="AF4" s="115">
        <v>5</v>
      </c>
      <c r="AG4" s="132">
        <f t="shared" ref="AG4:AG83" si="2">SUM(B4:AF4)</f>
        <v>69</v>
      </c>
    </row>
    <row r="5" spans="1:33" ht="18.75" x14ac:dyDescent="0.25">
      <c r="A5" s="41" t="s">
        <v>55</v>
      </c>
      <c r="B5" s="7"/>
      <c r="C5" s="7"/>
      <c r="D5" s="7">
        <v>14</v>
      </c>
      <c r="E5" s="7">
        <v>4</v>
      </c>
      <c r="F5" s="7"/>
      <c r="G5" s="7"/>
      <c r="H5" s="7"/>
      <c r="I5" s="7"/>
      <c r="J5" s="7"/>
      <c r="K5" s="7">
        <v>10</v>
      </c>
      <c r="L5" s="7">
        <v>9</v>
      </c>
      <c r="M5" s="7"/>
      <c r="N5" s="7"/>
      <c r="O5" s="7"/>
      <c r="P5" s="7">
        <v>8</v>
      </c>
      <c r="Q5" s="7"/>
      <c r="R5" s="7">
        <v>16</v>
      </c>
      <c r="S5" s="7">
        <v>4</v>
      </c>
      <c r="T5" s="7"/>
      <c r="U5" s="7">
        <v>15</v>
      </c>
      <c r="V5" s="7"/>
      <c r="W5" s="7"/>
      <c r="X5" s="7">
        <v>1</v>
      </c>
      <c r="Y5" s="7">
        <v>13</v>
      </c>
      <c r="Z5" s="7">
        <v>14</v>
      </c>
      <c r="AA5" s="7"/>
      <c r="AB5" s="7"/>
      <c r="AC5" s="7"/>
      <c r="AD5" s="7"/>
      <c r="AE5" s="7"/>
      <c r="AF5" s="8">
        <v>13</v>
      </c>
      <c r="AG5" s="4">
        <f t="shared" si="2"/>
        <v>121</v>
      </c>
    </row>
    <row r="6" spans="1:33" ht="18.75" x14ac:dyDescent="0.25">
      <c r="A6" s="41" t="s">
        <v>56</v>
      </c>
      <c r="B6" s="7"/>
      <c r="C6" s="7"/>
      <c r="D6" s="7">
        <v>20</v>
      </c>
      <c r="E6" s="7">
        <v>8</v>
      </c>
      <c r="F6" s="7"/>
      <c r="G6" s="7"/>
      <c r="H6" s="7"/>
      <c r="I6" s="7"/>
      <c r="J6" s="7"/>
      <c r="K6" s="7">
        <v>9</v>
      </c>
      <c r="L6" s="7">
        <v>16</v>
      </c>
      <c r="M6" s="7"/>
      <c r="N6" s="7"/>
      <c r="O6" s="7"/>
      <c r="P6" s="7">
        <v>19</v>
      </c>
      <c r="Q6" s="7"/>
      <c r="R6" s="7">
        <v>15</v>
      </c>
      <c r="S6" s="7">
        <v>9</v>
      </c>
      <c r="T6" s="7"/>
      <c r="U6" s="7">
        <v>18</v>
      </c>
      <c r="V6" s="7"/>
      <c r="W6" s="7"/>
      <c r="X6" s="7"/>
      <c r="Y6" s="7">
        <v>25</v>
      </c>
      <c r="Z6" s="7">
        <v>17</v>
      </c>
      <c r="AA6" s="7"/>
      <c r="AB6" s="7"/>
      <c r="AC6" s="7"/>
      <c r="AD6" s="7"/>
      <c r="AE6" s="7"/>
      <c r="AF6" s="8">
        <v>15</v>
      </c>
      <c r="AG6" s="4">
        <f t="shared" si="2"/>
        <v>171</v>
      </c>
    </row>
    <row r="7" spans="1:33" ht="18.75" x14ac:dyDescent="0.25">
      <c r="A7" s="41" t="s">
        <v>38</v>
      </c>
      <c r="B7" s="7"/>
      <c r="C7" s="7"/>
      <c r="D7" s="7">
        <v>11</v>
      </c>
      <c r="E7" s="7">
        <v>12</v>
      </c>
      <c r="F7" s="7"/>
      <c r="G7" s="7"/>
      <c r="H7" s="7"/>
      <c r="I7" s="7"/>
      <c r="J7" s="7"/>
      <c r="K7" s="7">
        <v>16</v>
      </c>
      <c r="L7" s="7">
        <v>18</v>
      </c>
      <c r="M7" s="7"/>
      <c r="N7" s="7"/>
      <c r="O7" s="7"/>
      <c r="P7" s="7">
        <v>19</v>
      </c>
      <c r="Q7" s="7"/>
      <c r="R7" s="7">
        <v>17</v>
      </c>
      <c r="S7" s="7">
        <v>22</v>
      </c>
      <c r="T7" s="7"/>
      <c r="U7" s="7">
        <v>18</v>
      </c>
      <c r="V7" s="7"/>
      <c r="W7" s="7"/>
      <c r="X7" s="7"/>
      <c r="Y7" s="7">
        <v>21</v>
      </c>
      <c r="Z7" s="7">
        <v>13</v>
      </c>
      <c r="AA7" s="7"/>
      <c r="AB7" s="7"/>
      <c r="AC7" s="7"/>
      <c r="AD7" s="7"/>
      <c r="AE7" s="7"/>
      <c r="AF7" s="8">
        <v>16</v>
      </c>
      <c r="AG7" s="4">
        <f t="shared" si="2"/>
        <v>183</v>
      </c>
    </row>
    <row r="8" spans="1:33" ht="18.75" x14ac:dyDescent="0.25">
      <c r="A8" s="41" t="s">
        <v>39</v>
      </c>
      <c r="B8" s="7"/>
      <c r="C8" s="7"/>
      <c r="D8" s="7">
        <v>16</v>
      </c>
      <c r="E8" s="7">
        <v>20</v>
      </c>
      <c r="F8" s="7"/>
      <c r="G8" s="7"/>
      <c r="H8" s="7"/>
      <c r="I8" s="7"/>
      <c r="J8" s="7"/>
      <c r="K8" s="7">
        <v>14</v>
      </c>
      <c r="L8" s="7">
        <v>24</v>
      </c>
      <c r="M8" s="7">
        <v>1</v>
      </c>
      <c r="N8" s="7"/>
      <c r="O8" s="7"/>
      <c r="P8" s="7">
        <v>19</v>
      </c>
      <c r="Q8" s="7"/>
      <c r="R8" s="7">
        <v>22</v>
      </c>
      <c r="S8" s="7">
        <v>21</v>
      </c>
      <c r="T8" s="7"/>
      <c r="U8" s="7">
        <v>16</v>
      </c>
      <c r="V8" s="7"/>
      <c r="W8" s="7"/>
      <c r="X8" s="7"/>
      <c r="Y8" s="7">
        <v>9</v>
      </c>
      <c r="Z8" s="7">
        <v>17</v>
      </c>
      <c r="AA8" s="7"/>
      <c r="AB8" s="7"/>
      <c r="AC8" s="7"/>
      <c r="AD8" s="7"/>
      <c r="AE8" s="7"/>
      <c r="AF8" s="8">
        <v>17</v>
      </c>
      <c r="AG8" s="4">
        <f t="shared" si="2"/>
        <v>196</v>
      </c>
    </row>
    <row r="9" spans="1:33" ht="18.75" x14ac:dyDescent="0.25">
      <c r="A9" s="41" t="s">
        <v>40</v>
      </c>
      <c r="B9" s="7"/>
      <c r="C9" s="7"/>
      <c r="D9" s="7">
        <v>11</v>
      </c>
      <c r="E9" s="7">
        <v>8</v>
      </c>
      <c r="F9" s="7"/>
      <c r="G9" s="7"/>
      <c r="H9" s="7"/>
      <c r="I9" s="7"/>
      <c r="J9" s="7"/>
      <c r="K9" s="7">
        <v>17</v>
      </c>
      <c r="L9" s="7">
        <v>16</v>
      </c>
      <c r="M9" s="7"/>
      <c r="N9" s="7"/>
      <c r="O9" s="7"/>
      <c r="P9" s="7">
        <v>9</v>
      </c>
      <c r="Q9" s="7"/>
      <c r="R9" s="7">
        <v>8</v>
      </c>
      <c r="S9" s="7">
        <v>16</v>
      </c>
      <c r="T9" s="7"/>
      <c r="U9" s="7">
        <v>18</v>
      </c>
      <c r="V9" s="7"/>
      <c r="W9" s="7"/>
      <c r="X9" s="7"/>
      <c r="Y9" s="7">
        <v>17</v>
      </c>
      <c r="Z9" s="7">
        <v>16</v>
      </c>
      <c r="AA9" s="7"/>
      <c r="AB9" s="7"/>
      <c r="AC9" s="7"/>
      <c r="AD9" s="7"/>
      <c r="AE9" s="7"/>
      <c r="AF9" s="8">
        <v>13</v>
      </c>
      <c r="AG9" s="4">
        <f t="shared" si="2"/>
        <v>149</v>
      </c>
    </row>
    <row r="10" spans="1:33" ht="18.75" x14ac:dyDescent="0.25">
      <c r="A10" s="41" t="s">
        <v>41</v>
      </c>
      <c r="B10" s="7"/>
      <c r="C10" s="7"/>
      <c r="D10" s="7">
        <v>10</v>
      </c>
      <c r="E10" s="7">
        <v>10</v>
      </c>
      <c r="F10" s="7"/>
      <c r="G10" s="7"/>
      <c r="H10" s="7"/>
      <c r="I10" s="7"/>
      <c r="J10" s="7"/>
      <c r="K10" s="7">
        <v>17</v>
      </c>
      <c r="L10" s="7">
        <v>19</v>
      </c>
      <c r="M10" s="7"/>
      <c r="N10" s="7">
        <v>1</v>
      </c>
      <c r="O10" s="7"/>
      <c r="P10" s="7">
        <v>12</v>
      </c>
      <c r="Q10" s="7"/>
      <c r="R10" s="7">
        <v>10</v>
      </c>
      <c r="S10" s="7">
        <v>15</v>
      </c>
      <c r="T10" s="7"/>
      <c r="U10" s="7">
        <v>20</v>
      </c>
      <c r="V10" s="7"/>
      <c r="W10" s="7"/>
      <c r="X10" s="7"/>
      <c r="Y10" s="7">
        <v>18</v>
      </c>
      <c r="Z10" s="7">
        <v>14</v>
      </c>
      <c r="AA10" s="7"/>
      <c r="AB10" s="7"/>
      <c r="AC10" s="7"/>
      <c r="AD10" s="7"/>
      <c r="AE10" s="7"/>
      <c r="AF10" s="8">
        <v>18</v>
      </c>
      <c r="AG10" s="4">
        <f t="shared" si="2"/>
        <v>164</v>
      </c>
    </row>
    <row r="11" spans="1:33" ht="18.75" x14ac:dyDescent="0.25">
      <c r="A11" s="41" t="s">
        <v>42</v>
      </c>
      <c r="B11" s="7"/>
      <c r="C11" s="7"/>
      <c r="D11" s="7">
        <v>24</v>
      </c>
      <c r="E11" s="7">
        <v>18</v>
      </c>
      <c r="F11" s="7"/>
      <c r="G11" s="7"/>
      <c r="H11" s="7"/>
      <c r="I11" s="7"/>
      <c r="J11" s="7"/>
      <c r="K11" s="7">
        <v>18</v>
      </c>
      <c r="L11" s="7">
        <v>25</v>
      </c>
      <c r="M11" s="7"/>
      <c r="N11" s="7"/>
      <c r="O11" s="7"/>
      <c r="P11" s="7">
        <v>16</v>
      </c>
      <c r="Q11" s="7"/>
      <c r="R11" s="7">
        <v>16</v>
      </c>
      <c r="S11" s="7">
        <v>34</v>
      </c>
      <c r="T11" s="7"/>
      <c r="U11" s="7">
        <v>16</v>
      </c>
      <c r="V11" s="7"/>
      <c r="W11" s="7">
        <v>1</v>
      </c>
      <c r="X11" s="7"/>
      <c r="Y11" s="7">
        <v>16</v>
      </c>
      <c r="Z11" s="7">
        <v>20</v>
      </c>
      <c r="AA11" s="7"/>
      <c r="AB11" s="7"/>
      <c r="AC11" s="7"/>
      <c r="AD11" s="7"/>
      <c r="AE11" s="7"/>
      <c r="AF11" s="8">
        <v>18</v>
      </c>
      <c r="AG11" s="4">
        <f t="shared" si="2"/>
        <v>222</v>
      </c>
    </row>
    <row r="12" spans="1:33" ht="18.75" x14ac:dyDescent="0.25">
      <c r="A12" s="41" t="s">
        <v>43</v>
      </c>
      <c r="B12" s="7"/>
      <c r="C12" s="7"/>
      <c r="D12" s="7">
        <v>17</v>
      </c>
      <c r="E12" s="7">
        <v>14</v>
      </c>
      <c r="F12" s="7"/>
      <c r="G12" s="7"/>
      <c r="H12" s="7"/>
      <c r="I12" s="7"/>
      <c r="J12" s="7"/>
      <c r="K12" s="7">
        <v>11</v>
      </c>
      <c r="L12" s="7">
        <v>16</v>
      </c>
      <c r="M12" s="7"/>
      <c r="N12" s="7"/>
      <c r="O12" s="7">
        <v>1</v>
      </c>
      <c r="P12" s="7">
        <v>16</v>
      </c>
      <c r="Q12" s="7">
        <v>1</v>
      </c>
      <c r="R12" s="7">
        <v>15</v>
      </c>
      <c r="S12" s="7">
        <v>28</v>
      </c>
      <c r="T12" s="7"/>
      <c r="U12" s="7">
        <v>29</v>
      </c>
      <c r="V12" s="7">
        <v>1</v>
      </c>
      <c r="W12" s="7"/>
      <c r="X12" s="7"/>
      <c r="Y12" s="7">
        <v>20</v>
      </c>
      <c r="Z12" s="7">
        <v>19</v>
      </c>
      <c r="AA12" s="7"/>
      <c r="AB12" s="7"/>
      <c r="AC12" s="7"/>
      <c r="AD12" s="7"/>
      <c r="AE12" s="7"/>
      <c r="AF12" s="8">
        <v>13</v>
      </c>
      <c r="AG12" s="4">
        <f t="shared" si="2"/>
        <v>201</v>
      </c>
    </row>
    <row r="13" spans="1:33" ht="18.75" x14ac:dyDescent="0.25">
      <c r="A13" s="41" t="s">
        <v>44</v>
      </c>
      <c r="B13" s="7">
        <v>57</v>
      </c>
      <c r="C13" s="7">
        <v>51</v>
      </c>
      <c r="D13" s="7">
        <v>18</v>
      </c>
      <c r="E13" s="7">
        <v>18</v>
      </c>
      <c r="F13" s="7">
        <v>75</v>
      </c>
      <c r="G13" s="7">
        <v>69</v>
      </c>
      <c r="H13" s="7">
        <v>51</v>
      </c>
      <c r="I13" s="7">
        <v>50</v>
      </c>
      <c r="J13" s="7">
        <v>58</v>
      </c>
      <c r="K13" s="7">
        <v>21</v>
      </c>
      <c r="L13" s="7">
        <v>13</v>
      </c>
      <c r="M13" s="7">
        <v>71</v>
      </c>
      <c r="N13" s="7">
        <v>83</v>
      </c>
      <c r="O13" s="7">
        <v>67</v>
      </c>
      <c r="P13" s="7">
        <v>21</v>
      </c>
      <c r="Q13" s="7">
        <v>61</v>
      </c>
      <c r="R13" s="7">
        <v>25</v>
      </c>
      <c r="S13" s="7">
        <v>21</v>
      </c>
      <c r="T13" s="7">
        <v>83</v>
      </c>
      <c r="U13" s="7">
        <v>24</v>
      </c>
      <c r="V13" s="7">
        <v>100</v>
      </c>
      <c r="W13" s="7">
        <v>73</v>
      </c>
      <c r="X13" s="7">
        <v>83</v>
      </c>
      <c r="Y13" s="7">
        <v>34</v>
      </c>
      <c r="Z13" s="7">
        <v>21</v>
      </c>
      <c r="AA13" s="7">
        <v>79</v>
      </c>
      <c r="AB13" s="7">
        <v>87</v>
      </c>
      <c r="AC13" s="7">
        <v>92</v>
      </c>
      <c r="AD13" s="7">
        <v>63</v>
      </c>
      <c r="AE13" s="7">
        <v>72</v>
      </c>
      <c r="AF13" s="8">
        <v>20</v>
      </c>
      <c r="AG13" s="4">
        <f t="shared" si="2"/>
        <v>1661</v>
      </c>
    </row>
    <row r="14" spans="1:33" ht="18.75" x14ac:dyDescent="0.25">
      <c r="A14" s="41" t="s">
        <v>45</v>
      </c>
      <c r="B14" s="7">
        <v>18</v>
      </c>
      <c r="C14" s="7">
        <v>18</v>
      </c>
      <c r="D14" s="7">
        <v>13</v>
      </c>
      <c r="E14" s="7">
        <v>11</v>
      </c>
      <c r="F14" s="7">
        <v>20</v>
      </c>
      <c r="G14" s="7">
        <v>19</v>
      </c>
      <c r="H14" s="7">
        <v>26</v>
      </c>
      <c r="I14" s="7">
        <v>19</v>
      </c>
      <c r="J14" s="7">
        <v>21</v>
      </c>
      <c r="K14" s="7">
        <v>20</v>
      </c>
      <c r="L14" s="7">
        <v>23</v>
      </c>
      <c r="M14" s="7">
        <v>39</v>
      </c>
      <c r="N14" s="7">
        <v>27</v>
      </c>
      <c r="O14" s="7">
        <v>26</v>
      </c>
      <c r="P14" s="7">
        <v>17</v>
      </c>
      <c r="Q14" s="7">
        <v>27</v>
      </c>
      <c r="R14" s="7">
        <v>17</v>
      </c>
      <c r="S14" s="7">
        <v>17</v>
      </c>
      <c r="T14" s="7">
        <v>27</v>
      </c>
      <c r="U14" s="7">
        <v>36</v>
      </c>
      <c r="V14" s="7">
        <v>30</v>
      </c>
      <c r="W14" s="7">
        <v>26</v>
      </c>
      <c r="X14" s="7">
        <v>25</v>
      </c>
      <c r="Y14" s="7">
        <v>21</v>
      </c>
      <c r="Z14" s="7">
        <v>21</v>
      </c>
      <c r="AA14" s="7">
        <v>32</v>
      </c>
      <c r="AB14" s="7">
        <v>25</v>
      </c>
      <c r="AC14" s="7">
        <v>22</v>
      </c>
      <c r="AD14" s="7">
        <v>21</v>
      </c>
      <c r="AE14" s="7">
        <v>17</v>
      </c>
      <c r="AF14" s="8">
        <v>22</v>
      </c>
      <c r="AG14" s="4">
        <f t="shared" si="2"/>
        <v>703</v>
      </c>
    </row>
    <row r="15" spans="1:33" ht="18.75" x14ac:dyDescent="0.25">
      <c r="A15" s="41" t="s">
        <v>46</v>
      </c>
      <c r="B15" s="7">
        <v>19</v>
      </c>
      <c r="C15" s="7">
        <v>9</v>
      </c>
      <c r="D15" s="7">
        <v>15</v>
      </c>
      <c r="E15" s="7">
        <v>16</v>
      </c>
      <c r="F15" s="7">
        <v>20</v>
      </c>
      <c r="G15" s="7">
        <v>22</v>
      </c>
      <c r="H15" s="7">
        <v>18</v>
      </c>
      <c r="I15" s="7">
        <v>13</v>
      </c>
      <c r="J15" s="7">
        <v>21</v>
      </c>
      <c r="K15" s="7">
        <v>15</v>
      </c>
      <c r="L15" s="7">
        <v>18</v>
      </c>
      <c r="M15" s="7">
        <v>34</v>
      </c>
      <c r="N15" s="7">
        <v>17</v>
      </c>
      <c r="O15" s="7">
        <v>15</v>
      </c>
      <c r="P15" s="7">
        <v>14</v>
      </c>
      <c r="Q15" s="7">
        <v>23</v>
      </c>
      <c r="R15" s="7">
        <v>21</v>
      </c>
      <c r="S15" s="7">
        <v>13</v>
      </c>
      <c r="T15" s="7">
        <v>19</v>
      </c>
      <c r="U15" s="7">
        <v>16</v>
      </c>
      <c r="V15" s="7">
        <v>25</v>
      </c>
      <c r="W15" s="7">
        <v>24</v>
      </c>
      <c r="X15" s="7">
        <v>19</v>
      </c>
      <c r="Y15" s="7">
        <v>14</v>
      </c>
      <c r="Z15" s="7">
        <v>12</v>
      </c>
      <c r="AA15" s="7">
        <v>31</v>
      </c>
      <c r="AB15" s="7">
        <v>24</v>
      </c>
      <c r="AC15" s="7">
        <v>25</v>
      </c>
      <c r="AD15" s="7">
        <v>26</v>
      </c>
      <c r="AE15" s="7">
        <v>15</v>
      </c>
      <c r="AF15" s="8">
        <v>15</v>
      </c>
      <c r="AG15" s="4">
        <f t="shared" si="2"/>
        <v>588</v>
      </c>
    </row>
    <row r="16" spans="1:33" ht="18.75" x14ac:dyDescent="0.25">
      <c r="A16" s="41" t="s">
        <v>47</v>
      </c>
      <c r="B16" s="7">
        <v>13</v>
      </c>
      <c r="C16" s="7">
        <v>14</v>
      </c>
      <c r="D16" s="7">
        <v>12</v>
      </c>
      <c r="E16" s="7">
        <v>7</v>
      </c>
      <c r="F16" s="7">
        <v>14</v>
      </c>
      <c r="G16" s="7">
        <v>14</v>
      </c>
      <c r="H16" s="7">
        <v>20</v>
      </c>
      <c r="I16" s="7">
        <v>14</v>
      </c>
      <c r="J16" s="7">
        <v>12</v>
      </c>
      <c r="K16" s="7">
        <v>11</v>
      </c>
      <c r="L16" s="7">
        <v>14</v>
      </c>
      <c r="M16" s="7">
        <v>11</v>
      </c>
      <c r="N16" s="7">
        <v>26</v>
      </c>
      <c r="O16" s="7">
        <v>25</v>
      </c>
      <c r="P16" s="7">
        <v>9</v>
      </c>
      <c r="Q16" s="7">
        <v>20</v>
      </c>
      <c r="R16" s="7">
        <v>11</v>
      </c>
      <c r="S16" s="7">
        <v>16</v>
      </c>
      <c r="T16" s="7">
        <v>25</v>
      </c>
      <c r="U16" s="7">
        <v>10</v>
      </c>
      <c r="V16" s="7">
        <v>21</v>
      </c>
      <c r="W16" s="7">
        <v>15</v>
      </c>
      <c r="X16" s="7">
        <v>11</v>
      </c>
      <c r="Y16" s="7">
        <v>24</v>
      </c>
      <c r="Z16" s="7">
        <v>9</v>
      </c>
      <c r="AA16" s="7">
        <v>26</v>
      </c>
      <c r="AB16" s="7">
        <v>20</v>
      </c>
      <c r="AC16" s="7">
        <v>26</v>
      </c>
      <c r="AD16" s="7">
        <v>8</v>
      </c>
      <c r="AE16" s="7">
        <v>18</v>
      </c>
      <c r="AF16" s="8">
        <v>12</v>
      </c>
      <c r="AG16" s="4">
        <f t="shared" si="2"/>
        <v>488</v>
      </c>
    </row>
    <row r="17" spans="1:33" ht="18.75" x14ac:dyDescent="0.25">
      <c r="A17" s="41" t="s">
        <v>48</v>
      </c>
      <c r="B17" s="7">
        <v>17</v>
      </c>
      <c r="C17" s="7">
        <v>14</v>
      </c>
      <c r="D17" s="7">
        <v>8</v>
      </c>
      <c r="E17" s="7">
        <v>8</v>
      </c>
      <c r="F17" s="7">
        <v>18</v>
      </c>
      <c r="G17" s="7">
        <v>6</v>
      </c>
      <c r="H17" s="7">
        <v>10</v>
      </c>
      <c r="I17" s="7">
        <v>8</v>
      </c>
      <c r="J17" s="7">
        <v>14</v>
      </c>
      <c r="K17" s="7">
        <v>15</v>
      </c>
      <c r="L17" s="7">
        <v>19</v>
      </c>
      <c r="M17" s="7">
        <v>20</v>
      </c>
      <c r="N17" s="7">
        <v>19</v>
      </c>
      <c r="O17" s="7">
        <v>16</v>
      </c>
      <c r="P17" s="7">
        <v>14</v>
      </c>
      <c r="Q17" s="7">
        <v>11</v>
      </c>
      <c r="R17" s="7">
        <v>14</v>
      </c>
      <c r="S17" s="7">
        <v>11</v>
      </c>
      <c r="T17" s="7">
        <v>15</v>
      </c>
      <c r="U17" s="7">
        <v>13</v>
      </c>
      <c r="V17" s="7">
        <v>21</v>
      </c>
      <c r="W17" s="7">
        <v>28</v>
      </c>
      <c r="X17" s="7">
        <v>17</v>
      </c>
      <c r="Y17" s="7">
        <v>14</v>
      </c>
      <c r="Z17" s="7">
        <v>15</v>
      </c>
      <c r="AA17" s="7">
        <v>14</v>
      </c>
      <c r="AB17" s="7">
        <v>10</v>
      </c>
      <c r="AC17" s="7">
        <v>17</v>
      </c>
      <c r="AD17" s="7">
        <v>21</v>
      </c>
      <c r="AE17" s="7">
        <v>14</v>
      </c>
      <c r="AF17" s="8">
        <v>14</v>
      </c>
      <c r="AG17" s="4">
        <f t="shared" si="2"/>
        <v>455</v>
      </c>
    </row>
    <row r="18" spans="1:33" ht="18.75" x14ac:dyDescent="0.25">
      <c r="A18" s="41" t="s">
        <v>49</v>
      </c>
      <c r="B18" s="7">
        <v>11</v>
      </c>
      <c r="C18" s="7">
        <v>10</v>
      </c>
      <c r="D18" s="7">
        <v>11</v>
      </c>
      <c r="E18" s="7">
        <v>3</v>
      </c>
      <c r="F18" s="7">
        <v>8</v>
      </c>
      <c r="G18" s="7">
        <v>6</v>
      </c>
      <c r="H18" s="7">
        <v>8</v>
      </c>
      <c r="I18" s="7">
        <v>7</v>
      </c>
      <c r="J18" s="7">
        <v>5</v>
      </c>
      <c r="K18" s="7">
        <v>10</v>
      </c>
      <c r="L18" s="7">
        <v>6</v>
      </c>
      <c r="M18" s="7">
        <v>12</v>
      </c>
      <c r="N18" s="7">
        <v>8</v>
      </c>
      <c r="O18" s="7">
        <v>9</v>
      </c>
      <c r="P18" s="7">
        <v>15</v>
      </c>
      <c r="Q18" s="7">
        <v>12</v>
      </c>
      <c r="R18" s="7">
        <v>6</v>
      </c>
      <c r="S18" s="7">
        <v>5</v>
      </c>
      <c r="T18" s="7">
        <v>11</v>
      </c>
      <c r="U18" s="7">
        <v>9</v>
      </c>
      <c r="V18" s="7">
        <v>13</v>
      </c>
      <c r="W18" s="7">
        <v>10</v>
      </c>
      <c r="X18" s="7">
        <v>13</v>
      </c>
      <c r="Y18" s="7">
        <v>13</v>
      </c>
      <c r="Z18" s="7">
        <v>8</v>
      </c>
      <c r="AA18" s="7">
        <v>10</v>
      </c>
      <c r="AB18" s="7">
        <v>12</v>
      </c>
      <c r="AC18" s="7">
        <v>19</v>
      </c>
      <c r="AD18" s="7">
        <v>12</v>
      </c>
      <c r="AE18" s="7">
        <v>16</v>
      </c>
      <c r="AF18" s="8">
        <v>11</v>
      </c>
      <c r="AG18" s="4">
        <f t="shared" si="2"/>
        <v>309</v>
      </c>
    </row>
    <row r="19" spans="1:33" ht="18.75" x14ac:dyDescent="0.25">
      <c r="A19" s="41" t="s">
        <v>50</v>
      </c>
      <c r="B19" s="7">
        <v>7</v>
      </c>
      <c r="C19" s="7">
        <v>7</v>
      </c>
      <c r="D19" s="7">
        <v>11</v>
      </c>
      <c r="E19" s="7">
        <v>6</v>
      </c>
      <c r="F19" s="7">
        <v>7</v>
      </c>
      <c r="G19" s="7">
        <v>4</v>
      </c>
      <c r="H19" s="7">
        <v>7</v>
      </c>
      <c r="I19" s="7">
        <v>8</v>
      </c>
      <c r="J19" s="7">
        <v>5</v>
      </c>
      <c r="K19" s="7">
        <v>9</v>
      </c>
      <c r="L19" s="7">
        <v>5</v>
      </c>
      <c r="M19" s="7">
        <v>8</v>
      </c>
      <c r="N19" s="7">
        <v>8</v>
      </c>
      <c r="O19" s="7">
        <v>7</v>
      </c>
      <c r="P19" s="7">
        <v>7</v>
      </c>
      <c r="Q19" s="7">
        <v>5</v>
      </c>
      <c r="R19" s="7">
        <v>8</v>
      </c>
      <c r="S19" s="7">
        <v>1</v>
      </c>
      <c r="T19" s="7">
        <v>8</v>
      </c>
      <c r="U19" s="7">
        <v>9</v>
      </c>
      <c r="V19" s="7">
        <v>13</v>
      </c>
      <c r="W19" s="7">
        <v>10</v>
      </c>
      <c r="X19" s="7">
        <v>7</v>
      </c>
      <c r="Y19" s="7">
        <v>6</v>
      </c>
      <c r="Z19" s="7">
        <v>6</v>
      </c>
      <c r="AA19" s="7">
        <v>13</v>
      </c>
      <c r="AB19" s="7">
        <v>9</v>
      </c>
      <c r="AC19" s="7">
        <v>6</v>
      </c>
      <c r="AD19" s="7">
        <v>1</v>
      </c>
      <c r="AE19" s="7">
        <v>6</v>
      </c>
      <c r="AF19" s="8">
        <v>7</v>
      </c>
      <c r="AG19" s="4">
        <f t="shared" si="2"/>
        <v>221</v>
      </c>
    </row>
    <row r="20" spans="1:33" ht="18.75" x14ac:dyDescent="0.25">
      <c r="A20" s="41" t="s">
        <v>33</v>
      </c>
      <c r="B20" s="7">
        <v>3</v>
      </c>
      <c r="C20" s="7">
        <v>5</v>
      </c>
      <c r="D20" s="7">
        <v>4</v>
      </c>
      <c r="E20" s="7">
        <v>4</v>
      </c>
      <c r="F20" s="7">
        <v>8</v>
      </c>
      <c r="G20" s="7">
        <v>4</v>
      </c>
      <c r="H20" s="7">
        <v>2</v>
      </c>
      <c r="I20" s="7">
        <v>3</v>
      </c>
      <c r="J20" s="7">
        <v>4</v>
      </c>
      <c r="K20" s="7">
        <v>4</v>
      </c>
      <c r="L20" s="7">
        <v>2</v>
      </c>
      <c r="M20" s="7">
        <v>2</v>
      </c>
      <c r="N20" s="7">
        <v>7</v>
      </c>
      <c r="O20" s="7">
        <v>10</v>
      </c>
      <c r="P20" s="7">
        <v>2</v>
      </c>
      <c r="Q20" s="7">
        <v>1</v>
      </c>
      <c r="R20" s="7">
        <v>6</v>
      </c>
      <c r="S20" s="7">
        <v>3</v>
      </c>
      <c r="T20" s="7">
        <v>3</v>
      </c>
      <c r="U20" s="7">
        <v>4</v>
      </c>
      <c r="V20" s="7">
        <v>2</v>
      </c>
      <c r="W20" s="7">
        <v>6</v>
      </c>
      <c r="X20" s="7">
        <v>8</v>
      </c>
      <c r="Y20" s="7">
        <v>4</v>
      </c>
      <c r="Z20" s="7">
        <v>5</v>
      </c>
      <c r="AA20" s="7">
        <v>5</v>
      </c>
      <c r="AB20" s="7">
        <v>10</v>
      </c>
      <c r="AC20" s="7">
        <v>6</v>
      </c>
      <c r="AD20" s="7">
        <v>7</v>
      </c>
      <c r="AE20" s="7">
        <v>8</v>
      </c>
      <c r="AF20" s="8">
        <v>6</v>
      </c>
      <c r="AG20" s="4">
        <f t="shared" si="2"/>
        <v>148</v>
      </c>
    </row>
    <row r="21" spans="1:33" ht="18.75" x14ac:dyDescent="0.25">
      <c r="A21" s="41" t="s">
        <v>34</v>
      </c>
      <c r="B21" s="7">
        <v>1</v>
      </c>
      <c r="C21" s="7">
        <v>5</v>
      </c>
      <c r="D21" s="7">
        <v>3</v>
      </c>
      <c r="E21" s="7">
        <v>2</v>
      </c>
      <c r="F21" s="7">
        <v>1</v>
      </c>
      <c r="G21" s="7">
        <v>1</v>
      </c>
      <c r="H21" s="7">
        <v>2</v>
      </c>
      <c r="I21" s="7">
        <v>3</v>
      </c>
      <c r="J21" s="7">
        <v>7</v>
      </c>
      <c r="K21" s="7">
        <v>4</v>
      </c>
      <c r="L21" s="7">
        <v>3</v>
      </c>
      <c r="M21" s="7">
        <v>5</v>
      </c>
      <c r="N21" s="7">
        <v>4</v>
      </c>
      <c r="O21" s="7">
        <v>6</v>
      </c>
      <c r="P21" s="7">
        <v>2</v>
      </c>
      <c r="Q21" s="7"/>
      <c r="R21" s="7">
        <v>6</v>
      </c>
      <c r="S21" s="7"/>
      <c r="T21" s="7">
        <v>3</v>
      </c>
      <c r="U21" s="7">
        <v>4</v>
      </c>
      <c r="V21" s="7">
        <v>6</v>
      </c>
      <c r="W21" s="7">
        <v>3</v>
      </c>
      <c r="X21" s="7">
        <v>4</v>
      </c>
      <c r="Y21" s="7">
        <v>2</v>
      </c>
      <c r="Z21" s="7">
        <v>3</v>
      </c>
      <c r="AA21" s="7"/>
      <c r="AB21" s="7">
        <v>2</v>
      </c>
      <c r="AC21" s="7">
        <v>4</v>
      </c>
      <c r="AD21" s="7">
        <v>3</v>
      </c>
      <c r="AE21" s="7">
        <v>8</v>
      </c>
      <c r="AF21" s="8">
        <v>6</v>
      </c>
      <c r="AG21" s="4">
        <f t="shared" si="2"/>
        <v>103</v>
      </c>
    </row>
    <row r="22" spans="1:33" ht="18.75" x14ac:dyDescent="0.25">
      <c r="A22" s="41" t="s">
        <v>35</v>
      </c>
      <c r="B22" s="7">
        <v>5</v>
      </c>
      <c r="C22" s="7">
        <v>2</v>
      </c>
      <c r="D22" s="7"/>
      <c r="E22" s="7">
        <v>1</v>
      </c>
      <c r="F22" s="7">
        <v>1</v>
      </c>
      <c r="G22" s="7">
        <v>1</v>
      </c>
      <c r="H22" s="7">
        <v>3</v>
      </c>
      <c r="I22" s="7"/>
      <c r="J22" s="7">
        <v>1</v>
      </c>
      <c r="K22" s="7">
        <v>3</v>
      </c>
      <c r="L22" s="7">
        <v>2</v>
      </c>
      <c r="M22" s="7">
        <v>4</v>
      </c>
      <c r="N22" s="7"/>
      <c r="O22" s="7">
        <v>1</v>
      </c>
      <c r="P22" s="7">
        <v>3</v>
      </c>
      <c r="Q22" s="7">
        <v>1</v>
      </c>
      <c r="R22" s="7">
        <v>2</v>
      </c>
      <c r="S22" s="7">
        <v>1</v>
      </c>
      <c r="T22" s="7"/>
      <c r="U22" s="7"/>
      <c r="V22" s="7">
        <v>2</v>
      </c>
      <c r="W22" s="7"/>
      <c r="X22" s="7">
        <v>4</v>
      </c>
      <c r="Y22" s="7">
        <v>4</v>
      </c>
      <c r="Z22" s="7"/>
      <c r="AA22" s="7">
        <v>1</v>
      </c>
      <c r="AB22" s="7">
        <v>2</v>
      </c>
      <c r="AC22" s="7">
        <v>2</v>
      </c>
      <c r="AD22" s="7">
        <v>1</v>
      </c>
      <c r="AE22" s="7">
        <v>1</v>
      </c>
      <c r="AF22" s="8">
        <v>2</v>
      </c>
      <c r="AG22" s="4">
        <f t="shared" si="2"/>
        <v>50</v>
      </c>
    </row>
    <row r="23" spans="1:33" ht="18.75" x14ac:dyDescent="0.25">
      <c r="A23" s="41" t="s">
        <v>36</v>
      </c>
      <c r="B23" s="7"/>
      <c r="C23" s="7">
        <v>1</v>
      </c>
      <c r="D23" s="7">
        <v>1</v>
      </c>
      <c r="E23" s="7">
        <v>2</v>
      </c>
      <c r="F23" s="7">
        <v>4</v>
      </c>
      <c r="G23" s="7">
        <v>1</v>
      </c>
      <c r="H23" s="7">
        <v>1</v>
      </c>
      <c r="I23" s="7">
        <v>2</v>
      </c>
      <c r="J23" s="7"/>
      <c r="K23" s="7"/>
      <c r="L23" s="7">
        <v>1</v>
      </c>
      <c r="M23" s="7">
        <v>1</v>
      </c>
      <c r="N23" s="7">
        <v>2</v>
      </c>
      <c r="O23" s="7"/>
      <c r="P23" s="7">
        <v>1</v>
      </c>
      <c r="Q23" s="7">
        <v>1</v>
      </c>
      <c r="R23" s="7">
        <v>2</v>
      </c>
      <c r="S23" s="7">
        <v>1</v>
      </c>
      <c r="T23" s="7">
        <v>4</v>
      </c>
      <c r="U23" s="7">
        <v>1</v>
      </c>
      <c r="V23" s="7"/>
      <c r="W23" s="7"/>
      <c r="X23" s="7"/>
      <c r="Y23" s="7">
        <v>1</v>
      </c>
      <c r="Z23" s="7"/>
      <c r="AA23" s="7">
        <v>2</v>
      </c>
      <c r="AB23" s="7">
        <v>4</v>
      </c>
      <c r="AC23" s="7">
        <v>2</v>
      </c>
      <c r="AD23" s="7"/>
      <c r="AE23" s="7"/>
      <c r="AF23" s="8">
        <v>6</v>
      </c>
      <c r="AG23" s="4">
        <f t="shared" si="2"/>
        <v>41</v>
      </c>
    </row>
    <row r="24" spans="1:33" ht="18.75" x14ac:dyDescent="0.25">
      <c r="A24" s="41" t="s">
        <v>51</v>
      </c>
      <c r="B24" s="7"/>
      <c r="C24" s="7">
        <v>3</v>
      </c>
      <c r="D24" s="7">
        <v>1</v>
      </c>
      <c r="E24" s="7"/>
      <c r="F24" s="7">
        <v>2</v>
      </c>
      <c r="G24" s="7"/>
      <c r="H24" s="7">
        <v>2</v>
      </c>
      <c r="I24" s="7"/>
      <c r="J24" s="7"/>
      <c r="K24" s="7">
        <v>1</v>
      </c>
      <c r="L24" s="7"/>
      <c r="M24" s="7">
        <v>2</v>
      </c>
      <c r="N24" s="7">
        <v>1</v>
      </c>
      <c r="O24" s="7"/>
      <c r="P24" s="7"/>
      <c r="Q24" s="7"/>
      <c r="R24" s="7">
        <v>1</v>
      </c>
      <c r="S24" s="7"/>
      <c r="T24" s="7"/>
      <c r="U24" s="7"/>
      <c r="V24" s="7"/>
      <c r="W24" s="7"/>
      <c r="X24" s="7">
        <v>1</v>
      </c>
      <c r="Y24" s="7">
        <v>3</v>
      </c>
      <c r="Z24" s="7"/>
      <c r="AA24" s="7"/>
      <c r="AB24" s="7">
        <v>1</v>
      </c>
      <c r="AC24" s="7">
        <v>1</v>
      </c>
      <c r="AD24" s="7">
        <v>1</v>
      </c>
      <c r="AE24" s="7">
        <v>4</v>
      </c>
      <c r="AF24" s="8">
        <v>1</v>
      </c>
      <c r="AG24" s="4">
        <f t="shared" si="2"/>
        <v>25</v>
      </c>
    </row>
    <row r="25" spans="1:33" ht="18.75" x14ac:dyDescent="0.25">
      <c r="A25" s="41" t="s">
        <v>52</v>
      </c>
      <c r="B25" s="7">
        <v>1</v>
      </c>
      <c r="C25" s="7">
        <v>1</v>
      </c>
      <c r="D25" s="7"/>
      <c r="E25" s="7"/>
      <c r="F25" s="7">
        <v>2</v>
      </c>
      <c r="G25" s="7">
        <v>1</v>
      </c>
      <c r="H25" s="7"/>
      <c r="I25" s="7">
        <v>1</v>
      </c>
      <c r="J25" s="7">
        <v>2</v>
      </c>
      <c r="K25" s="7"/>
      <c r="L25" s="7"/>
      <c r="M25" s="7">
        <v>1</v>
      </c>
      <c r="N25" s="7">
        <v>1</v>
      </c>
      <c r="O25" s="7"/>
      <c r="P25" s="7">
        <v>1</v>
      </c>
      <c r="Q25" s="7">
        <v>2</v>
      </c>
      <c r="R25" s="7">
        <v>1</v>
      </c>
      <c r="S25" s="7"/>
      <c r="T25" s="7">
        <v>1</v>
      </c>
      <c r="U25" s="7">
        <v>2</v>
      </c>
      <c r="V25" s="7"/>
      <c r="W25" s="7"/>
      <c r="X25" s="7"/>
      <c r="Y25" s="7">
        <v>1</v>
      </c>
      <c r="Z25" s="7"/>
      <c r="AA25" s="7">
        <v>2</v>
      </c>
      <c r="AB25" s="7">
        <v>2</v>
      </c>
      <c r="AC25" s="7"/>
      <c r="AD25" s="7">
        <v>1</v>
      </c>
      <c r="AE25" s="7"/>
      <c r="AF25" s="8"/>
      <c r="AG25" s="4">
        <f t="shared" si="2"/>
        <v>23</v>
      </c>
    </row>
    <row r="26" spans="1:33" ht="18.75" x14ac:dyDescent="0.25">
      <c r="A26" s="41" t="s">
        <v>37</v>
      </c>
      <c r="B26" s="7"/>
      <c r="C26" s="7"/>
      <c r="D26" s="7"/>
      <c r="E26" s="7"/>
      <c r="F26" s="7">
        <v>1</v>
      </c>
      <c r="G26" s="7"/>
      <c r="H26" s="7"/>
      <c r="I26" s="7"/>
      <c r="J26" s="7">
        <v>1</v>
      </c>
      <c r="K26" s="7"/>
      <c r="L26" s="7">
        <v>1</v>
      </c>
      <c r="M26" s="7">
        <v>1</v>
      </c>
      <c r="N26" s="7">
        <v>1</v>
      </c>
      <c r="O26" s="7">
        <v>3</v>
      </c>
      <c r="P26" s="7"/>
      <c r="Q26" s="7">
        <v>1</v>
      </c>
      <c r="R26" s="7">
        <v>3</v>
      </c>
      <c r="S26" s="7"/>
      <c r="T26" s="7"/>
      <c r="U26" s="7"/>
      <c r="V26" s="7"/>
      <c r="W26" s="7">
        <v>1</v>
      </c>
      <c r="X26" s="7">
        <v>1</v>
      </c>
      <c r="Y26" s="7">
        <v>1</v>
      </c>
      <c r="Z26" s="7">
        <v>1</v>
      </c>
      <c r="AA26" s="7"/>
      <c r="AB26" s="7"/>
      <c r="AC26" s="7"/>
      <c r="AD26" s="7"/>
      <c r="AE26" s="7">
        <v>1</v>
      </c>
      <c r="AF26" s="8"/>
      <c r="AG26" s="4">
        <f t="shared" si="2"/>
        <v>17</v>
      </c>
    </row>
    <row r="27" spans="1:33" ht="19.5" thickBot="1" x14ac:dyDescent="0.3">
      <c r="A27" s="81" t="s">
        <v>53</v>
      </c>
      <c r="B27" s="78"/>
      <c r="C27" s="78">
        <v>4</v>
      </c>
      <c r="D27" s="78"/>
      <c r="E27" s="78">
        <v>1</v>
      </c>
      <c r="F27" s="78">
        <v>1</v>
      </c>
      <c r="G27" s="78">
        <v>2</v>
      </c>
      <c r="H27" s="78"/>
      <c r="I27" s="78"/>
      <c r="J27" s="78">
        <v>1</v>
      </c>
      <c r="K27" s="78">
        <v>3</v>
      </c>
      <c r="L27" s="78"/>
      <c r="M27" s="78">
        <v>1</v>
      </c>
      <c r="N27" s="78"/>
      <c r="O27" s="78">
        <v>4</v>
      </c>
      <c r="P27" s="78"/>
      <c r="Q27" s="78">
        <v>4</v>
      </c>
      <c r="R27" s="78">
        <v>2</v>
      </c>
      <c r="S27" s="78"/>
      <c r="T27" s="78">
        <v>5</v>
      </c>
      <c r="U27" s="78">
        <v>1</v>
      </c>
      <c r="V27" s="78"/>
      <c r="W27" s="78">
        <v>1</v>
      </c>
      <c r="X27" s="78">
        <v>5</v>
      </c>
      <c r="Y27" s="78">
        <v>2</v>
      </c>
      <c r="Z27" s="78">
        <v>1</v>
      </c>
      <c r="AA27" s="78">
        <v>2</v>
      </c>
      <c r="AB27" s="78"/>
      <c r="AC27" s="78"/>
      <c r="AD27" s="78">
        <v>3</v>
      </c>
      <c r="AE27" s="78">
        <v>3</v>
      </c>
      <c r="AF27" s="83"/>
      <c r="AG27" s="4">
        <f t="shared" si="2"/>
        <v>46</v>
      </c>
    </row>
    <row r="28" spans="1:33" ht="18.75" x14ac:dyDescent="0.25">
      <c r="A28" s="79" t="s">
        <v>107</v>
      </c>
      <c r="B28" s="80">
        <f>SUM(B29:B52)</f>
        <v>146</v>
      </c>
      <c r="C28" s="80">
        <f t="shared" ref="C28:AF28" si="3">SUM(C29:C52)</f>
        <v>143</v>
      </c>
      <c r="D28" s="80">
        <f t="shared" si="3"/>
        <v>226</v>
      </c>
      <c r="E28" s="80">
        <f t="shared" si="3"/>
        <v>173</v>
      </c>
      <c r="F28" s="80">
        <f t="shared" si="3"/>
        <v>164</v>
      </c>
      <c r="G28" s="80">
        <f t="shared" si="3"/>
        <v>132</v>
      </c>
      <c r="H28" s="80">
        <f t="shared" si="3"/>
        <v>144</v>
      </c>
      <c r="I28" s="80">
        <f t="shared" si="3"/>
        <v>126</v>
      </c>
      <c r="J28" s="80">
        <f t="shared" si="3"/>
        <v>151</v>
      </c>
      <c r="K28" s="80">
        <f t="shared" si="3"/>
        <v>225</v>
      </c>
      <c r="L28" s="80">
        <f t="shared" si="3"/>
        <v>244</v>
      </c>
      <c r="M28" s="80">
        <f t="shared" si="3"/>
        <v>190</v>
      </c>
      <c r="N28" s="80">
        <f t="shared" si="3"/>
        <v>183</v>
      </c>
      <c r="O28" s="80">
        <f t="shared" si="3"/>
        <v>174</v>
      </c>
      <c r="P28" s="80">
        <f t="shared" si="3"/>
        <v>224</v>
      </c>
      <c r="Q28" s="80">
        <f t="shared" si="3"/>
        <v>158</v>
      </c>
      <c r="R28" s="80">
        <f t="shared" si="3"/>
        <v>249</v>
      </c>
      <c r="S28" s="80">
        <f t="shared" si="3"/>
        <v>222</v>
      </c>
      <c r="T28" s="80">
        <f t="shared" si="3"/>
        <v>189</v>
      </c>
      <c r="U28" s="80">
        <f t="shared" si="3"/>
        <v>279</v>
      </c>
      <c r="V28" s="80">
        <f t="shared" si="3"/>
        <v>178</v>
      </c>
      <c r="W28" s="80">
        <f t="shared" si="3"/>
        <v>184</v>
      </c>
      <c r="X28" s="80">
        <f t="shared" si="3"/>
        <v>182</v>
      </c>
      <c r="Y28" s="80">
        <f t="shared" si="3"/>
        <v>274</v>
      </c>
      <c r="Z28" s="80">
        <f t="shared" si="3"/>
        <v>207</v>
      </c>
      <c r="AA28" s="80">
        <f t="shared" si="3"/>
        <v>191</v>
      </c>
      <c r="AB28" s="80">
        <f t="shared" si="3"/>
        <v>170</v>
      </c>
      <c r="AC28" s="80">
        <f t="shared" si="3"/>
        <v>175</v>
      </c>
      <c r="AD28" s="80">
        <f t="shared" si="3"/>
        <v>165</v>
      </c>
      <c r="AE28" s="80">
        <f>SUM(AE29:AE52)</f>
        <v>177</v>
      </c>
      <c r="AF28" s="80">
        <f t="shared" si="3"/>
        <v>214</v>
      </c>
      <c r="AG28" s="150">
        <f t="shared" si="2"/>
        <v>5859</v>
      </c>
    </row>
    <row r="29" spans="1:33" ht="18.75" x14ac:dyDescent="0.25">
      <c r="A29" s="41" t="s">
        <v>54</v>
      </c>
      <c r="B29" s="7"/>
      <c r="C29" s="7">
        <v>2</v>
      </c>
      <c r="D29" s="7">
        <v>3</v>
      </c>
      <c r="E29" s="7"/>
      <c r="F29" s="7">
        <v>2</v>
      </c>
      <c r="G29" s="7"/>
      <c r="H29" s="7"/>
      <c r="I29" s="7"/>
      <c r="J29" s="7">
        <v>1</v>
      </c>
      <c r="K29" s="7">
        <v>4</v>
      </c>
      <c r="L29" s="7"/>
      <c r="M29" s="7"/>
      <c r="N29" s="7"/>
      <c r="O29" s="7">
        <v>4</v>
      </c>
      <c r="P29" s="7">
        <v>3</v>
      </c>
      <c r="Q29" s="7"/>
      <c r="R29" s="7">
        <v>1</v>
      </c>
      <c r="S29" s="7">
        <v>3</v>
      </c>
      <c r="T29" s="7">
        <v>2</v>
      </c>
      <c r="U29" s="7"/>
      <c r="V29" s="7"/>
      <c r="W29" s="7"/>
      <c r="X29" s="7"/>
      <c r="Y29" s="7">
        <v>4</v>
      </c>
      <c r="Z29" s="7">
        <v>4</v>
      </c>
      <c r="AA29" s="7"/>
      <c r="AB29" s="7"/>
      <c r="AC29" s="7"/>
      <c r="AD29" s="7">
        <v>1</v>
      </c>
      <c r="AE29" s="7">
        <v>2</v>
      </c>
      <c r="AF29" s="8">
        <v>1</v>
      </c>
      <c r="AG29" s="4">
        <f t="shared" si="2"/>
        <v>37</v>
      </c>
    </row>
    <row r="30" spans="1:33" ht="18.75" x14ac:dyDescent="0.25">
      <c r="A30" s="41" t="s">
        <v>55</v>
      </c>
      <c r="B30" s="7"/>
      <c r="C30" s="7"/>
      <c r="D30" s="7">
        <v>6</v>
      </c>
      <c r="E30" s="7">
        <v>5</v>
      </c>
      <c r="F30" s="7"/>
      <c r="G30" s="7"/>
      <c r="H30" s="7"/>
      <c r="I30" s="7"/>
      <c r="J30" s="7"/>
      <c r="K30" s="7">
        <v>7</v>
      </c>
      <c r="L30" s="7">
        <v>11</v>
      </c>
      <c r="M30" s="7"/>
      <c r="N30" s="7"/>
      <c r="O30" s="7"/>
      <c r="P30" s="7">
        <v>6</v>
      </c>
      <c r="Q30" s="7">
        <v>2</v>
      </c>
      <c r="R30" s="7">
        <v>6</v>
      </c>
      <c r="S30" s="7">
        <v>5</v>
      </c>
      <c r="T30" s="7"/>
      <c r="U30" s="7">
        <v>15</v>
      </c>
      <c r="V30" s="7"/>
      <c r="W30" s="7"/>
      <c r="X30" s="7"/>
      <c r="Y30" s="7">
        <v>5</v>
      </c>
      <c r="Z30" s="7">
        <v>5</v>
      </c>
      <c r="AA30" s="7"/>
      <c r="AB30" s="7"/>
      <c r="AC30" s="7"/>
      <c r="AD30" s="7"/>
      <c r="AE30" s="7"/>
      <c r="AF30" s="8">
        <v>5</v>
      </c>
      <c r="AG30" s="4">
        <f t="shared" si="2"/>
        <v>78</v>
      </c>
    </row>
    <row r="31" spans="1:33" ht="18.75" x14ac:dyDescent="0.25">
      <c r="A31" s="41" t="s">
        <v>56</v>
      </c>
      <c r="B31" s="7"/>
      <c r="C31" s="7"/>
      <c r="D31" s="7">
        <v>19</v>
      </c>
      <c r="E31" s="7">
        <v>5</v>
      </c>
      <c r="F31" s="7"/>
      <c r="G31" s="7"/>
      <c r="H31" s="7"/>
      <c r="I31" s="7"/>
      <c r="J31" s="7"/>
      <c r="K31" s="7">
        <v>11</v>
      </c>
      <c r="L31" s="7">
        <v>6</v>
      </c>
      <c r="M31" s="7"/>
      <c r="N31" s="7"/>
      <c r="O31" s="7"/>
      <c r="P31" s="7">
        <v>10</v>
      </c>
      <c r="Q31" s="7"/>
      <c r="R31" s="7">
        <v>16</v>
      </c>
      <c r="S31" s="7">
        <v>6</v>
      </c>
      <c r="T31" s="7"/>
      <c r="U31" s="7">
        <v>12</v>
      </c>
      <c r="V31" s="7"/>
      <c r="W31" s="7"/>
      <c r="X31" s="7"/>
      <c r="Y31" s="7">
        <v>12</v>
      </c>
      <c r="Z31" s="7">
        <v>14</v>
      </c>
      <c r="AA31" s="7"/>
      <c r="AB31" s="7"/>
      <c r="AC31" s="7"/>
      <c r="AD31" s="7"/>
      <c r="AE31" s="7"/>
      <c r="AF31" s="8">
        <v>6</v>
      </c>
      <c r="AG31" s="4">
        <f t="shared" si="2"/>
        <v>117</v>
      </c>
    </row>
    <row r="32" spans="1:33" ht="18.75" x14ac:dyDescent="0.25">
      <c r="A32" s="41" t="s">
        <v>38</v>
      </c>
      <c r="B32" s="7"/>
      <c r="C32" s="7"/>
      <c r="D32" s="7">
        <v>21</v>
      </c>
      <c r="E32" s="7">
        <v>12</v>
      </c>
      <c r="F32" s="7"/>
      <c r="G32" s="7"/>
      <c r="H32" s="7"/>
      <c r="I32" s="7"/>
      <c r="J32" s="7"/>
      <c r="K32" s="7">
        <v>11</v>
      </c>
      <c r="L32" s="7">
        <v>22</v>
      </c>
      <c r="M32" s="7"/>
      <c r="N32" s="7"/>
      <c r="O32" s="7"/>
      <c r="P32" s="7">
        <v>16</v>
      </c>
      <c r="Q32" s="7"/>
      <c r="R32" s="7">
        <v>15</v>
      </c>
      <c r="S32" s="7">
        <v>11</v>
      </c>
      <c r="T32" s="7"/>
      <c r="U32" s="7">
        <v>17</v>
      </c>
      <c r="V32" s="7"/>
      <c r="W32" s="7"/>
      <c r="X32" s="7"/>
      <c r="Y32" s="7">
        <v>17</v>
      </c>
      <c r="Z32" s="7">
        <v>13</v>
      </c>
      <c r="AA32" s="7"/>
      <c r="AB32" s="7"/>
      <c r="AC32" s="7"/>
      <c r="AD32" s="7"/>
      <c r="AE32" s="7"/>
      <c r="AF32" s="8">
        <v>9</v>
      </c>
      <c r="AG32" s="4">
        <f t="shared" si="2"/>
        <v>164</v>
      </c>
    </row>
    <row r="33" spans="1:33" ht="18.75" x14ac:dyDescent="0.25">
      <c r="A33" s="41" t="s">
        <v>39</v>
      </c>
      <c r="B33" s="7"/>
      <c r="C33" s="7"/>
      <c r="D33" s="7">
        <v>14</v>
      </c>
      <c r="E33" s="7">
        <v>13</v>
      </c>
      <c r="F33" s="7"/>
      <c r="G33" s="7"/>
      <c r="H33" s="7"/>
      <c r="I33" s="7"/>
      <c r="J33" s="7"/>
      <c r="K33" s="7">
        <v>14</v>
      </c>
      <c r="L33" s="7">
        <v>9</v>
      </c>
      <c r="M33" s="7">
        <v>1</v>
      </c>
      <c r="N33" s="7"/>
      <c r="O33" s="7"/>
      <c r="P33" s="7">
        <v>11</v>
      </c>
      <c r="Q33" s="7"/>
      <c r="R33" s="7">
        <v>16</v>
      </c>
      <c r="S33" s="7">
        <v>11</v>
      </c>
      <c r="T33" s="7"/>
      <c r="U33" s="7">
        <v>17</v>
      </c>
      <c r="V33" s="7"/>
      <c r="W33" s="7"/>
      <c r="X33" s="7">
        <v>1</v>
      </c>
      <c r="Y33" s="7">
        <v>12</v>
      </c>
      <c r="Z33" s="7">
        <v>11</v>
      </c>
      <c r="AA33" s="7"/>
      <c r="AB33" s="7"/>
      <c r="AC33" s="7"/>
      <c r="AD33" s="7"/>
      <c r="AE33" s="7"/>
      <c r="AF33" s="8">
        <v>12</v>
      </c>
      <c r="AG33" s="4">
        <f t="shared" si="2"/>
        <v>142</v>
      </c>
    </row>
    <row r="34" spans="1:33" ht="18.75" x14ac:dyDescent="0.25">
      <c r="A34" s="41" t="s">
        <v>40</v>
      </c>
      <c r="B34" s="7"/>
      <c r="C34" s="7"/>
      <c r="D34" s="7">
        <v>8</v>
      </c>
      <c r="E34" s="7">
        <v>12</v>
      </c>
      <c r="F34" s="7"/>
      <c r="G34" s="7"/>
      <c r="H34" s="7"/>
      <c r="I34" s="7"/>
      <c r="J34" s="7"/>
      <c r="K34" s="7">
        <v>14</v>
      </c>
      <c r="L34" s="7">
        <v>12</v>
      </c>
      <c r="M34" s="7"/>
      <c r="N34" s="7"/>
      <c r="O34" s="7"/>
      <c r="P34" s="7">
        <v>14</v>
      </c>
      <c r="Q34" s="7"/>
      <c r="R34" s="7">
        <v>12</v>
      </c>
      <c r="S34" s="7">
        <v>14</v>
      </c>
      <c r="T34" s="7"/>
      <c r="U34" s="7">
        <v>12</v>
      </c>
      <c r="V34" s="7"/>
      <c r="W34" s="7"/>
      <c r="X34" s="7"/>
      <c r="Y34" s="7">
        <v>17</v>
      </c>
      <c r="Z34" s="7">
        <v>11</v>
      </c>
      <c r="AA34" s="7"/>
      <c r="AB34" s="7"/>
      <c r="AC34" s="7"/>
      <c r="AD34" s="7"/>
      <c r="AE34" s="7"/>
      <c r="AF34" s="8">
        <v>11</v>
      </c>
      <c r="AG34" s="4">
        <f t="shared" si="2"/>
        <v>137</v>
      </c>
    </row>
    <row r="35" spans="1:33" ht="18.75" x14ac:dyDescent="0.25">
      <c r="A35" s="41" t="s">
        <v>41</v>
      </c>
      <c r="B35" s="7"/>
      <c r="C35" s="7"/>
      <c r="D35" s="7">
        <v>13</v>
      </c>
      <c r="E35" s="7">
        <v>11</v>
      </c>
      <c r="F35" s="7"/>
      <c r="G35" s="7"/>
      <c r="H35" s="7"/>
      <c r="I35" s="7"/>
      <c r="J35" s="7"/>
      <c r="K35" s="7">
        <v>15</v>
      </c>
      <c r="L35" s="7">
        <v>11</v>
      </c>
      <c r="M35" s="7"/>
      <c r="N35" s="7"/>
      <c r="O35" s="7"/>
      <c r="P35" s="7">
        <v>14</v>
      </c>
      <c r="Q35" s="7"/>
      <c r="R35" s="7">
        <v>11</v>
      </c>
      <c r="S35" s="7">
        <v>13</v>
      </c>
      <c r="T35" s="7"/>
      <c r="U35" s="7">
        <v>18</v>
      </c>
      <c r="V35" s="7"/>
      <c r="W35" s="7"/>
      <c r="X35" s="7"/>
      <c r="Y35" s="7">
        <v>16</v>
      </c>
      <c r="Z35" s="7">
        <v>10</v>
      </c>
      <c r="AA35" s="7"/>
      <c r="AB35" s="7"/>
      <c r="AC35" s="7"/>
      <c r="AD35" s="7"/>
      <c r="AE35" s="7"/>
      <c r="AF35" s="8">
        <v>6</v>
      </c>
      <c r="AG35" s="4">
        <f t="shared" si="2"/>
        <v>138</v>
      </c>
    </row>
    <row r="36" spans="1:33" ht="18.75" x14ac:dyDescent="0.25">
      <c r="A36" s="41" t="s">
        <v>42</v>
      </c>
      <c r="B36" s="7"/>
      <c r="C36" s="7"/>
      <c r="D36" s="7">
        <v>11</v>
      </c>
      <c r="E36" s="7">
        <v>15</v>
      </c>
      <c r="F36" s="7"/>
      <c r="G36" s="7"/>
      <c r="H36" s="7"/>
      <c r="I36" s="7"/>
      <c r="J36" s="7"/>
      <c r="K36" s="7">
        <v>16</v>
      </c>
      <c r="L36" s="7">
        <v>16</v>
      </c>
      <c r="M36" s="7"/>
      <c r="N36" s="7">
        <v>1</v>
      </c>
      <c r="O36" s="7"/>
      <c r="P36" s="7">
        <v>11</v>
      </c>
      <c r="Q36" s="7"/>
      <c r="R36" s="7">
        <v>15</v>
      </c>
      <c r="S36" s="7">
        <v>14</v>
      </c>
      <c r="T36" s="7"/>
      <c r="U36" s="7">
        <v>13</v>
      </c>
      <c r="V36" s="7"/>
      <c r="W36" s="7"/>
      <c r="X36" s="7"/>
      <c r="Y36" s="7">
        <v>16</v>
      </c>
      <c r="Z36" s="7">
        <v>7</v>
      </c>
      <c r="AA36" s="7"/>
      <c r="AB36" s="7"/>
      <c r="AC36" s="7"/>
      <c r="AD36" s="7"/>
      <c r="AE36" s="7"/>
      <c r="AF36" s="8">
        <v>7</v>
      </c>
      <c r="AG36" s="4">
        <f t="shared" si="2"/>
        <v>142</v>
      </c>
    </row>
    <row r="37" spans="1:33" ht="18.75" x14ac:dyDescent="0.25">
      <c r="A37" s="41" t="s">
        <v>43</v>
      </c>
      <c r="B37" s="7"/>
      <c r="C37" s="7"/>
      <c r="D37" s="7">
        <v>21</v>
      </c>
      <c r="E37" s="7">
        <v>17</v>
      </c>
      <c r="F37" s="7"/>
      <c r="G37" s="7"/>
      <c r="H37" s="7"/>
      <c r="I37" s="7"/>
      <c r="J37" s="7"/>
      <c r="K37" s="7">
        <v>20</v>
      </c>
      <c r="L37" s="7">
        <v>20</v>
      </c>
      <c r="M37" s="7"/>
      <c r="N37" s="7"/>
      <c r="O37" s="7"/>
      <c r="P37" s="7">
        <v>13</v>
      </c>
      <c r="Q37" s="7">
        <v>1</v>
      </c>
      <c r="R37" s="7">
        <v>14</v>
      </c>
      <c r="S37" s="7">
        <v>14</v>
      </c>
      <c r="T37" s="7"/>
      <c r="U37" s="7">
        <v>15</v>
      </c>
      <c r="V37" s="7"/>
      <c r="W37" s="7"/>
      <c r="X37" s="7"/>
      <c r="Y37" s="7">
        <v>13</v>
      </c>
      <c r="Z37" s="7">
        <v>16</v>
      </c>
      <c r="AA37" s="7"/>
      <c r="AB37" s="7"/>
      <c r="AC37" s="7"/>
      <c r="AD37" s="7"/>
      <c r="AE37" s="7"/>
      <c r="AF37" s="8">
        <v>12</v>
      </c>
      <c r="AG37" s="4">
        <f t="shared" si="2"/>
        <v>176</v>
      </c>
    </row>
    <row r="38" spans="1:33" ht="18.75" x14ac:dyDescent="0.25">
      <c r="A38" s="41" t="s">
        <v>44</v>
      </c>
      <c r="B38" s="7"/>
      <c r="C38" s="7">
        <v>15</v>
      </c>
      <c r="D38" s="7">
        <v>22</v>
      </c>
      <c r="E38" s="7">
        <v>16</v>
      </c>
      <c r="F38" s="7">
        <v>10</v>
      </c>
      <c r="G38" s="7">
        <v>6</v>
      </c>
      <c r="H38" s="7">
        <v>4</v>
      </c>
      <c r="I38" s="7">
        <v>11</v>
      </c>
      <c r="J38" s="7">
        <v>9</v>
      </c>
      <c r="K38" s="7">
        <v>16</v>
      </c>
      <c r="L38" s="7">
        <v>25</v>
      </c>
      <c r="M38" s="7">
        <v>13</v>
      </c>
      <c r="N38" s="7"/>
      <c r="O38" s="7">
        <v>2</v>
      </c>
      <c r="P38" s="7">
        <v>25</v>
      </c>
      <c r="Q38" s="7">
        <v>11</v>
      </c>
      <c r="R38" s="7">
        <v>30</v>
      </c>
      <c r="S38" s="7">
        <v>25</v>
      </c>
      <c r="T38" s="7">
        <v>12</v>
      </c>
      <c r="U38" s="7">
        <v>24</v>
      </c>
      <c r="V38" s="7">
        <v>2</v>
      </c>
      <c r="W38" s="7">
        <v>10</v>
      </c>
      <c r="X38" s="7">
        <v>8</v>
      </c>
      <c r="Y38" s="7">
        <v>31</v>
      </c>
      <c r="Z38" s="7">
        <v>19</v>
      </c>
      <c r="AA38" s="7">
        <v>8</v>
      </c>
      <c r="AB38" s="7">
        <v>3</v>
      </c>
      <c r="AC38" s="7">
        <v>5</v>
      </c>
      <c r="AD38" s="7">
        <v>7</v>
      </c>
      <c r="AE38" s="7">
        <v>8</v>
      </c>
      <c r="AF38" s="8">
        <v>19</v>
      </c>
      <c r="AG38" s="4">
        <f t="shared" si="2"/>
        <v>396</v>
      </c>
    </row>
    <row r="39" spans="1:33" ht="18.75" x14ac:dyDescent="0.25">
      <c r="A39" s="41" t="s">
        <v>45</v>
      </c>
      <c r="B39" s="7">
        <v>26</v>
      </c>
      <c r="C39" s="7">
        <v>25</v>
      </c>
      <c r="D39" s="7">
        <v>19</v>
      </c>
      <c r="E39" s="7">
        <v>14</v>
      </c>
      <c r="F39" s="7">
        <v>23</v>
      </c>
      <c r="G39" s="7">
        <v>20</v>
      </c>
      <c r="H39" s="7">
        <v>23</v>
      </c>
      <c r="I39" s="7">
        <v>25</v>
      </c>
      <c r="J39" s="7">
        <v>30</v>
      </c>
      <c r="K39" s="7">
        <v>22</v>
      </c>
      <c r="L39" s="7">
        <v>23</v>
      </c>
      <c r="M39" s="7">
        <v>23</v>
      </c>
      <c r="N39" s="7">
        <v>22</v>
      </c>
      <c r="O39" s="7">
        <v>19</v>
      </c>
      <c r="P39" s="7">
        <v>16</v>
      </c>
      <c r="Q39" s="7">
        <v>25</v>
      </c>
      <c r="R39" s="7">
        <v>23</v>
      </c>
      <c r="S39" s="7">
        <v>24</v>
      </c>
      <c r="T39" s="7">
        <v>30</v>
      </c>
      <c r="U39" s="7">
        <v>19</v>
      </c>
      <c r="V39" s="7">
        <v>23</v>
      </c>
      <c r="W39" s="7">
        <v>27</v>
      </c>
      <c r="X39" s="7">
        <v>21</v>
      </c>
      <c r="Y39" s="7">
        <v>20</v>
      </c>
      <c r="Z39" s="7">
        <v>14</v>
      </c>
      <c r="AA39" s="7">
        <v>27</v>
      </c>
      <c r="AB39" s="7">
        <v>25</v>
      </c>
      <c r="AC39" s="7">
        <v>29</v>
      </c>
      <c r="AD39" s="7">
        <v>23</v>
      </c>
      <c r="AE39" s="7">
        <v>23</v>
      </c>
      <c r="AF39" s="8">
        <v>22</v>
      </c>
      <c r="AG39" s="4">
        <f t="shared" si="2"/>
        <v>705</v>
      </c>
    </row>
    <row r="40" spans="1:33" ht="18.75" x14ac:dyDescent="0.25">
      <c r="A40" s="41" t="s">
        <v>46</v>
      </c>
      <c r="B40" s="7">
        <v>35</v>
      </c>
      <c r="C40" s="7">
        <v>30</v>
      </c>
      <c r="D40" s="7">
        <v>14</v>
      </c>
      <c r="E40" s="7">
        <v>15</v>
      </c>
      <c r="F40" s="7">
        <v>32</v>
      </c>
      <c r="G40" s="7">
        <v>26</v>
      </c>
      <c r="H40" s="7">
        <v>36</v>
      </c>
      <c r="I40" s="7">
        <v>23</v>
      </c>
      <c r="J40" s="7">
        <v>36</v>
      </c>
      <c r="K40" s="7">
        <v>14</v>
      </c>
      <c r="L40" s="7">
        <v>16</v>
      </c>
      <c r="M40" s="7">
        <v>29</v>
      </c>
      <c r="N40" s="7">
        <v>36</v>
      </c>
      <c r="O40" s="7">
        <v>27</v>
      </c>
      <c r="P40" s="7">
        <v>16</v>
      </c>
      <c r="Q40" s="7">
        <v>21</v>
      </c>
      <c r="R40" s="7">
        <v>19</v>
      </c>
      <c r="S40" s="7">
        <v>25</v>
      </c>
      <c r="T40" s="7">
        <v>34</v>
      </c>
      <c r="U40" s="7">
        <v>26</v>
      </c>
      <c r="V40" s="7">
        <v>36</v>
      </c>
      <c r="W40" s="7">
        <v>30</v>
      </c>
      <c r="X40" s="7">
        <v>31</v>
      </c>
      <c r="Y40" s="7">
        <v>21</v>
      </c>
      <c r="Z40" s="7">
        <v>17</v>
      </c>
      <c r="AA40" s="7">
        <v>32</v>
      </c>
      <c r="AB40" s="7">
        <v>32</v>
      </c>
      <c r="AC40" s="7">
        <v>27</v>
      </c>
      <c r="AD40" s="7">
        <v>28</v>
      </c>
      <c r="AE40" s="7">
        <v>27</v>
      </c>
      <c r="AF40" s="8">
        <v>18</v>
      </c>
      <c r="AG40" s="4">
        <f t="shared" si="2"/>
        <v>809</v>
      </c>
    </row>
    <row r="41" spans="1:33" ht="18.75" x14ac:dyDescent="0.25">
      <c r="A41" s="41" t="s">
        <v>47</v>
      </c>
      <c r="B41" s="7">
        <v>29</v>
      </c>
      <c r="C41" s="7">
        <v>19</v>
      </c>
      <c r="D41" s="7">
        <v>12</v>
      </c>
      <c r="E41" s="7">
        <v>10</v>
      </c>
      <c r="F41" s="7">
        <v>31</v>
      </c>
      <c r="G41" s="7">
        <v>30</v>
      </c>
      <c r="H41" s="7">
        <v>32</v>
      </c>
      <c r="I41" s="7">
        <v>22</v>
      </c>
      <c r="J41" s="7">
        <v>28</v>
      </c>
      <c r="K41" s="7">
        <v>9</v>
      </c>
      <c r="L41" s="7">
        <v>16</v>
      </c>
      <c r="M41" s="7">
        <v>31</v>
      </c>
      <c r="N41" s="7">
        <v>39</v>
      </c>
      <c r="O41" s="7">
        <v>29</v>
      </c>
      <c r="P41" s="7">
        <v>19</v>
      </c>
      <c r="Q41" s="7">
        <v>28</v>
      </c>
      <c r="R41" s="7">
        <v>17</v>
      </c>
      <c r="S41" s="7">
        <v>17</v>
      </c>
      <c r="T41" s="7">
        <v>29</v>
      </c>
      <c r="U41" s="7">
        <v>25</v>
      </c>
      <c r="V41" s="7">
        <v>25</v>
      </c>
      <c r="W41" s="7">
        <v>25</v>
      </c>
      <c r="X41" s="7">
        <v>30</v>
      </c>
      <c r="Y41" s="7">
        <v>24</v>
      </c>
      <c r="Z41" s="7">
        <v>12</v>
      </c>
      <c r="AA41" s="7">
        <v>45</v>
      </c>
      <c r="AB41" s="7">
        <v>19</v>
      </c>
      <c r="AC41" s="7">
        <v>28</v>
      </c>
      <c r="AD41" s="7">
        <v>32</v>
      </c>
      <c r="AE41" s="7">
        <v>31</v>
      </c>
      <c r="AF41" s="8">
        <v>17</v>
      </c>
      <c r="AG41" s="4">
        <f t="shared" si="2"/>
        <v>760</v>
      </c>
    </row>
    <row r="42" spans="1:33" ht="18.75" x14ac:dyDescent="0.25">
      <c r="A42" s="41" t="s">
        <v>48</v>
      </c>
      <c r="B42" s="7">
        <v>15</v>
      </c>
      <c r="C42" s="7">
        <v>13</v>
      </c>
      <c r="D42" s="7">
        <v>9</v>
      </c>
      <c r="E42" s="7">
        <v>7</v>
      </c>
      <c r="F42" s="7">
        <v>26</v>
      </c>
      <c r="G42" s="7">
        <v>22</v>
      </c>
      <c r="H42" s="7">
        <v>21</v>
      </c>
      <c r="I42" s="7">
        <v>17</v>
      </c>
      <c r="J42" s="7">
        <v>15</v>
      </c>
      <c r="K42" s="7">
        <v>12</v>
      </c>
      <c r="L42" s="7">
        <v>29</v>
      </c>
      <c r="M42" s="7">
        <v>38</v>
      </c>
      <c r="N42" s="7">
        <v>32</v>
      </c>
      <c r="O42" s="7">
        <v>29</v>
      </c>
      <c r="P42" s="7">
        <v>13</v>
      </c>
      <c r="Q42" s="7">
        <v>25</v>
      </c>
      <c r="R42" s="7">
        <v>13</v>
      </c>
      <c r="S42" s="7">
        <v>10</v>
      </c>
      <c r="T42" s="7">
        <v>30</v>
      </c>
      <c r="U42" s="7">
        <v>17</v>
      </c>
      <c r="V42" s="7">
        <v>24</v>
      </c>
      <c r="W42" s="7">
        <v>33</v>
      </c>
      <c r="X42" s="7">
        <v>23</v>
      </c>
      <c r="Y42" s="7">
        <v>17</v>
      </c>
      <c r="Z42" s="7">
        <v>10</v>
      </c>
      <c r="AA42" s="7">
        <v>31</v>
      </c>
      <c r="AB42" s="7">
        <v>25</v>
      </c>
      <c r="AC42" s="7">
        <v>19</v>
      </c>
      <c r="AD42" s="7">
        <v>23</v>
      </c>
      <c r="AE42" s="7">
        <v>28</v>
      </c>
      <c r="AF42" s="8">
        <v>12</v>
      </c>
      <c r="AG42" s="4">
        <f t="shared" si="2"/>
        <v>638</v>
      </c>
    </row>
    <row r="43" spans="1:33" ht="18.75" x14ac:dyDescent="0.25">
      <c r="A43" s="41" t="s">
        <v>49</v>
      </c>
      <c r="B43" s="7">
        <v>20</v>
      </c>
      <c r="C43" s="7">
        <v>10</v>
      </c>
      <c r="D43" s="7">
        <v>8</v>
      </c>
      <c r="E43" s="7">
        <v>3</v>
      </c>
      <c r="F43" s="7">
        <v>11</v>
      </c>
      <c r="G43" s="7">
        <v>12</v>
      </c>
      <c r="H43" s="7">
        <v>8</v>
      </c>
      <c r="I43" s="7">
        <v>10</v>
      </c>
      <c r="J43" s="7">
        <v>12</v>
      </c>
      <c r="K43" s="7">
        <v>7</v>
      </c>
      <c r="L43" s="7">
        <v>10</v>
      </c>
      <c r="M43" s="7">
        <v>21</v>
      </c>
      <c r="N43" s="7">
        <v>11</v>
      </c>
      <c r="O43" s="7">
        <v>21</v>
      </c>
      <c r="P43" s="7">
        <v>11</v>
      </c>
      <c r="Q43" s="7">
        <v>15</v>
      </c>
      <c r="R43" s="7">
        <v>9</v>
      </c>
      <c r="S43" s="7">
        <v>9</v>
      </c>
      <c r="T43" s="7">
        <v>22</v>
      </c>
      <c r="U43" s="7">
        <v>9</v>
      </c>
      <c r="V43" s="7">
        <v>15</v>
      </c>
      <c r="W43" s="7">
        <v>16</v>
      </c>
      <c r="X43" s="7">
        <v>18</v>
      </c>
      <c r="Y43" s="7">
        <v>11</v>
      </c>
      <c r="Z43" s="7">
        <v>8</v>
      </c>
      <c r="AA43" s="7">
        <v>17</v>
      </c>
      <c r="AB43" s="7">
        <v>23</v>
      </c>
      <c r="AC43" s="7">
        <v>22</v>
      </c>
      <c r="AD43" s="7">
        <v>23</v>
      </c>
      <c r="AE43" s="7">
        <v>19</v>
      </c>
      <c r="AF43" s="8">
        <v>9</v>
      </c>
      <c r="AG43" s="4">
        <f t="shared" si="2"/>
        <v>420</v>
      </c>
    </row>
    <row r="44" spans="1:33" ht="18.75" x14ac:dyDescent="0.25">
      <c r="A44" s="41" t="s">
        <v>50</v>
      </c>
      <c r="B44" s="7">
        <v>6</v>
      </c>
      <c r="C44" s="7">
        <v>9</v>
      </c>
      <c r="D44" s="7">
        <v>9</v>
      </c>
      <c r="E44" s="7">
        <v>5</v>
      </c>
      <c r="F44" s="7">
        <v>8</v>
      </c>
      <c r="G44" s="7">
        <v>5</v>
      </c>
      <c r="H44" s="7">
        <v>7</v>
      </c>
      <c r="I44" s="7">
        <v>6</v>
      </c>
      <c r="J44" s="7">
        <v>5</v>
      </c>
      <c r="K44" s="7">
        <v>8</v>
      </c>
      <c r="L44" s="7">
        <v>9</v>
      </c>
      <c r="M44" s="7">
        <v>15</v>
      </c>
      <c r="N44" s="7">
        <v>11</v>
      </c>
      <c r="O44" s="7">
        <v>18</v>
      </c>
      <c r="P44" s="7">
        <v>15</v>
      </c>
      <c r="Q44" s="7">
        <v>13</v>
      </c>
      <c r="R44" s="7">
        <v>6</v>
      </c>
      <c r="S44" s="7">
        <v>6</v>
      </c>
      <c r="T44" s="7">
        <v>8</v>
      </c>
      <c r="U44" s="7">
        <v>13</v>
      </c>
      <c r="V44" s="7">
        <v>21</v>
      </c>
      <c r="W44" s="7">
        <v>17</v>
      </c>
      <c r="X44" s="7">
        <v>16</v>
      </c>
      <c r="Y44" s="7">
        <v>8</v>
      </c>
      <c r="Z44" s="7">
        <v>7</v>
      </c>
      <c r="AA44" s="7">
        <v>5</v>
      </c>
      <c r="AB44" s="7">
        <v>9</v>
      </c>
      <c r="AC44" s="7">
        <v>13</v>
      </c>
      <c r="AD44" s="7">
        <v>12</v>
      </c>
      <c r="AE44" s="7">
        <v>13</v>
      </c>
      <c r="AF44" s="8">
        <v>15</v>
      </c>
      <c r="AG44" s="4">
        <f t="shared" si="2"/>
        <v>318</v>
      </c>
    </row>
    <row r="45" spans="1:33" ht="18.75" x14ac:dyDescent="0.25">
      <c r="A45" s="41" t="s">
        <v>33</v>
      </c>
      <c r="B45" s="7">
        <v>7</v>
      </c>
      <c r="C45" s="7">
        <v>6</v>
      </c>
      <c r="D45" s="7">
        <v>9</v>
      </c>
      <c r="E45" s="7">
        <v>6</v>
      </c>
      <c r="F45" s="7">
        <v>8</v>
      </c>
      <c r="G45" s="7">
        <v>5</v>
      </c>
      <c r="H45" s="7">
        <v>5</v>
      </c>
      <c r="I45" s="7">
        <v>5</v>
      </c>
      <c r="J45" s="7">
        <v>4</v>
      </c>
      <c r="K45" s="7">
        <v>6</v>
      </c>
      <c r="L45" s="7">
        <v>2</v>
      </c>
      <c r="M45" s="7">
        <v>4</v>
      </c>
      <c r="N45" s="7">
        <v>8</v>
      </c>
      <c r="O45" s="7">
        <v>8</v>
      </c>
      <c r="P45" s="7">
        <v>4</v>
      </c>
      <c r="Q45" s="7">
        <v>4</v>
      </c>
      <c r="R45" s="7">
        <v>9</v>
      </c>
      <c r="S45" s="7">
        <v>7</v>
      </c>
      <c r="T45" s="7">
        <v>11</v>
      </c>
      <c r="U45" s="7">
        <v>12</v>
      </c>
      <c r="V45" s="7">
        <v>12</v>
      </c>
      <c r="W45" s="7">
        <v>14</v>
      </c>
      <c r="X45" s="7">
        <v>10</v>
      </c>
      <c r="Y45" s="7">
        <v>8</v>
      </c>
      <c r="Z45" s="7">
        <v>10</v>
      </c>
      <c r="AA45" s="7">
        <v>13</v>
      </c>
      <c r="AB45" s="7">
        <v>8</v>
      </c>
      <c r="AC45" s="7">
        <v>7</v>
      </c>
      <c r="AD45" s="7">
        <v>8</v>
      </c>
      <c r="AE45" s="7">
        <v>5</v>
      </c>
      <c r="AF45" s="8">
        <v>10</v>
      </c>
      <c r="AG45" s="4">
        <f t="shared" si="2"/>
        <v>235</v>
      </c>
    </row>
    <row r="46" spans="1:33" ht="18.75" x14ac:dyDescent="0.25">
      <c r="A46" s="41" t="s">
        <v>34</v>
      </c>
      <c r="B46" s="7">
        <v>2</v>
      </c>
      <c r="C46" s="7">
        <v>4</v>
      </c>
      <c r="D46" s="7">
        <v>4</v>
      </c>
      <c r="E46" s="7">
        <v>3</v>
      </c>
      <c r="F46" s="7">
        <v>4</v>
      </c>
      <c r="G46" s="7"/>
      <c r="H46" s="7">
        <v>1</v>
      </c>
      <c r="I46" s="7">
        <v>4</v>
      </c>
      <c r="J46" s="7">
        <v>4</v>
      </c>
      <c r="K46" s="7">
        <v>10</v>
      </c>
      <c r="L46" s="7">
        <v>3</v>
      </c>
      <c r="M46" s="7">
        <v>5</v>
      </c>
      <c r="N46" s="7">
        <v>5</v>
      </c>
      <c r="O46" s="7">
        <v>9</v>
      </c>
      <c r="P46" s="7">
        <v>2</v>
      </c>
      <c r="Q46" s="7">
        <v>4</v>
      </c>
      <c r="R46" s="7">
        <v>7</v>
      </c>
      <c r="S46" s="7">
        <v>6</v>
      </c>
      <c r="T46" s="7"/>
      <c r="U46" s="7">
        <v>9</v>
      </c>
      <c r="V46" s="7">
        <v>4</v>
      </c>
      <c r="W46" s="7">
        <v>8</v>
      </c>
      <c r="X46" s="7">
        <v>9</v>
      </c>
      <c r="Y46" s="7">
        <v>6</v>
      </c>
      <c r="Z46" s="7">
        <v>10</v>
      </c>
      <c r="AA46" s="7">
        <v>6</v>
      </c>
      <c r="AB46" s="7">
        <v>9</v>
      </c>
      <c r="AC46" s="7">
        <v>11</v>
      </c>
      <c r="AD46" s="7">
        <v>2</v>
      </c>
      <c r="AE46" s="7">
        <v>7</v>
      </c>
      <c r="AF46" s="8">
        <v>8</v>
      </c>
      <c r="AG46" s="4">
        <f t="shared" si="2"/>
        <v>166</v>
      </c>
    </row>
    <row r="47" spans="1:33" ht="18.75" x14ac:dyDescent="0.25">
      <c r="A47" s="41" t="s">
        <v>35</v>
      </c>
      <c r="B47" s="7">
        <v>4</v>
      </c>
      <c r="C47" s="7">
        <v>2</v>
      </c>
      <c r="D47" s="7">
        <v>2</v>
      </c>
      <c r="E47" s="7">
        <v>1</v>
      </c>
      <c r="F47" s="7"/>
      <c r="G47" s="7">
        <v>2</v>
      </c>
      <c r="H47" s="7">
        <v>2</v>
      </c>
      <c r="I47" s="7"/>
      <c r="J47" s="7">
        <v>4</v>
      </c>
      <c r="K47" s="7">
        <v>6</v>
      </c>
      <c r="L47" s="7">
        <v>1</v>
      </c>
      <c r="M47" s="7">
        <v>4</v>
      </c>
      <c r="N47" s="7">
        <v>6</v>
      </c>
      <c r="O47" s="7">
        <v>5</v>
      </c>
      <c r="P47" s="7">
        <v>3</v>
      </c>
      <c r="Q47" s="7">
        <v>3</v>
      </c>
      <c r="R47" s="7">
        <v>2</v>
      </c>
      <c r="S47" s="7"/>
      <c r="T47" s="7">
        <v>3</v>
      </c>
      <c r="U47" s="7">
        <v>2</v>
      </c>
      <c r="V47" s="7">
        <v>9</v>
      </c>
      <c r="W47" s="7">
        <v>2</v>
      </c>
      <c r="X47" s="7">
        <v>6</v>
      </c>
      <c r="Y47" s="7">
        <v>9</v>
      </c>
      <c r="Z47" s="7">
        <v>7</v>
      </c>
      <c r="AA47" s="7">
        <v>1</v>
      </c>
      <c r="AB47" s="7">
        <v>8</v>
      </c>
      <c r="AC47" s="7">
        <v>10</v>
      </c>
      <c r="AD47" s="7">
        <v>2</v>
      </c>
      <c r="AE47" s="7">
        <v>8</v>
      </c>
      <c r="AF47" s="8">
        <v>7</v>
      </c>
      <c r="AG47" s="4">
        <f t="shared" si="2"/>
        <v>121</v>
      </c>
    </row>
    <row r="48" spans="1:33" ht="18.75" x14ac:dyDescent="0.25">
      <c r="A48" s="41" t="s">
        <v>36</v>
      </c>
      <c r="B48" s="7">
        <v>1</v>
      </c>
      <c r="C48" s="7">
        <v>2</v>
      </c>
      <c r="D48" s="7">
        <v>1</v>
      </c>
      <c r="E48" s="7">
        <v>1</v>
      </c>
      <c r="F48" s="7">
        <v>4</v>
      </c>
      <c r="G48" s="7"/>
      <c r="H48" s="7">
        <v>2</v>
      </c>
      <c r="I48" s="7">
        <v>2</v>
      </c>
      <c r="J48" s="7"/>
      <c r="K48" s="7">
        <v>2</v>
      </c>
      <c r="L48" s="7">
        <v>1</v>
      </c>
      <c r="M48" s="7">
        <v>1</v>
      </c>
      <c r="N48" s="7">
        <v>7</v>
      </c>
      <c r="O48" s="7"/>
      <c r="P48" s="7">
        <v>1</v>
      </c>
      <c r="Q48" s="7"/>
      <c r="R48" s="7">
        <v>2</v>
      </c>
      <c r="S48" s="7">
        <v>1</v>
      </c>
      <c r="T48" s="7">
        <v>1</v>
      </c>
      <c r="U48" s="7"/>
      <c r="V48" s="7">
        <v>7</v>
      </c>
      <c r="W48" s="7"/>
      <c r="X48" s="7">
        <v>2</v>
      </c>
      <c r="Y48" s="7">
        <v>1</v>
      </c>
      <c r="Z48" s="7"/>
      <c r="AA48" s="7"/>
      <c r="AB48" s="7">
        <v>6</v>
      </c>
      <c r="AC48" s="7">
        <v>3</v>
      </c>
      <c r="AD48" s="7"/>
      <c r="AE48" s="7"/>
      <c r="AF48" s="8">
        <v>5</v>
      </c>
      <c r="AG48" s="4">
        <f t="shared" si="2"/>
        <v>53</v>
      </c>
    </row>
    <row r="49" spans="1:33" ht="18.75" x14ac:dyDescent="0.25">
      <c r="A49" s="41" t="s">
        <v>51</v>
      </c>
      <c r="B49" s="7"/>
      <c r="C49" s="7">
        <v>1</v>
      </c>
      <c r="D49" s="7"/>
      <c r="E49" s="7">
        <v>1</v>
      </c>
      <c r="F49" s="7">
        <v>3</v>
      </c>
      <c r="G49" s="7">
        <v>1</v>
      </c>
      <c r="H49" s="7">
        <v>3</v>
      </c>
      <c r="I49" s="7"/>
      <c r="J49" s="7"/>
      <c r="K49" s="7"/>
      <c r="L49" s="7">
        <v>2</v>
      </c>
      <c r="M49" s="7"/>
      <c r="N49" s="7">
        <v>3</v>
      </c>
      <c r="O49" s="7"/>
      <c r="P49" s="7"/>
      <c r="Q49" s="7">
        <v>1</v>
      </c>
      <c r="R49" s="7"/>
      <c r="S49" s="7">
        <v>1</v>
      </c>
      <c r="T49" s="7">
        <v>3</v>
      </c>
      <c r="U49" s="7">
        <v>1</v>
      </c>
      <c r="V49" s="7"/>
      <c r="W49" s="7"/>
      <c r="X49" s="7">
        <v>1</v>
      </c>
      <c r="Y49" s="7">
        <v>4</v>
      </c>
      <c r="Z49" s="7"/>
      <c r="AA49" s="7">
        <v>2</v>
      </c>
      <c r="AB49" s="7">
        <v>1</v>
      </c>
      <c r="AC49" s="7">
        <v>1</v>
      </c>
      <c r="AD49" s="7"/>
      <c r="AE49" s="7">
        <v>4</v>
      </c>
      <c r="AF49" s="8">
        <v>3</v>
      </c>
      <c r="AG49" s="4">
        <f t="shared" si="2"/>
        <v>36</v>
      </c>
    </row>
    <row r="50" spans="1:33" ht="18.75" x14ac:dyDescent="0.25">
      <c r="A50" s="41" t="s">
        <v>52</v>
      </c>
      <c r="B50" s="7">
        <v>1</v>
      </c>
      <c r="C50" s="7">
        <v>2</v>
      </c>
      <c r="D50" s="7">
        <v>1</v>
      </c>
      <c r="E50" s="7"/>
      <c r="F50" s="7"/>
      <c r="G50" s="7"/>
      <c r="H50" s="7"/>
      <c r="I50" s="7"/>
      <c r="J50" s="7">
        <v>1</v>
      </c>
      <c r="K50" s="7">
        <v>1</v>
      </c>
      <c r="L50" s="7"/>
      <c r="M50" s="7">
        <v>1</v>
      </c>
      <c r="N50" s="7">
        <v>1</v>
      </c>
      <c r="O50" s="7"/>
      <c r="P50" s="7">
        <v>1</v>
      </c>
      <c r="Q50" s="7">
        <v>1</v>
      </c>
      <c r="R50" s="7">
        <v>2</v>
      </c>
      <c r="S50" s="7"/>
      <c r="T50" s="7">
        <v>1</v>
      </c>
      <c r="U50" s="7"/>
      <c r="V50" s="7"/>
      <c r="W50" s="7"/>
      <c r="X50" s="7"/>
      <c r="Y50" s="7">
        <v>1</v>
      </c>
      <c r="Z50" s="7"/>
      <c r="AA50" s="7">
        <v>2</v>
      </c>
      <c r="AB50" s="7">
        <v>2</v>
      </c>
      <c r="AC50" s="7"/>
      <c r="AD50" s="7">
        <v>1</v>
      </c>
      <c r="AE50" s="7"/>
      <c r="AF50" s="8"/>
      <c r="AG50" s="4">
        <f t="shared" si="2"/>
        <v>19</v>
      </c>
    </row>
    <row r="51" spans="1:33" ht="18.75" x14ac:dyDescent="0.25">
      <c r="A51" s="41" t="s">
        <v>37</v>
      </c>
      <c r="B51" s="7"/>
      <c r="C51" s="7">
        <v>1</v>
      </c>
      <c r="D51" s="7"/>
      <c r="E51" s="7"/>
      <c r="F51" s="7">
        <v>2</v>
      </c>
      <c r="G51" s="7">
        <v>1</v>
      </c>
      <c r="H51" s="7"/>
      <c r="I51" s="7">
        <v>1</v>
      </c>
      <c r="J51" s="7">
        <v>1</v>
      </c>
      <c r="K51" s="7"/>
      <c r="L51" s="7"/>
      <c r="M51" s="7">
        <v>2</v>
      </c>
      <c r="N51" s="7">
        <v>1</v>
      </c>
      <c r="O51" s="7"/>
      <c r="P51" s="7"/>
      <c r="Q51" s="7">
        <v>1</v>
      </c>
      <c r="R51" s="7">
        <v>3</v>
      </c>
      <c r="S51" s="7"/>
      <c r="T51" s="7"/>
      <c r="U51" s="7">
        <v>2</v>
      </c>
      <c r="V51" s="7"/>
      <c r="W51" s="7">
        <v>1</v>
      </c>
      <c r="X51" s="7"/>
      <c r="Y51" s="7">
        <v>1</v>
      </c>
      <c r="Z51" s="7"/>
      <c r="AA51" s="7"/>
      <c r="AB51" s="7"/>
      <c r="AC51" s="7"/>
      <c r="AD51" s="7">
        <v>1</v>
      </c>
      <c r="AE51" s="7"/>
      <c r="AF51" s="8"/>
      <c r="AG51" s="4">
        <f t="shared" si="2"/>
        <v>18</v>
      </c>
    </row>
    <row r="52" spans="1:33" ht="19.5" thickBot="1" x14ac:dyDescent="0.3">
      <c r="A52" s="77" t="s">
        <v>53</v>
      </c>
      <c r="B52" s="9"/>
      <c r="C52" s="9">
        <v>2</v>
      </c>
      <c r="D52" s="9"/>
      <c r="E52" s="9">
        <v>1</v>
      </c>
      <c r="F52" s="9"/>
      <c r="G52" s="9">
        <v>2</v>
      </c>
      <c r="H52" s="9"/>
      <c r="I52" s="9"/>
      <c r="J52" s="9">
        <v>1</v>
      </c>
      <c r="K52" s="9"/>
      <c r="L52" s="9"/>
      <c r="M52" s="9">
        <v>2</v>
      </c>
      <c r="N52" s="9"/>
      <c r="O52" s="9">
        <v>3</v>
      </c>
      <c r="P52" s="9"/>
      <c r="Q52" s="9">
        <v>3</v>
      </c>
      <c r="R52" s="9">
        <v>1</v>
      </c>
      <c r="S52" s="9"/>
      <c r="T52" s="9">
        <v>3</v>
      </c>
      <c r="U52" s="9">
        <v>1</v>
      </c>
      <c r="V52" s="9"/>
      <c r="W52" s="9">
        <v>1</v>
      </c>
      <c r="X52" s="9">
        <v>6</v>
      </c>
      <c r="Y52" s="9"/>
      <c r="Z52" s="9">
        <v>2</v>
      </c>
      <c r="AA52" s="9">
        <v>2</v>
      </c>
      <c r="AB52" s="9"/>
      <c r="AC52" s="9"/>
      <c r="AD52" s="9">
        <v>2</v>
      </c>
      <c r="AE52" s="9">
        <v>2</v>
      </c>
      <c r="AF52" s="10"/>
      <c r="AG52" s="108">
        <f t="shared" si="2"/>
        <v>34</v>
      </c>
    </row>
    <row r="53" spans="1:33" ht="19.5" thickBot="1" x14ac:dyDescent="0.3">
      <c r="A53" s="136" t="s">
        <v>108</v>
      </c>
      <c r="B53" s="135">
        <f t="shared" ref="B53:AF53" si="4">SUM(B54:B77)</f>
        <v>6</v>
      </c>
      <c r="C53" s="135">
        <f t="shared" si="4"/>
        <v>1</v>
      </c>
      <c r="D53" s="135">
        <f t="shared" si="4"/>
        <v>3</v>
      </c>
      <c r="E53" s="135">
        <f t="shared" si="4"/>
        <v>1</v>
      </c>
      <c r="F53" s="135">
        <f t="shared" si="4"/>
        <v>18</v>
      </c>
      <c r="G53" s="135">
        <f t="shared" si="4"/>
        <v>18</v>
      </c>
      <c r="H53" s="135">
        <f t="shared" si="4"/>
        <v>6</v>
      </c>
      <c r="I53" s="135">
        <f t="shared" si="4"/>
        <v>2</v>
      </c>
      <c r="J53" s="135">
        <f t="shared" si="4"/>
        <v>1</v>
      </c>
      <c r="K53" s="135">
        <f t="shared" si="4"/>
        <v>4</v>
      </c>
      <c r="L53" s="135">
        <f t="shared" si="4"/>
        <v>8</v>
      </c>
      <c r="M53" s="135">
        <f t="shared" si="4"/>
        <v>23</v>
      </c>
      <c r="N53" s="135">
        <f t="shared" si="4"/>
        <v>22</v>
      </c>
      <c r="O53" s="135">
        <f t="shared" si="4"/>
        <v>16</v>
      </c>
      <c r="P53" s="135">
        <f t="shared" si="4"/>
        <v>6</v>
      </c>
      <c r="Q53" s="135">
        <f t="shared" si="4"/>
        <v>12</v>
      </c>
      <c r="R53" s="135">
        <f t="shared" si="4"/>
        <v>6</v>
      </c>
      <c r="S53" s="135">
        <f t="shared" si="4"/>
        <v>22</v>
      </c>
      <c r="T53" s="135">
        <f t="shared" si="4"/>
        <v>15</v>
      </c>
      <c r="U53" s="135">
        <f t="shared" si="4"/>
        <v>11</v>
      </c>
      <c r="V53" s="135">
        <f t="shared" si="4"/>
        <v>56</v>
      </c>
      <c r="W53" s="135">
        <f t="shared" si="4"/>
        <v>14</v>
      </c>
      <c r="X53" s="135">
        <f t="shared" si="4"/>
        <v>17</v>
      </c>
      <c r="Y53" s="135">
        <f t="shared" si="4"/>
        <v>18</v>
      </c>
      <c r="Z53" s="135">
        <f t="shared" si="4"/>
        <v>33</v>
      </c>
      <c r="AA53" s="135">
        <f t="shared" si="4"/>
        <v>26</v>
      </c>
      <c r="AB53" s="135">
        <f t="shared" si="4"/>
        <v>38</v>
      </c>
      <c r="AC53" s="135">
        <f t="shared" si="4"/>
        <v>47</v>
      </c>
      <c r="AD53" s="135">
        <f t="shared" si="4"/>
        <v>3</v>
      </c>
      <c r="AE53" s="135">
        <f t="shared" si="4"/>
        <v>6</v>
      </c>
      <c r="AF53" s="135">
        <f t="shared" si="4"/>
        <v>36</v>
      </c>
      <c r="AG53" s="116">
        <f t="shared" si="2"/>
        <v>495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0</v>
      </c>
    </row>
    <row r="56" spans="1:33" ht="18.75" x14ac:dyDescent="0.25">
      <c r="A56" s="41" t="s">
        <v>56</v>
      </c>
      <c r="B56" s="7"/>
      <c r="C56" s="7"/>
      <c r="D56" s="7">
        <v>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>
        <v>1</v>
      </c>
      <c r="Q56" s="7"/>
      <c r="R56" s="7">
        <v>1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>
        <v>1</v>
      </c>
      <c r="AG56" s="4">
        <f t="shared" si="2"/>
        <v>4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>
        <v>1</v>
      </c>
      <c r="S57" s="7"/>
      <c r="T57" s="7"/>
      <c r="U57" s="7">
        <v>1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2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>
        <v>1</v>
      </c>
      <c r="S58" s="7"/>
      <c r="T58" s="7"/>
      <c r="U58" s="7">
        <v>1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>
        <v>1</v>
      </c>
      <c r="AG58" s="4">
        <f t="shared" si="2"/>
        <v>3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>
        <v>2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>
        <v>1</v>
      </c>
      <c r="AA59" s="7"/>
      <c r="AB59" s="7"/>
      <c r="AC59" s="7"/>
      <c r="AD59" s="7"/>
      <c r="AE59" s="7"/>
      <c r="AF59" s="8">
        <v>5</v>
      </c>
      <c r="AG59" s="4">
        <f t="shared" si="2"/>
        <v>8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>
        <v>1</v>
      </c>
      <c r="AG60" s="4">
        <f t="shared" si="2"/>
        <v>2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>
        <v>2</v>
      </c>
      <c r="S61" s="7">
        <v>1</v>
      </c>
      <c r="T61" s="7"/>
      <c r="U61" s="7">
        <v>1</v>
      </c>
      <c r="V61" s="7"/>
      <c r="W61" s="7"/>
      <c r="X61" s="7"/>
      <c r="Y61" s="7"/>
      <c r="Z61" s="7">
        <v>1</v>
      </c>
      <c r="AA61" s="7"/>
      <c r="AB61" s="7"/>
      <c r="AC61" s="7"/>
      <c r="AD61" s="7"/>
      <c r="AE61" s="7"/>
      <c r="AF61" s="8"/>
      <c r="AG61" s="4">
        <f t="shared" si="2"/>
        <v>5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>
        <v>1</v>
      </c>
      <c r="M62" s="7"/>
      <c r="N62" s="7"/>
      <c r="O62" s="7"/>
      <c r="P62" s="7"/>
      <c r="Q62" s="7"/>
      <c r="R62" s="7">
        <v>1</v>
      </c>
      <c r="S62" s="7">
        <v>2</v>
      </c>
      <c r="T62" s="7"/>
      <c r="U62" s="7"/>
      <c r="V62" s="7"/>
      <c r="W62" s="7"/>
      <c r="X62" s="7"/>
      <c r="Y62" s="7"/>
      <c r="Z62" s="7">
        <v>6</v>
      </c>
      <c r="AA62" s="7"/>
      <c r="AB62" s="7"/>
      <c r="AC62" s="7"/>
      <c r="AD62" s="7"/>
      <c r="AE62" s="7"/>
      <c r="AF62" s="8">
        <v>6</v>
      </c>
      <c r="AG62" s="4">
        <f t="shared" si="2"/>
        <v>16</v>
      </c>
    </row>
    <row r="63" spans="1:33" ht="18.75" x14ac:dyDescent="0.25">
      <c r="A63" s="41" t="s">
        <v>44</v>
      </c>
      <c r="B63" s="7"/>
      <c r="C63" s="7"/>
      <c r="D63" s="7">
        <v>1</v>
      </c>
      <c r="E63" s="7"/>
      <c r="F63" s="7"/>
      <c r="G63" s="7">
        <v>1</v>
      </c>
      <c r="H63" s="7"/>
      <c r="I63" s="7"/>
      <c r="J63" s="7"/>
      <c r="K63" s="7"/>
      <c r="L63" s="7">
        <v>2</v>
      </c>
      <c r="M63" s="7"/>
      <c r="N63" s="7"/>
      <c r="O63" s="7"/>
      <c r="P63" s="7">
        <v>2</v>
      </c>
      <c r="Q63" s="7"/>
      <c r="R63" s="7"/>
      <c r="S63" s="7">
        <v>2</v>
      </c>
      <c r="T63" s="7"/>
      <c r="U63" s="7"/>
      <c r="V63" s="7"/>
      <c r="W63" s="7"/>
      <c r="X63" s="7"/>
      <c r="Y63" s="7">
        <v>3</v>
      </c>
      <c r="Z63" s="7">
        <v>3</v>
      </c>
      <c r="AA63" s="7"/>
      <c r="AB63" s="7"/>
      <c r="AC63" s="7"/>
      <c r="AD63" s="7"/>
      <c r="AE63" s="7"/>
      <c r="AF63" s="8">
        <v>3</v>
      </c>
      <c r="AG63" s="4">
        <f t="shared" si="2"/>
        <v>17</v>
      </c>
    </row>
    <row r="64" spans="1:33" ht="18.75" x14ac:dyDescent="0.25">
      <c r="A64" s="41" t="s">
        <v>45</v>
      </c>
      <c r="B64" s="7"/>
      <c r="C64" s="7">
        <v>1</v>
      </c>
      <c r="D64" s="7"/>
      <c r="E64" s="7">
        <v>1</v>
      </c>
      <c r="F64" s="7">
        <v>1</v>
      </c>
      <c r="G64" s="7">
        <v>6</v>
      </c>
      <c r="H64" s="7">
        <v>6</v>
      </c>
      <c r="I64" s="7"/>
      <c r="J64" s="7"/>
      <c r="K64" s="7">
        <v>1</v>
      </c>
      <c r="L64" s="7">
        <v>1</v>
      </c>
      <c r="M64" s="7">
        <v>1</v>
      </c>
      <c r="N64" s="7">
        <v>2</v>
      </c>
      <c r="O64" s="7">
        <v>2</v>
      </c>
      <c r="P64" s="7"/>
      <c r="Q64" s="7"/>
      <c r="R64" s="7"/>
      <c r="S64" s="7">
        <v>4</v>
      </c>
      <c r="T64" s="7">
        <v>2</v>
      </c>
      <c r="U64" s="7"/>
      <c r="V64" s="7"/>
      <c r="W64" s="7">
        <v>6</v>
      </c>
      <c r="X64" s="7">
        <v>3</v>
      </c>
      <c r="Y64" s="7">
        <v>5</v>
      </c>
      <c r="Z64" s="7">
        <v>3</v>
      </c>
      <c r="AA64" s="7">
        <v>3</v>
      </c>
      <c r="AB64" s="7">
        <v>3</v>
      </c>
      <c r="AC64" s="7">
        <v>3</v>
      </c>
      <c r="AD64" s="7">
        <v>1</v>
      </c>
      <c r="AE64" s="7"/>
      <c r="AF64" s="8">
        <v>6</v>
      </c>
      <c r="AG64" s="4">
        <f t="shared" si="2"/>
        <v>61</v>
      </c>
    </row>
    <row r="65" spans="1:33" ht="18.75" x14ac:dyDescent="0.25">
      <c r="A65" s="41" t="s">
        <v>46</v>
      </c>
      <c r="B65" s="7">
        <v>2</v>
      </c>
      <c r="C65" s="7"/>
      <c r="D65" s="7"/>
      <c r="E65" s="7"/>
      <c r="F65" s="7">
        <v>9</v>
      </c>
      <c r="G65" s="7">
        <v>3</v>
      </c>
      <c r="H65" s="7"/>
      <c r="I65" s="7"/>
      <c r="J65" s="7">
        <v>1</v>
      </c>
      <c r="K65" s="7"/>
      <c r="L65" s="7">
        <v>1</v>
      </c>
      <c r="M65" s="7">
        <v>2</v>
      </c>
      <c r="N65" s="7">
        <v>4</v>
      </c>
      <c r="O65" s="7">
        <v>5</v>
      </c>
      <c r="P65" s="7">
        <v>2</v>
      </c>
      <c r="Q65" s="7"/>
      <c r="R65" s="7"/>
      <c r="S65" s="7">
        <v>6</v>
      </c>
      <c r="T65" s="7">
        <v>6</v>
      </c>
      <c r="U65" s="7">
        <v>1</v>
      </c>
      <c r="V65" s="7">
        <v>11</v>
      </c>
      <c r="W65" s="7">
        <v>3</v>
      </c>
      <c r="X65" s="7">
        <v>1</v>
      </c>
      <c r="Y65" s="7"/>
      <c r="Z65" s="7">
        <v>3</v>
      </c>
      <c r="AA65" s="7">
        <v>2</v>
      </c>
      <c r="AB65" s="7">
        <v>8</v>
      </c>
      <c r="AC65" s="7">
        <v>6</v>
      </c>
      <c r="AD65" s="7"/>
      <c r="AE65" s="7">
        <v>3</v>
      </c>
      <c r="AF65" s="8">
        <v>2</v>
      </c>
      <c r="AG65" s="4">
        <f t="shared" si="2"/>
        <v>81</v>
      </c>
    </row>
    <row r="66" spans="1:33" ht="18.75" x14ac:dyDescent="0.25">
      <c r="A66" s="41" t="s">
        <v>47</v>
      </c>
      <c r="B66" s="7">
        <v>1</v>
      </c>
      <c r="C66" s="7"/>
      <c r="D66" s="7"/>
      <c r="E66" s="7"/>
      <c r="F66" s="7">
        <v>8</v>
      </c>
      <c r="G66" s="7">
        <v>8</v>
      </c>
      <c r="H66" s="7"/>
      <c r="I66" s="7">
        <v>2</v>
      </c>
      <c r="J66" s="7"/>
      <c r="K66" s="7"/>
      <c r="L66" s="7"/>
      <c r="M66" s="7">
        <v>7</v>
      </c>
      <c r="N66" s="7">
        <v>5</v>
      </c>
      <c r="O66" s="7">
        <v>3</v>
      </c>
      <c r="P66" s="7"/>
      <c r="Q66" s="7"/>
      <c r="R66" s="7"/>
      <c r="S66" s="7"/>
      <c r="T66" s="7">
        <v>6</v>
      </c>
      <c r="U66" s="7">
        <v>1</v>
      </c>
      <c r="V66" s="7">
        <v>12</v>
      </c>
      <c r="W66" s="7"/>
      <c r="X66" s="7">
        <v>4</v>
      </c>
      <c r="Y66" s="7">
        <v>1</v>
      </c>
      <c r="Z66" s="7">
        <v>1</v>
      </c>
      <c r="AA66" s="7">
        <v>20</v>
      </c>
      <c r="AB66" s="7">
        <v>10</v>
      </c>
      <c r="AC66" s="7">
        <v>1</v>
      </c>
      <c r="AD66" s="7">
        <v>2</v>
      </c>
      <c r="AE66" s="7"/>
      <c r="AF66" s="8">
        <v>2</v>
      </c>
      <c r="AG66" s="4">
        <f t="shared" si="2"/>
        <v>94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>
        <v>9</v>
      </c>
      <c r="N67" s="7">
        <v>1</v>
      </c>
      <c r="O67" s="7">
        <v>6</v>
      </c>
      <c r="P67" s="7"/>
      <c r="Q67" s="7"/>
      <c r="R67" s="7"/>
      <c r="S67" s="7">
        <v>2</v>
      </c>
      <c r="T67" s="7">
        <v>1</v>
      </c>
      <c r="U67" s="7">
        <v>2</v>
      </c>
      <c r="V67" s="7">
        <v>9</v>
      </c>
      <c r="W67" s="7">
        <v>2</v>
      </c>
      <c r="X67" s="7">
        <v>1</v>
      </c>
      <c r="Y67" s="7"/>
      <c r="Z67" s="7"/>
      <c r="AA67" s="7">
        <v>1</v>
      </c>
      <c r="AB67" s="7">
        <v>1</v>
      </c>
      <c r="AC67" s="7">
        <v>8</v>
      </c>
      <c r="AD67" s="7"/>
      <c r="AE67" s="7">
        <v>1</v>
      </c>
      <c r="AF67" s="8"/>
      <c r="AG67" s="4">
        <f t="shared" si="2"/>
        <v>44</v>
      </c>
    </row>
    <row r="68" spans="1:33" ht="18.75" x14ac:dyDescent="0.25">
      <c r="A68" s="41" t="s">
        <v>49</v>
      </c>
      <c r="B68" s="7">
        <v>3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>
        <v>1</v>
      </c>
      <c r="N68" s="7">
        <v>2</v>
      </c>
      <c r="O68" s="7"/>
      <c r="P68" s="7"/>
      <c r="Q68" s="7"/>
      <c r="R68" s="7"/>
      <c r="S68" s="7"/>
      <c r="T68" s="7"/>
      <c r="U68" s="7"/>
      <c r="V68" s="7">
        <v>2</v>
      </c>
      <c r="W68" s="7">
        <v>1</v>
      </c>
      <c r="X68" s="7">
        <v>1</v>
      </c>
      <c r="Y68" s="7">
        <v>1</v>
      </c>
      <c r="Z68" s="7">
        <v>1</v>
      </c>
      <c r="AA68" s="7"/>
      <c r="AB68" s="7">
        <v>5</v>
      </c>
      <c r="AC68" s="7">
        <v>4</v>
      </c>
      <c r="AD68" s="7"/>
      <c r="AE68" s="7">
        <v>1</v>
      </c>
      <c r="AF68" s="8"/>
      <c r="AG68" s="4">
        <f t="shared" si="2"/>
        <v>22</v>
      </c>
    </row>
    <row r="69" spans="1:33" ht="18.75" x14ac:dyDescent="0.25">
      <c r="A69" s="41" t="s">
        <v>50</v>
      </c>
      <c r="B69" s="7"/>
      <c r="C69" s="7"/>
      <c r="D69" s="7">
        <v>1</v>
      </c>
      <c r="E69" s="7"/>
      <c r="F69" s="7"/>
      <c r="G69" s="7"/>
      <c r="H69" s="7"/>
      <c r="I69" s="7"/>
      <c r="J69" s="7"/>
      <c r="K69" s="7">
        <v>1</v>
      </c>
      <c r="L69" s="7">
        <v>1</v>
      </c>
      <c r="M69" s="7">
        <v>2</v>
      </c>
      <c r="N69" s="7">
        <v>2</v>
      </c>
      <c r="O69" s="7"/>
      <c r="P69" s="7"/>
      <c r="Q69" s="7"/>
      <c r="R69" s="7"/>
      <c r="S69" s="7">
        <v>1</v>
      </c>
      <c r="T69" s="7"/>
      <c r="U69" s="7"/>
      <c r="V69" s="7">
        <v>12</v>
      </c>
      <c r="W69" s="7"/>
      <c r="X69" s="7">
        <v>5</v>
      </c>
      <c r="Y69" s="7"/>
      <c r="Z69" s="7">
        <v>8</v>
      </c>
      <c r="AA69" s="7"/>
      <c r="AB69" s="7">
        <v>2</v>
      </c>
      <c r="AC69" s="7">
        <v>4</v>
      </c>
      <c r="AD69" s="7"/>
      <c r="AE69" s="7"/>
      <c r="AF69" s="8">
        <v>3</v>
      </c>
      <c r="AG69" s="4">
        <f t="shared" si="2"/>
        <v>42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>
        <v>1</v>
      </c>
      <c r="N70" s="114">
        <v>2</v>
      </c>
      <c r="O70" s="114"/>
      <c r="P70" s="114"/>
      <c r="Q70" s="114">
        <v>12</v>
      </c>
      <c r="R70" s="114"/>
      <c r="S70" s="114">
        <v>1</v>
      </c>
      <c r="T70" s="114"/>
      <c r="U70" s="114">
        <v>2</v>
      </c>
      <c r="V70" s="114">
        <v>6</v>
      </c>
      <c r="W70" s="114">
        <v>1</v>
      </c>
      <c r="X70" s="114">
        <v>2</v>
      </c>
      <c r="Y70" s="114">
        <v>1</v>
      </c>
      <c r="Z70" s="114">
        <v>2</v>
      </c>
      <c r="AA70" s="114"/>
      <c r="AB70" s="114">
        <v>5</v>
      </c>
      <c r="AC70" s="114">
        <v>6</v>
      </c>
      <c r="AD70" s="114"/>
      <c r="AE70" s="114">
        <v>1</v>
      </c>
      <c r="AF70" s="115">
        <v>5</v>
      </c>
      <c r="AG70" s="4">
        <f t="shared" si="2"/>
        <v>47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>
        <v>2</v>
      </c>
      <c r="L71" s="114"/>
      <c r="M71" s="114"/>
      <c r="N71" s="114"/>
      <c r="O71" s="114"/>
      <c r="P71" s="114"/>
      <c r="Q71" s="114"/>
      <c r="R71" s="114"/>
      <c r="S71" s="114">
        <v>3</v>
      </c>
      <c r="T71" s="114"/>
      <c r="U71" s="114">
        <v>2</v>
      </c>
      <c r="V71" s="114">
        <v>1</v>
      </c>
      <c r="W71" s="114">
        <v>1</v>
      </c>
      <c r="X71" s="114"/>
      <c r="Y71" s="114">
        <v>7</v>
      </c>
      <c r="Z71" s="114">
        <v>4</v>
      </c>
      <c r="AA71" s="114"/>
      <c r="AB71" s="114">
        <v>4</v>
      </c>
      <c r="AC71" s="114">
        <v>9</v>
      </c>
      <c r="AD71" s="114"/>
      <c r="AE71" s="114"/>
      <c r="AF71" s="115"/>
      <c r="AG71" s="4">
        <f t="shared" si="2"/>
        <v>33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>
        <v>4</v>
      </c>
      <c r="O72" s="114"/>
      <c r="P72" s="114"/>
      <c r="Q72" s="114"/>
      <c r="R72" s="114"/>
      <c r="S72" s="114"/>
      <c r="T72" s="114"/>
      <c r="U72" s="114"/>
      <c r="V72" s="114">
        <v>3</v>
      </c>
      <c r="W72" s="114"/>
      <c r="X72" s="114"/>
      <c r="Y72" s="114"/>
      <c r="Z72" s="114"/>
      <c r="AA72" s="114"/>
      <c r="AB72" s="114"/>
      <c r="AC72" s="114">
        <v>6</v>
      </c>
      <c r="AD72" s="114"/>
      <c r="AE72" s="114"/>
      <c r="AF72" s="115">
        <v>1</v>
      </c>
      <c r="AG72" s="4">
        <f t="shared" si="2"/>
        <v>14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152</v>
      </c>
      <c r="C78" s="185">
        <f t="shared" si="5"/>
        <v>144</v>
      </c>
      <c r="D78" s="185">
        <f t="shared" si="5"/>
        <v>229</v>
      </c>
      <c r="E78" s="184">
        <f t="shared" si="5"/>
        <v>174</v>
      </c>
      <c r="F78" s="184">
        <f t="shared" si="5"/>
        <v>182</v>
      </c>
      <c r="G78" s="184">
        <f t="shared" si="5"/>
        <v>150</v>
      </c>
      <c r="H78" s="184">
        <f t="shared" si="5"/>
        <v>150</v>
      </c>
      <c r="I78" s="184">
        <f t="shared" si="5"/>
        <v>128</v>
      </c>
      <c r="J78" s="184">
        <f t="shared" si="5"/>
        <v>152</v>
      </c>
      <c r="K78" s="184">
        <f t="shared" si="5"/>
        <v>229</v>
      </c>
      <c r="L78" s="184">
        <f t="shared" si="5"/>
        <v>252</v>
      </c>
      <c r="M78" s="184">
        <f t="shared" si="5"/>
        <v>213</v>
      </c>
      <c r="N78" s="184">
        <f t="shared" si="5"/>
        <v>205</v>
      </c>
      <c r="O78" s="184">
        <f>SUM(O79:O80)</f>
        <v>190</v>
      </c>
      <c r="P78" s="184">
        <f t="shared" si="5"/>
        <v>230</v>
      </c>
      <c r="Q78" s="184">
        <f t="shared" si="5"/>
        <v>170</v>
      </c>
      <c r="R78" s="184">
        <f t="shared" si="5"/>
        <v>255</v>
      </c>
      <c r="S78" s="184">
        <f t="shared" si="5"/>
        <v>244</v>
      </c>
      <c r="T78" s="184">
        <f t="shared" si="5"/>
        <v>204</v>
      </c>
      <c r="U78" s="184">
        <f t="shared" si="5"/>
        <v>290</v>
      </c>
      <c r="V78" s="184">
        <f t="shared" si="5"/>
        <v>234</v>
      </c>
      <c r="W78" s="184">
        <f t="shared" si="5"/>
        <v>198</v>
      </c>
      <c r="X78" s="184">
        <f t="shared" si="5"/>
        <v>199</v>
      </c>
      <c r="Y78" s="184">
        <f t="shared" si="5"/>
        <v>292</v>
      </c>
      <c r="Z78" s="184">
        <f t="shared" si="5"/>
        <v>240</v>
      </c>
      <c r="AA78" s="184">
        <f t="shared" si="5"/>
        <v>217</v>
      </c>
      <c r="AB78" s="184">
        <f t="shared" si="5"/>
        <v>208</v>
      </c>
      <c r="AC78" s="184">
        <f t="shared" si="5"/>
        <v>222</v>
      </c>
      <c r="AD78" s="184">
        <f t="shared" si="5"/>
        <v>168</v>
      </c>
      <c r="AE78" s="184">
        <f t="shared" si="5"/>
        <v>183</v>
      </c>
      <c r="AF78" s="186">
        <f t="shared" si="5"/>
        <v>250</v>
      </c>
      <c r="AG78" s="116">
        <f t="shared" si="2"/>
        <v>6354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152</v>
      </c>
      <c r="C79" s="114">
        <f t="shared" si="6"/>
        <v>144</v>
      </c>
      <c r="D79" s="114">
        <f t="shared" si="6"/>
        <v>229</v>
      </c>
      <c r="E79" s="114">
        <f t="shared" si="6"/>
        <v>174</v>
      </c>
      <c r="F79" s="114">
        <f t="shared" si="6"/>
        <v>182</v>
      </c>
      <c r="G79" s="114">
        <f t="shared" si="6"/>
        <v>150</v>
      </c>
      <c r="H79" s="114">
        <f t="shared" si="6"/>
        <v>150</v>
      </c>
      <c r="I79" s="114">
        <f t="shared" si="6"/>
        <v>128</v>
      </c>
      <c r="J79" s="114">
        <f t="shared" si="6"/>
        <v>152</v>
      </c>
      <c r="K79" s="114">
        <f t="shared" si="6"/>
        <v>229</v>
      </c>
      <c r="L79" s="114">
        <f t="shared" si="6"/>
        <v>252</v>
      </c>
      <c r="M79" s="114">
        <f t="shared" si="6"/>
        <v>212</v>
      </c>
      <c r="N79" s="114">
        <f t="shared" si="6"/>
        <v>204</v>
      </c>
      <c r="O79" s="114">
        <f t="shared" si="6"/>
        <v>189</v>
      </c>
      <c r="P79" s="114">
        <f t="shared" si="6"/>
        <v>230</v>
      </c>
      <c r="Q79" s="114">
        <f t="shared" si="6"/>
        <v>170</v>
      </c>
      <c r="R79" s="114">
        <f t="shared" si="6"/>
        <v>125</v>
      </c>
      <c r="S79" s="114">
        <f t="shared" si="6"/>
        <v>89</v>
      </c>
      <c r="T79" s="114">
        <f t="shared" si="6"/>
        <v>204</v>
      </c>
      <c r="U79" s="114">
        <f t="shared" si="6"/>
        <v>129</v>
      </c>
      <c r="V79" s="114">
        <f t="shared" si="6"/>
        <v>233</v>
      </c>
      <c r="W79" s="114">
        <f t="shared" si="6"/>
        <v>198</v>
      </c>
      <c r="X79" s="114">
        <f t="shared" si="6"/>
        <v>199</v>
      </c>
      <c r="Y79" s="114">
        <f t="shared" si="6"/>
        <v>144</v>
      </c>
      <c r="Z79" s="114">
        <f t="shared" si="6"/>
        <v>240</v>
      </c>
      <c r="AA79" s="114">
        <f t="shared" si="6"/>
        <v>217</v>
      </c>
      <c r="AB79" s="114">
        <f t="shared" si="6"/>
        <v>208</v>
      </c>
      <c r="AC79" s="114">
        <f t="shared" si="6"/>
        <v>222</v>
      </c>
      <c r="AD79" s="114">
        <f t="shared" si="6"/>
        <v>168</v>
      </c>
      <c r="AE79" s="114">
        <f t="shared" si="6"/>
        <v>183</v>
      </c>
      <c r="AF79" s="114">
        <f t="shared" si="6"/>
        <v>122</v>
      </c>
      <c r="AG79" s="132">
        <f t="shared" si="2"/>
        <v>5628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0</v>
      </c>
      <c r="H80" s="9">
        <f>SUM(H4:H12)</f>
        <v>0</v>
      </c>
      <c r="I80" s="11"/>
      <c r="J80" s="11"/>
      <c r="K80" s="9">
        <v>0</v>
      </c>
      <c r="L80" s="9">
        <v>0</v>
      </c>
      <c r="M80" s="9">
        <f>SUM(M4:M12)</f>
        <v>1</v>
      </c>
      <c r="N80" s="9">
        <f>SUM(N4:N12)</f>
        <v>1</v>
      </c>
      <c r="O80" s="9">
        <f>SUM(O4:O12)</f>
        <v>1</v>
      </c>
      <c r="P80" s="11"/>
      <c r="Q80" s="11"/>
      <c r="R80" s="9">
        <f>SUM(R4:R12)</f>
        <v>130</v>
      </c>
      <c r="S80" s="9">
        <f>SUM(S4:S12)</f>
        <v>155</v>
      </c>
      <c r="T80" s="9">
        <f>SUM(T4:T12)</f>
        <v>0</v>
      </c>
      <c r="U80" s="9">
        <f>SUM(U4:U12)</f>
        <v>161</v>
      </c>
      <c r="V80" s="9">
        <f>SUM(V4:V12)</f>
        <v>1</v>
      </c>
      <c r="W80" s="11"/>
      <c r="X80" s="11"/>
      <c r="Y80" s="9">
        <f>SUM(Y4:Y12)</f>
        <v>148</v>
      </c>
      <c r="Z80" s="11"/>
      <c r="AA80" s="9">
        <f>SUM(AA4:AA12)</f>
        <v>0</v>
      </c>
      <c r="AB80" s="9">
        <f>SUM(AB4:AB12)</f>
        <v>0</v>
      </c>
      <c r="AC80" s="9">
        <f>SUM(AC4:AC12)</f>
        <v>0</v>
      </c>
      <c r="AD80" s="11"/>
      <c r="AE80" s="11"/>
      <c r="AF80" s="9">
        <f>SUM(AF4:AF12)</f>
        <v>128</v>
      </c>
      <c r="AG80" s="108">
        <f t="shared" si="2"/>
        <v>726</v>
      </c>
    </row>
    <row r="81" spans="1:35" ht="19.5" thickBot="1" x14ac:dyDescent="0.3">
      <c r="A81" s="183" t="s">
        <v>98</v>
      </c>
      <c r="B81" s="184">
        <f t="shared" ref="B81:AF81" si="7">SUM(B82:B83)</f>
        <v>6</v>
      </c>
      <c r="C81" s="184">
        <f t="shared" si="7"/>
        <v>1</v>
      </c>
      <c r="D81" s="184">
        <f t="shared" si="7"/>
        <v>3</v>
      </c>
      <c r="E81" s="184">
        <f t="shared" si="7"/>
        <v>1</v>
      </c>
      <c r="F81" s="184">
        <f t="shared" si="7"/>
        <v>18</v>
      </c>
      <c r="G81" s="184">
        <f t="shared" si="7"/>
        <v>18</v>
      </c>
      <c r="H81" s="184">
        <f t="shared" si="7"/>
        <v>6</v>
      </c>
      <c r="I81" s="184">
        <f t="shared" si="7"/>
        <v>2</v>
      </c>
      <c r="J81" s="184">
        <f t="shared" si="7"/>
        <v>1</v>
      </c>
      <c r="K81" s="184">
        <f t="shared" si="7"/>
        <v>4</v>
      </c>
      <c r="L81" s="184">
        <f t="shared" si="7"/>
        <v>8</v>
      </c>
      <c r="M81" s="184">
        <f t="shared" si="7"/>
        <v>23</v>
      </c>
      <c r="N81" s="184">
        <f t="shared" si="7"/>
        <v>22</v>
      </c>
      <c r="O81" s="184">
        <f t="shared" si="7"/>
        <v>16</v>
      </c>
      <c r="P81" s="184">
        <f t="shared" si="7"/>
        <v>6</v>
      </c>
      <c r="Q81" s="184">
        <f t="shared" si="7"/>
        <v>12</v>
      </c>
      <c r="R81" s="184">
        <f t="shared" si="7"/>
        <v>6</v>
      </c>
      <c r="S81" s="184">
        <f t="shared" si="7"/>
        <v>22</v>
      </c>
      <c r="T81" s="184">
        <f t="shared" si="7"/>
        <v>15</v>
      </c>
      <c r="U81" s="184">
        <f t="shared" si="7"/>
        <v>11</v>
      </c>
      <c r="V81" s="184">
        <f t="shared" si="7"/>
        <v>56</v>
      </c>
      <c r="W81" s="184">
        <f t="shared" si="7"/>
        <v>14</v>
      </c>
      <c r="X81" s="184">
        <f t="shared" si="7"/>
        <v>17</v>
      </c>
      <c r="Y81" s="184">
        <f t="shared" si="7"/>
        <v>18</v>
      </c>
      <c r="Z81" s="184">
        <f>SUM(Z82:Z83)</f>
        <v>33</v>
      </c>
      <c r="AA81" s="184">
        <f t="shared" si="7"/>
        <v>26</v>
      </c>
      <c r="AB81" s="184">
        <f t="shared" si="7"/>
        <v>38</v>
      </c>
      <c r="AC81" s="184">
        <f t="shared" si="7"/>
        <v>47</v>
      </c>
      <c r="AD81" s="184">
        <f t="shared" si="7"/>
        <v>3</v>
      </c>
      <c r="AE81" s="184">
        <f t="shared" si="7"/>
        <v>6</v>
      </c>
      <c r="AF81" s="184">
        <f t="shared" si="7"/>
        <v>36</v>
      </c>
      <c r="AG81" s="116">
        <f t="shared" si="2"/>
        <v>495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E82" si="8">SUM(B54:B62)</f>
        <v>0</v>
      </c>
      <c r="C82" s="114">
        <f t="shared" si="8"/>
        <v>0</v>
      </c>
      <c r="D82" s="182"/>
      <c r="E82" s="182"/>
      <c r="F82" s="114">
        <f t="shared" si="8"/>
        <v>0</v>
      </c>
      <c r="G82" s="114">
        <f t="shared" si="8"/>
        <v>0</v>
      </c>
      <c r="H82" s="114">
        <f t="shared" si="8"/>
        <v>0</v>
      </c>
      <c r="I82" s="114">
        <f t="shared" si="8"/>
        <v>0</v>
      </c>
      <c r="J82" s="114">
        <f t="shared" si="8"/>
        <v>0</v>
      </c>
      <c r="K82" s="182"/>
      <c r="L82" s="182"/>
      <c r="M82" s="114">
        <f t="shared" si="8"/>
        <v>0</v>
      </c>
      <c r="N82" s="114">
        <f t="shared" si="8"/>
        <v>0</v>
      </c>
      <c r="O82" s="114">
        <f t="shared" si="8"/>
        <v>0</v>
      </c>
      <c r="P82" s="182"/>
      <c r="Q82" s="114">
        <f t="shared" si="8"/>
        <v>0</v>
      </c>
      <c r="R82" s="182"/>
      <c r="S82" s="182"/>
      <c r="T82" s="114">
        <f t="shared" si="8"/>
        <v>0</v>
      </c>
      <c r="U82" s="182"/>
      <c r="V82" s="114">
        <f t="shared" si="8"/>
        <v>0</v>
      </c>
      <c r="W82" s="114">
        <f t="shared" si="8"/>
        <v>0</v>
      </c>
      <c r="X82" s="114">
        <f t="shared" si="8"/>
        <v>0</v>
      </c>
      <c r="Y82" s="182"/>
      <c r="Z82" s="182"/>
      <c r="AA82" s="114">
        <f t="shared" si="8"/>
        <v>0</v>
      </c>
      <c r="AB82" s="114">
        <f t="shared" si="8"/>
        <v>0</v>
      </c>
      <c r="AC82" s="114">
        <f t="shared" si="8"/>
        <v>0</v>
      </c>
      <c r="AD82" s="114">
        <f t="shared" si="8"/>
        <v>0</v>
      </c>
      <c r="AE82" s="114">
        <f t="shared" si="8"/>
        <v>0</v>
      </c>
      <c r="AF82" s="182"/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6</v>
      </c>
      <c r="C83" s="9">
        <f t="shared" ref="C83" si="10">SUM(C54:C77)-C82</f>
        <v>1</v>
      </c>
      <c r="D83" s="9">
        <f t="shared" ref="D83:AF83" si="11">SUM(D54:D77)-D82</f>
        <v>3</v>
      </c>
      <c r="E83" s="9">
        <f t="shared" si="11"/>
        <v>1</v>
      </c>
      <c r="F83" s="9">
        <f t="shared" si="11"/>
        <v>18</v>
      </c>
      <c r="G83" s="9">
        <f t="shared" si="11"/>
        <v>18</v>
      </c>
      <c r="H83" s="9">
        <f t="shared" si="11"/>
        <v>6</v>
      </c>
      <c r="I83" s="9">
        <f t="shared" si="11"/>
        <v>2</v>
      </c>
      <c r="J83" s="9">
        <f t="shared" si="11"/>
        <v>1</v>
      </c>
      <c r="K83" s="9">
        <f t="shared" si="11"/>
        <v>4</v>
      </c>
      <c r="L83" s="9">
        <f t="shared" si="11"/>
        <v>8</v>
      </c>
      <c r="M83" s="9">
        <f t="shared" si="11"/>
        <v>23</v>
      </c>
      <c r="N83" s="9">
        <f t="shared" si="11"/>
        <v>22</v>
      </c>
      <c r="O83" s="9">
        <f t="shared" si="11"/>
        <v>16</v>
      </c>
      <c r="P83" s="9">
        <f t="shared" si="11"/>
        <v>6</v>
      </c>
      <c r="Q83" s="9">
        <f t="shared" si="11"/>
        <v>12</v>
      </c>
      <c r="R83" s="9">
        <f t="shared" si="11"/>
        <v>6</v>
      </c>
      <c r="S83" s="9">
        <f t="shared" si="11"/>
        <v>22</v>
      </c>
      <c r="T83" s="9">
        <f t="shared" si="11"/>
        <v>15</v>
      </c>
      <c r="U83" s="9">
        <f t="shared" si="11"/>
        <v>11</v>
      </c>
      <c r="V83" s="9">
        <f t="shared" si="11"/>
        <v>56</v>
      </c>
      <c r="W83" s="9">
        <f t="shared" si="11"/>
        <v>14</v>
      </c>
      <c r="X83" s="9">
        <f t="shared" si="11"/>
        <v>17</v>
      </c>
      <c r="Y83" s="9">
        <f t="shared" si="11"/>
        <v>18</v>
      </c>
      <c r="Z83" s="9">
        <f t="shared" si="11"/>
        <v>33</v>
      </c>
      <c r="AA83" s="9">
        <f t="shared" si="11"/>
        <v>26</v>
      </c>
      <c r="AB83" s="9">
        <f t="shared" si="11"/>
        <v>38</v>
      </c>
      <c r="AC83" s="9">
        <f t="shared" si="11"/>
        <v>47</v>
      </c>
      <c r="AD83" s="9">
        <f t="shared" si="11"/>
        <v>3</v>
      </c>
      <c r="AE83" s="9">
        <f t="shared" si="11"/>
        <v>6</v>
      </c>
      <c r="AF83" s="9">
        <f t="shared" si="11"/>
        <v>36</v>
      </c>
      <c r="AG83" s="4">
        <f t="shared" si="2"/>
        <v>495</v>
      </c>
    </row>
    <row r="84" spans="1:35" ht="19.5" thickBot="1" x14ac:dyDescent="0.3">
      <c r="A84" s="164" t="s">
        <v>146</v>
      </c>
      <c r="B84" s="165">
        <f>SUM(B85:B86)</f>
        <v>6</v>
      </c>
      <c r="C84" s="165">
        <f t="shared" ref="C84:AF84" si="12">SUM(C85:C86)</f>
        <v>1</v>
      </c>
      <c r="D84" s="165">
        <f t="shared" si="12"/>
        <v>3</v>
      </c>
      <c r="E84" s="165">
        <f t="shared" si="12"/>
        <v>1</v>
      </c>
      <c r="F84" s="165">
        <f t="shared" si="12"/>
        <v>18</v>
      </c>
      <c r="G84" s="165">
        <f t="shared" si="12"/>
        <v>18</v>
      </c>
      <c r="H84" s="165">
        <f t="shared" si="12"/>
        <v>6</v>
      </c>
      <c r="I84" s="165">
        <f t="shared" si="12"/>
        <v>2</v>
      </c>
      <c r="J84" s="165">
        <f t="shared" si="12"/>
        <v>1</v>
      </c>
      <c r="K84" s="165">
        <f t="shared" si="12"/>
        <v>4</v>
      </c>
      <c r="L84" s="165">
        <f t="shared" si="12"/>
        <v>8</v>
      </c>
      <c r="M84" s="165">
        <f t="shared" si="12"/>
        <v>23</v>
      </c>
      <c r="N84" s="165">
        <f t="shared" si="12"/>
        <v>22</v>
      </c>
      <c r="O84" s="165">
        <f t="shared" si="12"/>
        <v>16</v>
      </c>
      <c r="P84" s="165">
        <f t="shared" si="12"/>
        <v>6</v>
      </c>
      <c r="Q84" s="165">
        <f t="shared" si="12"/>
        <v>12</v>
      </c>
      <c r="R84" s="165">
        <f t="shared" si="12"/>
        <v>6</v>
      </c>
      <c r="S84" s="165">
        <f t="shared" si="12"/>
        <v>22</v>
      </c>
      <c r="T84" s="165">
        <f t="shared" si="12"/>
        <v>15</v>
      </c>
      <c r="U84" s="165">
        <f t="shared" si="12"/>
        <v>11</v>
      </c>
      <c r="V84" s="165">
        <f t="shared" si="12"/>
        <v>56</v>
      </c>
      <c r="W84" s="165">
        <f t="shared" si="12"/>
        <v>14</v>
      </c>
      <c r="X84" s="165">
        <f t="shared" si="12"/>
        <v>17</v>
      </c>
      <c r="Y84" s="165">
        <f t="shared" si="12"/>
        <v>18</v>
      </c>
      <c r="Z84" s="165">
        <f t="shared" si="12"/>
        <v>33</v>
      </c>
      <c r="AA84" s="165">
        <f t="shared" si="12"/>
        <v>26</v>
      </c>
      <c r="AB84" s="165">
        <f t="shared" si="12"/>
        <v>38</v>
      </c>
      <c r="AC84" s="165">
        <f t="shared" si="12"/>
        <v>47</v>
      </c>
      <c r="AD84" s="165">
        <f t="shared" si="12"/>
        <v>3</v>
      </c>
      <c r="AE84" s="165">
        <f t="shared" si="12"/>
        <v>6</v>
      </c>
      <c r="AF84" s="165">
        <f t="shared" si="12"/>
        <v>36</v>
      </c>
      <c r="AG84" s="171">
        <f t="shared" ref="AG84:AG126" si="13">SUM(B84:AF84)</f>
        <v>495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1</v>
      </c>
      <c r="C85" s="169">
        <v>0</v>
      </c>
      <c r="D85" s="169">
        <v>0</v>
      </c>
      <c r="E85" s="169">
        <v>0</v>
      </c>
      <c r="F85" s="169">
        <v>0</v>
      </c>
      <c r="G85" s="169">
        <v>2</v>
      </c>
      <c r="H85" s="169">
        <v>0</v>
      </c>
      <c r="I85" s="169">
        <v>0</v>
      </c>
      <c r="J85" s="169">
        <v>0</v>
      </c>
      <c r="K85" s="169">
        <v>0</v>
      </c>
      <c r="L85" s="169">
        <v>3</v>
      </c>
      <c r="M85" s="169">
        <v>5</v>
      </c>
      <c r="N85" s="169">
        <v>7</v>
      </c>
      <c r="O85" s="169">
        <v>4</v>
      </c>
      <c r="P85" s="169">
        <v>1</v>
      </c>
      <c r="Q85" s="169">
        <v>2</v>
      </c>
      <c r="R85" s="169">
        <v>0</v>
      </c>
      <c r="S85" s="169">
        <v>8</v>
      </c>
      <c r="T85" s="169">
        <v>5</v>
      </c>
      <c r="U85" s="169">
        <v>0</v>
      </c>
      <c r="V85" s="169">
        <v>18</v>
      </c>
      <c r="W85" s="169">
        <v>5</v>
      </c>
      <c r="X85" s="169">
        <v>7</v>
      </c>
      <c r="Y85" s="169">
        <v>3</v>
      </c>
      <c r="Z85" s="169">
        <v>12</v>
      </c>
      <c r="AA85" s="169">
        <v>4</v>
      </c>
      <c r="AB85" s="169">
        <v>13</v>
      </c>
      <c r="AC85" s="169">
        <v>9</v>
      </c>
      <c r="AD85" s="169">
        <v>2</v>
      </c>
      <c r="AE85" s="169">
        <v>0</v>
      </c>
      <c r="AF85" s="170">
        <v>11</v>
      </c>
      <c r="AG85" s="168">
        <f t="shared" si="13"/>
        <v>122</v>
      </c>
      <c r="AI85" s="374"/>
    </row>
    <row r="86" spans="1:35" ht="19.5" thickBot="1" x14ac:dyDescent="0.3">
      <c r="A86" s="172" t="s">
        <v>145</v>
      </c>
      <c r="B86" s="173">
        <v>5</v>
      </c>
      <c r="C86" s="173">
        <v>1</v>
      </c>
      <c r="D86" s="173">
        <v>3</v>
      </c>
      <c r="E86" s="173">
        <v>1</v>
      </c>
      <c r="F86" s="173">
        <v>18</v>
      </c>
      <c r="G86" s="173">
        <v>16</v>
      </c>
      <c r="H86" s="173">
        <v>6</v>
      </c>
      <c r="I86" s="173">
        <v>2</v>
      </c>
      <c r="J86" s="173">
        <v>1</v>
      </c>
      <c r="K86" s="173">
        <v>4</v>
      </c>
      <c r="L86" s="173">
        <v>5</v>
      </c>
      <c r="M86" s="173">
        <v>18</v>
      </c>
      <c r="N86" s="173">
        <v>15</v>
      </c>
      <c r="O86" s="173">
        <v>12</v>
      </c>
      <c r="P86" s="173">
        <v>5</v>
      </c>
      <c r="Q86" s="173">
        <v>10</v>
      </c>
      <c r="R86" s="173">
        <v>6</v>
      </c>
      <c r="S86" s="173">
        <v>14</v>
      </c>
      <c r="T86" s="173">
        <v>10</v>
      </c>
      <c r="U86" s="173">
        <v>11</v>
      </c>
      <c r="V86" s="173">
        <v>38</v>
      </c>
      <c r="W86" s="173">
        <v>9</v>
      </c>
      <c r="X86" s="173">
        <v>10</v>
      </c>
      <c r="Y86" s="173">
        <v>15</v>
      </c>
      <c r="Z86" s="173">
        <v>21</v>
      </c>
      <c r="AA86" s="173">
        <v>22</v>
      </c>
      <c r="AB86" s="173">
        <f>38-13</f>
        <v>25</v>
      </c>
      <c r="AC86" s="173">
        <f>47-9</f>
        <v>38</v>
      </c>
      <c r="AD86" s="173">
        <v>1</v>
      </c>
      <c r="AE86" s="173">
        <v>6</v>
      </c>
      <c r="AF86" s="174">
        <v>25</v>
      </c>
      <c r="AG86" s="176">
        <f t="shared" si="13"/>
        <v>373</v>
      </c>
      <c r="AI86" s="375"/>
    </row>
    <row r="87" spans="1:35" ht="19.5" thickBot="1" x14ac:dyDescent="0.3">
      <c r="A87" s="177" t="s">
        <v>147</v>
      </c>
      <c r="B87" s="178">
        <f>SUM(B88:B92)</f>
        <v>6</v>
      </c>
      <c r="C87" s="178">
        <f t="shared" ref="C87:AF87" si="14">SUM(C88:C92)</f>
        <v>1</v>
      </c>
      <c r="D87" s="178">
        <f t="shared" si="14"/>
        <v>3</v>
      </c>
      <c r="E87" s="178">
        <f t="shared" si="14"/>
        <v>1</v>
      </c>
      <c r="F87" s="178">
        <f t="shared" si="14"/>
        <v>18</v>
      </c>
      <c r="G87" s="178">
        <f t="shared" si="14"/>
        <v>18</v>
      </c>
      <c r="H87" s="178">
        <f t="shared" si="14"/>
        <v>6</v>
      </c>
      <c r="I87" s="178">
        <f t="shared" si="14"/>
        <v>2</v>
      </c>
      <c r="J87" s="178">
        <f t="shared" si="14"/>
        <v>1</v>
      </c>
      <c r="K87" s="178">
        <f t="shared" si="14"/>
        <v>4</v>
      </c>
      <c r="L87" s="178">
        <f t="shared" si="14"/>
        <v>8</v>
      </c>
      <c r="M87" s="178">
        <f t="shared" si="14"/>
        <v>23</v>
      </c>
      <c r="N87" s="178">
        <f t="shared" si="14"/>
        <v>22</v>
      </c>
      <c r="O87" s="178">
        <f t="shared" si="14"/>
        <v>16</v>
      </c>
      <c r="P87" s="178">
        <f t="shared" si="14"/>
        <v>6</v>
      </c>
      <c r="Q87" s="178">
        <f t="shared" si="14"/>
        <v>12</v>
      </c>
      <c r="R87" s="178">
        <f t="shared" si="14"/>
        <v>6</v>
      </c>
      <c r="S87" s="178">
        <f t="shared" si="14"/>
        <v>22</v>
      </c>
      <c r="T87" s="178">
        <f t="shared" si="14"/>
        <v>15</v>
      </c>
      <c r="U87" s="178">
        <f t="shared" si="14"/>
        <v>11</v>
      </c>
      <c r="V87" s="178">
        <f t="shared" si="14"/>
        <v>56</v>
      </c>
      <c r="W87" s="178">
        <f t="shared" si="14"/>
        <v>14</v>
      </c>
      <c r="X87" s="178">
        <f t="shared" si="14"/>
        <v>17</v>
      </c>
      <c r="Y87" s="178">
        <f t="shared" si="14"/>
        <v>18</v>
      </c>
      <c r="Z87" s="178">
        <f t="shared" si="14"/>
        <v>33</v>
      </c>
      <c r="AA87" s="178">
        <f t="shared" si="14"/>
        <v>26</v>
      </c>
      <c r="AB87" s="178">
        <f t="shared" si="14"/>
        <v>38</v>
      </c>
      <c r="AC87" s="178">
        <f t="shared" si="14"/>
        <v>47</v>
      </c>
      <c r="AD87" s="178">
        <f t="shared" si="14"/>
        <v>3</v>
      </c>
      <c r="AE87" s="178">
        <f t="shared" si="14"/>
        <v>6</v>
      </c>
      <c r="AF87" s="178">
        <f t="shared" si="14"/>
        <v>36</v>
      </c>
      <c r="AG87" s="179">
        <f t="shared" si="13"/>
        <v>495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3</v>
      </c>
      <c r="C88" s="166">
        <v>1</v>
      </c>
      <c r="D88" s="166">
        <v>1</v>
      </c>
      <c r="E88" s="166">
        <v>1</v>
      </c>
      <c r="F88" s="166">
        <v>3</v>
      </c>
      <c r="G88" s="166">
        <v>12</v>
      </c>
      <c r="H88" s="166">
        <v>4</v>
      </c>
      <c r="I88" s="166"/>
      <c r="J88" s="166">
        <v>1</v>
      </c>
      <c r="K88" s="166">
        <v>2</v>
      </c>
      <c r="L88" s="166">
        <v>3</v>
      </c>
      <c r="M88" s="166">
        <v>10</v>
      </c>
      <c r="N88" s="166">
        <v>12</v>
      </c>
      <c r="O88" s="166">
        <v>10</v>
      </c>
      <c r="P88" s="166">
        <v>2</v>
      </c>
      <c r="Q88" s="166">
        <v>4</v>
      </c>
      <c r="R88" s="166">
        <v>4</v>
      </c>
      <c r="S88" s="166">
        <v>4</v>
      </c>
      <c r="T88" s="166">
        <v>7</v>
      </c>
      <c r="U88" s="166">
        <v>4</v>
      </c>
      <c r="V88" s="166">
        <v>32</v>
      </c>
      <c r="W88" s="166">
        <v>8</v>
      </c>
      <c r="X88" s="166">
        <v>4</v>
      </c>
      <c r="Y88" s="166">
        <v>4</v>
      </c>
      <c r="Z88" s="166">
        <v>1</v>
      </c>
      <c r="AA88" s="166">
        <v>7</v>
      </c>
      <c r="AB88" s="166">
        <v>12</v>
      </c>
      <c r="AC88" s="166">
        <v>14</v>
      </c>
      <c r="AD88" s="166">
        <v>1</v>
      </c>
      <c r="AE88" s="166">
        <v>3</v>
      </c>
      <c r="AF88" s="167">
        <v>8</v>
      </c>
      <c r="AG88" s="132">
        <f t="shared" si="13"/>
        <v>182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>
        <v>1</v>
      </c>
      <c r="Z90" s="9"/>
      <c r="AA90" s="9"/>
      <c r="AB90" s="9"/>
      <c r="AC90" s="9"/>
      <c r="AD90" s="9"/>
      <c r="AE90" s="9"/>
      <c r="AF90" s="10">
        <v>1</v>
      </c>
      <c r="AG90" s="4">
        <f t="shared" si="13"/>
        <v>2</v>
      </c>
    </row>
    <row r="91" spans="1:35" ht="18.75" x14ac:dyDescent="0.25">
      <c r="A91" s="105" t="s">
        <v>75</v>
      </c>
      <c r="B91" s="9"/>
      <c r="C91" s="9"/>
      <c r="D91" s="9"/>
      <c r="E91" s="9"/>
      <c r="F91" s="9">
        <v>3</v>
      </c>
      <c r="G91" s="9"/>
      <c r="H91" s="9"/>
      <c r="I91" s="9">
        <v>2</v>
      </c>
      <c r="J91" s="9"/>
      <c r="K91" s="9">
        <v>1</v>
      </c>
      <c r="L91" s="9">
        <v>1</v>
      </c>
      <c r="M91" s="9">
        <v>3</v>
      </c>
      <c r="N91" s="9">
        <v>6</v>
      </c>
      <c r="O91" s="9">
        <v>1</v>
      </c>
      <c r="P91" s="9">
        <v>2</v>
      </c>
      <c r="Q91" s="9">
        <v>4</v>
      </c>
      <c r="R91" s="9">
        <v>2</v>
      </c>
      <c r="S91" s="9">
        <v>6</v>
      </c>
      <c r="T91" s="9">
        <v>2</v>
      </c>
      <c r="U91" s="9">
        <v>1</v>
      </c>
      <c r="V91" s="9">
        <v>18</v>
      </c>
      <c r="W91" s="9">
        <v>3</v>
      </c>
      <c r="X91" s="9">
        <v>7</v>
      </c>
      <c r="Y91" s="9">
        <v>6</v>
      </c>
      <c r="Z91" s="9">
        <v>17</v>
      </c>
      <c r="AA91" s="9">
        <v>1</v>
      </c>
      <c r="AB91" s="9">
        <v>12</v>
      </c>
      <c r="AC91" s="9">
        <v>12</v>
      </c>
      <c r="AD91" s="9">
        <v>1</v>
      </c>
      <c r="AE91" s="9">
        <v>3</v>
      </c>
      <c r="AF91" s="10">
        <v>11</v>
      </c>
      <c r="AG91" s="4">
        <f t="shared" si="13"/>
        <v>125</v>
      </c>
    </row>
    <row r="92" spans="1:35" ht="19.5" thickBot="1" x14ac:dyDescent="0.3">
      <c r="A92" s="105" t="s">
        <v>76</v>
      </c>
      <c r="B92" s="9">
        <v>3</v>
      </c>
      <c r="C92" s="9"/>
      <c r="D92" s="9">
        <v>2</v>
      </c>
      <c r="E92" s="9"/>
      <c r="F92" s="9">
        <v>12</v>
      </c>
      <c r="G92" s="9">
        <v>6</v>
      </c>
      <c r="H92" s="9">
        <v>2</v>
      </c>
      <c r="I92" s="9"/>
      <c r="J92" s="9"/>
      <c r="K92" s="9">
        <v>1</v>
      </c>
      <c r="L92" s="9">
        <v>4</v>
      </c>
      <c r="M92" s="9">
        <v>10</v>
      </c>
      <c r="N92" s="9">
        <v>4</v>
      </c>
      <c r="O92" s="9">
        <v>5</v>
      </c>
      <c r="P92" s="9">
        <v>2</v>
      </c>
      <c r="Q92" s="9">
        <v>4</v>
      </c>
      <c r="R92" s="9"/>
      <c r="S92" s="9">
        <v>12</v>
      </c>
      <c r="T92" s="9">
        <v>6</v>
      </c>
      <c r="U92" s="9">
        <v>6</v>
      </c>
      <c r="V92" s="9">
        <v>6</v>
      </c>
      <c r="W92" s="9">
        <v>3</v>
      </c>
      <c r="X92" s="9">
        <v>6</v>
      </c>
      <c r="Y92" s="9">
        <v>7</v>
      </c>
      <c r="Z92" s="9">
        <v>15</v>
      </c>
      <c r="AA92" s="9">
        <v>18</v>
      </c>
      <c r="AB92" s="9">
        <v>14</v>
      </c>
      <c r="AC92" s="9">
        <v>21</v>
      </c>
      <c r="AD92" s="9">
        <v>1</v>
      </c>
      <c r="AE92" s="9"/>
      <c r="AF92" s="10">
        <v>16</v>
      </c>
      <c r="AG92" s="4">
        <f t="shared" si="13"/>
        <v>186</v>
      </c>
    </row>
    <row r="93" spans="1:35" ht="18.75" x14ac:dyDescent="0.25">
      <c r="A93" s="73" t="s">
        <v>616</v>
      </c>
      <c r="B93" s="74">
        <f t="shared" ref="B93:AF93" si="15">+B94+B100</f>
        <v>146</v>
      </c>
      <c r="C93" s="74">
        <f t="shared" si="15"/>
        <v>143</v>
      </c>
      <c r="D93" s="74">
        <f t="shared" si="15"/>
        <v>226</v>
      </c>
      <c r="E93" s="74">
        <f t="shared" si="15"/>
        <v>173</v>
      </c>
      <c r="F93" s="74">
        <f t="shared" si="15"/>
        <v>164</v>
      </c>
      <c r="G93" s="74">
        <f t="shared" si="15"/>
        <v>132</v>
      </c>
      <c r="H93" s="74">
        <f t="shared" si="15"/>
        <v>144</v>
      </c>
      <c r="I93" s="74">
        <f t="shared" si="15"/>
        <v>126</v>
      </c>
      <c r="J93" s="74">
        <f t="shared" si="15"/>
        <v>151</v>
      </c>
      <c r="K93" s="74">
        <f t="shared" si="15"/>
        <v>225</v>
      </c>
      <c r="L93" s="74">
        <f t="shared" si="15"/>
        <v>244</v>
      </c>
      <c r="M93" s="74">
        <f t="shared" si="15"/>
        <v>190</v>
      </c>
      <c r="N93" s="74">
        <f t="shared" si="15"/>
        <v>183</v>
      </c>
      <c r="O93" s="74">
        <f t="shared" si="15"/>
        <v>174</v>
      </c>
      <c r="P93" s="74">
        <f t="shared" si="15"/>
        <v>224</v>
      </c>
      <c r="Q93" s="74">
        <f t="shared" si="15"/>
        <v>158</v>
      </c>
      <c r="R93" s="74">
        <f t="shared" si="15"/>
        <v>249</v>
      </c>
      <c r="S93" s="74">
        <f t="shared" si="15"/>
        <v>222</v>
      </c>
      <c r="T93" s="74">
        <f t="shared" si="15"/>
        <v>189</v>
      </c>
      <c r="U93" s="74">
        <f t="shared" si="15"/>
        <v>279</v>
      </c>
      <c r="V93" s="74">
        <f t="shared" si="15"/>
        <v>178</v>
      </c>
      <c r="W93" s="74">
        <f t="shared" si="15"/>
        <v>184</v>
      </c>
      <c r="X93" s="74">
        <f t="shared" si="15"/>
        <v>182</v>
      </c>
      <c r="Y93" s="74">
        <f t="shared" si="15"/>
        <v>274</v>
      </c>
      <c r="Z93" s="74">
        <f t="shared" si="15"/>
        <v>207</v>
      </c>
      <c r="AA93" s="74">
        <f t="shared" si="15"/>
        <v>191</v>
      </c>
      <c r="AB93" s="74">
        <f t="shared" si="15"/>
        <v>170</v>
      </c>
      <c r="AC93" s="74">
        <f t="shared" si="15"/>
        <v>175</v>
      </c>
      <c r="AD93" s="74">
        <f t="shared" si="15"/>
        <v>165</v>
      </c>
      <c r="AE93" s="74">
        <f t="shared" si="15"/>
        <v>177</v>
      </c>
      <c r="AF93" s="84">
        <f t="shared" si="15"/>
        <v>214</v>
      </c>
      <c r="AG93" s="150">
        <f t="shared" si="13"/>
        <v>5859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22</v>
      </c>
      <c r="C94" s="17">
        <f t="shared" si="16"/>
        <v>15</v>
      </c>
      <c r="D94" s="17">
        <f t="shared" si="16"/>
        <v>34</v>
      </c>
      <c r="E94" s="17">
        <f t="shared" si="16"/>
        <v>28</v>
      </c>
      <c r="F94" s="17">
        <f t="shared" si="16"/>
        <v>32</v>
      </c>
      <c r="G94" s="17">
        <f t="shared" si="16"/>
        <v>20</v>
      </c>
      <c r="H94" s="17">
        <f t="shared" si="16"/>
        <v>25</v>
      </c>
      <c r="I94" s="17">
        <f t="shared" si="16"/>
        <v>22</v>
      </c>
      <c r="J94" s="17">
        <f t="shared" si="16"/>
        <v>28</v>
      </c>
      <c r="K94" s="17">
        <f t="shared" si="16"/>
        <v>63</v>
      </c>
      <c r="L94" s="17">
        <f t="shared" si="16"/>
        <v>70</v>
      </c>
      <c r="M94" s="17">
        <f t="shared" si="16"/>
        <v>48</v>
      </c>
      <c r="N94" s="17">
        <f t="shared" si="16"/>
        <v>55</v>
      </c>
      <c r="O94" s="17">
        <f t="shared" si="16"/>
        <v>30</v>
      </c>
      <c r="P94" s="17">
        <f t="shared" si="16"/>
        <v>50</v>
      </c>
      <c r="Q94" s="17">
        <f t="shared" si="16"/>
        <v>32</v>
      </c>
      <c r="R94" s="17">
        <f t="shared" si="16"/>
        <v>50</v>
      </c>
      <c r="S94" s="17">
        <f t="shared" si="16"/>
        <v>53</v>
      </c>
      <c r="T94" s="17">
        <f t="shared" si="16"/>
        <v>46</v>
      </c>
      <c r="U94" s="17">
        <f t="shared" si="16"/>
        <v>60</v>
      </c>
      <c r="V94" s="17">
        <f t="shared" si="16"/>
        <v>40</v>
      </c>
      <c r="W94" s="17">
        <f t="shared" si="16"/>
        <v>39</v>
      </c>
      <c r="X94" s="17">
        <f t="shared" si="16"/>
        <v>40</v>
      </c>
      <c r="Y94" s="17">
        <f t="shared" si="16"/>
        <v>58</v>
      </c>
      <c r="Z94" s="17">
        <f t="shared" si="16"/>
        <v>56</v>
      </c>
      <c r="AA94" s="17">
        <f t="shared" si="16"/>
        <v>37</v>
      </c>
      <c r="AB94" s="17">
        <f t="shared" si="16"/>
        <v>43</v>
      </c>
      <c r="AC94" s="17">
        <f t="shared" si="16"/>
        <v>41</v>
      </c>
      <c r="AD94" s="17">
        <f t="shared" si="16"/>
        <v>34</v>
      </c>
      <c r="AE94" s="17">
        <f t="shared" si="16"/>
        <v>45</v>
      </c>
      <c r="AF94" s="18">
        <f t="shared" si="16"/>
        <v>56</v>
      </c>
      <c r="AG94" s="4">
        <f t="shared" si="13"/>
        <v>1272</v>
      </c>
    </row>
    <row r="95" spans="1:35" ht="18.75" x14ac:dyDescent="0.25">
      <c r="A95" s="44" t="s">
        <v>81</v>
      </c>
      <c r="B95" s="7">
        <v>2</v>
      </c>
      <c r="C95" s="7">
        <v>1</v>
      </c>
      <c r="D95" s="7">
        <v>4</v>
      </c>
      <c r="E95" s="7">
        <v>2</v>
      </c>
      <c r="F95" s="7"/>
      <c r="G95" s="7"/>
      <c r="H95" s="7"/>
      <c r="I95" s="7">
        <v>1</v>
      </c>
      <c r="J95" s="7">
        <v>1</v>
      </c>
      <c r="K95" s="7">
        <v>8</v>
      </c>
      <c r="L95" s="7">
        <v>2</v>
      </c>
      <c r="M95" s="7">
        <v>3</v>
      </c>
      <c r="N95" s="7">
        <v>3</v>
      </c>
      <c r="O95" s="7">
        <v>2</v>
      </c>
      <c r="P95" s="7">
        <v>4</v>
      </c>
      <c r="Q95" s="7">
        <v>4</v>
      </c>
      <c r="R95" s="7">
        <v>2</v>
      </c>
      <c r="S95" s="7">
        <v>9</v>
      </c>
      <c r="T95" s="7">
        <v>2</v>
      </c>
      <c r="U95" s="7">
        <v>3</v>
      </c>
      <c r="V95" s="7">
        <v>2</v>
      </c>
      <c r="W95" s="7"/>
      <c r="X95" s="7"/>
      <c r="Y95" s="7">
        <v>4</v>
      </c>
      <c r="Z95" s="7">
        <v>2</v>
      </c>
      <c r="AA95" s="7"/>
      <c r="AB95" s="7">
        <v>1</v>
      </c>
      <c r="AC95" s="7">
        <v>4</v>
      </c>
      <c r="AD95" s="7">
        <v>2</v>
      </c>
      <c r="AE95" s="7">
        <v>3</v>
      </c>
      <c r="AF95" s="8">
        <v>1</v>
      </c>
      <c r="AG95" s="4">
        <f t="shared" si="13"/>
        <v>72</v>
      </c>
    </row>
    <row r="96" spans="1:35" ht="18.75" x14ac:dyDescent="0.25">
      <c r="A96" s="45" t="s">
        <v>82</v>
      </c>
      <c r="B96" s="7"/>
      <c r="C96" s="7">
        <v>3</v>
      </c>
      <c r="D96" s="7">
        <v>4</v>
      </c>
      <c r="E96" s="7">
        <v>3</v>
      </c>
      <c r="F96" s="7">
        <v>3</v>
      </c>
      <c r="G96" s="7">
        <v>2</v>
      </c>
      <c r="H96" s="7">
        <v>2</v>
      </c>
      <c r="I96" s="7">
        <v>1</v>
      </c>
      <c r="J96" s="7"/>
      <c r="K96" s="7">
        <v>8</v>
      </c>
      <c r="L96" s="7">
        <v>6</v>
      </c>
      <c r="M96" s="7">
        <v>3</v>
      </c>
      <c r="N96" s="7">
        <v>2</v>
      </c>
      <c r="O96" s="7">
        <v>2</v>
      </c>
      <c r="P96" s="7">
        <v>2</v>
      </c>
      <c r="Q96" s="7">
        <v>5</v>
      </c>
      <c r="R96" s="7">
        <v>3</v>
      </c>
      <c r="S96" s="141">
        <v>3</v>
      </c>
      <c r="T96" s="7">
        <v>5</v>
      </c>
      <c r="U96" s="7">
        <v>5</v>
      </c>
      <c r="V96" s="7">
        <v>1</v>
      </c>
      <c r="W96" s="7">
        <v>1</v>
      </c>
      <c r="X96" s="7">
        <v>3</v>
      </c>
      <c r="Y96" s="7">
        <v>4</v>
      </c>
      <c r="Z96" s="7">
        <v>4</v>
      </c>
      <c r="AA96" s="7">
        <v>2</v>
      </c>
      <c r="AB96" s="7">
        <v>7</v>
      </c>
      <c r="AC96" s="7">
        <v>6</v>
      </c>
      <c r="AD96" s="7">
        <v>3</v>
      </c>
      <c r="AE96" s="7">
        <v>8</v>
      </c>
      <c r="AF96" s="8">
        <v>6</v>
      </c>
      <c r="AG96" s="4">
        <f t="shared" si="13"/>
        <v>107</v>
      </c>
    </row>
    <row r="97" spans="1:33" ht="18.75" x14ac:dyDescent="0.25">
      <c r="A97" s="46" t="s">
        <v>70</v>
      </c>
      <c r="B97" s="7">
        <v>4</v>
      </c>
      <c r="C97" s="7">
        <v>3</v>
      </c>
      <c r="D97" s="7">
        <v>8</v>
      </c>
      <c r="E97" s="7">
        <v>9</v>
      </c>
      <c r="F97" s="7">
        <v>6</v>
      </c>
      <c r="G97" s="7">
        <v>6</v>
      </c>
      <c r="H97" s="7">
        <v>3</v>
      </c>
      <c r="I97" s="7">
        <v>6</v>
      </c>
      <c r="J97" s="7">
        <v>12</v>
      </c>
      <c r="K97" s="7">
        <v>15</v>
      </c>
      <c r="L97" s="7">
        <v>23</v>
      </c>
      <c r="M97" s="7">
        <v>13</v>
      </c>
      <c r="N97" s="7">
        <v>11</v>
      </c>
      <c r="O97" s="7">
        <v>6</v>
      </c>
      <c r="P97" s="7">
        <v>11</v>
      </c>
      <c r="Q97" s="7">
        <v>7</v>
      </c>
      <c r="R97" s="7">
        <v>12</v>
      </c>
      <c r="S97" s="7">
        <v>13</v>
      </c>
      <c r="T97" s="7">
        <v>7</v>
      </c>
      <c r="U97" s="7">
        <v>13</v>
      </c>
      <c r="V97" s="7">
        <v>12</v>
      </c>
      <c r="W97" s="7">
        <v>8</v>
      </c>
      <c r="X97" s="7">
        <v>9</v>
      </c>
      <c r="Y97" s="7">
        <v>14</v>
      </c>
      <c r="Z97" s="7">
        <v>19</v>
      </c>
      <c r="AA97" s="7">
        <v>7</v>
      </c>
      <c r="AB97" s="7">
        <v>7</v>
      </c>
      <c r="AC97" s="7">
        <v>5</v>
      </c>
      <c r="AD97" s="7">
        <v>8</v>
      </c>
      <c r="AE97" s="7">
        <v>7</v>
      </c>
      <c r="AF97" s="8">
        <v>18</v>
      </c>
      <c r="AG97" s="4">
        <f t="shared" si="13"/>
        <v>302</v>
      </c>
    </row>
    <row r="98" spans="1:33" ht="18.75" x14ac:dyDescent="0.25">
      <c r="A98" s="47" t="s">
        <v>6</v>
      </c>
      <c r="B98" s="7">
        <v>8</v>
      </c>
      <c r="C98" s="7">
        <v>3</v>
      </c>
      <c r="D98" s="7">
        <v>9</v>
      </c>
      <c r="E98" s="7">
        <v>8</v>
      </c>
      <c r="F98" s="7">
        <v>11</v>
      </c>
      <c r="G98" s="7">
        <v>6</v>
      </c>
      <c r="H98" s="7">
        <v>9</v>
      </c>
      <c r="I98" s="7">
        <v>9</v>
      </c>
      <c r="J98" s="7">
        <v>9</v>
      </c>
      <c r="K98" s="7">
        <v>18</v>
      </c>
      <c r="L98" s="7">
        <v>23</v>
      </c>
      <c r="M98" s="7">
        <v>15</v>
      </c>
      <c r="N98" s="7">
        <v>18</v>
      </c>
      <c r="O98" s="7">
        <v>12</v>
      </c>
      <c r="P98" s="7">
        <v>18</v>
      </c>
      <c r="Q98" s="7">
        <v>6</v>
      </c>
      <c r="R98" s="7">
        <v>17</v>
      </c>
      <c r="S98" s="7">
        <v>15</v>
      </c>
      <c r="T98" s="7">
        <v>14</v>
      </c>
      <c r="U98" s="7">
        <v>24</v>
      </c>
      <c r="V98" s="7">
        <v>17</v>
      </c>
      <c r="W98" s="7">
        <v>14</v>
      </c>
      <c r="X98" s="7">
        <v>15</v>
      </c>
      <c r="Y98" s="7">
        <v>15</v>
      </c>
      <c r="Z98" s="7">
        <v>17</v>
      </c>
      <c r="AA98" s="7">
        <v>9</v>
      </c>
      <c r="AB98" s="7">
        <v>15</v>
      </c>
      <c r="AC98" s="7">
        <v>9</v>
      </c>
      <c r="AD98" s="7">
        <v>9</v>
      </c>
      <c r="AE98" s="7">
        <v>13</v>
      </c>
      <c r="AF98" s="8">
        <v>19</v>
      </c>
      <c r="AG98" s="4">
        <f t="shared" si="13"/>
        <v>404</v>
      </c>
    </row>
    <row r="99" spans="1:33" ht="18.75" x14ac:dyDescent="0.25">
      <c r="A99" s="48" t="s">
        <v>7</v>
      </c>
      <c r="B99" s="7">
        <v>8</v>
      </c>
      <c r="C99" s="7">
        <v>5</v>
      </c>
      <c r="D99" s="7">
        <v>9</v>
      </c>
      <c r="E99" s="7">
        <v>6</v>
      </c>
      <c r="F99" s="7">
        <v>12</v>
      </c>
      <c r="G99" s="7">
        <v>6</v>
      </c>
      <c r="H99" s="7">
        <v>11</v>
      </c>
      <c r="I99" s="7">
        <v>5</v>
      </c>
      <c r="J99" s="7">
        <v>6</v>
      </c>
      <c r="K99" s="7">
        <v>14</v>
      </c>
      <c r="L99" s="7">
        <v>16</v>
      </c>
      <c r="M99" s="7">
        <v>14</v>
      </c>
      <c r="N99" s="7">
        <v>21</v>
      </c>
      <c r="O99" s="7">
        <v>8</v>
      </c>
      <c r="P99" s="7">
        <v>15</v>
      </c>
      <c r="Q99" s="7">
        <v>10</v>
      </c>
      <c r="R99" s="7">
        <v>16</v>
      </c>
      <c r="S99" s="7">
        <v>13</v>
      </c>
      <c r="T99" s="7">
        <v>18</v>
      </c>
      <c r="U99" s="7">
        <v>15</v>
      </c>
      <c r="V99" s="7">
        <v>8</v>
      </c>
      <c r="W99" s="7">
        <v>16</v>
      </c>
      <c r="X99" s="7">
        <v>13</v>
      </c>
      <c r="Y99" s="7">
        <v>21</v>
      </c>
      <c r="Z99" s="7">
        <v>14</v>
      </c>
      <c r="AA99" s="7">
        <v>19</v>
      </c>
      <c r="AB99" s="7">
        <v>13</v>
      </c>
      <c r="AC99" s="7">
        <v>17</v>
      </c>
      <c r="AD99" s="7">
        <v>12</v>
      </c>
      <c r="AE99" s="7">
        <v>14</v>
      </c>
      <c r="AF99" s="8">
        <v>12</v>
      </c>
      <c r="AG99" s="4">
        <f t="shared" si="13"/>
        <v>387</v>
      </c>
    </row>
    <row r="100" spans="1:33" ht="18.75" x14ac:dyDescent="0.25">
      <c r="A100" s="42" t="s">
        <v>66</v>
      </c>
      <c r="B100" s="17">
        <f t="shared" ref="B100:AF100" si="17">SUM(B101:B115)</f>
        <v>124</v>
      </c>
      <c r="C100" s="17">
        <f t="shared" si="17"/>
        <v>128</v>
      </c>
      <c r="D100" s="17">
        <f t="shared" si="17"/>
        <v>192</v>
      </c>
      <c r="E100" s="17">
        <f t="shared" si="17"/>
        <v>145</v>
      </c>
      <c r="F100" s="17">
        <f t="shared" si="17"/>
        <v>132</v>
      </c>
      <c r="G100" s="17">
        <f t="shared" si="17"/>
        <v>112</v>
      </c>
      <c r="H100" s="17">
        <f t="shared" si="17"/>
        <v>119</v>
      </c>
      <c r="I100" s="17">
        <f t="shared" si="17"/>
        <v>104</v>
      </c>
      <c r="J100" s="17">
        <f t="shared" si="17"/>
        <v>123</v>
      </c>
      <c r="K100" s="17">
        <f t="shared" si="17"/>
        <v>162</v>
      </c>
      <c r="L100" s="17">
        <f t="shared" si="17"/>
        <v>174</v>
      </c>
      <c r="M100" s="17">
        <f t="shared" si="17"/>
        <v>142</v>
      </c>
      <c r="N100" s="17">
        <f t="shared" si="17"/>
        <v>128</v>
      </c>
      <c r="O100" s="17">
        <f t="shared" si="17"/>
        <v>144</v>
      </c>
      <c r="P100" s="17">
        <f t="shared" si="17"/>
        <v>174</v>
      </c>
      <c r="Q100" s="17">
        <f t="shared" si="17"/>
        <v>126</v>
      </c>
      <c r="R100" s="17">
        <f t="shared" si="17"/>
        <v>199</v>
      </c>
      <c r="S100" s="17">
        <f t="shared" si="17"/>
        <v>169</v>
      </c>
      <c r="T100" s="17">
        <f t="shared" si="17"/>
        <v>143</v>
      </c>
      <c r="U100" s="17">
        <f t="shared" si="17"/>
        <v>219</v>
      </c>
      <c r="V100" s="17">
        <f t="shared" si="17"/>
        <v>138</v>
      </c>
      <c r="W100" s="17">
        <f t="shared" si="17"/>
        <v>145</v>
      </c>
      <c r="X100" s="17">
        <f t="shared" si="17"/>
        <v>142</v>
      </c>
      <c r="Y100" s="17">
        <f t="shared" si="17"/>
        <v>216</v>
      </c>
      <c r="Z100" s="17">
        <f t="shared" si="17"/>
        <v>151</v>
      </c>
      <c r="AA100" s="17">
        <f t="shared" si="17"/>
        <v>154</v>
      </c>
      <c r="AB100" s="17">
        <f t="shared" si="17"/>
        <v>127</v>
      </c>
      <c r="AC100" s="17">
        <f t="shared" si="17"/>
        <v>134</v>
      </c>
      <c r="AD100" s="17">
        <f t="shared" si="17"/>
        <v>131</v>
      </c>
      <c r="AE100" s="17">
        <f t="shared" si="17"/>
        <v>132</v>
      </c>
      <c r="AF100" s="18">
        <f t="shared" si="17"/>
        <v>158</v>
      </c>
      <c r="AG100" s="4">
        <f t="shared" si="13"/>
        <v>4587</v>
      </c>
    </row>
    <row r="101" spans="1:33" ht="18.75" x14ac:dyDescent="0.25">
      <c r="A101" s="48" t="s">
        <v>8</v>
      </c>
      <c r="B101" s="7">
        <v>12</v>
      </c>
      <c r="C101" s="7">
        <v>16</v>
      </c>
      <c r="D101" s="7">
        <v>10</v>
      </c>
      <c r="E101" s="7">
        <v>7</v>
      </c>
      <c r="F101" s="7">
        <v>16</v>
      </c>
      <c r="G101" s="7">
        <v>9</v>
      </c>
      <c r="H101" s="7">
        <v>12</v>
      </c>
      <c r="I101" s="7">
        <v>11</v>
      </c>
      <c r="J101" s="7">
        <v>5</v>
      </c>
      <c r="K101" s="7">
        <v>14</v>
      </c>
      <c r="L101" s="7">
        <v>16</v>
      </c>
      <c r="M101" s="7">
        <v>15</v>
      </c>
      <c r="N101" s="7">
        <v>18</v>
      </c>
      <c r="O101" s="7">
        <v>14</v>
      </c>
      <c r="P101" s="7">
        <v>13</v>
      </c>
      <c r="Q101" s="7">
        <v>7</v>
      </c>
      <c r="R101" s="7">
        <v>17</v>
      </c>
      <c r="S101" s="7">
        <v>7</v>
      </c>
      <c r="T101" s="7">
        <v>15</v>
      </c>
      <c r="U101" s="7">
        <v>20</v>
      </c>
      <c r="V101" s="7">
        <v>17</v>
      </c>
      <c r="W101" s="7">
        <v>16</v>
      </c>
      <c r="X101" s="7">
        <v>12</v>
      </c>
      <c r="Y101" s="7">
        <v>19</v>
      </c>
      <c r="Z101" s="7">
        <v>14</v>
      </c>
      <c r="AA101" s="7">
        <v>17</v>
      </c>
      <c r="AB101" s="7">
        <v>22</v>
      </c>
      <c r="AC101" s="7">
        <v>14</v>
      </c>
      <c r="AD101" s="7">
        <v>16</v>
      </c>
      <c r="AE101" s="7">
        <v>12</v>
      </c>
      <c r="AF101" s="8">
        <v>10</v>
      </c>
      <c r="AG101" s="4">
        <f t="shared" si="13"/>
        <v>423</v>
      </c>
    </row>
    <row r="102" spans="1:33" ht="18.75" x14ac:dyDescent="0.25">
      <c r="A102" s="48" t="s">
        <v>9</v>
      </c>
      <c r="B102" s="7">
        <v>9</v>
      </c>
      <c r="C102" s="7">
        <v>13</v>
      </c>
      <c r="D102" s="7">
        <v>20</v>
      </c>
      <c r="E102" s="7">
        <v>15</v>
      </c>
      <c r="F102" s="7">
        <v>22</v>
      </c>
      <c r="G102" s="7">
        <v>17</v>
      </c>
      <c r="H102" s="7">
        <v>21</v>
      </c>
      <c r="I102" s="7">
        <v>21</v>
      </c>
      <c r="J102" s="7">
        <v>13</v>
      </c>
      <c r="K102" s="7">
        <v>14</v>
      </c>
      <c r="L102" s="7">
        <v>19</v>
      </c>
      <c r="M102" s="7">
        <v>16</v>
      </c>
      <c r="N102" s="7">
        <v>14</v>
      </c>
      <c r="O102" s="7">
        <v>14</v>
      </c>
      <c r="P102" s="7">
        <v>15</v>
      </c>
      <c r="Q102" s="7">
        <v>14</v>
      </c>
      <c r="R102" s="7">
        <v>16</v>
      </c>
      <c r="S102" s="7">
        <v>15</v>
      </c>
      <c r="T102" s="7">
        <v>12</v>
      </c>
      <c r="U102" s="7">
        <v>22</v>
      </c>
      <c r="V102" s="7">
        <v>14</v>
      </c>
      <c r="W102" s="7">
        <v>23</v>
      </c>
      <c r="X102" s="7">
        <v>17</v>
      </c>
      <c r="Y102" s="7">
        <v>19</v>
      </c>
      <c r="Z102" s="7">
        <v>9</v>
      </c>
      <c r="AA102" s="7">
        <v>18</v>
      </c>
      <c r="AB102" s="7">
        <v>15</v>
      </c>
      <c r="AC102" s="7">
        <v>20</v>
      </c>
      <c r="AD102" s="7">
        <v>15</v>
      </c>
      <c r="AE102" s="7">
        <v>13</v>
      </c>
      <c r="AF102" s="8">
        <v>17</v>
      </c>
      <c r="AG102" s="4">
        <f t="shared" si="13"/>
        <v>502</v>
      </c>
    </row>
    <row r="103" spans="1:33" ht="18.75" x14ac:dyDescent="0.25">
      <c r="A103" s="49" t="s">
        <v>10</v>
      </c>
      <c r="B103" s="7">
        <v>13</v>
      </c>
      <c r="C103" s="7">
        <v>9</v>
      </c>
      <c r="D103" s="7">
        <v>20</v>
      </c>
      <c r="E103" s="7">
        <v>10</v>
      </c>
      <c r="F103" s="7">
        <v>11</v>
      </c>
      <c r="G103" s="7">
        <v>6</v>
      </c>
      <c r="H103" s="7">
        <v>11</v>
      </c>
      <c r="I103" s="7">
        <v>10</v>
      </c>
      <c r="J103" s="7">
        <v>13</v>
      </c>
      <c r="K103" s="7">
        <v>19</v>
      </c>
      <c r="L103" s="7">
        <v>10</v>
      </c>
      <c r="M103" s="7">
        <v>14</v>
      </c>
      <c r="N103" s="7">
        <v>11</v>
      </c>
      <c r="O103" s="7">
        <v>12</v>
      </c>
      <c r="P103" s="7">
        <v>12</v>
      </c>
      <c r="Q103" s="7">
        <v>8</v>
      </c>
      <c r="R103" s="7">
        <v>21</v>
      </c>
      <c r="S103" s="7">
        <v>15</v>
      </c>
      <c r="T103" s="7">
        <v>15</v>
      </c>
      <c r="U103" s="7">
        <v>18</v>
      </c>
      <c r="V103" s="7">
        <v>13</v>
      </c>
      <c r="W103" s="7">
        <v>11</v>
      </c>
      <c r="X103" s="7">
        <v>9</v>
      </c>
      <c r="Y103" s="7">
        <v>20</v>
      </c>
      <c r="Z103" s="7">
        <v>17</v>
      </c>
      <c r="AA103" s="7">
        <v>15</v>
      </c>
      <c r="AB103" s="7">
        <v>13</v>
      </c>
      <c r="AC103" s="7">
        <v>8</v>
      </c>
      <c r="AD103" s="7">
        <v>10</v>
      </c>
      <c r="AE103" s="7">
        <v>16</v>
      </c>
      <c r="AF103" s="8">
        <v>6</v>
      </c>
      <c r="AG103" s="4">
        <f t="shared" si="13"/>
        <v>396</v>
      </c>
    </row>
    <row r="104" spans="1:33" ht="18.75" x14ac:dyDescent="0.25">
      <c r="A104" s="49" t="s">
        <v>11</v>
      </c>
      <c r="B104" s="7">
        <v>7</v>
      </c>
      <c r="C104" s="7">
        <v>15</v>
      </c>
      <c r="D104" s="7">
        <v>11</v>
      </c>
      <c r="E104" s="7">
        <v>13</v>
      </c>
      <c r="F104" s="7">
        <v>9</v>
      </c>
      <c r="G104" s="7">
        <v>10</v>
      </c>
      <c r="H104" s="7">
        <v>9</v>
      </c>
      <c r="I104" s="7">
        <v>9</v>
      </c>
      <c r="J104" s="7">
        <v>7</v>
      </c>
      <c r="K104" s="7">
        <v>14</v>
      </c>
      <c r="L104" s="7">
        <v>9</v>
      </c>
      <c r="M104" s="7">
        <v>10</v>
      </c>
      <c r="N104" s="7">
        <v>12</v>
      </c>
      <c r="O104" s="7">
        <v>11</v>
      </c>
      <c r="P104" s="7">
        <v>9</v>
      </c>
      <c r="Q104" s="7">
        <v>11</v>
      </c>
      <c r="R104" s="7">
        <v>20</v>
      </c>
      <c r="S104" s="7">
        <v>13</v>
      </c>
      <c r="T104" s="7">
        <v>10</v>
      </c>
      <c r="U104" s="7">
        <v>15</v>
      </c>
      <c r="V104" s="7">
        <v>6</v>
      </c>
      <c r="W104" s="7">
        <v>8</v>
      </c>
      <c r="X104" s="7">
        <v>12</v>
      </c>
      <c r="Y104" s="7">
        <v>16</v>
      </c>
      <c r="Z104" s="7">
        <v>12</v>
      </c>
      <c r="AA104" s="7">
        <v>16</v>
      </c>
      <c r="AB104" s="7">
        <v>13</v>
      </c>
      <c r="AC104" s="7">
        <v>5</v>
      </c>
      <c r="AD104" s="7">
        <v>9</v>
      </c>
      <c r="AE104" s="7">
        <v>15</v>
      </c>
      <c r="AF104" s="8">
        <v>14</v>
      </c>
      <c r="AG104" s="4">
        <f t="shared" si="13"/>
        <v>350</v>
      </c>
    </row>
    <row r="105" spans="1:33" ht="18.75" x14ac:dyDescent="0.25">
      <c r="A105" s="49" t="s">
        <v>12</v>
      </c>
      <c r="B105" s="7">
        <v>10</v>
      </c>
      <c r="C105" s="7">
        <v>10</v>
      </c>
      <c r="D105" s="7">
        <v>8</v>
      </c>
      <c r="E105" s="7">
        <v>12</v>
      </c>
      <c r="F105" s="7">
        <v>7</v>
      </c>
      <c r="G105" s="7">
        <v>9</v>
      </c>
      <c r="H105" s="7">
        <v>5</v>
      </c>
      <c r="I105" s="7">
        <v>3</v>
      </c>
      <c r="J105" s="7">
        <v>9</v>
      </c>
      <c r="K105" s="7">
        <v>7</v>
      </c>
      <c r="L105" s="7">
        <v>9</v>
      </c>
      <c r="M105" s="7">
        <v>6</v>
      </c>
      <c r="N105" s="7">
        <v>8</v>
      </c>
      <c r="O105" s="7">
        <v>10</v>
      </c>
      <c r="P105" s="7">
        <v>11</v>
      </c>
      <c r="Q105" s="7">
        <v>8</v>
      </c>
      <c r="R105" s="7">
        <v>15</v>
      </c>
      <c r="S105" s="7">
        <v>19</v>
      </c>
      <c r="T105" s="7">
        <v>6</v>
      </c>
      <c r="U105" s="7">
        <v>16</v>
      </c>
      <c r="V105" s="7">
        <v>8</v>
      </c>
      <c r="W105" s="7">
        <v>12</v>
      </c>
      <c r="X105" s="7">
        <v>10</v>
      </c>
      <c r="Y105" s="7">
        <v>15</v>
      </c>
      <c r="Z105" s="7">
        <v>5</v>
      </c>
      <c r="AA105" s="7">
        <v>14</v>
      </c>
      <c r="AB105" s="7">
        <v>3</v>
      </c>
      <c r="AC105" s="7">
        <v>8</v>
      </c>
      <c r="AD105" s="7">
        <v>5</v>
      </c>
      <c r="AE105" s="7">
        <v>12</v>
      </c>
      <c r="AF105" s="8">
        <v>17</v>
      </c>
      <c r="AG105" s="4">
        <f t="shared" si="13"/>
        <v>297</v>
      </c>
    </row>
    <row r="106" spans="1:33" ht="18.75" x14ac:dyDescent="0.25">
      <c r="A106" s="49" t="s">
        <v>13</v>
      </c>
      <c r="B106" s="7">
        <v>11</v>
      </c>
      <c r="C106" s="7">
        <v>9</v>
      </c>
      <c r="D106" s="7">
        <v>10</v>
      </c>
      <c r="E106" s="7">
        <v>12</v>
      </c>
      <c r="F106" s="7">
        <v>11</v>
      </c>
      <c r="G106" s="7">
        <v>9</v>
      </c>
      <c r="H106" s="7">
        <v>4</v>
      </c>
      <c r="I106" s="7">
        <v>6</v>
      </c>
      <c r="J106" s="7">
        <v>6</v>
      </c>
      <c r="K106" s="7">
        <v>10</v>
      </c>
      <c r="L106" s="7">
        <v>13</v>
      </c>
      <c r="M106" s="7">
        <v>12</v>
      </c>
      <c r="N106" s="7">
        <v>7</v>
      </c>
      <c r="O106" s="7">
        <v>12</v>
      </c>
      <c r="P106" s="7">
        <v>14</v>
      </c>
      <c r="Q106" s="7">
        <v>9</v>
      </c>
      <c r="R106" s="7">
        <v>13</v>
      </c>
      <c r="S106" s="7">
        <v>11</v>
      </c>
      <c r="T106" s="7">
        <v>18</v>
      </c>
      <c r="U106" s="7">
        <v>23</v>
      </c>
      <c r="V106" s="7">
        <v>10</v>
      </c>
      <c r="W106" s="7">
        <v>18</v>
      </c>
      <c r="X106" s="7">
        <v>11</v>
      </c>
      <c r="Y106" s="7">
        <v>7</v>
      </c>
      <c r="Z106" s="7">
        <v>11</v>
      </c>
      <c r="AA106" s="7">
        <v>4</v>
      </c>
      <c r="AB106" s="7">
        <v>4</v>
      </c>
      <c r="AC106" s="7">
        <v>12</v>
      </c>
      <c r="AD106" s="7">
        <v>7</v>
      </c>
      <c r="AE106" s="7">
        <v>7</v>
      </c>
      <c r="AF106" s="8">
        <v>8</v>
      </c>
      <c r="AG106" s="4">
        <f t="shared" si="13"/>
        <v>319</v>
      </c>
    </row>
    <row r="107" spans="1:33" ht="18.75" x14ac:dyDescent="0.25">
      <c r="A107" s="49" t="s">
        <v>14</v>
      </c>
      <c r="B107" s="7">
        <v>7</v>
      </c>
      <c r="C107" s="7">
        <v>13</v>
      </c>
      <c r="D107" s="7">
        <v>18</v>
      </c>
      <c r="E107" s="7">
        <v>10</v>
      </c>
      <c r="F107" s="7">
        <v>13</v>
      </c>
      <c r="G107" s="7">
        <v>5</v>
      </c>
      <c r="H107" s="7">
        <v>9</v>
      </c>
      <c r="I107" s="7">
        <v>8</v>
      </c>
      <c r="J107" s="7">
        <v>9</v>
      </c>
      <c r="K107" s="7">
        <v>14</v>
      </c>
      <c r="L107" s="7">
        <v>11</v>
      </c>
      <c r="M107" s="7">
        <v>15</v>
      </c>
      <c r="N107" s="7">
        <v>6</v>
      </c>
      <c r="O107" s="7">
        <v>12</v>
      </c>
      <c r="P107" s="7">
        <v>18</v>
      </c>
      <c r="Q107" s="7">
        <v>12</v>
      </c>
      <c r="R107" s="7">
        <v>11</v>
      </c>
      <c r="S107" s="7">
        <v>16</v>
      </c>
      <c r="T107" s="7">
        <v>10</v>
      </c>
      <c r="U107" s="7">
        <v>19</v>
      </c>
      <c r="V107" s="7">
        <v>9</v>
      </c>
      <c r="W107" s="7">
        <v>11</v>
      </c>
      <c r="X107" s="7">
        <v>15</v>
      </c>
      <c r="Y107" s="7">
        <v>15</v>
      </c>
      <c r="Z107" s="7">
        <v>12</v>
      </c>
      <c r="AA107" s="7">
        <v>9</v>
      </c>
      <c r="AB107" s="7">
        <v>5</v>
      </c>
      <c r="AC107" s="7">
        <v>13</v>
      </c>
      <c r="AD107" s="7">
        <v>10</v>
      </c>
      <c r="AE107" s="7">
        <v>10</v>
      </c>
      <c r="AF107" s="8">
        <v>7</v>
      </c>
      <c r="AG107" s="4">
        <f t="shared" si="13"/>
        <v>352</v>
      </c>
    </row>
    <row r="108" spans="1:33" ht="18.75" x14ac:dyDescent="0.25">
      <c r="A108" s="49" t="s">
        <v>15</v>
      </c>
      <c r="B108" s="7">
        <v>12</v>
      </c>
      <c r="C108" s="7">
        <v>8</v>
      </c>
      <c r="D108" s="7">
        <v>14</v>
      </c>
      <c r="E108" s="7">
        <v>10</v>
      </c>
      <c r="F108" s="7">
        <v>6</v>
      </c>
      <c r="G108" s="7">
        <v>9</v>
      </c>
      <c r="H108" s="7">
        <v>10</v>
      </c>
      <c r="I108" s="7">
        <v>8</v>
      </c>
      <c r="J108" s="7">
        <v>8</v>
      </c>
      <c r="K108" s="7">
        <v>12</v>
      </c>
      <c r="L108" s="7">
        <v>18</v>
      </c>
      <c r="M108" s="7">
        <v>10</v>
      </c>
      <c r="N108" s="7">
        <v>10</v>
      </c>
      <c r="O108" s="7">
        <v>11</v>
      </c>
      <c r="P108" s="7">
        <v>22</v>
      </c>
      <c r="Q108" s="7">
        <v>9</v>
      </c>
      <c r="R108" s="7">
        <v>18</v>
      </c>
      <c r="S108" s="7">
        <v>14</v>
      </c>
      <c r="T108" s="7">
        <v>14</v>
      </c>
      <c r="U108" s="7">
        <v>17</v>
      </c>
      <c r="V108" s="7">
        <v>9</v>
      </c>
      <c r="W108" s="7">
        <v>9</v>
      </c>
      <c r="X108" s="7">
        <v>6</v>
      </c>
      <c r="Y108" s="7">
        <v>18</v>
      </c>
      <c r="Z108" s="7">
        <v>18</v>
      </c>
      <c r="AA108" s="7">
        <v>12</v>
      </c>
      <c r="AB108" s="7">
        <v>13</v>
      </c>
      <c r="AC108" s="7">
        <v>6</v>
      </c>
      <c r="AD108" s="7">
        <v>17</v>
      </c>
      <c r="AE108" s="7">
        <v>10</v>
      </c>
      <c r="AF108" s="8">
        <v>19</v>
      </c>
      <c r="AG108" s="4">
        <f t="shared" si="13"/>
        <v>377</v>
      </c>
    </row>
    <row r="109" spans="1:33" ht="18.75" x14ac:dyDescent="0.25">
      <c r="A109" s="49" t="s">
        <v>16</v>
      </c>
      <c r="B109" s="7">
        <v>7</v>
      </c>
      <c r="C109" s="7">
        <v>7</v>
      </c>
      <c r="D109" s="7">
        <v>21</v>
      </c>
      <c r="E109" s="7">
        <v>11</v>
      </c>
      <c r="F109" s="7">
        <v>12</v>
      </c>
      <c r="G109" s="7">
        <v>8</v>
      </c>
      <c r="H109" s="7">
        <v>10</v>
      </c>
      <c r="I109" s="7">
        <v>6</v>
      </c>
      <c r="J109" s="7">
        <v>10</v>
      </c>
      <c r="K109" s="7">
        <v>11</v>
      </c>
      <c r="L109" s="7">
        <v>21</v>
      </c>
      <c r="M109" s="7">
        <v>12</v>
      </c>
      <c r="N109" s="7">
        <v>9</v>
      </c>
      <c r="O109" s="7">
        <v>9</v>
      </c>
      <c r="P109" s="7">
        <v>18</v>
      </c>
      <c r="Q109" s="7">
        <v>8</v>
      </c>
      <c r="R109" s="7">
        <v>19</v>
      </c>
      <c r="S109" s="7">
        <v>13</v>
      </c>
      <c r="T109" s="7">
        <v>7</v>
      </c>
      <c r="U109" s="7">
        <v>16</v>
      </c>
      <c r="V109" s="7">
        <v>13</v>
      </c>
      <c r="W109" s="7">
        <v>12</v>
      </c>
      <c r="X109" s="7">
        <v>8</v>
      </c>
      <c r="Y109" s="7">
        <v>21</v>
      </c>
      <c r="Z109" s="7">
        <v>12</v>
      </c>
      <c r="AA109" s="7">
        <v>7</v>
      </c>
      <c r="AB109" s="7">
        <v>10</v>
      </c>
      <c r="AC109" s="7">
        <v>9</v>
      </c>
      <c r="AD109" s="7">
        <v>15</v>
      </c>
      <c r="AE109" s="7">
        <v>7</v>
      </c>
      <c r="AF109" s="8">
        <v>12</v>
      </c>
      <c r="AG109" s="4">
        <f t="shared" si="13"/>
        <v>361</v>
      </c>
    </row>
    <row r="110" spans="1:33" ht="18.75" x14ac:dyDescent="0.25">
      <c r="A110" s="49" t="s">
        <v>17</v>
      </c>
      <c r="B110" s="7">
        <v>9</v>
      </c>
      <c r="C110" s="7">
        <v>8</v>
      </c>
      <c r="D110" s="7">
        <v>17</v>
      </c>
      <c r="E110" s="7">
        <v>11</v>
      </c>
      <c r="F110" s="7">
        <v>3</v>
      </c>
      <c r="G110" s="7">
        <v>11</v>
      </c>
      <c r="H110" s="7">
        <v>6</v>
      </c>
      <c r="I110" s="7">
        <v>3</v>
      </c>
      <c r="J110" s="7">
        <v>8</v>
      </c>
      <c r="K110" s="7">
        <v>13</v>
      </c>
      <c r="L110" s="7">
        <v>12</v>
      </c>
      <c r="M110" s="7">
        <v>6</v>
      </c>
      <c r="N110" s="7">
        <v>8</v>
      </c>
      <c r="O110" s="7">
        <v>15</v>
      </c>
      <c r="P110" s="7">
        <v>8</v>
      </c>
      <c r="Q110" s="7">
        <v>8</v>
      </c>
      <c r="R110" s="7">
        <v>13</v>
      </c>
      <c r="S110" s="7">
        <v>11</v>
      </c>
      <c r="T110" s="7">
        <v>8</v>
      </c>
      <c r="U110" s="7">
        <v>12</v>
      </c>
      <c r="V110" s="7">
        <v>5</v>
      </c>
      <c r="W110" s="7">
        <v>7</v>
      </c>
      <c r="X110" s="7">
        <v>10</v>
      </c>
      <c r="Y110" s="7">
        <v>19</v>
      </c>
      <c r="Z110" s="7">
        <v>7</v>
      </c>
      <c r="AA110" s="7">
        <v>15</v>
      </c>
      <c r="AB110" s="7">
        <v>6</v>
      </c>
      <c r="AC110" s="7">
        <v>9</v>
      </c>
      <c r="AD110" s="7">
        <v>5</v>
      </c>
      <c r="AE110" s="7">
        <v>8</v>
      </c>
      <c r="AF110" s="8">
        <v>9</v>
      </c>
      <c r="AG110" s="4">
        <f t="shared" si="13"/>
        <v>290</v>
      </c>
    </row>
    <row r="111" spans="1:33" ht="18.75" x14ac:dyDescent="0.25">
      <c r="A111" s="49" t="s">
        <v>18</v>
      </c>
      <c r="B111" s="7">
        <v>3</v>
      </c>
      <c r="C111" s="7">
        <v>7</v>
      </c>
      <c r="D111" s="7">
        <v>15</v>
      </c>
      <c r="E111" s="7">
        <v>9</v>
      </c>
      <c r="F111" s="7">
        <v>9</v>
      </c>
      <c r="G111" s="7">
        <v>4</v>
      </c>
      <c r="H111" s="7">
        <v>5</v>
      </c>
      <c r="I111" s="7">
        <v>6</v>
      </c>
      <c r="J111" s="7">
        <v>8</v>
      </c>
      <c r="K111" s="7">
        <v>15</v>
      </c>
      <c r="L111" s="7">
        <v>12</v>
      </c>
      <c r="M111" s="7">
        <v>8</v>
      </c>
      <c r="N111" s="7">
        <v>11</v>
      </c>
      <c r="O111" s="7">
        <v>9</v>
      </c>
      <c r="P111" s="7">
        <v>9</v>
      </c>
      <c r="Q111" s="7">
        <v>15</v>
      </c>
      <c r="R111" s="7">
        <v>9</v>
      </c>
      <c r="S111" s="7">
        <v>9</v>
      </c>
      <c r="T111" s="7">
        <v>7</v>
      </c>
      <c r="U111" s="7">
        <v>11</v>
      </c>
      <c r="V111" s="7">
        <v>8</v>
      </c>
      <c r="W111" s="7">
        <v>7</v>
      </c>
      <c r="X111" s="7">
        <v>9</v>
      </c>
      <c r="Y111" s="7">
        <v>11</v>
      </c>
      <c r="Z111" s="7">
        <v>7</v>
      </c>
      <c r="AA111" s="7">
        <v>7</v>
      </c>
      <c r="AB111" s="7">
        <v>9</v>
      </c>
      <c r="AC111" s="7">
        <v>5</v>
      </c>
      <c r="AD111" s="7">
        <v>6</v>
      </c>
      <c r="AE111" s="7">
        <v>5</v>
      </c>
      <c r="AF111" s="8">
        <v>13</v>
      </c>
      <c r="AG111" s="4">
        <f t="shared" si="13"/>
        <v>268</v>
      </c>
    </row>
    <row r="112" spans="1:33" ht="18.75" x14ac:dyDescent="0.25">
      <c r="A112" s="49" t="s">
        <v>19</v>
      </c>
      <c r="B112" s="7">
        <v>8</v>
      </c>
      <c r="C112" s="7">
        <v>5</v>
      </c>
      <c r="D112" s="7">
        <v>10</v>
      </c>
      <c r="E112" s="7">
        <v>10</v>
      </c>
      <c r="F112" s="7">
        <v>4</v>
      </c>
      <c r="G112" s="7">
        <v>4</v>
      </c>
      <c r="H112" s="7">
        <v>4</v>
      </c>
      <c r="I112" s="7">
        <v>3</v>
      </c>
      <c r="J112" s="7">
        <v>11</v>
      </c>
      <c r="K112" s="7">
        <v>7</v>
      </c>
      <c r="L112" s="7">
        <v>6</v>
      </c>
      <c r="M112" s="7">
        <v>5</v>
      </c>
      <c r="N112" s="7">
        <v>3</v>
      </c>
      <c r="O112" s="7">
        <v>4</v>
      </c>
      <c r="P112" s="7">
        <v>4</v>
      </c>
      <c r="Q112" s="7">
        <v>3</v>
      </c>
      <c r="R112" s="7">
        <v>15</v>
      </c>
      <c r="S112" s="7">
        <v>9</v>
      </c>
      <c r="T112" s="7">
        <v>6</v>
      </c>
      <c r="U112" s="7">
        <v>10</v>
      </c>
      <c r="V112" s="7">
        <v>11</v>
      </c>
      <c r="W112" s="7">
        <v>6</v>
      </c>
      <c r="X112" s="7">
        <v>7</v>
      </c>
      <c r="Y112" s="7">
        <v>12</v>
      </c>
      <c r="Z112" s="7">
        <v>7</v>
      </c>
      <c r="AA112" s="7">
        <v>10</v>
      </c>
      <c r="AB112" s="7">
        <v>3</v>
      </c>
      <c r="AC112" s="7">
        <v>9</v>
      </c>
      <c r="AD112" s="7">
        <v>6</v>
      </c>
      <c r="AE112" s="7">
        <v>3</v>
      </c>
      <c r="AF112" s="8">
        <v>7</v>
      </c>
      <c r="AG112" s="4">
        <f>SUM(B112:AF112)</f>
        <v>212</v>
      </c>
    </row>
    <row r="113" spans="1:33" ht="18.75" x14ac:dyDescent="0.25">
      <c r="A113" s="49" t="s">
        <v>20</v>
      </c>
      <c r="B113" s="7">
        <v>10</v>
      </c>
      <c r="C113" s="7">
        <v>1</v>
      </c>
      <c r="D113" s="7">
        <v>10</v>
      </c>
      <c r="E113" s="7">
        <v>7</v>
      </c>
      <c r="F113" s="7">
        <v>4</v>
      </c>
      <c r="G113" s="7">
        <v>5</v>
      </c>
      <c r="H113" s="7">
        <v>5</v>
      </c>
      <c r="I113" s="7">
        <v>7</v>
      </c>
      <c r="J113" s="7">
        <v>6</v>
      </c>
      <c r="K113" s="7">
        <v>8</v>
      </c>
      <c r="L113" s="7">
        <v>8</v>
      </c>
      <c r="M113" s="7">
        <v>8</v>
      </c>
      <c r="N113" s="7">
        <v>7</v>
      </c>
      <c r="O113" s="7">
        <v>3</v>
      </c>
      <c r="P113" s="7">
        <v>10</v>
      </c>
      <c r="Q113" s="7">
        <v>6</v>
      </c>
      <c r="R113" s="7">
        <v>4</v>
      </c>
      <c r="S113" s="7">
        <v>10</v>
      </c>
      <c r="T113" s="7">
        <v>6</v>
      </c>
      <c r="U113" s="7">
        <v>9</v>
      </c>
      <c r="V113" s="7">
        <v>7</v>
      </c>
      <c r="W113" s="7">
        <v>2</v>
      </c>
      <c r="X113" s="7">
        <v>10</v>
      </c>
      <c r="Y113" s="7">
        <v>12</v>
      </c>
      <c r="Z113" s="7">
        <v>5</v>
      </c>
      <c r="AA113" s="7">
        <v>4</v>
      </c>
      <c r="AB113" s="7">
        <v>5</v>
      </c>
      <c r="AC113" s="7">
        <v>7</v>
      </c>
      <c r="AD113" s="7">
        <v>1</v>
      </c>
      <c r="AE113" s="7">
        <v>4</v>
      </c>
      <c r="AF113" s="8">
        <v>6</v>
      </c>
      <c r="AG113" s="4">
        <f t="shared" si="13"/>
        <v>197</v>
      </c>
    </row>
    <row r="114" spans="1:33" ht="18.75" x14ac:dyDescent="0.25">
      <c r="A114" s="49" t="s">
        <v>21</v>
      </c>
      <c r="B114" s="7">
        <v>6</v>
      </c>
      <c r="C114" s="7">
        <v>7</v>
      </c>
      <c r="D114" s="7">
        <v>8</v>
      </c>
      <c r="E114" s="7">
        <v>8</v>
      </c>
      <c r="F114" s="7">
        <v>5</v>
      </c>
      <c r="G114" s="7">
        <v>6</v>
      </c>
      <c r="H114" s="7">
        <v>8</v>
      </c>
      <c r="I114" s="7">
        <v>3</v>
      </c>
      <c r="J114" s="7">
        <v>10</v>
      </c>
      <c r="K114" s="7">
        <v>4</v>
      </c>
      <c r="L114" s="7">
        <v>10</v>
      </c>
      <c r="M114" s="7">
        <v>5</v>
      </c>
      <c r="N114" s="7">
        <v>4</v>
      </c>
      <c r="O114" s="7">
        <v>8</v>
      </c>
      <c r="P114" s="7">
        <v>11</v>
      </c>
      <c r="Q114" s="7">
        <v>8</v>
      </c>
      <c r="R114" s="7">
        <v>8</v>
      </c>
      <c r="S114" s="7">
        <v>7</v>
      </c>
      <c r="T114" s="7">
        <v>9</v>
      </c>
      <c r="U114" s="7">
        <v>11</v>
      </c>
      <c r="V114" s="7">
        <v>8</v>
      </c>
      <c r="W114" s="7">
        <v>3</v>
      </c>
      <c r="X114" s="7">
        <v>6</v>
      </c>
      <c r="Y114" s="7">
        <v>12</v>
      </c>
      <c r="Z114" s="7">
        <v>15</v>
      </c>
      <c r="AA114" s="7">
        <v>6</v>
      </c>
      <c r="AB114" s="7">
        <v>6</v>
      </c>
      <c r="AC114" s="7">
        <v>9</v>
      </c>
      <c r="AD114" s="7">
        <v>9</v>
      </c>
      <c r="AE114" s="7">
        <v>10</v>
      </c>
      <c r="AF114" s="8">
        <v>13</v>
      </c>
      <c r="AG114" s="4">
        <f t="shared" si="13"/>
        <v>243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73</v>
      </c>
      <c r="C116" s="74">
        <f t="shared" si="18"/>
        <v>59</v>
      </c>
      <c r="D116" s="74">
        <f t="shared" si="18"/>
        <v>117</v>
      </c>
      <c r="E116" s="74">
        <f t="shared" si="18"/>
        <v>74</v>
      </c>
      <c r="F116" s="74">
        <f t="shared" si="18"/>
        <v>73</v>
      </c>
      <c r="G116" s="74">
        <f t="shared" si="18"/>
        <v>79</v>
      </c>
      <c r="H116" s="74">
        <f t="shared" si="18"/>
        <v>66</v>
      </c>
      <c r="I116" s="74">
        <f t="shared" si="18"/>
        <v>48</v>
      </c>
      <c r="J116" s="74">
        <f t="shared" si="18"/>
        <v>78</v>
      </c>
      <c r="K116" s="74">
        <f t="shared" si="18"/>
        <v>97</v>
      </c>
      <c r="L116" s="74">
        <f t="shared" si="18"/>
        <v>109</v>
      </c>
      <c r="M116" s="74">
        <f t="shared" si="18"/>
        <v>95</v>
      </c>
      <c r="N116" s="74">
        <f t="shared" si="18"/>
        <v>65</v>
      </c>
      <c r="O116" s="74">
        <f t="shared" si="18"/>
        <v>84</v>
      </c>
      <c r="P116" s="74">
        <f t="shared" si="18"/>
        <v>105</v>
      </c>
      <c r="Q116" s="74">
        <f t="shared" si="18"/>
        <v>57</v>
      </c>
      <c r="R116" s="74">
        <f t="shared" si="18"/>
        <v>108</v>
      </c>
      <c r="S116" s="74">
        <f t="shared" si="18"/>
        <v>110</v>
      </c>
      <c r="T116" s="74">
        <f t="shared" si="18"/>
        <v>86</v>
      </c>
      <c r="U116" s="74">
        <f t="shared" si="18"/>
        <v>139</v>
      </c>
      <c r="V116" s="74">
        <f t="shared" si="18"/>
        <v>102</v>
      </c>
      <c r="W116" s="74">
        <f t="shared" si="18"/>
        <v>83</v>
      </c>
      <c r="X116" s="74">
        <f t="shared" si="18"/>
        <v>96</v>
      </c>
      <c r="Y116" s="74">
        <f t="shared" si="18"/>
        <v>136</v>
      </c>
      <c r="Z116" s="74">
        <f t="shared" si="18"/>
        <v>104</v>
      </c>
      <c r="AA116" s="74">
        <f t="shared" si="18"/>
        <v>100</v>
      </c>
      <c r="AB116" s="74">
        <f t="shared" si="18"/>
        <v>75</v>
      </c>
      <c r="AC116" s="74">
        <f t="shared" si="18"/>
        <v>101</v>
      </c>
      <c r="AD116" s="74">
        <f t="shared" si="18"/>
        <v>57</v>
      </c>
      <c r="AE116" s="74">
        <f t="shared" si="18"/>
        <v>90</v>
      </c>
      <c r="AF116" s="84">
        <f t="shared" si="18"/>
        <v>110</v>
      </c>
      <c r="AG116" s="4">
        <f t="shared" si="13"/>
        <v>2776</v>
      </c>
    </row>
    <row r="117" spans="1:33" ht="18.75" x14ac:dyDescent="0.25">
      <c r="A117" s="43" t="s">
        <v>59</v>
      </c>
      <c r="B117" s="7">
        <v>49</v>
      </c>
      <c r="C117" s="7">
        <v>47</v>
      </c>
      <c r="D117" s="7">
        <v>78</v>
      </c>
      <c r="E117" s="7">
        <v>56</v>
      </c>
      <c r="F117" s="7">
        <v>55</v>
      </c>
      <c r="G117" s="7">
        <v>53</v>
      </c>
      <c r="H117" s="7">
        <v>53</v>
      </c>
      <c r="I117" s="7">
        <v>36</v>
      </c>
      <c r="J117" s="7">
        <v>57</v>
      </c>
      <c r="K117" s="7">
        <v>77</v>
      </c>
      <c r="L117" s="7">
        <v>76</v>
      </c>
      <c r="M117" s="7">
        <v>74</v>
      </c>
      <c r="N117" s="7">
        <v>41</v>
      </c>
      <c r="O117" s="7">
        <v>61</v>
      </c>
      <c r="P117" s="7">
        <v>75</v>
      </c>
      <c r="Q117" s="7">
        <v>45</v>
      </c>
      <c r="R117" s="7">
        <v>87</v>
      </c>
      <c r="S117" s="7">
        <v>70</v>
      </c>
      <c r="T117" s="7">
        <v>60</v>
      </c>
      <c r="U117" s="7">
        <v>102</v>
      </c>
      <c r="V117" s="7">
        <v>70</v>
      </c>
      <c r="W117" s="7">
        <v>62</v>
      </c>
      <c r="X117" s="7">
        <v>70</v>
      </c>
      <c r="Y117" s="7">
        <v>91</v>
      </c>
      <c r="Z117" s="7">
        <v>81</v>
      </c>
      <c r="AA117" s="7">
        <v>71</v>
      </c>
      <c r="AB117" s="7">
        <v>58</v>
      </c>
      <c r="AC117" s="7">
        <v>74</v>
      </c>
      <c r="AD117" s="7">
        <v>43</v>
      </c>
      <c r="AE117" s="7">
        <v>66</v>
      </c>
      <c r="AF117" s="8">
        <v>82</v>
      </c>
      <c r="AG117" s="4">
        <f t="shared" si="13"/>
        <v>2020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9+15</f>
        <v>24</v>
      </c>
      <c r="C129" s="13">
        <f>8+4</f>
        <v>12</v>
      </c>
      <c r="D129" s="13">
        <f>21+18</f>
        <v>39</v>
      </c>
      <c r="E129" s="13">
        <f>7+11</f>
        <v>18</v>
      </c>
      <c r="F129" s="13">
        <f>10+8</f>
        <v>18</v>
      </c>
      <c r="G129" s="13">
        <f>17+9</f>
        <v>26</v>
      </c>
      <c r="H129" s="13">
        <f>4+9</f>
        <v>13</v>
      </c>
      <c r="I129" s="13">
        <f>7+5</f>
        <v>12</v>
      </c>
      <c r="J129" s="13">
        <f>7+14</f>
        <v>21</v>
      </c>
      <c r="K129" s="13">
        <f>8+12</f>
        <v>20</v>
      </c>
      <c r="L129" s="13">
        <f>18+1+14</f>
        <v>33</v>
      </c>
      <c r="M129" s="13">
        <f>11+1+9</f>
        <v>21</v>
      </c>
      <c r="N129" s="13">
        <f>12+12</f>
        <v>24</v>
      </c>
      <c r="O129" s="13">
        <f>12+11</f>
        <v>23</v>
      </c>
      <c r="P129" s="13">
        <f>15+1+14</f>
        <v>30</v>
      </c>
      <c r="Q129" s="13">
        <f>2+1+9</f>
        <v>12</v>
      </c>
      <c r="R129" s="13">
        <f>7+14</f>
        <v>21</v>
      </c>
      <c r="S129" s="13">
        <f>1+19+20</f>
        <v>40</v>
      </c>
      <c r="T129" s="13">
        <f>15+11</f>
        <v>26</v>
      </c>
      <c r="U129" s="13">
        <f>15+1+21</f>
        <v>37</v>
      </c>
      <c r="V129" s="13">
        <f>16+16</f>
        <v>32</v>
      </c>
      <c r="W129" s="13">
        <f>12+9</f>
        <v>21</v>
      </c>
      <c r="X129" s="13">
        <f>8+18</f>
        <v>26</v>
      </c>
      <c r="Y129" s="13">
        <f>19+26</f>
        <v>45</v>
      </c>
      <c r="Z129" s="13">
        <f>9+14</f>
        <v>23</v>
      </c>
      <c r="AA129" s="13">
        <f>19+10</f>
        <v>29</v>
      </c>
      <c r="AB129" s="13">
        <f>9+8</f>
        <v>17</v>
      </c>
      <c r="AC129" s="13">
        <f>16+11</f>
        <v>27</v>
      </c>
      <c r="AD129" s="13">
        <f>8+6</f>
        <v>14</v>
      </c>
      <c r="AE129" s="13">
        <f>15+9</f>
        <v>24</v>
      </c>
      <c r="AF129" s="14">
        <f>13+15</f>
        <v>28</v>
      </c>
      <c r="AG129" s="4">
        <f t="shared" si="19"/>
        <v>756</v>
      </c>
    </row>
    <row r="130" spans="1:35" ht="18.75" x14ac:dyDescent="0.25">
      <c r="A130" s="73" t="s">
        <v>109</v>
      </c>
      <c r="B130" s="74">
        <f t="shared" ref="B130:AF130" si="20">SUM(B131:B143)</f>
        <v>146</v>
      </c>
      <c r="C130" s="74">
        <f t="shared" si="20"/>
        <v>143</v>
      </c>
      <c r="D130" s="74">
        <f t="shared" si="20"/>
        <v>226</v>
      </c>
      <c r="E130" s="74">
        <f t="shared" si="20"/>
        <v>173</v>
      </c>
      <c r="F130" s="74">
        <f t="shared" si="20"/>
        <v>164</v>
      </c>
      <c r="G130" s="74">
        <f t="shared" si="20"/>
        <v>132</v>
      </c>
      <c r="H130" s="74">
        <f t="shared" si="20"/>
        <v>144</v>
      </c>
      <c r="I130" s="74">
        <f t="shared" si="20"/>
        <v>126</v>
      </c>
      <c r="J130" s="74">
        <f t="shared" si="20"/>
        <v>151</v>
      </c>
      <c r="K130" s="74">
        <f t="shared" si="20"/>
        <v>225</v>
      </c>
      <c r="L130" s="74">
        <f t="shared" si="20"/>
        <v>244</v>
      </c>
      <c r="M130" s="74">
        <f t="shared" si="20"/>
        <v>190</v>
      </c>
      <c r="N130" s="74">
        <f t="shared" si="20"/>
        <v>183</v>
      </c>
      <c r="O130" s="74">
        <f t="shared" si="20"/>
        <v>174</v>
      </c>
      <c r="P130" s="74">
        <f t="shared" si="20"/>
        <v>224</v>
      </c>
      <c r="Q130" s="74">
        <f t="shared" si="20"/>
        <v>158</v>
      </c>
      <c r="R130" s="74">
        <f t="shared" si="20"/>
        <v>249</v>
      </c>
      <c r="S130" s="74">
        <f t="shared" si="20"/>
        <v>222</v>
      </c>
      <c r="T130" s="74">
        <f t="shared" si="20"/>
        <v>189</v>
      </c>
      <c r="U130" s="74">
        <f t="shared" si="20"/>
        <v>279</v>
      </c>
      <c r="V130" s="74">
        <f t="shared" si="20"/>
        <v>178</v>
      </c>
      <c r="W130" s="74">
        <f t="shared" si="20"/>
        <v>184</v>
      </c>
      <c r="X130" s="74">
        <f t="shared" si="20"/>
        <v>182</v>
      </c>
      <c r="Y130" s="74">
        <f t="shared" si="20"/>
        <v>274</v>
      </c>
      <c r="Z130" s="74">
        <f t="shared" si="20"/>
        <v>207</v>
      </c>
      <c r="AA130" s="74">
        <f t="shared" si="20"/>
        <v>191</v>
      </c>
      <c r="AB130" s="74">
        <f t="shared" si="20"/>
        <v>170</v>
      </c>
      <c r="AC130" s="74">
        <f t="shared" si="20"/>
        <v>175</v>
      </c>
      <c r="AD130" s="74">
        <f t="shared" si="20"/>
        <v>165</v>
      </c>
      <c r="AE130" s="74">
        <f t="shared" si="20"/>
        <v>177</v>
      </c>
      <c r="AF130" s="84">
        <f t="shared" si="20"/>
        <v>214</v>
      </c>
      <c r="AG130" s="150">
        <f t="shared" si="19"/>
        <v>5859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45</v>
      </c>
      <c r="C131" s="7">
        <v>47</v>
      </c>
      <c r="D131" s="7">
        <v>75</v>
      </c>
      <c r="E131" s="7">
        <v>56</v>
      </c>
      <c r="F131" s="7">
        <v>43</v>
      </c>
      <c r="G131" s="7">
        <v>45</v>
      </c>
      <c r="H131" s="7">
        <v>48</v>
      </c>
      <c r="I131" s="7">
        <v>35</v>
      </c>
      <c r="J131" s="7">
        <v>57</v>
      </c>
      <c r="K131" s="7">
        <v>75</v>
      </c>
      <c r="L131" s="7">
        <v>74</v>
      </c>
      <c r="M131" s="7">
        <v>63</v>
      </c>
      <c r="N131" s="7">
        <v>38</v>
      </c>
      <c r="O131" s="7">
        <v>58</v>
      </c>
      <c r="P131" s="7">
        <v>73</v>
      </c>
      <c r="Q131" s="7">
        <v>42</v>
      </c>
      <c r="R131" s="7">
        <v>82</v>
      </c>
      <c r="S131" s="7">
        <v>67</v>
      </c>
      <c r="T131" s="7">
        <v>54</v>
      </c>
      <c r="U131" s="7">
        <v>99</v>
      </c>
      <c r="V131" s="7">
        <v>55</v>
      </c>
      <c r="W131" s="7">
        <v>60</v>
      </c>
      <c r="X131" s="7">
        <v>66</v>
      </c>
      <c r="Y131" s="7">
        <v>87</v>
      </c>
      <c r="Z131" s="7">
        <v>67</v>
      </c>
      <c r="AA131" s="7">
        <v>67</v>
      </c>
      <c r="AB131" s="7">
        <v>47</v>
      </c>
      <c r="AC131" s="7">
        <v>58</v>
      </c>
      <c r="AD131" s="7">
        <v>41</v>
      </c>
      <c r="AE131" s="7">
        <v>64</v>
      </c>
      <c r="AF131" s="8">
        <v>71</v>
      </c>
      <c r="AG131" s="4">
        <f t="shared" si="19"/>
        <v>1859</v>
      </c>
    </row>
    <row r="132" spans="1:35" ht="18.75" x14ac:dyDescent="0.25">
      <c r="A132" s="43" t="s">
        <v>23</v>
      </c>
      <c r="B132" s="7">
        <v>9</v>
      </c>
      <c r="C132" s="7">
        <v>13</v>
      </c>
      <c r="D132" s="7">
        <v>12</v>
      </c>
      <c r="E132" s="7">
        <v>8</v>
      </c>
      <c r="F132" s="7">
        <v>12</v>
      </c>
      <c r="G132" s="7">
        <v>8</v>
      </c>
      <c r="H132" s="7">
        <v>7</v>
      </c>
      <c r="I132" s="7">
        <v>10</v>
      </c>
      <c r="J132" s="7">
        <v>2</v>
      </c>
      <c r="K132" s="7">
        <v>11</v>
      </c>
      <c r="L132" s="7">
        <v>12</v>
      </c>
      <c r="M132" s="7">
        <v>13</v>
      </c>
      <c r="N132" s="7">
        <v>7</v>
      </c>
      <c r="O132" s="7">
        <v>7</v>
      </c>
      <c r="P132" s="7">
        <v>7</v>
      </c>
      <c r="Q132" s="7">
        <v>13</v>
      </c>
      <c r="R132" s="7">
        <v>8</v>
      </c>
      <c r="S132" s="7">
        <v>21</v>
      </c>
      <c r="T132" s="7">
        <v>7</v>
      </c>
      <c r="U132" s="7">
        <v>17</v>
      </c>
      <c r="V132" s="7">
        <v>4</v>
      </c>
      <c r="W132" s="7">
        <v>13</v>
      </c>
      <c r="X132" s="7">
        <v>7</v>
      </c>
      <c r="Y132" s="7">
        <v>15</v>
      </c>
      <c r="Z132" s="7">
        <v>14</v>
      </c>
      <c r="AA132" s="7">
        <v>11</v>
      </c>
      <c r="AB132" s="7">
        <v>12</v>
      </c>
      <c r="AC132" s="7">
        <v>3</v>
      </c>
      <c r="AD132" s="7">
        <v>12</v>
      </c>
      <c r="AE132" s="7">
        <v>6</v>
      </c>
      <c r="AF132" s="8">
        <v>11</v>
      </c>
      <c r="AG132" s="4">
        <f t="shared" si="19"/>
        <v>312</v>
      </c>
    </row>
    <row r="133" spans="1:35" ht="18.75" x14ac:dyDescent="0.25">
      <c r="A133" s="43" t="s">
        <v>24</v>
      </c>
      <c r="B133" s="7">
        <v>9</v>
      </c>
      <c r="C133" s="7">
        <v>16</v>
      </c>
      <c r="D133" s="7">
        <v>13</v>
      </c>
      <c r="E133" s="7">
        <v>12</v>
      </c>
      <c r="F133" s="7">
        <v>10</v>
      </c>
      <c r="G133" s="7">
        <v>11</v>
      </c>
      <c r="H133" s="7">
        <v>6</v>
      </c>
      <c r="I133" s="7">
        <v>5</v>
      </c>
      <c r="J133" s="7">
        <v>9</v>
      </c>
      <c r="K133" s="7">
        <v>10</v>
      </c>
      <c r="L133" s="7">
        <v>13</v>
      </c>
      <c r="M133" s="7">
        <v>11</v>
      </c>
      <c r="N133" s="7">
        <v>10</v>
      </c>
      <c r="O133" s="7">
        <v>14</v>
      </c>
      <c r="P133" s="7">
        <v>14</v>
      </c>
      <c r="Q133" s="7">
        <v>9</v>
      </c>
      <c r="R133" s="7">
        <v>19</v>
      </c>
      <c r="S133" s="7">
        <v>12</v>
      </c>
      <c r="T133" s="7">
        <v>8</v>
      </c>
      <c r="U133" s="7">
        <v>19</v>
      </c>
      <c r="V133" s="7">
        <v>15</v>
      </c>
      <c r="W133" s="7">
        <v>14</v>
      </c>
      <c r="X133" s="7">
        <v>6</v>
      </c>
      <c r="Y133" s="7">
        <v>9</v>
      </c>
      <c r="Z133" s="7">
        <v>7</v>
      </c>
      <c r="AA133" s="7">
        <v>7</v>
      </c>
      <c r="AB133" s="7">
        <v>13</v>
      </c>
      <c r="AC133" s="7">
        <v>10</v>
      </c>
      <c r="AD133" s="7">
        <v>15</v>
      </c>
      <c r="AE133" s="7">
        <v>8</v>
      </c>
      <c r="AF133" s="8">
        <v>10</v>
      </c>
      <c r="AG133" s="4">
        <f t="shared" si="19"/>
        <v>344</v>
      </c>
    </row>
    <row r="134" spans="1:35" ht="18.75" x14ac:dyDescent="0.25">
      <c r="A134" s="43" t="s">
        <v>25</v>
      </c>
      <c r="B134" s="7">
        <v>6</v>
      </c>
      <c r="C134" s="7">
        <v>5</v>
      </c>
      <c r="D134" s="7">
        <f>1+13</f>
        <v>14</v>
      </c>
      <c r="E134" s="7">
        <f>1+4</f>
        <v>5</v>
      </c>
      <c r="F134" s="7">
        <f>10+1</f>
        <v>11</v>
      </c>
      <c r="G134" s="7">
        <v>5</v>
      </c>
      <c r="H134" s="7">
        <v>11</v>
      </c>
      <c r="I134" s="7">
        <v>5</v>
      </c>
      <c r="J134" s="7">
        <f>1+9</f>
        <v>10</v>
      </c>
      <c r="K134" s="7">
        <f>1+12+1</f>
        <v>14</v>
      </c>
      <c r="L134" s="7">
        <f>1+18</f>
        <v>19</v>
      </c>
      <c r="M134" s="7">
        <v>10</v>
      </c>
      <c r="N134" s="7">
        <v>15</v>
      </c>
      <c r="O134" s="7">
        <v>15</v>
      </c>
      <c r="P134" s="7">
        <f>20+1</f>
        <v>21</v>
      </c>
      <c r="Q134" s="7">
        <f>1+17+1</f>
        <v>19</v>
      </c>
      <c r="R134" s="7">
        <f>2+15</f>
        <v>17</v>
      </c>
      <c r="S134" s="7">
        <f>1+8+1</f>
        <v>10</v>
      </c>
      <c r="T134" s="7">
        <f>3+10</f>
        <v>13</v>
      </c>
      <c r="U134" s="7">
        <v>16</v>
      </c>
      <c r="V134" s="7">
        <v>3</v>
      </c>
      <c r="W134" s="7">
        <v>7</v>
      </c>
      <c r="X134" s="7">
        <f>1+6</f>
        <v>7</v>
      </c>
      <c r="Y134" s="7">
        <v>19</v>
      </c>
      <c r="Z134" s="7">
        <f>1+16</f>
        <v>17</v>
      </c>
      <c r="AA134" s="7">
        <f>1+10</f>
        <v>11</v>
      </c>
      <c r="AB134" s="7">
        <v>11</v>
      </c>
      <c r="AC134" s="7">
        <f>1+7</f>
        <v>8</v>
      </c>
      <c r="AD134" s="7">
        <v>8</v>
      </c>
      <c r="AE134" s="7">
        <f>13+1</f>
        <v>14</v>
      </c>
      <c r="AF134" s="8">
        <f>1+15</f>
        <v>16</v>
      </c>
      <c r="AG134" s="4">
        <f t="shared" ref="AG134:AG147" si="21">SUM(B134:AF134)</f>
        <v>362</v>
      </c>
    </row>
    <row r="135" spans="1:35" ht="18.75" x14ac:dyDescent="0.25">
      <c r="A135" s="43" t="s">
        <v>26</v>
      </c>
      <c r="B135" s="7">
        <v>11</v>
      </c>
      <c r="C135" s="7">
        <v>12</v>
      </c>
      <c r="D135" s="7">
        <v>9</v>
      </c>
      <c r="E135" s="7">
        <v>16</v>
      </c>
      <c r="F135" s="7">
        <v>10</v>
      </c>
      <c r="G135" s="7">
        <v>7</v>
      </c>
      <c r="H135" s="7">
        <v>9</v>
      </c>
      <c r="I135" s="7">
        <v>12</v>
      </c>
      <c r="J135" s="7">
        <v>11</v>
      </c>
      <c r="K135" s="7">
        <v>11</v>
      </c>
      <c r="L135" s="7">
        <v>15</v>
      </c>
      <c r="M135" s="7">
        <v>12</v>
      </c>
      <c r="N135" s="7">
        <v>17</v>
      </c>
      <c r="O135" s="7">
        <v>3</v>
      </c>
      <c r="P135" s="7">
        <v>13</v>
      </c>
      <c r="Q135" s="7">
        <v>6</v>
      </c>
      <c r="R135" s="7">
        <v>12</v>
      </c>
      <c r="S135" s="7">
        <v>8</v>
      </c>
      <c r="T135" s="7">
        <v>11</v>
      </c>
      <c r="U135" s="7">
        <v>13</v>
      </c>
      <c r="V135" s="7">
        <v>11</v>
      </c>
      <c r="W135" s="7">
        <v>10</v>
      </c>
      <c r="X135" s="7">
        <v>13</v>
      </c>
      <c r="Y135" s="7">
        <v>20</v>
      </c>
      <c r="Z135" s="7">
        <v>5</v>
      </c>
      <c r="AA135" s="7">
        <v>15</v>
      </c>
      <c r="AB135" s="7">
        <v>10</v>
      </c>
      <c r="AC135" s="7">
        <v>11</v>
      </c>
      <c r="AD135" s="7">
        <v>14</v>
      </c>
      <c r="AE135" s="7">
        <v>6</v>
      </c>
      <c r="AF135" s="8">
        <v>9</v>
      </c>
      <c r="AG135" s="4">
        <f t="shared" si="21"/>
        <v>342</v>
      </c>
    </row>
    <row r="136" spans="1:35" ht="18.75" x14ac:dyDescent="0.25">
      <c r="A136" s="43" t="s">
        <v>27</v>
      </c>
      <c r="B136" s="7">
        <v>22</v>
      </c>
      <c r="C136" s="7">
        <v>18</v>
      </c>
      <c r="D136" s="7">
        <v>43</v>
      </c>
      <c r="E136" s="7">
        <v>40</v>
      </c>
      <c r="F136" s="7">
        <v>36</v>
      </c>
      <c r="G136" s="7">
        <v>12</v>
      </c>
      <c r="H136" s="7">
        <v>36</v>
      </c>
      <c r="I136" s="7">
        <v>28</v>
      </c>
      <c r="J136" s="7">
        <v>26</v>
      </c>
      <c r="K136" s="7">
        <v>52</v>
      </c>
      <c r="L136" s="7">
        <v>42</v>
      </c>
      <c r="M136" s="7">
        <v>35</v>
      </c>
      <c r="N136" s="7">
        <v>50</v>
      </c>
      <c r="O136" s="7">
        <v>34</v>
      </c>
      <c r="P136" s="7">
        <v>38</v>
      </c>
      <c r="Q136" s="7">
        <v>36</v>
      </c>
      <c r="R136" s="7">
        <v>48</v>
      </c>
      <c r="S136" s="7">
        <v>44</v>
      </c>
      <c r="T136" s="7">
        <v>43</v>
      </c>
      <c r="U136" s="7">
        <v>51</v>
      </c>
      <c r="V136" s="7">
        <v>42</v>
      </c>
      <c r="W136" s="7">
        <v>36</v>
      </c>
      <c r="X136" s="7">
        <v>38</v>
      </c>
      <c r="Y136" s="7">
        <v>58</v>
      </c>
      <c r="Z136" s="7">
        <v>49</v>
      </c>
      <c r="AA136" s="7">
        <v>34</v>
      </c>
      <c r="AB136" s="7">
        <v>38</v>
      </c>
      <c r="AC136" s="7">
        <v>31</v>
      </c>
      <c r="AD136" s="7">
        <v>41</v>
      </c>
      <c r="AE136" s="7">
        <v>30</v>
      </c>
      <c r="AF136" s="8">
        <v>49</v>
      </c>
      <c r="AG136" s="4">
        <f t="shared" si="21"/>
        <v>1180</v>
      </c>
    </row>
    <row r="137" spans="1:35" ht="18.75" x14ac:dyDescent="0.25">
      <c r="A137" s="43" t="s">
        <v>28</v>
      </c>
      <c r="B137" s="7">
        <f>7+1</f>
        <v>8</v>
      </c>
      <c r="C137" s="7">
        <f>4+1</f>
        <v>5</v>
      </c>
      <c r="D137" s="7">
        <f>4+1</f>
        <v>5</v>
      </c>
      <c r="E137" s="7">
        <f>7+2</f>
        <v>9</v>
      </c>
      <c r="F137" s="7">
        <f>6+1</f>
        <v>7</v>
      </c>
      <c r="G137" s="7">
        <f>7+3</f>
        <v>10</v>
      </c>
      <c r="H137" s="7">
        <v>5</v>
      </c>
      <c r="I137" s="7">
        <f>3+1</f>
        <v>4</v>
      </c>
      <c r="J137" s="7">
        <f>5+1</f>
        <v>6</v>
      </c>
      <c r="K137" s="7">
        <f>11+2</f>
        <v>13</v>
      </c>
      <c r="L137" s="7">
        <f>12+4</f>
        <v>16</v>
      </c>
      <c r="M137" s="7">
        <f>10+1</f>
        <v>11</v>
      </c>
      <c r="N137" s="7">
        <f>7+1</f>
        <v>8</v>
      </c>
      <c r="O137" s="7">
        <f>4+1</f>
        <v>5</v>
      </c>
      <c r="P137" s="7">
        <f>8+1</f>
        <v>9</v>
      </c>
      <c r="Q137" s="7">
        <v>5</v>
      </c>
      <c r="R137" s="7">
        <f>11+2</f>
        <v>13</v>
      </c>
      <c r="S137" s="7">
        <f>7+1</f>
        <v>8</v>
      </c>
      <c r="T137" s="7">
        <f>8+3</f>
        <v>11</v>
      </c>
      <c r="U137" s="7">
        <f>9+2</f>
        <v>11</v>
      </c>
      <c r="V137" s="7">
        <v>6</v>
      </c>
      <c r="W137" s="7">
        <f>8+1</f>
        <v>9</v>
      </c>
      <c r="X137" s="7">
        <f>8+1</f>
        <v>9</v>
      </c>
      <c r="Y137" s="7">
        <v>7</v>
      </c>
      <c r="Z137" s="7">
        <f>6+2</f>
        <v>8</v>
      </c>
      <c r="AA137" s="7">
        <v>6</v>
      </c>
      <c r="AB137" s="7">
        <f>7+1</f>
        <v>8</v>
      </c>
      <c r="AC137" s="7">
        <v>15</v>
      </c>
      <c r="AD137" s="7">
        <v>5</v>
      </c>
      <c r="AE137" s="7">
        <v>15</v>
      </c>
      <c r="AF137" s="8">
        <v>9</v>
      </c>
      <c r="AG137" s="4">
        <f t="shared" si="21"/>
        <v>266</v>
      </c>
    </row>
    <row r="138" spans="1:35" ht="18.75" x14ac:dyDescent="0.25">
      <c r="A138" s="43" t="s">
        <v>29</v>
      </c>
      <c r="B138" s="7">
        <v>5</v>
      </c>
      <c r="C138" s="7">
        <v>7</v>
      </c>
      <c r="D138" s="7">
        <v>5</v>
      </c>
      <c r="E138" s="7">
        <v>1</v>
      </c>
      <c r="F138" s="7">
        <v>7</v>
      </c>
      <c r="G138" s="7">
        <v>5</v>
      </c>
      <c r="H138" s="7">
        <v>3</v>
      </c>
      <c r="I138" s="7">
        <v>5</v>
      </c>
      <c r="J138" s="7">
        <v>4</v>
      </c>
      <c r="K138" s="7">
        <v>4</v>
      </c>
      <c r="L138" s="7">
        <v>8</v>
      </c>
      <c r="M138" s="7">
        <v>6</v>
      </c>
      <c r="N138" s="7">
        <v>4</v>
      </c>
      <c r="O138" s="7">
        <v>5</v>
      </c>
      <c r="P138" s="7">
        <v>12</v>
      </c>
      <c r="Q138" s="7">
        <v>9</v>
      </c>
      <c r="R138" s="7">
        <v>12</v>
      </c>
      <c r="S138" s="7">
        <v>3</v>
      </c>
      <c r="T138" s="7">
        <v>1</v>
      </c>
      <c r="U138" s="7">
        <v>7</v>
      </c>
      <c r="V138" s="7">
        <v>5</v>
      </c>
      <c r="W138" s="7">
        <v>7</v>
      </c>
      <c r="X138" s="7">
        <v>4</v>
      </c>
      <c r="Y138" s="7">
        <v>5</v>
      </c>
      <c r="Z138" s="7">
        <v>5</v>
      </c>
      <c r="AA138" s="7">
        <v>3</v>
      </c>
      <c r="AB138" s="7">
        <v>6</v>
      </c>
      <c r="AC138" s="7">
        <v>7</v>
      </c>
      <c r="AD138" s="7">
        <v>6</v>
      </c>
      <c r="AE138" s="7">
        <v>5</v>
      </c>
      <c r="AF138" s="8">
        <v>4</v>
      </c>
      <c r="AG138" s="4">
        <f t="shared" si="21"/>
        <v>170</v>
      </c>
    </row>
    <row r="139" spans="1:35" ht="18.75" x14ac:dyDescent="0.25">
      <c r="A139" s="41" t="s">
        <v>30</v>
      </c>
      <c r="B139" s="7">
        <f>2+1</f>
        <v>3</v>
      </c>
      <c r="C139" s="7">
        <v>3</v>
      </c>
      <c r="D139" s="7">
        <f>1+3</f>
        <v>4</v>
      </c>
      <c r="E139" s="7">
        <f>1+2</f>
        <v>3</v>
      </c>
      <c r="F139" s="7">
        <f>1+4</f>
        <v>5</v>
      </c>
      <c r="G139" s="7">
        <f>2+1</f>
        <v>3</v>
      </c>
      <c r="H139" s="7">
        <v>2</v>
      </c>
      <c r="I139" s="7">
        <f>2+2</f>
        <v>4</v>
      </c>
      <c r="J139" s="7">
        <v>2</v>
      </c>
      <c r="K139" s="7">
        <f>1+1</f>
        <v>2</v>
      </c>
      <c r="L139" s="7">
        <f>1+3</f>
        <v>4</v>
      </c>
      <c r="M139" s="7">
        <v>3</v>
      </c>
      <c r="N139" s="7">
        <f>1+1</f>
        <v>2</v>
      </c>
      <c r="O139" s="7">
        <v>3</v>
      </c>
      <c r="P139" s="7">
        <v>2</v>
      </c>
      <c r="Q139" s="7"/>
      <c r="R139" s="7">
        <f>5+1</f>
        <v>6</v>
      </c>
      <c r="S139" s="7">
        <f>6+2</f>
        <v>8</v>
      </c>
      <c r="T139" s="7">
        <f>3+1</f>
        <v>4</v>
      </c>
      <c r="U139" s="7">
        <f>2+1</f>
        <v>3</v>
      </c>
      <c r="V139" s="7">
        <v>1</v>
      </c>
      <c r="W139" s="7">
        <v>1</v>
      </c>
      <c r="X139" s="7">
        <v>1</v>
      </c>
      <c r="Y139" s="7">
        <v>2</v>
      </c>
      <c r="Z139" s="7">
        <f>2+1</f>
        <v>3</v>
      </c>
      <c r="AA139" s="7">
        <f>4+4</f>
        <v>8</v>
      </c>
      <c r="AB139" s="7">
        <v>3</v>
      </c>
      <c r="AC139" s="7">
        <v>3</v>
      </c>
      <c r="AD139" s="7"/>
      <c r="AE139" s="7"/>
      <c r="AF139" s="8">
        <f>1+2</f>
        <v>3</v>
      </c>
      <c r="AG139" s="4">
        <f t="shared" si="21"/>
        <v>91</v>
      </c>
    </row>
    <row r="140" spans="1:35" ht="18.75" x14ac:dyDescent="0.25">
      <c r="A140" s="41" t="s">
        <v>31</v>
      </c>
      <c r="B140" s="7">
        <v>1</v>
      </c>
      <c r="C140" s="7">
        <v>1</v>
      </c>
      <c r="D140" s="7">
        <v>1</v>
      </c>
      <c r="E140" s="7">
        <v>2</v>
      </c>
      <c r="F140" s="7">
        <v>4</v>
      </c>
      <c r="G140" s="7">
        <v>1</v>
      </c>
      <c r="H140" s="7">
        <v>1</v>
      </c>
      <c r="I140" s="7">
        <v>3</v>
      </c>
      <c r="J140" s="7">
        <v>1</v>
      </c>
      <c r="K140" s="7">
        <v>4</v>
      </c>
      <c r="L140" s="7">
        <v>3</v>
      </c>
      <c r="M140" s="7"/>
      <c r="N140" s="7">
        <v>3</v>
      </c>
      <c r="O140" s="7"/>
      <c r="P140" s="7">
        <v>2</v>
      </c>
      <c r="Q140" s="7">
        <v>3</v>
      </c>
      <c r="R140" s="7">
        <v>4</v>
      </c>
      <c r="S140" s="7">
        <v>2</v>
      </c>
      <c r="T140" s="7">
        <v>4</v>
      </c>
      <c r="U140" s="7">
        <v>1</v>
      </c>
      <c r="V140" s="7">
        <v>6</v>
      </c>
      <c r="W140" s="7">
        <v>1</v>
      </c>
      <c r="X140" s="7">
        <v>1</v>
      </c>
      <c r="Y140" s="7">
        <v>3</v>
      </c>
      <c r="Z140" s="7">
        <v>5</v>
      </c>
      <c r="AA140" s="7">
        <v>1</v>
      </c>
      <c r="AB140" s="7">
        <v>1</v>
      </c>
      <c r="AC140" s="7">
        <v>1</v>
      </c>
      <c r="AD140" s="7">
        <v>3</v>
      </c>
      <c r="AE140" s="7">
        <v>4</v>
      </c>
      <c r="AF140" s="8">
        <v>1</v>
      </c>
      <c r="AG140" s="4">
        <f t="shared" si="21"/>
        <v>68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>
        <v>1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>
        <v>1</v>
      </c>
      <c r="Z141" s="7"/>
      <c r="AA141" s="7"/>
      <c r="AB141" s="7">
        <v>1</v>
      </c>
      <c r="AC141" s="7"/>
      <c r="AD141" s="7"/>
      <c r="AE141" s="7"/>
      <c r="AF141" s="8">
        <v>2</v>
      </c>
      <c r="AG141" s="4">
        <f t="shared" si="21"/>
        <v>5</v>
      </c>
    </row>
    <row r="142" spans="1:35" ht="18.75" x14ac:dyDescent="0.25">
      <c r="A142" s="43" t="s">
        <v>60</v>
      </c>
      <c r="B142" s="7">
        <f>1+1+1</f>
        <v>3</v>
      </c>
      <c r="C142" s="7">
        <f>1+1+1+1</f>
        <v>4</v>
      </c>
      <c r="D142" s="7">
        <f>1+1+1+1+1+1</f>
        <v>6</v>
      </c>
      <c r="E142" s="7">
        <f>2+1</f>
        <v>3</v>
      </c>
      <c r="F142" s="7">
        <f>1+1+7</f>
        <v>9</v>
      </c>
      <c r="G142" s="7">
        <f>1+1+3</f>
        <v>5</v>
      </c>
      <c r="H142" s="7">
        <f>2+2</f>
        <v>4</v>
      </c>
      <c r="I142" s="7">
        <f>2+1</f>
        <v>3</v>
      </c>
      <c r="J142" s="7">
        <f>1+1+1</f>
        <v>3</v>
      </c>
      <c r="K142" s="7">
        <f>2+3+2+1+1+1</f>
        <v>10</v>
      </c>
      <c r="L142" s="7">
        <f>1+1+3+1</f>
        <v>6</v>
      </c>
      <c r="M142" s="7">
        <f>1+2+2+1+2</f>
        <v>8</v>
      </c>
      <c r="N142" s="7">
        <f>1+1+1+1+1+1+1</f>
        <v>7</v>
      </c>
      <c r="O142" s="7">
        <f>1+1+1+1+1+1+2</f>
        <v>8</v>
      </c>
      <c r="P142" s="7">
        <f>1+1+1</f>
        <v>3</v>
      </c>
      <c r="Q142" s="7">
        <f>1+1+1+1+1</f>
        <v>5</v>
      </c>
      <c r="R142" s="7">
        <f>1+1+1+1+2+1+1</f>
        <v>8</v>
      </c>
      <c r="S142" s="7">
        <f>1</f>
        <v>1</v>
      </c>
      <c r="T142" s="7">
        <f>1+1+1+3+1+1+1</f>
        <v>9</v>
      </c>
      <c r="U142" s="7">
        <f>1+1+1+1+1+1</f>
        <v>6</v>
      </c>
      <c r="V142" s="7">
        <f>1+1+1+1+1+3</f>
        <v>8</v>
      </c>
      <c r="W142" s="7">
        <f>3+1+1+3</f>
        <v>8</v>
      </c>
      <c r="X142" s="7">
        <f>1+2+1+1+1</f>
        <v>6</v>
      </c>
      <c r="Y142" s="7">
        <f>1+1+1+1+1+1+1+1</f>
        <v>8</v>
      </c>
      <c r="Z142" s="7">
        <f>1+1+1+1+1+1+1</f>
        <v>7</v>
      </c>
      <c r="AA142" s="7">
        <f>1+1+1</f>
        <v>3</v>
      </c>
      <c r="AB142" s="7">
        <f>2+1+1+1</f>
        <v>5</v>
      </c>
      <c r="AC142" s="7">
        <f>1+1+1+2+1+1</f>
        <v>7</v>
      </c>
      <c r="AD142" s="7">
        <f>2+1+2+1+1</f>
        <v>7</v>
      </c>
      <c r="AE142" s="7">
        <f>1+1+1</f>
        <v>3</v>
      </c>
      <c r="AF142" s="8">
        <f>1+1+3+1</f>
        <v>6</v>
      </c>
      <c r="AG142" s="4">
        <f t="shared" si="21"/>
        <v>179</v>
      </c>
    </row>
    <row r="143" spans="1:35" ht="19.5" thickBot="1" x14ac:dyDescent="0.3">
      <c r="A143" s="75" t="s">
        <v>86</v>
      </c>
      <c r="B143" s="13">
        <f>9+15</f>
        <v>24</v>
      </c>
      <c r="C143" s="13">
        <f>8+4</f>
        <v>12</v>
      </c>
      <c r="D143" s="13">
        <f>21+18</f>
        <v>39</v>
      </c>
      <c r="E143" s="13">
        <f>7+11</f>
        <v>18</v>
      </c>
      <c r="F143" s="13">
        <v>10</v>
      </c>
      <c r="G143" s="13">
        <f>13+7</f>
        <v>20</v>
      </c>
      <c r="H143" s="13">
        <f>4+8</f>
        <v>12</v>
      </c>
      <c r="I143" s="13">
        <f>7+5</f>
        <v>12</v>
      </c>
      <c r="J143" s="13">
        <f>7+13</f>
        <v>20</v>
      </c>
      <c r="K143" s="13">
        <f>7+12</f>
        <v>19</v>
      </c>
      <c r="L143" s="13">
        <f>18+1+13</f>
        <v>32</v>
      </c>
      <c r="M143" s="13">
        <f>7+1+9</f>
        <v>17</v>
      </c>
      <c r="N143" s="13">
        <f>11+11</f>
        <v>22</v>
      </c>
      <c r="O143" s="13">
        <f>11+11</f>
        <v>22</v>
      </c>
      <c r="P143" s="13">
        <f>15+1+14</f>
        <v>30</v>
      </c>
      <c r="Q143" s="13">
        <f>2+1+8</f>
        <v>11</v>
      </c>
      <c r="R143" s="13">
        <f>7+13</f>
        <v>20</v>
      </c>
      <c r="S143" s="13">
        <f>1+18+19</f>
        <v>38</v>
      </c>
      <c r="T143" s="13">
        <f>14+10</f>
        <v>24</v>
      </c>
      <c r="U143" s="13">
        <f>15+1+20</f>
        <v>36</v>
      </c>
      <c r="V143" s="13">
        <f>12+10</f>
        <v>22</v>
      </c>
      <c r="W143" s="13">
        <f>10+8</f>
        <v>18</v>
      </c>
      <c r="X143" s="13">
        <f>8+16</f>
        <v>24</v>
      </c>
      <c r="Y143" s="13">
        <f>16+24</f>
        <v>40</v>
      </c>
      <c r="Z143" s="13">
        <f>7+13</f>
        <v>20</v>
      </c>
      <c r="AA143" s="13">
        <f>15+10</f>
        <v>25</v>
      </c>
      <c r="AB143" s="13">
        <f>8+7</f>
        <v>15</v>
      </c>
      <c r="AC143" s="13">
        <f>12+9</f>
        <v>21</v>
      </c>
      <c r="AD143" s="13">
        <f>8+5</f>
        <v>13</v>
      </c>
      <c r="AE143" s="13">
        <f>14+8</f>
        <v>22</v>
      </c>
      <c r="AF143" s="14">
        <f>12+11</f>
        <v>23</v>
      </c>
      <c r="AG143" s="108">
        <f t="shared" si="21"/>
        <v>681</v>
      </c>
    </row>
    <row r="144" spans="1:35" ht="19.5" thickBot="1" x14ac:dyDescent="0.3">
      <c r="A144" s="164" t="s">
        <v>89</v>
      </c>
      <c r="B144" s="165">
        <f t="shared" ref="B144:AD144" si="22">+B146+B156+B158+B167</f>
        <v>146</v>
      </c>
      <c r="C144" s="165">
        <f t="shared" si="22"/>
        <v>143</v>
      </c>
      <c r="D144" s="165">
        <f t="shared" si="22"/>
        <v>226</v>
      </c>
      <c r="E144" s="165">
        <f t="shared" si="22"/>
        <v>173</v>
      </c>
      <c r="F144" s="165">
        <f t="shared" si="22"/>
        <v>164</v>
      </c>
      <c r="G144" s="165">
        <f t="shared" si="22"/>
        <v>132</v>
      </c>
      <c r="H144" s="165">
        <f t="shared" si="22"/>
        <v>144</v>
      </c>
      <c r="I144" s="165">
        <f t="shared" si="22"/>
        <v>126</v>
      </c>
      <c r="J144" s="165">
        <f t="shared" si="22"/>
        <v>151</v>
      </c>
      <c r="K144" s="165">
        <f t="shared" si="22"/>
        <v>225</v>
      </c>
      <c r="L144" s="165">
        <f t="shared" si="22"/>
        <v>244</v>
      </c>
      <c r="M144" s="165">
        <f t="shared" si="22"/>
        <v>190</v>
      </c>
      <c r="N144" s="165">
        <f t="shared" si="22"/>
        <v>183</v>
      </c>
      <c r="O144" s="165">
        <f t="shared" si="22"/>
        <v>174</v>
      </c>
      <c r="P144" s="165">
        <f t="shared" si="22"/>
        <v>224</v>
      </c>
      <c r="Q144" s="165">
        <f t="shared" si="22"/>
        <v>158</v>
      </c>
      <c r="R144" s="165">
        <f t="shared" si="22"/>
        <v>249</v>
      </c>
      <c r="S144" s="165">
        <f t="shared" si="22"/>
        <v>222</v>
      </c>
      <c r="T144" s="165">
        <f t="shared" si="22"/>
        <v>189</v>
      </c>
      <c r="U144" s="165">
        <f t="shared" si="22"/>
        <v>279</v>
      </c>
      <c r="V144" s="165">
        <f t="shared" si="22"/>
        <v>178</v>
      </c>
      <c r="W144" s="165">
        <f t="shared" si="22"/>
        <v>184</v>
      </c>
      <c r="X144" s="165">
        <f t="shared" si="22"/>
        <v>182</v>
      </c>
      <c r="Y144" s="165">
        <f t="shared" si="22"/>
        <v>274</v>
      </c>
      <c r="Z144" s="165">
        <f t="shared" si="22"/>
        <v>207</v>
      </c>
      <c r="AA144" s="165">
        <f t="shared" si="22"/>
        <v>191</v>
      </c>
      <c r="AB144" s="165">
        <f t="shared" si="22"/>
        <v>170</v>
      </c>
      <c r="AC144" s="165">
        <f t="shared" si="22"/>
        <v>175</v>
      </c>
      <c r="AD144" s="165">
        <f t="shared" si="22"/>
        <v>165</v>
      </c>
      <c r="AE144" s="165">
        <f>+AE146+AE156+AE158+AE167</f>
        <v>177</v>
      </c>
      <c r="AF144" s="165">
        <f t="shared" ref="AF144" si="23">+AF146+AF156+AF158+AF167</f>
        <v>214</v>
      </c>
      <c r="AG144" s="116">
        <f t="shared" si="21"/>
        <v>5859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6</v>
      </c>
      <c r="C145" s="161">
        <f t="shared" si="24"/>
        <v>1</v>
      </c>
      <c r="D145" s="161">
        <f t="shared" si="24"/>
        <v>3</v>
      </c>
      <c r="E145" s="161">
        <f t="shared" si="24"/>
        <v>1</v>
      </c>
      <c r="F145" s="161">
        <f t="shared" si="24"/>
        <v>18</v>
      </c>
      <c r="G145" s="161">
        <f t="shared" si="24"/>
        <v>18</v>
      </c>
      <c r="H145" s="161">
        <f t="shared" si="24"/>
        <v>6</v>
      </c>
      <c r="I145" s="161">
        <f t="shared" si="24"/>
        <v>2</v>
      </c>
      <c r="J145" s="161">
        <f t="shared" si="24"/>
        <v>1</v>
      </c>
      <c r="K145" s="161">
        <f t="shared" si="24"/>
        <v>4</v>
      </c>
      <c r="L145" s="161">
        <f t="shared" si="24"/>
        <v>8</v>
      </c>
      <c r="M145" s="161">
        <f t="shared" si="24"/>
        <v>0</v>
      </c>
      <c r="N145" s="161">
        <f t="shared" si="24"/>
        <v>22</v>
      </c>
      <c r="O145" s="161">
        <f t="shared" si="24"/>
        <v>16</v>
      </c>
      <c r="P145" s="161">
        <f t="shared" si="24"/>
        <v>6</v>
      </c>
      <c r="Q145" s="161">
        <f t="shared" si="24"/>
        <v>12</v>
      </c>
      <c r="R145" s="161">
        <f t="shared" si="24"/>
        <v>6</v>
      </c>
      <c r="S145" s="161">
        <f t="shared" si="24"/>
        <v>22</v>
      </c>
      <c r="T145" s="161">
        <f t="shared" si="24"/>
        <v>15</v>
      </c>
      <c r="U145" s="161">
        <f t="shared" si="24"/>
        <v>11</v>
      </c>
      <c r="V145" s="161">
        <f t="shared" si="24"/>
        <v>56</v>
      </c>
      <c r="W145" s="161">
        <f t="shared" si="24"/>
        <v>14</v>
      </c>
      <c r="X145" s="161">
        <f t="shared" si="24"/>
        <v>17</v>
      </c>
      <c r="Y145" s="161">
        <f t="shared" si="24"/>
        <v>18</v>
      </c>
      <c r="Z145" s="161">
        <f t="shared" si="24"/>
        <v>33</v>
      </c>
      <c r="AA145" s="161">
        <f t="shared" si="24"/>
        <v>26</v>
      </c>
      <c r="AB145" s="161">
        <f t="shared" si="24"/>
        <v>38</v>
      </c>
      <c r="AC145" s="161">
        <f t="shared" si="24"/>
        <v>47</v>
      </c>
      <c r="AD145" s="161">
        <f t="shared" si="24"/>
        <v>3</v>
      </c>
      <c r="AE145" s="161">
        <f>+AE149+AE155+AE157+AE172</f>
        <v>6</v>
      </c>
      <c r="AF145" s="162">
        <f t="shared" ref="AF145" si="25">+AF149+AF155+AF157+AF172</f>
        <v>36</v>
      </c>
      <c r="AG145" s="163">
        <f t="shared" si="21"/>
        <v>472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17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6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23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4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1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23" si="28">SUM(B148:AF148)</f>
        <v>5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>
        <v>1</v>
      </c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1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>
        <f>1+1</f>
        <v>2</v>
      </c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2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v>1</v>
      </c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1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>
        <v>1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1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>
        <v>13</v>
      </c>
      <c r="L154" s="126"/>
      <c r="M154" s="126"/>
      <c r="N154" s="126"/>
      <c r="O154" s="126"/>
      <c r="P154" s="126"/>
      <c r="Q154" s="126"/>
      <c r="R154" s="126">
        <v>5</v>
      </c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18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146</v>
      </c>
      <c r="C156" s="56">
        <v>143</v>
      </c>
      <c r="D156" s="56">
        <v>222</v>
      </c>
      <c r="E156" s="56">
        <v>170</v>
      </c>
      <c r="F156" s="56">
        <v>163</v>
      </c>
      <c r="G156" s="56">
        <v>131</v>
      </c>
      <c r="H156" s="56">
        <v>143</v>
      </c>
      <c r="I156" s="56">
        <v>126</v>
      </c>
      <c r="J156" s="56">
        <v>150</v>
      </c>
      <c r="K156" s="56">
        <v>206</v>
      </c>
      <c r="L156" s="56">
        <v>243</v>
      </c>
      <c r="M156" s="56">
        <v>189</v>
      </c>
      <c r="N156" s="56">
        <v>182</v>
      </c>
      <c r="O156" s="56">
        <v>174</v>
      </c>
      <c r="P156" s="56">
        <v>223</v>
      </c>
      <c r="Q156" s="56">
        <v>157</v>
      </c>
      <c r="R156" s="56">
        <v>242</v>
      </c>
      <c r="S156" s="56">
        <v>220</v>
      </c>
      <c r="T156" s="56">
        <v>189</v>
      </c>
      <c r="U156" s="56">
        <v>278</v>
      </c>
      <c r="V156" s="56">
        <v>177</v>
      </c>
      <c r="W156" s="56">
        <v>183</v>
      </c>
      <c r="X156" s="56">
        <v>181</v>
      </c>
      <c r="Y156" s="56">
        <v>272</v>
      </c>
      <c r="Z156" s="56">
        <v>206</v>
      </c>
      <c r="AA156" s="56">
        <v>189</v>
      </c>
      <c r="AB156" s="56">
        <v>170</v>
      </c>
      <c r="AC156" s="56">
        <v>173</v>
      </c>
      <c r="AD156" s="56">
        <v>164</v>
      </c>
      <c r="AE156" s="56">
        <v>177</v>
      </c>
      <c r="AF156" s="85">
        <v>213</v>
      </c>
      <c r="AG156" s="95">
        <f t="shared" si="28"/>
        <v>5802</v>
      </c>
      <c r="AH156" s="2" t="s">
        <v>84</v>
      </c>
    </row>
    <row r="157" spans="1:34" ht="19.5" thickBot="1" x14ac:dyDescent="0.3">
      <c r="A157" s="75" t="s">
        <v>1</v>
      </c>
      <c r="B157" s="13">
        <v>6</v>
      </c>
      <c r="C157" s="13">
        <v>1</v>
      </c>
      <c r="D157" s="13">
        <v>3</v>
      </c>
      <c r="E157" s="13">
        <v>1</v>
      </c>
      <c r="F157" s="13">
        <v>18</v>
      </c>
      <c r="G157" s="13">
        <v>18</v>
      </c>
      <c r="H157" s="13">
        <v>6</v>
      </c>
      <c r="I157" s="13">
        <v>2</v>
      </c>
      <c r="J157" s="13">
        <v>1</v>
      </c>
      <c r="K157" s="13">
        <v>4</v>
      </c>
      <c r="L157" s="13">
        <v>8</v>
      </c>
      <c r="M157" s="13">
        <v>0</v>
      </c>
      <c r="N157" s="13">
        <v>22</v>
      </c>
      <c r="O157" s="13">
        <v>16</v>
      </c>
      <c r="P157" s="13">
        <v>6</v>
      </c>
      <c r="Q157" s="13">
        <v>12</v>
      </c>
      <c r="R157" s="13">
        <v>6</v>
      </c>
      <c r="S157" s="13">
        <v>22</v>
      </c>
      <c r="T157" s="13">
        <v>15</v>
      </c>
      <c r="U157" s="13">
        <v>11</v>
      </c>
      <c r="V157" s="13">
        <v>56</v>
      </c>
      <c r="W157" s="13">
        <v>14</v>
      </c>
      <c r="X157" s="13">
        <v>15</v>
      </c>
      <c r="Y157" s="13">
        <v>18</v>
      </c>
      <c r="Z157" s="13">
        <v>33</v>
      </c>
      <c r="AA157" s="13">
        <v>26</v>
      </c>
      <c r="AB157" s="13">
        <v>37</v>
      </c>
      <c r="AC157" s="13">
        <v>46</v>
      </c>
      <c r="AD157" s="13">
        <v>3</v>
      </c>
      <c r="AE157" s="13">
        <v>6</v>
      </c>
      <c r="AF157" s="14">
        <v>36</v>
      </c>
      <c r="AG157" s="157">
        <f t="shared" si="28"/>
        <v>468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0</v>
      </c>
      <c r="D158" s="122">
        <f t="shared" si="29"/>
        <v>3</v>
      </c>
      <c r="E158" s="122">
        <f t="shared" si="29"/>
        <v>2</v>
      </c>
      <c r="F158" s="122">
        <f t="shared" si="29"/>
        <v>0</v>
      </c>
      <c r="G158" s="122">
        <f t="shared" si="29"/>
        <v>0</v>
      </c>
      <c r="H158" s="122">
        <f t="shared" si="29"/>
        <v>0</v>
      </c>
      <c r="I158" s="122">
        <f t="shared" si="29"/>
        <v>0</v>
      </c>
      <c r="J158" s="122">
        <f t="shared" si="29"/>
        <v>1</v>
      </c>
      <c r="K158" s="122">
        <f t="shared" si="29"/>
        <v>2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0</v>
      </c>
      <c r="P158" s="122">
        <f t="shared" si="29"/>
        <v>1</v>
      </c>
      <c r="Q158" s="122">
        <f t="shared" si="29"/>
        <v>1</v>
      </c>
      <c r="R158" s="122">
        <f t="shared" si="29"/>
        <v>0</v>
      </c>
      <c r="S158" s="122">
        <f t="shared" si="29"/>
        <v>1</v>
      </c>
      <c r="T158" s="122">
        <f t="shared" si="29"/>
        <v>0</v>
      </c>
      <c r="U158" s="122">
        <f t="shared" si="29"/>
        <v>1</v>
      </c>
      <c r="V158" s="122">
        <f t="shared" si="29"/>
        <v>0</v>
      </c>
      <c r="W158" s="122">
        <f t="shared" si="29"/>
        <v>1</v>
      </c>
      <c r="X158" s="122">
        <f t="shared" si="29"/>
        <v>1</v>
      </c>
      <c r="Y158" s="122">
        <f t="shared" si="29"/>
        <v>2</v>
      </c>
      <c r="Z158" s="122">
        <f t="shared" si="29"/>
        <v>0</v>
      </c>
      <c r="AA158" s="122">
        <f t="shared" si="29"/>
        <v>0</v>
      </c>
      <c r="AB158" s="122">
        <f t="shared" si="29"/>
        <v>0</v>
      </c>
      <c r="AC158" s="122">
        <f t="shared" si="29"/>
        <v>1</v>
      </c>
      <c r="AD158" s="122">
        <f t="shared" si="29"/>
        <v>1</v>
      </c>
      <c r="AE158" s="122">
        <f t="shared" si="29"/>
        <v>0</v>
      </c>
      <c r="AF158" s="123">
        <f t="shared" si="29"/>
        <v>0</v>
      </c>
      <c r="AG158" s="124">
        <f t="shared" si="28"/>
        <v>18</v>
      </c>
    </row>
    <row r="159" spans="1:34" ht="18.75" x14ac:dyDescent="0.25">
      <c r="A159" s="129" t="s">
        <v>23</v>
      </c>
      <c r="B159" s="130"/>
      <c r="C159" s="130"/>
      <c r="D159" s="130">
        <v>2</v>
      </c>
      <c r="E159" s="130">
        <v>1</v>
      </c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3</v>
      </c>
    </row>
    <row r="160" spans="1:34" ht="18.75" x14ac:dyDescent="0.25">
      <c r="A160" s="50" t="s">
        <v>24</v>
      </c>
      <c r="B160" s="29"/>
      <c r="C160" s="29"/>
      <c r="D160" s="29">
        <v>1</v>
      </c>
      <c r="E160" s="29"/>
      <c r="F160" s="29"/>
      <c r="G160" s="29"/>
      <c r="H160" s="29"/>
      <c r="I160" s="29"/>
      <c r="J160" s="29"/>
      <c r="K160" s="29">
        <v>1</v>
      </c>
      <c r="L160" s="29"/>
      <c r="M160" s="29"/>
      <c r="N160" s="29"/>
      <c r="O160" s="29"/>
      <c r="P160" s="29"/>
      <c r="Q160" s="29"/>
      <c r="R160" s="29"/>
      <c r="S160" s="29"/>
      <c r="T160" s="29"/>
      <c r="U160" s="29">
        <v>1</v>
      </c>
      <c r="V160" s="29"/>
      <c r="W160" s="29">
        <v>1</v>
      </c>
      <c r="X160" s="29"/>
      <c r="Y160" s="29"/>
      <c r="Z160" s="29"/>
      <c r="AA160" s="29"/>
      <c r="AB160" s="29"/>
      <c r="AC160" s="29">
        <v>1</v>
      </c>
      <c r="AD160" s="29"/>
      <c r="AE160" s="29"/>
      <c r="AF160" s="21"/>
      <c r="AG160" s="4">
        <f t="shared" si="28"/>
        <v>5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>
        <v>1</v>
      </c>
      <c r="Q161" s="29"/>
      <c r="R161" s="29"/>
      <c r="S161" s="29"/>
      <c r="T161" s="29"/>
      <c r="U161" s="29"/>
      <c r="V161" s="29"/>
      <c r="W161" s="29"/>
      <c r="X161" s="29"/>
      <c r="Y161" s="29">
        <v>1</v>
      </c>
      <c r="Z161" s="29"/>
      <c r="AA161" s="29"/>
      <c r="AB161" s="29"/>
      <c r="AC161" s="29"/>
      <c r="AD161" s="29"/>
      <c r="AE161" s="29"/>
      <c r="AF161" s="21"/>
      <c r="AG161" s="4">
        <f t="shared" si="28"/>
        <v>2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/>
      <c r="I162" s="29"/>
      <c r="J162" s="29">
        <v>1</v>
      </c>
      <c r="K162" s="29"/>
      <c r="L162" s="29"/>
      <c r="M162" s="29"/>
      <c r="N162" s="29"/>
      <c r="O162" s="29"/>
      <c r="P162" s="29"/>
      <c r="Q162" s="29">
        <v>1</v>
      </c>
      <c r="R162" s="29"/>
      <c r="S162" s="29"/>
      <c r="T162" s="29"/>
      <c r="U162" s="29"/>
      <c r="V162" s="29"/>
      <c r="W162" s="29"/>
      <c r="X162" s="29">
        <v>1</v>
      </c>
      <c r="Y162" s="29">
        <v>1</v>
      </c>
      <c r="Z162" s="29"/>
      <c r="AA162" s="29"/>
      <c r="AB162" s="29"/>
      <c r="AC162" s="29"/>
      <c r="AD162" s="29"/>
      <c r="AE162" s="29"/>
      <c r="AF162" s="21"/>
      <c r="AG162" s="4">
        <f t="shared" si="28"/>
        <v>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>
        <v>1</v>
      </c>
      <c r="AE164" s="29"/>
      <c r="AF164" s="21"/>
      <c r="AG164" s="4">
        <f t="shared" si="28"/>
        <v>1</v>
      </c>
    </row>
    <row r="165" spans="1:34" ht="18.75" x14ac:dyDescent="0.25">
      <c r="A165" s="50" t="s">
        <v>28</v>
      </c>
      <c r="B165" s="29"/>
      <c r="C165" s="29"/>
      <c r="D165" s="29"/>
      <c r="E165" s="29">
        <v>1</v>
      </c>
      <c r="F165" s="29"/>
      <c r="G165" s="29"/>
      <c r="H165" s="29"/>
      <c r="I165" s="29"/>
      <c r="J165" s="29"/>
      <c r="K165" s="29">
        <v>1</v>
      </c>
      <c r="L165" s="29"/>
      <c r="M165" s="29"/>
      <c r="N165" s="29"/>
      <c r="O165" s="29"/>
      <c r="P165" s="29"/>
      <c r="Q165" s="29"/>
      <c r="R165" s="29"/>
      <c r="S165" s="29">
        <v>1</v>
      </c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3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1</v>
      </c>
      <c r="E167" s="56">
        <f t="shared" si="30"/>
        <v>1</v>
      </c>
      <c r="F167" s="56">
        <f t="shared" si="30"/>
        <v>1</v>
      </c>
      <c r="G167" s="56">
        <f t="shared" si="30"/>
        <v>1</v>
      </c>
      <c r="H167" s="56">
        <f t="shared" si="30"/>
        <v>1</v>
      </c>
      <c r="I167" s="56">
        <f t="shared" si="30"/>
        <v>0</v>
      </c>
      <c r="J167" s="56">
        <f t="shared" si="30"/>
        <v>0</v>
      </c>
      <c r="K167" s="56">
        <f t="shared" si="30"/>
        <v>0</v>
      </c>
      <c r="L167" s="56">
        <f t="shared" si="30"/>
        <v>1</v>
      </c>
      <c r="M167" s="56">
        <f t="shared" si="30"/>
        <v>1</v>
      </c>
      <c r="N167" s="56">
        <f t="shared" si="30"/>
        <v>1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1</v>
      </c>
      <c r="S167" s="56">
        <f t="shared" si="30"/>
        <v>1</v>
      </c>
      <c r="T167" s="56">
        <f t="shared" si="30"/>
        <v>0</v>
      </c>
      <c r="U167" s="56">
        <f t="shared" si="30"/>
        <v>0</v>
      </c>
      <c r="V167" s="56">
        <f t="shared" si="30"/>
        <v>1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1</v>
      </c>
      <c r="AA167" s="56">
        <f t="shared" si="30"/>
        <v>2</v>
      </c>
      <c r="AB167" s="56">
        <f t="shared" si="30"/>
        <v>0</v>
      </c>
      <c r="AC167" s="56">
        <f t="shared" si="30"/>
        <v>1</v>
      </c>
      <c r="AD167" s="56">
        <f t="shared" si="30"/>
        <v>0</v>
      </c>
      <c r="AE167" s="56">
        <f t="shared" si="30"/>
        <v>0</v>
      </c>
      <c r="AF167" s="85">
        <f t="shared" si="30"/>
        <v>1</v>
      </c>
      <c r="AG167" s="95">
        <f t="shared" si="28"/>
        <v>16</v>
      </c>
    </row>
    <row r="168" spans="1:34" ht="18.75" x14ac:dyDescent="0.25">
      <c r="A168" s="51" t="s">
        <v>30</v>
      </c>
      <c r="B168" s="29"/>
      <c r="C168" s="29"/>
      <c r="D168" s="29">
        <v>1</v>
      </c>
      <c r="E168" s="29">
        <v>1</v>
      </c>
      <c r="F168" s="29"/>
      <c r="G168" s="29">
        <v>1</v>
      </c>
      <c r="H168" s="29">
        <v>1</v>
      </c>
      <c r="I168" s="29"/>
      <c r="J168" s="29"/>
      <c r="K168" s="29"/>
      <c r="L168" s="29"/>
      <c r="M168" s="29">
        <v>1</v>
      </c>
      <c r="N168" s="29">
        <v>1</v>
      </c>
      <c r="O168" s="29"/>
      <c r="P168" s="29"/>
      <c r="Q168" s="29"/>
      <c r="R168" s="29"/>
      <c r="S168" s="29"/>
      <c r="T168" s="29"/>
      <c r="U168" s="29"/>
      <c r="V168" s="29">
        <v>1</v>
      </c>
      <c r="W168" s="29"/>
      <c r="X168" s="29"/>
      <c r="Y168" s="29"/>
      <c r="Z168" s="29">
        <v>1</v>
      </c>
      <c r="AA168" s="29">
        <v>2</v>
      </c>
      <c r="AB168" s="29"/>
      <c r="AC168" s="29"/>
      <c r="AD168" s="29"/>
      <c r="AE168" s="29"/>
      <c r="AF168" s="21">
        <v>1</v>
      </c>
      <c r="AG168" s="4">
        <f t="shared" si="28"/>
        <v>11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>
        <v>1</v>
      </c>
      <c r="G169" s="29"/>
      <c r="H169" s="29"/>
      <c r="I169" s="29"/>
      <c r="J169" s="29"/>
      <c r="K169" s="29"/>
      <c r="L169" s="29">
        <v>1</v>
      </c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>
        <v>1</v>
      </c>
      <c r="AD169" s="29"/>
      <c r="AE169" s="29"/>
      <c r="AF169" s="21"/>
      <c r="AG169" s="4">
        <f t="shared" si="28"/>
        <v>3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>
        <v>1</v>
      </c>
      <c r="S171" s="30">
        <v>1</v>
      </c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2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>
        <v>2</v>
      </c>
      <c r="Y172" s="151"/>
      <c r="Z172" s="151"/>
      <c r="AA172" s="151"/>
      <c r="AB172" s="151">
        <v>1</v>
      </c>
      <c r="AC172" s="151">
        <v>1</v>
      </c>
      <c r="AD172" s="151"/>
      <c r="AE172" s="151"/>
      <c r="AF172" s="152"/>
      <c r="AG172" s="159">
        <f t="shared" si="28"/>
        <v>4</v>
      </c>
    </row>
    <row r="173" spans="1:34" ht="18.75" x14ac:dyDescent="0.25">
      <c r="A173" s="68" t="s">
        <v>2</v>
      </c>
      <c r="B173" s="15">
        <v>0</v>
      </c>
      <c r="C173" s="15">
        <v>1</v>
      </c>
      <c r="D173" s="15">
        <v>1</v>
      </c>
      <c r="E173" s="15">
        <v>0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3</v>
      </c>
      <c r="L173" s="15">
        <v>2</v>
      </c>
      <c r="M173" s="15">
        <v>0</v>
      </c>
      <c r="N173" s="15">
        <v>1</v>
      </c>
      <c r="O173" s="15">
        <v>0</v>
      </c>
      <c r="P173" s="15">
        <v>2</v>
      </c>
      <c r="Q173" s="15">
        <v>0</v>
      </c>
      <c r="R173" s="15">
        <v>1</v>
      </c>
      <c r="S173" s="15">
        <v>0</v>
      </c>
      <c r="T173" s="15">
        <v>1</v>
      </c>
      <c r="U173" s="15">
        <v>1</v>
      </c>
      <c r="V173" s="15">
        <v>0</v>
      </c>
      <c r="W173" s="15">
        <v>1</v>
      </c>
      <c r="X173" s="15">
        <v>1</v>
      </c>
      <c r="Y173" s="15">
        <v>1</v>
      </c>
      <c r="Z173" s="15">
        <v>2</v>
      </c>
      <c r="AA173" s="15">
        <v>1</v>
      </c>
      <c r="AB173" s="15">
        <v>0</v>
      </c>
      <c r="AC173" s="15">
        <v>0</v>
      </c>
      <c r="AD173" s="15">
        <v>2</v>
      </c>
      <c r="AE173" s="15">
        <v>1</v>
      </c>
      <c r="AF173" s="23">
        <v>0</v>
      </c>
      <c r="AG173" s="5">
        <f t="shared" si="28"/>
        <v>23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8</v>
      </c>
      <c r="C174" s="16">
        <f t="shared" ref="C174:AF174" si="31">SUM(C175:C176)</f>
        <v>5</v>
      </c>
      <c r="D174" s="16">
        <f t="shared" si="31"/>
        <v>13</v>
      </c>
      <c r="E174" s="16">
        <f t="shared" si="31"/>
        <v>6</v>
      </c>
      <c r="F174" s="16">
        <f t="shared" si="31"/>
        <v>10</v>
      </c>
      <c r="G174" s="16">
        <f t="shared" si="31"/>
        <v>1</v>
      </c>
      <c r="H174" s="16">
        <f t="shared" si="31"/>
        <v>5</v>
      </c>
      <c r="I174" s="16">
        <f t="shared" si="31"/>
        <v>3</v>
      </c>
      <c r="J174" s="16">
        <f t="shared" si="31"/>
        <v>3</v>
      </c>
      <c r="K174" s="16">
        <f t="shared" si="31"/>
        <v>4</v>
      </c>
      <c r="L174" s="16">
        <f t="shared" si="31"/>
        <v>6</v>
      </c>
      <c r="M174" s="16">
        <f t="shared" si="31"/>
        <v>9</v>
      </c>
      <c r="N174" s="16">
        <f t="shared" si="31"/>
        <v>3</v>
      </c>
      <c r="O174" s="16">
        <f t="shared" si="31"/>
        <v>10</v>
      </c>
      <c r="P174" s="16">
        <f t="shared" si="31"/>
        <v>4</v>
      </c>
      <c r="Q174" s="16">
        <f t="shared" si="31"/>
        <v>7</v>
      </c>
      <c r="R174" s="16">
        <f t="shared" si="31"/>
        <v>4</v>
      </c>
      <c r="S174" s="16">
        <f t="shared" si="31"/>
        <v>3</v>
      </c>
      <c r="T174" s="16">
        <f t="shared" si="31"/>
        <v>7</v>
      </c>
      <c r="U174" s="16">
        <f t="shared" si="31"/>
        <v>4</v>
      </c>
      <c r="V174" s="16">
        <f t="shared" si="31"/>
        <v>13</v>
      </c>
      <c r="W174" s="16">
        <f t="shared" si="31"/>
        <v>7</v>
      </c>
      <c r="X174" s="16">
        <f t="shared" si="31"/>
        <v>7</v>
      </c>
      <c r="Y174" s="16">
        <f t="shared" si="31"/>
        <v>7</v>
      </c>
      <c r="Z174" s="16">
        <f t="shared" si="31"/>
        <v>9</v>
      </c>
      <c r="AA174" s="16">
        <f t="shared" si="31"/>
        <v>2</v>
      </c>
      <c r="AB174" s="16">
        <f t="shared" si="31"/>
        <v>2</v>
      </c>
      <c r="AC174" s="16">
        <f t="shared" si="31"/>
        <v>6</v>
      </c>
      <c r="AD174" s="16">
        <f t="shared" si="31"/>
        <v>11</v>
      </c>
      <c r="AE174" s="16">
        <f t="shared" si="31"/>
        <v>9</v>
      </c>
      <c r="AF174" s="24">
        <f t="shared" si="31"/>
        <v>3</v>
      </c>
      <c r="AG174" s="6">
        <f t="shared" si="28"/>
        <v>191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0</v>
      </c>
      <c r="D175" s="15">
        <v>2</v>
      </c>
      <c r="E175" s="15">
        <v>0</v>
      </c>
      <c r="F175" s="15">
        <v>2</v>
      </c>
      <c r="G175" s="15">
        <v>1</v>
      </c>
      <c r="H175" s="15">
        <v>0</v>
      </c>
      <c r="I175" s="15">
        <v>0</v>
      </c>
      <c r="J175" s="15">
        <v>1</v>
      </c>
      <c r="K175" s="15">
        <v>0</v>
      </c>
      <c r="L175" s="15">
        <v>0</v>
      </c>
      <c r="M175" s="15">
        <v>0</v>
      </c>
      <c r="N175" s="15">
        <v>0</v>
      </c>
      <c r="O175" s="15">
        <v>1</v>
      </c>
      <c r="P175" s="15">
        <v>1</v>
      </c>
      <c r="Q175" s="15">
        <v>2</v>
      </c>
      <c r="R175" s="15">
        <v>0</v>
      </c>
      <c r="S175" s="15">
        <v>1</v>
      </c>
      <c r="T175" s="15">
        <v>1</v>
      </c>
      <c r="U175" s="15">
        <v>1</v>
      </c>
      <c r="V175" s="15">
        <v>1</v>
      </c>
      <c r="W175" s="15">
        <v>0</v>
      </c>
      <c r="X175" s="15">
        <v>1</v>
      </c>
      <c r="Y175" s="15">
        <v>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23">
        <v>0</v>
      </c>
      <c r="AG175" s="5">
        <f t="shared" si="28"/>
        <v>17</v>
      </c>
      <c r="AH175" s="2" t="s">
        <v>138</v>
      </c>
    </row>
    <row r="176" spans="1:34" ht="19.5" thickBot="1" x14ac:dyDescent="0.3">
      <c r="A176" s="104" t="s">
        <v>119</v>
      </c>
      <c r="B176" s="101">
        <v>7</v>
      </c>
      <c r="C176" s="101">
        <v>5</v>
      </c>
      <c r="D176" s="101">
        <v>11</v>
      </c>
      <c r="E176" s="101">
        <v>6</v>
      </c>
      <c r="F176" s="101">
        <v>8</v>
      </c>
      <c r="G176" s="101">
        <v>0</v>
      </c>
      <c r="H176" s="101">
        <v>5</v>
      </c>
      <c r="I176" s="101">
        <v>3</v>
      </c>
      <c r="J176" s="101">
        <v>2</v>
      </c>
      <c r="K176" s="101">
        <v>4</v>
      </c>
      <c r="L176" s="101">
        <v>6</v>
      </c>
      <c r="M176" s="101">
        <v>9</v>
      </c>
      <c r="N176" s="101">
        <v>3</v>
      </c>
      <c r="O176" s="101">
        <v>9</v>
      </c>
      <c r="P176" s="101">
        <v>3</v>
      </c>
      <c r="Q176" s="101">
        <v>5</v>
      </c>
      <c r="R176" s="101">
        <v>4</v>
      </c>
      <c r="S176" s="101">
        <v>2</v>
      </c>
      <c r="T176" s="101">
        <v>6</v>
      </c>
      <c r="U176" s="101">
        <v>3</v>
      </c>
      <c r="V176" s="101">
        <v>12</v>
      </c>
      <c r="W176" s="101">
        <v>7</v>
      </c>
      <c r="X176" s="101">
        <v>6</v>
      </c>
      <c r="Y176" s="101">
        <v>6</v>
      </c>
      <c r="Z176" s="101">
        <v>9</v>
      </c>
      <c r="AA176" s="101">
        <v>2</v>
      </c>
      <c r="AB176" s="101">
        <v>2</v>
      </c>
      <c r="AC176" s="101">
        <v>6</v>
      </c>
      <c r="AD176" s="101">
        <v>11</v>
      </c>
      <c r="AE176" s="101">
        <v>9</v>
      </c>
      <c r="AF176" s="102">
        <v>3</v>
      </c>
      <c r="AG176" s="103">
        <f t="shared" si="28"/>
        <v>174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20</v>
      </c>
      <c r="C179" s="220">
        <f t="shared" si="32"/>
        <v>12</v>
      </c>
      <c r="D179" s="220">
        <f t="shared" si="32"/>
        <v>16</v>
      </c>
      <c r="E179" s="220">
        <f t="shared" si="32"/>
        <v>9</v>
      </c>
      <c r="F179" s="220">
        <f t="shared" si="32"/>
        <v>16</v>
      </c>
      <c r="G179" s="220">
        <f t="shared" si="32"/>
        <v>10</v>
      </c>
      <c r="H179" s="220">
        <f t="shared" si="32"/>
        <v>8</v>
      </c>
      <c r="I179" s="220">
        <f t="shared" si="32"/>
        <v>13</v>
      </c>
      <c r="J179" s="220">
        <f t="shared" si="32"/>
        <v>8</v>
      </c>
      <c r="K179" s="220">
        <f t="shared" si="32"/>
        <v>15</v>
      </c>
      <c r="L179" s="220">
        <f t="shared" si="32"/>
        <v>19</v>
      </c>
      <c r="M179" s="220">
        <f t="shared" si="32"/>
        <v>14</v>
      </c>
      <c r="N179" s="220">
        <f t="shared" si="32"/>
        <v>14</v>
      </c>
      <c r="O179" s="220">
        <f t="shared" si="32"/>
        <v>19</v>
      </c>
      <c r="P179" s="220">
        <f t="shared" si="32"/>
        <v>20</v>
      </c>
      <c r="Q179" s="220">
        <f t="shared" si="32"/>
        <v>11</v>
      </c>
      <c r="R179" s="220">
        <f t="shared" si="32"/>
        <v>13</v>
      </c>
      <c r="S179" s="220">
        <f t="shared" si="32"/>
        <v>11</v>
      </c>
      <c r="T179" s="220">
        <f t="shared" si="32"/>
        <v>21</v>
      </c>
      <c r="U179" s="220">
        <f t="shared" si="32"/>
        <v>21</v>
      </c>
      <c r="V179" s="220">
        <f t="shared" si="32"/>
        <v>11</v>
      </c>
      <c r="W179" s="220">
        <f t="shared" si="32"/>
        <v>18</v>
      </c>
      <c r="X179" s="220">
        <f t="shared" si="32"/>
        <v>15</v>
      </c>
      <c r="Y179" s="220">
        <f t="shared" si="32"/>
        <v>10</v>
      </c>
      <c r="Z179" s="220">
        <f t="shared" si="32"/>
        <v>4</v>
      </c>
      <c r="AA179" s="220">
        <f t="shared" si="32"/>
        <v>15</v>
      </c>
      <c r="AB179" s="220">
        <f t="shared" si="32"/>
        <v>19</v>
      </c>
      <c r="AC179" s="220">
        <f t="shared" si="32"/>
        <v>15</v>
      </c>
      <c r="AD179" s="220">
        <f t="shared" si="32"/>
        <v>13</v>
      </c>
      <c r="AE179" s="220">
        <f t="shared" si="32"/>
        <v>16</v>
      </c>
      <c r="AF179" s="221">
        <f t="shared" si="32"/>
        <v>14</v>
      </c>
      <c r="AG179" s="156">
        <f t="shared" si="28"/>
        <v>440</v>
      </c>
      <c r="AH179" s="38"/>
    </row>
    <row r="180" spans="1:34" ht="18.75" x14ac:dyDescent="0.25">
      <c r="A180" s="109" t="s">
        <v>4</v>
      </c>
      <c r="B180" s="216">
        <v>4</v>
      </c>
      <c r="C180" s="216">
        <v>1</v>
      </c>
      <c r="D180" s="216">
        <v>8</v>
      </c>
      <c r="E180" s="216">
        <v>4</v>
      </c>
      <c r="F180" s="216">
        <v>3</v>
      </c>
      <c r="G180" s="216">
        <v>4</v>
      </c>
      <c r="H180" s="216">
        <v>1</v>
      </c>
      <c r="I180" s="216">
        <v>3</v>
      </c>
      <c r="J180" s="216">
        <v>2</v>
      </c>
      <c r="K180" s="216">
        <v>9</v>
      </c>
      <c r="L180" s="216">
        <v>6</v>
      </c>
      <c r="M180" s="216">
        <v>1</v>
      </c>
      <c r="N180" s="217">
        <v>6</v>
      </c>
      <c r="O180" s="217">
        <v>7</v>
      </c>
      <c r="P180" s="217">
        <v>6</v>
      </c>
      <c r="Q180" s="217">
        <v>3</v>
      </c>
      <c r="R180" s="217">
        <v>6</v>
      </c>
      <c r="S180" s="217">
        <v>8</v>
      </c>
      <c r="T180" s="217"/>
      <c r="U180" s="217">
        <v>9</v>
      </c>
      <c r="V180" s="217"/>
      <c r="W180" s="217">
        <v>6</v>
      </c>
      <c r="X180" s="217">
        <v>6</v>
      </c>
      <c r="Y180" s="217">
        <v>6</v>
      </c>
      <c r="Z180" s="217">
        <v>2</v>
      </c>
      <c r="AA180" s="217">
        <v>2</v>
      </c>
      <c r="AB180" s="217">
        <v>6</v>
      </c>
      <c r="AC180" s="217">
        <v>6</v>
      </c>
      <c r="AD180" s="217">
        <v>2</v>
      </c>
      <c r="AE180" s="217">
        <v>9</v>
      </c>
      <c r="AF180" s="218">
        <v>7</v>
      </c>
      <c r="AG180" s="31">
        <f t="shared" si="28"/>
        <v>143</v>
      </c>
    </row>
    <row r="181" spans="1:34" ht="18.75" x14ac:dyDescent="0.25">
      <c r="A181" s="109" t="s">
        <v>122</v>
      </c>
      <c r="B181" s="147">
        <v>3</v>
      </c>
      <c r="C181" s="147"/>
      <c r="D181" s="147"/>
      <c r="E181" s="147"/>
      <c r="F181" s="147"/>
      <c r="G181" s="147"/>
      <c r="H181" s="147"/>
      <c r="I181" s="147"/>
      <c r="J181" s="147">
        <v>2</v>
      </c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>
        <v>1</v>
      </c>
      <c r="AE181" s="17"/>
      <c r="AF181" s="18"/>
      <c r="AG181" s="4">
        <f t="shared" si="28"/>
        <v>6</v>
      </c>
    </row>
    <row r="182" spans="1:34" ht="18.75" x14ac:dyDescent="0.25">
      <c r="A182" s="109" t="s">
        <v>123</v>
      </c>
      <c r="B182" s="147">
        <v>4</v>
      </c>
      <c r="C182" s="147">
        <v>4</v>
      </c>
      <c r="D182" s="147"/>
      <c r="E182" s="147">
        <v>4</v>
      </c>
      <c r="F182" s="147">
        <v>8</v>
      </c>
      <c r="G182" s="147">
        <v>5</v>
      </c>
      <c r="H182" s="147">
        <v>5</v>
      </c>
      <c r="I182" s="147">
        <v>4</v>
      </c>
      <c r="J182" s="147">
        <v>2</v>
      </c>
      <c r="K182" s="147"/>
      <c r="L182" s="147">
        <v>9</v>
      </c>
      <c r="M182" s="147">
        <v>8</v>
      </c>
      <c r="N182" s="17">
        <v>7</v>
      </c>
      <c r="O182" s="17">
        <v>7</v>
      </c>
      <c r="P182" s="17"/>
      <c r="Q182" s="17">
        <v>4</v>
      </c>
      <c r="R182" s="17"/>
      <c r="S182" s="17">
        <v>3</v>
      </c>
      <c r="T182" s="17">
        <v>15</v>
      </c>
      <c r="U182" s="17">
        <v>10</v>
      </c>
      <c r="V182" s="17">
        <v>7</v>
      </c>
      <c r="W182" s="17">
        <v>3</v>
      </c>
      <c r="X182" s="17">
        <v>6</v>
      </c>
      <c r="Y182" s="17"/>
      <c r="Z182" s="17"/>
      <c r="AA182" s="17">
        <v>12</v>
      </c>
      <c r="AB182" s="17">
        <v>9</v>
      </c>
      <c r="AC182" s="17">
        <v>8</v>
      </c>
      <c r="AD182" s="17">
        <v>5</v>
      </c>
      <c r="AE182" s="17">
        <v>4</v>
      </c>
      <c r="AF182" s="18"/>
      <c r="AG182" s="4">
        <f t="shared" si="28"/>
        <v>153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>
        <v>2</v>
      </c>
      <c r="C185" s="147"/>
      <c r="D185" s="147"/>
      <c r="E185" s="147"/>
      <c r="F185" s="147"/>
      <c r="G185" s="147"/>
      <c r="H185" s="147"/>
      <c r="I185" s="147">
        <v>2</v>
      </c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>
        <v>1</v>
      </c>
      <c r="AE185" s="17"/>
      <c r="AF185" s="18"/>
      <c r="AG185" s="4">
        <f t="shared" si="28"/>
        <v>5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>
        <v>1</v>
      </c>
      <c r="X186" s="17"/>
      <c r="Y186" s="17"/>
      <c r="Z186" s="17">
        <v>1</v>
      </c>
      <c r="AA186" s="17"/>
      <c r="AB186" s="17"/>
      <c r="AC186" s="17"/>
      <c r="AD186" s="17"/>
      <c r="AE186" s="17"/>
      <c r="AF186" s="18"/>
      <c r="AG186" s="4">
        <f t="shared" si="28"/>
        <v>2</v>
      </c>
    </row>
    <row r="187" spans="1:34" ht="18.75" x14ac:dyDescent="0.25">
      <c r="A187" s="109" t="s">
        <v>139</v>
      </c>
      <c r="B187" s="147">
        <v>4</v>
      </c>
      <c r="C187" s="147">
        <v>1</v>
      </c>
      <c r="D187" s="147">
        <v>4</v>
      </c>
      <c r="E187" s="147"/>
      <c r="F187" s="147">
        <v>2</v>
      </c>
      <c r="G187" s="147">
        <v>1</v>
      </c>
      <c r="H187" s="147">
        <v>1</v>
      </c>
      <c r="I187" s="147">
        <v>3</v>
      </c>
      <c r="J187" s="147">
        <v>1</v>
      </c>
      <c r="K187" s="147">
        <v>1</v>
      </c>
      <c r="L187" s="147">
        <v>2</v>
      </c>
      <c r="M187" s="147"/>
      <c r="N187" s="17"/>
      <c r="O187" s="17"/>
      <c r="P187" s="17">
        <v>10</v>
      </c>
      <c r="Q187" s="17">
        <v>1</v>
      </c>
      <c r="R187" s="17">
        <v>3</v>
      </c>
      <c r="S187" s="17"/>
      <c r="T187" s="17"/>
      <c r="U187" s="17"/>
      <c r="V187" s="17"/>
      <c r="W187" s="17">
        <v>3</v>
      </c>
      <c r="X187" s="17">
        <v>1</v>
      </c>
      <c r="Y187" s="17">
        <v>1</v>
      </c>
      <c r="Z187" s="17"/>
      <c r="AA187" s="17"/>
      <c r="AB187" s="17"/>
      <c r="AC187" s="17"/>
      <c r="AD187" s="17"/>
      <c r="AE187" s="17"/>
      <c r="AF187" s="18">
        <v>3</v>
      </c>
      <c r="AG187" s="4">
        <f t="shared" si="28"/>
        <v>42</v>
      </c>
    </row>
    <row r="188" spans="1:34" ht="18.75" x14ac:dyDescent="0.25">
      <c r="A188" s="110" t="s">
        <v>63</v>
      </c>
      <c r="B188" s="147">
        <v>2</v>
      </c>
      <c r="C188" s="147"/>
      <c r="D188" s="147"/>
      <c r="E188" s="147"/>
      <c r="F188" s="147">
        <v>1</v>
      </c>
      <c r="G188" s="147"/>
      <c r="H188" s="147">
        <v>1</v>
      </c>
      <c r="I188" s="147"/>
      <c r="J188" s="147"/>
      <c r="K188" s="147"/>
      <c r="L188" s="147"/>
      <c r="M188" s="147">
        <v>3</v>
      </c>
      <c r="N188" s="17"/>
      <c r="O188" s="17">
        <v>1</v>
      </c>
      <c r="P188" s="17"/>
      <c r="Q188" s="17"/>
      <c r="R188" s="17"/>
      <c r="S188" s="17"/>
      <c r="T188" s="17">
        <v>1</v>
      </c>
      <c r="U188" s="17"/>
      <c r="V188" s="17"/>
      <c r="W188" s="17">
        <v>1</v>
      </c>
      <c r="X188" s="17"/>
      <c r="Y188" s="17"/>
      <c r="Z188" s="17"/>
      <c r="AA188" s="17">
        <v>1</v>
      </c>
      <c r="AB188" s="17">
        <v>1</v>
      </c>
      <c r="AC188" s="17">
        <v>1</v>
      </c>
      <c r="AD188" s="17">
        <v>1</v>
      </c>
      <c r="AE188" s="17">
        <v>2</v>
      </c>
      <c r="AF188" s="18"/>
      <c r="AG188" s="4">
        <f t="shared" si="28"/>
        <v>16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>
        <v>1</v>
      </c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1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/>
      <c r="C192" s="244">
        <v>1</v>
      </c>
      <c r="D192" s="244">
        <v>2</v>
      </c>
      <c r="E192" s="244">
        <v>1</v>
      </c>
      <c r="F192" s="244">
        <v>1</v>
      </c>
      <c r="G192" s="244"/>
      <c r="H192" s="244"/>
      <c r="I192" s="244"/>
      <c r="J192" s="244"/>
      <c r="K192" s="244">
        <v>2</v>
      </c>
      <c r="L192" s="244">
        <v>2</v>
      </c>
      <c r="M192" s="244"/>
      <c r="N192" s="245"/>
      <c r="O192" s="245">
        <v>2</v>
      </c>
      <c r="P192" s="245">
        <v>1</v>
      </c>
      <c r="Q192" s="245">
        <v>2</v>
      </c>
      <c r="R192" s="245">
        <v>2</v>
      </c>
      <c r="S192" s="245"/>
      <c r="T192" s="245">
        <v>2</v>
      </c>
      <c r="U192" s="245"/>
      <c r="V192" s="245">
        <v>1</v>
      </c>
      <c r="W192" s="245"/>
      <c r="X192" s="245"/>
      <c r="Y192" s="245">
        <v>2</v>
      </c>
      <c r="Z192" s="245">
        <v>1</v>
      </c>
      <c r="AA192" s="245"/>
      <c r="AB192" s="245">
        <v>1</v>
      </c>
      <c r="AC192" s="245"/>
      <c r="AD192" s="245">
        <v>2</v>
      </c>
      <c r="AE192" s="245">
        <v>1</v>
      </c>
      <c r="AF192" s="246">
        <v>2</v>
      </c>
      <c r="AG192" s="247">
        <f t="shared" si="28"/>
        <v>28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>
        <v>2</v>
      </c>
      <c r="D196" s="147"/>
      <c r="E196" s="147"/>
      <c r="F196" s="147"/>
      <c r="G196" s="147"/>
      <c r="H196" s="147"/>
      <c r="I196" s="147"/>
      <c r="J196" s="147"/>
      <c r="K196" s="147">
        <v>2</v>
      </c>
      <c r="L196" s="147"/>
      <c r="M196" s="147"/>
      <c r="N196" s="17"/>
      <c r="O196" s="17"/>
      <c r="P196" s="17">
        <v>1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5</v>
      </c>
    </row>
    <row r="197" spans="1:34" ht="18.75" x14ac:dyDescent="0.25">
      <c r="A197" s="111" t="s">
        <v>143</v>
      </c>
      <c r="B197" s="147"/>
      <c r="C197" s="147">
        <v>1</v>
      </c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>
        <v>1</v>
      </c>
      <c r="Q197" s="17"/>
      <c r="R197" s="17"/>
      <c r="S197" s="17"/>
      <c r="T197" s="17"/>
      <c r="U197" s="17"/>
      <c r="V197" s="17"/>
      <c r="W197" s="17">
        <v>1</v>
      </c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3</v>
      </c>
    </row>
    <row r="198" spans="1:34" ht="18.75" x14ac:dyDescent="0.25">
      <c r="A198" s="110" t="s">
        <v>124</v>
      </c>
      <c r="B198" s="147">
        <v>1</v>
      </c>
      <c r="C198" s="147">
        <v>1</v>
      </c>
      <c r="D198" s="147">
        <v>1</v>
      </c>
      <c r="E198" s="147"/>
      <c r="F198" s="147"/>
      <c r="G198" s="147"/>
      <c r="H198" s="147"/>
      <c r="I198" s="147">
        <v>1</v>
      </c>
      <c r="J198" s="147"/>
      <c r="K198" s="147"/>
      <c r="L198" s="147"/>
      <c r="M198" s="147">
        <v>1</v>
      </c>
      <c r="N198" s="17">
        <v>1</v>
      </c>
      <c r="O198" s="17"/>
      <c r="P198" s="17"/>
      <c r="Q198" s="17"/>
      <c r="R198" s="17"/>
      <c r="S198" s="17"/>
      <c r="T198" s="17">
        <v>2</v>
      </c>
      <c r="U198" s="17"/>
      <c r="V198" s="17">
        <v>3</v>
      </c>
      <c r="W198" s="17">
        <v>2</v>
      </c>
      <c r="X198" s="17">
        <v>1</v>
      </c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14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>
        <v>1</v>
      </c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>
        <v>1</v>
      </c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1</v>
      </c>
    </row>
    <row r="201" spans="1:34" ht="18.75" x14ac:dyDescent="0.25">
      <c r="A201" s="110" t="s">
        <v>126</v>
      </c>
      <c r="B201" s="202"/>
      <c r="C201" s="202">
        <v>1</v>
      </c>
      <c r="D201" s="202"/>
      <c r="E201" s="202"/>
      <c r="F201" s="202"/>
      <c r="G201" s="202"/>
      <c r="H201" s="202"/>
      <c r="I201" s="202"/>
      <c r="J201" s="202">
        <v>1</v>
      </c>
      <c r="K201" s="202">
        <v>1</v>
      </c>
      <c r="L201" s="202"/>
      <c r="M201" s="202">
        <v>1</v>
      </c>
      <c r="N201" s="203"/>
      <c r="O201" s="203">
        <v>2</v>
      </c>
      <c r="P201" s="203"/>
      <c r="Q201" s="203"/>
      <c r="R201" s="203">
        <v>2</v>
      </c>
      <c r="S201" s="203"/>
      <c r="T201" s="203">
        <v>1</v>
      </c>
      <c r="U201" s="203">
        <v>1</v>
      </c>
      <c r="V201" s="203"/>
      <c r="W201" s="203">
        <v>1</v>
      </c>
      <c r="X201" s="203">
        <v>1</v>
      </c>
      <c r="Y201" s="203">
        <v>1</v>
      </c>
      <c r="Z201" s="203"/>
      <c r="AA201" s="203"/>
      <c r="AB201" s="203">
        <v>2</v>
      </c>
      <c r="AC201" s="203"/>
      <c r="AD201" s="203">
        <v>1</v>
      </c>
      <c r="AE201" s="203"/>
      <c r="AF201" s="204">
        <v>1</v>
      </c>
      <c r="AG201" s="4">
        <f t="shared" si="28"/>
        <v>17</v>
      </c>
    </row>
    <row r="202" spans="1:34" ht="18.75" x14ac:dyDescent="0.25">
      <c r="A202" s="112" t="s">
        <v>170</v>
      </c>
      <c r="B202" s="202"/>
      <c r="C202" s="202"/>
      <c r="D202" s="202">
        <v>1</v>
      </c>
      <c r="E202" s="202"/>
      <c r="F202" s="202"/>
      <c r="G202" s="202"/>
      <c r="H202" s="202"/>
      <c r="I202" s="202"/>
      <c r="J202" s="202"/>
      <c r="K202" s="202"/>
      <c r="L202" s="202"/>
      <c r="M202" s="202"/>
      <c r="N202" s="203"/>
      <c r="O202" s="203"/>
      <c r="P202" s="203"/>
      <c r="Q202" s="203">
        <v>1</v>
      </c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4">
        <v>1</v>
      </c>
      <c r="AG202" s="4">
        <f t="shared" si="28"/>
        <v>3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0</v>
      </c>
    </row>
    <row r="204" spans="1:34" ht="19.5" thickBot="1" x14ac:dyDescent="0.3">
      <c r="A204" s="215" t="s">
        <v>83</v>
      </c>
      <c r="B204" s="209">
        <f>SUM(B205:B209)</f>
        <v>146</v>
      </c>
      <c r="C204" s="210">
        <f t="shared" ref="C204:AF204" si="33">SUM(C205:C209)</f>
        <v>143</v>
      </c>
      <c r="D204" s="210">
        <f t="shared" si="33"/>
        <v>226</v>
      </c>
      <c r="E204" s="210">
        <f t="shared" si="33"/>
        <v>173</v>
      </c>
      <c r="F204" s="210">
        <f t="shared" si="33"/>
        <v>164</v>
      </c>
      <c r="G204" s="210">
        <f t="shared" si="33"/>
        <v>132</v>
      </c>
      <c r="H204" s="210">
        <f t="shared" si="33"/>
        <v>144</v>
      </c>
      <c r="I204" s="210">
        <f t="shared" si="33"/>
        <v>126</v>
      </c>
      <c r="J204" s="210">
        <f t="shared" si="33"/>
        <v>151</v>
      </c>
      <c r="K204" s="210">
        <f t="shared" si="33"/>
        <v>225</v>
      </c>
      <c r="L204" s="210">
        <f t="shared" si="33"/>
        <v>244</v>
      </c>
      <c r="M204" s="210">
        <f t="shared" si="33"/>
        <v>190</v>
      </c>
      <c r="N204" s="211">
        <f t="shared" si="33"/>
        <v>183</v>
      </c>
      <c r="O204" s="211">
        <f t="shared" si="33"/>
        <v>174</v>
      </c>
      <c r="P204" s="211">
        <f t="shared" si="33"/>
        <v>224</v>
      </c>
      <c r="Q204" s="211">
        <f t="shared" si="33"/>
        <v>158</v>
      </c>
      <c r="R204" s="211">
        <f t="shared" si="33"/>
        <v>249</v>
      </c>
      <c r="S204" s="211">
        <f t="shared" si="33"/>
        <v>222</v>
      </c>
      <c r="T204" s="211">
        <f t="shared" si="33"/>
        <v>189</v>
      </c>
      <c r="U204" s="211">
        <f t="shared" si="33"/>
        <v>279</v>
      </c>
      <c r="V204" s="211">
        <f t="shared" si="33"/>
        <v>178</v>
      </c>
      <c r="W204" s="211">
        <f t="shared" si="33"/>
        <v>184</v>
      </c>
      <c r="X204" s="211">
        <f t="shared" si="33"/>
        <v>182</v>
      </c>
      <c r="Y204" s="211">
        <f t="shared" si="33"/>
        <v>274</v>
      </c>
      <c r="Z204" s="211">
        <f t="shared" si="33"/>
        <v>207</v>
      </c>
      <c r="AA204" s="211">
        <f t="shared" si="33"/>
        <v>191</v>
      </c>
      <c r="AB204" s="211">
        <f t="shared" si="33"/>
        <v>170</v>
      </c>
      <c r="AC204" s="211">
        <f t="shared" si="33"/>
        <v>175</v>
      </c>
      <c r="AD204" s="211">
        <f t="shared" si="33"/>
        <v>165</v>
      </c>
      <c r="AE204" s="211">
        <f t="shared" si="33"/>
        <v>177</v>
      </c>
      <c r="AF204" s="212">
        <f t="shared" si="33"/>
        <v>214</v>
      </c>
      <c r="AG204" s="213">
        <f t="shared" si="28"/>
        <v>5859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>
        <v>1</v>
      </c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/>
      <c r="AG205" s="208">
        <f t="shared" si="28"/>
        <v>1</v>
      </c>
    </row>
    <row r="206" spans="1:34" ht="18.75" x14ac:dyDescent="0.25">
      <c r="A206" s="52" t="s">
        <v>73</v>
      </c>
      <c r="B206" s="148">
        <v>2</v>
      </c>
      <c r="C206" s="148">
        <v>1</v>
      </c>
      <c r="D206" s="148">
        <v>2</v>
      </c>
      <c r="E206" s="148">
        <v>3</v>
      </c>
      <c r="F206" s="148"/>
      <c r="G206" s="148">
        <v>1</v>
      </c>
      <c r="H206" s="148">
        <v>2</v>
      </c>
      <c r="I206" s="148"/>
      <c r="J206" s="148">
        <v>1</v>
      </c>
      <c r="K206" s="148">
        <v>1</v>
      </c>
      <c r="L206" s="148">
        <v>2</v>
      </c>
      <c r="M206" s="148">
        <v>2</v>
      </c>
      <c r="N206" s="33"/>
      <c r="O206" s="33">
        <v>1</v>
      </c>
      <c r="P206" s="33">
        <v>2</v>
      </c>
      <c r="Q206" s="33">
        <v>3</v>
      </c>
      <c r="R206" s="33">
        <v>1</v>
      </c>
      <c r="S206" s="33">
        <v>1</v>
      </c>
      <c r="T206" s="33">
        <v>2</v>
      </c>
      <c r="U206" s="33">
        <v>1</v>
      </c>
      <c r="V206" s="33"/>
      <c r="W206" s="33">
        <v>2</v>
      </c>
      <c r="X206" s="33">
        <v>2</v>
      </c>
      <c r="Y206" s="33"/>
      <c r="Z206" s="33">
        <v>1</v>
      </c>
      <c r="AA206" s="33">
        <v>1</v>
      </c>
      <c r="AB206" s="33"/>
      <c r="AC206" s="33"/>
      <c r="AD206" s="33">
        <v>2</v>
      </c>
      <c r="AE206" s="33"/>
      <c r="AF206" s="88"/>
      <c r="AG206" s="97">
        <f t="shared" si="28"/>
        <v>36</v>
      </c>
    </row>
    <row r="207" spans="1:34" ht="18.75" x14ac:dyDescent="0.25">
      <c r="A207" s="52" t="s">
        <v>74</v>
      </c>
      <c r="B207" s="148">
        <v>24</v>
      </c>
      <c r="C207" s="148">
        <v>9</v>
      </c>
      <c r="D207" s="148">
        <v>17</v>
      </c>
      <c r="E207" s="148">
        <v>12</v>
      </c>
      <c r="F207" s="148">
        <v>12</v>
      </c>
      <c r="G207" s="148">
        <v>8</v>
      </c>
      <c r="H207" s="148">
        <v>3</v>
      </c>
      <c r="I207" s="148">
        <v>13</v>
      </c>
      <c r="J207" s="148">
        <v>15</v>
      </c>
      <c r="K207" s="148">
        <v>24</v>
      </c>
      <c r="L207" s="148">
        <v>24</v>
      </c>
      <c r="M207" s="148">
        <v>9</v>
      </c>
      <c r="N207" s="33">
        <v>17</v>
      </c>
      <c r="O207" s="33">
        <v>19</v>
      </c>
      <c r="P207" s="33">
        <v>11</v>
      </c>
      <c r="Q207" s="33">
        <v>15</v>
      </c>
      <c r="R207" s="33">
        <v>20</v>
      </c>
      <c r="S207" s="33">
        <v>26</v>
      </c>
      <c r="T207" s="33">
        <v>6</v>
      </c>
      <c r="U207" s="33">
        <v>18</v>
      </c>
      <c r="V207" s="33">
        <v>16</v>
      </c>
      <c r="W207" s="33">
        <v>14</v>
      </c>
      <c r="X207" s="33">
        <v>28</v>
      </c>
      <c r="Y207" s="33">
        <v>24</v>
      </c>
      <c r="Z207" s="33">
        <v>16</v>
      </c>
      <c r="AA207" s="33">
        <v>10</v>
      </c>
      <c r="AB207" s="33">
        <v>12</v>
      </c>
      <c r="AC207" s="33">
        <v>24</v>
      </c>
      <c r="AD207" s="33">
        <v>12</v>
      </c>
      <c r="AE207" s="33">
        <v>18</v>
      </c>
      <c r="AF207" s="88">
        <v>21</v>
      </c>
      <c r="AG207" s="97">
        <f t="shared" si="28"/>
        <v>497</v>
      </c>
    </row>
    <row r="208" spans="1:34" ht="18.75" x14ac:dyDescent="0.25">
      <c r="A208" s="52" t="s">
        <v>75</v>
      </c>
      <c r="B208" s="148">
        <v>96</v>
      </c>
      <c r="C208" s="148">
        <v>115</v>
      </c>
      <c r="D208" s="148">
        <v>131</v>
      </c>
      <c r="E208" s="148">
        <v>113</v>
      </c>
      <c r="F208" s="148">
        <v>130</v>
      </c>
      <c r="G208" s="148">
        <v>107</v>
      </c>
      <c r="H208" s="148">
        <v>124</v>
      </c>
      <c r="I208" s="148">
        <v>92</v>
      </c>
      <c r="J208" s="148">
        <v>89</v>
      </c>
      <c r="K208" s="148">
        <v>140</v>
      </c>
      <c r="L208" s="148">
        <v>139</v>
      </c>
      <c r="M208" s="148">
        <v>142</v>
      </c>
      <c r="N208" s="33">
        <v>152</v>
      </c>
      <c r="O208" s="33">
        <v>135</v>
      </c>
      <c r="P208" s="33">
        <v>137</v>
      </c>
      <c r="Q208" s="33">
        <v>128</v>
      </c>
      <c r="R208" s="33">
        <v>190</v>
      </c>
      <c r="S208" s="33">
        <v>132</v>
      </c>
      <c r="T208" s="33">
        <v>158</v>
      </c>
      <c r="U208" s="33">
        <v>203</v>
      </c>
      <c r="V208" s="33">
        <v>147</v>
      </c>
      <c r="W208" s="33">
        <v>145</v>
      </c>
      <c r="X208" s="33">
        <v>120</v>
      </c>
      <c r="Y208" s="33">
        <v>169</v>
      </c>
      <c r="Z208" s="33">
        <v>154</v>
      </c>
      <c r="AA208" s="33">
        <v>153</v>
      </c>
      <c r="AB208" s="33">
        <v>123</v>
      </c>
      <c r="AC208" s="33">
        <v>124</v>
      </c>
      <c r="AD208" s="33">
        <v>123</v>
      </c>
      <c r="AE208" s="33">
        <v>121</v>
      </c>
      <c r="AF208" s="88">
        <v>141</v>
      </c>
      <c r="AG208" s="97">
        <f t="shared" si="28"/>
        <v>4173</v>
      </c>
    </row>
    <row r="209" spans="1:34" ht="19.5" thickBot="1" x14ac:dyDescent="0.3">
      <c r="A209" s="63" t="s">
        <v>76</v>
      </c>
      <c r="B209" s="149">
        <v>24</v>
      </c>
      <c r="C209" s="149">
        <v>18</v>
      </c>
      <c r="D209" s="149">
        <v>76</v>
      </c>
      <c r="E209" s="149">
        <v>45</v>
      </c>
      <c r="F209" s="149">
        <v>22</v>
      </c>
      <c r="G209" s="149">
        <v>16</v>
      </c>
      <c r="H209" s="149">
        <v>15</v>
      </c>
      <c r="I209" s="149">
        <v>21</v>
      </c>
      <c r="J209" s="149">
        <v>46</v>
      </c>
      <c r="K209" s="149">
        <v>60</v>
      </c>
      <c r="L209" s="149">
        <v>79</v>
      </c>
      <c r="M209" s="149">
        <v>36</v>
      </c>
      <c r="N209" s="34">
        <v>14</v>
      </c>
      <c r="O209" s="34">
        <v>19</v>
      </c>
      <c r="P209" s="34">
        <v>74</v>
      </c>
      <c r="Q209" s="34">
        <v>12</v>
      </c>
      <c r="R209" s="34">
        <v>38</v>
      </c>
      <c r="S209" s="34">
        <v>63</v>
      </c>
      <c r="T209" s="34">
        <v>23</v>
      </c>
      <c r="U209" s="34">
        <v>57</v>
      </c>
      <c r="V209" s="34">
        <v>15</v>
      </c>
      <c r="W209" s="34">
        <v>23</v>
      </c>
      <c r="X209" s="34">
        <v>32</v>
      </c>
      <c r="Y209" s="34">
        <v>81</v>
      </c>
      <c r="Z209" s="34">
        <v>36</v>
      </c>
      <c r="AA209" s="34">
        <v>27</v>
      </c>
      <c r="AB209" s="34">
        <v>35</v>
      </c>
      <c r="AC209" s="34">
        <v>27</v>
      </c>
      <c r="AD209" s="34">
        <v>28</v>
      </c>
      <c r="AE209" s="34">
        <v>38</v>
      </c>
      <c r="AF209" s="89">
        <v>52</v>
      </c>
      <c r="AG209" s="35">
        <f t="shared" si="28"/>
        <v>1152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25"/>
      <c r="AG211" s="99">
        <f t="shared" si="28"/>
        <v>0</v>
      </c>
      <c r="AH211" s="376" t="s">
        <v>85</v>
      </c>
    </row>
    <row r="212" spans="1:34" ht="18.75" x14ac:dyDescent="0.25">
      <c r="A212" s="53" t="s">
        <v>110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91"/>
      <c r="AG212" s="100">
        <f t="shared" si="28"/>
        <v>0</v>
      </c>
      <c r="AH212" s="377"/>
    </row>
    <row r="213" spans="1:34" ht="18.75" x14ac:dyDescent="0.25">
      <c r="A213" s="53" t="s">
        <v>111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91"/>
      <c r="AG213" s="100">
        <f t="shared" si="28"/>
        <v>0</v>
      </c>
      <c r="AH213" s="377"/>
    </row>
    <row r="214" spans="1:34" ht="18.75" x14ac:dyDescent="0.25">
      <c r="A214" s="53" t="s">
        <v>112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91"/>
      <c r="AG214" s="100">
        <f t="shared" si="28"/>
        <v>0</v>
      </c>
      <c r="AH214" s="377"/>
    </row>
    <row r="215" spans="1:34" ht="18.75" x14ac:dyDescent="0.25">
      <c r="A215" s="53" t="s">
        <v>113</v>
      </c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91"/>
      <c r="AG215" s="100">
        <f t="shared" si="28"/>
        <v>0</v>
      </c>
      <c r="AH215" s="377"/>
    </row>
    <row r="216" spans="1:34" ht="18.75" x14ac:dyDescent="0.25">
      <c r="A216" s="53" t="s">
        <v>114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91"/>
      <c r="AG216" s="100">
        <f t="shared" ref="AG216:AG218" si="34">SUM(B216:AF216)</f>
        <v>0</v>
      </c>
      <c r="AH216" s="377"/>
    </row>
    <row r="217" spans="1:34" ht="18.75" x14ac:dyDescent="0.25">
      <c r="A217" s="53" t="s">
        <v>115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91"/>
      <c r="AG217" s="100">
        <f t="shared" si="34"/>
        <v>0</v>
      </c>
      <c r="AH217" s="377"/>
    </row>
    <row r="218" spans="1:34" ht="18.75" x14ac:dyDescent="0.25">
      <c r="A218" s="53" t="s">
        <v>116</v>
      </c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91"/>
      <c r="AG218" s="100">
        <f t="shared" si="34"/>
        <v>0</v>
      </c>
      <c r="AH218" s="377"/>
    </row>
    <row r="219" spans="1:34" ht="18.75" x14ac:dyDescent="0.25">
      <c r="A219" s="53" t="s">
        <v>117</v>
      </c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91"/>
      <c r="AG219" s="100">
        <f t="shared" si="28"/>
        <v>0</v>
      </c>
      <c r="AH219" s="377"/>
    </row>
    <row r="220" spans="1:34" ht="18.75" x14ac:dyDescent="0.25">
      <c r="A220" s="43" t="s">
        <v>150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377"/>
    </row>
    <row r="221" spans="1:34" ht="18.75" x14ac:dyDescent="0.25">
      <c r="A221" s="43" t="s">
        <v>78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25"/>
      <c r="AG221" s="99">
        <f t="shared" si="28"/>
        <v>0</v>
      </c>
      <c r="AH221" s="377"/>
    </row>
    <row r="222" spans="1:34" ht="19.5" thickBot="1" x14ac:dyDescent="0.3">
      <c r="A222" s="43" t="s">
        <v>79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25"/>
      <c r="AG222" s="99">
        <f t="shared" si="28"/>
        <v>0</v>
      </c>
      <c r="AH222" s="378"/>
    </row>
    <row r="223" spans="1:34" ht="24" thickBot="1" x14ac:dyDescent="0.3">
      <c r="A223" s="62" t="s">
        <v>118</v>
      </c>
      <c r="B223" s="20">
        <f>+B222+B221+B211+B220</f>
        <v>0</v>
      </c>
      <c r="C223" s="20">
        <f t="shared" ref="C223:AF223" si="35">+C222+C221+C211+C220</f>
        <v>0</v>
      </c>
      <c r="D223" s="20">
        <f t="shared" si="35"/>
        <v>0</v>
      </c>
      <c r="E223" s="20">
        <f t="shared" si="35"/>
        <v>0</v>
      </c>
      <c r="F223" s="20">
        <f t="shared" si="35"/>
        <v>0</v>
      </c>
      <c r="G223" s="20">
        <f t="shared" si="35"/>
        <v>0</v>
      </c>
      <c r="H223" s="20">
        <f t="shared" si="35"/>
        <v>0</v>
      </c>
      <c r="I223" s="20">
        <f t="shared" si="35"/>
        <v>0</v>
      </c>
      <c r="J223" s="20">
        <f t="shared" si="35"/>
        <v>0</v>
      </c>
      <c r="K223" s="20">
        <f t="shared" si="35"/>
        <v>0</v>
      </c>
      <c r="L223" s="20">
        <f t="shared" si="35"/>
        <v>0</v>
      </c>
      <c r="M223" s="20">
        <f t="shared" si="35"/>
        <v>0</v>
      </c>
      <c r="N223" s="20">
        <f t="shared" si="35"/>
        <v>0</v>
      </c>
      <c r="O223" s="20">
        <f t="shared" si="35"/>
        <v>0</v>
      </c>
      <c r="P223" s="20">
        <f t="shared" si="35"/>
        <v>0</v>
      </c>
      <c r="Q223" s="20">
        <f t="shared" si="35"/>
        <v>0</v>
      </c>
      <c r="R223" s="20">
        <f t="shared" si="35"/>
        <v>0</v>
      </c>
      <c r="S223" s="20">
        <f t="shared" si="35"/>
        <v>0</v>
      </c>
      <c r="T223" s="20">
        <f t="shared" si="35"/>
        <v>0</v>
      </c>
      <c r="U223" s="20">
        <f t="shared" si="35"/>
        <v>0</v>
      </c>
      <c r="V223" s="20">
        <f t="shared" si="35"/>
        <v>0</v>
      </c>
      <c r="W223" s="20">
        <f t="shared" si="35"/>
        <v>0</v>
      </c>
      <c r="X223" s="20">
        <f t="shared" si="35"/>
        <v>0</v>
      </c>
      <c r="Y223" s="20">
        <f t="shared" si="35"/>
        <v>0</v>
      </c>
      <c r="Z223" s="20">
        <f t="shared" si="35"/>
        <v>0</v>
      </c>
      <c r="AA223" s="20">
        <f t="shared" si="35"/>
        <v>0</v>
      </c>
      <c r="AB223" s="20">
        <f t="shared" si="35"/>
        <v>0</v>
      </c>
      <c r="AC223" s="20">
        <f t="shared" si="35"/>
        <v>0</v>
      </c>
      <c r="AD223" s="20">
        <f t="shared" si="35"/>
        <v>0</v>
      </c>
      <c r="AE223" s="20">
        <f t="shared" si="35"/>
        <v>0</v>
      </c>
      <c r="AF223" s="26">
        <f t="shared" si="35"/>
        <v>0</v>
      </c>
      <c r="AG223" s="99">
        <f t="shared" si="28"/>
        <v>0</v>
      </c>
      <c r="AH223" s="36"/>
    </row>
    <row r="224" spans="1:34" ht="18.75" x14ac:dyDescent="0.25">
      <c r="A224" s="57" t="s">
        <v>90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92"/>
      <c r="AG224" s="31">
        <f t="shared" ref="AG224:AG237" si="36">SUM(B224:AF224)</f>
        <v>0</v>
      </c>
      <c r="AH224" s="379" t="s">
        <v>96</v>
      </c>
    </row>
    <row r="225" spans="1:34" ht="18.75" x14ac:dyDescent="0.25">
      <c r="A225" s="54" t="s">
        <v>91</v>
      </c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93"/>
      <c r="AG225" s="99">
        <f t="shared" si="36"/>
        <v>0</v>
      </c>
      <c r="AH225" s="380"/>
    </row>
    <row r="226" spans="1:34" ht="19.5" thickBot="1" x14ac:dyDescent="0.3">
      <c r="A226" s="58" t="s">
        <v>97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94"/>
      <c r="AG226" s="28">
        <f t="shared" si="36"/>
        <v>0</v>
      </c>
      <c r="AH226" s="381"/>
    </row>
    <row r="227" spans="1:34" ht="18.75" x14ac:dyDescent="0.25">
      <c r="A227" s="55" t="s">
        <v>92</v>
      </c>
      <c r="B227" s="118">
        <f>SUM(B228:B230)</f>
        <v>7</v>
      </c>
      <c r="C227" s="118">
        <f t="shared" ref="C227:AF227" si="37">SUM(C228:C230)</f>
        <v>4</v>
      </c>
      <c r="D227" s="118">
        <f t="shared" si="37"/>
        <v>7</v>
      </c>
      <c r="E227" s="118">
        <f t="shared" si="37"/>
        <v>5</v>
      </c>
      <c r="F227" s="118">
        <f t="shared" si="37"/>
        <v>5</v>
      </c>
      <c r="G227" s="118">
        <f t="shared" si="37"/>
        <v>5</v>
      </c>
      <c r="H227" s="118">
        <f t="shared" si="37"/>
        <v>6</v>
      </c>
      <c r="I227" s="118">
        <f t="shared" si="37"/>
        <v>7</v>
      </c>
      <c r="J227" s="118">
        <f t="shared" si="37"/>
        <v>4</v>
      </c>
      <c r="K227" s="118">
        <f t="shared" si="37"/>
        <v>7</v>
      </c>
      <c r="L227" s="118">
        <f t="shared" si="37"/>
        <v>6</v>
      </c>
      <c r="M227" s="118">
        <f t="shared" si="37"/>
        <v>10</v>
      </c>
      <c r="N227" s="118">
        <f t="shared" si="37"/>
        <v>5</v>
      </c>
      <c r="O227" s="118">
        <f t="shared" si="37"/>
        <v>3</v>
      </c>
      <c r="P227" s="118">
        <f t="shared" si="37"/>
        <v>3</v>
      </c>
      <c r="Q227" s="118">
        <f t="shared" si="37"/>
        <v>7</v>
      </c>
      <c r="R227" s="118">
        <f t="shared" si="37"/>
        <v>0</v>
      </c>
      <c r="S227" s="118">
        <f t="shared" si="37"/>
        <v>3</v>
      </c>
      <c r="T227" s="118">
        <f t="shared" si="37"/>
        <v>6</v>
      </c>
      <c r="U227" s="118">
        <f t="shared" si="37"/>
        <v>3</v>
      </c>
      <c r="V227" s="118">
        <f t="shared" si="37"/>
        <v>9</v>
      </c>
      <c r="W227" s="118">
        <f t="shared" si="37"/>
        <v>4</v>
      </c>
      <c r="X227" s="118">
        <f t="shared" si="37"/>
        <v>3</v>
      </c>
      <c r="Y227" s="118">
        <f t="shared" si="37"/>
        <v>6</v>
      </c>
      <c r="Z227" s="118">
        <f t="shared" si="37"/>
        <v>4</v>
      </c>
      <c r="AA227" s="118">
        <f t="shared" si="37"/>
        <v>3</v>
      </c>
      <c r="AB227" s="118">
        <f t="shared" si="37"/>
        <v>0</v>
      </c>
      <c r="AC227" s="118">
        <f t="shared" si="37"/>
        <v>4</v>
      </c>
      <c r="AD227" s="118">
        <f t="shared" si="37"/>
        <v>4</v>
      </c>
      <c r="AE227" s="118">
        <f t="shared" si="37"/>
        <v>9</v>
      </c>
      <c r="AF227" s="118">
        <f t="shared" si="37"/>
        <v>5</v>
      </c>
      <c r="AG227" s="95">
        <f t="shared" si="36"/>
        <v>154</v>
      </c>
      <c r="AH227" s="379" t="s">
        <v>93</v>
      </c>
    </row>
    <row r="228" spans="1:34" ht="18.75" x14ac:dyDescent="0.25">
      <c r="A228" s="139" t="s">
        <v>94</v>
      </c>
      <c r="B228" s="140">
        <v>2</v>
      </c>
      <c r="C228" s="140">
        <v>2</v>
      </c>
      <c r="D228" s="140">
        <v>3</v>
      </c>
      <c r="E228" s="140">
        <v>2</v>
      </c>
      <c r="F228" s="140">
        <v>0</v>
      </c>
      <c r="G228" s="140">
        <v>1</v>
      </c>
      <c r="H228" s="140">
        <v>1</v>
      </c>
      <c r="I228" s="140">
        <v>3</v>
      </c>
      <c r="J228" s="140">
        <v>4</v>
      </c>
      <c r="K228" s="140">
        <v>2</v>
      </c>
      <c r="L228" s="140">
        <v>2</v>
      </c>
      <c r="M228" s="140">
        <v>3</v>
      </c>
      <c r="N228" s="145">
        <v>2</v>
      </c>
      <c r="O228" s="140">
        <v>1</v>
      </c>
      <c r="P228" s="140">
        <v>1</v>
      </c>
      <c r="Q228" s="140">
        <v>0</v>
      </c>
      <c r="R228" s="140">
        <v>0</v>
      </c>
      <c r="S228" s="140">
        <v>1</v>
      </c>
      <c r="T228" s="140">
        <v>1</v>
      </c>
      <c r="U228" s="140">
        <v>0</v>
      </c>
      <c r="V228" s="140">
        <v>3</v>
      </c>
      <c r="W228" s="140">
        <v>1</v>
      </c>
      <c r="X228" s="140">
        <v>0</v>
      </c>
      <c r="Y228" s="140">
        <v>1</v>
      </c>
      <c r="Z228" s="142">
        <v>1</v>
      </c>
      <c r="AA228" s="140">
        <v>1</v>
      </c>
      <c r="AB228" s="140">
        <v>0</v>
      </c>
      <c r="AC228" s="140">
        <v>1</v>
      </c>
      <c r="AD228" s="140">
        <v>2</v>
      </c>
      <c r="AE228" s="140">
        <v>1</v>
      </c>
      <c r="AF228" s="144">
        <v>1</v>
      </c>
      <c r="AG228" s="143">
        <f t="shared" si="36"/>
        <v>43</v>
      </c>
      <c r="AH228" s="380"/>
    </row>
    <row r="229" spans="1:34" ht="18.75" x14ac:dyDescent="0.25">
      <c r="A229" s="139" t="s">
        <v>95</v>
      </c>
      <c r="B229" s="140">
        <v>5</v>
      </c>
      <c r="C229" s="140">
        <v>2</v>
      </c>
      <c r="D229" s="140">
        <v>4</v>
      </c>
      <c r="E229" s="140">
        <v>3</v>
      </c>
      <c r="F229" s="140">
        <v>5</v>
      </c>
      <c r="G229" s="140">
        <v>4</v>
      </c>
      <c r="H229" s="140">
        <v>5</v>
      </c>
      <c r="I229" s="140">
        <v>4</v>
      </c>
      <c r="J229" s="140">
        <v>0</v>
      </c>
      <c r="K229" s="140">
        <v>5</v>
      </c>
      <c r="L229" s="140">
        <v>4</v>
      </c>
      <c r="M229" s="140">
        <v>7</v>
      </c>
      <c r="N229" s="145">
        <v>3</v>
      </c>
      <c r="O229" s="140">
        <v>2</v>
      </c>
      <c r="P229" s="140">
        <v>2</v>
      </c>
      <c r="Q229" s="140">
        <v>7</v>
      </c>
      <c r="R229" s="140">
        <v>0</v>
      </c>
      <c r="S229" s="140">
        <v>2</v>
      </c>
      <c r="T229" s="140">
        <v>5</v>
      </c>
      <c r="U229" s="140">
        <v>3</v>
      </c>
      <c r="V229" s="140">
        <v>6</v>
      </c>
      <c r="W229" s="140">
        <v>3</v>
      </c>
      <c r="X229" s="140">
        <v>3</v>
      </c>
      <c r="Y229" s="140">
        <v>5</v>
      </c>
      <c r="Z229" s="142">
        <v>3</v>
      </c>
      <c r="AA229" s="140">
        <v>2</v>
      </c>
      <c r="AB229" s="140">
        <v>0</v>
      </c>
      <c r="AC229" s="140">
        <v>3</v>
      </c>
      <c r="AD229" s="140">
        <v>2</v>
      </c>
      <c r="AE229" s="140">
        <v>8</v>
      </c>
      <c r="AF229" s="144">
        <v>4</v>
      </c>
      <c r="AG229" s="143">
        <f t="shared" si="36"/>
        <v>111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6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38">SUM(C232:C237)</f>
        <v>0</v>
      </c>
      <c r="D231" s="199">
        <f t="shared" si="38"/>
        <v>0</v>
      </c>
      <c r="E231" s="199">
        <f t="shared" si="38"/>
        <v>0</v>
      </c>
      <c r="F231" s="199">
        <f t="shared" si="38"/>
        <v>0</v>
      </c>
      <c r="G231" s="199">
        <f t="shared" si="38"/>
        <v>0</v>
      </c>
      <c r="H231" s="199">
        <f t="shared" si="38"/>
        <v>0</v>
      </c>
      <c r="I231" s="199">
        <f t="shared" si="38"/>
        <v>0</v>
      </c>
      <c r="J231" s="199">
        <f t="shared" si="38"/>
        <v>0</v>
      </c>
      <c r="K231" s="199">
        <f t="shared" si="38"/>
        <v>0</v>
      </c>
      <c r="L231" s="199">
        <f t="shared" si="38"/>
        <v>0</v>
      </c>
      <c r="M231" s="199">
        <f t="shared" si="38"/>
        <v>0</v>
      </c>
      <c r="N231" s="199">
        <f t="shared" si="38"/>
        <v>0</v>
      </c>
      <c r="O231" s="199">
        <f t="shared" si="38"/>
        <v>0</v>
      </c>
      <c r="P231" s="199">
        <f t="shared" si="38"/>
        <v>0</v>
      </c>
      <c r="Q231" s="199">
        <f t="shared" si="38"/>
        <v>0</v>
      </c>
      <c r="R231" s="199">
        <f t="shared" si="38"/>
        <v>0</v>
      </c>
      <c r="S231" s="199">
        <f t="shared" si="38"/>
        <v>0</v>
      </c>
      <c r="T231" s="199">
        <f t="shared" si="38"/>
        <v>0</v>
      </c>
      <c r="U231" s="199">
        <f t="shared" si="38"/>
        <v>0</v>
      </c>
      <c r="V231" s="199">
        <f t="shared" si="38"/>
        <v>0</v>
      </c>
      <c r="W231" s="199">
        <f t="shared" si="38"/>
        <v>0</v>
      </c>
      <c r="X231" s="199">
        <f t="shared" si="38"/>
        <v>0</v>
      </c>
      <c r="Y231" s="199">
        <f t="shared" si="38"/>
        <v>0</v>
      </c>
      <c r="Z231" s="199">
        <f t="shared" si="38"/>
        <v>0</v>
      </c>
      <c r="AA231" s="199">
        <f t="shared" si="38"/>
        <v>0</v>
      </c>
      <c r="AB231" s="199">
        <f t="shared" si="38"/>
        <v>0</v>
      </c>
      <c r="AC231" s="199">
        <f t="shared" si="38"/>
        <v>0</v>
      </c>
      <c r="AD231" s="199">
        <f t="shared" si="38"/>
        <v>0</v>
      </c>
      <c r="AE231" s="199">
        <f t="shared" si="38"/>
        <v>0</v>
      </c>
      <c r="AF231" s="200">
        <f t="shared" si="38"/>
        <v>0</v>
      </c>
      <c r="AG231" s="201">
        <f t="shared" si="36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36"/>
        <v>0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36"/>
        <v>0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36"/>
        <v>0</v>
      </c>
    </row>
    <row r="238" spans="1:34" ht="21.75" x14ac:dyDescent="0.25">
      <c r="A238" s="225" t="s">
        <v>151</v>
      </c>
      <c r="B238" s="226">
        <v>9.6527777777777782E-2</v>
      </c>
      <c r="C238" s="226">
        <v>6.9444444444444448E-2</v>
      </c>
      <c r="D238" s="226">
        <v>6.8749999999999992E-2</v>
      </c>
      <c r="E238" s="226">
        <v>5.6250000000000001E-2</v>
      </c>
      <c r="F238" s="226">
        <v>5.6250000000000001E-2</v>
      </c>
      <c r="G238" s="226">
        <v>4.9999999999999996E-2</v>
      </c>
      <c r="H238" s="226">
        <v>6.1805555555555558E-2</v>
      </c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  <c r="AB238" s="226"/>
      <c r="AC238" s="226"/>
      <c r="AD238" s="226"/>
      <c r="AE238" s="226"/>
      <c r="AF238" s="226"/>
      <c r="AG238" s="227"/>
    </row>
    <row r="239" spans="1:34" ht="22.5" thickBot="1" x14ac:dyDescent="0.3">
      <c r="A239" s="228" t="s">
        <v>152</v>
      </c>
      <c r="B239" s="229">
        <v>0.13333333333333333</v>
      </c>
      <c r="C239" s="229">
        <v>7.7083333333333337E-2</v>
      </c>
      <c r="D239" s="229">
        <v>7.7777777777777779E-2</v>
      </c>
      <c r="E239" s="229">
        <v>6.3888888888888898E-2</v>
      </c>
      <c r="F239" s="229">
        <v>4.9305555555555554E-2</v>
      </c>
      <c r="G239" s="229">
        <v>3.888888888888889E-2</v>
      </c>
      <c r="H239" s="229">
        <v>6.1805555555555558E-2</v>
      </c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30"/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54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6"/>
      <c r="AG241" s="257" t="e">
        <f>AVERAGE(B241:AF241)</f>
        <v>#DIV/0!</v>
      </c>
    </row>
    <row r="242" spans="1:33" ht="23.25" x14ac:dyDescent="0.35">
      <c r="A242" s="253" t="s">
        <v>73</v>
      </c>
      <c r="B242" s="258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60"/>
      <c r="AG242" s="261" t="e">
        <f>AVERAGE(B242:AF242)</f>
        <v>#DIV/0!</v>
      </c>
    </row>
    <row r="243" spans="1:33" ht="23.25" x14ac:dyDescent="0.35">
      <c r="A243" s="253" t="s">
        <v>74</v>
      </c>
      <c r="B243" s="258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60"/>
      <c r="AG243" s="261" t="e">
        <f>AVERAGE(B243:AF243)</f>
        <v>#DIV/0!</v>
      </c>
    </row>
    <row r="244" spans="1:33" ht="23.25" x14ac:dyDescent="0.35">
      <c r="A244" s="253" t="s">
        <v>75</v>
      </c>
      <c r="B244" s="258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60"/>
      <c r="AG244" s="261" t="e">
        <f>AVERAGE(B244:AF244)</f>
        <v>#DIV/0!</v>
      </c>
    </row>
    <row r="245" spans="1:33" ht="24" thickBot="1" x14ac:dyDescent="0.4">
      <c r="A245" s="262" t="s">
        <v>76</v>
      </c>
      <c r="B245" s="263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5"/>
      <c r="AG245" s="266" t="e">
        <f>AVERAGE(B245:AF245)</f>
        <v>#DIV/0!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52" priority="6" operator="lessThan">
      <formula>0</formula>
    </cfRule>
  </conditionalFormatting>
  <conditionalFormatting sqref="D54:D77">
    <cfRule type="cellIs" dxfId="51" priority="2" operator="lessThan">
      <formula>0</formula>
    </cfRule>
  </conditionalFormatting>
  <conditionalFormatting sqref="G54:G77">
    <cfRule type="cellIs" dxfId="50" priority="1" operator="lessThan">
      <formula>0</formula>
    </cfRule>
  </conditionalFormatting>
  <conditionalFormatting sqref="AH81">
    <cfRule type="cellIs" dxfId="49" priority="4" operator="equal">
      <formula>"*"</formula>
    </cfRule>
  </conditionalFormatting>
  <conditionalFormatting sqref="AH84 AH87">
    <cfRule type="cellIs" dxfId="48" priority="5" operator="equal">
      <formula>"*"</formula>
    </cfRule>
  </conditionalFormatting>
  <conditionalFormatting sqref="AH93">
    <cfRule type="cellIs" dxfId="47" priority="10" operator="equal">
      <formula>"*"</formula>
    </cfRule>
  </conditionalFormatting>
  <conditionalFormatting sqref="AH130">
    <cfRule type="cellIs" dxfId="46" priority="8" operator="equal">
      <formula>"*"</formula>
    </cfRule>
  </conditionalFormatting>
  <conditionalFormatting sqref="AH144:AH145">
    <cfRule type="cellIs" dxfId="45" priority="9" operator="equal">
      <formula>"*"</formula>
    </cfRule>
  </conditionalFormatting>
  <conditionalFormatting sqref="AH179">
    <cfRule type="cellIs" dxfId="44" priority="7" operator="equal">
      <formula>"*"</formula>
    </cfRule>
  </conditionalFormatting>
  <conditionalFormatting sqref="AH204">
    <cfRule type="cellIs" dxfId="43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A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75"/>
  <sheetViews>
    <sheetView zoomScale="80" zoomScaleNormal="80" workbookViewId="0">
      <pane xSplit="1" ySplit="3" topLeftCell="H25" activePane="bottomRight" state="frozen"/>
      <selection activeCell="AG3" sqref="AG3"/>
      <selection pane="topRight" activeCell="AG3" sqref="AG3"/>
      <selection pane="bottomLeft" activeCell="AG3" sqref="AG3"/>
      <selection pane="bottomRight" activeCell="V39" sqref="V39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8.5703125" style="306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133</v>
      </c>
      <c r="B2" s="106">
        <v>1</v>
      </c>
      <c r="C2" s="234">
        <f t="shared" ref="C2:AA2" si="0">+B2+1</f>
        <v>2</v>
      </c>
      <c r="D2" s="234">
        <f t="shared" si="0"/>
        <v>3</v>
      </c>
      <c r="E2" s="234">
        <f t="shared" si="0"/>
        <v>4</v>
      </c>
      <c r="F2" s="234">
        <f t="shared" si="0"/>
        <v>5</v>
      </c>
      <c r="G2" s="234">
        <f t="shared" si="0"/>
        <v>6</v>
      </c>
      <c r="H2" s="106">
        <f t="shared" si="0"/>
        <v>7</v>
      </c>
      <c r="I2" s="106">
        <f t="shared" si="0"/>
        <v>8</v>
      </c>
      <c r="J2" s="234">
        <f t="shared" si="0"/>
        <v>9</v>
      </c>
      <c r="K2" s="234">
        <f t="shared" si="0"/>
        <v>10</v>
      </c>
      <c r="L2" s="234">
        <f t="shared" si="0"/>
        <v>11</v>
      </c>
      <c r="M2" s="234">
        <f t="shared" si="0"/>
        <v>12</v>
      </c>
      <c r="N2" s="234">
        <f t="shared" si="0"/>
        <v>13</v>
      </c>
      <c r="O2" s="106">
        <f t="shared" si="0"/>
        <v>14</v>
      </c>
      <c r="P2" s="106">
        <f t="shared" si="0"/>
        <v>15</v>
      </c>
      <c r="Q2" s="234">
        <f t="shared" si="0"/>
        <v>16</v>
      </c>
      <c r="R2" s="234">
        <f t="shared" si="0"/>
        <v>17</v>
      </c>
      <c r="S2" s="106">
        <f t="shared" si="0"/>
        <v>18</v>
      </c>
      <c r="T2" s="106">
        <f t="shared" si="0"/>
        <v>19</v>
      </c>
      <c r="U2" s="106">
        <f t="shared" si="0"/>
        <v>20</v>
      </c>
      <c r="V2" s="106">
        <f t="shared" si="0"/>
        <v>21</v>
      </c>
      <c r="W2" s="106">
        <f t="shared" si="0"/>
        <v>22</v>
      </c>
      <c r="X2" s="234">
        <f t="shared" si="0"/>
        <v>23</v>
      </c>
      <c r="Y2" s="234">
        <f t="shared" si="0"/>
        <v>24</v>
      </c>
      <c r="Z2" s="234">
        <f t="shared" si="0"/>
        <v>25</v>
      </c>
      <c r="AA2" s="234">
        <f t="shared" si="0"/>
        <v>26</v>
      </c>
      <c r="AB2" s="234">
        <v>27</v>
      </c>
      <c r="AC2" s="106">
        <f>+AB2+1</f>
        <v>28</v>
      </c>
      <c r="AD2" s="106">
        <v>29</v>
      </c>
      <c r="AE2" s="234">
        <v>30</v>
      </c>
      <c r="AF2" s="234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251</v>
      </c>
      <c r="C3" s="135">
        <f t="shared" si="1"/>
        <v>225</v>
      </c>
      <c r="D3" s="135">
        <f t="shared" si="1"/>
        <v>186</v>
      </c>
      <c r="E3" s="135">
        <f t="shared" si="1"/>
        <v>222</v>
      </c>
      <c r="F3" s="135">
        <f t="shared" si="1"/>
        <v>169</v>
      </c>
      <c r="G3" s="135">
        <f t="shared" si="1"/>
        <v>175</v>
      </c>
      <c r="H3" s="135">
        <f t="shared" si="1"/>
        <v>277</v>
      </c>
      <c r="I3" s="135">
        <f t="shared" si="1"/>
        <v>272</v>
      </c>
      <c r="J3" s="135">
        <f t="shared" si="1"/>
        <v>216</v>
      </c>
      <c r="K3" s="135">
        <f t="shared" si="1"/>
        <v>202</v>
      </c>
      <c r="L3" s="135">
        <f t="shared" si="1"/>
        <v>189</v>
      </c>
      <c r="M3" s="135">
        <f t="shared" si="1"/>
        <v>171</v>
      </c>
      <c r="N3" s="135">
        <f t="shared" si="1"/>
        <v>191</v>
      </c>
      <c r="O3" s="135">
        <f t="shared" si="1"/>
        <v>259</v>
      </c>
      <c r="P3" s="135">
        <f t="shared" si="1"/>
        <v>245</v>
      </c>
      <c r="Q3" s="135">
        <f t="shared" si="1"/>
        <v>211</v>
      </c>
      <c r="R3" s="135">
        <f t="shared" si="1"/>
        <v>193</v>
      </c>
      <c r="S3" s="135">
        <f t="shared" si="1"/>
        <v>233</v>
      </c>
      <c r="T3" s="135">
        <f t="shared" si="1"/>
        <v>247</v>
      </c>
      <c r="U3" s="135">
        <f t="shared" si="1"/>
        <v>288</v>
      </c>
      <c r="V3" s="135">
        <f t="shared" si="1"/>
        <v>292</v>
      </c>
      <c r="W3" s="135">
        <f t="shared" si="1"/>
        <v>276</v>
      </c>
      <c r="X3" s="135">
        <f t="shared" si="1"/>
        <v>250</v>
      </c>
      <c r="Y3" s="135">
        <f t="shared" si="1"/>
        <v>219</v>
      </c>
      <c r="Z3" s="135">
        <f t="shared" si="1"/>
        <v>181</v>
      </c>
      <c r="AA3" s="135">
        <f t="shared" si="1"/>
        <v>194</v>
      </c>
      <c r="AB3" s="135">
        <f t="shared" si="1"/>
        <v>220</v>
      </c>
      <c r="AC3" s="135">
        <f t="shared" si="1"/>
        <v>259</v>
      </c>
      <c r="AD3" s="135">
        <f t="shared" si="1"/>
        <v>230</v>
      </c>
      <c r="AE3" s="135">
        <f t="shared" si="1"/>
        <v>192</v>
      </c>
      <c r="AF3" s="135">
        <f t="shared" si="1"/>
        <v>0</v>
      </c>
      <c r="AG3" s="187">
        <f>SUM(B3:AF3)</f>
        <v>6735</v>
      </c>
    </row>
    <row r="4" spans="1:33" ht="18.75" x14ac:dyDescent="0.25">
      <c r="A4" s="113" t="s">
        <v>54</v>
      </c>
      <c r="B4" s="114">
        <v>5</v>
      </c>
      <c r="C4" s="114"/>
      <c r="D4" s="114"/>
      <c r="E4" s="114"/>
      <c r="F4" s="114"/>
      <c r="G4" s="114"/>
      <c r="H4" s="114">
        <v>8</v>
      </c>
      <c r="I4" s="114">
        <v>1</v>
      </c>
      <c r="J4" s="114"/>
      <c r="K4" s="114"/>
      <c r="L4" s="114"/>
      <c r="M4" s="114"/>
      <c r="N4" s="114"/>
      <c r="O4" s="114">
        <v>9</v>
      </c>
      <c r="P4" s="114">
        <v>2</v>
      </c>
      <c r="Q4" s="114"/>
      <c r="R4" s="114"/>
      <c r="S4" s="114">
        <v>5</v>
      </c>
      <c r="T4" s="114">
        <v>2</v>
      </c>
      <c r="U4" s="114">
        <v>2</v>
      </c>
      <c r="V4" s="114">
        <v>7</v>
      </c>
      <c r="W4" s="114">
        <v>4</v>
      </c>
      <c r="X4" s="114"/>
      <c r="Y4" s="114"/>
      <c r="Z4" s="114"/>
      <c r="AA4" s="114"/>
      <c r="AB4" s="114"/>
      <c r="AC4" s="114">
        <v>7</v>
      </c>
      <c r="AD4" s="114">
        <v>7</v>
      </c>
      <c r="AE4" s="114"/>
      <c r="AF4" s="115"/>
      <c r="AG4" s="132">
        <f t="shared" ref="AG4:AG83" si="2">SUM(B4:AF4)</f>
        <v>59</v>
      </c>
    </row>
    <row r="5" spans="1:33" ht="18.75" x14ac:dyDescent="0.25">
      <c r="A5" s="41" t="s">
        <v>55</v>
      </c>
      <c r="B5" s="7">
        <v>11</v>
      </c>
      <c r="C5" s="7"/>
      <c r="D5" s="7"/>
      <c r="E5" s="7"/>
      <c r="F5" s="7"/>
      <c r="G5" s="7"/>
      <c r="H5" s="7">
        <v>15</v>
      </c>
      <c r="I5" s="7">
        <v>7</v>
      </c>
      <c r="J5" s="7"/>
      <c r="K5" s="7"/>
      <c r="L5" s="7"/>
      <c r="M5" s="7"/>
      <c r="N5" s="7"/>
      <c r="O5" s="7">
        <v>10</v>
      </c>
      <c r="P5" s="7">
        <v>18</v>
      </c>
      <c r="Q5" s="7"/>
      <c r="R5" s="7"/>
      <c r="S5" s="7">
        <v>11</v>
      </c>
      <c r="T5" s="7">
        <v>12</v>
      </c>
      <c r="U5" s="7">
        <v>13</v>
      </c>
      <c r="V5" s="7">
        <v>13</v>
      </c>
      <c r="W5" s="7">
        <v>18</v>
      </c>
      <c r="X5" s="7"/>
      <c r="Y5" s="7"/>
      <c r="Z5" s="7"/>
      <c r="AA5" s="7"/>
      <c r="AB5" s="7"/>
      <c r="AC5" s="7">
        <v>15</v>
      </c>
      <c r="AD5" s="7">
        <v>5</v>
      </c>
      <c r="AE5" s="7"/>
      <c r="AF5" s="8"/>
      <c r="AG5" s="4">
        <f t="shared" si="2"/>
        <v>148</v>
      </c>
    </row>
    <row r="6" spans="1:33" ht="18.75" x14ac:dyDescent="0.25">
      <c r="A6" s="41" t="s">
        <v>56</v>
      </c>
      <c r="B6" s="7">
        <v>17</v>
      </c>
      <c r="C6" s="7"/>
      <c r="D6" s="7"/>
      <c r="E6" s="7"/>
      <c r="F6" s="7"/>
      <c r="G6" s="7"/>
      <c r="H6" s="7">
        <v>23</v>
      </c>
      <c r="I6" s="7">
        <v>18</v>
      </c>
      <c r="J6" s="7"/>
      <c r="K6" s="7"/>
      <c r="L6" s="7"/>
      <c r="M6" s="7"/>
      <c r="N6" s="7"/>
      <c r="O6" s="7">
        <v>11</v>
      </c>
      <c r="P6" s="7">
        <v>13</v>
      </c>
      <c r="Q6" s="7"/>
      <c r="R6" s="7"/>
      <c r="S6" s="7">
        <v>13</v>
      </c>
      <c r="T6" s="7">
        <v>15</v>
      </c>
      <c r="U6" s="7">
        <v>16</v>
      </c>
      <c r="V6" s="7">
        <v>22</v>
      </c>
      <c r="W6" s="7">
        <v>17</v>
      </c>
      <c r="X6" s="7"/>
      <c r="Y6" s="7"/>
      <c r="Z6" s="7"/>
      <c r="AA6" s="7"/>
      <c r="AB6" s="7"/>
      <c r="AC6" s="7">
        <v>12</v>
      </c>
      <c r="AD6" s="7">
        <v>11</v>
      </c>
      <c r="AE6" s="7"/>
      <c r="AF6" s="8"/>
      <c r="AG6" s="4">
        <f t="shared" si="2"/>
        <v>188</v>
      </c>
    </row>
    <row r="7" spans="1:33" ht="18.75" x14ac:dyDescent="0.25">
      <c r="A7" s="41" t="s">
        <v>38</v>
      </c>
      <c r="B7" s="7">
        <v>12</v>
      </c>
      <c r="C7" s="7"/>
      <c r="D7" s="7"/>
      <c r="E7" s="7"/>
      <c r="F7" s="7"/>
      <c r="G7" s="7"/>
      <c r="H7" s="7">
        <v>20</v>
      </c>
      <c r="I7" s="7">
        <v>22</v>
      </c>
      <c r="J7" s="7"/>
      <c r="K7" s="7"/>
      <c r="L7" s="7"/>
      <c r="M7" s="7"/>
      <c r="N7" s="7"/>
      <c r="O7" s="7">
        <v>22</v>
      </c>
      <c r="P7" s="7">
        <v>19</v>
      </c>
      <c r="Q7" s="7"/>
      <c r="R7" s="7"/>
      <c r="S7" s="7">
        <v>20</v>
      </c>
      <c r="T7" s="7">
        <v>24</v>
      </c>
      <c r="U7" s="7">
        <v>23</v>
      </c>
      <c r="V7" s="7">
        <v>27</v>
      </c>
      <c r="W7" s="7">
        <v>26</v>
      </c>
      <c r="X7" s="7"/>
      <c r="Y7" s="7"/>
      <c r="Z7" s="7"/>
      <c r="AA7" s="7"/>
      <c r="AB7" s="7"/>
      <c r="AC7" s="7">
        <v>16</v>
      </c>
      <c r="AD7" s="7">
        <v>19</v>
      </c>
      <c r="AE7" s="7"/>
      <c r="AF7" s="8"/>
      <c r="AG7" s="4">
        <f t="shared" si="2"/>
        <v>250</v>
      </c>
    </row>
    <row r="8" spans="1:33" ht="18.75" x14ac:dyDescent="0.25">
      <c r="A8" s="41" t="s">
        <v>39</v>
      </c>
      <c r="B8" s="7">
        <v>17</v>
      </c>
      <c r="C8" s="7"/>
      <c r="D8" s="7"/>
      <c r="E8" s="7"/>
      <c r="F8" s="7"/>
      <c r="G8" s="7"/>
      <c r="H8" s="7">
        <v>16</v>
      </c>
      <c r="I8" s="7">
        <v>17</v>
      </c>
      <c r="J8" s="7"/>
      <c r="K8" s="7"/>
      <c r="L8" s="7"/>
      <c r="M8" s="7"/>
      <c r="N8" s="7"/>
      <c r="O8" s="7">
        <v>11</v>
      </c>
      <c r="P8" s="7">
        <v>19</v>
      </c>
      <c r="Q8" s="7"/>
      <c r="R8" s="7">
        <v>8</v>
      </c>
      <c r="S8" s="7">
        <v>20</v>
      </c>
      <c r="T8" s="7">
        <v>13</v>
      </c>
      <c r="U8" s="7">
        <v>26</v>
      </c>
      <c r="V8" s="7">
        <v>21</v>
      </c>
      <c r="W8" s="7">
        <v>29</v>
      </c>
      <c r="X8" s="7"/>
      <c r="Y8" s="7"/>
      <c r="Z8" s="7"/>
      <c r="AA8" s="7"/>
      <c r="AB8" s="7"/>
      <c r="AC8" s="7">
        <v>19</v>
      </c>
      <c r="AD8" s="7">
        <v>16</v>
      </c>
      <c r="AE8" s="7"/>
      <c r="AF8" s="8"/>
      <c r="AG8" s="4">
        <f t="shared" si="2"/>
        <v>232</v>
      </c>
    </row>
    <row r="9" spans="1:33" ht="18.75" x14ac:dyDescent="0.25">
      <c r="A9" s="41" t="s">
        <v>40</v>
      </c>
      <c r="B9" s="7">
        <v>17</v>
      </c>
      <c r="C9" s="7"/>
      <c r="D9" s="7"/>
      <c r="E9" s="7"/>
      <c r="F9" s="7"/>
      <c r="G9" s="7"/>
      <c r="H9" s="7">
        <v>14</v>
      </c>
      <c r="I9" s="7">
        <v>15</v>
      </c>
      <c r="J9" s="7"/>
      <c r="K9" s="7"/>
      <c r="L9" s="7"/>
      <c r="M9" s="7"/>
      <c r="N9" s="7"/>
      <c r="O9" s="7">
        <v>10</v>
      </c>
      <c r="P9" s="7">
        <v>15</v>
      </c>
      <c r="Q9" s="7"/>
      <c r="R9" s="7">
        <v>11</v>
      </c>
      <c r="S9" s="7">
        <v>13</v>
      </c>
      <c r="T9" s="7">
        <v>22</v>
      </c>
      <c r="U9" s="7">
        <v>20</v>
      </c>
      <c r="V9" s="7">
        <v>16</v>
      </c>
      <c r="W9" s="7">
        <v>17</v>
      </c>
      <c r="X9" s="7"/>
      <c r="Y9" s="7"/>
      <c r="Z9" s="7"/>
      <c r="AA9" s="7"/>
      <c r="AB9" s="7"/>
      <c r="AC9" s="7">
        <v>15</v>
      </c>
      <c r="AD9" s="7">
        <v>6</v>
      </c>
      <c r="AE9" s="7"/>
      <c r="AF9" s="8"/>
      <c r="AG9" s="4">
        <f t="shared" si="2"/>
        <v>191</v>
      </c>
    </row>
    <row r="10" spans="1:33" ht="18.75" x14ac:dyDescent="0.25">
      <c r="A10" s="41" t="s">
        <v>41</v>
      </c>
      <c r="B10" s="7">
        <v>12</v>
      </c>
      <c r="C10" s="7"/>
      <c r="D10" s="7"/>
      <c r="E10" s="7"/>
      <c r="F10" s="7"/>
      <c r="G10" s="7"/>
      <c r="H10" s="7">
        <v>21</v>
      </c>
      <c r="I10" s="7">
        <v>19</v>
      </c>
      <c r="J10" s="7"/>
      <c r="K10" s="7"/>
      <c r="L10" s="7"/>
      <c r="M10" s="7"/>
      <c r="N10" s="7"/>
      <c r="O10" s="7">
        <v>12</v>
      </c>
      <c r="P10" s="7">
        <v>10</v>
      </c>
      <c r="Q10" s="7"/>
      <c r="R10" s="7">
        <v>5</v>
      </c>
      <c r="S10" s="7">
        <v>12</v>
      </c>
      <c r="T10" s="7">
        <v>15</v>
      </c>
      <c r="U10" s="7">
        <v>13</v>
      </c>
      <c r="V10" s="7">
        <v>10</v>
      </c>
      <c r="W10" s="7">
        <v>20</v>
      </c>
      <c r="X10" s="7"/>
      <c r="Y10" s="7"/>
      <c r="Z10" s="7"/>
      <c r="AA10" s="7"/>
      <c r="AB10" s="7"/>
      <c r="AC10" s="7">
        <v>18</v>
      </c>
      <c r="AD10" s="7">
        <v>20</v>
      </c>
      <c r="AE10" s="7"/>
      <c r="AF10" s="8"/>
      <c r="AG10" s="4">
        <f t="shared" si="2"/>
        <v>187</v>
      </c>
    </row>
    <row r="11" spans="1:33" ht="18.75" x14ac:dyDescent="0.25">
      <c r="A11" s="41" t="s">
        <v>42</v>
      </c>
      <c r="B11" s="7">
        <v>15</v>
      </c>
      <c r="C11" s="7"/>
      <c r="D11" s="7"/>
      <c r="E11" s="7"/>
      <c r="F11" s="7"/>
      <c r="G11" s="7"/>
      <c r="H11" s="7">
        <v>15</v>
      </c>
      <c r="I11" s="7">
        <v>15</v>
      </c>
      <c r="J11" s="7"/>
      <c r="K11" s="7"/>
      <c r="L11" s="7"/>
      <c r="M11" s="7"/>
      <c r="N11" s="7"/>
      <c r="O11" s="7">
        <v>11</v>
      </c>
      <c r="P11" s="7">
        <v>9</v>
      </c>
      <c r="Q11" s="7"/>
      <c r="R11" s="7">
        <v>4</v>
      </c>
      <c r="S11" s="7">
        <v>15</v>
      </c>
      <c r="T11" s="7">
        <v>19</v>
      </c>
      <c r="U11" s="7">
        <v>23</v>
      </c>
      <c r="V11" s="7">
        <v>24</v>
      </c>
      <c r="W11" s="7">
        <v>16</v>
      </c>
      <c r="X11" s="7"/>
      <c r="Y11" s="7"/>
      <c r="Z11" s="7">
        <v>1</v>
      </c>
      <c r="AA11" s="7"/>
      <c r="AB11" s="7"/>
      <c r="AC11" s="7">
        <v>17</v>
      </c>
      <c r="AD11" s="7">
        <v>15</v>
      </c>
      <c r="AE11" s="7"/>
      <c r="AF11" s="8"/>
      <c r="AG11" s="4">
        <f t="shared" si="2"/>
        <v>199</v>
      </c>
    </row>
    <row r="12" spans="1:33" ht="18.75" x14ac:dyDescent="0.25">
      <c r="A12" s="41" t="s">
        <v>43</v>
      </c>
      <c r="B12" s="7">
        <v>21</v>
      </c>
      <c r="C12" s="7"/>
      <c r="D12" s="7"/>
      <c r="E12" s="7"/>
      <c r="F12" s="7"/>
      <c r="G12" s="7"/>
      <c r="H12" s="7">
        <v>25</v>
      </c>
      <c r="I12" s="7">
        <v>18</v>
      </c>
      <c r="J12" s="7"/>
      <c r="K12" s="7"/>
      <c r="L12" s="7"/>
      <c r="M12" s="7"/>
      <c r="N12" s="7"/>
      <c r="O12" s="7">
        <v>30</v>
      </c>
      <c r="P12" s="7">
        <v>20</v>
      </c>
      <c r="Q12" s="7"/>
      <c r="R12" s="7">
        <v>20</v>
      </c>
      <c r="S12" s="7">
        <v>10</v>
      </c>
      <c r="T12" s="7">
        <v>8</v>
      </c>
      <c r="U12" s="7">
        <v>22</v>
      </c>
      <c r="V12" s="7">
        <v>19</v>
      </c>
      <c r="W12" s="7">
        <v>25</v>
      </c>
      <c r="X12" s="7">
        <v>1</v>
      </c>
      <c r="Y12" s="7"/>
      <c r="Z12" s="7"/>
      <c r="AA12" s="7"/>
      <c r="AB12" s="7">
        <v>1</v>
      </c>
      <c r="AC12" s="7">
        <v>16</v>
      </c>
      <c r="AD12" s="7">
        <v>23</v>
      </c>
      <c r="AE12" s="7"/>
      <c r="AF12" s="8"/>
      <c r="AG12" s="4">
        <f t="shared" si="2"/>
        <v>259</v>
      </c>
    </row>
    <row r="13" spans="1:33" ht="18.75" x14ac:dyDescent="0.25">
      <c r="A13" s="41" t="s">
        <v>44</v>
      </c>
      <c r="B13" s="7">
        <v>26</v>
      </c>
      <c r="C13" s="7">
        <v>83</v>
      </c>
      <c r="D13" s="7">
        <v>81</v>
      </c>
      <c r="E13" s="7">
        <v>77</v>
      </c>
      <c r="F13" s="7">
        <v>63</v>
      </c>
      <c r="G13" s="7">
        <v>57</v>
      </c>
      <c r="H13" s="7">
        <v>24</v>
      </c>
      <c r="I13" s="7">
        <v>23</v>
      </c>
      <c r="J13" s="7">
        <v>75</v>
      </c>
      <c r="K13" s="7">
        <v>60</v>
      </c>
      <c r="L13" s="7">
        <v>71</v>
      </c>
      <c r="M13" s="7">
        <v>54</v>
      </c>
      <c r="N13" s="7">
        <v>64</v>
      </c>
      <c r="O13" s="7">
        <v>33</v>
      </c>
      <c r="P13" s="7">
        <v>16</v>
      </c>
      <c r="Q13" s="7">
        <v>68</v>
      </c>
      <c r="R13" s="7">
        <v>27</v>
      </c>
      <c r="S13" s="7">
        <v>10</v>
      </c>
      <c r="T13" s="7">
        <v>14</v>
      </c>
      <c r="U13" s="7">
        <v>21</v>
      </c>
      <c r="V13" s="7">
        <v>29</v>
      </c>
      <c r="W13" s="7">
        <v>18</v>
      </c>
      <c r="X13" s="7">
        <v>93</v>
      </c>
      <c r="Y13" s="7">
        <v>73</v>
      </c>
      <c r="Z13" s="7">
        <v>60</v>
      </c>
      <c r="AA13" s="7">
        <v>79</v>
      </c>
      <c r="AB13" s="7">
        <v>71</v>
      </c>
      <c r="AC13" s="7">
        <v>19</v>
      </c>
      <c r="AD13" s="7">
        <v>19</v>
      </c>
      <c r="AE13" s="7">
        <v>72</v>
      </c>
      <c r="AF13" s="8"/>
      <c r="AG13" s="4">
        <f t="shared" si="2"/>
        <v>1480</v>
      </c>
    </row>
    <row r="14" spans="1:33" ht="18.75" x14ac:dyDescent="0.25">
      <c r="A14" s="41" t="s">
        <v>45</v>
      </c>
      <c r="B14" s="7">
        <v>12</v>
      </c>
      <c r="C14" s="7">
        <v>39</v>
      </c>
      <c r="D14" s="7">
        <v>18</v>
      </c>
      <c r="E14" s="7">
        <v>25</v>
      </c>
      <c r="F14" s="7">
        <v>26</v>
      </c>
      <c r="G14" s="7">
        <v>24</v>
      </c>
      <c r="H14" s="7">
        <v>21</v>
      </c>
      <c r="I14" s="7">
        <v>28</v>
      </c>
      <c r="J14" s="7">
        <v>30</v>
      </c>
      <c r="K14" s="7">
        <v>23</v>
      </c>
      <c r="L14" s="7">
        <v>23</v>
      </c>
      <c r="M14" s="7">
        <v>13</v>
      </c>
      <c r="N14" s="7">
        <v>24</v>
      </c>
      <c r="O14" s="7">
        <v>13</v>
      </c>
      <c r="P14" s="7">
        <v>15</v>
      </c>
      <c r="Q14" s="7">
        <v>21</v>
      </c>
      <c r="R14" s="7">
        <v>13</v>
      </c>
      <c r="S14" s="7">
        <v>16</v>
      </c>
      <c r="T14" s="7">
        <v>18</v>
      </c>
      <c r="U14" s="7">
        <v>21</v>
      </c>
      <c r="V14" s="7">
        <v>16</v>
      </c>
      <c r="W14" s="7">
        <v>21</v>
      </c>
      <c r="X14" s="7">
        <v>35</v>
      </c>
      <c r="Y14" s="7">
        <v>22</v>
      </c>
      <c r="Z14" s="7">
        <v>31</v>
      </c>
      <c r="AA14" s="7">
        <v>26</v>
      </c>
      <c r="AB14" s="7">
        <v>22</v>
      </c>
      <c r="AC14" s="7">
        <v>26</v>
      </c>
      <c r="AD14" s="7">
        <v>15</v>
      </c>
      <c r="AE14" s="7">
        <v>25</v>
      </c>
      <c r="AF14" s="8"/>
      <c r="AG14" s="4">
        <f t="shared" si="2"/>
        <v>662</v>
      </c>
    </row>
    <row r="15" spans="1:33" ht="18.75" x14ac:dyDescent="0.25">
      <c r="A15" s="41" t="s">
        <v>46</v>
      </c>
      <c r="B15" s="7">
        <v>25</v>
      </c>
      <c r="C15" s="7">
        <v>22</v>
      </c>
      <c r="D15" s="7">
        <v>20</v>
      </c>
      <c r="E15" s="7">
        <v>36</v>
      </c>
      <c r="F15" s="7">
        <v>20</v>
      </c>
      <c r="G15" s="7">
        <v>20</v>
      </c>
      <c r="H15" s="7">
        <v>17</v>
      </c>
      <c r="I15" s="7">
        <v>21</v>
      </c>
      <c r="J15" s="7">
        <v>21</v>
      </c>
      <c r="K15" s="7">
        <v>27</v>
      </c>
      <c r="L15" s="7">
        <v>23</v>
      </c>
      <c r="M15" s="7">
        <v>17</v>
      </c>
      <c r="N15" s="7">
        <v>21</v>
      </c>
      <c r="O15" s="7">
        <v>19</v>
      </c>
      <c r="P15" s="7">
        <v>18</v>
      </c>
      <c r="Q15" s="7">
        <v>25</v>
      </c>
      <c r="R15" s="7">
        <v>18</v>
      </c>
      <c r="S15" s="7">
        <v>12</v>
      </c>
      <c r="T15" s="7">
        <v>15</v>
      </c>
      <c r="U15" s="7">
        <v>17</v>
      </c>
      <c r="V15" s="7">
        <v>23</v>
      </c>
      <c r="W15" s="7">
        <v>9</v>
      </c>
      <c r="X15" s="7">
        <v>28</v>
      </c>
      <c r="Y15" s="7">
        <v>34</v>
      </c>
      <c r="Z15" s="7">
        <v>26</v>
      </c>
      <c r="AA15" s="7">
        <v>23</v>
      </c>
      <c r="AB15" s="7">
        <v>30</v>
      </c>
      <c r="AC15" s="7">
        <v>13</v>
      </c>
      <c r="AD15" s="7">
        <v>22</v>
      </c>
      <c r="AE15" s="7">
        <v>17</v>
      </c>
      <c r="AF15" s="8"/>
      <c r="AG15" s="4">
        <f t="shared" si="2"/>
        <v>639</v>
      </c>
    </row>
    <row r="16" spans="1:33" ht="18.75" x14ac:dyDescent="0.25">
      <c r="A16" s="41" t="s">
        <v>47</v>
      </c>
      <c r="B16" s="7">
        <v>19</v>
      </c>
      <c r="C16" s="7">
        <v>22</v>
      </c>
      <c r="D16" s="7">
        <v>13</v>
      </c>
      <c r="E16" s="7">
        <v>19</v>
      </c>
      <c r="F16" s="7">
        <v>17</v>
      </c>
      <c r="G16" s="7">
        <v>19</v>
      </c>
      <c r="H16" s="7">
        <v>15</v>
      </c>
      <c r="I16" s="7">
        <v>20</v>
      </c>
      <c r="J16" s="7">
        <v>15</v>
      </c>
      <c r="K16" s="7">
        <v>17</v>
      </c>
      <c r="L16" s="7">
        <v>26</v>
      </c>
      <c r="M16" s="7">
        <v>26</v>
      </c>
      <c r="N16" s="7">
        <v>18</v>
      </c>
      <c r="O16" s="7">
        <v>22</v>
      </c>
      <c r="P16" s="7">
        <v>10</v>
      </c>
      <c r="Q16" s="7">
        <v>23</v>
      </c>
      <c r="R16" s="7">
        <v>17</v>
      </c>
      <c r="S16" s="7">
        <v>21</v>
      </c>
      <c r="T16" s="7">
        <v>14</v>
      </c>
      <c r="U16" s="7">
        <v>11</v>
      </c>
      <c r="V16" s="7">
        <v>15</v>
      </c>
      <c r="W16" s="7">
        <v>15</v>
      </c>
      <c r="X16" s="7">
        <v>24</v>
      </c>
      <c r="Y16" s="7">
        <v>25</v>
      </c>
      <c r="Z16" s="7">
        <v>20</v>
      </c>
      <c r="AA16" s="7">
        <v>14</v>
      </c>
      <c r="AB16" s="7">
        <v>27</v>
      </c>
      <c r="AC16" s="7">
        <v>10</v>
      </c>
      <c r="AD16" s="7">
        <v>19</v>
      </c>
      <c r="AE16" s="7">
        <v>24</v>
      </c>
      <c r="AF16" s="8"/>
      <c r="AG16" s="4">
        <f t="shared" si="2"/>
        <v>557</v>
      </c>
    </row>
    <row r="17" spans="1:33" ht="18.75" x14ac:dyDescent="0.25">
      <c r="A17" s="41" t="s">
        <v>48</v>
      </c>
      <c r="B17" s="7">
        <v>11</v>
      </c>
      <c r="C17" s="7">
        <v>17</v>
      </c>
      <c r="D17" s="7">
        <v>14</v>
      </c>
      <c r="E17" s="7">
        <v>25</v>
      </c>
      <c r="F17" s="7">
        <v>12</v>
      </c>
      <c r="G17" s="7">
        <v>23</v>
      </c>
      <c r="H17" s="7">
        <v>13</v>
      </c>
      <c r="I17" s="7">
        <v>21</v>
      </c>
      <c r="J17" s="7">
        <v>33</v>
      </c>
      <c r="K17" s="7">
        <v>21</v>
      </c>
      <c r="L17" s="7">
        <v>12</v>
      </c>
      <c r="M17" s="7">
        <v>18</v>
      </c>
      <c r="N17" s="7">
        <v>16</v>
      </c>
      <c r="O17" s="7">
        <v>8</v>
      </c>
      <c r="P17" s="7">
        <v>15</v>
      </c>
      <c r="Q17" s="7">
        <v>28</v>
      </c>
      <c r="R17" s="7">
        <v>18</v>
      </c>
      <c r="S17" s="7">
        <v>8</v>
      </c>
      <c r="T17" s="7">
        <v>15</v>
      </c>
      <c r="U17" s="7">
        <v>20</v>
      </c>
      <c r="V17" s="7">
        <v>13</v>
      </c>
      <c r="W17" s="7">
        <v>10</v>
      </c>
      <c r="X17" s="7">
        <v>28</v>
      </c>
      <c r="Y17" s="7">
        <v>14</v>
      </c>
      <c r="Z17" s="7">
        <v>15</v>
      </c>
      <c r="AA17" s="7">
        <v>19</v>
      </c>
      <c r="AB17" s="7">
        <v>22</v>
      </c>
      <c r="AC17" s="7">
        <v>12</v>
      </c>
      <c r="AD17" s="7">
        <v>12</v>
      </c>
      <c r="AE17" s="7">
        <v>16</v>
      </c>
      <c r="AF17" s="8"/>
      <c r="AG17" s="4">
        <f t="shared" si="2"/>
        <v>509</v>
      </c>
    </row>
    <row r="18" spans="1:33" ht="18.75" x14ac:dyDescent="0.25">
      <c r="A18" s="41" t="s">
        <v>49</v>
      </c>
      <c r="B18" s="7">
        <v>13</v>
      </c>
      <c r="C18" s="7">
        <v>18</v>
      </c>
      <c r="D18" s="7">
        <v>20</v>
      </c>
      <c r="E18" s="7">
        <v>20</v>
      </c>
      <c r="F18" s="7">
        <v>10</v>
      </c>
      <c r="G18" s="7">
        <v>12</v>
      </c>
      <c r="H18" s="7">
        <v>3</v>
      </c>
      <c r="I18" s="7">
        <v>7</v>
      </c>
      <c r="J18" s="7">
        <v>17</v>
      </c>
      <c r="K18" s="7">
        <v>17</v>
      </c>
      <c r="L18" s="7">
        <v>11</v>
      </c>
      <c r="M18" s="7">
        <v>18</v>
      </c>
      <c r="N18" s="7">
        <v>18</v>
      </c>
      <c r="O18" s="7">
        <v>6</v>
      </c>
      <c r="P18" s="7">
        <v>16</v>
      </c>
      <c r="Q18" s="7">
        <v>20</v>
      </c>
      <c r="R18" s="7">
        <v>10</v>
      </c>
      <c r="S18" s="7">
        <v>17</v>
      </c>
      <c r="T18" s="7">
        <v>14</v>
      </c>
      <c r="U18" s="7">
        <v>7</v>
      </c>
      <c r="V18" s="7">
        <v>14</v>
      </c>
      <c r="W18" s="7">
        <v>13</v>
      </c>
      <c r="X18" s="7">
        <v>14</v>
      </c>
      <c r="Y18" s="7">
        <v>22</v>
      </c>
      <c r="Z18" s="7">
        <v>15</v>
      </c>
      <c r="AA18" s="7">
        <v>13</v>
      </c>
      <c r="AB18" s="7">
        <v>12</v>
      </c>
      <c r="AC18" s="7">
        <v>16</v>
      </c>
      <c r="AD18" s="7">
        <v>8</v>
      </c>
      <c r="AE18" s="7">
        <v>16</v>
      </c>
      <c r="AF18" s="8"/>
      <c r="AG18" s="4">
        <f t="shared" si="2"/>
        <v>417</v>
      </c>
    </row>
    <row r="19" spans="1:33" ht="18.75" x14ac:dyDescent="0.25">
      <c r="A19" s="41" t="s">
        <v>50</v>
      </c>
      <c r="B19" s="7">
        <v>4</v>
      </c>
      <c r="C19" s="7">
        <v>13</v>
      </c>
      <c r="D19" s="7">
        <v>7</v>
      </c>
      <c r="E19" s="7">
        <v>11</v>
      </c>
      <c r="F19" s="7">
        <v>8</v>
      </c>
      <c r="G19" s="7">
        <v>8</v>
      </c>
      <c r="H19" s="7">
        <v>7</v>
      </c>
      <c r="I19" s="7">
        <v>13</v>
      </c>
      <c r="J19" s="7">
        <v>15</v>
      </c>
      <c r="K19" s="7">
        <v>13</v>
      </c>
      <c r="L19" s="7">
        <v>14</v>
      </c>
      <c r="M19" s="7">
        <v>10</v>
      </c>
      <c r="N19" s="7">
        <v>10</v>
      </c>
      <c r="O19" s="7">
        <v>11</v>
      </c>
      <c r="P19" s="7">
        <v>11</v>
      </c>
      <c r="Q19" s="7">
        <v>9</v>
      </c>
      <c r="R19" s="7">
        <v>15</v>
      </c>
      <c r="S19" s="7">
        <v>10</v>
      </c>
      <c r="T19" s="7">
        <v>5</v>
      </c>
      <c r="U19" s="7">
        <v>8</v>
      </c>
      <c r="V19" s="7">
        <v>7</v>
      </c>
      <c r="W19" s="7">
        <v>9</v>
      </c>
      <c r="X19" s="7">
        <v>14</v>
      </c>
      <c r="Y19" s="7">
        <v>14</v>
      </c>
      <c r="Z19" s="7">
        <v>4</v>
      </c>
      <c r="AA19" s="7">
        <v>10</v>
      </c>
      <c r="AB19" s="7">
        <v>13</v>
      </c>
      <c r="AC19" s="7">
        <v>9</v>
      </c>
      <c r="AD19" s="7">
        <v>5</v>
      </c>
      <c r="AE19" s="7">
        <v>9</v>
      </c>
      <c r="AF19" s="8"/>
      <c r="AG19" s="4">
        <f t="shared" si="2"/>
        <v>296</v>
      </c>
    </row>
    <row r="20" spans="1:33" ht="18.75" x14ac:dyDescent="0.25">
      <c r="A20" s="41" t="s">
        <v>33</v>
      </c>
      <c r="B20" s="7">
        <v>3</v>
      </c>
      <c r="C20" s="7">
        <v>6</v>
      </c>
      <c r="D20" s="7">
        <v>5</v>
      </c>
      <c r="E20" s="7">
        <v>3</v>
      </c>
      <c r="F20" s="7">
        <v>4</v>
      </c>
      <c r="G20" s="7">
        <v>3</v>
      </c>
      <c r="H20" s="7">
        <v>4</v>
      </c>
      <c r="I20" s="7">
        <v>4</v>
      </c>
      <c r="J20" s="7">
        <v>3</v>
      </c>
      <c r="K20" s="7">
        <v>8</v>
      </c>
      <c r="L20" s="7">
        <v>1</v>
      </c>
      <c r="M20" s="7">
        <v>4</v>
      </c>
      <c r="N20" s="7">
        <v>8</v>
      </c>
      <c r="O20" s="7">
        <v>8</v>
      </c>
      <c r="P20" s="7">
        <v>11</v>
      </c>
      <c r="Q20" s="7">
        <v>5</v>
      </c>
      <c r="R20" s="7">
        <v>11</v>
      </c>
      <c r="S20" s="7">
        <v>10</v>
      </c>
      <c r="T20" s="7">
        <v>4</v>
      </c>
      <c r="U20" s="7">
        <v>7</v>
      </c>
      <c r="V20" s="7">
        <v>5</v>
      </c>
      <c r="W20" s="7">
        <v>3</v>
      </c>
      <c r="X20" s="7">
        <v>8</v>
      </c>
      <c r="Y20" s="7">
        <v>4</v>
      </c>
      <c r="Z20" s="7">
        <v>4</v>
      </c>
      <c r="AA20" s="7">
        <v>7</v>
      </c>
      <c r="AB20" s="7">
        <v>9</v>
      </c>
      <c r="AC20" s="7">
        <v>7</v>
      </c>
      <c r="AD20" s="7">
        <v>3</v>
      </c>
      <c r="AE20" s="7">
        <v>5</v>
      </c>
      <c r="AF20" s="8"/>
      <c r="AG20" s="4">
        <f t="shared" si="2"/>
        <v>167</v>
      </c>
    </row>
    <row r="21" spans="1:33" ht="18.75" x14ac:dyDescent="0.25">
      <c r="A21" s="41" t="s">
        <v>34</v>
      </c>
      <c r="B21" s="7">
        <v>4</v>
      </c>
      <c r="C21" s="7">
        <v>2</v>
      </c>
      <c r="D21" s="7">
        <v>4</v>
      </c>
      <c r="E21" s="7">
        <v>2</v>
      </c>
      <c r="F21" s="7">
        <v>3</v>
      </c>
      <c r="G21" s="7">
        <v>1</v>
      </c>
      <c r="H21" s="7">
        <v>4</v>
      </c>
      <c r="I21" s="7">
        <v>1</v>
      </c>
      <c r="J21" s="7">
        <v>3</v>
      </c>
      <c r="K21" s="7">
        <v>6</v>
      </c>
      <c r="L21" s="7">
        <v>3</v>
      </c>
      <c r="M21" s="7">
        <v>2</v>
      </c>
      <c r="N21" s="7"/>
      <c r="O21" s="7">
        <v>5</v>
      </c>
      <c r="P21" s="7">
        <v>3</v>
      </c>
      <c r="Q21" s="7">
        <v>2</v>
      </c>
      <c r="R21" s="7">
        <v>4</v>
      </c>
      <c r="S21" s="7">
        <v>2</v>
      </c>
      <c r="T21" s="7">
        <v>7</v>
      </c>
      <c r="U21" s="7">
        <v>5</v>
      </c>
      <c r="V21" s="7">
        <v>3</v>
      </c>
      <c r="W21" s="7">
        <v>1</v>
      </c>
      <c r="X21" s="7">
        <v>2</v>
      </c>
      <c r="Y21" s="7">
        <v>4</v>
      </c>
      <c r="Z21" s="7"/>
      <c r="AA21" s="7"/>
      <c r="AB21" s="7">
        <v>2</v>
      </c>
      <c r="AC21" s="7">
        <v>4</v>
      </c>
      <c r="AD21" s="7"/>
      <c r="AE21" s="7">
        <v>5</v>
      </c>
      <c r="AF21" s="8"/>
      <c r="AG21" s="4">
        <f t="shared" si="2"/>
        <v>84</v>
      </c>
    </row>
    <row r="22" spans="1:33" ht="18.75" x14ac:dyDescent="0.25">
      <c r="A22" s="41" t="s">
        <v>35</v>
      </c>
      <c r="B22" s="7">
        <v>4</v>
      </c>
      <c r="C22" s="7"/>
      <c r="D22" s="7">
        <v>4</v>
      </c>
      <c r="E22" s="7"/>
      <c r="F22" s="7">
        <v>5</v>
      </c>
      <c r="G22" s="7">
        <v>3</v>
      </c>
      <c r="H22" s="7">
        <v>4</v>
      </c>
      <c r="I22" s="7">
        <v>1</v>
      </c>
      <c r="J22" s="7">
        <v>2</v>
      </c>
      <c r="K22" s="7">
        <v>2</v>
      </c>
      <c r="L22" s="7">
        <v>2</v>
      </c>
      <c r="M22" s="7">
        <v>3</v>
      </c>
      <c r="N22" s="7">
        <v>2</v>
      </c>
      <c r="O22" s="7">
        <v>3</v>
      </c>
      <c r="P22" s="7">
        <v>4</v>
      </c>
      <c r="Q22" s="7">
        <v>5</v>
      </c>
      <c r="R22" s="7">
        <v>2</v>
      </c>
      <c r="S22" s="7">
        <v>1</v>
      </c>
      <c r="T22" s="7">
        <v>4</v>
      </c>
      <c r="U22" s="7">
        <v>2</v>
      </c>
      <c r="V22" s="7">
        <v>4</v>
      </c>
      <c r="W22" s="7">
        <v>1</v>
      </c>
      <c r="X22" s="7">
        <v>1</v>
      </c>
      <c r="Y22" s="7">
        <v>2</v>
      </c>
      <c r="Z22" s="7">
        <v>1</v>
      </c>
      <c r="AA22" s="7">
        <v>2</v>
      </c>
      <c r="AB22" s="7">
        <v>4</v>
      </c>
      <c r="AC22" s="7">
        <v>3</v>
      </c>
      <c r="AD22" s="7"/>
      <c r="AE22" s="7">
        <v>2</v>
      </c>
      <c r="AF22" s="8"/>
      <c r="AG22" s="4">
        <f t="shared" si="2"/>
        <v>73</v>
      </c>
    </row>
    <row r="23" spans="1:33" ht="18.75" x14ac:dyDescent="0.25">
      <c r="A23" s="41" t="s">
        <v>36</v>
      </c>
      <c r="B23" s="7">
        <v>2</v>
      </c>
      <c r="C23" s="7">
        <v>1</v>
      </c>
      <c r="D23" s="7"/>
      <c r="E23" s="7">
        <v>2</v>
      </c>
      <c r="F23" s="7"/>
      <c r="G23" s="7"/>
      <c r="H23" s="7">
        <v>2</v>
      </c>
      <c r="I23" s="7"/>
      <c r="J23" s="7">
        <v>1</v>
      </c>
      <c r="K23" s="7">
        <v>1</v>
      </c>
      <c r="L23" s="7">
        <v>1</v>
      </c>
      <c r="M23" s="7">
        <v>2</v>
      </c>
      <c r="N23" s="7"/>
      <c r="O23" s="7">
        <v>1</v>
      </c>
      <c r="P23" s="7">
        <v>1</v>
      </c>
      <c r="Q23" s="7">
        <v>1</v>
      </c>
      <c r="R23" s="7">
        <v>2</v>
      </c>
      <c r="S23" s="7">
        <v>3</v>
      </c>
      <c r="T23" s="7">
        <v>2</v>
      </c>
      <c r="U23" s="7">
        <v>1</v>
      </c>
      <c r="V23" s="7">
        <v>2</v>
      </c>
      <c r="W23" s="7">
        <v>2</v>
      </c>
      <c r="X23" s="7">
        <v>1</v>
      </c>
      <c r="Y23" s="7">
        <v>2</v>
      </c>
      <c r="Z23" s="7">
        <v>2</v>
      </c>
      <c r="AA23" s="7">
        <v>1</v>
      </c>
      <c r="AB23" s="7">
        <v>3</v>
      </c>
      <c r="AC23" s="7"/>
      <c r="AD23" s="7"/>
      <c r="AE23" s="7"/>
      <c r="AF23" s="8"/>
      <c r="AG23" s="4">
        <f t="shared" si="2"/>
        <v>36</v>
      </c>
    </row>
    <row r="24" spans="1:33" ht="18.75" x14ac:dyDescent="0.25">
      <c r="A24" s="41" t="s">
        <v>51</v>
      </c>
      <c r="B24" s="7"/>
      <c r="C24" s="7">
        <v>1</v>
      </c>
      <c r="D24" s="7"/>
      <c r="E24" s="7"/>
      <c r="F24" s="7">
        <v>1</v>
      </c>
      <c r="G24" s="7">
        <v>1</v>
      </c>
      <c r="H24" s="7">
        <v>2</v>
      </c>
      <c r="I24" s="7"/>
      <c r="J24" s="7"/>
      <c r="K24" s="7">
        <v>3</v>
      </c>
      <c r="L24" s="7">
        <v>1</v>
      </c>
      <c r="M24" s="7">
        <v>2</v>
      </c>
      <c r="N24" s="7">
        <v>3</v>
      </c>
      <c r="O24" s="7">
        <v>1</v>
      </c>
      <c r="P24" s="7"/>
      <c r="Q24" s="7">
        <v>1</v>
      </c>
      <c r="R24" s="7"/>
      <c r="S24" s="7">
        <v>1</v>
      </c>
      <c r="T24" s="7">
        <v>1</v>
      </c>
      <c r="U24" s="7">
        <v>2</v>
      </c>
      <c r="V24" s="7"/>
      <c r="W24" s="7"/>
      <c r="X24" s="7">
        <v>1</v>
      </c>
      <c r="Y24" s="7"/>
      <c r="Z24" s="7">
        <v>2</v>
      </c>
      <c r="AA24" s="7"/>
      <c r="AB24" s="7"/>
      <c r="AC24" s="7">
        <v>2</v>
      </c>
      <c r="AD24" s="7">
        <v>2</v>
      </c>
      <c r="AE24" s="7"/>
      <c r="AF24" s="8"/>
      <c r="AG24" s="4">
        <f t="shared" si="2"/>
        <v>27</v>
      </c>
    </row>
    <row r="25" spans="1:33" ht="18.75" x14ac:dyDescent="0.25">
      <c r="A25" s="41" t="s">
        <v>52</v>
      </c>
      <c r="B25" s="7"/>
      <c r="C25" s="7">
        <v>1</v>
      </c>
      <c r="D25" s="7"/>
      <c r="E25" s="7">
        <v>1</v>
      </c>
      <c r="F25" s="7"/>
      <c r="G25" s="7">
        <v>1</v>
      </c>
      <c r="H25" s="7">
        <v>1</v>
      </c>
      <c r="I25" s="7">
        <v>1</v>
      </c>
      <c r="J25" s="7">
        <v>1</v>
      </c>
      <c r="K25" s="7">
        <v>2</v>
      </c>
      <c r="L25" s="7">
        <v>1</v>
      </c>
      <c r="M25" s="7">
        <v>1</v>
      </c>
      <c r="N25" s="7">
        <v>2</v>
      </c>
      <c r="O25" s="7">
        <v>2</v>
      </c>
      <c r="P25" s="7"/>
      <c r="Q25" s="7">
        <v>1</v>
      </c>
      <c r="R25" s="7"/>
      <c r="S25" s="7">
        <v>1</v>
      </c>
      <c r="T25" s="7"/>
      <c r="U25" s="7">
        <v>4</v>
      </c>
      <c r="V25" s="7">
        <v>2</v>
      </c>
      <c r="W25" s="7">
        <v>2</v>
      </c>
      <c r="X25" s="7"/>
      <c r="Y25" s="7"/>
      <c r="Z25" s="7"/>
      <c r="AA25" s="7"/>
      <c r="AB25" s="7">
        <v>3</v>
      </c>
      <c r="AC25" s="7"/>
      <c r="AD25" s="7">
        <v>2</v>
      </c>
      <c r="AE25" s="7"/>
      <c r="AF25" s="8"/>
      <c r="AG25" s="4">
        <f t="shared" si="2"/>
        <v>29</v>
      </c>
    </row>
    <row r="26" spans="1:33" ht="18.75" x14ac:dyDescent="0.25">
      <c r="A26" s="41" t="s">
        <v>37</v>
      </c>
      <c r="B26" s="7">
        <v>1</v>
      </c>
      <c r="C26" s="7"/>
      <c r="D26" s="7"/>
      <c r="E26" s="7">
        <v>1</v>
      </c>
      <c r="F26" s="7"/>
      <c r="G26" s="7"/>
      <c r="H26" s="7">
        <v>2</v>
      </c>
      <c r="I26" s="7"/>
      <c r="J26" s="7"/>
      <c r="K26" s="7">
        <v>2</v>
      </c>
      <c r="L26" s="7"/>
      <c r="M26" s="7">
        <v>1</v>
      </c>
      <c r="N26" s="7"/>
      <c r="O26" s="7">
        <v>1</v>
      </c>
      <c r="P26" s="7"/>
      <c r="Q26" s="7">
        <v>2</v>
      </c>
      <c r="R26" s="7">
        <v>5</v>
      </c>
      <c r="S26" s="7"/>
      <c r="T26" s="7">
        <v>1</v>
      </c>
      <c r="U26" s="7">
        <v>3</v>
      </c>
      <c r="V26" s="7"/>
      <c r="W26" s="7"/>
      <c r="X26" s="7"/>
      <c r="Y26" s="7">
        <v>3</v>
      </c>
      <c r="Z26" s="7"/>
      <c r="AA26" s="7"/>
      <c r="AB26" s="7"/>
      <c r="AC26" s="7">
        <v>1</v>
      </c>
      <c r="AD26" s="7">
        <v>1</v>
      </c>
      <c r="AE26" s="7">
        <v>1</v>
      </c>
      <c r="AF26" s="8"/>
      <c r="AG26" s="4">
        <f t="shared" si="2"/>
        <v>25</v>
      </c>
    </row>
    <row r="27" spans="1:33" ht="19.5" thickBot="1" x14ac:dyDescent="0.3">
      <c r="A27" s="81" t="s">
        <v>53</v>
      </c>
      <c r="B27" s="78"/>
      <c r="C27" s="78"/>
      <c r="D27" s="78"/>
      <c r="E27" s="78"/>
      <c r="F27" s="78"/>
      <c r="G27" s="78">
        <v>3</v>
      </c>
      <c r="H27" s="78">
        <v>1</v>
      </c>
      <c r="I27" s="78"/>
      <c r="J27" s="78"/>
      <c r="K27" s="78"/>
      <c r="L27" s="78"/>
      <c r="M27" s="78"/>
      <c r="N27" s="78">
        <v>5</v>
      </c>
      <c r="O27" s="78"/>
      <c r="P27" s="78"/>
      <c r="Q27" s="78"/>
      <c r="R27" s="78">
        <v>3</v>
      </c>
      <c r="S27" s="78">
        <v>2</v>
      </c>
      <c r="T27" s="78">
        <v>3</v>
      </c>
      <c r="U27" s="78">
        <v>1</v>
      </c>
      <c r="V27" s="78"/>
      <c r="W27" s="78"/>
      <c r="X27" s="78"/>
      <c r="Y27" s="78"/>
      <c r="Z27" s="78"/>
      <c r="AA27" s="78"/>
      <c r="AB27" s="78">
        <v>1</v>
      </c>
      <c r="AC27" s="78">
        <v>2</v>
      </c>
      <c r="AD27" s="78"/>
      <c r="AE27" s="78"/>
      <c r="AF27" s="83"/>
      <c r="AG27" s="4">
        <f t="shared" si="2"/>
        <v>21</v>
      </c>
    </row>
    <row r="28" spans="1:33" ht="18.75" x14ac:dyDescent="0.25">
      <c r="A28" s="79" t="s">
        <v>107</v>
      </c>
      <c r="B28" s="80">
        <f>SUM(B29:B52)</f>
        <v>212</v>
      </c>
      <c r="C28" s="80">
        <f t="shared" ref="C28:AF28" si="3">SUM(C29:C52)</f>
        <v>200</v>
      </c>
      <c r="D28" s="80">
        <f t="shared" si="3"/>
        <v>161</v>
      </c>
      <c r="E28" s="80">
        <f t="shared" si="3"/>
        <v>203</v>
      </c>
      <c r="F28" s="80">
        <f t="shared" si="3"/>
        <v>159</v>
      </c>
      <c r="G28" s="80">
        <f t="shared" si="3"/>
        <v>168</v>
      </c>
      <c r="H28" s="80">
        <f t="shared" si="3"/>
        <v>267</v>
      </c>
      <c r="I28" s="80">
        <f t="shared" si="3"/>
        <v>268</v>
      </c>
      <c r="J28" s="80">
        <f t="shared" si="3"/>
        <v>205</v>
      </c>
      <c r="K28" s="80">
        <f t="shared" si="3"/>
        <v>185</v>
      </c>
      <c r="L28" s="80">
        <f t="shared" si="3"/>
        <v>171</v>
      </c>
      <c r="M28" s="80">
        <f t="shared" si="3"/>
        <v>162</v>
      </c>
      <c r="N28" s="80">
        <f t="shared" si="3"/>
        <v>172</v>
      </c>
      <c r="O28" s="80">
        <f t="shared" si="3"/>
        <v>258</v>
      </c>
      <c r="P28" s="80">
        <f t="shared" si="3"/>
        <v>240</v>
      </c>
      <c r="Q28" s="80">
        <f t="shared" si="3"/>
        <v>181</v>
      </c>
      <c r="R28" s="80">
        <f t="shared" si="3"/>
        <v>190</v>
      </c>
      <c r="S28" s="80">
        <f t="shared" si="3"/>
        <v>232</v>
      </c>
      <c r="T28" s="80">
        <f t="shared" si="3"/>
        <v>244</v>
      </c>
      <c r="U28" s="80">
        <f t="shared" si="3"/>
        <v>264</v>
      </c>
      <c r="V28" s="80">
        <f t="shared" si="3"/>
        <v>268</v>
      </c>
      <c r="W28" s="80">
        <f t="shared" si="3"/>
        <v>187</v>
      </c>
      <c r="X28" s="80">
        <f t="shared" si="3"/>
        <v>195</v>
      </c>
      <c r="Y28" s="80">
        <f t="shared" si="3"/>
        <v>194</v>
      </c>
      <c r="Z28" s="80">
        <f t="shared" si="3"/>
        <v>163</v>
      </c>
      <c r="AA28" s="80">
        <f t="shared" si="3"/>
        <v>169</v>
      </c>
      <c r="AB28" s="80">
        <f t="shared" si="3"/>
        <v>191</v>
      </c>
      <c r="AC28" s="80">
        <f t="shared" si="3"/>
        <v>253</v>
      </c>
      <c r="AD28" s="249">
        <f t="shared" si="3"/>
        <v>202</v>
      </c>
      <c r="AE28" s="80">
        <f>SUM(AE29:AE52)</f>
        <v>176</v>
      </c>
      <c r="AF28" s="80">
        <f t="shared" si="3"/>
        <v>0</v>
      </c>
      <c r="AG28" s="150">
        <f t="shared" si="2"/>
        <v>6140</v>
      </c>
    </row>
    <row r="29" spans="1:33" ht="18.75" x14ac:dyDescent="0.25">
      <c r="A29" s="41" t="s">
        <v>54</v>
      </c>
      <c r="B29" s="7">
        <v>2</v>
      </c>
      <c r="C29" s="7"/>
      <c r="D29" s="7"/>
      <c r="E29" s="7"/>
      <c r="F29" s="7"/>
      <c r="G29" s="7">
        <v>3</v>
      </c>
      <c r="H29" s="7">
        <v>1</v>
      </c>
      <c r="I29" s="7">
        <v>1</v>
      </c>
      <c r="J29" s="7"/>
      <c r="K29" s="7"/>
      <c r="L29" s="7"/>
      <c r="M29" s="7"/>
      <c r="N29" s="7">
        <v>5</v>
      </c>
      <c r="O29" s="7">
        <v>1</v>
      </c>
      <c r="P29" s="7">
        <v>1</v>
      </c>
      <c r="Q29" s="7"/>
      <c r="R29" s="7"/>
      <c r="S29" s="7">
        <v>3</v>
      </c>
      <c r="T29" s="7">
        <v>2</v>
      </c>
      <c r="U29" s="7">
        <v>2</v>
      </c>
      <c r="V29" s="7"/>
      <c r="W29" s="7">
        <v>1</v>
      </c>
      <c r="X29" s="7"/>
      <c r="Y29" s="7"/>
      <c r="Z29" s="7"/>
      <c r="AA29" s="7"/>
      <c r="AB29" s="7"/>
      <c r="AC29" s="7">
        <v>3</v>
      </c>
      <c r="AD29" s="7">
        <v>7</v>
      </c>
      <c r="AE29" s="7"/>
      <c r="AF29" s="8"/>
      <c r="AG29" s="4">
        <f t="shared" si="2"/>
        <v>32</v>
      </c>
    </row>
    <row r="30" spans="1:33" ht="18.75" x14ac:dyDescent="0.25">
      <c r="A30" s="41" t="s">
        <v>55</v>
      </c>
      <c r="B30" s="7">
        <v>6</v>
      </c>
      <c r="C30" s="7"/>
      <c r="D30" s="7"/>
      <c r="E30" s="7"/>
      <c r="F30" s="7"/>
      <c r="G30" s="7"/>
      <c r="H30" s="7">
        <v>8</v>
      </c>
      <c r="I30" s="7">
        <v>5</v>
      </c>
      <c r="J30" s="7"/>
      <c r="K30" s="7"/>
      <c r="L30" s="7"/>
      <c r="M30" s="7"/>
      <c r="N30" s="7"/>
      <c r="O30" s="7">
        <v>5</v>
      </c>
      <c r="P30" s="7">
        <v>6</v>
      </c>
      <c r="Q30" s="7"/>
      <c r="R30" s="7"/>
      <c r="S30" s="7">
        <v>7</v>
      </c>
      <c r="T30" s="7">
        <v>9</v>
      </c>
      <c r="U30" s="7">
        <v>5</v>
      </c>
      <c r="V30" s="7">
        <v>3</v>
      </c>
      <c r="W30" s="7">
        <v>7</v>
      </c>
      <c r="X30" s="7"/>
      <c r="Y30" s="7"/>
      <c r="Z30" s="7"/>
      <c r="AA30" s="7"/>
      <c r="AB30" s="7"/>
      <c r="AC30" s="7">
        <v>7</v>
      </c>
      <c r="AD30" s="7">
        <v>5</v>
      </c>
      <c r="AE30" s="7"/>
      <c r="AF30" s="8"/>
      <c r="AG30" s="4">
        <f t="shared" si="2"/>
        <v>73</v>
      </c>
    </row>
    <row r="31" spans="1:33" ht="18.75" x14ac:dyDescent="0.25">
      <c r="A31" s="41" t="s">
        <v>56</v>
      </c>
      <c r="B31" s="7">
        <v>5</v>
      </c>
      <c r="C31" s="7"/>
      <c r="D31" s="7"/>
      <c r="E31" s="7"/>
      <c r="F31" s="7"/>
      <c r="G31" s="7"/>
      <c r="H31" s="7">
        <v>13</v>
      </c>
      <c r="I31" s="7">
        <v>9</v>
      </c>
      <c r="J31" s="7"/>
      <c r="K31" s="7"/>
      <c r="L31" s="7"/>
      <c r="M31" s="7"/>
      <c r="N31" s="7"/>
      <c r="O31" s="7">
        <v>13</v>
      </c>
      <c r="P31" s="7">
        <v>16</v>
      </c>
      <c r="Q31" s="7"/>
      <c r="R31" s="7"/>
      <c r="S31" s="7">
        <v>11</v>
      </c>
      <c r="T31" s="7">
        <v>14</v>
      </c>
      <c r="U31" s="7">
        <v>19</v>
      </c>
      <c r="V31" s="7">
        <v>15</v>
      </c>
      <c r="W31" s="7">
        <v>11</v>
      </c>
      <c r="X31" s="7"/>
      <c r="Y31" s="7"/>
      <c r="Z31" s="7"/>
      <c r="AA31" s="7"/>
      <c r="AB31" s="7"/>
      <c r="AC31" s="7">
        <v>11</v>
      </c>
      <c r="AD31" s="7">
        <v>11</v>
      </c>
      <c r="AE31" s="7"/>
      <c r="AF31" s="8"/>
      <c r="AG31" s="4">
        <f t="shared" si="2"/>
        <v>148</v>
      </c>
    </row>
    <row r="32" spans="1:33" ht="18.75" x14ac:dyDescent="0.25">
      <c r="A32" s="41" t="s">
        <v>38</v>
      </c>
      <c r="B32" s="7">
        <v>6</v>
      </c>
      <c r="C32" s="7"/>
      <c r="D32" s="7"/>
      <c r="E32" s="7"/>
      <c r="F32" s="7"/>
      <c r="G32" s="7"/>
      <c r="H32" s="7">
        <v>21</v>
      </c>
      <c r="I32" s="7">
        <v>21</v>
      </c>
      <c r="J32" s="7"/>
      <c r="K32" s="7"/>
      <c r="L32" s="7"/>
      <c r="M32" s="7"/>
      <c r="N32" s="7"/>
      <c r="O32" s="7">
        <v>18</v>
      </c>
      <c r="P32" s="7">
        <v>22</v>
      </c>
      <c r="Q32" s="7"/>
      <c r="R32" s="7"/>
      <c r="S32" s="7">
        <v>17</v>
      </c>
      <c r="T32" s="7">
        <v>14</v>
      </c>
      <c r="U32" s="7">
        <v>20</v>
      </c>
      <c r="V32" s="7">
        <v>17</v>
      </c>
      <c r="W32" s="7">
        <v>10</v>
      </c>
      <c r="X32" s="7"/>
      <c r="Y32" s="7"/>
      <c r="Z32" s="7"/>
      <c r="AA32" s="7"/>
      <c r="AB32" s="7"/>
      <c r="AC32" s="7">
        <v>22</v>
      </c>
      <c r="AD32" s="7">
        <v>19</v>
      </c>
      <c r="AE32" s="7"/>
      <c r="AF32" s="8"/>
      <c r="AG32" s="4">
        <f t="shared" si="2"/>
        <v>207</v>
      </c>
    </row>
    <row r="33" spans="1:33" ht="18.75" x14ac:dyDescent="0.25">
      <c r="A33" s="41" t="s">
        <v>39</v>
      </c>
      <c r="B33" s="7">
        <v>8</v>
      </c>
      <c r="C33" s="7"/>
      <c r="D33" s="7"/>
      <c r="E33" s="7"/>
      <c r="F33" s="7"/>
      <c r="G33" s="7"/>
      <c r="H33" s="7">
        <v>20</v>
      </c>
      <c r="I33" s="7">
        <v>15</v>
      </c>
      <c r="J33" s="7"/>
      <c r="K33" s="7"/>
      <c r="L33" s="7"/>
      <c r="M33" s="7"/>
      <c r="N33" s="7"/>
      <c r="O33" s="7">
        <v>17</v>
      </c>
      <c r="P33" s="7">
        <v>13</v>
      </c>
      <c r="Q33" s="7"/>
      <c r="R33" s="7">
        <v>2</v>
      </c>
      <c r="S33" s="7">
        <v>14</v>
      </c>
      <c r="T33" s="7">
        <v>18</v>
      </c>
      <c r="U33" s="7">
        <v>18</v>
      </c>
      <c r="V33" s="7">
        <v>18</v>
      </c>
      <c r="W33" s="7">
        <v>5</v>
      </c>
      <c r="X33" s="7"/>
      <c r="Y33" s="7"/>
      <c r="Z33" s="7"/>
      <c r="AA33" s="7"/>
      <c r="AB33" s="7"/>
      <c r="AC33" s="7">
        <v>17</v>
      </c>
      <c r="AD33" s="7">
        <v>16</v>
      </c>
      <c r="AE33" s="7"/>
      <c r="AF33" s="8"/>
      <c r="AG33" s="4">
        <f t="shared" si="2"/>
        <v>181</v>
      </c>
    </row>
    <row r="34" spans="1:33" ht="18.75" x14ac:dyDescent="0.25">
      <c r="A34" s="41" t="s">
        <v>40</v>
      </c>
      <c r="B34" s="7">
        <v>7</v>
      </c>
      <c r="C34" s="7"/>
      <c r="D34" s="7"/>
      <c r="E34" s="7"/>
      <c r="F34" s="7">
        <v>1</v>
      </c>
      <c r="G34" s="7"/>
      <c r="H34" s="7">
        <v>14</v>
      </c>
      <c r="I34" s="7">
        <v>17</v>
      </c>
      <c r="J34" s="7"/>
      <c r="K34" s="7"/>
      <c r="L34" s="7"/>
      <c r="M34" s="7"/>
      <c r="N34" s="7"/>
      <c r="O34" s="7">
        <v>12</v>
      </c>
      <c r="P34" s="7">
        <v>13</v>
      </c>
      <c r="Q34" s="7"/>
      <c r="R34" s="7">
        <v>6</v>
      </c>
      <c r="S34" s="7">
        <v>12</v>
      </c>
      <c r="T34" s="7">
        <v>14</v>
      </c>
      <c r="U34" s="7">
        <v>15</v>
      </c>
      <c r="V34" s="7">
        <v>15</v>
      </c>
      <c r="W34" s="7">
        <v>10</v>
      </c>
      <c r="X34" s="7"/>
      <c r="Y34" s="7"/>
      <c r="Z34" s="7"/>
      <c r="AA34" s="7"/>
      <c r="AB34" s="7"/>
      <c r="AC34" s="7">
        <v>9</v>
      </c>
      <c r="AD34" s="7">
        <v>6</v>
      </c>
      <c r="AE34" s="7"/>
      <c r="AF34" s="8"/>
      <c r="AG34" s="4">
        <f t="shared" si="2"/>
        <v>151</v>
      </c>
    </row>
    <row r="35" spans="1:33" ht="18.75" x14ac:dyDescent="0.25">
      <c r="A35" s="41" t="s">
        <v>41</v>
      </c>
      <c r="B35" s="7">
        <v>12</v>
      </c>
      <c r="C35" s="7"/>
      <c r="D35" s="7"/>
      <c r="E35" s="7"/>
      <c r="F35" s="7"/>
      <c r="G35" s="7"/>
      <c r="H35" s="7">
        <v>11</v>
      </c>
      <c r="I35" s="7">
        <v>12</v>
      </c>
      <c r="J35" s="7"/>
      <c r="K35" s="7"/>
      <c r="L35" s="7"/>
      <c r="M35" s="7"/>
      <c r="N35" s="7"/>
      <c r="O35" s="7">
        <v>11</v>
      </c>
      <c r="P35" s="7">
        <v>11</v>
      </c>
      <c r="Q35" s="7"/>
      <c r="R35" s="7">
        <v>10</v>
      </c>
      <c r="S35" s="7">
        <v>17</v>
      </c>
      <c r="T35" s="7">
        <v>13</v>
      </c>
      <c r="U35" s="7">
        <v>8</v>
      </c>
      <c r="V35" s="7">
        <v>15</v>
      </c>
      <c r="W35" s="7">
        <v>16</v>
      </c>
      <c r="X35" s="7"/>
      <c r="Y35" s="7"/>
      <c r="Z35" s="7"/>
      <c r="AA35" s="7"/>
      <c r="AB35" s="7"/>
      <c r="AC35" s="7">
        <v>12</v>
      </c>
      <c r="AD35" s="7">
        <v>19</v>
      </c>
      <c r="AE35" s="7"/>
      <c r="AF35" s="8"/>
      <c r="AG35" s="4">
        <f t="shared" si="2"/>
        <v>167</v>
      </c>
    </row>
    <row r="36" spans="1:33" ht="18.75" x14ac:dyDescent="0.25">
      <c r="A36" s="41" t="s">
        <v>42</v>
      </c>
      <c r="B36" s="7">
        <v>16</v>
      </c>
      <c r="C36" s="7"/>
      <c r="D36" s="7"/>
      <c r="E36" s="7"/>
      <c r="F36" s="7"/>
      <c r="G36" s="7"/>
      <c r="H36" s="7">
        <v>16</v>
      </c>
      <c r="I36" s="7">
        <v>16</v>
      </c>
      <c r="J36" s="7"/>
      <c r="K36" s="7"/>
      <c r="L36" s="7"/>
      <c r="M36" s="7"/>
      <c r="N36" s="7"/>
      <c r="O36" s="7">
        <v>13</v>
      </c>
      <c r="P36" s="7">
        <v>15</v>
      </c>
      <c r="Q36" s="7"/>
      <c r="R36" s="7">
        <v>7</v>
      </c>
      <c r="S36" s="7">
        <v>13</v>
      </c>
      <c r="T36" s="7">
        <v>14</v>
      </c>
      <c r="U36" s="7">
        <v>13</v>
      </c>
      <c r="V36" s="7">
        <v>20</v>
      </c>
      <c r="W36" s="7">
        <v>12</v>
      </c>
      <c r="X36" s="7"/>
      <c r="Y36" s="7"/>
      <c r="Z36" s="7">
        <v>1</v>
      </c>
      <c r="AA36" s="7"/>
      <c r="AB36" s="7"/>
      <c r="AC36" s="7">
        <v>18</v>
      </c>
      <c r="AD36" s="7">
        <v>15</v>
      </c>
      <c r="AE36" s="7"/>
      <c r="AF36" s="8"/>
      <c r="AG36" s="4">
        <f t="shared" si="2"/>
        <v>189</v>
      </c>
    </row>
    <row r="37" spans="1:33" ht="18.75" x14ac:dyDescent="0.25">
      <c r="A37" s="41" t="s">
        <v>43</v>
      </c>
      <c r="B37" s="7">
        <v>9</v>
      </c>
      <c r="C37" s="7"/>
      <c r="D37" s="7"/>
      <c r="E37" s="7"/>
      <c r="F37" s="7"/>
      <c r="G37" s="7"/>
      <c r="H37" s="7">
        <v>21</v>
      </c>
      <c r="I37" s="7">
        <v>15</v>
      </c>
      <c r="J37" s="7"/>
      <c r="K37" s="7"/>
      <c r="L37" s="7"/>
      <c r="M37" s="7"/>
      <c r="N37" s="7"/>
      <c r="O37" s="7">
        <v>19</v>
      </c>
      <c r="P37" s="7">
        <v>13</v>
      </c>
      <c r="Q37" s="7"/>
      <c r="R37" s="7">
        <v>7</v>
      </c>
      <c r="S37" s="7">
        <v>9</v>
      </c>
      <c r="T37" s="7">
        <v>15</v>
      </c>
      <c r="U37" s="7">
        <v>19</v>
      </c>
      <c r="V37" s="7">
        <v>21</v>
      </c>
      <c r="W37" s="7">
        <v>9</v>
      </c>
      <c r="X37" s="7">
        <v>1</v>
      </c>
      <c r="Y37" s="7"/>
      <c r="Z37" s="7"/>
      <c r="AA37" s="7"/>
      <c r="AB37" s="7"/>
      <c r="AC37" s="7">
        <v>18</v>
      </c>
      <c r="AD37" s="7">
        <v>20</v>
      </c>
      <c r="AE37" s="7"/>
      <c r="AF37" s="8"/>
      <c r="AG37" s="4">
        <f t="shared" si="2"/>
        <v>196</v>
      </c>
    </row>
    <row r="38" spans="1:33" ht="18.75" x14ac:dyDescent="0.25">
      <c r="A38" s="41" t="s">
        <v>44</v>
      </c>
      <c r="B38" s="7">
        <v>16</v>
      </c>
      <c r="C38" s="7">
        <v>5</v>
      </c>
      <c r="D38" s="7">
        <v>10</v>
      </c>
      <c r="E38" s="7">
        <v>3</v>
      </c>
      <c r="F38" s="7">
        <v>6</v>
      </c>
      <c r="G38" s="7">
        <v>12</v>
      </c>
      <c r="H38" s="7">
        <v>20</v>
      </c>
      <c r="I38" s="7">
        <v>20</v>
      </c>
      <c r="J38" s="7">
        <v>12</v>
      </c>
      <c r="K38" s="7">
        <v>7</v>
      </c>
      <c r="L38" s="7">
        <v>7</v>
      </c>
      <c r="M38" s="7">
        <v>10</v>
      </c>
      <c r="N38" s="7">
        <v>5</v>
      </c>
      <c r="O38" s="7">
        <v>20</v>
      </c>
      <c r="P38" s="7">
        <v>23</v>
      </c>
      <c r="Q38" s="7">
        <v>5</v>
      </c>
      <c r="R38" s="7">
        <v>17</v>
      </c>
      <c r="S38" s="7">
        <v>19</v>
      </c>
      <c r="T38" s="7">
        <v>17</v>
      </c>
      <c r="U38" s="7">
        <v>16</v>
      </c>
      <c r="V38" s="7">
        <v>21</v>
      </c>
      <c r="W38" s="7">
        <v>15</v>
      </c>
      <c r="X38" s="7">
        <v>11</v>
      </c>
      <c r="Y38" s="7">
        <v>4</v>
      </c>
      <c r="Z38" s="7">
        <v>3</v>
      </c>
      <c r="AA38" s="7">
        <v>7</v>
      </c>
      <c r="AB38" s="7">
        <v>6</v>
      </c>
      <c r="AC38" s="7">
        <v>22</v>
      </c>
      <c r="AD38" s="7">
        <v>13</v>
      </c>
      <c r="AE38" s="7">
        <v>8</v>
      </c>
      <c r="AF38" s="8"/>
      <c r="AG38" s="4">
        <f t="shared" si="2"/>
        <v>360</v>
      </c>
    </row>
    <row r="39" spans="1:33" ht="18.75" x14ac:dyDescent="0.25">
      <c r="A39" s="41" t="s">
        <v>45</v>
      </c>
      <c r="B39" s="7">
        <v>13</v>
      </c>
      <c r="C39" s="7">
        <v>34</v>
      </c>
      <c r="D39" s="7">
        <v>29</v>
      </c>
      <c r="E39" s="7">
        <v>26</v>
      </c>
      <c r="F39" s="7">
        <v>24</v>
      </c>
      <c r="G39" s="7">
        <v>27</v>
      </c>
      <c r="H39" s="7">
        <v>14</v>
      </c>
      <c r="I39" s="7">
        <v>19</v>
      </c>
      <c r="J39" s="7">
        <v>38</v>
      </c>
      <c r="K39" s="7">
        <v>27</v>
      </c>
      <c r="L39" s="7">
        <v>21</v>
      </c>
      <c r="M39" s="7">
        <v>19</v>
      </c>
      <c r="N39" s="7">
        <v>20</v>
      </c>
      <c r="O39" s="7">
        <v>17</v>
      </c>
      <c r="P39" s="7">
        <v>16</v>
      </c>
      <c r="Q39" s="7">
        <v>24</v>
      </c>
      <c r="R39" s="7">
        <v>20</v>
      </c>
      <c r="S39" s="7">
        <v>15</v>
      </c>
      <c r="T39" s="7">
        <v>14</v>
      </c>
      <c r="U39" s="7">
        <v>18</v>
      </c>
      <c r="V39" s="7">
        <v>19</v>
      </c>
      <c r="W39" s="7">
        <v>12</v>
      </c>
      <c r="X39" s="7">
        <v>34</v>
      </c>
      <c r="Y39" s="7">
        <v>24</v>
      </c>
      <c r="Z39" s="7">
        <v>26</v>
      </c>
      <c r="AA39" s="7">
        <v>20</v>
      </c>
      <c r="AB39" s="7">
        <v>23</v>
      </c>
      <c r="AC39" s="7">
        <v>18</v>
      </c>
      <c r="AD39" s="7">
        <v>13</v>
      </c>
      <c r="AE39" s="7">
        <v>20</v>
      </c>
      <c r="AF39" s="8"/>
      <c r="AG39" s="4">
        <f t="shared" si="2"/>
        <v>644</v>
      </c>
    </row>
    <row r="40" spans="1:33" ht="18.75" x14ac:dyDescent="0.25">
      <c r="A40" s="41" t="s">
        <v>46</v>
      </c>
      <c r="B40" s="7">
        <v>14</v>
      </c>
      <c r="C40" s="7">
        <v>42</v>
      </c>
      <c r="D40" s="7">
        <v>29</v>
      </c>
      <c r="E40" s="7">
        <v>37</v>
      </c>
      <c r="F40" s="7">
        <v>36</v>
      </c>
      <c r="G40" s="7">
        <v>27</v>
      </c>
      <c r="H40" s="7">
        <v>18</v>
      </c>
      <c r="I40" s="7">
        <v>21</v>
      </c>
      <c r="J40" s="7">
        <v>31</v>
      </c>
      <c r="K40" s="7">
        <v>31</v>
      </c>
      <c r="L40" s="7">
        <v>25</v>
      </c>
      <c r="M40" s="7">
        <v>27</v>
      </c>
      <c r="N40" s="7">
        <v>17</v>
      </c>
      <c r="O40" s="7">
        <v>20</v>
      </c>
      <c r="P40" s="7">
        <v>9</v>
      </c>
      <c r="Q40" s="7">
        <v>24</v>
      </c>
      <c r="R40" s="7">
        <v>20</v>
      </c>
      <c r="S40" s="7">
        <v>11</v>
      </c>
      <c r="T40" s="7">
        <v>16</v>
      </c>
      <c r="U40" s="7">
        <v>16</v>
      </c>
      <c r="V40" s="7">
        <v>16</v>
      </c>
      <c r="W40" s="7">
        <v>8</v>
      </c>
      <c r="X40" s="7">
        <v>31</v>
      </c>
      <c r="Y40" s="7">
        <v>30</v>
      </c>
      <c r="Z40" s="7">
        <v>27</v>
      </c>
      <c r="AA40" s="7">
        <v>25</v>
      </c>
      <c r="AB40" s="7">
        <v>32</v>
      </c>
      <c r="AC40" s="7">
        <v>15</v>
      </c>
      <c r="AD40" s="7">
        <v>16</v>
      </c>
      <c r="AE40" s="7">
        <v>30</v>
      </c>
      <c r="AF40" s="8"/>
      <c r="AG40" s="4">
        <f t="shared" si="2"/>
        <v>701</v>
      </c>
    </row>
    <row r="41" spans="1:33" ht="18.75" x14ac:dyDescent="0.25">
      <c r="A41" s="41" t="s">
        <v>47</v>
      </c>
      <c r="B41" s="7">
        <v>13</v>
      </c>
      <c r="C41" s="7">
        <v>26</v>
      </c>
      <c r="D41" s="7">
        <v>26</v>
      </c>
      <c r="E41" s="7">
        <v>34</v>
      </c>
      <c r="F41" s="7">
        <v>29</v>
      </c>
      <c r="G41" s="7">
        <v>24</v>
      </c>
      <c r="H41" s="7">
        <v>22</v>
      </c>
      <c r="I41" s="7">
        <v>23</v>
      </c>
      <c r="J41" s="7">
        <v>32</v>
      </c>
      <c r="K41" s="7">
        <v>28</v>
      </c>
      <c r="L41" s="7">
        <v>32</v>
      </c>
      <c r="M41" s="7">
        <v>24</v>
      </c>
      <c r="N41" s="7">
        <v>23</v>
      </c>
      <c r="O41" s="7">
        <v>15</v>
      </c>
      <c r="P41" s="7">
        <v>14</v>
      </c>
      <c r="Q41" s="7">
        <v>35</v>
      </c>
      <c r="R41" s="7">
        <v>24</v>
      </c>
      <c r="S41" s="7">
        <v>14</v>
      </c>
      <c r="T41" s="7">
        <v>22</v>
      </c>
      <c r="U41" s="7">
        <v>14</v>
      </c>
      <c r="V41" s="7">
        <v>21</v>
      </c>
      <c r="W41" s="7">
        <v>12</v>
      </c>
      <c r="X41" s="7">
        <v>25</v>
      </c>
      <c r="Y41" s="7">
        <v>28</v>
      </c>
      <c r="Z41" s="7">
        <v>24</v>
      </c>
      <c r="AA41" s="7">
        <v>24</v>
      </c>
      <c r="AB41" s="7">
        <v>31</v>
      </c>
      <c r="AC41" s="7">
        <v>21</v>
      </c>
      <c r="AD41" s="7">
        <v>17</v>
      </c>
      <c r="AE41" s="7">
        <v>31</v>
      </c>
      <c r="AF41" s="8"/>
      <c r="AG41" s="4">
        <f t="shared" si="2"/>
        <v>708</v>
      </c>
    </row>
    <row r="42" spans="1:33" ht="18.75" x14ac:dyDescent="0.25">
      <c r="A42" s="41" t="s">
        <v>48</v>
      </c>
      <c r="B42" s="7">
        <v>23</v>
      </c>
      <c r="C42" s="7">
        <v>31</v>
      </c>
      <c r="D42" s="7">
        <v>21</v>
      </c>
      <c r="E42" s="7">
        <v>32</v>
      </c>
      <c r="F42" s="7">
        <v>17</v>
      </c>
      <c r="G42" s="7">
        <v>30</v>
      </c>
      <c r="H42" s="7">
        <v>19</v>
      </c>
      <c r="I42" s="7">
        <v>26</v>
      </c>
      <c r="J42" s="7">
        <v>33</v>
      </c>
      <c r="K42" s="7">
        <v>28</v>
      </c>
      <c r="L42" s="7">
        <v>29</v>
      </c>
      <c r="M42" s="7">
        <v>28</v>
      </c>
      <c r="N42" s="7">
        <v>24</v>
      </c>
      <c r="O42" s="7">
        <v>23</v>
      </c>
      <c r="P42" s="7">
        <v>18</v>
      </c>
      <c r="Q42" s="7">
        <v>28</v>
      </c>
      <c r="R42" s="7">
        <v>20</v>
      </c>
      <c r="S42" s="7">
        <v>18</v>
      </c>
      <c r="T42" s="7">
        <v>13</v>
      </c>
      <c r="U42" s="7">
        <v>13</v>
      </c>
      <c r="V42" s="7">
        <v>19</v>
      </c>
      <c r="W42" s="7">
        <v>13</v>
      </c>
      <c r="X42" s="7">
        <v>31</v>
      </c>
      <c r="Y42" s="7">
        <v>20</v>
      </c>
      <c r="Z42" s="7">
        <v>24</v>
      </c>
      <c r="AA42" s="7">
        <v>22</v>
      </c>
      <c r="AB42" s="7">
        <v>21</v>
      </c>
      <c r="AC42" s="7">
        <v>12</v>
      </c>
      <c r="AD42" s="7">
        <v>7</v>
      </c>
      <c r="AE42" s="7">
        <v>22</v>
      </c>
      <c r="AF42" s="8"/>
      <c r="AG42" s="4">
        <f t="shared" si="2"/>
        <v>665</v>
      </c>
    </row>
    <row r="43" spans="1:33" ht="18.75" x14ac:dyDescent="0.25">
      <c r="A43" s="41" t="s">
        <v>49</v>
      </c>
      <c r="B43" s="7">
        <v>16</v>
      </c>
      <c r="C43" s="7">
        <v>25</v>
      </c>
      <c r="D43" s="7">
        <v>9</v>
      </c>
      <c r="E43" s="7">
        <v>23</v>
      </c>
      <c r="F43" s="7">
        <v>19</v>
      </c>
      <c r="G43" s="7">
        <v>15</v>
      </c>
      <c r="H43" s="7">
        <v>12</v>
      </c>
      <c r="I43" s="7">
        <v>17</v>
      </c>
      <c r="J43" s="7">
        <v>20</v>
      </c>
      <c r="K43" s="7">
        <v>16</v>
      </c>
      <c r="L43" s="7">
        <v>20</v>
      </c>
      <c r="M43" s="7">
        <v>12</v>
      </c>
      <c r="N43" s="7">
        <v>23</v>
      </c>
      <c r="O43" s="7">
        <v>11</v>
      </c>
      <c r="P43" s="7">
        <v>15</v>
      </c>
      <c r="Q43" s="7">
        <v>30</v>
      </c>
      <c r="R43" s="7">
        <v>12</v>
      </c>
      <c r="S43" s="7">
        <v>17</v>
      </c>
      <c r="T43" s="7">
        <v>9</v>
      </c>
      <c r="U43" s="7">
        <v>13</v>
      </c>
      <c r="V43" s="7">
        <v>7</v>
      </c>
      <c r="W43" s="7">
        <v>8</v>
      </c>
      <c r="X43" s="7">
        <v>21</v>
      </c>
      <c r="Y43" s="7">
        <v>27</v>
      </c>
      <c r="Z43" s="7">
        <v>15</v>
      </c>
      <c r="AA43" s="7">
        <v>21</v>
      </c>
      <c r="AB43" s="7">
        <v>19</v>
      </c>
      <c r="AC43" s="7">
        <v>12</v>
      </c>
      <c r="AD43" s="7">
        <v>5</v>
      </c>
      <c r="AE43" s="7">
        <v>26</v>
      </c>
      <c r="AF43" s="8"/>
      <c r="AG43" s="4">
        <f t="shared" si="2"/>
        <v>495</v>
      </c>
    </row>
    <row r="44" spans="1:33" ht="18.75" x14ac:dyDescent="0.25">
      <c r="A44" s="41" t="s">
        <v>50</v>
      </c>
      <c r="B44" s="7">
        <v>19</v>
      </c>
      <c r="C44" s="7">
        <v>10</v>
      </c>
      <c r="D44" s="7">
        <v>12</v>
      </c>
      <c r="E44" s="7">
        <v>19</v>
      </c>
      <c r="F44" s="7">
        <v>10</v>
      </c>
      <c r="G44" s="7">
        <v>15</v>
      </c>
      <c r="H44" s="7">
        <v>14</v>
      </c>
      <c r="I44" s="7">
        <v>14</v>
      </c>
      <c r="J44" s="7">
        <v>18</v>
      </c>
      <c r="K44" s="7">
        <v>11</v>
      </c>
      <c r="L44" s="7">
        <v>10</v>
      </c>
      <c r="M44" s="7">
        <v>13</v>
      </c>
      <c r="N44" s="7">
        <v>24</v>
      </c>
      <c r="O44" s="7">
        <v>13</v>
      </c>
      <c r="P44" s="7">
        <v>11</v>
      </c>
      <c r="Q44" s="7">
        <v>8</v>
      </c>
      <c r="R44" s="7">
        <v>8</v>
      </c>
      <c r="S44" s="7">
        <v>15</v>
      </c>
      <c r="T44" s="7">
        <v>12</v>
      </c>
      <c r="U44" s="7">
        <v>10</v>
      </c>
      <c r="V44" s="7">
        <v>5</v>
      </c>
      <c r="W44" s="7">
        <v>7</v>
      </c>
      <c r="X44" s="7">
        <v>12</v>
      </c>
      <c r="Y44" s="7">
        <v>21</v>
      </c>
      <c r="Z44" s="7">
        <v>14</v>
      </c>
      <c r="AA44" s="7">
        <v>18</v>
      </c>
      <c r="AB44" s="7">
        <v>18</v>
      </c>
      <c r="AC44" s="7">
        <v>10</v>
      </c>
      <c r="AD44" s="7">
        <v>5</v>
      </c>
      <c r="AE44" s="7">
        <v>20</v>
      </c>
      <c r="AF44" s="8"/>
      <c r="AG44" s="4">
        <f t="shared" si="2"/>
        <v>396</v>
      </c>
    </row>
    <row r="45" spans="1:33" ht="18.75" x14ac:dyDescent="0.25">
      <c r="A45" s="41" t="s">
        <v>33</v>
      </c>
      <c r="B45" s="7">
        <v>11</v>
      </c>
      <c r="C45" s="7">
        <v>4</v>
      </c>
      <c r="D45" s="7">
        <v>6</v>
      </c>
      <c r="E45" s="7">
        <v>8</v>
      </c>
      <c r="F45" s="7">
        <v>7</v>
      </c>
      <c r="G45" s="7">
        <v>8</v>
      </c>
      <c r="H45" s="7">
        <v>5</v>
      </c>
      <c r="I45" s="7">
        <v>13</v>
      </c>
      <c r="J45" s="7">
        <v>9</v>
      </c>
      <c r="K45" s="7">
        <v>8</v>
      </c>
      <c r="L45" s="7">
        <v>7</v>
      </c>
      <c r="M45" s="7">
        <v>11</v>
      </c>
      <c r="N45" s="7">
        <v>9</v>
      </c>
      <c r="O45" s="7">
        <v>14</v>
      </c>
      <c r="P45" s="7">
        <v>11</v>
      </c>
      <c r="Q45" s="7">
        <v>3</v>
      </c>
      <c r="R45" s="7">
        <v>14</v>
      </c>
      <c r="S45" s="7">
        <v>7</v>
      </c>
      <c r="T45" s="7">
        <v>10</v>
      </c>
      <c r="U45" s="7">
        <v>12</v>
      </c>
      <c r="V45" s="7">
        <v>6</v>
      </c>
      <c r="W45" s="7">
        <v>7</v>
      </c>
      <c r="X45" s="7">
        <v>6</v>
      </c>
      <c r="Y45" s="7">
        <v>7</v>
      </c>
      <c r="Z45" s="7">
        <v>8</v>
      </c>
      <c r="AA45" s="7">
        <v>10</v>
      </c>
      <c r="AB45" s="7">
        <v>11</v>
      </c>
      <c r="AC45" s="7">
        <v>8</v>
      </c>
      <c r="AD45" s="7">
        <v>3</v>
      </c>
      <c r="AE45" s="7">
        <v>6</v>
      </c>
      <c r="AF45" s="8"/>
      <c r="AG45" s="4">
        <f t="shared" si="2"/>
        <v>249</v>
      </c>
    </row>
    <row r="46" spans="1:33" ht="18.75" x14ac:dyDescent="0.25">
      <c r="A46" s="41" t="s">
        <v>34</v>
      </c>
      <c r="B46" s="7">
        <v>8</v>
      </c>
      <c r="C46" s="7">
        <v>5</v>
      </c>
      <c r="D46" s="7">
        <v>4</v>
      </c>
      <c r="E46" s="7">
        <v>7</v>
      </c>
      <c r="F46" s="7">
        <v>3</v>
      </c>
      <c r="G46" s="7">
        <v>2</v>
      </c>
      <c r="H46" s="7">
        <v>5</v>
      </c>
      <c r="I46" s="7">
        <v>2</v>
      </c>
      <c r="J46" s="7">
        <v>2</v>
      </c>
      <c r="K46" s="7">
        <v>8</v>
      </c>
      <c r="L46" s="7">
        <v>6</v>
      </c>
      <c r="M46" s="7">
        <v>9</v>
      </c>
      <c r="N46" s="7">
        <v>2</v>
      </c>
      <c r="O46" s="7">
        <v>4</v>
      </c>
      <c r="P46" s="7">
        <v>8</v>
      </c>
      <c r="Q46" s="7">
        <v>4</v>
      </c>
      <c r="R46" s="7">
        <v>7</v>
      </c>
      <c r="S46" s="7">
        <v>6</v>
      </c>
      <c r="T46" s="7">
        <v>6</v>
      </c>
      <c r="U46" s="7">
        <v>9</v>
      </c>
      <c r="V46" s="7">
        <v>10</v>
      </c>
      <c r="W46" s="7">
        <v>7</v>
      </c>
      <c r="X46" s="7">
        <v>5</v>
      </c>
      <c r="Y46" s="7">
        <v>5</v>
      </c>
      <c r="Z46" s="7">
        <v>8</v>
      </c>
      <c r="AA46" s="7">
        <v>6</v>
      </c>
      <c r="AB46" s="7">
        <v>10</v>
      </c>
      <c r="AC46" s="7">
        <v>8</v>
      </c>
      <c r="AD46" s="7"/>
      <c r="AE46" s="7">
        <v>4</v>
      </c>
      <c r="AF46" s="8"/>
      <c r="AG46" s="4">
        <f t="shared" si="2"/>
        <v>170</v>
      </c>
    </row>
    <row r="47" spans="1:33" ht="18.75" x14ac:dyDescent="0.25">
      <c r="A47" s="41" t="s">
        <v>35</v>
      </c>
      <c r="B47" s="7">
        <v>3</v>
      </c>
      <c r="C47" s="7">
        <v>10</v>
      </c>
      <c r="D47" s="7">
        <v>5</v>
      </c>
      <c r="E47" s="7">
        <v>10</v>
      </c>
      <c r="F47" s="7">
        <v>3</v>
      </c>
      <c r="G47" s="7">
        <v>2</v>
      </c>
      <c r="H47" s="7">
        <v>6</v>
      </c>
      <c r="I47" s="7">
        <v>1</v>
      </c>
      <c r="J47" s="7">
        <v>7</v>
      </c>
      <c r="K47" s="7">
        <v>6</v>
      </c>
      <c r="L47" s="7">
        <v>9</v>
      </c>
      <c r="M47" s="7">
        <v>2</v>
      </c>
      <c r="N47" s="7">
        <v>7</v>
      </c>
      <c r="O47" s="7">
        <v>7</v>
      </c>
      <c r="P47" s="7">
        <v>3</v>
      </c>
      <c r="Q47" s="7">
        <v>10</v>
      </c>
      <c r="R47" s="7">
        <v>6</v>
      </c>
      <c r="S47" s="7"/>
      <c r="T47" s="7">
        <v>4</v>
      </c>
      <c r="U47" s="7">
        <v>5</v>
      </c>
      <c r="V47" s="7">
        <v>6</v>
      </c>
      <c r="W47" s="7">
        <v>5</v>
      </c>
      <c r="X47" s="7">
        <v>7</v>
      </c>
      <c r="Y47" s="7">
        <v>11</v>
      </c>
      <c r="Z47" s="7">
        <v>8</v>
      </c>
      <c r="AA47" s="7">
        <v>8</v>
      </c>
      <c r="AB47" s="7">
        <v>8</v>
      </c>
      <c r="AC47" s="7">
        <v>5</v>
      </c>
      <c r="AD47" s="7"/>
      <c r="AE47" s="7">
        <v>7</v>
      </c>
      <c r="AF47" s="8"/>
      <c r="AG47" s="4">
        <f t="shared" si="2"/>
        <v>171</v>
      </c>
    </row>
    <row r="48" spans="1:33" ht="18.75" x14ac:dyDescent="0.25">
      <c r="A48" s="41" t="s">
        <v>36</v>
      </c>
      <c r="B48" s="7">
        <v>4</v>
      </c>
      <c r="C48" s="7">
        <v>6</v>
      </c>
      <c r="D48" s="7">
        <v>9</v>
      </c>
      <c r="E48" s="7">
        <v>2</v>
      </c>
      <c r="F48" s="7">
        <v>3</v>
      </c>
      <c r="G48" s="7">
        <v>1</v>
      </c>
      <c r="H48" s="7"/>
      <c r="I48" s="7"/>
      <c r="J48" s="7">
        <v>1</v>
      </c>
      <c r="K48" s="7">
        <v>8</v>
      </c>
      <c r="L48" s="7">
        <v>3</v>
      </c>
      <c r="M48" s="7">
        <v>2</v>
      </c>
      <c r="N48" s="7">
        <v>9</v>
      </c>
      <c r="O48" s="7">
        <v>1</v>
      </c>
      <c r="P48" s="7">
        <v>2</v>
      </c>
      <c r="Q48" s="7">
        <v>6</v>
      </c>
      <c r="R48" s="7">
        <v>2</v>
      </c>
      <c r="S48" s="7">
        <v>3</v>
      </c>
      <c r="T48" s="7">
        <v>4</v>
      </c>
      <c r="U48" s="7">
        <v>6</v>
      </c>
      <c r="V48" s="7">
        <v>5</v>
      </c>
      <c r="W48" s="7">
        <v>3</v>
      </c>
      <c r="X48" s="7">
        <v>6</v>
      </c>
      <c r="Y48" s="7">
        <v>12</v>
      </c>
      <c r="Z48" s="7">
        <v>3</v>
      </c>
      <c r="AA48" s="7">
        <v>7</v>
      </c>
      <c r="AB48" s="7">
        <v>7</v>
      </c>
      <c r="AC48" s="7">
        <v>1</v>
      </c>
      <c r="AD48" s="7"/>
      <c r="AE48" s="7">
        <v>1</v>
      </c>
      <c r="AF48" s="8"/>
      <c r="AG48" s="4">
        <f t="shared" si="2"/>
        <v>117</v>
      </c>
    </row>
    <row r="49" spans="1:33" ht="18.75" x14ac:dyDescent="0.25">
      <c r="A49" s="41" t="s">
        <v>51</v>
      </c>
      <c r="B49" s="7"/>
      <c r="C49" s="7">
        <v>1</v>
      </c>
      <c r="D49" s="7">
        <v>1</v>
      </c>
      <c r="E49" s="7"/>
      <c r="F49" s="7">
        <v>1</v>
      </c>
      <c r="G49" s="7">
        <v>1</v>
      </c>
      <c r="H49" s="7">
        <v>3</v>
      </c>
      <c r="I49" s="7"/>
      <c r="J49" s="7">
        <v>1</v>
      </c>
      <c r="K49" s="7">
        <v>2</v>
      </c>
      <c r="L49" s="7">
        <v>1</v>
      </c>
      <c r="M49" s="7">
        <v>3</v>
      </c>
      <c r="N49" s="7">
        <v>2</v>
      </c>
      <c r="O49" s="7">
        <v>1</v>
      </c>
      <c r="P49" s="7"/>
      <c r="Q49" s="7">
        <v>1</v>
      </c>
      <c r="R49" s="7"/>
      <c r="S49" s="7">
        <v>1</v>
      </c>
      <c r="T49" s="7">
        <v>1</v>
      </c>
      <c r="U49" s="7">
        <v>5</v>
      </c>
      <c r="V49" s="7">
        <v>7</v>
      </c>
      <c r="W49" s="7">
        <v>4</v>
      </c>
      <c r="X49" s="7">
        <v>4</v>
      </c>
      <c r="Y49" s="7">
        <v>2</v>
      </c>
      <c r="Z49" s="7">
        <v>2</v>
      </c>
      <c r="AA49" s="7">
        <v>1</v>
      </c>
      <c r="AB49" s="7">
        <v>2</v>
      </c>
      <c r="AC49" s="7">
        <v>1</v>
      </c>
      <c r="AD49" s="7">
        <v>2</v>
      </c>
      <c r="AE49" s="7"/>
      <c r="AF49" s="8"/>
      <c r="AG49" s="4">
        <f t="shared" si="2"/>
        <v>50</v>
      </c>
    </row>
    <row r="50" spans="1:33" ht="18.75" x14ac:dyDescent="0.25">
      <c r="A50" s="41" t="s">
        <v>52</v>
      </c>
      <c r="B50" s="7"/>
      <c r="C50" s="7"/>
      <c r="D50" s="7"/>
      <c r="E50" s="7"/>
      <c r="F50" s="7"/>
      <c r="G50" s="7"/>
      <c r="H50" s="7">
        <v>2</v>
      </c>
      <c r="I50" s="7">
        <v>1</v>
      </c>
      <c r="J50" s="7">
        <v>1</v>
      </c>
      <c r="K50" s="7">
        <v>2</v>
      </c>
      <c r="L50" s="7"/>
      <c r="M50" s="7"/>
      <c r="N50" s="7">
        <v>2</v>
      </c>
      <c r="O50" s="7">
        <v>2</v>
      </c>
      <c r="P50" s="7"/>
      <c r="Q50" s="7">
        <v>1</v>
      </c>
      <c r="R50" s="7"/>
      <c r="S50" s="7">
        <v>2</v>
      </c>
      <c r="T50" s="7"/>
      <c r="U50" s="7">
        <v>5</v>
      </c>
      <c r="V50" s="7">
        <v>2</v>
      </c>
      <c r="W50" s="7">
        <v>4</v>
      </c>
      <c r="X50" s="7">
        <v>1</v>
      </c>
      <c r="Y50" s="7"/>
      <c r="Z50" s="7"/>
      <c r="AA50" s="7"/>
      <c r="AB50" s="7">
        <v>2</v>
      </c>
      <c r="AC50" s="7">
        <v>1</v>
      </c>
      <c r="AD50" s="7">
        <v>2</v>
      </c>
      <c r="AE50" s="7"/>
      <c r="AF50" s="8"/>
      <c r="AG50" s="4">
        <f t="shared" si="2"/>
        <v>30</v>
      </c>
    </row>
    <row r="51" spans="1:33" ht="18.75" x14ac:dyDescent="0.25">
      <c r="A51" s="41" t="s">
        <v>37</v>
      </c>
      <c r="B51" s="7"/>
      <c r="C51" s="7">
        <v>1</v>
      </c>
      <c r="D51" s="7"/>
      <c r="E51" s="7">
        <v>2</v>
      </c>
      <c r="F51" s="7"/>
      <c r="G51" s="7">
        <v>1</v>
      </c>
      <c r="H51" s="7">
        <v>2</v>
      </c>
      <c r="I51" s="7"/>
      <c r="J51" s="7"/>
      <c r="K51" s="7">
        <v>3</v>
      </c>
      <c r="L51" s="7">
        <v>1</v>
      </c>
      <c r="M51" s="7">
        <v>2</v>
      </c>
      <c r="N51" s="7"/>
      <c r="O51" s="7">
        <v>1</v>
      </c>
      <c r="P51" s="7"/>
      <c r="Q51" s="7">
        <v>2</v>
      </c>
      <c r="R51" s="7">
        <v>3</v>
      </c>
      <c r="S51" s="7"/>
      <c r="T51" s="7">
        <v>1</v>
      </c>
      <c r="U51" s="7">
        <v>3</v>
      </c>
      <c r="V51" s="7"/>
      <c r="W51" s="7">
        <v>1</v>
      </c>
      <c r="X51" s="7"/>
      <c r="Y51" s="7">
        <v>3</v>
      </c>
      <c r="Z51" s="7"/>
      <c r="AA51" s="7"/>
      <c r="AB51" s="7"/>
      <c r="AC51" s="7">
        <v>1</v>
      </c>
      <c r="AD51" s="7">
        <v>1</v>
      </c>
      <c r="AE51" s="7">
        <v>1</v>
      </c>
      <c r="AF51" s="8"/>
      <c r="AG51" s="4">
        <f t="shared" si="2"/>
        <v>29</v>
      </c>
    </row>
    <row r="52" spans="1:33" ht="19.5" thickBot="1" x14ac:dyDescent="0.3">
      <c r="A52" s="77" t="s">
        <v>53</v>
      </c>
      <c r="B52" s="9">
        <v>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>
        <v>5</v>
      </c>
      <c r="S52" s="9">
        <v>1</v>
      </c>
      <c r="T52" s="9">
        <v>2</v>
      </c>
      <c r="U52" s="9"/>
      <c r="V52" s="9"/>
      <c r="W52" s="9"/>
      <c r="X52" s="9"/>
      <c r="Y52" s="9"/>
      <c r="Z52" s="9"/>
      <c r="AA52" s="9"/>
      <c r="AB52" s="9">
        <v>1</v>
      </c>
      <c r="AC52" s="9">
        <v>1</v>
      </c>
      <c r="AD52" s="9"/>
      <c r="AE52" s="9"/>
      <c r="AF52" s="10"/>
      <c r="AG52" s="108">
        <f t="shared" si="2"/>
        <v>11</v>
      </c>
    </row>
    <row r="53" spans="1:33" ht="19.5" thickBot="1" x14ac:dyDescent="0.3">
      <c r="A53" s="136" t="s">
        <v>108</v>
      </c>
      <c r="B53" s="135">
        <f t="shared" ref="B53:AF53" si="4">SUM(B54:B77)</f>
        <v>39</v>
      </c>
      <c r="C53" s="135">
        <f t="shared" si="4"/>
        <v>25</v>
      </c>
      <c r="D53" s="135">
        <f t="shared" si="4"/>
        <v>25</v>
      </c>
      <c r="E53" s="135">
        <f t="shared" si="4"/>
        <v>19</v>
      </c>
      <c r="F53" s="135">
        <f t="shared" si="4"/>
        <v>11</v>
      </c>
      <c r="G53" s="135">
        <f t="shared" si="4"/>
        <v>7</v>
      </c>
      <c r="H53" s="135">
        <f t="shared" si="4"/>
        <v>10</v>
      </c>
      <c r="I53" s="135">
        <f t="shared" si="4"/>
        <v>4</v>
      </c>
      <c r="J53" s="135">
        <f t="shared" si="4"/>
        <v>11</v>
      </c>
      <c r="K53" s="135">
        <f t="shared" si="4"/>
        <v>17</v>
      </c>
      <c r="L53" s="135">
        <f t="shared" si="4"/>
        <v>18</v>
      </c>
      <c r="M53" s="135">
        <f t="shared" si="4"/>
        <v>9</v>
      </c>
      <c r="N53" s="135">
        <f t="shared" si="4"/>
        <v>19</v>
      </c>
      <c r="O53" s="135">
        <f t="shared" si="4"/>
        <v>1</v>
      </c>
      <c r="P53" s="135">
        <f t="shared" si="4"/>
        <v>5</v>
      </c>
      <c r="Q53" s="135">
        <f t="shared" si="4"/>
        <v>30</v>
      </c>
      <c r="R53" s="135">
        <f t="shared" si="4"/>
        <v>3</v>
      </c>
      <c r="S53" s="135">
        <f t="shared" si="4"/>
        <v>1</v>
      </c>
      <c r="T53" s="135">
        <f t="shared" si="4"/>
        <v>3</v>
      </c>
      <c r="U53" s="135">
        <f t="shared" si="4"/>
        <v>24</v>
      </c>
      <c r="V53" s="135">
        <f t="shared" si="4"/>
        <v>24</v>
      </c>
      <c r="W53" s="135">
        <f t="shared" si="4"/>
        <v>89</v>
      </c>
      <c r="X53" s="135">
        <f t="shared" si="4"/>
        <v>55</v>
      </c>
      <c r="Y53" s="135">
        <f t="shared" si="4"/>
        <v>25</v>
      </c>
      <c r="Z53" s="135">
        <f t="shared" si="4"/>
        <v>18</v>
      </c>
      <c r="AA53" s="135">
        <f t="shared" si="4"/>
        <v>25</v>
      </c>
      <c r="AB53" s="135">
        <f t="shared" si="4"/>
        <v>29</v>
      </c>
      <c r="AC53" s="135">
        <f t="shared" si="4"/>
        <v>6</v>
      </c>
      <c r="AD53" s="135">
        <f t="shared" si="4"/>
        <v>28</v>
      </c>
      <c r="AE53" s="135">
        <f t="shared" si="4"/>
        <v>16</v>
      </c>
      <c r="AF53" s="135">
        <f t="shared" si="4"/>
        <v>0</v>
      </c>
      <c r="AG53" s="116">
        <f t="shared" si="2"/>
        <v>596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7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>
        <v>1</v>
      </c>
      <c r="AD55" s="7"/>
      <c r="AE55" s="7"/>
      <c r="AF55" s="8"/>
      <c r="AG55" s="4">
        <f t="shared" si="2"/>
        <v>1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>
        <v>1</v>
      </c>
      <c r="V56" s="7">
        <v>1</v>
      </c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2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>
        <v>2</v>
      </c>
      <c r="I57" s="7"/>
      <c r="J57" s="7"/>
      <c r="K57" s="7"/>
      <c r="L57" s="7"/>
      <c r="M57" s="7"/>
      <c r="N57" s="7"/>
      <c r="O57" s="7"/>
      <c r="P57" s="7">
        <v>1</v>
      </c>
      <c r="Q57" s="7"/>
      <c r="R57" s="7"/>
      <c r="S57" s="7">
        <v>1</v>
      </c>
      <c r="T57" s="7"/>
      <c r="U57" s="7"/>
      <c r="V57" s="7"/>
      <c r="W57" s="7"/>
      <c r="X57" s="7"/>
      <c r="Y57" s="7"/>
      <c r="Z57" s="7"/>
      <c r="AA57" s="7"/>
      <c r="AB57" s="7"/>
      <c r="AC57" s="7">
        <v>1</v>
      </c>
      <c r="AD57" s="7"/>
      <c r="AE57" s="7"/>
      <c r="AF57" s="8"/>
      <c r="AG57" s="4">
        <f t="shared" si="2"/>
        <v>5</v>
      </c>
    </row>
    <row r="58" spans="1:33" ht="18.75" x14ac:dyDescent="0.25">
      <c r="A58" s="41" t="s">
        <v>39</v>
      </c>
      <c r="B58" s="7">
        <v>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>
        <v>5</v>
      </c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6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>
        <v>1</v>
      </c>
      <c r="Q59" s="7"/>
      <c r="R59" s="7"/>
      <c r="S59" s="7"/>
      <c r="T59" s="7"/>
      <c r="U59" s="7"/>
      <c r="V59" s="7">
        <v>2</v>
      </c>
      <c r="W59" s="7">
        <v>2</v>
      </c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5</v>
      </c>
    </row>
    <row r="60" spans="1:33" ht="18.75" x14ac:dyDescent="0.25">
      <c r="A60" s="41" t="s">
        <v>41</v>
      </c>
      <c r="B60" s="7">
        <v>3</v>
      </c>
      <c r="C60" s="7"/>
      <c r="D60" s="7"/>
      <c r="E60" s="7"/>
      <c r="F60" s="7"/>
      <c r="G60" s="7"/>
      <c r="H60" s="7">
        <v>1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>
        <v>1</v>
      </c>
      <c r="V60" s="7"/>
      <c r="W60" s="7">
        <v>5</v>
      </c>
      <c r="X60" s="7"/>
      <c r="Y60" s="7"/>
      <c r="Z60" s="7"/>
      <c r="AA60" s="7"/>
      <c r="AB60" s="7"/>
      <c r="AC60" s="7">
        <v>1</v>
      </c>
      <c r="AD60" s="7">
        <v>1</v>
      </c>
      <c r="AE60" s="7"/>
      <c r="AF60" s="8"/>
      <c r="AG60" s="4">
        <f t="shared" si="2"/>
        <v>12</v>
      </c>
    </row>
    <row r="61" spans="1:33" ht="18.75" x14ac:dyDescent="0.25">
      <c r="A61" s="41" t="s">
        <v>42</v>
      </c>
      <c r="B61" s="7">
        <v>8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>
        <v>2</v>
      </c>
      <c r="V61" s="7">
        <v>2</v>
      </c>
      <c r="W61" s="7">
        <v>2</v>
      </c>
      <c r="X61" s="7"/>
      <c r="Y61" s="7"/>
      <c r="Z61" s="7"/>
      <c r="AA61" s="7"/>
      <c r="AB61" s="7"/>
      <c r="AC61" s="7"/>
      <c r="AD61" s="7"/>
      <c r="AE61" s="7"/>
      <c r="AF61" s="8"/>
      <c r="AG61" s="4">
        <f t="shared" si="2"/>
        <v>14</v>
      </c>
    </row>
    <row r="62" spans="1:33" ht="18.75" x14ac:dyDescent="0.25">
      <c r="A62" s="41" t="s">
        <v>43</v>
      </c>
      <c r="B62" s="7">
        <v>1</v>
      </c>
      <c r="C62" s="7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3</v>
      </c>
      <c r="U62" s="7">
        <v>4</v>
      </c>
      <c r="V62" s="7"/>
      <c r="W62" s="7">
        <v>1</v>
      </c>
      <c r="X62" s="7"/>
      <c r="Y62" s="7"/>
      <c r="Z62" s="7"/>
      <c r="AA62" s="7"/>
      <c r="AB62" s="7"/>
      <c r="AC62" s="7">
        <v>1</v>
      </c>
      <c r="AD62" s="7"/>
      <c r="AE62" s="7"/>
      <c r="AF62" s="8"/>
      <c r="AG62" s="4">
        <f t="shared" si="2"/>
        <v>11</v>
      </c>
    </row>
    <row r="63" spans="1:33" ht="18.75" x14ac:dyDescent="0.25">
      <c r="A63" s="41" t="s">
        <v>44</v>
      </c>
      <c r="B63" s="7">
        <v>4</v>
      </c>
      <c r="C63" s="7"/>
      <c r="D63" s="7"/>
      <c r="E63" s="7"/>
      <c r="F63" s="7"/>
      <c r="G63" s="7"/>
      <c r="H63" s="7">
        <v>2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>
        <v>1</v>
      </c>
      <c r="V63" s="7">
        <v>1</v>
      </c>
      <c r="W63" s="7">
        <v>13</v>
      </c>
      <c r="X63" s="7"/>
      <c r="Y63" s="7"/>
      <c r="Z63" s="7"/>
      <c r="AA63" s="7"/>
      <c r="AB63" s="7"/>
      <c r="AC63" s="7"/>
      <c r="AD63" s="7"/>
      <c r="AE63" s="7"/>
      <c r="AF63" s="8"/>
      <c r="AG63" s="4">
        <f t="shared" si="2"/>
        <v>21</v>
      </c>
    </row>
    <row r="64" spans="1:33" ht="18.75" x14ac:dyDescent="0.25">
      <c r="A64" s="41" t="s">
        <v>45</v>
      </c>
      <c r="B64" s="7">
        <v>2</v>
      </c>
      <c r="C64" s="7"/>
      <c r="D64" s="7"/>
      <c r="E64" s="7"/>
      <c r="F64" s="7">
        <v>1</v>
      </c>
      <c r="G64" s="7">
        <v>2</v>
      </c>
      <c r="H64" s="7">
        <v>1</v>
      </c>
      <c r="I64" s="7">
        <v>1</v>
      </c>
      <c r="J64" s="7">
        <v>2</v>
      </c>
      <c r="K64" s="7">
        <v>1</v>
      </c>
      <c r="L64" s="7"/>
      <c r="M64" s="7">
        <v>3</v>
      </c>
      <c r="N64" s="7"/>
      <c r="O64" s="7"/>
      <c r="P64" s="7"/>
      <c r="Q64" s="7">
        <v>3</v>
      </c>
      <c r="R64" s="7"/>
      <c r="S64" s="7"/>
      <c r="T64" s="7"/>
      <c r="U64" s="7">
        <v>1</v>
      </c>
      <c r="V64" s="7">
        <v>2</v>
      </c>
      <c r="W64" s="7">
        <v>5</v>
      </c>
      <c r="X64" s="7">
        <v>4</v>
      </c>
      <c r="Y64" s="7">
        <v>3</v>
      </c>
      <c r="Z64" s="7">
        <v>2</v>
      </c>
      <c r="AA64" s="7">
        <v>2</v>
      </c>
      <c r="AB64" s="7">
        <v>3</v>
      </c>
      <c r="AC64" s="7"/>
      <c r="AD64" s="7">
        <v>2</v>
      </c>
      <c r="AE64" s="7">
        <v>2</v>
      </c>
      <c r="AF64" s="8"/>
      <c r="AG64" s="4">
        <f t="shared" si="2"/>
        <v>42</v>
      </c>
    </row>
    <row r="65" spans="1:33" ht="18.75" x14ac:dyDescent="0.25">
      <c r="A65" s="41" t="s">
        <v>46</v>
      </c>
      <c r="B65" s="7">
        <v>1</v>
      </c>
      <c r="C65" s="7">
        <v>3</v>
      </c>
      <c r="D65" s="7">
        <v>4</v>
      </c>
      <c r="E65" s="7">
        <v>5</v>
      </c>
      <c r="F65" s="7">
        <v>4</v>
      </c>
      <c r="G65" s="7">
        <v>1</v>
      </c>
      <c r="H65" s="7">
        <v>3</v>
      </c>
      <c r="I65" s="7"/>
      <c r="J65" s="7">
        <v>5</v>
      </c>
      <c r="K65" s="7">
        <v>1</v>
      </c>
      <c r="L65" s="7">
        <v>4</v>
      </c>
      <c r="M65" s="7">
        <v>2</v>
      </c>
      <c r="N65" s="7">
        <v>1</v>
      </c>
      <c r="O65" s="7"/>
      <c r="P65" s="7"/>
      <c r="Q65" s="7">
        <v>6</v>
      </c>
      <c r="R65" s="7"/>
      <c r="S65" s="7"/>
      <c r="T65" s="7"/>
      <c r="U65" s="7">
        <v>3</v>
      </c>
      <c r="V65" s="7"/>
      <c r="W65" s="7">
        <v>2</v>
      </c>
      <c r="X65" s="7">
        <v>12</v>
      </c>
      <c r="Y65" s="7">
        <v>6</v>
      </c>
      <c r="Z65" s="7">
        <v>3</v>
      </c>
      <c r="AA65" s="7">
        <v>4</v>
      </c>
      <c r="AB65" s="7">
        <v>1</v>
      </c>
      <c r="AC65" s="7"/>
      <c r="AD65" s="7">
        <v>5</v>
      </c>
      <c r="AE65" s="7">
        <v>1</v>
      </c>
      <c r="AF65" s="8"/>
      <c r="AG65" s="4">
        <f t="shared" si="2"/>
        <v>77</v>
      </c>
    </row>
    <row r="66" spans="1:33" ht="18.75" x14ac:dyDescent="0.25">
      <c r="A66" s="41" t="s">
        <v>47</v>
      </c>
      <c r="B66" s="7">
        <v>7</v>
      </c>
      <c r="C66" s="7">
        <v>6</v>
      </c>
      <c r="D66" s="7">
        <v>2</v>
      </c>
      <c r="E66" s="7">
        <v>5</v>
      </c>
      <c r="F66" s="7">
        <v>6</v>
      </c>
      <c r="G66" s="7">
        <v>3</v>
      </c>
      <c r="H66" s="7"/>
      <c r="I66" s="7"/>
      <c r="J66" s="7">
        <v>2</v>
      </c>
      <c r="K66" s="7">
        <v>1</v>
      </c>
      <c r="L66" s="7">
        <v>10</v>
      </c>
      <c r="M66" s="7"/>
      <c r="N66" s="7">
        <v>7</v>
      </c>
      <c r="O66" s="7"/>
      <c r="P66" s="7">
        <v>1</v>
      </c>
      <c r="Q66" s="7">
        <v>6</v>
      </c>
      <c r="R66" s="7">
        <v>1</v>
      </c>
      <c r="S66" s="7"/>
      <c r="T66" s="7"/>
      <c r="U66" s="7"/>
      <c r="V66" s="7">
        <v>2</v>
      </c>
      <c r="W66" s="7">
        <v>5</v>
      </c>
      <c r="X66" s="7">
        <v>3</v>
      </c>
      <c r="Y66" s="7">
        <v>1</v>
      </c>
      <c r="Z66" s="7">
        <v>2</v>
      </c>
      <c r="AA66" s="7"/>
      <c r="AB66" s="7">
        <v>6</v>
      </c>
      <c r="AC66" s="7">
        <v>1</v>
      </c>
      <c r="AD66" s="7">
        <v>6</v>
      </c>
      <c r="AE66" s="7">
        <v>3</v>
      </c>
      <c r="AF66" s="8"/>
      <c r="AG66" s="4">
        <f t="shared" si="2"/>
        <v>86</v>
      </c>
    </row>
    <row r="67" spans="1:33" ht="18.75" x14ac:dyDescent="0.25">
      <c r="A67" s="41" t="s">
        <v>48</v>
      </c>
      <c r="B67" s="7">
        <v>4</v>
      </c>
      <c r="C67" s="7">
        <v>4</v>
      </c>
      <c r="D67" s="7">
        <v>14</v>
      </c>
      <c r="E67" s="7">
        <v>1</v>
      </c>
      <c r="F67" s="7"/>
      <c r="G67" s="7">
        <v>1</v>
      </c>
      <c r="H67" s="7"/>
      <c r="I67" s="7"/>
      <c r="J67" s="7"/>
      <c r="K67" s="7">
        <v>3</v>
      </c>
      <c r="L67" s="7">
        <v>1</v>
      </c>
      <c r="M67" s="7">
        <v>1</v>
      </c>
      <c r="N67" s="7">
        <v>2</v>
      </c>
      <c r="O67" s="7">
        <v>1</v>
      </c>
      <c r="P67" s="7">
        <v>1</v>
      </c>
      <c r="Q67" s="7">
        <v>7</v>
      </c>
      <c r="R67" s="7"/>
      <c r="S67" s="7"/>
      <c r="T67" s="7"/>
      <c r="U67" s="7"/>
      <c r="V67" s="7">
        <v>1</v>
      </c>
      <c r="W67" s="7">
        <v>2</v>
      </c>
      <c r="X67" s="7">
        <v>14</v>
      </c>
      <c r="Y67" s="7"/>
      <c r="Z67" s="7">
        <v>1</v>
      </c>
      <c r="AA67" s="7">
        <v>6</v>
      </c>
      <c r="AB67" s="7">
        <v>1</v>
      </c>
      <c r="AC67" s="7"/>
      <c r="AD67" s="7">
        <v>2</v>
      </c>
      <c r="AE67" s="7">
        <v>10</v>
      </c>
      <c r="AF67" s="8"/>
      <c r="AG67" s="4">
        <f t="shared" si="2"/>
        <v>77</v>
      </c>
    </row>
    <row r="68" spans="1:33" ht="18.75" x14ac:dyDescent="0.25">
      <c r="A68" s="41" t="s">
        <v>49</v>
      </c>
      <c r="B68" s="7">
        <v>5</v>
      </c>
      <c r="C68" s="7">
        <v>2</v>
      </c>
      <c r="D68" s="7"/>
      <c r="E68" s="7"/>
      <c r="F68" s="7"/>
      <c r="G68" s="7"/>
      <c r="H68" s="7"/>
      <c r="I68" s="7">
        <v>3</v>
      </c>
      <c r="J68" s="7"/>
      <c r="K68" s="7"/>
      <c r="L68" s="7"/>
      <c r="M68" s="7">
        <v>2</v>
      </c>
      <c r="N68" s="7">
        <v>3</v>
      </c>
      <c r="O68" s="7"/>
      <c r="P68" s="7">
        <v>1</v>
      </c>
      <c r="Q68" s="7">
        <v>2</v>
      </c>
      <c r="R68" s="7"/>
      <c r="S68" s="7"/>
      <c r="T68" s="7"/>
      <c r="U68" s="7"/>
      <c r="V68" s="7"/>
      <c r="W68" s="7">
        <v>4</v>
      </c>
      <c r="X68" s="7">
        <v>6</v>
      </c>
      <c r="Y68" s="7">
        <v>1</v>
      </c>
      <c r="Z68" s="7">
        <v>3</v>
      </c>
      <c r="AA68" s="7">
        <v>3</v>
      </c>
      <c r="AB68" s="7">
        <v>7</v>
      </c>
      <c r="AC68" s="7"/>
      <c r="AD68" s="7">
        <v>11</v>
      </c>
      <c r="AE68" s="7"/>
      <c r="AF68" s="8"/>
      <c r="AG68" s="4">
        <f t="shared" si="2"/>
        <v>53</v>
      </c>
    </row>
    <row r="69" spans="1:33" ht="18.75" x14ac:dyDescent="0.25">
      <c r="A69" s="41" t="s">
        <v>50</v>
      </c>
      <c r="B69" s="7"/>
      <c r="C69" s="7"/>
      <c r="D69" s="7"/>
      <c r="E69" s="7">
        <v>2</v>
      </c>
      <c r="F69" s="7"/>
      <c r="G69" s="7"/>
      <c r="H69" s="7"/>
      <c r="I69" s="7"/>
      <c r="J69" s="7"/>
      <c r="K69" s="7">
        <v>2</v>
      </c>
      <c r="L69" s="7">
        <v>1</v>
      </c>
      <c r="M69" s="7"/>
      <c r="N69" s="7">
        <v>2</v>
      </c>
      <c r="O69" s="7"/>
      <c r="P69" s="7"/>
      <c r="Q69" s="7"/>
      <c r="R69" s="7"/>
      <c r="S69" s="7"/>
      <c r="T69" s="7"/>
      <c r="U69" s="7">
        <v>1</v>
      </c>
      <c r="V69" s="7">
        <v>1</v>
      </c>
      <c r="W69" s="7">
        <v>24</v>
      </c>
      <c r="X69" s="7"/>
      <c r="Y69" s="7"/>
      <c r="Z69" s="7">
        <v>3</v>
      </c>
      <c r="AA69" s="7">
        <v>5</v>
      </c>
      <c r="AB69" s="7">
        <v>1</v>
      </c>
      <c r="AC69" s="7"/>
      <c r="AD69" s="7">
        <v>1</v>
      </c>
      <c r="AE69" s="7"/>
      <c r="AF69" s="8"/>
      <c r="AG69" s="4">
        <f t="shared" si="2"/>
        <v>43</v>
      </c>
    </row>
    <row r="70" spans="1:33" ht="18.75" x14ac:dyDescent="0.25">
      <c r="A70" s="41" t="s">
        <v>33</v>
      </c>
      <c r="B70" s="114">
        <v>3</v>
      </c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>
        <v>1</v>
      </c>
      <c r="N70" s="114"/>
      <c r="O70" s="114"/>
      <c r="P70" s="114"/>
      <c r="Q70" s="114"/>
      <c r="R70" s="7">
        <v>2</v>
      </c>
      <c r="S70" s="114"/>
      <c r="T70" s="114"/>
      <c r="U70" s="114">
        <v>3</v>
      </c>
      <c r="V70" s="114"/>
      <c r="W70" s="114">
        <v>5</v>
      </c>
      <c r="X70" s="114"/>
      <c r="Y70" s="114">
        <v>2</v>
      </c>
      <c r="Z70" s="114">
        <v>1</v>
      </c>
      <c r="AA70" s="114">
        <v>1</v>
      </c>
      <c r="AB70" s="114">
        <v>2</v>
      </c>
      <c r="AC70" s="114">
        <v>1</v>
      </c>
      <c r="AD70" s="114"/>
      <c r="AE70" s="114"/>
      <c r="AF70" s="115"/>
      <c r="AG70" s="4">
        <f t="shared" si="2"/>
        <v>21</v>
      </c>
    </row>
    <row r="71" spans="1:33" ht="18.75" x14ac:dyDescent="0.25">
      <c r="A71" s="41" t="s">
        <v>34</v>
      </c>
      <c r="B71" s="114"/>
      <c r="C71" s="114">
        <v>5</v>
      </c>
      <c r="D71" s="7">
        <v>1</v>
      </c>
      <c r="E71" s="114">
        <v>3</v>
      </c>
      <c r="F71" s="114"/>
      <c r="G71" s="7"/>
      <c r="H71" s="114"/>
      <c r="I71" s="7"/>
      <c r="J71" s="114">
        <v>1</v>
      </c>
      <c r="K71" s="114">
        <v>5</v>
      </c>
      <c r="L71" s="114">
        <v>2</v>
      </c>
      <c r="M71" s="114"/>
      <c r="N71" s="114"/>
      <c r="O71" s="114"/>
      <c r="P71" s="114"/>
      <c r="Q71" s="114">
        <v>3</v>
      </c>
      <c r="R71" s="7"/>
      <c r="S71" s="114"/>
      <c r="T71" s="114"/>
      <c r="U71" s="114">
        <v>4</v>
      </c>
      <c r="V71" s="114">
        <v>4</v>
      </c>
      <c r="W71" s="114">
        <v>1</v>
      </c>
      <c r="X71" s="114">
        <v>2</v>
      </c>
      <c r="Y71" s="114"/>
      <c r="Z71" s="114">
        <v>1</v>
      </c>
      <c r="AA71" s="114"/>
      <c r="AB71" s="114">
        <v>3</v>
      </c>
      <c r="AC71" s="114"/>
      <c r="AD71" s="114"/>
      <c r="AE71" s="114"/>
      <c r="AF71" s="115"/>
      <c r="AG71" s="4">
        <f t="shared" si="2"/>
        <v>35</v>
      </c>
    </row>
    <row r="72" spans="1:33" ht="18.75" x14ac:dyDescent="0.25">
      <c r="A72" s="41" t="s">
        <v>35</v>
      </c>
      <c r="B72" s="114"/>
      <c r="C72" s="114">
        <v>5</v>
      </c>
      <c r="D72" s="7"/>
      <c r="E72" s="114">
        <v>3</v>
      </c>
      <c r="F72" s="114"/>
      <c r="G72" s="7"/>
      <c r="H72" s="114"/>
      <c r="I72" s="7"/>
      <c r="J72" s="114">
        <v>1</v>
      </c>
      <c r="K72" s="114">
        <v>1</v>
      </c>
      <c r="L72" s="114"/>
      <c r="M72" s="114"/>
      <c r="N72" s="114">
        <v>1</v>
      </c>
      <c r="O72" s="114"/>
      <c r="P72" s="114"/>
      <c r="Q72" s="114">
        <v>3</v>
      </c>
      <c r="R72" s="7"/>
      <c r="S72" s="114"/>
      <c r="T72" s="114"/>
      <c r="U72" s="114">
        <v>1</v>
      </c>
      <c r="V72" s="114">
        <v>5</v>
      </c>
      <c r="W72" s="114">
        <v>4</v>
      </c>
      <c r="X72" s="114"/>
      <c r="Y72" s="114">
        <v>2</v>
      </c>
      <c r="Z72" s="114">
        <v>2</v>
      </c>
      <c r="AA72" s="114">
        <v>4</v>
      </c>
      <c r="AB72" s="114">
        <v>4</v>
      </c>
      <c r="AC72" s="114"/>
      <c r="AD72" s="114"/>
      <c r="AE72" s="114"/>
      <c r="AF72" s="115"/>
      <c r="AG72" s="4">
        <f t="shared" si="2"/>
        <v>36</v>
      </c>
    </row>
    <row r="73" spans="1:33" ht="18.75" x14ac:dyDescent="0.25">
      <c r="A73" s="41" t="s">
        <v>36</v>
      </c>
      <c r="B73" s="114"/>
      <c r="C73" s="114"/>
      <c r="D73" s="7">
        <v>3</v>
      </c>
      <c r="E73" s="114"/>
      <c r="F73" s="114"/>
      <c r="G73" s="7"/>
      <c r="H73" s="114"/>
      <c r="I73" s="7"/>
      <c r="J73" s="114"/>
      <c r="K73" s="114">
        <v>3</v>
      </c>
      <c r="L73" s="114"/>
      <c r="M73" s="114"/>
      <c r="N73" s="114">
        <v>2</v>
      </c>
      <c r="O73" s="114"/>
      <c r="P73" s="114"/>
      <c r="Q73" s="114"/>
      <c r="R73" s="7"/>
      <c r="S73" s="114"/>
      <c r="T73" s="114"/>
      <c r="U73" s="114">
        <v>1</v>
      </c>
      <c r="V73" s="114">
        <v>2</v>
      </c>
      <c r="W73" s="114">
        <v>7</v>
      </c>
      <c r="X73" s="114"/>
      <c r="Y73" s="114">
        <v>10</v>
      </c>
      <c r="Z73" s="114"/>
      <c r="AA73" s="114"/>
      <c r="AB73" s="114"/>
      <c r="AC73" s="114"/>
      <c r="AD73" s="114"/>
      <c r="AE73" s="114"/>
      <c r="AF73" s="115"/>
      <c r="AG73" s="4">
        <f t="shared" si="2"/>
        <v>28</v>
      </c>
    </row>
    <row r="74" spans="1:33" ht="18.75" x14ac:dyDescent="0.25">
      <c r="A74" s="41" t="s">
        <v>51</v>
      </c>
      <c r="B74" s="114"/>
      <c r="C74" s="114"/>
      <c r="D74" s="7">
        <v>1</v>
      </c>
      <c r="E74" s="114"/>
      <c r="F74" s="114"/>
      <c r="G74" s="7"/>
      <c r="H74" s="114"/>
      <c r="I74" s="7"/>
      <c r="J74" s="114"/>
      <c r="K74" s="114"/>
      <c r="L74" s="114"/>
      <c r="M74" s="114"/>
      <c r="N74" s="114">
        <v>1</v>
      </c>
      <c r="O74" s="114"/>
      <c r="P74" s="114"/>
      <c r="Q74" s="114"/>
      <c r="R74" s="7"/>
      <c r="S74" s="114"/>
      <c r="T74" s="114"/>
      <c r="U74" s="114">
        <v>1</v>
      </c>
      <c r="V74" s="114"/>
      <c r="W74" s="114">
        <v>2</v>
      </c>
      <c r="X74" s="114">
        <v>14</v>
      </c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19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7"/>
      <c r="S75" s="114"/>
      <c r="T75" s="114"/>
      <c r="U75" s="114"/>
      <c r="V75" s="114">
        <v>1</v>
      </c>
      <c r="W75" s="114"/>
      <c r="X75" s="114"/>
      <c r="Y75" s="114"/>
      <c r="Z75" s="114"/>
      <c r="AA75" s="114"/>
      <c r="AB75" s="114">
        <v>1</v>
      </c>
      <c r="AC75" s="114"/>
      <c r="AD75" s="114"/>
      <c r="AE75" s="114"/>
      <c r="AF75" s="115"/>
      <c r="AG75" s="4">
        <f t="shared" si="2"/>
        <v>2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7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9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251</v>
      </c>
      <c r="C78" s="185">
        <f t="shared" si="5"/>
        <v>225</v>
      </c>
      <c r="D78" s="185">
        <f t="shared" si="5"/>
        <v>186</v>
      </c>
      <c r="E78" s="184">
        <f t="shared" si="5"/>
        <v>222</v>
      </c>
      <c r="F78" s="184">
        <f t="shared" si="5"/>
        <v>169</v>
      </c>
      <c r="G78" s="184">
        <f t="shared" si="5"/>
        <v>175</v>
      </c>
      <c r="H78" s="184">
        <f t="shared" si="5"/>
        <v>277</v>
      </c>
      <c r="I78" s="184">
        <f t="shared" si="5"/>
        <v>272</v>
      </c>
      <c r="J78" s="184">
        <f t="shared" si="5"/>
        <v>216</v>
      </c>
      <c r="K78" s="184">
        <f t="shared" si="5"/>
        <v>202</v>
      </c>
      <c r="L78" s="184">
        <f t="shared" si="5"/>
        <v>189</v>
      </c>
      <c r="M78" s="184">
        <f t="shared" si="5"/>
        <v>171</v>
      </c>
      <c r="N78" s="184">
        <f t="shared" si="5"/>
        <v>191</v>
      </c>
      <c r="O78" s="184">
        <f>SUM(O79:O80)</f>
        <v>259</v>
      </c>
      <c r="P78" s="184">
        <f t="shared" si="5"/>
        <v>245</v>
      </c>
      <c r="Q78" s="184">
        <f t="shared" si="5"/>
        <v>211</v>
      </c>
      <c r="R78" s="184">
        <f t="shared" si="5"/>
        <v>193</v>
      </c>
      <c r="S78" s="184">
        <f t="shared" si="5"/>
        <v>233</v>
      </c>
      <c r="T78" s="184">
        <f t="shared" si="5"/>
        <v>247</v>
      </c>
      <c r="U78" s="184">
        <f t="shared" si="5"/>
        <v>288</v>
      </c>
      <c r="V78" s="184">
        <f t="shared" si="5"/>
        <v>292</v>
      </c>
      <c r="W78" s="184">
        <f t="shared" si="5"/>
        <v>276</v>
      </c>
      <c r="X78" s="184">
        <f t="shared" si="5"/>
        <v>250</v>
      </c>
      <c r="Y78" s="184">
        <f t="shared" si="5"/>
        <v>219</v>
      </c>
      <c r="Z78" s="184">
        <f t="shared" si="5"/>
        <v>181</v>
      </c>
      <c r="AA78" s="184">
        <f t="shared" si="5"/>
        <v>194</v>
      </c>
      <c r="AB78" s="184">
        <f t="shared" si="5"/>
        <v>220</v>
      </c>
      <c r="AC78" s="184">
        <f t="shared" si="5"/>
        <v>259</v>
      </c>
      <c r="AD78" s="184">
        <f t="shared" si="5"/>
        <v>230</v>
      </c>
      <c r="AE78" s="184">
        <f t="shared" si="5"/>
        <v>192</v>
      </c>
      <c r="AF78" s="186">
        <f t="shared" si="5"/>
        <v>0</v>
      </c>
      <c r="AG78" s="116">
        <f t="shared" si="2"/>
        <v>6735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251</v>
      </c>
      <c r="C79" s="114">
        <f t="shared" si="6"/>
        <v>225</v>
      </c>
      <c r="D79" s="114">
        <f t="shared" si="6"/>
        <v>186</v>
      </c>
      <c r="E79" s="114">
        <f t="shared" si="6"/>
        <v>222</v>
      </c>
      <c r="F79" s="114">
        <f t="shared" si="6"/>
        <v>169</v>
      </c>
      <c r="G79" s="114">
        <f t="shared" si="6"/>
        <v>175</v>
      </c>
      <c r="H79" s="114">
        <f t="shared" si="6"/>
        <v>120</v>
      </c>
      <c r="I79" s="114">
        <f t="shared" si="6"/>
        <v>272</v>
      </c>
      <c r="J79" s="114">
        <f t="shared" si="6"/>
        <v>216</v>
      </c>
      <c r="K79" s="114">
        <f t="shared" si="6"/>
        <v>202</v>
      </c>
      <c r="L79" s="114">
        <f t="shared" si="6"/>
        <v>189</v>
      </c>
      <c r="M79" s="114">
        <f t="shared" si="6"/>
        <v>171</v>
      </c>
      <c r="N79" s="114">
        <f t="shared" si="6"/>
        <v>191</v>
      </c>
      <c r="O79" s="114">
        <f t="shared" si="6"/>
        <v>133</v>
      </c>
      <c r="P79" s="114">
        <f t="shared" si="6"/>
        <v>245</v>
      </c>
      <c r="Q79" s="114">
        <f t="shared" si="6"/>
        <v>211</v>
      </c>
      <c r="R79" s="114">
        <f t="shared" si="6"/>
        <v>145</v>
      </c>
      <c r="S79" s="114">
        <f t="shared" si="6"/>
        <v>114</v>
      </c>
      <c r="T79" s="114">
        <f t="shared" si="6"/>
        <v>117</v>
      </c>
      <c r="U79" s="114">
        <f t="shared" si="6"/>
        <v>130</v>
      </c>
      <c r="V79" s="114">
        <f t="shared" si="6"/>
        <v>133</v>
      </c>
      <c r="W79" s="114">
        <f t="shared" si="6"/>
        <v>276</v>
      </c>
      <c r="X79" s="114">
        <f t="shared" si="6"/>
        <v>250</v>
      </c>
      <c r="Y79" s="114">
        <f t="shared" si="6"/>
        <v>219</v>
      </c>
      <c r="Z79" s="114">
        <f t="shared" si="6"/>
        <v>181</v>
      </c>
      <c r="AA79" s="114">
        <f t="shared" si="6"/>
        <v>194</v>
      </c>
      <c r="AB79" s="114">
        <f t="shared" si="6"/>
        <v>219</v>
      </c>
      <c r="AC79" s="114">
        <f t="shared" si="6"/>
        <v>124</v>
      </c>
      <c r="AD79" s="114">
        <f t="shared" si="6"/>
        <v>230</v>
      </c>
      <c r="AE79" s="114">
        <f t="shared" si="6"/>
        <v>192</v>
      </c>
      <c r="AF79" s="114">
        <f t="shared" si="6"/>
        <v>0</v>
      </c>
      <c r="AG79" s="132">
        <f t="shared" si="2"/>
        <v>5702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0</v>
      </c>
      <c r="H80" s="9">
        <f>SUM(H4:H12)</f>
        <v>157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0</v>
      </c>
      <c r="O80" s="9">
        <f>SUM(O4:O12)</f>
        <v>126</v>
      </c>
      <c r="P80" s="11"/>
      <c r="Q80" s="11"/>
      <c r="R80" s="9">
        <f>SUM(R4:R12)</f>
        <v>48</v>
      </c>
      <c r="S80" s="9">
        <f>SUM(S4:S12)</f>
        <v>119</v>
      </c>
      <c r="T80" s="9">
        <f>SUM(T4:T12)</f>
        <v>130</v>
      </c>
      <c r="U80" s="9">
        <f>SUM(U4:U12)</f>
        <v>158</v>
      </c>
      <c r="V80" s="9">
        <f>SUM(V4:V12)</f>
        <v>159</v>
      </c>
      <c r="W80" s="11"/>
      <c r="X80" s="11"/>
      <c r="Y80" s="9">
        <f>SUM(Y4:Y12)</f>
        <v>0</v>
      </c>
      <c r="Z80" s="11"/>
      <c r="AA80" s="9">
        <f>SUM(AA4:AA12)</f>
        <v>0</v>
      </c>
      <c r="AB80" s="9">
        <f>SUM(AB4:AB12)</f>
        <v>1</v>
      </c>
      <c r="AC80" s="9">
        <f>SUM(AC4:AC12)</f>
        <v>135</v>
      </c>
      <c r="AD80" s="11"/>
      <c r="AE80" s="11"/>
      <c r="AF80" s="9">
        <f>SUM(AF4:AF12)</f>
        <v>0</v>
      </c>
      <c r="AG80" s="108">
        <f t="shared" si="2"/>
        <v>1033</v>
      </c>
    </row>
    <row r="81" spans="1:35" ht="19.5" thickBot="1" x14ac:dyDescent="0.3">
      <c r="A81" s="183" t="s">
        <v>98</v>
      </c>
      <c r="B81" s="184">
        <f t="shared" ref="B81:AF81" si="7">SUM(B82:B83)</f>
        <v>39</v>
      </c>
      <c r="C81" s="184">
        <f t="shared" si="7"/>
        <v>25</v>
      </c>
      <c r="D81" s="184">
        <f t="shared" si="7"/>
        <v>25</v>
      </c>
      <c r="E81" s="184">
        <f t="shared" si="7"/>
        <v>19</v>
      </c>
      <c r="F81" s="184">
        <f t="shared" si="7"/>
        <v>11</v>
      </c>
      <c r="G81" s="184">
        <f t="shared" si="7"/>
        <v>7</v>
      </c>
      <c r="H81" s="184">
        <f t="shared" si="7"/>
        <v>10</v>
      </c>
      <c r="I81" s="184">
        <f t="shared" si="7"/>
        <v>4</v>
      </c>
      <c r="J81" s="184">
        <f t="shared" si="7"/>
        <v>11</v>
      </c>
      <c r="K81" s="184">
        <f t="shared" si="7"/>
        <v>17</v>
      </c>
      <c r="L81" s="184">
        <f t="shared" si="7"/>
        <v>18</v>
      </c>
      <c r="M81" s="184">
        <f t="shared" si="7"/>
        <v>9</v>
      </c>
      <c r="N81" s="184">
        <f t="shared" si="7"/>
        <v>19</v>
      </c>
      <c r="O81" s="184">
        <f t="shared" si="7"/>
        <v>1</v>
      </c>
      <c r="P81" s="184">
        <f t="shared" si="7"/>
        <v>5</v>
      </c>
      <c r="Q81" s="184">
        <f t="shared" si="7"/>
        <v>30</v>
      </c>
      <c r="R81" s="184">
        <f t="shared" si="7"/>
        <v>3</v>
      </c>
      <c r="S81" s="184">
        <f t="shared" si="7"/>
        <v>1</v>
      </c>
      <c r="T81" s="184">
        <f t="shared" si="7"/>
        <v>3</v>
      </c>
      <c r="U81" s="184">
        <f t="shared" si="7"/>
        <v>24</v>
      </c>
      <c r="V81" s="184">
        <f t="shared" si="7"/>
        <v>24</v>
      </c>
      <c r="W81" s="184">
        <f t="shared" si="7"/>
        <v>89</v>
      </c>
      <c r="X81" s="184">
        <f t="shared" si="7"/>
        <v>55</v>
      </c>
      <c r="Y81" s="184">
        <f t="shared" si="7"/>
        <v>25</v>
      </c>
      <c r="Z81" s="184">
        <f>SUM(Z82:Z83)</f>
        <v>18</v>
      </c>
      <c r="AA81" s="184">
        <f t="shared" si="7"/>
        <v>25</v>
      </c>
      <c r="AB81" s="184">
        <f t="shared" si="7"/>
        <v>29</v>
      </c>
      <c r="AC81" s="184">
        <f t="shared" si="7"/>
        <v>6</v>
      </c>
      <c r="AD81" s="184">
        <f t="shared" si="7"/>
        <v>28</v>
      </c>
      <c r="AE81" s="184">
        <f t="shared" si="7"/>
        <v>16</v>
      </c>
      <c r="AF81" s="184">
        <f t="shared" si="7"/>
        <v>0</v>
      </c>
      <c r="AG81" s="116">
        <f t="shared" si="2"/>
        <v>596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14">
        <f t="shared" ref="C82:AF82" si="8">SUM(C54:C62)</f>
        <v>0</v>
      </c>
      <c r="D82" s="114">
        <f t="shared" si="8"/>
        <v>0</v>
      </c>
      <c r="E82" s="114">
        <f t="shared" si="8"/>
        <v>0</v>
      </c>
      <c r="F82" s="114">
        <f t="shared" si="8"/>
        <v>0</v>
      </c>
      <c r="G82" s="114">
        <f t="shared" si="8"/>
        <v>0</v>
      </c>
      <c r="H82" s="182"/>
      <c r="I82" s="182"/>
      <c r="J82" s="114">
        <f t="shared" si="8"/>
        <v>0</v>
      </c>
      <c r="K82" s="114">
        <f t="shared" si="8"/>
        <v>0</v>
      </c>
      <c r="L82" s="114">
        <f t="shared" si="8"/>
        <v>0</v>
      </c>
      <c r="M82" s="114">
        <f t="shared" si="8"/>
        <v>0</v>
      </c>
      <c r="N82" s="114">
        <f t="shared" si="8"/>
        <v>0</v>
      </c>
      <c r="O82" s="182"/>
      <c r="P82" s="182"/>
      <c r="Q82" s="114">
        <f t="shared" si="8"/>
        <v>0</v>
      </c>
      <c r="R82" s="114">
        <f t="shared" si="8"/>
        <v>0</v>
      </c>
      <c r="S82" s="182"/>
      <c r="T82" s="182"/>
      <c r="U82" s="182"/>
      <c r="V82" s="182"/>
      <c r="W82" s="182"/>
      <c r="X82" s="114">
        <f t="shared" si="8"/>
        <v>0</v>
      </c>
      <c r="Y82" s="114">
        <f t="shared" si="8"/>
        <v>0</v>
      </c>
      <c r="Z82" s="114">
        <f t="shared" si="8"/>
        <v>0</v>
      </c>
      <c r="AA82" s="114">
        <f t="shared" si="8"/>
        <v>0</v>
      </c>
      <c r="AB82" s="114">
        <f t="shared" si="8"/>
        <v>0</v>
      </c>
      <c r="AC82" s="182"/>
      <c r="AD82" s="182"/>
      <c r="AE82" s="114">
        <f t="shared" si="8"/>
        <v>0</v>
      </c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39</v>
      </c>
      <c r="C83" s="9">
        <f t="shared" ref="C83" si="10">SUM(C54:C77)-C82</f>
        <v>25</v>
      </c>
      <c r="D83" s="9">
        <f t="shared" ref="D83:AF83" si="11">SUM(D54:D77)-D82</f>
        <v>25</v>
      </c>
      <c r="E83" s="9">
        <f t="shared" si="11"/>
        <v>19</v>
      </c>
      <c r="F83" s="9">
        <f t="shared" si="11"/>
        <v>11</v>
      </c>
      <c r="G83" s="9">
        <f t="shared" si="11"/>
        <v>7</v>
      </c>
      <c r="H83" s="9">
        <f t="shared" si="11"/>
        <v>10</v>
      </c>
      <c r="I83" s="9">
        <f t="shared" si="11"/>
        <v>4</v>
      </c>
      <c r="J83" s="9">
        <f t="shared" si="11"/>
        <v>11</v>
      </c>
      <c r="K83" s="9">
        <f t="shared" si="11"/>
        <v>17</v>
      </c>
      <c r="L83" s="9">
        <f t="shared" si="11"/>
        <v>18</v>
      </c>
      <c r="M83" s="9">
        <f t="shared" si="11"/>
        <v>9</v>
      </c>
      <c r="N83" s="9">
        <f t="shared" si="11"/>
        <v>19</v>
      </c>
      <c r="O83" s="9">
        <f t="shared" si="11"/>
        <v>1</v>
      </c>
      <c r="P83" s="9">
        <f t="shared" si="11"/>
        <v>5</v>
      </c>
      <c r="Q83" s="9">
        <f t="shared" si="11"/>
        <v>30</v>
      </c>
      <c r="R83" s="9">
        <f t="shared" si="11"/>
        <v>3</v>
      </c>
      <c r="S83" s="9">
        <f t="shared" si="11"/>
        <v>1</v>
      </c>
      <c r="T83" s="9">
        <f t="shared" si="11"/>
        <v>3</v>
      </c>
      <c r="U83" s="9">
        <f t="shared" si="11"/>
        <v>24</v>
      </c>
      <c r="V83" s="9">
        <f t="shared" si="11"/>
        <v>24</v>
      </c>
      <c r="W83" s="9">
        <f t="shared" si="11"/>
        <v>89</v>
      </c>
      <c r="X83" s="9">
        <f t="shared" si="11"/>
        <v>55</v>
      </c>
      <c r="Y83" s="9">
        <f t="shared" si="11"/>
        <v>25</v>
      </c>
      <c r="Z83" s="9">
        <f t="shared" si="11"/>
        <v>18</v>
      </c>
      <c r="AA83" s="9">
        <f t="shared" si="11"/>
        <v>25</v>
      </c>
      <c r="AB83" s="9">
        <f t="shared" si="11"/>
        <v>29</v>
      </c>
      <c r="AC83" s="9">
        <f t="shared" si="11"/>
        <v>6</v>
      </c>
      <c r="AD83" s="9">
        <f t="shared" si="11"/>
        <v>28</v>
      </c>
      <c r="AE83" s="9">
        <f t="shared" si="11"/>
        <v>16</v>
      </c>
      <c r="AF83" s="9">
        <f t="shared" si="11"/>
        <v>0</v>
      </c>
      <c r="AG83" s="4">
        <f t="shared" si="2"/>
        <v>596</v>
      </c>
    </row>
    <row r="84" spans="1:35" ht="19.5" thickBot="1" x14ac:dyDescent="0.3">
      <c r="A84" s="164" t="s">
        <v>146</v>
      </c>
      <c r="B84" s="165">
        <f>SUM(B85:B86)</f>
        <v>39</v>
      </c>
      <c r="C84" s="165">
        <f t="shared" ref="C84:AF84" si="12">SUM(C85:C86)</f>
        <v>25</v>
      </c>
      <c r="D84" s="165">
        <f t="shared" si="12"/>
        <v>25</v>
      </c>
      <c r="E84" s="165">
        <f t="shared" si="12"/>
        <v>19</v>
      </c>
      <c r="F84" s="165">
        <f t="shared" si="12"/>
        <v>11</v>
      </c>
      <c r="G84" s="165">
        <f t="shared" si="12"/>
        <v>7</v>
      </c>
      <c r="H84" s="165">
        <f t="shared" si="12"/>
        <v>10</v>
      </c>
      <c r="I84" s="165">
        <f t="shared" si="12"/>
        <v>4</v>
      </c>
      <c r="J84" s="165">
        <f t="shared" si="12"/>
        <v>11</v>
      </c>
      <c r="K84" s="165">
        <f t="shared" si="12"/>
        <v>17</v>
      </c>
      <c r="L84" s="165">
        <f t="shared" si="12"/>
        <v>18</v>
      </c>
      <c r="M84" s="165">
        <f t="shared" si="12"/>
        <v>9</v>
      </c>
      <c r="N84" s="165">
        <f t="shared" si="12"/>
        <v>19</v>
      </c>
      <c r="O84" s="165">
        <f t="shared" si="12"/>
        <v>1</v>
      </c>
      <c r="P84" s="165">
        <f t="shared" si="12"/>
        <v>5</v>
      </c>
      <c r="Q84" s="165">
        <f t="shared" si="12"/>
        <v>30</v>
      </c>
      <c r="R84" s="165">
        <f t="shared" si="12"/>
        <v>3</v>
      </c>
      <c r="S84" s="165">
        <f t="shared" si="12"/>
        <v>1</v>
      </c>
      <c r="T84" s="165">
        <f t="shared" si="12"/>
        <v>3</v>
      </c>
      <c r="U84" s="165">
        <f t="shared" si="12"/>
        <v>24</v>
      </c>
      <c r="V84" s="165">
        <f t="shared" si="12"/>
        <v>24</v>
      </c>
      <c r="W84" s="165">
        <f t="shared" si="12"/>
        <v>89</v>
      </c>
      <c r="X84" s="165">
        <f t="shared" si="12"/>
        <v>55</v>
      </c>
      <c r="Y84" s="165">
        <f t="shared" si="12"/>
        <v>25</v>
      </c>
      <c r="Z84" s="165">
        <f t="shared" si="12"/>
        <v>18</v>
      </c>
      <c r="AA84" s="165">
        <f t="shared" si="12"/>
        <v>25</v>
      </c>
      <c r="AB84" s="165">
        <f t="shared" si="12"/>
        <v>29</v>
      </c>
      <c r="AC84" s="165">
        <f t="shared" si="12"/>
        <v>6</v>
      </c>
      <c r="AD84" s="165">
        <f t="shared" si="12"/>
        <v>28</v>
      </c>
      <c r="AE84" s="165">
        <f t="shared" si="12"/>
        <v>16</v>
      </c>
      <c r="AF84" s="165">
        <f t="shared" si="12"/>
        <v>0</v>
      </c>
      <c r="AG84" s="171">
        <f t="shared" ref="AG84:AG126" si="13">SUM(B84:AF84)</f>
        <v>596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8</v>
      </c>
      <c r="C85" s="169">
        <v>4</v>
      </c>
      <c r="D85" s="169">
        <v>3</v>
      </c>
      <c r="E85" s="169">
        <v>1</v>
      </c>
      <c r="F85" s="169">
        <v>2</v>
      </c>
      <c r="G85" s="169">
        <v>1</v>
      </c>
      <c r="H85" s="169">
        <v>0</v>
      </c>
      <c r="I85" s="169">
        <v>0</v>
      </c>
      <c r="J85" s="169">
        <v>5</v>
      </c>
      <c r="K85" s="169">
        <v>1</v>
      </c>
      <c r="L85" s="169">
        <v>6</v>
      </c>
      <c r="M85" s="169">
        <v>3</v>
      </c>
      <c r="N85" s="169">
        <v>5</v>
      </c>
      <c r="O85" s="169">
        <v>0</v>
      </c>
      <c r="P85" s="169">
        <v>1</v>
      </c>
      <c r="Q85" s="169">
        <v>6</v>
      </c>
      <c r="R85" s="169">
        <v>0</v>
      </c>
      <c r="S85" s="169">
        <v>0</v>
      </c>
      <c r="T85" s="169">
        <v>0</v>
      </c>
      <c r="U85" s="169">
        <v>3</v>
      </c>
      <c r="V85" s="169">
        <v>3</v>
      </c>
      <c r="W85" s="169">
        <v>15</v>
      </c>
      <c r="X85" s="169">
        <v>3</v>
      </c>
      <c r="Y85" s="169">
        <v>6</v>
      </c>
      <c r="Z85" s="169">
        <v>7</v>
      </c>
      <c r="AA85" s="169">
        <v>4</v>
      </c>
      <c r="AB85" s="169">
        <v>8</v>
      </c>
      <c r="AC85" s="169">
        <v>1</v>
      </c>
      <c r="AD85" s="169">
        <v>7</v>
      </c>
      <c r="AE85" s="169">
        <v>5</v>
      </c>
      <c r="AF85" s="170"/>
      <c r="AG85" s="168">
        <f t="shared" si="13"/>
        <v>108</v>
      </c>
      <c r="AI85" s="374"/>
    </row>
    <row r="86" spans="1:35" ht="19.5" thickBot="1" x14ac:dyDescent="0.3">
      <c r="A86" s="172" t="s">
        <v>145</v>
      </c>
      <c r="B86" s="173">
        <v>31</v>
      </c>
      <c r="C86" s="173">
        <v>21</v>
      </c>
      <c r="D86" s="173">
        <v>22</v>
      </c>
      <c r="E86" s="173">
        <v>18</v>
      </c>
      <c r="F86" s="173">
        <v>9</v>
      </c>
      <c r="G86" s="173">
        <v>6</v>
      </c>
      <c r="H86" s="173">
        <v>10</v>
      </c>
      <c r="I86" s="173">
        <v>4</v>
      </c>
      <c r="J86" s="173">
        <v>6</v>
      </c>
      <c r="K86" s="173">
        <v>16</v>
      </c>
      <c r="L86" s="173">
        <v>12</v>
      </c>
      <c r="M86" s="173">
        <v>6</v>
      </c>
      <c r="N86" s="173">
        <v>14</v>
      </c>
      <c r="O86" s="173">
        <v>1</v>
      </c>
      <c r="P86" s="173">
        <v>4</v>
      </c>
      <c r="Q86" s="173">
        <v>24</v>
      </c>
      <c r="R86" s="173">
        <v>3</v>
      </c>
      <c r="S86" s="173">
        <v>1</v>
      </c>
      <c r="T86" s="173">
        <v>3</v>
      </c>
      <c r="U86" s="173">
        <v>21</v>
      </c>
      <c r="V86" s="173">
        <v>21</v>
      </c>
      <c r="W86" s="173">
        <v>74</v>
      </c>
      <c r="X86" s="173">
        <v>52</v>
      </c>
      <c r="Y86" s="173">
        <v>19</v>
      </c>
      <c r="Z86" s="173">
        <v>11</v>
      </c>
      <c r="AA86" s="173">
        <v>21</v>
      </c>
      <c r="AB86" s="173">
        <v>21</v>
      </c>
      <c r="AC86" s="173">
        <v>5</v>
      </c>
      <c r="AD86" s="173">
        <v>21</v>
      </c>
      <c r="AE86" s="173">
        <v>11</v>
      </c>
      <c r="AF86" s="174"/>
      <c r="AG86" s="176">
        <f t="shared" si="13"/>
        <v>488</v>
      </c>
      <c r="AI86" s="375"/>
    </row>
    <row r="87" spans="1:35" ht="19.5" thickBot="1" x14ac:dyDescent="0.3">
      <c r="A87" s="177" t="s">
        <v>147</v>
      </c>
      <c r="B87" s="178">
        <f>SUM(B88:B92)</f>
        <v>39</v>
      </c>
      <c r="C87" s="178">
        <f t="shared" ref="C87:AF87" si="14">SUM(C88:C92)</f>
        <v>25</v>
      </c>
      <c r="D87" s="178">
        <f t="shared" si="14"/>
        <v>25</v>
      </c>
      <c r="E87" s="178">
        <f t="shared" si="14"/>
        <v>19</v>
      </c>
      <c r="F87" s="178">
        <f t="shared" si="14"/>
        <v>11</v>
      </c>
      <c r="G87" s="178">
        <f t="shared" si="14"/>
        <v>7</v>
      </c>
      <c r="H87" s="178">
        <f t="shared" si="14"/>
        <v>10</v>
      </c>
      <c r="I87" s="178">
        <f t="shared" si="14"/>
        <v>4</v>
      </c>
      <c r="J87" s="178">
        <f t="shared" si="14"/>
        <v>11</v>
      </c>
      <c r="K87" s="178">
        <f t="shared" si="14"/>
        <v>17</v>
      </c>
      <c r="L87" s="178">
        <f t="shared" si="14"/>
        <v>18</v>
      </c>
      <c r="M87" s="178">
        <f t="shared" si="14"/>
        <v>9</v>
      </c>
      <c r="N87" s="178">
        <f t="shared" si="14"/>
        <v>19</v>
      </c>
      <c r="O87" s="178">
        <f t="shared" si="14"/>
        <v>1</v>
      </c>
      <c r="P87" s="178">
        <f t="shared" si="14"/>
        <v>5</v>
      </c>
      <c r="Q87" s="178">
        <f t="shared" si="14"/>
        <v>30</v>
      </c>
      <c r="R87" s="178">
        <f t="shared" si="14"/>
        <v>3</v>
      </c>
      <c r="S87" s="178">
        <f t="shared" si="14"/>
        <v>1</v>
      </c>
      <c r="T87" s="178">
        <f t="shared" si="14"/>
        <v>3</v>
      </c>
      <c r="U87" s="178">
        <f t="shared" si="14"/>
        <v>24</v>
      </c>
      <c r="V87" s="178">
        <f t="shared" si="14"/>
        <v>24</v>
      </c>
      <c r="W87" s="178">
        <f t="shared" si="14"/>
        <v>89</v>
      </c>
      <c r="X87" s="178">
        <f t="shared" si="14"/>
        <v>55</v>
      </c>
      <c r="Y87" s="178">
        <f t="shared" si="14"/>
        <v>25</v>
      </c>
      <c r="Z87" s="178">
        <f t="shared" si="14"/>
        <v>18</v>
      </c>
      <c r="AA87" s="178">
        <f t="shared" si="14"/>
        <v>25</v>
      </c>
      <c r="AB87" s="178">
        <f t="shared" si="14"/>
        <v>29</v>
      </c>
      <c r="AC87" s="178">
        <f t="shared" si="14"/>
        <v>6</v>
      </c>
      <c r="AD87" s="178">
        <f t="shared" si="14"/>
        <v>28</v>
      </c>
      <c r="AE87" s="178">
        <f t="shared" si="14"/>
        <v>16</v>
      </c>
      <c r="AF87" s="178">
        <f t="shared" si="14"/>
        <v>0</v>
      </c>
      <c r="AG87" s="179">
        <f t="shared" si="13"/>
        <v>596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5</v>
      </c>
      <c r="C88" s="166">
        <v>4</v>
      </c>
      <c r="D88" s="166">
        <v>4</v>
      </c>
      <c r="E88" s="166">
        <v>10</v>
      </c>
      <c r="F88" s="166">
        <v>4</v>
      </c>
      <c r="G88" s="166">
        <v>5</v>
      </c>
      <c r="H88" s="166">
        <v>6</v>
      </c>
      <c r="I88" s="166">
        <v>1</v>
      </c>
      <c r="J88" s="166">
        <v>8</v>
      </c>
      <c r="K88" s="166">
        <v>5</v>
      </c>
      <c r="L88" s="166">
        <v>13</v>
      </c>
      <c r="M88" s="166">
        <v>5</v>
      </c>
      <c r="N88" s="166">
        <v>8</v>
      </c>
      <c r="O88" s="166">
        <v>1</v>
      </c>
      <c r="P88" s="166">
        <v>3</v>
      </c>
      <c r="Q88" s="166">
        <v>9</v>
      </c>
      <c r="R88" s="166">
        <v>1</v>
      </c>
      <c r="S88" s="166">
        <v>1</v>
      </c>
      <c r="T88" s="166">
        <v>1</v>
      </c>
      <c r="U88" s="166">
        <v>3</v>
      </c>
      <c r="V88" s="166">
        <v>4</v>
      </c>
      <c r="W88" s="166">
        <v>16</v>
      </c>
      <c r="X88" s="166">
        <v>16</v>
      </c>
      <c r="Y88" s="166">
        <v>8</v>
      </c>
      <c r="Z88" s="166">
        <v>9</v>
      </c>
      <c r="AA88" s="166">
        <v>9</v>
      </c>
      <c r="AB88" s="166">
        <v>15</v>
      </c>
      <c r="AC88" s="166">
        <v>2</v>
      </c>
      <c r="AD88" s="166">
        <v>14</v>
      </c>
      <c r="AE88" s="166">
        <v>4</v>
      </c>
      <c r="AF88" s="167"/>
      <c r="AG88" s="132">
        <f t="shared" si="13"/>
        <v>194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>
        <v>1</v>
      </c>
      <c r="F90" s="9"/>
      <c r="G90" s="9"/>
      <c r="H90" s="9"/>
      <c r="I90" s="9"/>
      <c r="J90" s="9"/>
      <c r="K90" s="9">
        <v>1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2</v>
      </c>
    </row>
    <row r="91" spans="1:35" ht="18.75" x14ac:dyDescent="0.25">
      <c r="A91" s="105" t="s">
        <v>75</v>
      </c>
      <c r="B91" s="9">
        <v>12</v>
      </c>
      <c r="C91" s="9">
        <v>5</v>
      </c>
      <c r="D91" s="9">
        <v>3</v>
      </c>
      <c r="E91" s="9">
        <v>5</v>
      </c>
      <c r="F91" s="9">
        <v>3</v>
      </c>
      <c r="G91" s="9">
        <v>1</v>
      </c>
      <c r="H91" s="9">
        <v>1</v>
      </c>
      <c r="I91" s="9"/>
      <c r="J91" s="9">
        <v>1</v>
      </c>
      <c r="K91" s="9">
        <v>6</v>
      </c>
      <c r="L91" s="9">
        <v>4</v>
      </c>
      <c r="M91" s="9">
        <v>1</v>
      </c>
      <c r="N91" s="9">
        <v>10</v>
      </c>
      <c r="O91" s="9"/>
      <c r="P91" s="9">
        <v>1</v>
      </c>
      <c r="Q91" s="9">
        <v>11</v>
      </c>
      <c r="R91" s="9">
        <v>1</v>
      </c>
      <c r="S91" s="9"/>
      <c r="T91" s="9">
        <v>2</v>
      </c>
      <c r="U91" s="9">
        <v>6</v>
      </c>
      <c r="V91" s="9">
        <v>11</v>
      </c>
      <c r="W91" s="9">
        <v>27</v>
      </c>
      <c r="X91" s="9">
        <v>12</v>
      </c>
      <c r="Y91" s="9">
        <v>8</v>
      </c>
      <c r="Z91" s="9">
        <v>3</v>
      </c>
      <c r="AA91" s="9">
        <v>3</v>
      </c>
      <c r="AB91" s="9">
        <v>5</v>
      </c>
      <c r="AC91" s="9">
        <v>1</v>
      </c>
      <c r="AD91" s="9">
        <v>6</v>
      </c>
      <c r="AE91" s="9">
        <v>4</v>
      </c>
      <c r="AF91" s="10"/>
      <c r="AG91" s="4">
        <f t="shared" si="13"/>
        <v>153</v>
      </c>
    </row>
    <row r="92" spans="1:35" ht="19.5" thickBot="1" x14ac:dyDescent="0.3">
      <c r="A92" s="105" t="s">
        <v>76</v>
      </c>
      <c r="B92" s="9">
        <v>22</v>
      </c>
      <c r="C92" s="9">
        <v>16</v>
      </c>
      <c r="D92" s="9">
        <v>18</v>
      </c>
      <c r="E92" s="9">
        <v>3</v>
      </c>
      <c r="F92" s="9">
        <v>4</v>
      </c>
      <c r="G92" s="9">
        <v>1</v>
      </c>
      <c r="H92" s="9">
        <v>3</v>
      </c>
      <c r="I92" s="9">
        <v>3</v>
      </c>
      <c r="J92" s="9">
        <v>2</v>
      </c>
      <c r="K92" s="9">
        <v>5</v>
      </c>
      <c r="L92" s="9">
        <v>1</v>
      </c>
      <c r="M92" s="9">
        <v>3</v>
      </c>
      <c r="N92" s="9">
        <v>1</v>
      </c>
      <c r="O92" s="9"/>
      <c r="P92" s="9">
        <v>1</v>
      </c>
      <c r="Q92" s="9">
        <v>10</v>
      </c>
      <c r="R92" s="9">
        <v>1</v>
      </c>
      <c r="S92" s="9"/>
      <c r="T92" s="9"/>
      <c r="U92" s="9">
        <v>15</v>
      </c>
      <c r="V92" s="9">
        <v>9</v>
      </c>
      <c r="W92" s="9">
        <v>46</v>
      </c>
      <c r="X92" s="9">
        <v>27</v>
      </c>
      <c r="Y92" s="9">
        <v>9</v>
      </c>
      <c r="Z92" s="9">
        <v>6</v>
      </c>
      <c r="AA92" s="9">
        <v>13</v>
      </c>
      <c r="AB92" s="9">
        <v>9</v>
      </c>
      <c r="AC92" s="9">
        <v>3</v>
      </c>
      <c r="AD92" s="9">
        <v>8</v>
      </c>
      <c r="AE92" s="9">
        <v>8</v>
      </c>
      <c r="AF92" s="10"/>
      <c r="AG92" s="4">
        <f t="shared" si="13"/>
        <v>247</v>
      </c>
    </row>
    <row r="93" spans="1:35" ht="18.75" x14ac:dyDescent="0.25">
      <c r="A93" s="73" t="s">
        <v>616</v>
      </c>
      <c r="B93" s="74">
        <f t="shared" ref="B93:AF93" si="15">+B94+B100</f>
        <v>212</v>
      </c>
      <c r="C93" s="74">
        <f t="shared" si="15"/>
        <v>200</v>
      </c>
      <c r="D93" s="74">
        <f t="shared" si="15"/>
        <v>161</v>
      </c>
      <c r="E93" s="74">
        <f t="shared" si="15"/>
        <v>203</v>
      </c>
      <c r="F93" s="74">
        <f t="shared" si="15"/>
        <v>159</v>
      </c>
      <c r="G93" s="74">
        <f t="shared" si="15"/>
        <v>168</v>
      </c>
      <c r="H93" s="74">
        <f t="shared" si="15"/>
        <v>267</v>
      </c>
      <c r="I93" s="74">
        <f t="shared" si="15"/>
        <v>268</v>
      </c>
      <c r="J93" s="74">
        <f t="shared" si="15"/>
        <v>205</v>
      </c>
      <c r="K93" s="74">
        <f t="shared" si="15"/>
        <v>185</v>
      </c>
      <c r="L93" s="74">
        <f t="shared" si="15"/>
        <v>171</v>
      </c>
      <c r="M93" s="74">
        <f t="shared" si="15"/>
        <v>162</v>
      </c>
      <c r="N93" s="74">
        <f t="shared" si="15"/>
        <v>172</v>
      </c>
      <c r="O93" s="74">
        <f t="shared" si="15"/>
        <v>258</v>
      </c>
      <c r="P93" s="74">
        <f t="shared" si="15"/>
        <v>240</v>
      </c>
      <c r="Q93" s="74">
        <f t="shared" si="15"/>
        <v>181</v>
      </c>
      <c r="R93" s="74">
        <f t="shared" si="15"/>
        <v>190</v>
      </c>
      <c r="S93" s="74">
        <f t="shared" si="15"/>
        <v>232</v>
      </c>
      <c r="T93" s="74">
        <f t="shared" si="15"/>
        <v>244</v>
      </c>
      <c r="U93" s="74">
        <f t="shared" si="15"/>
        <v>264</v>
      </c>
      <c r="V93" s="74">
        <f t="shared" si="15"/>
        <v>268</v>
      </c>
      <c r="W93" s="74">
        <f t="shared" si="15"/>
        <v>187</v>
      </c>
      <c r="X93" s="74">
        <f t="shared" si="15"/>
        <v>195</v>
      </c>
      <c r="Y93" s="74">
        <f t="shared" si="15"/>
        <v>194</v>
      </c>
      <c r="Z93" s="74">
        <f t="shared" si="15"/>
        <v>163</v>
      </c>
      <c r="AA93" s="74">
        <f t="shared" si="15"/>
        <v>169</v>
      </c>
      <c r="AB93" s="74">
        <f t="shared" si="15"/>
        <v>191</v>
      </c>
      <c r="AC93" s="74">
        <f t="shared" si="15"/>
        <v>253</v>
      </c>
      <c r="AD93" s="74">
        <f t="shared" si="15"/>
        <v>202</v>
      </c>
      <c r="AE93" s="74">
        <f t="shared" si="15"/>
        <v>176</v>
      </c>
      <c r="AF93" s="84">
        <f t="shared" si="15"/>
        <v>0</v>
      </c>
      <c r="AG93" s="150">
        <f t="shared" si="13"/>
        <v>6140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54</v>
      </c>
      <c r="C94" s="17">
        <f t="shared" si="16"/>
        <v>57</v>
      </c>
      <c r="D94" s="17">
        <f t="shared" si="16"/>
        <v>47</v>
      </c>
      <c r="E94" s="17">
        <f t="shared" si="16"/>
        <v>49</v>
      </c>
      <c r="F94" s="17">
        <f t="shared" si="16"/>
        <v>31</v>
      </c>
      <c r="G94" s="17">
        <f t="shared" si="16"/>
        <v>51</v>
      </c>
      <c r="H94" s="17">
        <f t="shared" si="16"/>
        <v>71</v>
      </c>
      <c r="I94" s="17">
        <f t="shared" si="16"/>
        <v>70</v>
      </c>
      <c r="J94" s="17">
        <f t="shared" si="16"/>
        <v>57</v>
      </c>
      <c r="K94" s="17">
        <f t="shared" si="16"/>
        <v>44</v>
      </c>
      <c r="L94" s="17">
        <f t="shared" si="16"/>
        <v>31</v>
      </c>
      <c r="M94" s="17">
        <f t="shared" si="16"/>
        <v>41</v>
      </c>
      <c r="N94" s="17">
        <f t="shared" si="16"/>
        <v>37</v>
      </c>
      <c r="O94" s="17">
        <f t="shared" si="16"/>
        <v>69</v>
      </c>
      <c r="P94" s="17">
        <f t="shared" si="16"/>
        <v>56</v>
      </c>
      <c r="Q94" s="17">
        <f t="shared" si="16"/>
        <v>55</v>
      </c>
      <c r="R94" s="17">
        <f t="shared" si="16"/>
        <v>39</v>
      </c>
      <c r="S94" s="17">
        <f t="shared" si="16"/>
        <v>51</v>
      </c>
      <c r="T94" s="17">
        <f t="shared" si="16"/>
        <v>46</v>
      </c>
      <c r="U94" s="17">
        <f t="shared" si="16"/>
        <v>53</v>
      </c>
      <c r="V94" s="17">
        <f t="shared" si="16"/>
        <v>46</v>
      </c>
      <c r="W94" s="17">
        <f t="shared" si="16"/>
        <v>32</v>
      </c>
      <c r="X94" s="17">
        <f t="shared" si="16"/>
        <v>27</v>
      </c>
      <c r="Y94" s="17">
        <f t="shared" si="16"/>
        <v>41</v>
      </c>
      <c r="Z94" s="17">
        <f t="shared" si="16"/>
        <v>31</v>
      </c>
      <c r="AA94" s="17">
        <f t="shared" si="16"/>
        <v>16</v>
      </c>
      <c r="AB94" s="17">
        <f t="shared" si="16"/>
        <v>32</v>
      </c>
      <c r="AC94" s="17">
        <f t="shared" si="16"/>
        <v>38</v>
      </c>
      <c r="AD94" s="17">
        <f t="shared" si="16"/>
        <v>29</v>
      </c>
      <c r="AE94" s="17">
        <f t="shared" si="16"/>
        <v>46</v>
      </c>
      <c r="AF94" s="18">
        <f t="shared" si="16"/>
        <v>0</v>
      </c>
      <c r="AG94" s="4">
        <f t="shared" si="13"/>
        <v>1347</v>
      </c>
    </row>
    <row r="95" spans="1:35" ht="18.75" x14ac:dyDescent="0.25">
      <c r="A95" s="44" t="s">
        <v>81</v>
      </c>
      <c r="B95" s="7">
        <v>5</v>
      </c>
      <c r="C95" s="7">
        <v>1</v>
      </c>
      <c r="D95" s="7">
        <v>1</v>
      </c>
      <c r="E95" s="7">
        <v>1</v>
      </c>
      <c r="F95" s="7">
        <v>2</v>
      </c>
      <c r="G95" s="7">
        <v>4</v>
      </c>
      <c r="H95" s="7"/>
      <c r="I95" s="7">
        <v>3</v>
      </c>
      <c r="J95" s="7">
        <v>2</v>
      </c>
      <c r="K95" s="7">
        <v>2</v>
      </c>
      <c r="L95" s="7">
        <v>4</v>
      </c>
      <c r="M95" s="7">
        <v>2</v>
      </c>
      <c r="N95" s="7"/>
      <c r="O95" s="7">
        <v>8</v>
      </c>
      <c r="P95" s="7">
        <v>4</v>
      </c>
      <c r="Q95" s="7">
        <v>5</v>
      </c>
      <c r="R95" s="7">
        <v>1</v>
      </c>
      <c r="S95" s="7">
        <v>1</v>
      </c>
      <c r="T95" s="7">
        <v>2</v>
      </c>
      <c r="U95" s="7">
        <v>2</v>
      </c>
      <c r="V95" s="7">
        <v>2</v>
      </c>
      <c r="W95" s="7">
        <v>3</v>
      </c>
      <c r="X95" s="7">
        <v>1</v>
      </c>
      <c r="Y95" s="7">
        <v>2</v>
      </c>
      <c r="Z95" s="7">
        <v>3</v>
      </c>
      <c r="AA95" s="7">
        <v>1</v>
      </c>
      <c r="AB95" s="7">
        <v>3</v>
      </c>
      <c r="AC95" s="7">
        <v>3</v>
      </c>
      <c r="AD95" s="7">
        <v>2</v>
      </c>
      <c r="AE95" s="7">
        <v>3</v>
      </c>
      <c r="AF95" s="8"/>
      <c r="AG95" s="4">
        <f t="shared" si="13"/>
        <v>73</v>
      </c>
    </row>
    <row r="96" spans="1:35" ht="18.75" x14ac:dyDescent="0.25">
      <c r="A96" s="45" t="s">
        <v>82</v>
      </c>
      <c r="B96" s="7">
        <v>2</v>
      </c>
      <c r="C96" s="7">
        <v>6</v>
      </c>
      <c r="D96" s="7">
        <v>5</v>
      </c>
      <c r="E96" s="7">
        <v>6</v>
      </c>
      <c r="F96" s="7">
        <v>4</v>
      </c>
      <c r="G96" s="7">
        <v>6</v>
      </c>
      <c r="H96" s="7">
        <v>7</v>
      </c>
      <c r="I96" s="7">
        <v>3</v>
      </c>
      <c r="J96" s="7">
        <v>4</v>
      </c>
      <c r="K96" s="7">
        <v>3</v>
      </c>
      <c r="L96" s="7">
        <v>3</v>
      </c>
      <c r="M96" s="7">
        <v>2</v>
      </c>
      <c r="N96" s="7">
        <v>2</v>
      </c>
      <c r="O96" s="7">
        <v>6</v>
      </c>
      <c r="P96" s="7">
        <v>4</v>
      </c>
      <c r="Q96" s="7">
        <v>8</v>
      </c>
      <c r="R96" s="7">
        <v>3</v>
      </c>
      <c r="S96" s="141">
        <v>6</v>
      </c>
      <c r="T96" s="7">
        <v>6</v>
      </c>
      <c r="U96" s="7">
        <v>5</v>
      </c>
      <c r="V96" s="7">
        <v>6</v>
      </c>
      <c r="W96" s="7">
        <v>1</v>
      </c>
      <c r="X96" s="7">
        <v>2</v>
      </c>
      <c r="Y96" s="7">
        <v>4</v>
      </c>
      <c r="Z96" s="7">
        <v>1</v>
      </c>
      <c r="AA96" s="7"/>
      <c r="AB96" s="7">
        <v>1</v>
      </c>
      <c r="AC96" s="7">
        <v>3</v>
      </c>
      <c r="AD96" s="7">
        <v>1</v>
      </c>
      <c r="AE96" s="7">
        <v>5</v>
      </c>
      <c r="AF96" s="8"/>
      <c r="AG96" s="4">
        <f t="shared" si="13"/>
        <v>115</v>
      </c>
    </row>
    <row r="97" spans="1:33" ht="18.75" x14ac:dyDescent="0.25">
      <c r="A97" s="46" t="s">
        <v>70</v>
      </c>
      <c r="B97" s="7">
        <v>10</v>
      </c>
      <c r="C97" s="7">
        <v>12</v>
      </c>
      <c r="D97" s="7">
        <v>7</v>
      </c>
      <c r="E97" s="7">
        <v>12</v>
      </c>
      <c r="F97" s="7">
        <v>2</v>
      </c>
      <c r="G97" s="7">
        <v>13</v>
      </c>
      <c r="H97" s="7">
        <v>14</v>
      </c>
      <c r="I97" s="7">
        <v>16</v>
      </c>
      <c r="J97" s="7">
        <v>13</v>
      </c>
      <c r="K97" s="7">
        <v>7</v>
      </c>
      <c r="L97" s="7">
        <v>6</v>
      </c>
      <c r="M97" s="7">
        <v>4</v>
      </c>
      <c r="N97" s="7">
        <v>6</v>
      </c>
      <c r="O97" s="7">
        <v>16</v>
      </c>
      <c r="P97" s="7">
        <v>9</v>
      </c>
      <c r="Q97" s="7">
        <v>11</v>
      </c>
      <c r="R97" s="7">
        <v>9</v>
      </c>
      <c r="S97" s="7">
        <v>13</v>
      </c>
      <c r="T97" s="7">
        <v>10</v>
      </c>
      <c r="U97" s="7">
        <v>19</v>
      </c>
      <c r="V97" s="7">
        <v>10</v>
      </c>
      <c r="W97" s="7">
        <v>9</v>
      </c>
      <c r="X97" s="7">
        <v>6</v>
      </c>
      <c r="Y97" s="7">
        <v>9</v>
      </c>
      <c r="Z97" s="7">
        <v>9</v>
      </c>
      <c r="AA97" s="7">
        <v>2</v>
      </c>
      <c r="AB97" s="7">
        <v>5</v>
      </c>
      <c r="AC97" s="7">
        <v>13</v>
      </c>
      <c r="AD97" s="7">
        <v>7</v>
      </c>
      <c r="AE97" s="7">
        <v>5</v>
      </c>
      <c r="AF97" s="8"/>
      <c r="AG97" s="4">
        <f t="shared" si="13"/>
        <v>284</v>
      </c>
    </row>
    <row r="98" spans="1:33" ht="18.75" x14ac:dyDescent="0.25">
      <c r="A98" s="47" t="s">
        <v>6</v>
      </c>
      <c r="B98" s="7">
        <v>18</v>
      </c>
      <c r="C98" s="7">
        <v>20</v>
      </c>
      <c r="D98" s="7">
        <v>17</v>
      </c>
      <c r="E98" s="7">
        <v>13</v>
      </c>
      <c r="F98" s="7">
        <v>13</v>
      </c>
      <c r="G98" s="7">
        <v>12</v>
      </c>
      <c r="H98" s="7">
        <v>23</v>
      </c>
      <c r="I98" s="7">
        <v>26</v>
      </c>
      <c r="J98" s="7">
        <v>25</v>
      </c>
      <c r="K98" s="7">
        <v>16</v>
      </c>
      <c r="L98" s="7">
        <v>7</v>
      </c>
      <c r="M98" s="7">
        <v>16</v>
      </c>
      <c r="N98" s="7">
        <v>12</v>
      </c>
      <c r="O98" s="7">
        <v>24</v>
      </c>
      <c r="P98" s="7">
        <v>20</v>
      </c>
      <c r="Q98" s="7">
        <v>16</v>
      </c>
      <c r="R98" s="7">
        <v>17</v>
      </c>
      <c r="S98" s="7">
        <v>21</v>
      </c>
      <c r="T98" s="7">
        <v>18</v>
      </c>
      <c r="U98" s="7">
        <v>17</v>
      </c>
      <c r="V98" s="7">
        <v>16</v>
      </c>
      <c r="W98" s="7">
        <v>12</v>
      </c>
      <c r="X98" s="7">
        <v>12</v>
      </c>
      <c r="Y98" s="7">
        <v>12</v>
      </c>
      <c r="Z98" s="7">
        <v>9</v>
      </c>
      <c r="AA98" s="7">
        <v>4</v>
      </c>
      <c r="AB98" s="7">
        <v>16</v>
      </c>
      <c r="AC98" s="7">
        <v>9</v>
      </c>
      <c r="AD98" s="7">
        <v>11</v>
      </c>
      <c r="AE98" s="7">
        <v>14</v>
      </c>
      <c r="AF98" s="8"/>
      <c r="AG98" s="4">
        <f t="shared" si="13"/>
        <v>466</v>
      </c>
    </row>
    <row r="99" spans="1:33" ht="18.75" x14ac:dyDescent="0.25">
      <c r="A99" s="48" t="s">
        <v>7</v>
      </c>
      <c r="B99" s="7">
        <v>19</v>
      </c>
      <c r="C99" s="7">
        <v>18</v>
      </c>
      <c r="D99" s="7">
        <v>17</v>
      </c>
      <c r="E99" s="7">
        <v>17</v>
      </c>
      <c r="F99" s="7">
        <v>10</v>
      </c>
      <c r="G99" s="7">
        <v>16</v>
      </c>
      <c r="H99" s="7">
        <v>27</v>
      </c>
      <c r="I99" s="7">
        <v>22</v>
      </c>
      <c r="J99" s="7">
        <v>13</v>
      </c>
      <c r="K99" s="7">
        <v>16</v>
      </c>
      <c r="L99" s="7">
        <v>11</v>
      </c>
      <c r="M99" s="7">
        <v>17</v>
      </c>
      <c r="N99" s="7">
        <v>17</v>
      </c>
      <c r="O99" s="7">
        <v>15</v>
      </c>
      <c r="P99" s="7">
        <v>19</v>
      </c>
      <c r="Q99" s="7">
        <v>15</v>
      </c>
      <c r="R99" s="7">
        <v>9</v>
      </c>
      <c r="S99" s="7">
        <v>10</v>
      </c>
      <c r="T99" s="7">
        <v>10</v>
      </c>
      <c r="U99" s="7">
        <v>10</v>
      </c>
      <c r="V99" s="7">
        <v>12</v>
      </c>
      <c r="W99" s="7">
        <v>7</v>
      </c>
      <c r="X99" s="7">
        <v>6</v>
      </c>
      <c r="Y99" s="7">
        <v>14</v>
      </c>
      <c r="Z99" s="7">
        <v>9</v>
      </c>
      <c r="AA99" s="7">
        <v>9</v>
      </c>
      <c r="AB99" s="7">
        <v>7</v>
      </c>
      <c r="AC99" s="7">
        <v>10</v>
      </c>
      <c r="AD99" s="7">
        <v>8</v>
      </c>
      <c r="AE99" s="7">
        <v>19</v>
      </c>
      <c r="AF99" s="8"/>
      <c r="AG99" s="4">
        <f t="shared" si="13"/>
        <v>409</v>
      </c>
    </row>
    <row r="100" spans="1:33" ht="18.75" x14ac:dyDescent="0.25">
      <c r="A100" s="42" t="s">
        <v>66</v>
      </c>
      <c r="B100" s="17">
        <f t="shared" ref="B100:AF100" si="17">SUM(B101:B115)</f>
        <v>158</v>
      </c>
      <c r="C100" s="17">
        <f t="shared" si="17"/>
        <v>143</v>
      </c>
      <c r="D100" s="17">
        <f t="shared" si="17"/>
        <v>114</v>
      </c>
      <c r="E100" s="17">
        <f t="shared" si="17"/>
        <v>154</v>
      </c>
      <c r="F100" s="17">
        <f t="shared" si="17"/>
        <v>128</v>
      </c>
      <c r="G100" s="17">
        <f t="shared" si="17"/>
        <v>117</v>
      </c>
      <c r="H100" s="17">
        <f t="shared" si="17"/>
        <v>196</v>
      </c>
      <c r="I100" s="17">
        <f t="shared" si="17"/>
        <v>198</v>
      </c>
      <c r="J100" s="17">
        <f t="shared" si="17"/>
        <v>148</v>
      </c>
      <c r="K100" s="17">
        <f t="shared" si="17"/>
        <v>141</v>
      </c>
      <c r="L100" s="17">
        <f t="shared" si="17"/>
        <v>140</v>
      </c>
      <c r="M100" s="17">
        <f t="shared" si="17"/>
        <v>121</v>
      </c>
      <c r="N100" s="17">
        <f t="shared" si="17"/>
        <v>135</v>
      </c>
      <c r="O100" s="17">
        <f t="shared" si="17"/>
        <v>189</v>
      </c>
      <c r="P100" s="17">
        <f t="shared" si="17"/>
        <v>184</v>
      </c>
      <c r="Q100" s="17">
        <f t="shared" si="17"/>
        <v>126</v>
      </c>
      <c r="R100" s="17">
        <f t="shared" si="17"/>
        <v>151</v>
      </c>
      <c r="S100" s="17">
        <f t="shared" si="17"/>
        <v>181</v>
      </c>
      <c r="T100" s="17">
        <f t="shared" si="17"/>
        <v>198</v>
      </c>
      <c r="U100" s="17">
        <f t="shared" si="17"/>
        <v>211</v>
      </c>
      <c r="V100" s="17">
        <f t="shared" si="17"/>
        <v>222</v>
      </c>
      <c r="W100" s="17">
        <f t="shared" si="17"/>
        <v>155</v>
      </c>
      <c r="X100" s="17">
        <f t="shared" si="17"/>
        <v>168</v>
      </c>
      <c r="Y100" s="17">
        <f t="shared" si="17"/>
        <v>153</v>
      </c>
      <c r="Z100" s="17">
        <f t="shared" si="17"/>
        <v>132</v>
      </c>
      <c r="AA100" s="17">
        <f t="shared" si="17"/>
        <v>153</v>
      </c>
      <c r="AB100" s="17">
        <f t="shared" si="17"/>
        <v>159</v>
      </c>
      <c r="AC100" s="17">
        <f t="shared" si="17"/>
        <v>215</v>
      </c>
      <c r="AD100" s="17">
        <f t="shared" si="17"/>
        <v>173</v>
      </c>
      <c r="AE100" s="17">
        <f t="shared" si="17"/>
        <v>130</v>
      </c>
      <c r="AF100" s="18">
        <f t="shared" si="17"/>
        <v>0</v>
      </c>
      <c r="AG100" s="4">
        <f t="shared" si="13"/>
        <v>4793</v>
      </c>
    </row>
    <row r="101" spans="1:33" ht="18.75" x14ac:dyDescent="0.25">
      <c r="A101" s="48" t="s">
        <v>8</v>
      </c>
      <c r="B101" s="7">
        <v>10</v>
      </c>
      <c r="C101" s="7">
        <v>27</v>
      </c>
      <c r="D101" s="7">
        <v>19</v>
      </c>
      <c r="E101" s="7">
        <v>23</v>
      </c>
      <c r="F101" s="7">
        <v>12</v>
      </c>
      <c r="G101" s="7">
        <v>8</v>
      </c>
      <c r="H101" s="7">
        <v>19</v>
      </c>
      <c r="I101" s="7">
        <v>20</v>
      </c>
      <c r="J101" s="7">
        <v>13</v>
      </c>
      <c r="K101" s="7">
        <v>19</v>
      </c>
      <c r="L101" s="7">
        <v>22</v>
      </c>
      <c r="M101" s="7">
        <v>15</v>
      </c>
      <c r="N101" s="7">
        <v>15</v>
      </c>
      <c r="O101" s="7">
        <v>9</v>
      </c>
      <c r="P101" s="7">
        <v>16</v>
      </c>
      <c r="Q101" s="7">
        <v>20</v>
      </c>
      <c r="R101" s="7">
        <v>18</v>
      </c>
      <c r="S101" s="7">
        <v>18</v>
      </c>
      <c r="T101" s="7">
        <v>17</v>
      </c>
      <c r="U101" s="7">
        <v>12</v>
      </c>
      <c r="V101" s="7">
        <v>13</v>
      </c>
      <c r="W101" s="7">
        <v>9</v>
      </c>
      <c r="X101" s="7">
        <v>22</v>
      </c>
      <c r="Y101" s="7">
        <v>21</v>
      </c>
      <c r="Z101" s="7">
        <v>8</v>
      </c>
      <c r="AA101" s="7">
        <v>14</v>
      </c>
      <c r="AB101" s="7">
        <v>8</v>
      </c>
      <c r="AC101" s="7">
        <v>18</v>
      </c>
      <c r="AD101" s="7">
        <v>15</v>
      </c>
      <c r="AE101" s="7">
        <v>12</v>
      </c>
      <c r="AF101" s="8"/>
      <c r="AG101" s="4">
        <f t="shared" si="13"/>
        <v>472</v>
      </c>
    </row>
    <row r="102" spans="1:33" ht="18.75" x14ac:dyDescent="0.25">
      <c r="A102" s="48" t="s">
        <v>9</v>
      </c>
      <c r="B102" s="7">
        <v>11</v>
      </c>
      <c r="C102" s="7">
        <v>16</v>
      </c>
      <c r="D102" s="7">
        <v>15</v>
      </c>
      <c r="E102" s="7">
        <v>17</v>
      </c>
      <c r="F102" s="7">
        <v>12</v>
      </c>
      <c r="G102" s="7">
        <v>13</v>
      </c>
      <c r="H102" s="7">
        <v>28</v>
      </c>
      <c r="I102" s="7">
        <v>17</v>
      </c>
      <c r="J102" s="7">
        <v>16</v>
      </c>
      <c r="K102" s="7">
        <v>17</v>
      </c>
      <c r="L102" s="7">
        <v>19</v>
      </c>
      <c r="M102" s="7">
        <v>9</v>
      </c>
      <c r="N102" s="7">
        <v>16</v>
      </c>
      <c r="O102" s="7">
        <v>25</v>
      </c>
      <c r="P102" s="7">
        <v>14</v>
      </c>
      <c r="Q102" s="7">
        <v>13</v>
      </c>
      <c r="R102" s="7">
        <v>10</v>
      </c>
      <c r="S102" s="7">
        <v>22</v>
      </c>
      <c r="T102" s="7">
        <v>23</v>
      </c>
      <c r="U102" s="7">
        <v>30</v>
      </c>
      <c r="V102" s="7">
        <v>21</v>
      </c>
      <c r="W102" s="7">
        <v>10</v>
      </c>
      <c r="X102" s="7">
        <v>16</v>
      </c>
      <c r="Y102" s="7">
        <v>17</v>
      </c>
      <c r="Z102" s="7">
        <v>13</v>
      </c>
      <c r="AA102" s="7">
        <v>18</v>
      </c>
      <c r="AB102" s="7">
        <v>17</v>
      </c>
      <c r="AC102" s="7">
        <v>18</v>
      </c>
      <c r="AD102" s="7">
        <v>14</v>
      </c>
      <c r="AE102" s="7">
        <v>15</v>
      </c>
      <c r="AF102" s="8"/>
      <c r="AG102" s="4">
        <f t="shared" si="13"/>
        <v>502</v>
      </c>
    </row>
    <row r="103" spans="1:33" ht="18.75" x14ac:dyDescent="0.25">
      <c r="A103" s="49" t="s">
        <v>10</v>
      </c>
      <c r="B103" s="7">
        <v>20</v>
      </c>
      <c r="C103" s="7">
        <v>12</v>
      </c>
      <c r="D103" s="7">
        <v>7</v>
      </c>
      <c r="E103" s="7">
        <v>10</v>
      </c>
      <c r="F103" s="7">
        <v>15</v>
      </c>
      <c r="G103" s="7">
        <v>9</v>
      </c>
      <c r="H103" s="7">
        <v>20</v>
      </c>
      <c r="I103" s="7">
        <v>14</v>
      </c>
      <c r="J103" s="7">
        <v>11</v>
      </c>
      <c r="K103" s="7">
        <v>13</v>
      </c>
      <c r="L103" s="7">
        <v>16</v>
      </c>
      <c r="M103" s="7">
        <v>13</v>
      </c>
      <c r="N103" s="7">
        <v>11</v>
      </c>
      <c r="O103" s="7">
        <v>14</v>
      </c>
      <c r="P103" s="7">
        <v>19</v>
      </c>
      <c r="Q103" s="7">
        <v>12</v>
      </c>
      <c r="R103" s="7">
        <v>15</v>
      </c>
      <c r="S103" s="7">
        <v>14</v>
      </c>
      <c r="T103" s="7">
        <v>19</v>
      </c>
      <c r="U103" s="7">
        <v>17</v>
      </c>
      <c r="V103" s="7">
        <v>19</v>
      </c>
      <c r="W103" s="7">
        <v>12</v>
      </c>
      <c r="X103" s="7">
        <v>14</v>
      </c>
      <c r="Y103" s="7">
        <v>18</v>
      </c>
      <c r="Z103" s="7">
        <v>14</v>
      </c>
      <c r="AA103" s="7">
        <v>21</v>
      </c>
      <c r="AB103" s="7">
        <v>12</v>
      </c>
      <c r="AC103" s="7">
        <v>22</v>
      </c>
      <c r="AD103" s="7">
        <v>15</v>
      </c>
      <c r="AE103" s="7">
        <v>17</v>
      </c>
      <c r="AF103" s="8"/>
      <c r="AG103" s="4">
        <f t="shared" si="13"/>
        <v>445</v>
      </c>
    </row>
    <row r="104" spans="1:33" ht="18.75" x14ac:dyDescent="0.25">
      <c r="A104" s="49" t="s">
        <v>11</v>
      </c>
      <c r="B104" s="7">
        <v>14</v>
      </c>
      <c r="C104" s="7">
        <v>10</v>
      </c>
      <c r="D104" s="7">
        <v>9</v>
      </c>
      <c r="E104" s="7">
        <v>13</v>
      </c>
      <c r="F104" s="7">
        <v>11</v>
      </c>
      <c r="G104" s="7">
        <v>12</v>
      </c>
      <c r="H104" s="7">
        <v>17</v>
      </c>
      <c r="I104" s="7">
        <v>19</v>
      </c>
      <c r="J104" s="7">
        <v>12</v>
      </c>
      <c r="K104" s="7">
        <v>10</v>
      </c>
      <c r="L104" s="7">
        <v>6</v>
      </c>
      <c r="M104" s="7">
        <v>8</v>
      </c>
      <c r="N104" s="7">
        <v>14</v>
      </c>
      <c r="O104" s="7">
        <v>10</v>
      </c>
      <c r="P104" s="7">
        <v>14</v>
      </c>
      <c r="Q104" s="7">
        <v>12</v>
      </c>
      <c r="R104" s="7">
        <v>12</v>
      </c>
      <c r="S104" s="7">
        <v>14</v>
      </c>
      <c r="T104" s="7">
        <v>11</v>
      </c>
      <c r="U104" s="7">
        <v>22</v>
      </c>
      <c r="V104" s="7">
        <v>11</v>
      </c>
      <c r="W104" s="7">
        <v>6</v>
      </c>
      <c r="X104" s="7">
        <v>10</v>
      </c>
      <c r="Y104" s="7">
        <v>6</v>
      </c>
      <c r="Z104" s="7">
        <v>11</v>
      </c>
      <c r="AA104" s="7">
        <v>5</v>
      </c>
      <c r="AB104" s="7">
        <v>17</v>
      </c>
      <c r="AC104" s="7">
        <v>19</v>
      </c>
      <c r="AD104" s="7">
        <v>13</v>
      </c>
      <c r="AE104" s="7">
        <v>8</v>
      </c>
      <c r="AF104" s="8"/>
      <c r="AG104" s="4">
        <f t="shared" si="13"/>
        <v>356</v>
      </c>
    </row>
    <row r="105" spans="1:33" ht="18.75" x14ac:dyDescent="0.25">
      <c r="A105" s="49" t="s">
        <v>12</v>
      </c>
      <c r="B105" s="7">
        <v>16</v>
      </c>
      <c r="C105" s="7">
        <v>14</v>
      </c>
      <c r="D105" s="7">
        <v>8</v>
      </c>
      <c r="E105" s="7">
        <v>9</v>
      </c>
      <c r="F105" s="7">
        <v>11</v>
      </c>
      <c r="G105" s="7">
        <v>14</v>
      </c>
      <c r="H105" s="7">
        <v>6</v>
      </c>
      <c r="I105" s="7">
        <v>19</v>
      </c>
      <c r="J105" s="7">
        <v>12</v>
      </c>
      <c r="K105" s="7">
        <v>7</v>
      </c>
      <c r="L105" s="7">
        <v>9</v>
      </c>
      <c r="M105" s="7">
        <v>8</v>
      </c>
      <c r="N105" s="7">
        <v>6</v>
      </c>
      <c r="O105" s="7">
        <v>12</v>
      </c>
      <c r="P105" s="7">
        <v>14</v>
      </c>
      <c r="Q105" s="7">
        <v>9</v>
      </c>
      <c r="R105" s="7">
        <v>16</v>
      </c>
      <c r="S105" s="7">
        <v>19</v>
      </c>
      <c r="T105" s="7">
        <v>15</v>
      </c>
      <c r="U105" s="7">
        <v>12</v>
      </c>
      <c r="V105" s="7">
        <v>12</v>
      </c>
      <c r="W105" s="7">
        <v>11</v>
      </c>
      <c r="X105" s="7">
        <v>8</v>
      </c>
      <c r="Y105" s="7">
        <v>17</v>
      </c>
      <c r="Z105" s="7">
        <v>13</v>
      </c>
      <c r="AA105" s="7">
        <v>14</v>
      </c>
      <c r="AB105" s="7">
        <v>15</v>
      </c>
      <c r="AC105" s="7">
        <v>15</v>
      </c>
      <c r="AD105" s="7">
        <v>13</v>
      </c>
      <c r="AE105" s="7">
        <v>5</v>
      </c>
      <c r="AF105" s="8"/>
      <c r="AG105" s="4">
        <f t="shared" si="13"/>
        <v>359</v>
      </c>
    </row>
    <row r="106" spans="1:33" ht="18.75" x14ac:dyDescent="0.25">
      <c r="A106" s="49" t="s">
        <v>13</v>
      </c>
      <c r="B106" s="7">
        <v>14</v>
      </c>
      <c r="C106" s="7">
        <v>6</v>
      </c>
      <c r="D106" s="7">
        <v>7</v>
      </c>
      <c r="E106" s="7">
        <v>9</v>
      </c>
      <c r="F106" s="7">
        <v>8</v>
      </c>
      <c r="G106" s="7">
        <v>5</v>
      </c>
      <c r="H106" s="7">
        <v>15</v>
      </c>
      <c r="I106" s="7">
        <v>8</v>
      </c>
      <c r="J106" s="7">
        <v>9</v>
      </c>
      <c r="K106" s="7">
        <v>6</v>
      </c>
      <c r="L106" s="7">
        <v>5</v>
      </c>
      <c r="M106" s="7">
        <v>8</v>
      </c>
      <c r="N106" s="7">
        <v>11</v>
      </c>
      <c r="O106" s="7">
        <v>16</v>
      </c>
      <c r="P106" s="7">
        <v>16</v>
      </c>
      <c r="Q106" s="7">
        <v>7</v>
      </c>
      <c r="R106" s="7">
        <v>14</v>
      </c>
      <c r="S106" s="7">
        <v>13</v>
      </c>
      <c r="T106" s="7">
        <v>14</v>
      </c>
      <c r="U106" s="7">
        <v>17</v>
      </c>
      <c r="V106" s="7">
        <v>17</v>
      </c>
      <c r="W106" s="7">
        <v>10</v>
      </c>
      <c r="X106" s="7">
        <v>9</v>
      </c>
      <c r="Y106" s="7">
        <v>5</v>
      </c>
      <c r="Z106" s="7">
        <v>7</v>
      </c>
      <c r="AA106" s="7">
        <v>5</v>
      </c>
      <c r="AB106" s="7">
        <v>4</v>
      </c>
      <c r="AC106" s="7">
        <v>6</v>
      </c>
      <c r="AD106" s="7">
        <v>8</v>
      </c>
      <c r="AE106" s="7">
        <v>13</v>
      </c>
      <c r="AF106" s="8"/>
      <c r="AG106" s="4">
        <f t="shared" si="13"/>
        <v>292</v>
      </c>
    </row>
    <row r="107" spans="1:33" ht="18.75" x14ac:dyDescent="0.25">
      <c r="A107" s="49" t="s">
        <v>14</v>
      </c>
      <c r="B107" s="7">
        <v>17</v>
      </c>
      <c r="C107" s="7">
        <v>4</v>
      </c>
      <c r="D107" s="7">
        <v>9</v>
      </c>
      <c r="E107" s="7">
        <v>17</v>
      </c>
      <c r="F107" s="7">
        <v>13</v>
      </c>
      <c r="G107" s="7">
        <v>5</v>
      </c>
      <c r="H107" s="7">
        <v>13</v>
      </c>
      <c r="I107" s="7">
        <v>28</v>
      </c>
      <c r="J107" s="7">
        <v>12</v>
      </c>
      <c r="K107" s="7">
        <v>10</v>
      </c>
      <c r="L107" s="7">
        <v>9</v>
      </c>
      <c r="M107" s="7">
        <v>17</v>
      </c>
      <c r="N107" s="7">
        <v>7</v>
      </c>
      <c r="O107" s="7">
        <v>17</v>
      </c>
      <c r="P107" s="7">
        <v>15</v>
      </c>
      <c r="Q107" s="7">
        <v>11</v>
      </c>
      <c r="R107" s="7">
        <v>18</v>
      </c>
      <c r="S107" s="7">
        <v>15</v>
      </c>
      <c r="T107" s="7">
        <v>20</v>
      </c>
      <c r="U107" s="7">
        <v>16</v>
      </c>
      <c r="V107" s="7">
        <v>23</v>
      </c>
      <c r="W107" s="7">
        <v>16</v>
      </c>
      <c r="X107" s="7">
        <v>14</v>
      </c>
      <c r="Y107" s="7">
        <v>13</v>
      </c>
      <c r="Z107" s="7">
        <v>11</v>
      </c>
      <c r="AA107" s="7">
        <v>14</v>
      </c>
      <c r="AB107" s="7">
        <v>14</v>
      </c>
      <c r="AC107" s="7">
        <v>16</v>
      </c>
      <c r="AD107" s="7">
        <v>16</v>
      </c>
      <c r="AE107" s="7">
        <v>8</v>
      </c>
      <c r="AF107" s="8"/>
      <c r="AG107" s="4">
        <f t="shared" si="13"/>
        <v>418</v>
      </c>
    </row>
    <row r="108" spans="1:33" ht="18.75" x14ac:dyDescent="0.25">
      <c r="A108" s="49" t="s">
        <v>15</v>
      </c>
      <c r="B108" s="7">
        <v>10</v>
      </c>
      <c r="C108" s="7">
        <v>7</v>
      </c>
      <c r="D108" s="7">
        <v>9</v>
      </c>
      <c r="E108" s="7">
        <v>17</v>
      </c>
      <c r="F108" s="7">
        <v>8</v>
      </c>
      <c r="G108" s="7">
        <v>14</v>
      </c>
      <c r="H108" s="7">
        <v>16</v>
      </c>
      <c r="I108" s="7">
        <v>13</v>
      </c>
      <c r="J108" s="7">
        <v>18</v>
      </c>
      <c r="K108" s="7">
        <v>13</v>
      </c>
      <c r="L108" s="7">
        <v>14</v>
      </c>
      <c r="M108" s="7">
        <v>9</v>
      </c>
      <c r="N108" s="7">
        <v>13</v>
      </c>
      <c r="O108" s="7">
        <v>20</v>
      </c>
      <c r="P108" s="7">
        <v>13</v>
      </c>
      <c r="Q108" s="7">
        <v>15</v>
      </c>
      <c r="R108" s="7">
        <v>13</v>
      </c>
      <c r="S108" s="7">
        <v>18</v>
      </c>
      <c r="T108" s="7">
        <v>12</v>
      </c>
      <c r="U108" s="7">
        <v>14</v>
      </c>
      <c r="V108" s="7">
        <v>22</v>
      </c>
      <c r="W108" s="7">
        <v>16</v>
      </c>
      <c r="X108" s="7">
        <v>14</v>
      </c>
      <c r="Y108" s="7">
        <v>13</v>
      </c>
      <c r="Z108" s="7">
        <v>15</v>
      </c>
      <c r="AA108" s="7">
        <v>8</v>
      </c>
      <c r="AB108" s="7">
        <v>20</v>
      </c>
      <c r="AC108" s="7">
        <v>25</v>
      </c>
      <c r="AD108" s="7">
        <v>15</v>
      </c>
      <c r="AE108" s="7">
        <v>11</v>
      </c>
      <c r="AF108" s="8"/>
      <c r="AG108" s="4">
        <f t="shared" si="13"/>
        <v>425</v>
      </c>
    </row>
    <row r="109" spans="1:33" ht="18.75" x14ac:dyDescent="0.25">
      <c r="A109" s="49" t="s">
        <v>16</v>
      </c>
      <c r="B109" s="7">
        <v>12</v>
      </c>
      <c r="C109" s="7">
        <v>10</v>
      </c>
      <c r="D109" s="7">
        <v>10</v>
      </c>
      <c r="E109" s="7">
        <v>9</v>
      </c>
      <c r="F109" s="7">
        <v>9</v>
      </c>
      <c r="G109" s="7">
        <v>14</v>
      </c>
      <c r="H109" s="7">
        <v>13</v>
      </c>
      <c r="I109" s="7">
        <v>16</v>
      </c>
      <c r="J109" s="7">
        <v>7</v>
      </c>
      <c r="K109" s="7">
        <v>8</v>
      </c>
      <c r="L109" s="7">
        <v>7</v>
      </c>
      <c r="M109" s="7">
        <v>4</v>
      </c>
      <c r="N109" s="7">
        <v>7</v>
      </c>
      <c r="O109" s="7">
        <v>13</v>
      </c>
      <c r="P109" s="7">
        <v>14</v>
      </c>
      <c r="Q109" s="7">
        <v>7</v>
      </c>
      <c r="R109" s="7">
        <v>9</v>
      </c>
      <c r="S109" s="7">
        <v>6</v>
      </c>
      <c r="T109" s="7">
        <v>15</v>
      </c>
      <c r="U109" s="7">
        <v>15</v>
      </c>
      <c r="V109" s="7">
        <v>17</v>
      </c>
      <c r="W109" s="7">
        <v>15</v>
      </c>
      <c r="X109" s="7">
        <v>14</v>
      </c>
      <c r="Y109" s="7">
        <v>11</v>
      </c>
      <c r="Z109" s="7">
        <v>6</v>
      </c>
      <c r="AA109" s="7">
        <v>8</v>
      </c>
      <c r="AB109" s="7">
        <v>16</v>
      </c>
      <c r="AC109" s="7">
        <v>18</v>
      </c>
      <c r="AD109" s="7">
        <v>10</v>
      </c>
      <c r="AE109" s="7">
        <v>14</v>
      </c>
      <c r="AF109" s="8"/>
      <c r="AG109" s="4">
        <f t="shared" si="13"/>
        <v>334</v>
      </c>
    </row>
    <row r="110" spans="1:33" ht="18.75" x14ac:dyDescent="0.25">
      <c r="A110" s="49" t="s">
        <v>17</v>
      </c>
      <c r="B110" s="7">
        <v>10</v>
      </c>
      <c r="C110" s="7">
        <v>14</v>
      </c>
      <c r="D110" s="7">
        <v>5</v>
      </c>
      <c r="E110" s="7">
        <v>7</v>
      </c>
      <c r="F110" s="7">
        <v>13</v>
      </c>
      <c r="G110" s="7">
        <v>5</v>
      </c>
      <c r="H110" s="7">
        <v>12</v>
      </c>
      <c r="I110" s="7">
        <v>8</v>
      </c>
      <c r="J110" s="7">
        <v>11</v>
      </c>
      <c r="K110" s="7">
        <v>11</v>
      </c>
      <c r="L110" s="7">
        <v>9</v>
      </c>
      <c r="M110" s="7">
        <v>10</v>
      </c>
      <c r="N110" s="7">
        <v>7</v>
      </c>
      <c r="O110" s="7">
        <v>19</v>
      </c>
      <c r="P110" s="7">
        <v>15</v>
      </c>
      <c r="Q110" s="7">
        <v>3</v>
      </c>
      <c r="R110" s="7">
        <v>8</v>
      </c>
      <c r="S110" s="7">
        <v>8</v>
      </c>
      <c r="T110" s="7">
        <v>13</v>
      </c>
      <c r="U110" s="7">
        <v>13</v>
      </c>
      <c r="V110" s="7">
        <v>11</v>
      </c>
      <c r="W110" s="7">
        <v>12</v>
      </c>
      <c r="X110" s="7">
        <v>7</v>
      </c>
      <c r="Y110" s="7">
        <v>8</v>
      </c>
      <c r="Z110" s="7">
        <v>6</v>
      </c>
      <c r="AA110" s="7">
        <v>15</v>
      </c>
      <c r="AB110" s="7">
        <v>10</v>
      </c>
      <c r="AC110" s="7">
        <v>17</v>
      </c>
      <c r="AD110" s="7">
        <v>6</v>
      </c>
      <c r="AE110" s="7">
        <v>5</v>
      </c>
      <c r="AF110" s="8"/>
      <c r="AG110" s="4">
        <f t="shared" si="13"/>
        <v>298</v>
      </c>
    </row>
    <row r="111" spans="1:33" ht="18.75" x14ac:dyDescent="0.25">
      <c r="A111" s="49" t="s">
        <v>18</v>
      </c>
      <c r="B111" s="7">
        <v>1</v>
      </c>
      <c r="C111" s="7">
        <v>7</v>
      </c>
      <c r="D111" s="7">
        <v>4</v>
      </c>
      <c r="E111" s="7">
        <v>9</v>
      </c>
      <c r="F111" s="7">
        <v>7</v>
      </c>
      <c r="G111" s="7">
        <v>2</v>
      </c>
      <c r="H111" s="7">
        <v>12</v>
      </c>
      <c r="I111" s="7">
        <v>12</v>
      </c>
      <c r="J111" s="7">
        <v>5</v>
      </c>
      <c r="K111" s="7">
        <v>11</v>
      </c>
      <c r="L111" s="7">
        <v>7</v>
      </c>
      <c r="M111" s="7">
        <v>4</v>
      </c>
      <c r="N111" s="7">
        <v>4</v>
      </c>
      <c r="O111" s="7">
        <v>10</v>
      </c>
      <c r="P111" s="7">
        <v>11</v>
      </c>
      <c r="Q111" s="7">
        <v>3</v>
      </c>
      <c r="R111" s="7">
        <v>5</v>
      </c>
      <c r="S111" s="7">
        <v>10</v>
      </c>
      <c r="T111" s="7">
        <v>10</v>
      </c>
      <c r="U111" s="7">
        <v>11</v>
      </c>
      <c r="V111" s="7">
        <v>25</v>
      </c>
      <c r="W111" s="7">
        <v>10</v>
      </c>
      <c r="X111" s="7">
        <v>16</v>
      </c>
      <c r="Y111" s="7">
        <v>7</v>
      </c>
      <c r="Z111" s="7">
        <v>13</v>
      </c>
      <c r="AA111" s="7">
        <v>7</v>
      </c>
      <c r="AB111" s="7">
        <v>6</v>
      </c>
      <c r="AC111" s="7">
        <v>13</v>
      </c>
      <c r="AD111" s="7">
        <v>14</v>
      </c>
      <c r="AE111" s="7">
        <v>6</v>
      </c>
      <c r="AF111" s="8"/>
      <c r="AG111" s="4">
        <f t="shared" si="13"/>
        <v>262</v>
      </c>
    </row>
    <row r="112" spans="1:33" ht="18.75" x14ac:dyDescent="0.25">
      <c r="A112" s="49" t="s">
        <v>19</v>
      </c>
      <c r="B112" s="7">
        <v>5</v>
      </c>
      <c r="C112" s="7">
        <v>6</v>
      </c>
      <c r="D112" s="7">
        <v>3</v>
      </c>
      <c r="E112" s="7">
        <v>2</v>
      </c>
      <c r="F112" s="7">
        <v>6</v>
      </c>
      <c r="G112" s="7">
        <v>7</v>
      </c>
      <c r="H112" s="7">
        <v>8</v>
      </c>
      <c r="I112" s="7">
        <v>8</v>
      </c>
      <c r="J112" s="7">
        <v>10</v>
      </c>
      <c r="K112" s="7">
        <v>8</v>
      </c>
      <c r="L112" s="7">
        <v>9</v>
      </c>
      <c r="M112" s="7">
        <v>5</v>
      </c>
      <c r="N112" s="7">
        <v>7</v>
      </c>
      <c r="O112" s="7">
        <v>9</v>
      </c>
      <c r="P112" s="7">
        <v>6</v>
      </c>
      <c r="Q112" s="7">
        <v>2</v>
      </c>
      <c r="R112" s="7">
        <v>6</v>
      </c>
      <c r="S112" s="7">
        <v>7</v>
      </c>
      <c r="T112" s="7">
        <v>12</v>
      </c>
      <c r="U112" s="7">
        <v>9</v>
      </c>
      <c r="V112" s="7">
        <v>6</v>
      </c>
      <c r="W112" s="7">
        <v>11</v>
      </c>
      <c r="X112" s="7">
        <v>8</v>
      </c>
      <c r="Y112" s="7">
        <v>2</v>
      </c>
      <c r="Z112" s="7">
        <v>4</v>
      </c>
      <c r="AA112" s="7">
        <v>7</v>
      </c>
      <c r="AB112" s="7">
        <v>6</v>
      </c>
      <c r="AC112" s="7">
        <v>8</v>
      </c>
      <c r="AD112" s="7">
        <v>7</v>
      </c>
      <c r="AE112" s="7">
        <v>4</v>
      </c>
      <c r="AF112" s="8"/>
      <c r="AG112" s="4">
        <f>SUM(B112:AF112)</f>
        <v>198</v>
      </c>
    </row>
    <row r="113" spans="1:33" ht="18.75" x14ac:dyDescent="0.25">
      <c r="A113" s="49" t="s">
        <v>20</v>
      </c>
      <c r="B113" s="7">
        <v>8</v>
      </c>
      <c r="C113" s="7">
        <v>4</v>
      </c>
      <c r="D113" s="7">
        <v>2</v>
      </c>
      <c r="E113" s="7">
        <v>6</v>
      </c>
      <c r="F113" s="7">
        <v>1</v>
      </c>
      <c r="G113" s="7">
        <v>6</v>
      </c>
      <c r="H113" s="7">
        <v>8</v>
      </c>
      <c r="I113" s="7">
        <v>3</v>
      </c>
      <c r="J113" s="7">
        <v>6</v>
      </c>
      <c r="K113" s="7">
        <v>3</v>
      </c>
      <c r="L113" s="7">
        <v>4</v>
      </c>
      <c r="M113" s="7">
        <v>8</v>
      </c>
      <c r="N113" s="7">
        <v>9</v>
      </c>
      <c r="O113" s="7">
        <v>7</v>
      </c>
      <c r="P113" s="7">
        <v>9</v>
      </c>
      <c r="Q113" s="7">
        <v>5</v>
      </c>
      <c r="R113" s="7">
        <v>2</v>
      </c>
      <c r="S113" s="7">
        <v>7</v>
      </c>
      <c r="T113" s="7">
        <v>9</v>
      </c>
      <c r="U113" s="7">
        <v>10</v>
      </c>
      <c r="V113" s="7">
        <v>11</v>
      </c>
      <c r="W113" s="7">
        <v>7</v>
      </c>
      <c r="X113" s="7">
        <v>7</v>
      </c>
      <c r="Y113" s="7">
        <v>7</v>
      </c>
      <c r="Z113" s="7">
        <v>4</v>
      </c>
      <c r="AA113" s="7">
        <v>12</v>
      </c>
      <c r="AB113" s="7">
        <v>3</v>
      </c>
      <c r="AC113" s="7">
        <v>8</v>
      </c>
      <c r="AD113" s="7">
        <v>13</v>
      </c>
      <c r="AE113" s="7">
        <v>3</v>
      </c>
      <c r="AF113" s="8"/>
      <c r="AG113" s="4">
        <f t="shared" si="13"/>
        <v>192</v>
      </c>
    </row>
    <row r="114" spans="1:33" ht="18.75" x14ac:dyDescent="0.25">
      <c r="A114" s="49" t="s">
        <v>21</v>
      </c>
      <c r="B114" s="7">
        <v>10</v>
      </c>
      <c r="C114" s="7">
        <v>6</v>
      </c>
      <c r="D114" s="7">
        <v>7</v>
      </c>
      <c r="E114" s="7">
        <v>6</v>
      </c>
      <c r="F114" s="7">
        <v>2</v>
      </c>
      <c r="G114" s="7">
        <v>3</v>
      </c>
      <c r="H114" s="7">
        <v>9</v>
      </c>
      <c r="I114" s="7">
        <v>13</v>
      </c>
      <c r="J114" s="7">
        <v>6</v>
      </c>
      <c r="K114" s="7">
        <v>5</v>
      </c>
      <c r="L114" s="7">
        <v>4</v>
      </c>
      <c r="M114" s="7">
        <v>3</v>
      </c>
      <c r="N114" s="7">
        <v>8</v>
      </c>
      <c r="O114" s="7">
        <v>8</v>
      </c>
      <c r="P114" s="7">
        <v>8</v>
      </c>
      <c r="Q114" s="7">
        <v>7</v>
      </c>
      <c r="R114" s="7">
        <v>5</v>
      </c>
      <c r="S114" s="7">
        <v>10</v>
      </c>
      <c r="T114" s="7">
        <v>8</v>
      </c>
      <c r="U114" s="7">
        <v>13</v>
      </c>
      <c r="V114" s="7">
        <v>14</v>
      </c>
      <c r="W114" s="7">
        <v>10</v>
      </c>
      <c r="X114" s="7">
        <v>9</v>
      </c>
      <c r="Y114" s="7">
        <v>8</v>
      </c>
      <c r="Z114" s="7">
        <v>7</v>
      </c>
      <c r="AA114" s="7">
        <v>5</v>
      </c>
      <c r="AB114" s="7">
        <v>11</v>
      </c>
      <c r="AC114" s="7">
        <v>12</v>
      </c>
      <c r="AD114" s="7">
        <v>14</v>
      </c>
      <c r="AE114" s="7">
        <v>9</v>
      </c>
      <c r="AF114" s="8"/>
      <c r="AG114" s="4">
        <f t="shared" si="13"/>
        <v>240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105</v>
      </c>
      <c r="C116" s="74">
        <f t="shared" si="18"/>
        <v>88</v>
      </c>
      <c r="D116" s="74">
        <f t="shared" si="18"/>
        <v>76</v>
      </c>
      <c r="E116" s="74">
        <f t="shared" si="18"/>
        <v>100</v>
      </c>
      <c r="F116" s="74">
        <f t="shared" si="18"/>
        <v>81</v>
      </c>
      <c r="G116" s="74">
        <f t="shared" si="18"/>
        <v>67</v>
      </c>
      <c r="H116" s="74">
        <f t="shared" si="18"/>
        <v>113</v>
      </c>
      <c r="I116" s="74">
        <f t="shared" si="18"/>
        <v>104</v>
      </c>
      <c r="J116" s="74">
        <f t="shared" si="18"/>
        <v>85</v>
      </c>
      <c r="K116" s="74">
        <f t="shared" si="18"/>
        <v>80</v>
      </c>
      <c r="L116" s="74">
        <f t="shared" si="18"/>
        <v>76</v>
      </c>
      <c r="M116" s="74">
        <f t="shared" si="18"/>
        <v>63</v>
      </c>
      <c r="N116" s="74">
        <f t="shared" si="18"/>
        <v>86</v>
      </c>
      <c r="O116" s="74">
        <f t="shared" si="18"/>
        <v>124</v>
      </c>
      <c r="P116" s="74">
        <f t="shared" si="18"/>
        <v>106</v>
      </c>
      <c r="Q116" s="74">
        <f t="shared" si="18"/>
        <v>103</v>
      </c>
      <c r="R116" s="74">
        <f t="shared" si="18"/>
        <v>98</v>
      </c>
      <c r="S116" s="74">
        <f t="shared" si="18"/>
        <v>112</v>
      </c>
      <c r="T116" s="74">
        <f t="shared" si="18"/>
        <v>114</v>
      </c>
      <c r="U116" s="74">
        <f t="shared" si="18"/>
        <v>132</v>
      </c>
      <c r="V116" s="74">
        <f t="shared" si="18"/>
        <v>123</v>
      </c>
      <c r="W116" s="74">
        <f t="shared" si="18"/>
        <v>111</v>
      </c>
      <c r="X116" s="74">
        <f t="shared" si="18"/>
        <v>116</v>
      </c>
      <c r="Y116" s="74">
        <f t="shared" si="18"/>
        <v>106</v>
      </c>
      <c r="Z116" s="74">
        <f t="shared" si="18"/>
        <v>74</v>
      </c>
      <c r="AA116" s="74">
        <f t="shared" si="18"/>
        <v>76</v>
      </c>
      <c r="AB116" s="74">
        <f t="shared" si="18"/>
        <v>83</v>
      </c>
      <c r="AC116" s="74">
        <f t="shared" si="18"/>
        <v>115</v>
      </c>
      <c r="AD116" s="74">
        <f t="shared" si="18"/>
        <v>98</v>
      </c>
      <c r="AE116" s="74">
        <f t="shared" si="18"/>
        <v>97</v>
      </c>
      <c r="AF116" s="84">
        <f t="shared" si="18"/>
        <v>0</v>
      </c>
      <c r="AG116" s="4">
        <f t="shared" si="13"/>
        <v>2912</v>
      </c>
    </row>
    <row r="117" spans="1:33" ht="18.75" x14ac:dyDescent="0.25">
      <c r="A117" s="43" t="s">
        <v>59</v>
      </c>
      <c r="B117" s="7">
        <v>79</v>
      </c>
      <c r="C117" s="7">
        <v>63</v>
      </c>
      <c r="D117" s="7">
        <v>53</v>
      </c>
      <c r="E117" s="7">
        <v>77</v>
      </c>
      <c r="F117" s="7">
        <v>68</v>
      </c>
      <c r="G117" s="7">
        <v>55</v>
      </c>
      <c r="H117" s="7">
        <v>93</v>
      </c>
      <c r="I117" s="7">
        <v>79</v>
      </c>
      <c r="J117" s="7">
        <v>63</v>
      </c>
      <c r="K117" s="7">
        <v>53</v>
      </c>
      <c r="L117" s="7">
        <v>58</v>
      </c>
      <c r="M117" s="7">
        <v>45</v>
      </c>
      <c r="N117" s="7">
        <v>71</v>
      </c>
      <c r="O117" s="7">
        <v>93</v>
      </c>
      <c r="P117" s="7">
        <v>70</v>
      </c>
      <c r="Q117" s="7">
        <v>67</v>
      </c>
      <c r="R117" s="7">
        <v>68</v>
      </c>
      <c r="S117" s="7">
        <v>69</v>
      </c>
      <c r="T117" s="7">
        <v>80</v>
      </c>
      <c r="U117" s="7">
        <v>88</v>
      </c>
      <c r="V117" s="7">
        <v>89</v>
      </c>
      <c r="W117" s="7">
        <v>85</v>
      </c>
      <c r="X117" s="7">
        <v>84</v>
      </c>
      <c r="Y117" s="7">
        <v>72</v>
      </c>
      <c r="Z117" s="7">
        <v>48</v>
      </c>
      <c r="AA117" s="7">
        <v>53</v>
      </c>
      <c r="AB117" s="7">
        <v>57</v>
      </c>
      <c r="AC117" s="7">
        <v>92</v>
      </c>
      <c r="AD117" s="7">
        <v>72</v>
      </c>
      <c r="AE117" s="7">
        <v>76</v>
      </c>
      <c r="AF117" s="8"/>
      <c r="AG117" s="4">
        <f t="shared" si="13"/>
        <v>2120</v>
      </c>
    </row>
    <row r="118" spans="1:33" ht="19.5" hidden="1" customHeight="1" thickBot="1" x14ac:dyDescent="0.3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3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3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3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3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3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3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3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3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3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3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11+15</f>
        <v>26</v>
      </c>
      <c r="C129" s="13">
        <f>11+14</f>
        <v>25</v>
      </c>
      <c r="D129" s="13">
        <f>16+7</f>
        <v>23</v>
      </c>
      <c r="E129" s="13">
        <f>13+1+9</f>
        <v>23</v>
      </c>
      <c r="F129" s="13">
        <f>6+7</f>
        <v>13</v>
      </c>
      <c r="G129" s="13">
        <f>6+6</f>
        <v>12</v>
      </c>
      <c r="H129" s="13">
        <f>7+13</f>
        <v>20</v>
      </c>
      <c r="I129" s="13">
        <f>7+1+17</f>
        <v>25</v>
      </c>
      <c r="J129" s="13">
        <f>8+14</f>
        <v>22</v>
      </c>
      <c r="K129" s="13">
        <f>9+18</f>
        <v>27</v>
      </c>
      <c r="L129" s="13">
        <f>9+9</f>
        <v>18</v>
      </c>
      <c r="M129" s="13">
        <f>10+8</f>
        <v>18</v>
      </c>
      <c r="N129" s="13">
        <f>8+1+6</f>
        <v>15</v>
      </c>
      <c r="O129" s="13">
        <f>12+19</f>
        <v>31</v>
      </c>
      <c r="P129" s="13">
        <f>19+17</f>
        <v>36</v>
      </c>
      <c r="Q129" s="13">
        <f>21+15</f>
        <v>36</v>
      </c>
      <c r="R129" s="13">
        <f>18+12</f>
        <v>30</v>
      </c>
      <c r="S129" s="13">
        <f>19+24</f>
        <v>43</v>
      </c>
      <c r="T129" s="13">
        <f>21+13</f>
        <v>34</v>
      </c>
      <c r="U129" s="13">
        <f>19+25</f>
        <v>44</v>
      </c>
      <c r="V129" s="13">
        <f>16+18</f>
        <v>34</v>
      </c>
      <c r="W129" s="13">
        <f>14+12</f>
        <v>26</v>
      </c>
      <c r="X129" s="13">
        <f>18+14</f>
        <v>32</v>
      </c>
      <c r="Y129" s="13">
        <f>18+16</f>
        <v>34</v>
      </c>
      <c r="Z129" s="13">
        <f>12+14</f>
        <v>26</v>
      </c>
      <c r="AA129" s="13">
        <f>17+1+5</f>
        <v>23</v>
      </c>
      <c r="AB129" s="13">
        <f>14+1+11</f>
        <v>26</v>
      </c>
      <c r="AC129" s="13">
        <f>10+13</f>
        <v>23</v>
      </c>
      <c r="AD129" s="13">
        <f>8+18</f>
        <v>26</v>
      </c>
      <c r="AE129" s="13">
        <f>11+10</f>
        <v>21</v>
      </c>
      <c r="AF129" s="14"/>
      <c r="AG129" s="4">
        <f t="shared" si="19"/>
        <v>792</v>
      </c>
    </row>
    <row r="130" spans="1:35" ht="18.75" x14ac:dyDescent="0.25">
      <c r="A130" s="73" t="s">
        <v>109</v>
      </c>
      <c r="B130" s="74">
        <f t="shared" ref="B130:AF130" si="20">SUM(B131:B143)</f>
        <v>212</v>
      </c>
      <c r="C130" s="74">
        <f t="shared" si="20"/>
        <v>200</v>
      </c>
      <c r="D130" s="74">
        <f t="shared" si="20"/>
        <v>161</v>
      </c>
      <c r="E130" s="74">
        <f t="shared" si="20"/>
        <v>203</v>
      </c>
      <c r="F130" s="74">
        <f t="shared" si="20"/>
        <v>159</v>
      </c>
      <c r="G130" s="74">
        <f t="shared" si="20"/>
        <v>168</v>
      </c>
      <c r="H130" s="74">
        <f t="shared" si="20"/>
        <v>267</v>
      </c>
      <c r="I130" s="74">
        <f t="shared" si="20"/>
        <v>268</v>
      </c>
      <c r="J130" s="74">
        <f t="shared" si="20"/>
        <v>205</v>
      </c>
      <c r="K130" s="74">
        <f t="shared" si="20"/>
        <v>185</v>
      </c>
      <c r="L130" s="74">
        <f t="shared" si="20"/>
        <v>171</v>
      </c>
      <c r="M130" s="74">
        <f t="shared" si="20"/>
        <v>162</v>
      </c>
      <c r="N130" s="74">
        <f t="shared" si="20"/>
        <v>172</v>
      </c>
      <c r="O130" s="74">
        <f t="shared" si="20"/>
        <v>258</v>
      </c>
      <c r="P130" s="74">
        <f t="shared" si="20"/>
        <v>240</v>
      </c>
      <c r="Q130" s="74">
        <f t="shared" si="20"/>
        <v>181</v>
      </c>
      <c r="R130" s="74">
        <f t="shared" si="20"/>
        <v>190</v>
      </c>
      <c r="S130" s="74">
        <f t="shared" si="20"/>
        <v>232</v>
      </c>
      <c r="T130" s="74">
        <f t="shared" si="20"/>
        <v>244</v>
      </c>
      <c r="U130" s="74">
        <f t="shared" si="20"/>
        <v>264</v>
      </c>
      <c r="V130" s="74">
        <f t="shared" si="20"/>
        <v>268</v>
      </c>
      <c r="W130" s="74">
        <f t="shared" si="20"/>
        <v>187</v>
      </c>
      <c r="X130" s="74">
        <f t="shared" si="20"/>
        <v>195</v>
      </c>
      <c r="Y130" s="74">
        <f t="shared" si="20"/>
        <v>194</v>
      </c>
      <c r="Z130" s="74">
        <f t="shared" si="20"/>
        <v>163</v>
      </c>
      <c r="AA130" s="74">
        <f t="shared" si="20"/>
        <v>169</v>
      </c>
      <c r="AB130" s="74">
        <f t="shared" si="20"/>
        <v>191</v>
      </c>
      <c r="AC130" s="74">
        <f t="shared" si="20"/>
        <v>253</v>
      </c>
      <c r="AD130" s="74">
        <f t="shared" si="20"/>
        <v>202</v>
      </c>
      <c r="AE130" s="74">
        <f t="shared" si="20"/>
        <v>176</v>
      </c>
      <c r="AF130" s="84">
        <f t="shared" si="20"/>
        <v>0</v>
      </c>
      <c r="AG130" s="150">
        <f t="shared" si="19"/>
        <v>6140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67</v>
      </c>
      <c r="C131" s="7">
        <v>54</v>
      </c>
      <c r="D131" s="7">
        <v>42</v>
      </c>
      <c r="E131" s="7">
        <v>67</v>
      </c>
      <c r="F131" s="7">
        <v>63</v>
      </c>
      <c r="G131" s="7">
        <v>52</v>
      </c>
      <c r="H131" s="7">
        <v>89</v>
      </c>
      <c r="I131" s="7">
        <v>78</v>
      </c>
      <c r="J131" s="7">
        <v>58</v>
      </c>
      <c r="K131" s="7">
        <v>47</v>
      </c>
      <c r="L131" s="7">
        <v>50</v>
      </c>
      <c r="M131" s="7">
        <v>41</v>
      </c>
      <c r="N131" s="7">
        <v>61</v>
      </c>
      <c r="O131" s="7">
        <v>93</v>
      </c>
      <c r="P131" s="7">
        <v>70</v>
      </c>
      <c r="Q131" s="7">
        <v>56</v>
      </c>
      <c r="R131" s="7">
        <v>67</v>
      </c>
      <c r="S131" s="7">
        <v>69</v>
      </c>
      <c r="T131" s="7">
        <v>80</v>
      </c>
      <c r="U131" s="7">
        <v>80</v>
      </c>
      <c r="V131" s="7">
        <v>80</v>
      </c>
      <c r="W131" s="7">
        <v>58</v>
      </c>
      <c r="X131" s="7">
        <v>58</v>
      </c>
      <c r="Y131" s="7">
        <v>69</v>
      </c>
      <c r="Z131" s="7">
        <v>43</v>
      </c>
      <c r="AA131" s="7">
        <v>50</v>
      </c>
      <c r="AB131" s="7">
        <v>44</v>
      </c>
      <c r="AC131" s="7">
        <v>88</v>
      </c>
      <c r="AD131" s="7">
        <v>63</v>
      </c>
      <c r="AE131" s="7">
        <v>67</v>
      </c>
      <c r="AF131" s="8"/>
      <c r="AG131" s="4">
        <f t="shared" si="19"/>
        <v>1904</v>
      </c>
    </row>
    <row r="132" spans="1:35" ht="18.75" x14ac:dyDescent="0.25">
      <c r="A132" s="43" t="s">
        <v>23</v>
      </c>
      <c r="B132" s="7">
        <v>11</v>
      </c>
      <c r="C132" s="7">
        <v>15</v>
      </c>
      <c r="D132" s="7">
        <v>6</v>
      </c>
      <c r="E132" s="7">
        <v>3</v>
      </c>
      <c r="F132" s="7">
        <v>7</v>
      </c>
      <c r="G132" s="7">
        <v>10</v>
      </c>
      <c r="H132" s="7">
        <v>22</v>
      </c>
      <c r="I132" s="7">
        <v>20</v>
      </c>
      <c r="J132" s="7">
        <v>8</v>
      </c>
      <c r="K132" s="7">
        <v>11</v>
      </c>
      <c r="L132" s="7">
        <v>14</v>
      </c>
      <c r="M132" s="7">
        <v>8</v>
      </c>
      <c r="N132" s="7">
        <v>6</v>
      </c>
      <c r="O132" s="7">
        <v>13</v>
      </c>
      <c r="P132" s="7">
        <v>16</v>
      </c>
      <c r="Q132" s="7">
        <v>9</v>
      </c>
      <c r="R132" s="7">
        <v>11</v>
      </c>
      <c r="S132" s="7">
        <v>24</v>
      </c>
      <c r="T132" s="7">
        <v>12</v>
      </c>
      <c r="U132" s="7">
        <v>18</v>
      </c>
      <c r="V132" s="7">
        <v>11</v>
      </c>
      <c r="W132" s="7">
        <v>10</v>
      </c>
      <c r="X132" s="7">
        <v>11</v>
      </c>
      <c r="Y132" s="7">
        <v>16</v>
      </c>
      <c r="Z132" s="7">
        <v>13</v>
      </c>
      <c r="AA132" s="7">
        <v>7</v>
      </c>
      <c r="AB132" s="7">
        <v>11</v>
      </c>
      <c r="AC132" s="7">
        <v>12</v>
      </c>
      <c r="AD132" s="7">
        <v>14</v>
      </c>
      <c r="AE132" s="7">
        <v>10</v>
      </c>
      <c r="AF132" s="8"/>
      <c r="AG132" s="4">
        <f t="shared" si="19"/>
        <v>359</v>
      </c>
    </row>
    <row r="133" spans="1:35" ht="18.75" x14ac:dyDescent="0.25">
      <c r="A133" s="43" t="s">
        <v>24</v>
      </c>
      <c r="B133" s="7">
        <v>21</v>
      </c>
      <c r="C133" s="7">
        <v>13</v>
      </c>
      <c r="D133" s="7">
        <v>12</v>
      </c>
      <c r="E133" s="7">
        <v>9</v>
      </c>
      <c r="F133" s="7">
        <v>13</v>
      </c>
      <c r="G133" s="7">
        <v>10</v>
      </c>
      <c r="H133" s="7">
        <v>22</v>
      </c>
      <c r="I133" s="7">
        <v>19</v>
      </c>
      <c r="J133" s="7">
        <v>20</v>
      </c>
      <c r="K133" s="7">
        <v>11</v>
      </c>
      <c r="L133" s="7">
        <v>11</v>
      </c>
      <c r="M133" s="7">
        <v>9</v>
      </c>
      <c r="N133" s="7">
        <v>15</v>
      </c>
      <c r="O133" s="7">
        <v>17</v>
      </c>
      <c r="P133" s="7">
        <v>14</v>
      </c>
      <c r="Q133" s="7">
        <v>14</v>
      </c>
      <c r="R133" s="7">
        <v>16</v>
      </c>
      <c r="S133" s="7">
        <v>19</v>
      </c>
      <c r="T133" s="7">
        <v>21</v>
      </c>
      <c r="U133" s="7">
        <v>20</v>
      </c>
      <c r="V133" s="7">
        <v>18</v>
      </c>
      <c r="W133" s="7">
        <v>17</v>
      </c>
      <c r="X133" s="7">
        <v>15</v>
      </c>
      <c r="Y133" s="7">
        <v>9</v>
      </c>
      <c r="Z133" s="7">
        <v>8</v>
      </c>
      <c r="AA133" s="7">
        <v>9</v>
      </c>
      <c r="AB133" s="7">
        <v>12</v>
      </c>
      <c r="AC133" s="7">
        <v>19</v>
      </c>
      <c r="AD133" s="7">
        <v>17</v>
      </c>
      <c r="AE133" s="7">
        <v>15</v>
      </c>
      <c r="AF133" s="8"/>
      <c r="AG133" s="4">
        <f t="shared" si="19"/>
        <v>445</v>
      </c>
    </row>
    <row r="134" spans="1:35" ht="18.75" x14ac:dyDescent="0.25">
      <c r="A134" s="43" t="s">
        <v>25</v>
      </c>
      <c r="B134" s="7">
        <v>9</v>
      </c>
      <c r="C134" s="7">
        <v>12</v>
      </c>
      <c r="D134" s="7">
        <v>9</v>
      </c>
      <c r="E134" s="7">
        <v>14</v>
      </c>
      <c r="F134" s="7">
        <v>5</v>
      </c>
      <c r="G134" s="7">
        <f>1+13+2</f>
        <v>16</v>
      </c>
      <c r="H134" s="7">
        <v>15</v>
      </c>
      <c r="I134" s="7">
        <v>15</v>
      </c>
      <c r="J134" s="7">
        <f>8+1</f>
        <v>9</v>
      </c>
      <c r="K134" s="7">
        <f>1+10</f>
        <v>11</v>
      </c>
      <c r="L134" s="7">
        <f>11+2</f>
        <v>13</v>
      </c>
      <c r="M134" s="7">
        <f>12</f>
        <v>12</v>
      </c>
      <c r="N134" s="7">
        <f>7+1</f>
        <v>8</v>
      </c>
      <c r="O134" s="7">
        <v>17</v>
      </c>
      <c r="P134" s="7">
        <v>10</v>
      </c>
      <c r="Q134" s="7">
        <f>13+1</f>
        <v>14</v>
      </c>
      <c r="R134" s="7">
        <v>10</v>
      </c>
      <c r="S134" s="7">
        <f>1+15</f>
        <v>16</v>
      </c>
      <c r="T134" s="7">
        <v>13</v>
      </c>
      <c r="U134" s="7">
        <f>1+17</f>
        <v>18</v>
      </c>
      <c r="V134" s="7">
        <v>18</v>
      </c>
      <c r="W134" s="7">
        <v>14</v>
      </c>
      <c r="X134" s="7">
        <v>11</v>
      </c>
      <c r="Y134" s="7">
        <f>9+1</f>
        <v>10</v>
      </c>
      <c r="Z134" s="7">
        <v>8</v>
      </c>
      <c r="AA134" s="7">
        <f>12</f>
        <v>12</v>
      </c>
      <c r="AB134" s="7">
        <v>6</v>
      </c>
      <c r="AC134" s="7">
        <v>17</v>
      </c>
      <c r="AD134" s="7">
        <f>8+1</f>
        <v>9</v>
      </c>
      <c r="AE134" s="7">
        <v>9</v>
      </c>
      <c r="AF134" s="8"/>
      <c r="AG134" s="4">
        <f t="shared" ref="AG134:AG147" si="21">SUM(B134:AF134)</f>
        <v>360</v>
      </c>
    </row>
    <row r="135" spans="1:35" ht="18.75" x14ac:dyDescent="0.25">
      <c r="A135" s="43" t="s">
        <v>26</v>
      </c>
      <c r="B135" s="7">
        <v>15</v>
      </c>
      <c r="C135" s="7">
        <v>12</v>
      </c>
      <c r="D135" s="7">
        <v>14</v>
      </c>
      <c r="E135" s="7">
        <v>15</v>
      </c>
      <c r="F135" s="7">
        <v>16</v>
      </c>
      <c r="G135" s="7">
        <v>17</v>
      </c>
      <c r="H135" s="7">
        <v>18</v>
      </c>
      <c r="I135" s="7">
        <v>18</v>
      </c>
      <c r="J135" s="7">
        <v>14</v>
      </c>
      <c r="K135" s="7">
        <v>15</v>
      </c>
      <c r="L135" s="7">
        <v>14</v>
      </c>
      <c r="M135" s="7">
        <v>12</v>
      </c>
      <c r="N135" s="7">
        <v>7</v>
      </c>
      <c r="O135" s="7">
        <v>18</v>
      </c>
      <c r="P135" s="7">
        <v>16</v>
      </c>
      <c r="Q135" s="7">
        <v>3</v>
      </c>
      <c r="R135" s="7">
        <v>14</v>
      </c>
      <c r="S135" s="7">
        <v>12</v>
      </c>
      <c r="T135" s="7">
        <v>12</v>
      </c>
      <c r="U135" s="7">
        <v>13</v>
      </c>
      <c r="V135" s="7">
        <v>21</v>
      </c>
      <c r="W135" s="7">
        <v>15</v>
      </c>
      <c r="X135" s="7">
        <v>16</v>
      </c>
      <c r="Y135" s="7">
        <v>10</v>
      </c>
      <c r="Z135" s="7">
        <v>9</v>
      </c>
      <c r="AA135" s="7">
        <v>14</v>
      </c>
      <c r="AB135" s="7">
        <v>21</v>
      </c>
      <c r="AC135" s="7">
        <v>11</v>
      </c>
      <c r="AD135" s="7">
        <v>14</v>
      </c>
      <c r="AE135" s="7">
        <v>13</v>
      </c>
      <c r="AF135" s="8"/>
      <c r="AG135" s="4">
        <f t="shared" si="21"/>
        <v>419</v>
      </c>
    </row>
    <row r="136" spans="1:35" ht="18.75" x14ac:dyDescent="0.25">
      <c r="A136" s="43" t="s">
        <v>27</v>
      </c>
      <c r="B136" s="7">
        <v>54</v>
      </c>
      <c r="C136" s="7">
        <v>53</v>
      </c>
      <c r="D136" s="7">
        <v>34</v>
      </c>
      <c r="E136" s="7">
        <v>41</v>
      </c>
      <c r="F136" s="7">
        <v>26</v>
      </c>
      <c r="G136" s="7">
        <v>30</v>
      </c>
      <c r="H136" s="7">
        <v>48</v>
      </c>
      <c r="I136" s="7">
        <v>57</v>
      </c>
      <c r="J136" s="7">
        <v>42</v>
      </c>
      <c r="K136" s="7">
        <v>37</v>
      </c>
      <c r="L136" s="7">
        <v>23</v>
      </c>
      <c r="M136" s="7">
        <v>38</v>
      </c>
      <c r="N136" s="7">
        <v>35</v>
      </c>
      <c r="O136" s="7">
        <v>42</v>
      </c>
      <c r="P136" s="7">
        <v>45</v>
      </c>
      <c r="Q136" s="7">
        <v>34</v>
      </c>
      <c r="R136" s="7">
        <v>23</v>
      </c>
      <c r="S136" s="7">
        <v>28</v>
      </c>
      <c r="T136" s="7">
        <v>34</v>
      </c>
      <c r="U136" s="7">
        <v>45</v>
      </c>
      <c r="V136" s="7">
        <v>50</v>
      </c>
      <c r="W136" s="7">
        <v>30</v>
      </c>
      <c r="X136" s="7">
        <v>31</v>
      </c>
      <c r="Y136" s="7">
        <v>26</v>
      </c>
      <c r="Z136" s="7">
        <v>34</v>
      </c>
      <c r="AA136" s="7">
        <v>28</v>
      </c>
      <c r="AB136" s="7">
        <v>43</v>
      </c>
      <c r="AC136" s="7">
        <v>42</v>
      </c>
      <c r="AD136" s="7">
        <v>46</v>
      </c>
      <c r="AE136" s="7">
        <v>27</v>
      </c>
      <c r="AF136" s="8"/>
      <c r="AG136" s="4">
        <f t="shared" si="21"/>
        <v>1126</v>
      </c>
    </row>
    <row r="137" spans="1:35" ht="18.75" x14ac:dyDescent="0.25">
      <c r="A137" s="43" t="s">
        <v>28</v>
      </c>
      <c r="B137" s="7">
        <v>7</v>
      </c>
      <c r="C137" s="7">
        <v>6</v>
      </c>
      <c r="D137" s="7">
        <f>3+1</f>
        <v>4</v>
      </c>
      <c r="E137" s="7">
        <v>18</v>
      </c>
      <c r="F137" s="7">
        <v>10</v>
      </c>
      <c r="G137" s="7">
        <f>3+2</f>
        <v>5</v>
      </c>
      <c r="H137" s="7">
        <v>7</v>
      </c>
      <c r="I137" s="7">
        <v>15</v>
      </c>
      <c r="J137" s="7">
        <f>11+2</f>
        <v>13</v>
      </c>
      <c r="K137" s="7">
        <f>7+2</f>
        <v>9</v>
      </c>
      <c r="L137" s="7">
        <f>8+2</f>
        <v>10</v>
      </c>
      <c r="M137" s="7">
        <f>8+1</f>
        <v>9</v>
      </c>
      <c r="N137" s="7">
        <f>13+1</f>
        <v>14</v>
      </c>
      <c r="O137" s="7">
        <f>8+2</f>
        <v>10</v>
      </c>
      <c r="P137" s="7">
        <f>11+3</f>
        <v>14</v>
      </c>
      <c r="Q137" s="7">
        <v>4</v>
      </c>
      <c r="R137" s="7">
        <v>4</v>
      </c>
      <c r="S137" s="7">
        <v>8</v>
      </c>
      <c r="T137" s="7">
        <f>8+1</f>
        <v>9</v>
      </c>
      <c r="U137" s="7">
        <f>8+1</f>
        <v>9</v>
      </c>
      <c r="V137" s="7">
        <f>6+1</f>
        <v>7</v>
      </c>
      <c r="W137" s="7">
        <f>11+1</f>
        <v>12</v>
      </c>
      <c r="X137" s="7">
        <f>8+4</f>
        <v>12</v>
      </c>
      <c r="Y137" s="7">
        <v>6</v>
      </c>
      <c r="Z137" s="7">
        <v>7</v>
      </c>
      <c r="AA137" s="7">
        <f>8+1</f>
        <v>9</v>
      </c>
      <c r="AB137" s="7">
        <f>9+5</f>
        <v>14</v>
      </c>
      <c r="AC137" s="7">
        <v>11</v>
      </c>
      <c r="AD137" s="7">
        <f>7+1</f>
        <v>8</v>
      </c>
      <c r="AE137" s="7">
        <v>1</v>
      </c>
      <c r="AF137" s="8"/>
      <c r="AG137" s="4">
        <f t="shared" si="21"/>
        <v>272</v>
      </c>
    </row>
    <row r="138" spans="1:35" ht="18.75" x14ac:dyDescent="0.25">
      <c r="A138" s="43" t="s">
        <v>29</v>
      </c>
      <c r="B138" s="7">
        <v>3</v>
      </c>
      <c r="C138" s="7">
        <v>2</v>
      </c>
      <c r="D138" s="7">
        <v>8</v>
      </c>
      <c r="E138" s="7">
        <v>10</v>
      </c>
      <c r="F138" s="7">
        <v>4</v>
      </c>
      <c r="G138" s="7">
        <v>7</v>
      </c>
      <c r="H138" s="7">
        <v>10</v>
      </c>
      <c r="I138" s="7">
        <v>7</v>
      </c>
      <c r="J138" s="7">
        <v>9</v>
      </c>
      <c r="K138" s="7">
        <v>7</v>
      </c>
      <c r="L138" s="7">
        <v>13</v>
      </c>
      <c r="M138" s="7">
        <v>9</v>
      </c>
      <c r="N138" s="7">
        <v>8</v>
      </c>
      <c r="O138" s="7">
        <v>8</v>
      </c>
      <c r="P138" s="7">
        <v>10</v>
      </c>
      <c r="Q138" s="7">
        <v>8</v>
      </c>
      <c r="R138" s="7">
        <v>7</v>
      </c>
      <c r="S138" s="7">
        <v>5</v>
      </c>
      <c r="T138" s="7">
        <v>14</v>
      </c>
      <c r="U138" s="7">
        <v>9</v>
      </c>
      <c r="V138" s="7">
        <v>9</v>
      </c>
      <c r="W138" s="7">
        <v>6</v>
      </c>
      <c r="X138" s="7">
        <v>7</v>
      </c>
      <c r="Y138" s="7">
        <v>7</v>
      </c>
      <c r="Z138" s="7">
        <v>2</v>
      </c>
      <c r="AA138" s="7">
        <v>6</v>
      </c>
      <c r="AB138" s="7">
        <v>4</v>
      </c>
      <c r="AC138" s="7">
        <v>10</v>
      </c>
      <c r="AD138" s="7">
        <v>2</v>
      </c>
      <c r="AE138" s="7">
        <v>4</v>
      </c>
      <c r="AF138" s="8"/>
      <c r="AG138" s="4">
        <f t="shared" si="21"/>
        <v>215</v>
      </c>
    </row>
    <row r="139" spans="1:35" ht="18.75" x14ac:dyDescent="0.25">
      <c r="A139" s="41" t="s">
        <v>30</v>
      </c>
      <c r="B139" s="7"/>
      <c r="C139" s="7">
        <v>2</v>
      </c>
      <c r="D139" s="7">
        <f>1+1</f>
        <v>2</v>
      </c>
      <c r="E139" s="7">
        <v>1</v>
      </c>
      <c r="F139" s="7">
        <v>1</v>
      </c>
      <c r="G139" s="7">
        <f>3</f>
        <v>3</v>
      </c>
      <c r="H139" s="7">
        <f>2+1</f>
        <v>3</v>
      </c>
      <c r="I139" s="7">
        <v>2</v>
      </c>
      <c r="J139" s="7">
        <v>3</v>
      </c>
      <c r="K139" s="7">
        <f>3+1</f>
        <v>4</v>
      </c>
      <c r="L139" s="7">
        <v>2</v>
      </c>
      <c r="M139" s="7">
        <f>1+1</f>
        <v>2</v>
      </c>
      <c r="N139" s="7">
        <f>1+1</f>
        <v>2</v>
      </c>
      <c r="O139" s="7">
        <v>1</v>
      </c>
      <c r="P139" s="7">
        <f>3+1</f>
        <v>4</v>
      </c>
      <c r="Q139" s="7">
        <v>2</v>
      </c>
      <c r="R139" s="7">
        <v>4</v>
      </c>
      <c r="S139" s="7">
        <v>2</v>
      </c>
      <c r="T139" s="7">
        <f>6+1</f>
        <v>7</v>
      </c>
      <c r="U139" s="7">
        <f>2+1</f>
        <v>3</v>
      </c>
      <c r="V139" s="7">
        <f>6+2</f>
        <v>8</v>
      </c>
      <c r="W139" s="7">
        <f>3+2</f>
        <v>5</v>
      </c>
      <c r="X139" s="7">
        <f>1+1</f>
        <v>2</v>
      </c>
      <c r="Y139" s="7">
        <v>5</v>
      </c>
      <c r="Z139" s="7">
        <f>3+3</f>
        <v>6</v>
      </c>
      <c r="AA139" s="7">
        <f>1</f>
        <v>1</v>
      </c>
      <c r="AB139" s="7">
        <v>2</v>
      </c>
      <c r="AC139" s="7">
        <f>1+1</f>
        <v>2</v>
      </c>
      <c r="AD139" s="7">
        <v>2</v>
      </c>
      <c r="AE139" s="7">
        <v>3</v>
      </c>
      <c r="AF139" s="8"/>
      <c r="AG139" s="4">
        <f t="shared" si="21"/>
        <v>86</v>
      </c>
    </row>
    <row r="140" spans="1:35" ht="18.75" x14ac:dyDescent="0.25">
      <c r="A140" s="41" t="s">
        <v>31</v>
      </c>
      <c r="B140" s="7">
        <v>3</v>
      </c>
      <c r="C140" s="7">
        <v>3</v>
      </c>
      <c r="D140" s="7">
        <v>3</v>
      </c>
      <c r="E140" s="7"/>
      <c r="F140" s="7">
        <v>2</v>
      </c>
      <c r="G140" s="7"/>
      <c r="H140" s="7">
        <v>5</v>
      </c>
      <c r="I140" s="7">
        <v>4</v>
      </c>
      <c r="J140" s="7">
        <v>5</v>
      </c>
      <c r="K140" s="7">
        <v>1</v>
      </c>
      <c r="L140" s="7">
        <v>1</v>
      </c>
      <c r="M140" s="7">
        <v>3</v>
      </c>
      <c r="N140" s="7">
        <v>1</v>
      </c>
      <c r="O140" s="7">
        <v>1</v>
      </c>
      <c r="P140" s="7"/>
      <c r="Q140" s="7">
        <v>2</v>
      </c>
      <c r="R140" s="7">
        <v>1</v>
      </c>
      <c r="S140" s="7">
        <v>1</v>
      </c>
      <c r="T140" s="7">
        <v>3</v>
      </c>
      <c r="U140" s="7">
        <v>1</v>
      </c>
      <c r="V140" s="7">
        <v>6</v>
      </c>
      <c r="W140" s="7">
        <v>1</v>
      </c>
      <c r="X140" s="7">
        <v>5</v>
      </c>
      <c r="Y140" s="7">
        <v>1</v>
      </c>
      <c r="Z140" s="7">
        <v>2</v>
      </c>
      <c r="AA140" s="7">
        <v>5</v>
      </c>
      <c r="AB140" s="7">
        <v>1</v>
      </c>
      <c r="AC140" s="7">
        <v>7</v>
      </c>
      <c r="AD140" s="7">
        <v>1</v>
      </c>
      <c r="AE140" s="7">
        <v>4</v>
      </c>
      <c r="AF140" s="8"/>
      <c r="AG140" s="4">
        <f t="shared" si="21"/>
        <v>73</v>
      </c>
    </row>
    <row r="141" spans="1:35" ht="18.75" x14ac:dyDescent="0.25">
      <c r="A141" s="41" t="s">
        <v>32</v>
      </c>
      <c r="B141" s="7"/>
      <c r="C141" s="7">
        <v>1</v>
      </c>
      <c r="D141" s="7"/>
      <c r="E141" s="7">
        <v>1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>
        <v>1</v>
      </c>
      <c r="Q141" s="7"/>
      <c r="R141" s="7"/>
      <c r="S141" s="7"/>
      <c r="T141" s="7"/>
      <c r="U141" s="7"/>
      <c r="V141" s="7"/>
      <c r="W141" s="7"/>
      <c r="X141" s="7"/>
      <c r="Y141" s="7">
        <v>2</v>
      </c>
      <c r="Z141" s="7"/>
      <c r="AA141" s="7"/>
      <c r="AB141" s="7"/>
      <c r="AC141" s="7">
        <v>1</v>
      </c>
      <c r="AD141" s="7">
        <v>2</v>
      </c>
      <c r="AE141" s="7"/>
      <c r="AF141" s="8"/>
      <c r="AG141" s="4">
        <f t="shared" si="21"/>
        <v>8</v>
      </c>
    </row>
    <row r="142" spans="1:35" ht="18.75" x14ac:dyDescent="0.25">
      <c r="A142" s="43" t="s">
        <v>60</v>
      </c>
      <c r="B142" s="7">
        <f>1+1+1</f>
        <v>3</v>
      </c>
      <c r="C142" s="7">
        <f>1+1+1+2+1</f>
        <v>6</v>
      </c>
      <c r="D142" s="7">
        <f>1+2+1+1+1</f>
        <v>6</v>
      </c>
      <c r="E142" s="7">
        <f>1+1+1</f>
        <v>3</v>
      </c>
      <c r="F142" s="7">
        <f>1</f>
        <v>1</v>
      </c>
      <c r="G142" s="7">
        <f>2+1+1+1+1+1</f>
        <v>7</v>
      </c>
      <c r="H142" s="7">
        <f>1+1+2+2+1+2</f>
        <v>9</v>
      </c>
      <c r="I142" s="7">
        <f>1+1+1+1+1+1+1+1</f>
        <v>8</v>
      </c>
      <c r="J142" s="7">
        <f>1+1+1</f>
        <v>3</v>
      </c>
      <c r="K142" s="7">
        <f>2+1+1+1+1+1</f>
        <v>7</v>
      </c>
      <c r="L142" s="7">
        <f>2+1+1+1+1</f>
        <v>6</v>
      </c>
      <c r="M142" s="7">
        <f>1+1+1+1</f>
        <v>4</v>
      </c>
      <c r="N142" s="7">
        <f>1+1</f>
        <v>2</v>
      </c>
      <c r="O142" s="7">
        <f>1+1+1+1+1+1+1</f>
        <v>7</v>
      </c>
      <c r="P142" s="7">
        <f>2+2+1+1+1</f>
        <v>7</v>
      </c>
      <c r="Q142" s="7">
        <f>1+1+1</f>
        <v>3</v>
      </c>
      <c r="R142" s="7">
        <f>1+1+1</f>
        <v>3</v>
      </c>
      <c r="S142" s="7">
        <f>2+1+1+1</f>
        <v>5</v>
      </c>
      <c r="T142" s="7">
        <f>1+1+1+1+1</f>
        <v>5</v>
      </c>
      <c r="U142" s="7">
        <f>1+1+1+1</f>
        <v>4</v>
      </c>
      <c r="V142" s="7">
        <f>3+1+1+1+1+1</f>
        <v>8</v>
      </c>
      <c r="W142" s="7">
        <f>1+1+1</f>
        <v>3</v>
      </c>
      <c r="X142" s="7">
        <f>1+1+1</f>
        <v>3</v>
      </c>
      <c r="Y142" s="7">
        <f>1+2+1+2+1</f>
        <v>7</v>
      </c>
      <c r="Z142" s="7">
        <f>1+2+2+1+1</f>
        <v>7</v>
      </c>
      <c r="AA142" s="7">
        <f>1+1+1+1+1+1+1+1</f>
        <v>8</v>
      </c>
      <c r="AB142" s="7">
        <f>1+1+3+3+1+1</f>
        <v>10</v>
      </c>
      <c r="AC142" s="7">
        <f>1+9</f>
        <v>10</v>
      </c>
      <c r="AD142" s="7">
        <v>3</v>
      </c>
      <c r="AE142" s="7">
        <f>1+1+1</f>
        <v>3</v>
      </c>
      <c r="AF142" s="8"/>
      <c r="AG142" s="4">
        <f t="shared" si="21"/>
        <v>161</v>
      </c>
    </row>
    <row r="143" spans="1:35" ht="19.5" thickBot="1" x14ac:dyDescent="0.3">
      <c r="A143" s="75" t="s">
        <v>86</v>
      </c>
      <c r="B143" s="13">
        <f>6+13</f>
        <v>19</v>
      </c>
      <c r="C143" s="13">
        <f>10+11</f>
        <v>21</v>
      </c>
      <c r="D143" s="13">
        <f>15+6</f>
        <v>21</v>
      </c>
      <c r="E143" s="13">
        <f>11+1+9</f>
        <v>21</v>
      </c>
      <c r="F143" s="13">
        <f>5+6</f>
        <v>11</v>
      </c>
      <c r="G143" s="13">
        <f>6+5</f>
        <v>11</v>
      </c>
      <c r="H143" s="13">
        <f>7+12</f>
        <v>19</v>
      </c>
      <c r="I143" s="13">
        <f>7+1+17</f>
        <v>25</v>
      </c>
      <c r="J143" s="13">
        <f>7+14</f>
        <v>21</v>
      </c>
      <c r="K143" s="13">
        <f>9+16</f>
        <v>25</v>
      </c>
      <c r="L143" s="13">
        <f>7+7</f>
        <v>14</v>
      </c>
      <c r="M143" s="13">
        <f>8+7</f>
        <v>15</v>
      </c>
      <c r="N143" s="13">
        <f>7+1+5</f>
        <v>13</v>
      </c>
      <c r="O143" s="13">
        <f>19+12</f>
        <v>31</v>
      </c>
      <c r="P143" s="13">
        <f>16+17</f>
        <v>33</v>
      </c>
      <c r="Q143" s="13">
        <f>19+13</f>
        <v>32</v>
      </c>
      <c r="R143" s="13">
        <f>18+12</f>
        <v>30</v>
      </c>
      <c r="S143" s="13">
        <f>19+24</f>
        <v>43</v>
      </c>
      <c r="T143" s="13">
        <f>21+13</f>
        <v>34</v>
      </c>
      <c r="U143" s="13">
        <f>19+25</f>
        <v>44</v>
      </c>
      <c r="V143" s="13">
        <f>16+16</f>
        <v>32</v>
      </c>
      <c r="W143" s="13">
        <f>7+9</f>
        <v>16</v>
      </c>
      <c r="X143" s="13">
        <f>14+10</f>
        <v>24</v>
      </c>
      <c r="Y143" s="13">
        <f>15+11</f>
        <v>26</v>
      </c>
      <c r="Z143" s="13">
        <f>12+12</f>
        <v>24</v>
      </c>
      <c r="AA143" s="13">
        <f>14+1+5</f>
        <v>20</v>
      </c>
      <c r="AB143" s="13">
        <f>13+1+9</f>
        <v>23</v>
      </c>
      <c r="AC143" s="13">
        <f>10+13</f>
        <v>23</v>
      </c>
      <c r="AD143" s="13">
        <f>6+15</f>
        <v>21</v>
      </c>
      <c r="AE143" s="13">
        <f>10+10</f>
        <v>20</v>
      </c>
      <c r="AF143" s="14"/>
      <c r="AG143" s="108">
        <f t="shared" si="21"/>
        <v>712</v>
      </c>
    </row>
    <row r="144" spans="1:35" ht="19.5" thickBot="1" x14ac:dyDescent="0.3">
      <c r="A144" s="164" t="s">
        <v>89</v>
      </c>
      <c r="B144" s="165">
        <f t="shared" ref="B144:AD144" si="22">+B146+B156+B158+B167</f>
        <v>212</v>
      </c>
      <c r="C144" s="165">
        <f t="shared" si="22"/>
        <v>200</v>
      </c>
      <c r="D144" s="165">
        <f t="shared" si="22"/>
        <v>161</v>
      </c>
      <c r="E144" s="165">
        <f t="shared" si="22"/>
        <v>203</v>
      </c>
      <c r="F144" s="165">
        <f t="shared" si="22"/>
        <v>159</v>
      </c>
      <c r="G144" s="165">
        <f t="shared" si="22"/>
        <v>168</v>
      </c>
      <c r="H144" s="165">
        <f t="shared" si="22"/>
        <v>267</v>
      </c>
      <c r="I144" s="165">
        <f t="shared" si="22"/>
        <v>268</v>
      </c>
      <c r="J144" s="165">
        <f t="shared" si="22"/>
        <v>205</v>
      </c>
      <c r="K144" s="165">
        <f t="shared" si="22"/>
        <v>185</v>
      </c>
      <c r="L144" s="165">
        <f t="shared" si="22"/>
        <v>171</v>
      </c>
      <c r="M144" s="165">
        <f t="shared" si="22"/>
        <v>162</v>
      </c>
      <c r="N144" s="165">
        <f t="shared" si="22"/>
        <v>172</v>
      </c>
      <c r="O144" s="165">
        <f t="shared" si="22"/>
        <v>258</v>
      </c>
      <c r="P144" s="165">
        <f t="shared" si="22"/>
        <v>240</v>
      </c>
      <c r="Q144" s="165">
        <f t="shared" si="22"/>
        <v>181</v>
      </c>
      <c r="R144" s="165">
        <f t="shared" si="22"/>
        <v>190</v>
      </c>
      <c r="S144" s="165">
        <f t="shared" si="22"/>
        <v>232</v>
      </c>
      <c r="T144" s="165">
        <f t="shared" si="22"/>
        <v>244</v>
      </c>
      <c r="U144" s="165">
        <f t="shared" si="22"/>
        <v>264</v>
      </c>
      <c r="V144" s="165">
        <f t="shared" si="22"/>
        <v>268</v>
      </c>
      <c r="W144" s="165">
        <f t="shared" si="22"/>
        <v>187</v>
      </c>
      <c r="X144" s="165">
        <f t="shared" si="22"/>
        <v>195</v>
      </c>
      <c r="Y144" s="165">
        <f t="shared" si="22"/>
        <v>194</v>
      </c>
      <c r="Z144" s="165">
        <f t="shared" si="22"/>
        <v>163</v>
      </c>
      <c r="AA144" s="165">
        <f t="shared" si="22"/>
        <v>169</v>
      </c>
      <c r="AB144" s="165">
        <f t="shared" si="22"/>
        <v>191</v>
      </c>
      <c r="AC144" s="165">
        <f t="shared" si="22"/>
        <v>253</v>
      </c>
      <c r="AD144" s="165">
        <f t="shared" si="22"/>
        <v>202</v>
      </c>
      <c r="AE144" s="165">
        <f>+AE146+AE156+AE158+AE167</f>
        <v>176</v>
      </c>
      <c r="AF144" s="165">
        <f t="shared" ref="AF144" si="23">+AF146+AF156+AF158+AF167</f>
        <v>0</v>
      </c>
      <c r="AG144" s="116">
        <f t="shared" si="21"/>
        <v>6140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39</v>
      </c>
      <c r="C145" s="161">
        <f t="shared" si="24"/>
        <v>25</v>
      </c>
      <c r="D145" s="161">
        <f t="shared" si="24"/>
        <v>25</v>
      </c>
      <c r="E145" s="161">
        <f t="shared" si="24"/>
        <v>19</v>
      </c>
      <c r="F145" s="161">
        <f t="shared" si="24"/>
        <v>11</v>
      </c>
      <c r="G145" s="161">
        <f t="shared" si="24"/>
        <v>7</v>
      </c>
      <c r="H145" s="161">
        <f t="shared" si="24"/>
        <v>10</v>
      </c>
      <c r="I145" s="161">
        <f t="shared" si="24"/>
        <v>4</v>
      </c>
      <c r="J145" s="161">
        <f t="shared" si="24"/>
        <v>11</v>
      </c>
      <c r="K145" s="161">
        <f t="shared" si="24"/>
        <v>17</v>
      </c>
      <c r="L145" s="161">
        <f t="shared" si="24"/>
        <v>18</v>
      </c>
      <c r="M145" s="161">
        <f t="shared" si="24"/>
        <v>9</v>
      </c>
      <c r="N145" s="161">
        <f t="shared" si="24"/>
        <v>19</v>
      </c>
      <c r="O145" s="161">
        <f t="shared" si="24"/>
        <v>1</v>
      </c>
      <c r="P145" s="161">
        <f t="shared" si="24"/>
        <v>5</v>
      </c>
      <c r="Q145" s="161">
        <f t="shared" si="24"/>
        <v>30</v>
      </c>
      <c r="R145" s="161">
        <f t="shared" si="24"/>
        <v>3</v>
      </c>
      <c r="S145" s="161">
        <f t="shared" si="24"/>
        <v>1</v>
      </c>
      <c r="T145" s="161">
        <f t="shared" si="24"/>
        <v>3</v>
      </c>
      <c r="U145" s="161">
        <f t="shared" si="24"/>
        <v>24</v>
      </c>
      <c r="V145" s="161">
        <f t="shared" si="24"/>
        <v>24</v>
      </c>
      <c r="W145" s="161">
        <f t="shared" si="24"/>
        <v>89</v>
      </c>
      <c r="X145" s="161">
        <f t="shared" si="24"/>
        <v>55</v>
      </c>
      <c r="Y145" s="161">
        <f t="shared" si="24"/>
        <v>25</v>
      </c>
      <c r="Z145" s="161">
        <f t="shared" si="24"/>
        <v>18</v>
      </c>
      <c r="AA145" s="161">
        <f t="shared" si="24"/>
        <v>25</v>
      </c>
      <c r="AB145" s="161">
        <f t="shared" si="24"/>
        <v>29</v>
      </c>
      <c r="AC145" s="161">
        <f t="shared" si="24"/>
        <v>6</v>
      </c>
      <c r="AD145" s="161">
        <f t="shared" si="24"/>
        <v>28</v>
      </c>
      <c r="AE145" s="161">
        <f>+AE149+AE155+AE157+AE172</f>
        <v>16</v>
      </c>
      <c r="AF145" s="162">
        <f t="shared" ref="AF145" si="25">+AF149+AF155+AF157+AF172</f>
        <v>0</v>
      </c>
      <c r="AG145" s="163">
        <f t="shared" si="21"/>
        <v>596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7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1</v>
      </c>
      <c r="AE146" s="118">
        <f t="shared" si="26"/>
        <v>0</v>
      </c>
      <c r="AF146" s="119">
        <f t="shared" si="26"/>
        <v>0</v>
      </c>
      <c r="AG146" s="120">
        <f t="shared" si="26"/>
        <v>8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1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1</v>
      </c>
      <c r="AE148" s="126">
        <f t="shared" si="27"/>
        <v>0</v>
      </c>
      <c r="AF148" s="127">
        <f t="shared" si="27"/>
        <v>0</v>
      </c>
      <c r="AG148" s="128">
        <f t="shared" ref="AG148:AG223" si="28">SUM(B148:AF148)</f>
        <v>2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>
        <v>1</v>
      </c>
      <c r="AE151" s="29"/>
      <c r="AF151" s="21"/>
      <c r="AG151" s="4">
        <f t="shared" si="28"/>
        <v>1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>
        <v>1</v>
      </c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1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>
        <v>6</v>
      </c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6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210</v>
      </c>
      <c r="C156" s="56">
        <v>198</v>
      </c>
      <c r="D156" s="56">
        <v>159</v>
      </c>
      <c r="E156" s="56">
        <v>203</v>
      </c>
      <c r="F156" s="56">
        <v>158</v>
      </c>
      <c r="G156" s="56">
        <v>164</v>
      </c>
      <c r="H156" s="56">
        <v>265</v>
      </c>
      <c r="I156" s="56">
        <v>268</v>
      </c>
      <c r="J156" s="56">
        <v>205</v>
      </c>
      <c r="K156" s="56">
        <v>184</v>
      </c>
      <c r="L156" s="56">
        <v>170</v>
      </c>
      <c r="M156" s="56">
        <v>160</v>
      </c>
      <c r="N156" s="56">
        <v>172</v>
      </c>
      <c r="O156" s="56">
        <v>256</v>
      </c>
      <c r="P156" s="56">
        <v>240</v>
      </c>
      <c r="Q156" s="56">
        <v>181</v>
      </c>
      <c r="R156" s="56">
        <v>190</v>
      </c>
      <c r="S156" s="56">
        <v>231</v>
      </c>
      <c r="T156" s="56">
        <v>244</v>
      </c>
      <c r="U156" s="56">
        <v>256</v>
      </c>
      <c r="V156" s="56">
        <v>261</v>
      </c>
      <c r="W156" s="56">
        <v>186</v>
      </c>
      <c r="X156" s="56">
        <v>193</v>
      </c>
      <c r="Y156" s="56">
        <v>193</v>
      </c>
      <c r="Z156" s="56">
        <v>161</v>
      </c>
      <c r="AA156" s="56">
        <v>168</v>
      </c>
      <c r="AB156" s="56">
        <v>187</v>
      </c>
      <c r="AC156" s="56">
        <v>250</v>
      </c>
      <c r="AD156" s="56">
        <v>200</v>
      </c>
      <c r="AE156" s="56">
        <v>175</v>
      </c>
      <c r="AF156" s="85"/>
      <c r="AG156" s="95">
        <f t="shared" si="28"/>
        <v>6088</v>
      </c>
      <c r="AH156" s="2" t="s">
        <v>84</v>
      </c>
    </row>
    <row r="157" spans="1:34" ht="19.5" thickBot="1" x14ac:dyDescent="0.3">
      <c r="A157" s="75" t="s">
        <v>1</v>
      </c>
      <c r="B157" s="13">
        <v>37</v>
      </c>
      <c r="C157" s="13">
        <v>25</v>
      </c>
      <c r="D157" s="13">
        <v>25</v>
      </c>
      <c r="E157" s="13">
        <v>19</v>
      </c>
      <c r="F157" s="13">
        <v>11</v>
      </c>
      <c r="G157" s="13">
        <v>7</v>
      </c>
      <c r="H157" s="13">
        <v>10</v>
      </c>
      <c r="I157" s="13">
        <v>4</v>
      </c>
      <c r="J157" s="13">
        <v>11</v>
      </c>
      <c r="K157" s="13">
        <v>17</v>
      </c>
      <c r="L157" s="13">
        <v>17</v>
      </c>
      <c r="M157" s="13">
        <v>9</v>
      </c>
      <c r="N157" s="13">
        <v>19</v>
      </c>
      <c r="O157" s="13">
        <v>1</v>
      </c>
      <c r="P157" s="13">
        <v>5</v>
      </c>
      <c r="Q157" s="13">
        <v>30</v>
      </c>
      <c r="R157" s="13">
        <v>3</v>
      </c>
      <c r="S157" s="13">
        <v>1</v>
      </c>
      <c r="T157" s="13">
        <v>3</v>
      </c>
      <c r="U157" s="13">
        <v>23</v>
      </c>
      <c r="V157" s="13">
        <v>24</v>
      </c>
      <c r="W157" s="13">
        <v>89</v>
      </c>
      <c r="X157" s="13">
        <v>55</v>
      </c>
      <c r="Y157" s="13">
        <v>25</v>
      </c>
      <c r="Z157" s="13">
        <v>18</v>
      </c>
      <c r="AA157" s="13">
        <v>25</v>
      </c>
      <c r="AB157" s="13">
        <v>29</v>
      </c>
      <c r="AC157" s="13">
        <v>6</v>
      </c>
      <c r="AD157" s="13">
        <v>28</v>
      </c>
      <c r="AE157" s="13">
        <v>16</v>
      </c>
      <c r="AF157" s="14"/>
      <c r="AG157" s="157">
        <f t="shared" si="28"/>
        <v>592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1</v>
      </c>
      <c r="C158" s="122">
        <f t="shared" si="29"/>
        <v>0</v>
      </c>
      <c r="D158" s="122">
        <f t="shared" si="29"/>
        <v>0</v>
      </c>
      <c r="E158" s="122">
        <f t="shared" si="29"/>
        <v>0</v>
      </c>
      <c r="F158" s="122">
        <f t="shared" si="29"/>
        <v>1</v>
      </c>
      <c r="G158" s="122">
        <f t="shared" si="29"/>
        <v>3</v>
      </c>
      <c r="H158" s="122">
        <f t="shared" si="29"/>
        <v>2</v>
      </c>
      <c r="I158" s="122">
        <f t="shared" si="29"/>
        <v>0</v>
      </c>
      <c r="J158" s="122">
        <f t="shared" si="29"/>
        <v>0</v>
      </c>
      <c r="K158" s="122">
        <f t="shared" si="29"/>
        <v>0</v>
      </c>
      <c r="L158" s="122">
        <f t="shared" si="29"/>
        <v>0</v>
      </c>
      <c r="M158" s="122">
        <f t="shared" si="29"/>
        <v>1</v>
      </c>
      <c r="N158" s="122">
        <f t="shared" si="29"/>
        <v>0</v>
      </c>
      <c r="O158" s="122">
        <f t="shared" si="29"/>
        <v>1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1</v>
      </c>
      <c r="T158" s="122">
        <f t="shared" si="29"/>
        <v>0</v>
      </c>
      <c r="U158" s="122">
        <f t="shared" si="29"/>
        <v>1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1</v>
      </c>
      <c r="Z158" s="122">
        <f t="shared" si="29"/>
        <v>1</v>
      </c>
      <c r="AA158" s="122">
        <f t="shared" si="29"/>
        <v>1</v>
      </c>
      <c r="AB158" s="122">
        <f t="shared" si="29"/>
        <v>3</v>
      </c>
      <c r="AC158" s="122">
        <f t="shared" si="29"/>
        <v>2</v>
      </c>
      <c r="AD158" s="122">
        <f t="shared" si="29"/>
        <v>1</v>
      </c>
      <c r="AE158" s="122">
        <f t="shared" si="29"/>
        <v>0</v>
      </c>
      <c r="AF158" s="123">
        <f t="shared" si="29"/>
        <v>0</v>
      </c>
      <c r="AG158" s="124">
        <f t="shared" si="28"/>
        <v>20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>
        <v>2</v>
      </c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2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>
        <v>1</v>
      </c>
      <c r="Z160" s="29">
        <v>1</v>
      </c>
      <c r="AA160" s="29">
        <v>1</v>
      </c>
      <c r="AB160" s="29">
        <v>2</v>
      </c>
      <c r="AC160" s="29"/>
      <c r="AD160" s="29"/>
      <c r="AE160" s="29"/>
      <c r="AF160" s="21"/>
      <c r="AG160" s="4">
        <f t="shared" si="28"/>
        <v>5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>
        <v>1</v>
      </c>
      <c r="T161" s="29"/>
      <c r="U161" s="29"/>
      <c r="V161" s="29"/>
      <c r="W161" s="29"/>
      <c r="X161" s="29"/>
      <c r="Y161" s="29"/>
      <c r="Z161" s="29"/>
      <c r="AA161" s="29"/>
      <c r="AB161" s="29"/>
      <c r="AC161" s="29">
        <v>1</v>
      </c>
      <c r="AD161" s="29"/>
      <c r="AE161" s="29"/>
      <c r="AF161" s="21"/>
      <c r="AG161" s="4">
        <f t="shared" si="28"/>
        <v>2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>
        <v>1</v>
      </c>
      <c r="G162" s="29">
        <v>3</v>
      </c>
      <c r="H162" s="29"/>
      <c r="I162" s="29"/>
      <c r="J162" s="29"/>
      <c r="K162" s="29"/>
      <c r="L162" s="29"/>
      <c r="M162" s="29">
        <v>1</v>
      </c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>
        <v>1</v>
      </c>
      <c r="AC162" s="29"/>
      <c r="AD162" s="29">
        <v>1</v>
      </c>
      <c r="AE162" s="29"/>
      <c r="AF162" s="21"/>
      <c r="AG162" s="4">
        <f t="shared" si="28"/>
        <v>7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>
        <v>1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>
        <v>1</v>
      </c>
      <c r="P165" s="29"/>
      <c r="Q165" s="29"/>
      <c r="R165" s="29"/>
      <c r="S165" s="29"/>
      <c r="T165" s="29"/>
      <c r="U165" s="29">
        <v>1</v>
      </c>
      <c r="V165" s="29"/>
      <c r="W165" s="29"/>
      <c r="X165" s="29"/>
      <c r="Y165" s="29"/>
      <c r="Z165" s="29"/>
      <c r="AA165" s="29"/>
      <c r="AB165" s="29"/>
      <c r="AC165" s="29">
        <v>1</v>
      </c>
      <c r="AD165" s="29"/>
      <c r="AE165" s="29"/>
      <c r="AF165" s="21"/>
      <c r="AG165" s="4">
        <f t="shared" si="28"/>
        <v>4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1</v>
      </c>
      <c r="C167" s="56">
        <f t="shared" si="30"/>
        <v>2</v>
      </c>
      <c r="D167" s="56">
        <f t="shared" si="30"/>
        <v>2</v>
      </c>
      <c r="E167" s="56">
        <f t="shared" si="30"/>
        <v>0</v>
      </c>
      <c r="F167" s="56">
        <f t="shared" si="30"/>
        <v>0</v>
      </c>
      <c r="G167" s="56">
        <f t="shared" si="30"/>
        <v>1</v>
      </c>
      <c r="H167" s="56">
        <f t="shared" si="30"/>
        <v>0</v>
      </c>
      <c r="I167" s="56">
        <f t="shared" si="30"/>
        <v>0</v>
      </c>
      <c r="J167" s="56">
        <f t="shared" si="30"/>
        <v>0</v>
      </c>
      <c r="K167" s="56">
        <f t="shared" si="30"/>
        <v>1</v>
      </c>
      <c r="L167" s="56">
        <f t="shared" si="30"/>
        <v>1</v>
      </c>
      <c r="M167" s="56">
        <f t="shared" si="30"/>
        <v>1</v>
      </c>
      <c r="N167" s="56">
        <f t="shared" si="30"/>
        <v>0</v>
      </c>
      <c r="O167" s="56">
        <f t="shared" si="30"/>
        <v>1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7</v>
      </c>
      <c r="V167" s="56">
        <f t="shared" si="30"/>
        <v>0</v>
      </c>
      <c r="W167" s="56">
        <f t="shared" si="30"/>
        <v>1</v>
      </c>
      <c r="X167" s="56">
        <f t="shared" si="30"/>
        <v>2</v>
      </c>
      <c r="Y167" s="56">
        <f t="shared" si="30"/>
        <v>0</v>
      </c>
      <c r="Z167" s="56">
        <f t="shared" si="30"/>
        <v>1</v>
      </c>
      <c r="AA167" s="56">
        <f t="shared" si="30"/>
        <v>0</v>
      </c>
      <c r="AB167" s="56">
        <f t="shared" si="30"/>
        <v>1</v>
      </c>
      <c r="AC167" s="56">
        <f t="shared" si="30"/>
        <v>1</v>
      </c>
      <c r="AD167" s="56">
        <f t="shared" si="30"/>
        <v>0</v>
      </c>
      <c r="AE167" s="56">
        <f t="shared" si="30"/>
        <v>1</v>
      </c>
      <c r="AF167" s="85">
        <f t="shared" si="30"/>
        <v>0</v>
      </c>
      <c r="AG167" s="95">
        <f t="shared" si="28"/>
        <v>24</v>
      </c>
    </row>
    <row r="168" spans="1:34" ht="18.75" x14ac:dyDescent="0.25">
      <c r="A168" s="51" t="s">
        <v>30</v>
      </c>
      <c r="B168" s="29"/>
      <c r="C168" s="29">
        <v>1</v>
      </c>
      <c r="D168" s="29">
        <v>1</v>
      </c>
      <c r="E168" s="29"/>
      <c r="F168" s="29"/>
      <c r="G168" s="29">
        <v>1</v>
      </c>
      <c r="H168" s="29"/>
      <c r="I168" s="29"/>
      <c r="J168" s="29"/>
      <c r="K168" s="29">
        <v>1</v>
      </c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>
        <v>1</v>
      </c>
      <c r="X168" s="29">
        <v>1</v>
      </c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6</v>
      </c>
    </row>
    <row r="169" spans="1:34" ht="18.75" x14ac:dyDescent="0.25">
      <c r="A169" s="51" t="s">
        <v>31</v>
      </c>
      <c r="B169" s="29"/>
      <c r="C169" s="29">
        <v>1</v>
      </c>
      <c r="D169" s="29">
        <v>1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>
        <v>1</v>
      </c>
      <c r="Y169" s="29"/>
      <c r="Z169" s="29">
        <v>1</v>
      </c>
      <c r="AA169" s="29"/>
      <c r="AB169" s="29"/>
      <c r="AC169" s="29"/>
      <c r="AD169" s="29"/>
      <c r="AE169" s="29"/>
      <c r="AF169" s="21"/>
      <c r="AG169" s="4">
        <f t="shared" si="28"/>
        <v>4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>
        <v>1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>
        <v>1</v>
      </c>
      <c r="M171" s="30">
        <v>1</v>
      </c>
      <c r="N171" s="30"/>
      <c r="O171" s="30">
        <v>1</v>
      </c>
      <c r="P171" s="30"/>
      <c r="Q171" s="30"/>
      <c r="R171" s="30"/>
      <c r="S171" s="30"/>
      <c r="T171" s="30"/>
      <c r="U171" s="30">
        <v>7</v>
      </c>
      <c r="V171" s="30"/>
      <c r="W171" s="30"/>
      <c r="X171" s="30"/>
      <c r="Y171" s="30"/>
      <c r="Z171" s="30"/>
      <c r="AA171" s="30"/>
      <c r="AB171" s="30">
        <v>1</v>
      </c>
      <c r="AC171" s="30">
        <v>1</v>
      </c>
      <c r="AD171" s="30"/>
      <c r="AE171" s="30">
        <v>1</v>
      </c>
      <c r="AF171" s="22"/>
      <c r="AG171" s="28">
        <f t="shared" si="28"/>
        <v>14</v>
      </c>
    </row>
    <row r="172" spans="1:34" ht="19.5" thickBot="1" x14ac:dyDescent="0.3">
      <c r="A172" s="158" t="s">
        <v>128</v>
      </c>
      <c r="B172" s="151">
        <v>2</v>
      </c>
      <c r="C172" s="151"/>
      <c r="D172" s="151"/>
      <c r="E172" s="151"/>
      <c r="F172" s="151"/>
      <c r="G172" s="151"/>
      <c r="H172" s="151"/>
      <c r="I172" s="151"/>
      <c r="J172" s="151"/>
      <c r="K172" s="151"/>
      <c r="L172" s="151">
        <v>1</v>
      </c>
      <c r="M172" s="151"/>
      <c r="N172" s="151"/>
      <c r="O172" s="151"/>
      <c r="P172" s="151"/>
      <c r="Q172" s="151"/>
      <c r="R172" s="151"/>
      <c r="S172" s="151"/>
      <c r="T172" s="151"/>
      <c r="U172" s="151">
        <v>1</v>
      </c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4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1</v>
      </c>
      <c r="E173" s="15">
        <v>0</v>
      </c>
      <c r="F173" s="15">
        <v>1</v>
      </c>
      <c r="G173" s="15">
        <v>1</v>
      </c>
      <c r="H173" s="15">
        <v>0</v>
      </c>
      <c r="I173" s="15">
        <v>0</v>
      </c>
      <c r="J173" s="15">
        <v>0</v>
      </c>
      <c r="K173" s="15">
        <f>1+1</f>
        <v>2</v>
      </c>
      <c r="L173" s="15">
        <v>1</v>
      </c>
      <c r="M173" s="15">
        <v>1</v>
      </c>
      <c r="N173" s="15">
        <v>0</v>
      </c>
      <c r="O173" s="15">
        <v>0</v>
      </c>
      <c r="P173" s="15">
        <v>1</v>
      </c>
      <c r="Q173" s="15">
        <v>1</v>
      </c>
      <c r="R173" s="15">
        <v>1</v>
      </c>
      <c r="S173" s="15">
        <v>0</v>
      </c>
      <c r="T173" s="15">
        <v>1</v>
      </c>
      <c r="U173" s="15">
        <v>1</v>
      </c>
      <c r="V173" s="15">
        <v>1</v>
      </c>
      <c r="W173" s="15">
        <v>1</v>
      </c>
      <c r="X173" s="15">
        <v>0</v>
      </c>
      <c r="Y173" s="15">
        <v>0</v>
      </c>
      <c r="Z173" s="15">
        <v>2</v>
      </c>
      <c r="AA173" s="15">
        <v>0</v>
      </c>
      <c r="AB173" s="15">
        <v>2</v>
      </c>
      <c r="AC173" s="15">
        <v>0</v>
      </c>
      <c r="AD173" s="15">
        <v>1</v>
      </c>
      <c r="AE173" s="15">
        <v>0</v>
      </c>
      <c r="AF173" s="23"/>
      <c r="AG173" s="5">
        <f t="shared" si="28"/>
        <v>19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7</v>
      </c>
      <c r="C174" s="16">
        <f t="shared" ref="C174:AF174" si="31">SUM(C175:C176)</f>
        <v>11</v>
      </c>
      <c r="D174" s="16">
        <f t="shared" si="31"/>
        <v>1</v>
      </c>
      <c r="E174" s="16">
        <f t="shared" si="31"/>
        <v>5</v>
      </c>
      <c r="F174" s="16">
        <f t="shared" si="31"/>
        <v>6</v>
      </c>
      <c r="G174" s="16">
        <f t="shared" si="31"/>
        <v>2</v>
      </c>
      <c r="H174" s="16">
        <f t="shared" si="31"/>
        <v>7</v>
      </c>
      <c r="I174" s="16">
        <f t="shared" si="31"/>
        <v>13</v>
      </c>
      <c r="J174" s="16">
        <f t="shared" si="31"/>
        <v>9</v>
      </c>
      <c r="K174" s="16">
        <f t="shared" si="31"/>
        <v>4</v>
      </c>
      <c r="L174" s="16">
        <f t="shared" si="31"/>
        <v>4</v>
      </c>
      <c r="M174" s="16">
        <f t="shared" si="31"/>
        <v>7</v>
      </c>
      <c r="N174" s="16">
        <f t="shared" si="31"/>
        <v>1</v>
      </c>
      <c r="O174" s="16">
        <f t="shared" si="31"/>
        <v>5</v>
      </c>
      <c r="P174" s="16">
        <f t="shared" si="31"/>
        <v>10</v>
      </c>
      <c r="Q174" s="16">
        <f t="shared" si="31"/>
        <v>5</v>
      </c>
      <c r="R174" s="16">
        <f t="shared" si="31"/>
        <v>3</v>
      </c>
      <c r="S174" s="16">
        <f t="shared" si="31"/>
        <v>11</v>
      </c>
      <c r="T174" s="16">
        <f t="shared" si="31"/>
        <v>1</v>
      </c>
      <c r="U174" s="16">
        <f t="shared" si="31"/>
        <v>6</v>
      </c>
      <c r="V174" s="16">
        <f t="shared" si="31"/>
        <v>7</v>
      </c>
      <c r="W174" s="16">
        <f t="shared" si="31"/>
        <v>8</v>
      </c>
      <c r="X174" s="16">
        <f t="shared" si="31"/>
        <v>10</v>
      </c>
      <c r="Y174" s="16">
        <f t="shared" si="31"/>
        <v>4</v>
      </c>
      <c r="Z174" s="16">
        <f t="shared" si="31"/>
        <v>4</v>
      </c>
      <c r="AA174" s="16">
        <f t="shared" si="31"/>
        <v>4</v>
      </c>
      <c r="AB174" s="16">
        <f t="shared" si="31"/>
        <v>2</v>
      </c>
      <c r="AC174" s="16">
        <f t="shared" si="31"/>
        <v>7</v>
      </c>
      <c r="AD174" s="16">
        <f t="shared" si="31"/>
        <v>7</v>
      </c>
      <c r="AE174" s="16">
        <f t="shared" si="31"/>
        <v>2</v>
      </c>
      <c r="AF174" s="24">
        <f t="shared" si="31"/>
        <v>0</v>
      </c>
      <c r="AG174" s="6">
        <f t="shared" si="28"/>
        <v>173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2</v>
      </c>
      <c r="D175" s="15">
        <v>0</v>
      </c>
      <c r="E175" s="15">
        <v>0</v>
      </c>
      <c r="F175" s="15">
        <v>2</v>
      </c>
      <c r="G175" s="15">
        <v>2</v>
      </c>
      <c r="H175" s="15">
        <v>0</v>
      </c>
      <c r="I175" s="15">
        <v>1</v>
      </c>
      <c r="J175" s="15">
        <v>3</v>
      </c>
      <c r="K175" s="15">
        <v>2</v>
      </c>
      <c r="L175" s="15">
        <v>0</v>
      </c>
      <c r="M175" s="15">
        <v>1</v>
      </c>
      <c r="N175" s="15">
        <v>0</v>
      </c>
      <c r="O175" s="15">
        <v>0</v>
      </c>
      <c r="P175" s="15">
        <v>1</v>
      </c>
      <c r="Q175" s="15">
        <v>1</v>
      </c>
      <c r="R175" s="15">
        <v>0</v>
      </c>
      <c r="S175" s="15">
        <v>1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23"/>
      <c r="AG175" s="5">
        <f t="shared" si="28"/>
        <v>19</v>
      </c>
      <c r="AH175" s="2" t="s">
        <v>138</v>
      </c>
    </row>
    <row r="176" spans="1:34" ht="19.5" thickBot="1" x14ac:dyDescent="0.3">
      <c r="A176" s="104" t="s">
        <v>119</v>
      </c>
      <c r="B176" s="101">
        <v>6</v>
      </c>
      <c r="C176" s="101">
        <v>9</v>
      </c>
      <c r="D176" s="101">
        <v>1</v>
      </c>
      <c r="E176" s="101">
        <v>5</v>
      </c>
      <c r="F176" s="101">
        <v>4</v>
      </c>
      <c r="G176" s="101">
        <v>0</v>
      </c>
      <c r="H176" s="101">
        <v>7</v>
      </c>
      <c r="I176" s="101">
        <v>12</v>
      </c>
      <c r="J176" s="101">
        <v>6</v>
      </c>
      <c r="K176" s="101">
        <v>2</v>
      </c>
      <c r="L176" s="101">
        <v>4</v>
      </c>
      <c r="M176" s="101">
        <v>6</v>
      </c>
      <c r="N176" s="101">
        <v>1</v>
      </c>
      <c r="O176" s="101">
        <v>5</v>
      </c>
      <c r="P176" s="101">
        <v>9</v>
      </c>
      <c r="Q176" s="101">
        <v>4</v>
      </c>
      <c r="R176" s="101">
        <v>3</v>
      </c>
      <c r="S176" s="101">
        <v>10</v>
      </c>
      <c r="T176" s="101">
        <v>1</v>
      </c>
      <c r="U176" s="101">
        <v>6</v>
      </c>
      <c r="V176" s="101">
        <v>6</v>
      </c>
      <c r="W176" s="101">
        <v>8</v>
      </c>
      <c r="X176" s="101">
        <v>10</v>
      </c>
      <c r="Y176" s="101">
        <v>3</v>
      </c>
      <c r="Z176" s="101">
        <v>4</v>
      </c>
      <c r="AA176" s="101">
        <v>4</v>
      </c>
      <c r="AB176" s="101">
        <v>2</v>
      </c>
      <c r="AC176" s="101">
        <v>7</v>
      </c>
      <c r="AD176" s="101">
        <v>7</v>
      </c>
      <c r="AE176" s="101">
        <v>2</v>
      </c>
      <c r="AF176" s="102"/>
      <c r="AG176" s="103">
        <f t="shared" si="28"/>
        <v>154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25</v>
      </c>
      <c r="C179" s="220">
        <f t="shared" si="32"/>
        <v>15</v>
      </c>
      <c r="D179" s="220">
        <f t="shared" si="32"/>
        <v>13</v>
      </c>
      <c r="E179" s="220">
        <f t="shared" si="32"/>
        <v>18</v>
      </c>
      <c r="F179" s="220">
        <f t="shared" si="32"/>
        <v>10</v>
      </c>
      <c r="G179" s="220">
        <f t="shared" si="32"/>
        <v>12</v>
      </c>
      <c r="H179" s="220">
        <f t="shared" si="32"/>
        <v>17</v>
      </c>
      <c r="I179" s="220">
        <f t="shared" si="32"/>
        <v>24</v>
      </c>
      <c r="J179" s="220">
        <f t="shared" si="32"/>
        <v>21</v>
      </c>
      <c r="K179" s="220">
        <f t="shared" si="32"/>
        <v>18</v>
      </c>
      <c r="L179" s="220">
        <f t="shared" si="32"/>
        <v>16</v>
      </c>
      <c r="M179" s="220">
        <f t="shared" si="32"/>
        <v>17</v>
      </c>
      <c r="N179" s="220">
        <f t="shared" si="32"/>
        <v>17</v>
      </c>
      <c r="O179" s="220">
        <f t="shared" si="32"/>
        <v>12</v>
      </c>
      <c r="P179" s="220">
        <f t="shared" si="32"/>
        <v>22</v>
      </c>
      <c r="Q179" s="220">
        <f t="shared" si="32"/>
        <v>12</v>
      </c>
      <c r="R179" s="220">
        <f t="shared" si="32"/>
        <v>27</v>
      </c>
      <c r="S179" s="220">
        <f t="shared" si="32"/>
        <v>47</v>
      </c>
      <c r="T179" s="220">
        <f t="shared" si="32"/>
        <v>27</v>
      </c>
      <c r="U179" s="220">
        <f t="shared" si="32"/>
        <v>31</v>
      </c>
      <c r="V179" s="220">
        <f t="shared" si="32"/>
        <v>16</v>
      </c>
      <c r="W179" s="220">
        <f t="shared" si="32"/>
        <v>2</v>
      </c>
      <c r="X179" s="220">
        <f t="shared" si="32"/>
        <v>13</v>
      </c>
      <c r="Y179" s="220">
        <f t="shared" si="32"/>
        <v>23</v>
      </c>
      <c r="Z179" s="220">
        <f t="shared" si="32"/>
        <v>9</v>
      </c>
      <c r="AA179" s="220">
        <f t="shared" si="32"/>
        <v>21</v>
      </c>
      <c r="AB179" s="220">
        <f t="shared" si="32"/>
        <v>17</v>
      </c>
      <c r="AC179" s="220">
        <f t="shared" si="32"/>
        <v>8</v>
      </c>
      <c r="AD179" s="220">
        <f t="shared" si="32"/>
        <v>16</v>
      </c>
      <c r="AE179" s="220">
        <f t="shared" si="32"/>
        <v>19</v>
      </c>
      <c r="AF179" s="221">
        <f t="shared" si="32"/>
        <v>0</v>
      </c>
      <c r="AG179" s="156">
        <f t="shared" si="28"/>
        <v>545</v>
      </c>
      <c r="AH179" s="38"/>
    </row>
    <row r="180" spans="1:34" ht="18.75" x14ac:dyDescent="0.25">
      <c r="A180" s="109" t="s">
        <v>4</v>
      </c>
      <c r="B180" s="216">
        <v>10</v>
      </c>
      <c r="C180" s="216">
        <v>1</v>
      </c>
      <c r="D180" s="216">
        <v>3</v>
      </c>
      <c r="E180" s="216">
        <v>3</v>
      </c>
      <c r="F180" s="216">
        <v>3</v>
      </c>
      <c r="G180" s="216">
        <v>2</v>
      </c>
      <c r="H180" s="216">
        <v>6</v>
      </c>
      <c r="I180" s="216">
        <v>10</v>
      </c>
      <c r="J180" s="216">
        <v>1</v>
      </c>
      <c r="K180" s="216">
        <v>6</v>
      </c>
      <c r="L180" s="216">
        <v>11</v>
      </c>
      <c r="M180" s="216">
        <v>4</v>
      </c>
      <c r="N180" s="217">
        <v>10</v>
      </c>
      <c r="O180" s="217">
        <v>4</v>
      </c>
      <c r="P180" s="217">
        <v>5</v>
      </c>
      <c r="Q180" s="217">
        <v>5</v>
      </c>
      <c r="R180" s="217">
        <v>15</v>
      </c>
      <c r="S180" s="217">
        <v>16</v>
      </c>
      <c r="T180" s="217">
        <v>10</v>
      </c>
      <c r="U180" s="217">
        <v>16</v>
      </c>
      <c r="V180" s="217">
        <v>8</v>
      </c>
      <c r="W180" s="217"/>
      <c r="X180" s="217">
        <v>3</v>
      </c>
      <c r="Y180" s="217">
        <v>8</v>
      </c>
      <c r="Z180" s="217">
        <v>2</v>
      </c>
      <c r="AA180" s="217">
        <v>5</v>
      </c>
      <c r="AB180" s="217">
        <v>3</v>
      </c>
      <c r="AC180" s="217">
        <v>6</v>
      </c>
      <c r="AD180" s="217">
        <v>12</v>
      </c>
      <c r="AE180" s="217">
        <v>6</v>
      </c>
      <c r="AF180" s="218"/>
      <c r="AG180" s="31">
        <f t="shared" si="28"/>
        <v>194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>
        <v>1</v>
      </c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>
        <v>1</v>
      </c>
      <c r="U181" s="17"/>
      <c r="V181" s="17">
        <v>1</v>
      </c>
      <c r="W181" s="17"/>
      <c r="X181" s="17"/>
      <c r="Y181" s="17"/>
      <c r="Z181" s="17"/>
      <c r="AA181" s="17">
        <v>1</v>
      </c>
      <c r="AB181" s="17"/>
      <c r="AC181" s="17"/>
      <c r="AD181" s="17"/>
      <c r="AE181" s="17"/>
      <c r="AF181" s="18"/>
      <c r="AG181" s="4">
        <f t="shared" si="28"/>
        <v>4</v>
      </c>
    </row>
    <row r="182" spans="1:34" ht="18.75" x14ac:dyDescent="0.25">
      <c r="A182" s="109" t="s">
        <v>123</v>
      </c>
      <c r="B182" s="147">
        <v>13</v>
      </c>
      <c r="C182" s="147">
        <v>11</v>
      </c>
      <c r="D182" s="147">
        <v>8</v>
      </c>
      <c r="E182" s="147">
        <v>6</v>
      </c>
      <c r="F182" s="147"/>
      <c r="G182" s="147">
        <v>4</v>
      </c>
      <c r="H182" s="147">
        <v>8</v>
      </c>
      <c r="I182" s="147">
        <v>9</v>
      </c>
      <c r="J182" s="147">
        <v>12</v>
      </c>
      <c r="K182" s="147">
        <v>8</v>
      </c>
      <c r="L182" s="147">
        <v>3</v>
      </c>
      <c r="M182" s="147">
        <v>9</v>
      </c>
      <c r="N182" s="17"/>
      <c r="O182" s="17"/>
      <c r="P182" s="17"/>
      <c r="Q182" s="17">
        <v>5</v>
      </c>
      <c r="R182" s="17">
        <v>8</v>
      </c>
      <c r="S182" s="17">
        <v>11</v>
      </c>
      <c r="T182" s="17">
        <v>2</v>
      </c>
      <c r="U182" s="17">
        <v>11</v>
      </c>
      <c r="V182" s="17"/>
      <c r="W182" s="17"/>
      <c r="X182" s="17">
        <v>7</v>
      </c>
      <c r="Y182" s="17">
        <v>12</v>
      </c>
      <c r="Z182" s="17">
        <v>4</v>
      </c>
      <c r="AA182" s="17">
        <v>8</v>
      </c>
      <c r="AB182" s="17">
        <v>10</v>
      </c>
      <c r="AC182" s="17"/>
      <c r="AD182" s="17">
        <v>1</v>
      </c>
      <c r="AE182" s="17">
        <v>7</v>
      </c>
      <c r="AF182" s="18"/>
      <c r="AG182" s="4">
        <f t="shared" si="28"/>
        <v>177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>
        <v>13</v>
      </c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13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0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>
        <v>1</v>
      </c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1</v>
      </c>
    </row>
    <row r="187" spans="1:34" ht="18.75" x14ac:dyDescent="0.25">
      <c r="A187" s="109" t="s">
        <v>139</v>
      </c>
      <c r="B187" s="147"/>
      <c r="C187" s="147"/>
      <c r="D187" s="147"/>
      <c r="E187" s="147">
        <v>1</v>
      </c>
      <c r="F187" s="147">
        <v>3</v>
      </c>
      <c r="G187" s="147">
        <v>1</v>
      </c>
      <c r="H187" s="147"/>
      <c r="I187" s="147">
        <v>2</v>
      </c>
      <c r="J187" s="147"/>
      <c r="K187" s="147">
        <v>1</v>
      </c>
      <c r="L187" s="147">
        <v>1</v>
      </c>
      <c r="M187" s="147"/>
      <c r="N187" s="17">
        <v>4</v>
      </c>
      <c r="O187" s="17"/>
      <c r="P187" s="17"/>
      <c r="Q187" s="17"/>
      <c r="R187" s="17"/>
      <c r="S187" s="17"/>
      <c r="T187" s="17">
        <v>8</v>
      </c>
      <c r="U187" s="17"/>
      <c r="V187" s="17">
        <v>3</v>
      </c>
      <c r="W187" s="17"/>
      <c r="X187" s="17"/>
      <c r="Y187" s="17"/>
      <c r="Z187" s="17"/>
      <c r="AA187" s="17">
        <v>5</v>
      </c>
      <c r="AB187" s="17">
        <v>2</v>
      </c>
      <c r="AC187" s="17"/>
      <c r="AD187" s="17">
        <v>2</v>
      </c>
      <c r="AE187" s="17"/>
      <c r="AF187" s="18"/>
      <c r="AG187" s="4">
        <f t="shared" si="28"/>
        <v>33</v>
      </c>
    </row>
    <row r="188" spans="1:34" ht="18.75" x14ac:dyDescent="0.25">
      <c r="A188" s="110" t="s">
        <v>63</v>
      </c>
      <c r="B188" s="147"/>
      <c r="C188" s="147">
        <v>1</v>
      </c>
      <c r="D188" s="147">
        <v>1</v>
      </c>
      <c r="E188" s="147">
        <v>1</v>
      </c>
      <c r="F188" s="147">
        <v>1</v>
      </c>
      <c r="G188" s="147"/>
      <c r="H188" s="147"/>
      <c r="I188" s="147"/>
      <c r="J188" s="147">
        <v>1</v>
      </c>
      <c r="K188" s="147"/>
      <c r="L188" s="147"/>
      <c r="M188" s="147">
        <v>2</v>
      </c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>
        <v>3</v>
      </c>
      <c r="Y188" s="17"/>
      <c r="Z188" s="17">
        <v>1</v>
      </c>
      <c r="AA188" s="17"/>
      <c r="AB188" s="17"/>
      <c r="AC188" s="17"/>
      <c r="AD188" s="17"/>
      <c r="AE188" s="17">
        <v>1</v>
      </c>
      <c r="AF188" s="18"/>
      <c r="AG188" s="4">
        <f t="shared" si="28"/>
        <v>12</v>
      </c>
    </row>
    <row r="189" spans="1:34" ht="18.75" x14ac:dyDescent="0.25">
      <c r="A189" s="110" t="s">
        <v>142</v>
      </c>
      <c r="B189" s="147"/>
      <c r="C189" s="147"/>
      <c r="D189" s="147">
        <v>1</v>
      </c>
      <c r="E189" s="147"/>
      <c r="F189" s="147">
        <v>1</v>
      </c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2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>
        <v>1</v>
      </c>
      <c r="AB191" s="17"/>
      <c r="AC191" s="17"/>
      <c r="AD191" s="17"/>
      <c r="AE191" s="17"/>
      <c r="AF191" s="18"/>
      <c r="AG191" s="4">
        <f t="shared" si="28"/>
        <v>1</v>
      </c>
    </row>
    <row r="192" spans="1:34" ht="18.75" x14ac:dyDescent="0.25">
      <c r="A192" s="243" t="s">
        <v>5</v>
      </c>
      <c r="B192" s="244"/>
      <c r="C192" s="244"/>
      <c r="D192" s="244"/>
      <c r="E192" s="244"/>
      <c r="F192" s="244"/>
      <c r="G192" s="244">
        <v>1</v>
      </c>
      <c r="H192" s="244">
        <v>2</v>
      </c>
      <c r="I192" s="244">
        <v>1</v>
      </c>
      <c r="J192" s="244">
        <v>5</v>
      </c>
      <c r="K192" s="244">
        <v>1</v>
      </c>
      <c r="L192" s="244"/>
      <c r="M192" s="244"/>
      <c r="N192" s="245">
        <v>1</v>
      </c>
      <c r="O192" s="245">
        <v>6</v>
      </c>
      <c r="P192" s="245">
        <v>4</v>
      </c>
      <c r="Q192" s="245"/>
      <c r="R192" s="245">
        <v>2</v>
      </c>
      <c r="S192" s="245">
        <v>4</v>
      </c>
      <c r="T192" s="245">
        <v>4</v>
      </c>
      <c r="U192" s="245">
        <v>2</v>
      </c>
      <c r="V192" s="245"/>
      <c r="W192" s="245"/>
      <c r="X192" s="245"/>
      <c r="Y192" s="245"/>
      <c r="Z192" s="245"/>
      <c r="AA192" s="245"/>
      <c r="AB192" s="245"/>
      <c r="AC192" s="245">
        <v>1</v>
      </c>
      <c r="AD192" s="245"/>
      <c r="AE192" s="245"/>
      <c r="AF192" s="246"/>
      <c r="AG192" s="247">
        <f t="shared" si="28"/>
        <v>34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>
        <v>2</v>
      </c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2</v>
      </c>
    </row>
    <row r="197" spans="1:34" ht="18.75" x14ac:dyDescent="0.25">
      <c r="A197" s="111" t="s">
        <v>143</v>
      </c>
      <c r="B197" s="147">
        <v>1</v>
      </c>
      <c r="C197" s="147"/>
      <c r="D197" s="147"/>
      <c r="E197" s="147"/>
      <c r="F197" s="147"/>
      <c r="G197" s="147">
        <v>1</v>
      </c>
      <c r="H197" s="147"/>
      <c r="I197" s="147"/>
      <c r="J197" s="147"/>
      <c r="K197" s="147"/>
      <c r="L197" s="147"/>
      <c r="M197" s="147"/>
      <c r="N197" s="17"/>
      <c r="O197" s="17"/>
      <c r="P197" s="17"/>
      <c r="Q197" s="17">
        <v>1</v>
      </c>
      <c r="R197" s="17">
        <v>1</v>
      </c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4</v>
      </c>
    </row>
    <row r="198" spans="1:34" ht="18.75" x14ac:dyDescent="0.25">
      <c r="A198" s="110" t="s">
        <v>124</v>
      </c>
      <c r="B198" s="147">
        <v>1</v>
      </c>
      <c r="C198" s="147"/>
      <c r="D198" s="147"/>
      <c r="E198" s="147">
        <v>6</v>
      </c>
      <c r="F198" s="147">
        <v>1</v>
      </c>
      <c r="G198" s="147">
        <v>1</v>
      </c>
      <c r="H198" s="147"/>
      <c r="I198" s="147">
        <v>2</v>
      </c>
      <c r="J198" s="147"/>
      <c r="K198" s="147"/>
      <c r="L198" s="147">
        <v>1</v>
      </c>
      <c r="M198" s="147">
        <v>1</v>
      </c>
      <c r="N198" s="17"/>
      <c r="O198" s="17"/>
      <c r="P198" s="17"/>
      <c r="Q198" s="17"/>
      <c r="R198" s="17"/>
      <c r="S198" s="17">
        <v>12</v>
      </c>
      <c r="T198" s="17"/>
      <c r="U198" s="17"/>
      <c r="V198" s="17"/>
      <c r="W198" s="17"/>
      <c r="X198" s="17"/>
      <c r="Y198" s="17">
        <v>2</v>
      </c>
      <c r="Z198" s="17">
        <v>1</v>
      </c>
      <c r="AA198" s="17">
        <v>1</v>
      </c>
      <c r="AB198" s="17">
        <v>1</v>
      </c>
      <c r="AC198" s="17"/>
      <c r="AD198" s="17"/>
      <c r="AE198" s="17"/>
      <c r="AF198" s="18"/>
      <c r="AG198" s="4">
        <f t="shared" si="28"/>
        <v>30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>
        <v>1</v>
      </c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/>
      <c r="G200" s="147">
        <v>1</v>
      </c>
      <c r="H200" s="147"/>
      <c r="I200" s="147"/>
      <c r="J200" s="147"/>
      <c r="K200" s="147"/>
      <c r="L200" s="147"/>
      <c r="M200" s="147"/>
      <c r="N200" s="17">
        <v>1</v>
      </c>
      <c r="O200" s="17">
        <v>1</v>
      </c>
      <c r="P200" s="17"/>
      <c r="Q200" s="17"/>
      <c r="R200" s="17"/>
      <c r="S200" s="17">
        <v>1</v>
      </c>
      <c r="T200" s="17"/>
      <c r="U200" s="17">
        <v>2</v>
      </c>
      <c r="V200" s="17"/>
      <c r="W200" s="17"/>
      <c r="X200" s="17"/>
      <c r="Y200" s="17"/>
      <c r="Z200" s="17"/>
      <c r="AA200" s="17"/>
      <c r="AB200" s="17">
        <v>1</v>
      </c>
      <c r="AC200" s="17"/>
      <c r="AD200" s="17"/>
      <c r="AE200" s="17"/>
      <c r="AF200" s="18"/>
      <c r="AG200" s="4">
        <f t="shared" si="28"/>
        <v>7</v>
      </c>
    </row>
    <row r="201" spans="1:34" ht="18.75" x14ac:dyDescent="0.25">
      <c r="A201" s="110" t="s">
        <v>126</v>
      </c>
      <c r="B201" s="202"/>
      <c r="C201" s="202">
        <v>1</v>
      </c>
      <c r="D201" s="202"/>
      <c r="E201" s="202">
        <v>1</v>
      </c>
      <c r="F201" s="202"/>
      <c r="G201" s="202"/>
      <c r="H201" s="202">
        <v>1</v>
      </c>
      <c r="I201" s="202"/>
      <c r="J201" s="202"/>
      <c r="K201" s="202">
        <v>2</v>
      </c>
      <c r="L201" s="202"/>
      <c r="M201" s="202">
        <v>1</v>
      </c>
      <c r="N201" s="203">
        <v>1</v>
      </c>
      <c r="O201" s="203">
        <v>1</v>
      </c>
      <c r="P201" s="203"/>
      <c r="Q201" s="203"/>
      <c r="R201" s="203">
        <v>1</v>
      </c>
      <c r="S201" s="203">
        <v>3</v>
      </c>
      <c r="T201" s="203">
        <v>2</v>
      </c>
      <c r="U201" s="203"/>
      <c r="V201" s="203">
        <v>2</v>
      </c>
      <c r="W201" s="203">
        <v>1</v>
      </c>
      <c r="X201" s="203"/>
      <c r="Y201" s="203"/>
      <c r="Z201" s="203">
        <v>1</v>
      </c>
      <c r="AA201" s="203"/>
      <c r="AB201" s="203"/>
      <c r="AC201" s="203"/>
      <c r="AD201" s="203">
        <v>1</v>
      </c>
      <c r="AE201" s="203">
        <v>5</v>
      </c>
      <c r="AF201" s="204"/>
      <c r="AG201" s="4">
        <f t="shared" si="28"/>
        <v>24</v>
      </c>
    </row>
    <row r="202" spans="1:34" ht="18.75" x14ac:dyDescent="0.25">
      <c r="A202" s="112" t="s">
        <v>170</v>
      </c>
      <c r="B202" s="202"/>
      <c r="C202" s="202">
        <v>1</v>
      </c>
      <c r="D202" s="202"/>
      <c r="E202" s="202"/>
      <c r="F202" s="202"/>
      <c r="G202" s="202"/>
      <c r="H202" s="202"/>
      <c r="I202" s="202"/>
      <c r="J202" s="202">
        <v>1</v>
      </c>
      <c r="K202" s="202"/>
      <c r="L202" s="202"/>
      <c r="M202" s="202"/>
      <c r="N202" s="203"/>
      <c r="O202" s="203"/>
      <c r="P202" s="203"/>
      <c r="Q202" s="203">
        <v>1</v>
      </c>
      <c r="R202" s="203"/>
      <c r="S202" s="203"/>
      <c r="T202" s="203"/>
      <c r="U202" s="203"/>
      <c r="V202" s="203"/>
      <c r="W202" s="203"/>
      <c r="X202" s="203"/>
      <c r="Y202" s="203">
        <v>1</v>
      </c>
      <c r="Z202" s="203"/>
      <c r="AA202" s="203"/>
      <c r="AB202" s="203"/>
      <c r="AC202" s="203">
        <v>1</v>
      </c>
      <c r="AD202" s="203"/>
      <c r="AE202" s="203"/>
      <c r="AF202" s="204"/>
      <c r="AG202" s="4">
        <f t="shared" si="28"/>
        <v>5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>
        <v>1</v>
      </c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1</v>
      </c>
    </row>
    <row r="204" spans="1:34" ht="19.5" thickBot="1" x14ac:dyDescent="0.3">
      <c r="A204" s="215" t="s">
        <v>83</v>
      </c>
      <c r="B204" s="209">
        <f>SUM(B205:B209)</f>
        <v>212</v>
      </c>
      <c r="C204" s="210">
        <f t="shared" ref="C204:AF204" si="33">SUM(C205:C209)</f>
        <v>200</v>
      </c>
      <c r="D204" s="210">
        <f t="shared" si="33"/>
        <v>161</v>
      </c>
      <c r="E204" s="210">
        <f t="shared" si="33"/>
        <v>203</v>
      </c>
      <c r="F204" s="210">
        <f t="shared" si="33"/>
        <v>159</v>
      </c>
      <c r="G204" s="210">
        <f t="shared" si="33"/>
        <v>168</v>
      </c>
      <c r="H204" s="210">
        <f t="shared" si="33"/>
        <v>267</v>
      </c>
      <c r="I204" s="210">
        <f t="shared" si="33"/>
        <v>268</v>
      </c>
      <c r="J204" s="210">
        <f t="shared" si="33"/>
        <v>205</v>
      </c>
      <c r="K204" s="210">
        <f t="shared" si="33"/>
        <v>185</v>
      </c>
      <c r="L204" s="210">
        <f t="shared" si="33"/>
        <v>171</v>
      </c>
      <c r="M204" s="210">
        <f t="shared" si="33"/>
        <v>162</v>
      </c>
      <c r="N204" s="211">
        <f t="shared" si="33"/>
        <v>172</v>
      </c>
      <c r="O204" s="211">
        <f t="shared" si="33"/>
        <v>258</v>
      </c>
      <c r="P204" s="211">
        <f t="shared" si="33"/>
        <v>240</v>
      </c>
      <c r="Q204" s="211">
        <f t="shared" si="33"/>
        <v>181</v>
      </c>
      <c r="R204" s="211">
        <f t="shared" si="33"/>
        <v>190</v>
      </c>
      <c r="S204" s="211">
        <f t="shared" si="33"/>
        <v>232</v>
      </c>
      <c r="T204" s="211">
        <f t="shared" si="33"/>
        <v>244</v>
      </c>
      <c r="U204" s="211">
        <f t="shared" si="33"/>
        <v>264</v>
      </c>
      <c r="V204" s="211">
        <f t="shared" si="33"/>
        <v>268</v>
      </c>
      <c r="W204" s="211">
        <f t="shared" si="33"/>
        <v>187</v>
      </c>
      <c r="X204" s="211">
        <f t="shared" si="33"/>
        <v>195</v>
      </c>
      <c r="Y204" s="211">
        <f t="shared" si="33"/>
        <v>194</v>
      </c>
      <c r="Z204" s="211">
        <f t="shared" si="33"/>
        <v>163</v>
      </c>
      <c r="AA204" s="211">
        <f t="shared" si="33"/>
        <v>169</v>
      </c>
      <c r="AB204" s="211">
        <f t="shared" si="33"/>
        <v>191</v>
      </c>
      <c r="AC204" s="211">
        <f t="shared" si="33"/>
        <v>253</v>
      </c>
      <c r="AD204" s="211">
        <f t="shared" si="33"/>
        <v>202</v>
      </c>
      <c r="AE204" s="211">
        <f t="shared" si="33"/>
        <v>176</v>
      </c>
      <c r="AF204" s="212">
        <f t="shared" si="33"/>
        <v>0</v>
      </c>
      <c r="AG204" s="213">
        <f t="shared" si="28"/>
        <v>6140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>
        <v>1</v>
      </c>
      <c r="G205" s="205"/>
      <c r="H205" s="205"/>
      <c r="I205" s="205"/>
      <c r="J205" s="205"/>
      <c r="K205" s="205"/>
      <c r="L205" s="205"/>
      <c r="M205" s="205">
        <v>1</v>
      </c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>
        <v>1</v>
      </c>
      <c r="AA205" s="206"/>
      <c r="AB205" s="206"/>
      <c r="AC205" s="206"/>
      <c r="AD205" s="206"/>
      <c r="AE205" s="206"/>
      <c r="AF205" s="207"/>
      <c r="AG205" s="208">
        <f t="shared" si="28"/>
        <v>3</v>
      </c>
    </row>
    <row r="206" spans="1:34" ht="18.75" x14ac:dyDescent="0.25">
      <c r="A206" s="52" t="s">
        <v>73</v>
      </c>
      <c r="B206" s="148">
        <v>2</v>
      </c>
      <c r="C206" s="148">
        <v>1</v>
      </c>
      <c r="D206" s="148"/>
      <c r="E206" s="148"/>
      <c r="F206" s="148">
        <v>1</v>
      </c>
      <c r="G206" s="148"/>
      <c r="H206" s="148">
        <v>1</v>
      </c>
      <c r="I206" s="148"/>
      <c r="J206" s="148"/>
      <c r="K206" s="148">
        <v>2</v>
      </c>
      <c r="L206" s="148"/>
      <c r="M206" s="148">
        <v>3</v>
      </c>
      <c r="N206" s="33"/>
      <c r="O206" s="33">
        <v>3</v>
      </c>
      <c r="P206" s="33"/>
      <c r="Q206" s="33">
        <v>1</v>
      </c>
      <c r="R206" s="33"/>
      <c r="S206" s="33"/>
      <c r="T206" s="33">
        <v>1</v>
      </c>
      <c r="U206" s="33"/>
      <c r="V206" s="33"/>
      <c r="W206" s="33">
        <v>3</v>
      </c>
      <c r="X206" s="33">
        <v>1</v>
      </c>
      <c r="Y206" s="33"/>
      <c r="Z206" s="33"/>
      <c r="AA206" s="33"/>
      <c r="AB206" s="33">
        <v>2</v>
      </c>
      <c r="AC206" s="33">
        <v>1</v>
      </c>
      <c r="AD206" s="33">
        <v>9</v>
      </c>
      <c r="AE206" s="33">
        <v>1</v>
      </c>
      <c r="AF206" s="88"/>
      <c r="AG206" s="97">
        <f t="shared" si="28"/>
        <v>32</v>
      </c>
    </row>
    <row r="207" spans="1:34" ht="18.75" x14ac:dyDescent="0.25">
      <c r="A207" s="52" t="s">
        <v>74</v>
      </c>
      <c r="B207" s="148">
        <v>20</v>
      </c>
      <c r="C207" s="148">
        <v>16</v>
      </c>
      <c r="D207" s="148">
        <v>18</v>
      </c>
      <c r="E207" s="148">
        <v>17</v>
      </c>
      <c r="F207" s="148">
        <v>18</v>
      </c>
      <c r="G207" s="148">
        <v>12</v>
      </c>
      <c r="H207" s="148">
        <v>12</v>
      </c>
      <c r="I207" s="148">
        <v>27</v>
      </c>
      <c r="J207" s="148">
        <v>17</v>
      </c>
      <c r="K207" s="148">
        <v>18</v>
      </c>
      <c r="L207" s="148">
        <v>21</v>
      </c>
      <c r="M207" s="148">
        <v>19</v>
      </c>
      <c r="N207" s="33">
        <v>17</v>
      </c>
      <c r="O207" s="33">
        <v>12</v>
      </c>
      <c r="P207" s="33">
        <v>17</v>
      </c>
      <c r="Q207" s="33">
        <v>10</v>
      </c>
      <c r="R207" s="33">
        <v>22</v>
      </c>
      <c r="S207" s="33">
        <v>33</v>
      </c>
      <c r="T207" s="33">
        <v>19</v>
      </c>
      <c r="U207" s="33">
        <v>29</v>
      </c>
      <c r="V207" s="33">
        <v>16</v>
      </c>
      <c r="W207" s="33">
        <v>16</v>
      </c>
      <c r="X207" s="33">
        <v>13</v>
      </c>
      <c r="Y207" s="33">
        <v>17</v>
      </c>
      <c r="Z207" s="33">
        <v>13</v>
      </c>
      <c r="AA207" s="33">
        <v>19</v>
      </c>
      <c r="AB207" s="33">
        <v>10</v>
      </c>
      <c r="AC207" s="33">
        <v>15</v>
      </c>
      <c r="AD207" s="33">
        <v>31</v>
      </c>
      <c r="AE207" s="33">
        <v>17</v>
      </c>
      <c r="AF207" s="88"/>
      <c r="AG207" s="97">
        <f t="shared" si="28"/>
        <v>541</v>
      </c>
    </row>
    <row r="208" spans="1:34" ht="18.75" x14ac:dyDescent="0.25">
      <c r="A208" s="52" t="s">
        <v>75</v>
      </c>
      <c r="B208" s="148">
        <v>147</v>
      </c>
      <c r="C208" s="148">
        <v>153</v>
      </c>
      <c r="D208" s="148">
        <v>127</v>
      </c>
      <c r="E208" s="148">
        <v>169</v>
      </c>
      <c r="F208" s="148">
        <v>112</v>
      </c>
      <c r="G208" s="148">
        <v>140</v>
      </c>
      <c r="H208" s="148">
        <v>111</v>
      </c>
      <c r="I208" s="148">
        <v>157</v>
      </c>
      <c r="J208" s="148">
        <v>146</v>
      </c>
      <c r="K208" s="148">
        <v>141</v>
      </c>
      <c r="L208" s="148">
        <v>127</v>
      </c>
      <c r="M208" s="148">
        <v>119</v>
      </c>
      <c r="N208" s="33">
        <v>137</v>
      </c>
      <c r="O208" s="33">
        <v>152</v>
      </c>
      <c r="P208" s="33">
        <v>146</v>
      </c>
      <c r="Q208" s="33">
        <v>145</v>
      </c>
      <c r="R208" s="33">
        <v>125</v>
      </c>
      <c r="S208" s="33">
        <v>135</v>
      </c>
      <c r="T208" s="33">
        <v>162</v>
      </c>
      <c r="U208" s="33">
        <v>134</v>
      </c>
      <c r="V208" s="33">
        <v>187</v>
      </c>
      <c r="W208" s="33">
        <v>105</v>
      </c>
      <c r="X208" s="33">
        <v>159</v>
      </c>
      <c r="Y208" s="33">
        <v>162</v>
      </c>
      <c r="Z208" s="33">
        <v>98</v>
      </c>
      <c r="AA208" s="33">
        <v>109</v>
      </c>
      <c r="AB208" s="33">
        <v>142</v>
      </c>
      <c r="AC208" s="33">
        <v>143</v>
      </c>
      <c r="AD208" s="33">
        <v>93</v>
      </c>
      <c r="AE208" s="33">
        <v>114</v>
      </c>
      <c r="AF208" s="88"/>
      <c r="AG208" s="97">
        <f t="shared" si="28"/>
        <v>4097</v>
      </c>
    </row>
    <row r="209" spans="1:34" ht="19.5" thickBot="1" x14ac:dyDescent="0.3">
      <c r="A209" s="63" t="s">
        <v>76</v>
      </c>
      <c r="B209" s="149">
        <v>43</v>
      </c>
      <c r="C209" s="149">
        <v>30</v>
      </c>
      <c r="D209" s="149">
        <v>16</v>
      </c>
      <c r="E209" s="149">
        <v>17</v>
      </c>
      <c r="F209" s="149">
        <v>27</v>
      </c>
      <c r="G209" s="149">
        <v>16</v>
      </c>
      <c r="H209" s="149">
        <v>143</v>
      </c>
      <c r="I209" s="149">
        <v>84</v>
      </c>
      <c r="J209" s="149">
        <v>42</v>
      </c>
      <c r="K209" s="149">
        <v>24</v>
      </c>
      <c r="L209" s="149">
        <v>23</v>
      </c>
      <c r="M209" s="149">
        <v>20</v>
      </c>
      <c r="N209" s="34">
        <v>18</v>
      </c>
      <c r="O209" s="34">
        <v>91</v>
      </c>
      <c r="P209" s="34">
        <v>77</v>
      </c>
      <c r="Q209" s="34">
        <v>25</v>
      </c>
      <c r="R209" s="34">
        <v>43</v>
      </c>
      <c r="S209" s="34">
        <v>64</v>
      </c>
      <c r="T209" s="34">
        <v>62</v>
      </c>
      <c r="U209" s="34">
        <v>101</v>
      </c>
      <c r="V209" s="34">
        <v>65</v>
      </c>
      <c r="W209" s="34">
        <v>63</v>
      </c>
      <c r="X209" s="34">
        <v>22</v>
      </c>
      <c r="Y209" s="34">
        <v>15</v>
      </c>
      <c r="Z209" s="34">
        <v>51</v>
      </c>
      <c r="AA209" s="34">
        <v>41</v>
      </c>
      <c r="AB209" s="34">
        <v>37</v>
      </c>
      <c r="AC209" s="34">
        <v>94</v>
      </c>
      <c r="AD209" s="34">
        <v>69</v>
      </c>
      <c r="AE209" s="34">
        <v>44</v>
      </c>
      <c r="AF209" s="89"/>
      <c r="AG209" s="35">
        <f t="shared" si="28"/>
        <v>1467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>
        <v>1.4583333333333332E-2</v>
      </c>
      <c r="C211" s="19">
        <v>2.6388888888888889E-2</v>
      </c>
      <c r="D211" s="19">
        <v>1.8055555555555557E-2</v>
      </c>
      <c r="E211" s="19">
        <v>3.8194444444444441E-2</v>
      </c>
      <c r="F211" s="19">
        <v>2.0833333333333332E-2</v>
      </c>
      <c r="G211" s="19">
        <v>2.0833333333333332E-2</v>
      </c>
      <c r="H211" s="19">
        <v>1.5972222222222224E-2</v>
      </c>
      <c r="I211" s="19">
        <v>9.0277777777777787E-3</v>
      </c>
      <c r="J211" s="19">
        <v>2.013888888888889E-2</v>
      </c>
      <c r="K211" s="19">
        <v>1.8055555555555557E-2</v>
      </c>
      <c r="L211" s="19">
        <v>4.027777777777778E-2</v>
      </c>
      <c r="M211" s="19">
        <v>1.3194444444444444E-2</v>
      </c>
      <c r="N211" s="19">
        <v>3.2638888888888891E-2</v>
      </c>
      <c r="O211" s="19">
        <v>8.3333333333333332E-3</v>
      </c>
      <c r="P211" s="19">
        <v>7.6388888888888886E-3</v>
      </c>
      <c r="Q211" s="19">
        <v>2.4305555555555556E-2</v>
      </c>
      <c r="R211" s="19">
        <v>7.3495370370370372E-3</v>
      </c>
      <c r="S211" s="19">
        <v>6.2499999999999995E-3</v>
      </c>
      <c r="T211" s="19">
        <v>9.0277777777777787E-3</v>
      </c>
      <c r="U211" s="19">
        <v>9.0277777777777787E-3</v>
      </c>
      <c r="V211" s="19">
        <v>1.3194444444444444E-2</v>
      </c>
      <c r="W211" s="19">
        <v>1.0416666666666666E-2</v>
      </c>
      <c r="X211" s="19">
        <v>3.7499999999999999E-2</v>
      </c>
      <c r="Y211" s="19">
        <v>2.7083333333333334E-2</v>
      </c>
      <c r="Z211" s="19">
        <v>2.2222222222222223E-2</v>
      </c>
      <c r="AA211" s="19">
        <v>2.5694444444444447E-2</v>
      </c>
      <c r="AB211" s="19">
        <v>2.2916666666666669E-2</v>
      </c>
      <c r="AC211" s="19">
        <v>5.486111111111111E-2</v>
      </c>
      <c r="AD211" s="19">
        <v>1.9074074074074073E-2</v>
      </c>
      <c r="AE211" s="19">
        <v>1.9108796296296294E-2</v>
      </c>
      <c r="AF211" s="25"/>
      <c r="AG211" s="99">
        <f t="shared" si="28"/>
        <v>0.61219907407407403</v>
      </c>
      <c r="AH211" s="376" t="s">
        <v>85</v>
      </c>
    </row>
    <row r="212" spans="1:34" ht="18.75" x14ac:dyDescent="0.25">
      <c r="A212" s="53" t="s">
        <v>110</v>
      </c>
      <c r="B212" s="39">
        <v>1.8055555555555557E-2</v>
      </c>
      <c r="C212" s="39">
        <v>3.0555555555555555E-2</v>
      </c>
      <c r="D212" s="39">
        <v>2.5694444444444447E-2</v>
      </c>
      <c r="E212" s="39">
        <v>4.3750000000000004E-2</v>
      </c>
      <c r="F212" s="39">
        <v>2.4305555555555556E-2</v>
      </c>
      <c r="G212" s="39">
        <v>2.9166666666666664E-2</v>
      </c>
      <c r="H212" s="39">
        <v>1.7361111111111112E-2</v>
      </c>
      <c r="I212" s="39">
        <v>1.3194444444444444E-2</v>
      </c>
      <c r="J212" s="39">
        <v>2.7777777777777776E-2</v>
      </c>
      <c r="K212" s="39">
        <v>2.8472222222222222E-2</v>
      </c>
      <c r="L212" s="39">
        <v>4.9305555555555554E-2</v>
      </c>
      <c r="M212" s="39">
        <v>2.4305555555555556E-2</v>
      </c>
      <c r="N212" s="39">
        <v>3.9583333333333331E-2</v>
      </c>
      <c r="O212" s="39">
        <v>3.5416666666666666E-2</v>
      </c>
      <c r="P212" s="39">
        <v>1.2499999999999999E-2</v>
      </c>
      <c r="Q212" s="39">
        <v>4.0972222222222222E-2</v>
      </c>
      <c r="R212" s="39">
        <v>1.5277777777777777E-2</v>
      </c>
      <c r="S212" s="39">
        <v>4.8611111111111112E-3</v>
      </c>
      <c r="T212" s="39">
        <v>1.2499999999999999E-2</v>
      </c>
      <c r="U212" s="39">
        <v>1.1111111111111112E-2</v>
      </c>
      <c r="V212" s="39">
        <v>1.5972222222222224E-2</v>
      </c>
      <c r="W212" s="39">
        <v>1.1111111111111112E-2</v>
      </c>
      <c r="X212" s="39">
        <v>3.5416666666666666E-2</v>
      </c>
      <c r="Y212" s="39">
        <v>3.8194444444444441E-2</v>
      </c>
      <c r="Z212" s="39">
        <v>2.5694444444444447E-2</v>
      </c>
      <c r="AA212" s="39">
        <v>2.7777777777777776E-2</v>
      </c>
      <c r="AB212" s="39">
        <v>2.4999999999999998E-2</v>
      </c>
      <c r="AC212" s="39">
        <v>5.0694444444444438E-2</v>
      </c>
      <c r="AD212" s="39">
        <v>2.6388888888888889E-2</v>
      </c>
      <c r="AE212" s="39">
        <v>2.5300925925925925E-2</v>
      </c>
      <c r="AF212" s="91"/>
      <c r="AG212" s="100">
        <f t="shared" si="28"/>
        <v>0.78571759259259266</v>
      </c>
      <c r="AH212" s="377"/>
    </row>
    <row r="213" spans="1:34" ht="18.75" x14ac:dyDescent="0.25">
      <c r="A213" s="53" t="s">
        <v>111</v>
      </c>
      <c r="B213" s="39">
        <v>2.2222222222222223E-2</v>
      </c>
      <c r="C213" s="39">
        <v>4.2361111111111106E-2</v>
      </c>
      <c r="D213" s="39">
        <v>3.0555555555555555E-2</v>
      </c>
      <c r="E213" s="39">
        <v>4.7916666666666663E-2</v>
      </c>
      <c r="F213" s="39">
        <v>4.4444444444444446E-2</v>
      </c>
      <c r="G213" s="39">
        <v>3.8194444444444441E-2</v>
      </c>
      <c r="H213" s="39">
        <v>3.3333333333333333E-2</v>
      </c>
      <c r="I213" s="39">
        <v>9.7222222222222224E-3</v>
      </c>
      <c r="J213" s="39">
        <v>3.6805555555555557E-2</v>
      </c>
      <c r="K213" s="39">
        <v>2.2222222222222223E-2</v>
      </c>
      <c r="L213" s="39">
        <v>6.25E-2</v>
      </c>
      <c r="M213" s="39">
        <v>1.6666666666666666E-2</v>
      </c>
      <c r="N213" s="39">
        <v>5.2777777777777778E-2</v>
      </c>
      <c r="O213" s="39">
        <v>1.1111111111111112E-2</v>
      </c>
      <c r="P213" s="39">
        <v>5.9375000000000009E-3</v>
      </c>
      <c r="Q213" s="39">
        <v>4.1666666666666664E-2</v>
      </c>
      <c r="R213" s="39">
        <v>6.9444444444444441E-3</v>
      </c>
      <c r="S213" s="39">
        <v>4.8611111111111112E-3</v>
      </c>
      <c r="T213" s="39">
        <v>1.1805555555555555E-2</v>
      </c>
      <c r="U213" s="39">
        <v>8.3333333333333332E-3</v>
      </c>
      <c r="V213" s="39">
        <v>1.8749999999999999E-2</v>
      </c>
      <c r="W213" s="39">
        <v>1.0416666666666666E-2</v>
      </c>
      <c r="X213" s="39">
        <v>5.4166666666666669E-2</v>
      </c>
      <c r="Y213" s="39">
        <v>4.1666666666666664E-2</v>
      </c>
      <c r="Z213" s="39">
        <v>1.7361111111111112E-2</v>
      </c>
      <c r="AA213" s="39">
        <v>3.6111111111111115E-2</v>
      </c>
      <c r="AB213" s="39">
        <v>3.4027777777777775E-2</v>
      </c>
      <c r="AC213" s="39">
        <v>5.3472222222222227E-2</v>
      </c>
      <c r="AD213" s="39">
        <v>2.9861111111111113E-2</v>
      </c>
      <c r="AE213" s="39">
        <v>3.4722222222222224E-2</v>
      </c>
      <c r="AF213" s="91"/>
      <c r="AG213" s="100">
        <f t="shared" si="28"/>
        <v>0.88093749999999993</v>
      </c>
      <c r="AH213" s="377"/>
    </row>
    <row r="214" spans="1:34" ht="18.75" x14ac:dyDescent="0.25">
      <c r="A214" s="53" t="s">
        <v>112</v>
      </c>
      <c r="B214" s="39">
        <v>1.6666666666666666E-2</v>
      </c>
      <c r="C214" s="39">
        <v>2.6388888888888889E-2</v>
      </c>
      <c r="D214" s="39">
        <v>1.1805555555555555E-2</v>
      </c>
      <c r="E214" s="39">
        <v>5.0694444444444438E-2</v>
      </c>
      <c r="F214" s="39">
        <v>2.7777777777777776E-2</v>
      </c>
      <c r="G214" s="39">
        <v>2.1527777777777781E-2</v>
      </c>
      <c r="H214" s="39">
        <v>2.2916666666666669E-2</v>
      </c>
      <c r="I214" s="39">
        <v>4.1666666666666666E-3</v>
      </c>
      <c r="J214" s="39">
        <v>1.6666666666666666E-2</v>
      </c>
      <c r="K214" s="39">
        <v>2.361111111111111E-2</v>
      </c>
      <c r="L214" s="39">
        <v>4.4444444444444446E-2</v>
      </c>
      <c r="M214" s="39">
        <v>8.3333333333333332E-3</v>
      </c>
      <c r="N214" s="39">
        <v>2.9166666666666664E-2</v>
      </c>
      <c r="O214" s="39">
        <v>6.2499999999999995E-3</v>
      </c>
      <c r="P214" s="39">
        <v>3.37962962962963E-3</v>
      </c>
      <c r="Q214" s="39">
        <v>2.0833333333333332E-2</v>
      </c>
      <c r="R214" s="39">
        <v>6.2499999999999995E-3</v>
      </c>
      <c r="S214" s="39">
        <v>7.6388888888888886E-3</v>
      </c>
      <c r="T214" s="39">
        <v>1.3888888888888888E-2</v>
      </c>
      <c r="U214" s="39">
        <v>1.7361111111111112E-2</v>
      </c>
      <c r="V214" s="39">
        <v>1.5277777777777777E-2</v>
      </c>
      <c r="W214" s="39">
        <v>1.0416666666666666E-2</v>
      </c>
      <c r="X214" s="39">
        <v>4.3750000000000004E-2</v>
      </c>
      <c r="Y214" s="39">
        <v>3.0555555555555555E-2</v>
      </c>
      <c r="Z214" s="39">
        <v>1.8749999999999999E-2</v>
      </c>
      <c r="AA214" s="39">
        <v>1.9444444444444445E-2</v>
      </c>
      <c r="AB214" s="39">
        <v>2.1527777777777781E-2</v>
      </c>
      <c r="AC214" s="39">
        <v>5.6250000000000001E-2</v>
      </c>
      <c r="AD214" s="39">
        <v>4.5138888888888888E-2</v>
      </c>
      <c r="AE214" s="39">
        <v>2.0671296296296295E-2</v>
      </c>
      <c r="AF214" s="91"/>
      <c r="AG214" s="100">
        <f t="shared" si="28"/>
        <v>0.6615509259259259</v>
      </c>
      <c r="AH214" s="377"/>
    </row>
    <row r="215" spans="1:34" ht="18.75" x14ac:dyDescent="0.25">
      <c r="A215" s="53" t="s">
        <v>113</v>
      </c>
      <c r="B215" s="39">
        <v>1.1111111111111112E-2</v>
      </c>
      <c r="C215" s="39">
        <v>1.1111111111111112E-2</v>
      </c>
      <c r="D215" s="39">
        <v>6.2499999999999995E-3</v>
      </c>
      <c r="E215" s="39">
        <v>4.1666666666666664E-2</v>
      </c>
      <c r="F215" s="39">
        <v>9.0277777777777787E-3</v>
      </c>
      <c r="G215" s="39">
        <v>8.3333333333333332E-3</v>
      </c>
      <c r="H215" s="39">
        <v>1.4583333333333332E-2</v>
      </c>
      <c r="I215" s="39">
        <v>5.5555555555555558E-3</v>
      </c>
      <c r="J215" s="39">
        <v>1.5277777777777777E-2</v>
      </c>
      <c r="K215" s="39">
        <v>1.3888888888888888E-2</v>
      </c>
      <c r="L215" s="39">
        <v>4.0972222222222222E-2</v>
      </c>
      <c r="M215" s="39">
        <v>6.9444444444444441E-3</v>
      </c>
      <c r="N215" s="39">
        <v>2.4999999999999998E-2</v>
      </c>
      <c r="O215" s="39">
        <v>1.8749999999999999E-2</v>
      </c>
      <c r="P215" s="39">
        <v>1.3194444444444444E-2</v>
      </c>
      <c r="Q215" s="39">
        <v>9.0277777777777787E-3</v>
      </c>
      <c r="R215" s="39">
        <v>3.5185185185185185E-3</v>
      </c>
      <c r="S215" s="39">
        <v>9.7222222222222224E-3</v>
      </c>
      <c r="T215" s="39">
        <v>1.1805555555555555E-2</v>
      </c>
      <c r="U215" s="39">
        <v>1.3888888888888888E-2</v>
      </c>
      <c r="V215" s="39">
        <v>1.5972222222222224E-2</v>
      </c>
      <c r="W215" s="39">
        <v>9.7222222222222224E-3</v>
      </c>
      <c r="X215" s="39">
        <v>5.0694444444444438E-2</v>
      </c>
      <c r="Y215" s="39">
        <v>1.2499999999999999E-2</v>
      </c>
      <c r="Z215" s="39">
        <v>1.0416666666666666E-2</v>
      </c>
      <c r="AA215" s="39">
        <v>1.3194444444444444E-2</v>
      </c>
      <c r="AB215" s="39">
        <v>2.9166666666666664E-2</v>
      </c>
      <c r="AC215" s="39">
        <v>5.9027777777777783E-2</v>
      </c>
      <c r="AD215" s="39">
        <v>4.027777777777778E-2</v>
      </c>
      <c r="AE215" s="39">
        <v>1.7025462962962961E-2</v>
      </c>
      <c r="AF215" s="91"/>
      <c r="AG215" s="100">
        <f t="shared" si="28"/>
        <v>0.54762731481481486</v>
      </c>
      <c r="AH215" s="377"/>
    </row>
    <row r="216" spans="1:34" ht="18.75" x14ac:dyDescent="0.25">
      <c r="A216" s="53" t="s">
        <v>114</v>
      </c>
      <c r="B216" s="39">
        <v>5.8680555555555543E-3</v>
      </c>
      <c r="C216" s="39">
        <v>2.013888888888889E-2</v>
      </c>
      <c r="D216" s="39">
        <v>9.7222222222222224E-3</v>
      </c>
      <c r="E216" s="39">
        <v>1.9444444444444445E-2</v>
      </c>
      <c r="F216" s="39">
        <v>6.2499999999999995E-3</v>
      </c>
      <c r="G216" s="39">
        <v>1.2499999999999999E-2</v>
      </c>
      <c r="H216" s="39">
        <v>1.1805555555555555E-2</v>
      </c>
      <c r="I216" s="39">
        <v>1.3888888888888888E-2</v>
      </c>
      <c r="J216" s="39">
        <v>6.2499999999999995E-3</v>
      </c>
      <c r="K216" s="39">
        <v>9.0277777777777787E-3</v>
      </c>
      <c r="L216" s="39">
        <v>3.2638888888888891E-2</v>
      </c>
      <c r="M216" s="39">
        <v>9.0277777777777787E-3</v>
      </c>
      <c r="N216" s="39">
        <v>3.6805555555555557E-2</v>
      </c>
      <c r="O216" s="39">
        <v>4.8611111111111112E-3</v>
      </c>
      <c r="P216" s="39">
        <v>7.3263888888888892E-3</v>
      </c>
      <c r="Q216" s="39">
        <v>1.5972222222222224E-2</v>
      </c>
      <c r="R216" s="39">
        <v>4.1666666666666666E-3</v>
      </c>
      <c r="S216" s="39">
        <v>6.9444444444444441E-3</v>
      </c>
      <c r="T216" s="39">
        <v>1.1111111111111112E-2</v>
      </c>
      <c r="U216" s="39">
        <v>9.7222222222222224E-3</v>
      </c>
      <c r="V216" s="39">
        <v>6.9444444444444441E-3</v>
      </c>
      <c r="W216" s="39">
        <v>1.3194444444444444E-2</v>
      </c>
      <c r="X216" s="39">
        <v>3.5416666666666666E-2</v>
      </c>
      <c r="Y216" s="39">
        <v>1.4583333333333332E-2</v>
      </c>
      <c r="Z216" s="39">
        <v>4.3750000000000004E-2</v>
      </c>
      <c r="AA216" s="39">
        <v>3.6111111111111115E-2</v>
      </c>
      <c r="AB216" s="39">
        <v>3.0555555555555555E-2</v>
      </c>
      <c r="AC216" s="39">
        <v>6.1805555555555558E-2</v>
      </c>
      <c r="AD216" s="39">
        <v>2.6388888888888889E-2</v>
      </c>
      <c r="AE216" s="39">
        <v>1.2673611111111109E-2</v>
      </c>
      <c r="AF216" s="91"/>
      <c r="AG216" s="100">
        <f t="shared" ref="AG216:AG218" si="34">SUM(B216:AF216)</f>
        <v>0.53489583333333335</v>
      </c>
      <c r="AH216" s="377"/>
    </row>
    <row r="217" spans="1:34" ht="18.75" x14ac:dyDescent="0.25">
      <c r="A217" s="53" t="s">
        <v>115</v>
      </c>
      <c r="B217" s="39">
        <v>9.0277777777777787E-3</v>
      </c>
      <c r="C217" s="39">
        <v>1.8055555555555557E-2</v>
      </c>
      <c r="D217" s="39">
        <v>6.9444444444444441E-3</v>
      </c>
      <c r="E217" s="39">
        <v>1.9444444444444445E-2</v>
      </c>
      <c r="F217" s="39">
        <v>7.6388888888888886E-3</v>
      </c>
      <c r="G217" s="39">
        <v>1.1111111111111112E-2</v>
      </c>
      <c r="H217" s="39">
        <v>2.7777777777777779E-3</v>
      </c>
      <c r="I217" s="39">
        <v>6.9444444444444441E-3</v>
      </c>
      <c r="J217" s="39">
        <v>2.1527777777777781E-2</v>
      </c>
      <c r="K217" s="39">
        <v>7.6388888888888886E-3</v>
      </c>
      <c r="L217" s="39">
        <v>1.2499999999999999E-2</v>
      </c>
      <c r="M217" s="39">
        <v>8.3333333333333332E-3</v>
      </c>
      <c r="N217" s="39">
        <v>2.8472222222222222E-2</v>
      </c>
      <c r="O217" s="39">
        <v>8.3333333333333332E-3</v>
      </c>
      <c r="P217" s="39">
        <v>9.0277777777777787E-3</v>
      </c>
      <c r="Q217" s="39">
        <v>3.888888888888889E-2</v>
      </c>
      <c r="R217" s="39">
        <v>3.472222222222222E-3</v>
      </c>
      <c r="S217" s="39">
        <v>5.5555555555555558E-3</v>
      </c>
      <c r="T217" s="39">
        <v>9.7222222222222224E-3</v>
      </c>
      <c r="U217" s="39">
        <v>9.0277777777777787E-3</v>
      </c>
      <c r="V217" s="39">
        <v>9.7222222222222224E-3</v>
      </c>
      <c r="W217" s="39">
        <v>2.7777777777777779E-3</v>
      </c>
      <c r="X217" s="39">
        <v>2.1527777777777781E-2</v>
      </c>
      <c r="Y217" s="39">
        <v>1.8055555555555557E-2</v>
      </c>
      <c r="Z217" s="39">
        <v>3.2638888888888891E-2</v>
      </c>
      <c r="AA217" s="39">
        <v>2.7083333333333334E-2</v>
      </c>
      <c r="AB217" s="39">
        <v>1.0416666666666666E-2</v>
      </c>
      <c r="AC217" s="39">
        <v>6.458333333333334E-2</v>
      </c>
      <c r="AD217" s="39">
        <v>3.0555555555555555E-2</v>
      </c>
      <c r="AE217" s="39">
        <v>5.7638888888888887E-3</v>
      </c>
      <c r="AF217" s="91"/>
      <c r="AG217" s="100">
        <f t="shared" si="34"/>
        <v>0.46756944444444448</v>
      </c>
      <c r="AH217" s="377"/>
    </row>
    <row r="218" spans="1:34" ht="18.75" x14ac:dyDescent="0.25">
      <c r="A218" s="53" t="s">
        <v>116</v>
      </c>
      <c r="B218" s="39">
        <v>3.472222222222222E-3</v>
      </c>
      <c r="C218" s="39">
        <v>9.7222222222222224E-3</v>
      </c>
      <c r="D218" s="39">
        <v>3.472222222222222E-3</v>
      </c>
      <c r="E218" s="39">
        <v>1.4583333333333332E-2</v>
      </c>
      <c r="F218" s="39">
        <v>6.2499999999999995E-3</v>
      </c>
      <c r="G218" s="39">
        <v>4.1666666666666666E-3</v>
      </c>
      <c r="H218" s="39">
        <v>3.7615740740740739E-3</v>
      </c>
      <c r="I218" s="39">
        <v>4.8611111111111112E-3</v>
      </c>
      <c r="J218" s="39">
        <v>6.9444444444444441E-3</v>
      </c>
      <c r="K218" s="39">
        <v>9.0277777777777787E-3</v>
      </c>
      <c r="L218" s="39">
        <v>8.3333333333333332E-3</v>
      </c>
      <c r="M218" s="39">
        <v>9.7222222222222224E-3</v>
      </c>
      <c r="N218" s="39">
        <v>1.3888888888888888E-2</v>
      </c>
      <c r="O218" s="39">
        <v>4.1666666666666666E-3</v>
      </c>
      <c r="P218" s="39">
        <v>4.7916666666666672E-3</v>
      </c>
      <c r="Q218" s="39">
        <v>9.0277777777777776E-2</v>
      </c>
      <c r="R218" s="39">
        <v>4.8611111111111112E-3</v>
      </c>
      <c r="S218" s="39">
        <v>4.1666666666666666E-3</v>
      </c>
      <c r="T218" s="39">
        <v>9.7222222222222224E-3</v>
      </c>
      <c r="U218" s="39">
        <v>4.1666666666666666E-3</v>
      </c>
      <c r="V218" s="39">
        <v>6.2499999999999995E-3</v>
      </c>
      <c r="W218" s="39">
        <v>6.9444444444444447E-4</v>
      </c>
      <c r="X218" s="39">
        <v>9.7222222222222224E-3</v>
      </c>
      <c r="Y218" s="39">
        <v>1.3888888888888888E-2</v>
      </c>
      <c r="Z218" s="39">
        <v>1.4583333333333332E-2</v>
      </c>
      <c r="AA218" s="39">
        <v>1.5277777777777777E-2</v>
      </c>
      <c r="AB218" s="39">
        <v>1.1805555555555555E-2</v>
      </c>
      <c r="AC218" s="39">
        <v>6.7361111111111108E-2</v>
      </c>
      <c r="AD218" s="39">
        <v>1.0416666666666666E-2</v>
      </c>
      <c r="AE218" s="39">
        <v>5.0578703703703706E-3</v>
      </c>
      <c r="AF218" s="91"/>
      <c r="AG218" s="100">
        <f t="shared" si="34"/>
        <v>0.37541666666666668</v>
      </c>
      <c r="AH218" s="377"/>
    </row>
    <row r="219" spans="1:34" ht="18.75" x14ac:dyDescent="0.25">
      <c r="A219" s="53" t="s">
        <v>117</v>
      </c>
      <c r="B219" s="39">
        <v>2.0833333333333333E-3</v>
      </c>
      <c r="C219" s="39">
        <v>1.4583333333333332E-2</v>
      </c>
      <c r="D219" s="39">
        <v>7.6388888888888886E-3</v>
      </c>
      <c r="E219" s="39">
        <v>1.9444444444444445E-2</v>
      </c>
      <c r="F219" s="39">
        <v>4.1666666666666666E-3</v>
      </c>
      <c r="G219" s="39">
        <v>6.2499999999999995E-3</v>
      </c>
      <c r="H219" s="39">
        <v>1.4583333333333332E-2</v>
      </c>
      <c r="I219" s="39">
        <v>4.8611111111111112E-3</v>
      </c>
      <c r="J219" s="39">
        <v>5.5555555555555558E-3</v>
      </c>
      <c r="K219" s="39">
        <v>5.5555555555555558E-3</v>
      </c>
      <c r="L219" s="39">
        <v>5.5555555555555558E-3</v>
      </c>
      <c r="M219" s="39">
        <v>9.0277777777777787E-3</v>
      </c>
      <c r="N219" s="39">
        <v>6.9444444444444441E-3</v>
      </c>
      <c r="O219" s="39">
        <v>4.1666666666666666E-3</v>
      </c>
      <c r="P219" s="39">
        <v>4.1666666666666666E-3</v>
      </c>
      <c r="Q219" s="39">
        <v>7.8472222222222221E-2</v>
      </c>
      <c r="R219" s="39">
        <v>5.5555555555555558E-3</v>
      </c>
      <c r="S219" s="39">
        <v>6.2499999999999995E-3</v>
      </c>
      <c r="T219" s="39">
        <v>4.8611111111111112E-3</v>
      </c>
      <c r="U219" s="39">
        <v>1.2499999999999999E-2</v>
      </c>
      <c r="V219" s="39">
        <v>9.0277777777777787E-3</v>
      </c>
      <c r="W219" s="39">
        <v>1.8055555555555557E-2</v>
      </c>
      <c r="X219" s="39">
        <v>1.1111111111111112E-2</v>
      </c>
      <c r="Y219" s="39">
        <v>6.2499999999999995E-3</v>
      </c>
      <c r="Z219" s="39">
        <v>5.5555555555555558E-3</v>
      </c>
      <c r="AA219" s="39">
        <v>3.472222222222222E-3</v>
      </c>
      <c r="AB219" s="39">
        <v>1.3888888888888888E-2</v>
      </c>
      <c r="AC219" s="39">
        <v>2.7083333333333334E-2</v>
      </c>
      <c r="AD219" s="39">
        <v>1.3888888888888889E-3</v>
      </c>
      <c r="AE219" s="39">
        <v>2.1064814814814813E-3</v>
      </c>
      <c r="AF219" s="91"/>
      <c r="AG219" s="100">
        <f t="shared" si="28"/>
        <v>0.320162037037037</v>
      </c>
      <c r="AH219" s="377"/>
    </row>
    <row r="220" spans="1:34" ht="18.75" x14ac:dyDescent="0.25">
      <c r="A220" s="43" t="s">
        <v>150</v>
      </c>
      <c r="B220" s="19">
        <v>6.1805555555555558E-2</v>
      </c>
      <c r="C220" s="19">
        <v>3.4722222222222224E-2</v>
      </c>
      <c r="D220" s="19">
        <v>3.4722222222222224E-2</v>
      </c>
      <c r="E220" s="19">
        <v>2.7083333333333334E-2</v>
      </c>
      <c r="F220" s="19">
        <v>1.9444444444444445E-2</v>
      </c>
      <c r="G220" s="19">
        <v>1.4583333333333332E-2</v>
      </c>
      <c r="H220" s="19">
        <v>2.6388888888888889E-2</v>
      </c>
      <c r="I220" s="19">
        <v>1.7361111111111112E-2</v>
      </c>
      <c r="J220" s="19">
        <v>1.6666666666666666E-2</v>
      </c>
      <c r="K220" s="19">
        <v>2.9166666666666664E-2</v>
      </c>
      <c r="L220" s="19">
        <v>2.1527777777777781E-2</v>
      </c>
      <c r="M220" s="19">
        <v>1.9444444444444445E-2</v>
      </c>
      <c r="N220" s="19">
        <v>3.8194444444444441E-2</v>
      </c>
      <c r="O220" s="19">
        <v>1.8749999999999999E-2</v>
      </c>
      <c r="P220" s="19">
        <v>6.9444444444444441E-3</v>
      </c>
      <c r="Q220" s="19">
        <v>2.1527777777777781E-2</v>
      </c>
      <c r="R220" s="19">
        <v>1.5277777777777777E-2</v>
      </c>
      <c r="S220" s="19">
        <v>9.0277777777777787E-3</v>
      </c>
      <c r="T220" s="19">
        <v>1.3194444444444444E-2</v>
      </c>
      <c r="U220" s="19">
        <v>4.027777777777778E-2</v>
      </c>
      <c r="V220" s="19">
        <v>4.9999999999999996E-2</v>
      </c>
      <c r="W220" s="19">
        <v>8.7500000000000008E-2</v>
      </c>
      <c r="X220" s="19">
        <v>2.4999999999999998E-2</v>
      </c>
      <c r="Y220" s="19">
        <v>4.4444444444444446E-2</v>
      </c>
      <c r="Z220" s="19">
        <v>4.7222222222222221E-2</v>
      </c>
      <c r="AA220" s="19">
        <v>5.2083333333333336E-2</v>
      </c>
      <c r="AB220" s="19">
        <v>4.3055555555555562E-2</v>
      </c>
      <c r="AC220" s="19">
        <v>1.3402777777777777E-2</v>
      </c>
      <c r="AD220" s="19">
        <v>2.7083333333333334E-2</v>
      </c>
      <c r="AE220" s="19">
        <v>2.9166666666666664E-2</v>
      </c>
      <c r="AF220" s="25"/>
      <c r="AG220" s="99">
        <f t="shared" si="28"/>
        <v>0.90506944444444448</v>
      </c>
      <c r="AH220" s="377"/>
    </row>
    <row r="221" spans="1:34" ht="18.75" x14ac:dyDescent="0.25">
      <c r="A221" s="43" t="s">
        <v>78</v>
      </c>
      <c r="B221" s="19">
        <v>7.2916666666666671E-2</v>
      </c>
      <c r="C221" s="19">
        <v>4.3055555555555562E-2</v>
      </c>
      <c r="D221" s="19">
        <v>4.3055555555555562E-2</v>
      </c>
      <c r="E221" s="19">
        <v>3.6805555555555557E-2</v>
      </c>
      <c r="F221" s="19">
        <v>2.9861111111111113E-2</v>
      </c>
      <c r="G221" s="19">
        <v>2.361111111111111E-2</v>
      </c>
      <c r="H221" s="19">
        <v>3.6111111111111115E-2</v>
      </c>
      <c r="I221" s="19">
        <v>3.125E-2</v>
      </c>
      <c r="J221" s="19">
        <v>2.5694444444444447E-2</v>
      </c>
      <c r="K221" s="19">
        <v>3.888888888888889E-2</v>
      </c>
      <c r="L221" s="19">
        <v>3.125E-2</v>
      </c>
      <c r="M221" s="19">
        <v>3.1944444444444449E-2</v>
      </c>
      <c r="N221" s="19">
        <v>4.9999999999999996E-2</v>
      </c>
      <c r="O221" s="19">
        <v>3.125E-2</v>
      </c>
      <c r="P221" s="19">
        <v>1.5277777777777777E-2</v>
      </c>
      <c r="Q221" s="19">
        <v>3.125E-2</v>
      </c>
      <c r="R221" s="19">
        <v>2.4999999999999998E-2</v>
      </c>
      <c r="S221" s="19">
        <v>2.2222222222222223E-2</v>
      </c>
      <c r="T221" s="19">
        <v>2.5694444444444447E-2</v>
      </c>
      <c r="U221" s="19">
        <v>5.3472222222222227E-2</v>
      </c>
      <c r="V221" s="19">
        <v>6.0416666666666667E-2</v>
      </c>
      <c r="W221" s="19">
        <v>0.10486111111111111</v>
      </c>
      <c r="X221" s="19">
        <v>3.3333333333333333E-2</v>
      </c>
      <c r="Y221" s="19">
        <v>5.8333333333333327E-2</v>
      </c>
      <c r="Z221" s="19">
        <v>6.0416666666666667E-2</v>
      </c>
      <c r="AA221" s="19">
        <v>6.3194444444444442E-2</v>
      </c>
      <c r="AB221" s="19">
        <v>5.2777777777777778E-2</v>
      </c>
      <c r="AC221" s="19">
        <v>2.361111111111111E-2</v>
      </c>
      <c r="AD221" s="19">
        <v>4.2361111111111106E-2</v>
      </c>
      <c r="AE221" s="19">
        <v>3.9942129629629626E-2</v>
      </c>
      <c r="AF221" s="25"/>
      <c r="AG221" s="99">
        <f t="shared" si="28"/>
        <v>1.2378587962962961</v>
      </c>
      <c r="AH221" s="377"/>
    </row>
    <row r="222" spans="1:34" ht="19.5" thickBot="1" x14ac:dyDescent="0.3">
      <c r="A222" s="43" t="s">
        <v>79</v>
      </c>
      <c r="B222" s="19">
        <v>3.3333333333333333E-2</v>
      </c>
      <c r="C222" s="19">
        <v>3.4027777777777775E-2</v>
      </c>
      <c r="D222" s="19">
        <v>3.2638888888888891E-2</v>
      </c>
      <c r="E222" s="19">
        <v>2.7083333333333334E-2</v>
      </c>
      <c r="F222" s="19">
        <v>3.5416666666666666E-2</v>
      </c>
      <c r="G222" s="19">
        <v>3.4027777777777775E-2</v>
      </c>
      <c r="H222" s="19">
        <v>3.0555555555555555E-2</v>
      </c>
      <c r="I222" s="19">
        <v>3.6111111111111115E-2</v>
      </c>
      <c r="J222" s="19">
        <v>3.7499999999999999E-2</v>
      </c>
      <c r="K222" s="19">
        <v>3.0555555555555555E-2</v>
      </c>
      <c r="L222" s="19">
        <v>3.6805555555555557E-2</v>
      </c>
      <c r="M222" s="19">
        <v>3.2638888888888891E-2</v>
      </c>
      <c r="N222" s="19">
        <v>3.7499999999999999E-2</v>
      </c>
      <c r="O222" s="19">
        <v>3.2638888888888891E-2</v>
      </c>
      <c r="P222" s="19">
        <v>3.125E-2</v>
      </c>
      <c r="Q222" s="19">
        <v>3.4027777777777775E-2</v>
      </c>
      <c r="R222" s="19">
        <v>3.125E-2</v>
      </c>
      <c r="S222" s="19">
        <v>3.3333333333333333E-2</v>
      </c>
      <c r="T222" s="19">
        <v>3.125E-2</v>
      </c>
      <c r="U222" s="19">
        <v>3.0555555555555555E-2</v>
      </c>
      <c r="V222" s="19">
        <v>3.1944444444444449E-2</v>
      </c>
      <c r="W222" s="19">
        <v>5.0694444444444438E-2</v>
      </c>
      <c r="X222" s="19">
        <v>3.1944444444444449E-2</v>
      </c>
      <c r="Y222" s="19">
        <v>3.4722222222222224E-2</v>
      </c>
      <c r="Z222" s="19">
        <v>4.027777777777778E-2</v>
      </c>
      <c r="AA222" s="19">
        <v>3.2638888888888891E-2</v>
      </c>
      <c r="AB222" s="19">
        <v>2.9166666666666664E-2</v>
      </c>
      <c r="AC222" s="19">
        <v>3.9583333333333331E-2</v>
      </c>
      <c r="AD222" s="19">
        <v>4.9999999999999996E-2</v>
      </c>
      <c r="AE222" s="19">
        <v>3.4027777777777775E-2</v>
      </c>
      <c r="AF222" s="25"/>
      <c r="AG222" s="99">
        <f t="shared" si="28"/>
        <v>1.0374999999999999</v>
      </c>
      <c r="AH222" s="378"/>
    </row>
    <row r="223" spans="1:34" ht="24" thickBot="1" x14ac:dyDescent="0.3">
      <c r="A223" s="62" t="s">
        <v>118</v>
      </c>
      <c r="B223" s="20">
        <f>+B222+B221+B211+B220</f>
        <v>0.18263888888888891</v>
      </c>
      <c r="C223" s="20">
        <f t="shared" ref="C223:AF223" si="35">+C222+C221+C211+C220</f>
        <v>0.13819444444444445</v>
      </c>
      <c r="D223" s="20">
        <f t="shared" si="35"/>
        <v>0.12847222222222224</v>
      </c>
      <c r="E223" s="20">
        <f t="shared" si="35"/>
        <v>0.12916666666666665</v>
      </c>
      <c r="F223" s="20">
        <f t="shared" si="35"/>
        <v>0.10555555555555556</v>
      </c>
      <c r="G223" s="20">
        <f t="shared" si="35"/>
        <v>9.3055555555555558E-2</v>
      </c>
      <c r="H223" s="20">
        <f t="shared" si="35"/>
        <v>0.10902777777777778</v>
      </c>
      <c r="I223" s="20">
        <f t="shared" si="35"/>
        <v>9.375E-2</v>
      </c>
      <c r="J223" s="20">
        <f t="shared" si="35"/>
        <v>9.9999999999999992E-2</v>
      </c>
      <c r="K223" s="20">
        <f t="shared" si="35"/>
        <v>0.11666666666666667</v>
      </c>
      <c r="L223" s="20">
        <f t="shared" si="35"/>
        <v>0.12986111111111112</v>
      </c>
      <c r="M223" s="20">
        <f t="shared" si="35"/>
        <v>9.7222222222222224E-2</v>
      </c>
      <c r="N223" s="20">
        <f t="shared" si="35"/>
        <v>0.15833333333333333</v>
      </c>
      <c r="O223" s="20">
        <f t="shared" si="35"/>
        <v>9.0972222222222218E-2</v>
      </c>
      <c r="P223" s="20">
        <f t="shared" si="35"/>
        <v>6.1111111111111116E-2</v>
      </c>
      <c r="Q223" s="20">
        <f t="shared" si="35"/>
        <v>0.1111111111111111</v>
      </c>
      <c r="R223" s="20">
        <f t="shared" si="35"/>
        <v>7.8877314814814817E-2</v>
      </c>
      <c r="S223" s="20">
        <f t="shared" si="35"/>
        <v>7.0833333333333331E-2</v>
      </c>
      <c r="T223" s="20">
        <f t="shared" si="35"/>
        <v>7.9166666666666663E-2</v>
      </c>
      <c r="U223" s="20">
        <f t="shared" si="35"/>
        <v>0.13333333333333333</v>
      </c>
      <c r="V223" s="20">
        <f t="shared" si="35"/>
        <v>0.15555555555555556</v>
      </c>
      <c r="W223" s="20">
        <f t="shared" si="35"/>
        <v>0.25347222222222221</v>
      </c>
      <c r="X223" s="20">
        <f t="shared" si="35"/>
        <v>0.12777777777777777</v>
      </c>
      <c r="Y223" s="20">
        <f t="shared" si="35"/>
        <v>0.16458333333333333</v>
      </c>
      <c r="Z223" s="20">
        <f t="shared" si="35"/>
        <v>0.1701388888888889</v>
      </c>
      <c r="AA223" s="20">
        <f t="shared" si="35"/>
        <v>0.1736111111111111</v>
      </c>
      <c r="AB223" s="20">
        <f t="shared" si="35"/>
        <v>0.14791666666666667</v>
      </c>
      <c r="AC223" s="20">
        <f t="shared" si="35"/>
        <v>0.13145833333333334</v>
      </c>
      <c r="AD223" s="20">
        <f t="shared" si="35"/>
        <v>0.13851851851851851</v>
      </c>
      <c r="AE223" s="20">
        <f t="shared" si="35"/>
        <v>0.12224537037037035</v>
      </c>
      <c r="AF223" s="26">
        <f t="shared" si="35"/>
        <v>0</v>
      </c>
      <c r="AG223" s="99">
        <f t="shared" si="28"/>
        <v>3.7926273148148151</v>
      </c>
      <c r="AH223" s="36"/>
    </row>
    <row r="224" spans="1:34" ht="18.75" x14ac:dyDescent="0.25">
      <c r="A224" s="57" t="s">
        <v>90</v>
      </c>
      <c r="B224" s="27">
        <v>14</v>
      </c>
      <c r="C224" s="27">
        <v>35</v>
      </c>
      <c r="D224" s="27">
        <v>36</v>
      </c>
      <c r="E224" s="27">
        <v>39</v>
      </c>
      <c r="F224" s="27">
        <v>40</v>
      </c>
      <c r="G224" s="27">
        <v>25</v>
      </c>
      <c r="H224" s="27">
        <v>16</v>
      </c>
      <c r="I224" s="27">
        <v>20</v>
      </c>
      <c r="J224" s="27">
        <v>20</v>
      </c>
      <c r="K224" s="27">
        <v>34</v>
      </c>
      <c r="L224" s="27">
        <v>32</v>
      </c>
      <c r="M224" s="27">
        <v>33</v>
      </c>
      <c r="N224" s="27">
        <v>32</v>
      </c>
      <c r="O224" s="27">
        <v>20</v>
      </c>
      <c r="P224" s="27">
        <v>17</v>
      </c>
      <c r="Q224" s="27">
        <v>18</v>
      </c>
      <c r="R224" s="27">
        <v>19</v>
      </c>
      <c r="S224" s="27">
        <v>20</v>
      </c>
      <c r="T224" s="27">
        <v>8</v>
      </c>
      <c r="U224" s="27">
        <v>14</v>
      </c>
      <c r="V224" s="27">
        <v>22</v>
      </c>
      <c r="W224" s="27">
        <v>9</v>
      </c>
      <c r="X224" s="27">
        <v>43</v>
      </c>
      <c r="Y224" s="27">
        <v>38</v>
      </c>
      <c r="Z224" s="27">
        <v>30</v>
      </c>
      <c r="AA224" s="27">
        <v>49</v>
      </c>
      <c r="AB224" s="27">
        <v>40</v>
      </c>
      <c r="AC224" s="27">
        <v>20</v>
      </c>
      <c r="AD224" s="27">
        <v>27</v>
      </c>
      <c r="AE224" s="27">
        <v>36</v>
      </c>
      <c r="AF224" s="92"/>
      <c r="AG224" s="31">
        <f t="shared" ref="AG224:AG237" si="36">SUM(B224:AF224)</f>
        <v>806</v>
      </c>
      <c r="AH224" s="379" t="s">
        <v>96</v>
      </c>
    </row>
    <row r="225" spans="1:34" ht="18.75" x14ac:dyDescent="0.25">
      <c r="A225" s="54" t="s">
        <v>91</v>
      </c>
      <c r="B225" s="40">
        <v>0.33333333333333331</v>
      </c>
      <c r="C225" s="40">
        <v>0.33333333333333331</v>
      </c>
      <c r="D225" s="40">
        <v>0.33333333333333331</v>
      </c>
      <c r="E225" s="40">
        <v>0.33333333333333331</v>
      </c>
      <c r="F225" s="40">
        <v>0.33333333333333331</v>
      </c>
      <c r="G225" s="40"/>
      <c r="H225" s="40"/>
      <c r="I225" s="40">
        <v>0.33333333333333331</v>
      </c>
      <c r="J225" s="40">
        <v>0.33333333333333331</v>
      </c>
      <c r="K225" s="40">
        <v>0.33333333333333331</v>
      </c>
      <c r="L225" s="40">
        <v>0.33333333333333331</v>
      </c>
      <c r="M225" s="40">
        <v>0.33333333333333331</v>
      </c>
      <c r="N225" s="40"/>
      <c r="O225" s="40"/>
      <c r="P225" s="40">
        <v>0.33333333333333331</v>
      </c>
      <c r="Q225" s="40">
        <v>0.33333333333333331</v>
      </c>
      <c r="R225" s="40"/>
      <c r="S225" s="40"/>
      <c r="T225" s="40"/>
      <c r="U225" s="40"/>
      <c r="V225" s="40"/>
      <c r="W225" s="40">
        <v>0.33333333333333331</v>
      </c>
      <c r="X225" s="40">
        <v>0.33333333333333331</v>
      </c>
      <c r="Y225" s="40">
        <v>0.33333333333333331</v>
      </c>
      <c r="Z225" s="40">
        <v>0.33333333333333331</v>
      </c>
      <c r="AA225" s="40">
        <v>0.33333333333333331</v>
      </c>
      <c r="AB225" s="40"/>
      <c r="AC225" s="40"/>
      <c r="AD225" s="40">
        <v>0.33333333333333331</v>
      </c>
      <c r="AE225" s="40">
        <v>0.33333333333333331</v>
      </c>
      <c r="AF225" s="93"/>
      <c r="AG225" s="99">
        <f t="shared" si="36"/>
        <v>6.3333333333333313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/>
      <c r="AG226" s="28">
        <f t="shared" si="36"/>
        <v>0</v>
      </c>
      <c r="AH226" s="381"/>
    </row>
    <row r="227" spans="1:34" ht="18.75" x14ac:dyDescent="0.25">
      <c r="A227" s="55" t="s">
        <v>92</v>
      </c>
      <c r="B227" s="118">
        <f>SUM(B228:B230)</f>
        <v>5</v>
      </c>
      <c r="C227" s="118">
        <f t="shared" ref="C227:AF227" si="37">SUM(C228:C230)</f>
        <v>2</v>
      </c>
      <c r="D227" s="118">
        <f t="shared" si="37"/>
        <v>5</v>
      </c>
      <c r="E227" s="118">
        <f t="shared" si="37"/>
        <v>4</v>
      </c>
      <c r="F227" s="118">
        <f t="shared" si="37"/>
        <v>5</v>
      </c>
      <c r="G227" s="118">
        <f t="shared" si="37"/>
        <v>1</v>
      </c>
      <c r="H227" s="118">
        <f t="shared" si="37"/>
        <v>2</v>
      </c>
      <c r="I227" s="118">
        <f t="shared" si="37"/>
        <v>10</v>
      </c>
      <c r="J227" s="118">
        <f t="shared" si="37"/>
        <v>8</v>
      </c>
      <c r="K227" s="118">
        <f t="shared" si="37"/>
        <v>3</v>
      </c>
      <c r="L227" s="118">
        <f t="shared" si="37"/>
        <v>6</v>
      </c>
      <c r="M227" s="118">
        <f t="shared" si="37"/>
        <v>3</v>
      </c>
      <c r="N227" s="118">
        <f t="shared" si="37"/>
        <v>1</v>
      </c>
      <c r="O227" s="118">
        <f t="shared" si="37"/>
        <v>5</v>
      </c>
      <c r="P227" s="118">
        <f t="shared" si="37"/>
        <v>4</v>
      </c>
      <c r="Q227" s="118">
        <f t="shared" si="37"/>
        <v>1</v>
      </c>
      <c r="R227" s="118">
        <f t="shared" si="37"/>
        <v>4</v>
      </c>
      <c r="S227" s="118">
        <f t="shared" si="37"/>
        <v>7</v>
      </c>
      <c r="T227" s="118">
        <f t="shared" si="37"/>
        <v>4</v>
      </c>
      <c r="U227" s="118">
        <f t="shared" si="37"/>
        <v>2</v>
      </c>
      <c r="V227" s="118">
        <f t="shared" si="37"/>
        <v>5</v>
      </c>
      <c r="W227" s="118">
        <f t="shared" si="37"/>
        <v>2</v>
      </c>
      <c r="X227" s="118">
        <f t="shared" si="37"/>
        <v>5</v>
      </c>
      <c r="Y227" s="118">
        <f t="shared" si="37"/>
        <v>6</v>
      </c>
      <c r="Z227" s="118">
        <f t="shared" si="37"/>
        <v>4</v>
      </c>
      <c r="AA227" s="118">
        <f t="shared" si="37"/>
        <v>4</v>
      </c>
      <c r="AB227" s="118">
        <f t="shared" si="37"/>
        <v>3</v>
      </c>
      <c r="AC227" s="118">
        <f t="shared" si="37"/>
        <v>4</v>
      </c>
      <c r="AD227" s="118">
        <f t="shared" si="37"/>
        <v>3</v>
      </c>
      <c r="AE227" s="118">
        <f t="shared" si="37"/>
        <v>3</v>
      </c>
      <c r="AF227" s="118">
        <f t="shared" si="37"/>
        <v>0</v>
      </c>
      <c r="AG227" s="95">
        <f t="shared" si="36"/>
        <v>121</v>
      </c>
      <c r="AH227" s="379" t="s">
        <v>93</v>
      </c>
    </row>
    <row r="228" spans="1:34" ht="18.75" x14ac:dyDescent="0.25">
      <c r="A228" s="139" t="s">
        <v>94</v>
      </c>
      <c r="B228" s="140">
        <v>1</v>
      </c>
      <c r="C228" s="140">
        <v>0</v>
      </c>
      <c r="D228" s="140">
        <v>1</v>
      </c>
      <c r="E228" s="140">
        <v>0</v>
      </c>
      <c r="F228" s="140">
        <v>1</v>
      </c>
      <c r="G228" s="140">
        <v>0</v>
      </c>
      <c r="H228" s="140">
        <v>0</v>
      </c>
      <c r="I228" s="140">
        <v>1</v>
      </c>
      <c r="J228" s="140">
        <v>4</v>
      </c>
      <c r="K228" s="140">
        <v>0</v>
      </c>
      <c r="L228" s="140">
        <v>2</v>
      </c>
      <c r="M228" s="140">
        <v>1</v>
      </c>
      <c r="N228" s="145">
        <v>0</v>
      </c>
      <c r="O228" s="140">
        <v>2</v>
      </c>
      <c r="P228" s="140">
        <v>1</v>
      </c>
      <c r="Q228" s="140">
        <v>1</v>
      </c>
      <c r="R228" s="140">
        <v>1</v>
      </c>
      <c r="S228" s="140">
        <v>2</v>
      </c>
      <c r="T228" s="140">
        <v>1</v>
      </c>
      <c r="U228" s="140">
        <v>0</v>
      </c>
      <c r="V228" s="140">
        <v>1</v>
      </c>
      <c r="W228" s="140">
        <v>1</v>
      </c>
      <c r="X228" s="140">
        <v>1</v>
      </c>
      <c r="Y228" s="140">
        <v>2</v>
      </c>
      <c r="Z228" s="142">
        <v>1</v>
      </c>
      <c r="AA228" s="140">
        <v>0</v>
      </c>
      <c r="AB228" s="140">
        <v>1</v>
      </c>
      <c r="AC228" s="140">
        <v>1</v>
      </c>
      <c r="AD228" s="140">
        <v>1</v>
      </c>
      <c r="AE228" s="140">
        <v>1</v>
      </c>
      <c r="AF228" s="144"/>
      <c r="AG228" s="143">
        <f t="shared" si="36"/>
        <v>29</v>
      </c>
      <c r="AH228" s="380"/>
    </row>
    <row r="229" spans="1:34" ht="18.75" x14ac:dyDescent="0.25">
      <c r="A229" s="139" t="s">
        <v>95</v>
      </c>
      <c r="B229" s="140">
        <v>4</v>
      </c>
      <c r="C229" s="140">
        <v>2</v>
      </c>
      <c r="D229" s="140">
        <v>4</v>
      </c>
      <c r="E229" s="140">
        <v>4</v>
      </c>
      <c r="F229" s="140">
        <v>4</v>
      </c>
      <c r="G229" s="140">
        <v>1</v>
      </c>
      <c r="H229" s="140">
        <v>2</v>
      </c>
      <c r="I229" s="140">
        <v>9</v>
      </c>
      <c r="J229" s="140">
        <v>4</v>
      </c>
      <c r="K229" s="140">
        <v>3</v>
      </c>
      <c r="L229" s="140">
        <v>4</v>
      </c>
      <c r="M229" s="140">
        <v>2</v>
      </c>
      <c r="N229" s="145">
        <v>1</v>
      </c>
      <c r="O229" s="140">
        <v>3</v>
      </c>
      <c r="P229" s="140">
        <v>3</v>
      </c>
      <c r="Q229" s="140">
        <v>0</v>
      </c>
      <c r="R229" s="140">
        <v>3</v>
      </c>
      <c r="S229" s="140">
        <v>5</v>
      </c>
      <c r="T229" s="140">
        <v>3</v>
      </c>
      <c r="U229" s="140">
        <v>2</v>
      </c>
      <c r="V229" s="140">
        <v>4</v>
      </c>
      <c r="W229" s="140">
        <v>1</v>
      </c>
      <c r="X229" s="140">
        <v>4</v>
      </c>
      <c r="Y229" s="140">
        <v>4</v>
      </c>
      <c r="Z229" s="142">
        <v>3</v>
      </c>
      <c r="AA229" s="140">
        <v>4</v>
      </c>
      <c r="AB229" s="140">
        <v>2</v>
      </c>
      <c r="AC229" s="140">
        <v>3</v>
      </c>
      <c r="AD229" s="140">
        <v>2</v>
      </c>
      <c r="AE229" s="140">
        <v>2</v>
      </c>
      <c r="AF229" s="144"/>
      <c r="AG229" s="143">
        <f t="shared" si="36"/>
        <v>92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6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38">SUM(C232:C237)</f>
        <v>0</v>
      </c>
      <c r="D231" s="199">
        <f t="shared" si="38"/>
        <v>0</v>
      </c>
      <c r="E231" s="199">
        <f t="shared" si="38"/>
        <v>0</v>
      </c>
      <c r="F231" s="199">
        <f t="shared" si="38"/>
        <v>0</v>
      </c>
      <c r="G231" s="199">
        <f t="shared" si="38"/>
        <v>0</v>
      </c>
      <c r="H231" s="199">
        <f t="shared" si="38"/>
        <v>0</v>
      </c>
      <c r="I231" s="199">
        <f t="shared" si="38"/>
        <v>0</v>
      </c>
      <c r="J231" s="199">
        <f t="shared" si="38"/>
        <v>0</v>
      </c>
      <c r="K231" s="199">
        <f t="shared" si="38"/>
        <v>0</v>
      </c>
      <c r="L231" s="199">
        <f t="shared" si="38"/>
        <v>0</v>
      </c>
      <c r="M231" s="199">
        <f t="shared" si="38"/>
        <v>0</v>
      </c>
      <c r="N231" s="199">
        <f t="shared" si="38"/>
        <v>0</v>
      </c>
      <c r="O231" s="199">
        <f t="shared" si="38"/>
        <v>0</v>
      </c>
      <c r="P231" s="199">
        <f t="shared" si="38"/>
        <v>0</v>
      </c>
      <c r="Q231" s="199">
        <f t="shared" si="38"/>
        <v>0</v>
      </c>
      <c r="R231" s="199">
        <f t="shared" si="38"/>
        <v>0</v>
      </c>
      <c r="S231" s="199">
        <f t="shared" si="38"/>
        <v>0</v>
      </c>
      <c r="T231" s="199">
        <f t="shared" si="38"/>
        <v>0</v>
      </c>
      <c r="U231" s="199">
        <f t="shared" si="38"/>
        <v>0</v>
      </c>
      <c r="V231" s="199">
        <f t="shared" si="38"/>
        <v>0</v>
      </c>
      <c r="W231" s="199">
        <f t="shared" si="38"/>
        <v>0</v>
      </c>
      <c r="X231" s="199">
        <f t="shared" si="38"/>
        <v>0</v>
      </c>
      <c r="Y231" s="199">
        <f t="shared" si="38"/>
        <v>0</v>
      </c>
      <c r="Z231" s="199">
        <f t="shared" si="38"/>
        <v>0</v>
      </c>
      <c r="AA231" s="199">
        <f t="shared" si="38"/>
        <v>0</v>
      </c>
      <c r="AB231" s="199">
        <f t="shared" si="38"/>
        <v>0</v>
      </c>
      <c r="AC231" s="199">
        <f t="shared" si="38"/>
        <v>0</v>
      </c>
      <c r="AD231" s="199">
        <f t="shared" si="38"/>
        <v>0</v>
      </c>
      <c r="AE231" s="199">
        <f t="shared" si="38"/>
        <v>0</v>
      </c>
      <c r="AF231" s="200">
        <f t="shared" si="38"/>
        <v>0</v>
      </c>
      <c r="AG231" s="201">
        <f t="shared" si="36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36"/>
        <v>0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36"/>
        <v>0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36"/>
        <v>0</v>
      </c>
    </row>
    <row r="238" spans="1:34" ht="21.75" x14ac:dyDescent="0.25">
      <c r="A238" s="225" t="s">
        <v>151</v>
      </c>
      <c r="B238" s="251">
        <v>9.6527777777777782E-2</v>
      </c>
      <c r="C238" s="251">
        <v>6.9444444444444448E-2</v>
      </c>
      <c r="D238" s="251">
        <v>6.8749999999999992E-2</v>
      </c>
      <c r="E238" s="251">
        <v>5.6250000000000001E-2</v>
      </c>
      <c r="F238" s="251">
        <v>5.6250000000000001E-2</v>
      </c>
      <c r="G238" s="251">
        <v>4.9999999999999996E-2</v>
      </c>
      <c r="H238" s="251">
        <v>6.1805555555555558E-2</v>
      </c>
      <c r="I238" s="251">
        <v>5.6250000000000001E-2</v>
      </c>
      <c r="J238" s="251">
        <v>5.5555555555555552E-2</v>
      </c>
      <c r="K238" s="251">
        <v>6.1805555555555558E-2</v>
      </c>
      <c r="L238" s="251">
        <v>5.9722222222222225E-2</v>
      </c>
      <c r="M238" s="251">
        <v>5.3472222222222227E-2</v>
      </c>
      <c r="N238" s="280">
        <v>7.6388888888888881E-2</v>
      </c>
      <c r="O238" s="251">
        <v>5.3472222222222227E-2</v>
      </c>
      <c r="P238" s="251">
        <v>4.1666666666666664E-2</v>
      </c>
      <c r="Q238" s="251">
        <v>5.8333333333333327E-2</v>
      </c>
      <c r="R238" s="251">
        <v>4.9999999999999996E-2</v>
      </c>
      <c r="S238" s="251">
        <v>4.5833333333333337E-2</v>
      </c>
      <c r="T238" s="251">
        <v>4.6527777777777779E-2</v>
      </c>
      <c r="U238" s="251">
        <v>7.4305555555555555E-2</v>
      </c>
      <c r="V238" s="251">
        <v>8.4027777777777771E-2</v>
      </c>
      <c r="W238" s="251">
        <v>0.14166666666666666</v>
      </c>
      <c r="X238" s="251">
        <v>5.8333333333333327E-2</v>
      </c>
      <c r="Y238" s="251">
        <v>8.0555555555555561E-2</v>
      </c>
      <c r="Z238" s="251">
        <v>9.0277777777777776E-2</v>
      </c>
      <c r="AA238" s="251">
        <v>8.6111111111111124E-2</v>
      </c>
      <c r="AB238" s="251">
        <v>7.2916666666666671E-2</v>
      </c>
      <c r="AC238" s="226">
        <v>5.5555555555555552E-2</v>
      </c>
      <c r="AD238" s="226">
        <v>8.1250000000000003E-2</v>
      </c>
      <c r="AE238" s="226">
        <v>6.5277777777777782E-2</v>
      </c>
      <c r="AF238" s="226"/>
      <c r="AG238" s="227">
        <f t="shared" ref="AG238:AG239" si="39">AVERAGE(B238:AF238)</f>
        <v>6.6944444444444445E-2</v>
      </c>
    </row>
    <row r="239" spans="1:34" ht="22.5" thickBot="1" x14ac:dyDescent="0.3">
      <c r="A239" s="228" t="s">
        <v>152</v>
      </c>
      <c r="B239" s="252">
        <v>0.13333333333333333</v>
      </c>
      <c r="C239" s="252">
        <v>7.7083333333333337E-2</v>
      </c>
      <c r="D239" s="252">
        <v>7.7777777777777779E-2</v>
      </c>
      <c r="E239" s="252">
        <v>6.3888888888888898E-2</v>
      </c>
      <c r="F239" s="252">
        <v>4.9305555555555554E-2</v>
      </c>
      <c r="G239" s="252">
        <v>3.888888888888889E-2</v>
      </c>
      <c r="H239" s="252">
        <v>6.1805555555555558E-2</v>
      </c>
      <c r="I239" s="252">
        <v>4.8611111111111112E-2</v>
      </c>
      <c r="J239" s="252">
        <v>4.2361111111111106E-2</v>
      </c>
      <c r="K239" s="252">
        <v>6.805555555555555E-2</v>
      </c>
      <c r="L239" s="252">
        <v>5.2777777777777778E-2</v>
      </c>
      <c r="M239" s="252">
        <v>5.0694444444444438E-2</v>
      </c>
      <c r="N239" s="281">
        <v>8.819444444444445E-2</v>
      </c>
      <c r="O239" s="252">
        <v>4.9999999999999996E-2</v>
      </c>
      <c r="P239" s="252">
        <v>2.2222222222222223E-2</v>
      </c>
      <c r="Q239" s="252">
        <v>5.2083333333333336E-2</v>
      </c>
      <c r="R239" s="252">
        <v>4.027777777777778E-2</v>
      </c>
      <c r="S239" s="252">
        <v>0.31666666666666665</v>
      </c>
      <c r="T239" s="252">
        <v>3.8194444444444441E-2</v>
      </c>
      <c r="U239" s="252">
        <v>9.3055555555555558E-2</v>
      </c>
      <c r="V239" s="252">
        <v>0.11041666666666666</v>
      </c>
      <c r="W239" s="252">
        <v>0.19027777777777777</v>
      </c>
      <c r="X239" s="252">
        <v>5.8333333333333327E-2</v>
      </c>
      <c r="Y239" s="252">
        <v>0.10208333333333335</v>
      </c>
      <c r="Z239" s="252">
        <v>0.10694444444444445</v>
      </c>
      <c r="AA239" s="252">
        <v>0.11458333333333333</v>
      </c>
      <c r="AB239" s="252">
        <v>9.5138888888888884E-2</v>
      </c>
      <c r="AC239" s="252">
        <v>3.6111111111111115E-2</v>
      </c>
      <c r="AD239" s="229">
        <v>6.8749999999999992E-2</v>
      </c>
      <c r="AE239" s="229">
        <v>6.805555555555555E-2</v>
      </c>
      <c r="AF239" s="229"/>
      <c r="AG239" s="230">
        <f t="shared" si="39"/>
        <v>8.0532407407407428E-2</v>
      </c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54">
        <v>0</v>
      </c>
      <c r="C241" s="255">
        <v>0</v>
      </c>
      <c r="D241" s="255">
        <v>0</v>
      </c>
      <c r="E241" s="255">
        <v>0</v>
      </c>
      <c r="F241" s="255">
        <v>1.3194444444444444E-2</v>
      </c>
      <c r="G241" s="255">
        <v>0</v>
      </c>
      <c r="H241" s="255">
        <v>0</v>
      </c>
      <c r="I241" s="255">
        <v>0</v>
      </c>
      <c r="J241" s="255">
        <v>0</v>
      </c>
      <c r="K241" s="255">
        <v>0</v>
      </c>
      <c r="L241" s="255">
        <v>0</v>
      </c>
      <c r="M241" s="255">
        <v>6.25E-2</v>
      </c>
      <c r="N241" s="282">
        <v>0</v>
      </c>
      <c r="O241" s="255">
        <v>0</v>
      </c>
      <c r="P241" s="255">
        <v>0</v>
      </c>
      <c r="Q241" s="255">
        <v>0</v>
      </c>
      <c r="R241" s="255">
        <v>0</v>
      </c>
      <c r="S241" s="255">
        <v>0</v>
      </c>
      <c r="T241" s="255">
        <v>0</v>
      </c>
      <c r="U241" s="255">
        <v>0</v>
      </c>
      <c r="V241" s="255">
        <v>0</v>
      </c>
      <c r="W241" s="255">
        <v>0</v>
      </c>
      <c r="X241" s="255">
        <v>0</v>
      </c>
      <c r="Y241" s="255">
        <v>0</v>
      </c>
      <c r="Z241" s="255">
        <v>1.1111111111111112E-2</v>
      </c>
      <c r="AA241" s="255">
        <v>0</v>
      </c>
      <c r="AB241" s="255">
        <v>0</v>
      </c>
      <c r="AC241" s="255">
        <v>0</v>
      </c>
      <c r="AD241" s="255">
        <v>0</v>
      </c>
      <c r="AE241" s="255">
        <v>0</v>
      </c>
      <c r="AF241" s="256"/>
      <c r="AG241" s="257">
        <f>AVERAGE(B241:AF241)</f>
        <v>2.8935185185185184E-3</v>
      </c>
    </row>
    <row r="242" spans="1:33" ht="23.25" x14ac:dyDescent="0.35">
      <c r="A242" s="253" t="s">
        <v>73</v>
      </c>
      <c r="B242" s="258">
        <v>1.1111111111111112E-2</v>
      </c>
      <c r="C242" s="259">
        <v>8.3333333333333332E-3</v>
      </c>
      <c r="D242" s="259">
        <v>0</v>
      </c>
      <c r="E242" s="259">
        <v>0</v>
      </c>
      <c r="F242" s="259">
        <v>3.472222222222222E-3</v>
      </c>
      <c r="G242" s="259">
        <v>0</v>
      </c>
      <c r="H242" s="259">
        <v>4.027777777777778E-2</v>
      </c>
      <c r="I242" s="259">
        <v>0</v>
      </c>
      <c r="J242" s="259">
        <v>0</v>
      </c>
      <c r="K242" s="259">
        <v>9.0277777777777787E-3</v>
      </c>
      <c r="L242" s="259">
        <v>0</v>
      </c>
      <c r="M242" s="259">
        <v>1.5277777777777777E-2</v>
      </c>
      <c r="N242" s="283">
        <v>0</v>
      </c>
      <c r="O242" s="259">
        <v>1.2499999999999999E-2</v>
      </c>
      <c r="P242" s="259">
        <v>0</v>
      </c>
      <c r="Q242" s="259">
        <v>4.1666666666666666E-3</v>
      </c>
      <c r="R242" s="259">
        <v>0</v>
      </c>
      <c r="S242" s="259">
        <v>0</v>
      </c>
      <c r="T242" s="259">
        <v>1.2499999999999999E-2</v>
      </c>
      <c r="U242" s="259">
        <v>0</v>
      </c>
      <c r="V242" s="259">
        <v>0</v>
      </c>
      <c r="W242" s="259">
        <v>3.5416666666666666E-2</v>
      </c>
      <c r="X242" s="259">
        <v>5.486111111111111E-2</v>
      </c>
      <c r="Y242" s="259">
        <v>0</v>
      </c>
      <c r="Z242" s="259">
        <v>0</v>
      </c>
      <c r="AA242" s="259">
        <v>0</v>
      </c>
      <c r="AB242" s="259">
        <v>1.2499999999999999E-2</v>
      </c>
      <c r="AC242" s="259">
        <v>9.7222222222222224E-3</v>
      </c>
      <c r="AD242" s="259">
        <v>1.8749999999999999E-2</v>
      </c>
      <c r="AE242" s="259">
        <v>3.8194444444444441E-2</v>
      </c>
      <c r="AF242" s="260"/>
      <c r="AG242" s="261">
        <f>AVERAGE(B242:AF242)</f>
        <v>9.5370370370370366E-3</v>
      </c>
    </row>
    <row r="243" spans="1:33" ht="23.25" x14ac:dyDescent="0.35">
      <c r="A243" s="253" t="s">
        <v>74</v>
      </c>
      <c r="B243" s="258">
        <v>1.3888888888888888E-2</v>
      </c>
      <c r="C243" s="259">
        <v>1.8055555555555557E-2</v>
      </c>
      <c r="D243" s="259">
        <v>1.5972222222222224E-2</v>
      </c>
      <c r="E243" s="259">
        <v>1.4583333333333332E-2</v>
      </c>
      <c r="F243" s="259">
        <v>1.1805555555555555E-2</v>
      </c>
      <c r="G243" s="259">
        <v>1.3888888888888888E-2</v>
      </c>
      <c r="H243" s="259">
        <v>7.6388888888888886E-3</v>
      </c>
      <c r="I243" s="259">
        <v>1.4583333333333332E-2</v>
      </c>
      <c r="J243" s="259">
        <v>1.1805555555555555E-2</v>
      </c>
      <c r="K243" s="259">
        <v>2.0833333333333332E-2</v>
      </c>
      <c r="L243" s="259">
        <v>1.1805555555555555E-2</v>
      </c>
      <c r="M243" s="259">
        <v>1.7361111111111112E-2</v>
      </c>
      <c r="N243" s="283">
        <v>1.1111111111111112E-2</v>
      </c>
      <c r="O243" s="259">
        <v>1.6666666666666666E-2</v>
      </c>
      <c r="P243" s="259">
        <v>9.7222222222222224E-3</v>
      </c>
      <c r="Q243" s="259">
        <v>1.5277777777777777E-2</v>
      </c>
      <c r="R243" s="259">
        <v>1.1111111111111112E-2</v>
      </c>
      <c r="S243" s="259">
        <v>8.3333333333333332E-3</v>
      </c>
      <c r="T243" s="259">
        <v>1.3888888888888888E-2</v>
      </c>
      <c r="U243" s="259">
        <v>1.2499999999999999E-2</v>
      </c>
      <c r="V243" s="259">
        <v>2.0833333333333332E-2</v>
      </c>
      <c r="W243" s="259">
        <v>1.3888888888888888E-2</v>
      </c>
      <c r="X243" s="259">
        <v>1.3888888888888888E-2</v>
      </c>
      <c r="Y243" s="259">
        <v>1.8055555555555557E-2</v>
      </c>
      <c r="Z243" s="259">
        <v>2.2222222222222223E-2</v>
      </c>
      <c r="AA243" s="259">
        <v>1.4583333333333332E-2</v>
      </c>
      <c r="AB243" s="259">
        <v>2.6388888888888889E-2</v>
      </c>
      <c r="AC243" s="259">
        <v>2.0833333333333332E-2</v>
      </c>
      <c r="AD243" s="259">
        <v>2.2222222222222223E-2</v>
      </c>
      <c r="AE243" s="259">
        <v>1.2824074074074073E-2</v>
      </c>
      <c r="AF243" s="260"/>
      <c r="AG243" s="261">
        <f>AVERAGE(B243:AF243)</f>
        <v>1.5219135802469134E-2</v>
      </c>
    </row>
    <row r="244" spans="1:33" ht="23.25" x14ac:dyDescent="0.35">
      <c r="A244" s="253" t="s">
        <v>75</v>
      </c>
      <c r="B244" s="258">
        <v>6.805555555555555E-2</v>
      </c>
      <c r="C244" s="259">
        <v>4.027777777777778E-2</v>
      </c>
      <c r="D244" s="259">
        <v>4.5138888888888888E-2</v>
      </c>
      <c r="E244" s="259">
        <v>3.888888888888889E-2</v>
      </c>
      <c r="F244" s="259">
        <v>3.125E-2</v>
      </c>
      <c r="G244" s="259">
        <v>2.4999999999999998E-2</v>
      </c>
      <c r="H244" s="259">
        <v>2.7777777777777776E-2</v>
      </c>
      <c r="I244" s="259">
        <v>3.0555555555555555E-2</v>
      </c>
      <c r="J244" s="259">
        <v>2.2916666666666669E-2</v>
      </c>
      <c r="K244" s="259">
        <v>3.9583333333333331E-2</v>
      </c>
      <c r="L244" s="259">
        <v>3.1944444444444449E-2</v>
      </c>
      <c r="M244" s="259">
        <v>3.2638888888888891E-2</v>
      </c>
      <c r="N244" s="283">
        <v>5.5555555555555552E-2</v>
      </c>
      <c r="O244" s="259">
        <v>2.4999999999999998E-2</v>
      </c>
      <c r="P244" s="259">
        <v>1.3888888888888888E-2</v>
      </c>
      <c r="Q244" s="259">
        <v>3.0555555555555555E-2</v>
      </c>
      <c r="R244" s="259">
        <v>2.6388888888888889E-2</v>
      </c>
      <c r="S244" s="259">
        <v>1.8055555555555557E-2</v>
      </c>
      <c r="T244" s="259">
        <v>2.4999999999999998E-2</v>
      </c>
      <c r="U244" s="259">
        <v>5.4166666666666669E-2</v>
      </c>
      <c r="V244" s="259">
        <v>6.25E-2</v>
      </c>
      <c r="W244" s="259">
        <v>9.9999999999999992E-2</v>
      </c>
      <c r="X244" s="259">
        <v>2.5694444444444447E-2</v>
      </c>
      <c r="Y244" s="259">
        <v>6.25E-2</v>
      </c>
      <c r="Z244" s="259">
        <v>5.9722222222222225E-2</v>
      </c>
      <c r="AA244" s="259">
        <v>5.0694444444444438E-2</v>
      </c>
      <c r="AB244" s="259">
        <v>5.0694444444444438E-2</v>
      </c>
      <c r="AC244" s="259">
        <v>2.1527777777777781E-2</v>
      </c>
      <c r="AD244" s="259">
        <v>3.888888888888889E-2</v>
      </c>
      <c r="AE244" s="259">
        <v>3.5416666666666666E-2</v>
      </c>
      <c r="AF244" s="260"/>
      <c r="AG244" s="261">
        <f>AVERAGE(B244:AF244)</f>
        <v>3.9675925925925934E-2</v>
      </c>
    </row>
    <row r="245" spans="1:33" ht="24" thickBot="1" x14ac:dyDescent="0.4">
      <c r="A245" s="262" t="s">
        <v>76</v>
      </c>
      <c r="B245" s="263">
        <v>0.12013888888888889</v>
      </c>
      <c r="C245" s="264">
        <v>7.2916666666666671E-2</v>
      </c>
      <c r="D245" s="264">
        <v>6.7361111111111108E-2</v>
      </c>
      <c r="E245" s="264">
        <v>3.3333333333333333E-2</v>
      </c>
      <c r="F245" s="264">
        <v>3.6805555555555557E-2</v>
      </c>
      <c r="G245" s="264">
        <v>2.2916666666666669E-2</v>
      </c>
      <c r="H245" s="264">
        <v>4.5138888888888888E-2</v>
      </c>
      <c r="I245" s="264">
        <v>3.7499999999999999E-2</v>
      </c>
      <c r="J245" s="264">
        <v>3.9583333333333331E-2</v>
      </c>
      <c r="K245" s="264">
        <v>5.2083333333333336E-2</v>
      </c>
      <c r="L245" s="264">
        <v>4.3750000000000004E-2</v>
      </c>
      <c r="M245" s="264">
        <v>4.027777777777778E-2</v>
      </c>
      <c r="N245" s="284">
        <v>4.6527777777777779E-2</v>
      </c>
      <c r="O245" s="264">
        <v>4.4444444444444446E-2</v>
      </c>
      <c r="P245" s="264">
        <v>2.013888888888889E-2</v>
      </c>
      <c r="Q245" s="264">
        <v>4.0972222222222222E-2</v>
      </c>
      <c r="R245" s="264">
        <v>2.8472222222222222E-2</v>
      </c>
      <c r="S245" s="264">
        <v>3.8194444444444441E-2</v>
      </c>
      <c r="T245" s="264">
        <v>3.125E-2</v>
      </c>
      <c r="U245" s="264">
        <v>6.3888888888888898E-2</v>
      </c>
      <c r="V245" s="264">
        <v>6.458333333333334E-2</v>
      </c>
      <c r="W245" s="264">
        <v>0.13472222222222222</v>
      </c>
      <c r="X245" s="264">
        <v>9.7916666666666666E-2</v>
      </c>
      <c r="Y245" s="264">
        <v>5.6944444444444443E-2</v>
      </c>
      <c r="Z245" s="264">
        <v>7.2916666666666671E-2</v>
      </c>
      <c r="AA245" s="264">
        <v>0.12083333333333333</v>
      </c>
      <c r="AB245" s="264">
        <v>6.8749999999999992E-2</v>
      </c>
      <c r="AC245" s="264">
        <v>2.7083333333333334E-2</v>
      </c>
      <c r="AD245" s="264">
        <v>5.8333333333333327E-2</v>
      </c>
      <c r="AE245" s="264">
        <v>6.0416666666666667E-2</v>
      </c>
      <c r="AF245" s="265"/>
      <c r="AG245" s="266">
        <f>AVERAGE(B245:AF245)</f>
        <v>5.6273148148148142E-2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42" priority="7" operator="lessThan">
      <formula>0</formula>
    </cfRule>
  </conditionalFormatting>
  <conditionalFormatting sqref="D54:D77">
    <cfRule type="cellIs" dxfId="41" priority="3" operator="lessThan">
      <formula>0</formula>
    </cfRule>
  </conditionalFormatting>
  <conditionalFormatting sqref="G54:G77">
    <cfRule type="cellIs" dxfId="40" priority="2" operator="lessThan">
      <formula>0</formula>
    </cfRule>
  </conditionalFormatting>
  <conditionalFormatting sqref="R54:R77">
    <cfRule type="cellIs" dxfId="39" priority="1" operator="lessThan">
      <formula>0</formula>
    </cfRule>
  </conditionalFormatting>
  <conditionalFormatting sqref="AH81">
    <cfRule type="cellIs" dxfId="38" priority="5" operator="equal">
      <formula>"*"</formula>
    </cfRule>
  </conditionalFormatting>
  <conditionalFormatting sqref="AH84 AH87">
    <cfRule type="cellIs" dxfId="37" priority="6" operator="equal">
      <formula>"*"</formula>
    </cfRule>
  </conditionalFormatting>
  <conditionalFormatting sqref="AH93">
    <cfRule type="cellIs" dxfId="36" priority="11" operator="equal">
      <formula>"*"</formula>
    </cfRule>
  </conditionalFormatting>
  <conditionalFormatting sqref="AH130">
    <cfRule type="cellIs" dxfId="35" priority="9" operator="equal">
      <formula>"*"</formula>
    </cfRule>
  </conditionalFormatting>
  <conditionalFormatting sqref="AH144:AH145">
    <cfRule type="cellIs" dxfId="34" priority="10" operator="equal">
      <formula>"*"</formula>
    </cfRule>
  </conditionalFormatting>
  <conditionalFormatting sqref="AH179">
    <cfRule type="cellIs" dxfId="33" priority="8" operator="equal">
      <formula>"*"</formula>
    </cfRule>
  </conditionalFormatting>
  <conditionalFormatting sqref="AH204">
    <cfRule type="cellIs" dxfId="32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B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75"/>
  <sheetViews>
    <sheetView zoomScale="80" zoomScaleNormal="80" workbookViewId="0">
      <pane xSplit="1" ySplit="3" topLeftCell="F4" activePane="bottomRight" state="frozen"/>
      <selection activeCell="AG3" sqref="AG3"/>
      <selection pane="topRight" activeCell="AG3" sqref="AG3"/>
      <selection pane="bottomLeft" activeCell="AG3" sqref="AG3"/>
      <selection pane="bottomRight" activeCell="N28" sqref="N2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134</v>
      </c>
      <c r="B2" s="234">
        <v>1</v>
      </c>
      <c r="C2" s="234">
        <f t="shared" ref="C2:AA2" si="0">+B2+1</f>
        <v>2</v>
      </c>
      <c r="D2" s="234">
        <f t="shared" si="0"/>
        <v>3</v>
      </c>
      <c r="E2" s="234">
        <f t="shared" si="0"/>
        <v>4</v>
      </c>
      <c r="F2" s="106">
        <f t="shared" si="0"/>
        <v>5</v>
      </c>
      <c r="G2" s="106">
        <f t="shared" si="0"/>
        <v>6</v>
      </c>
      <c r="H2" s="234">
        <f t="shared" si="0"/>
        <v>7</v>
      </c>
      <c r="I2" s="234">
        <f t="shared" si="0"/>
        <v>8</v>
      </c>
      <c r="J2" s="234">
        <f t="shared" si="0"/>
        <v>9</v>
      </c>
      <c r="K2" s="234">
        <f t="shared" si="0"/>
        <v>10</v>
      </c>
      <c r="L2" s="234">
        <f t="shared" si="0"/>
        <v>11</v>
      </c>
      <c r="M2" s="106">
        <f t="shared" si="0"/>
        <v>12</v>
      </c>
      <c r="N2" s="106">
        <f t="shared" si="0"/>
        <v>13</v>
      </c>
      <c r="O2" s="234">
        <f t="shared" si="0"/>
        <v>14</v>
      </c>
      <c r="P2" s="234">
        <f t="shared" si="0"/>
        <v>15</v>
      </c>
      <c r="Q2" s="234">
        <f t="shared" si="0"/>
        <v>16</v>
      </c>
      <c r="R2" s="234">
        <f t="shared" si="0"/>
        <v>17</v>
      </c>
      <c r="S2" s="234">
        <f t="shared" si="0"/>
        <v>18</v>
      </c>
      <c r="T2" s="106">
        <f t="shared" si="0"/>
        <v>19</v>
      </c>
      <c r="U2" s="106">
        <f t="shared" si="0"/>
        <v>20</v>
      </c>
      <c r="V2" s="234">
        <f t="shared" si="0"/>
        <v>21</v>
      </c>
      <c r="W2" s="234">
        <f t="shared" si="0"/>
        <v>22</v>
      </c>
      <c r="X2" s="234">
        <f t="shared" si="0"/>
        <v>23</v>
      </c>
      <c r="Y2" s="234">
        <f t="shared" si="0"/>
        <v>24</v>
      </c>
      <c r="Z2" s="234">
        <f t="shared" si="0"/>
        <v>25</v>
      </c>
      <c r="AA2" s="106">
        <f t="shared" si="0"/>
        <v>26</v>
      </c>
      <c r="AB2" s="106">
        <v>27</v>
      </c>
      <c r="AC2" s="234">
        <f>+AB2+1</f>
        <v>28</v>
      </c>
      <c r="AD2" s="234">
        <v>29</v>
      </c>
      <c r="AE2" s="234">
        <v>30</v>
      </c>
      <c r="AF2" s="106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169</v>
      </c>
      <c r="C3" s="135">
        <f t="shared" si="1"/>
        <v>189</v>
      </c>
      <c r="D3" s="135">
        <f t="shared" si="1"/>
        <v>157</v>
      </c>
      <c r="E3" s="135">
        <f t="shared" si="1"/>
        <v>174</v>
      </c>
      <c r="F3" s="135">
        <f t="shared" si="1"/>
        <v>240</v>
      </c>
      <c r="G3" s="135">
        <f t="shared" si="1"/>
        <v>245</v>
      </c>
      <c r="H3" s="135">
        <f t="shared" si="1"/>
        <v>222</v>
      </c>
      <c r="I3" s="135">
        <f t="shared" si="1"/>
        <v>198</v>
      </c>
      <c r="J3" s="135">
        <f t="shared" si="1"/>
        <v>216</v>
      </c>
      <c r="K3" s="135">
        <f t="shared" si="1"/>
        <v>202</v>
      </c>
      <c r="L3" s="135">
        <f t="shared" si="1"/>
        <v>186</v>
      </c>
      <c r="M3" s="135">
        <f t="shared" si="1"/>
        <v>254</v>
      </c>
      <c r="N3" s="135">
        <f t="shared" si="1"/>
        <v>298</v>
      </c>
      <c r="O3" s="135">
        <f t="shared" si="1"/>
        <v>208</v>
      </c>
      <c r="P3" s="135">
        <f t="shared" si="1"/>
        <v>183</v>
      </c>
      <c r="Q3" s="135">
        <f t="shared" si="1"/>
        <v>201</v>
      </c>
      <c r="R3" s="135">
        <f t="shared" si="1"/>
        <v>208</v>
      </c>
      <c r="S3" s="135">
        <f t="shared" si="1"/>
        <v>186</v>
      </c>
      <c r="T3" s="135">
        <f t="shared" si="1"/>
        <v>241</v>
      </c>
      <c r="U3" s="135">
        <f t="shared" si="1"/>
        <v>202</v>
      </c>
      <c r="V3" s="135">
        <f t="shared" si="1"/>
        <v>105</v>
      </c>
      <c r="W3" s="135">
        <f t="shared" si="1"/>
        <v>135</v>
      </c>
      <c r="X3" s="135">
        <f t="shared" si="1"/>
        <v>111</v>
      </c>
      <c r="Y3" s="135">
        <f t="shared" si="1"/>
        <v>133</v>
      </c>
      <c r="Z3" s="135">
        <f t="shared" si="1"/>
        <v>146</v>
      </c>
      <c r="AA3" s="135">
        <f t="shared" si="1"/>
        <v>194</v>
      </c>
      <c r="AB3" s="135">
        <f t="shared" si="1"/>
        <v>215</v>
      </c>
      <c r="AC3" s="135">
        <f t="shared" si="1"/>
        <v>126</v>
      </c>
      <c r="AD3" s="135">
        <f t="shared" si="1"/>
        <v>151</v>
      </c>
      <c r="AE3" s="135">
        <f t="shared" si="1"/>
        <v>137</v>
      </c>
      <c r="AF3" s="135">
        <f t="shared" si="1"/>
        <v>204</v>
      </c>
      <c r="AG3" s="187">
        <f>SUM(B3:AF3)</f>
        <v>5836</v>
      </c>
    </row>
    <row r="4" spans="1:33" ht="18.75" hidden="1" x14ac:dyDescent="0.25">
      <c r="A4" s="113" t="s">
        <v>54</v>
      </c>
      <c r="B4" s="114"/>
      <c r="C4" s="114"/>
      <c r="D4" s="114"/>
      <c r="E4" s="114"/>
      <c r="F4" s="114">
        <v>7</v>
      </c>
      <c r="G4" s="114">
        <v>1</v>
      </c>
      <c r="H4" s="114"/>
      <c r="I4" s="114"/>
      <c r="J4" s="114"/>
      <c r="K4" s="114"/>
      <c r="L4" s="114"/>
      <c r="M4" s="114">
        <v>3</v>
      </c>
      <c r="N4" s="114">
        <v>6</v>
      </c>
      <c r="O4" s="114"/>
      <c r="P4" s="114"/>
      <c r="Q4" s="114"/>
      <c r="R4" s="114"/>
      <c r="S4" s="114"/>
      <c r="T4" s="114">
        <v>5</v>
      </c>
      <c r="U4" s="114">
        <v>2</v>
      </c>
      <c r="V4" s="114"/>
      <c r="W4" s="114"/>
      <c r="X4" s="114"/>
      <c r="Y4" s="114"/>
      <c r="Z4" s="114"/>
      <c r="AA4" s="114">
        <v>4</v>
      </c>
      <c r="AB4" s="114">
        <v>7</v>
      </c>
      <c r="AC4" s="114"/>
      <c r="AD4" s="114"/>
      <c r="AE4" s="114"/>
      <c r="AF4" s="115">
        <v>9</v>
      </c>
      <c r="AG4" s="132">
        <f t="shared" ref="AG4:AG83" si="2">SUM(B4:AF4)</f>
        <v>44</v>
      </c>
    </row>
    <row r="5" spans="1:33" ht="18.75" hidden="1" x14ac:dyDescent="0.25">
      <c r="A5" s="41" t="s">
        <v>55</v>
      </c>
      <c r="B5" s="7"/>
      <c r="C5" s="7"/>
      <c r="D5" s="7"/>
      <c r="E5" s="7"/>
      <c r="F5" s="7">
        <v>10</v>
      </c>
      <c r="G5" s="7">
        <v>4</v>
      </c>
      <c r="H5" s="7"/>
      <c r="I5" s="7"/>
      <c r="J5" s="7"/>
      <c r="K5" s="7"/>
      <c r="L5" s="7"/>
      <c r="M5" s="7">
        <v>13</v>
      </c>
      <c r="N5" s="7">
        <v>13</v>
      </c>
      <c r="O5" s="7"/>
      <c r="P5" s="7"/>
      <c r="Q5" s="7"/>
      <c r="R5" s="7"/>
      <c r="S5" s="7"/>
      <c r="T5" s="7">
        <v>17</v>
      </c>
      <c r="U5" s="7">
        <v>2</v>
      </c>
      <c r="V5" s="7"/>
      <c r="W5" s="7"/>
      <c r="X5" s="7"/>
      <c r="Y5" s="7"/>
      <c r="Z5" s="7"/>
      <c r="AA5" s="7">
        <v>14</v>
      </c>
      <c r="AB5" s="7">
        <v>6</v>
      </c>
      <c r="AC5" s="7"/>
      <c r="AD5" s="7"/>
      <c r="AE5" s="7"/>
      <c r="AF5" s="8">
        <v>10</v>
      </c>
      <c r="AG5" s="4">
        <f t="shared" si="2"/>
        <v>89</v>
      </c>
    </row>
    <row r="6" spans="1:33" ht="18.75" hidden="1" x14ac:dyDescent="0.25">
      <c r="A6" s="41" t="s">
        <v>56</v>
      </c>
      <c r="B6" s="7"/>
      <c r="C6" s="7"/>
      <c r="D6" s="7"/>
      <c r="E6" s="7"/>
      <c r="F6" s="7">
        <v>14</v>
      </c>
      <c r="G6" s="7">
        <v>9</v>
      </c>
      <c r="H6" s="7"/>
      <c r="I6" s="7"/>
      <c r="J6" s="7"/>
      <c r="K6" s="7"/>
      <c r="L6" s="7"/>
      <c r="M6" s="7">
        <v>19</v>
      </c>
      <c r="N6" s="7">
        <v>19</v>
      </c>
      <c r="O6" s="7"/>
      <c r="P6" s="7"/>
      <c r="Q6" s="7"/>
      <c r="R6" s="7"/>
      <c r="S6" s="7"/>
      <c r="T6" s="7">
        <v>16</v>
      </c>
      <c r="U6" s="7">
        <v>18</v>
      </c>
      <c r="V6" s="7"/>
      <c r="W6" s="7"/>
      <c r="X6" s="7"/>
      <c r="Y6" s="7"/>
      <c r="Z6" s="7"/>
      <c r="AA6" s="7">
        <v>10</v>
      </c>
      <c r="AB6" s="7">
        <v>17</v>
      </c>
      <c r="AC6" s="7"/>
      <c r="AD6" s="7"/>
      <c r="AE6" s="7"/>
      <c r="AF6" s="8">
        <v>14</v>
      </c>
      <c r="AG6" s="4">
        <f t="shared" si="2"/>
        <v>136</v>
      </c>
    </row>
    <row r="7" spans="1:33" ht="18.75" hidden="1" x14ac:dyDescent="0.25">
      <c r="A7" s="41" t="s">
        <v>38</v>
      </c>
      <c r="B7" s="7"/>
      <c r="C7" s="7"/>
      <c r="D7" s="7"/>
      <c r="E7" s="7"/>
      <c r="F7" s="7">
        <v>16</v>
      </c>
      <c r="G7" s="7">
        <v>18</v>
      </c>
      <c r="H7" s="7"/>
      <c r="I7" s="7"/>
      <c r="J7" s="7"/>
      <c r="K7" s="7"/>
      <c r="L7" s="7"/>
      <c r="M7" s="7">
        <v>21</v>
      </c>
      <c r="N7" s="7">
        <v>16</v>
      </c>
      <c r="O7" s="7"/>
      <c r="P7" s="7"/>
      <c r="Q7" s="7"/>
      <c r="R7" s="7"/>
      <c r="S7" s="7"/>
      <c r="T7" s="7">
        <v>11</v>
      </c>
      <c r="U7" s="7">
        <v>21</v>
      </c>
      <c r="V7" s="7"/>
      <c r="W7" s="7"/>
      <c r="X7" s="7"/>
      <c r="Y7" s="7"/>
      <c r="Z7" s="7"/>
      <c r="AA7" s="7">
        <v>13</v>
      </c>
      <c r="AB7" s="7">
        <v>14</v>
      </c>
      <c r="AC7" s="7"/>
      <c r="AD7" s="7"/>
      <c r="AE7" s="7"/>
      <c r="AF7" s="8">
        <v>8</v>
      </c>
      <c r="AG7" s="4">
        <f t="shared" si="2"/>
        <v>138</v>
      </c>
    </row>
    <row r="8" spans="1:33" ht="18.75" hidden="1" x14ac:dyDescent="0.25">
      <c r="A8" s="41" t="s">
        <v>39</v>
      </c>
      <c r="B8" s="7"/>
      <c r="C8" s="7"/>
      <c r="D8" s="7"/>
      <c r="E8" s="7"/>
      <c r="F8" s="7">
        <v>20</v>
      </c>
      <c r="G8" s="7">
        <v>17</v>
      </c>
      <c r="H8" s="7"/>
      <c r="I8" s="7"/>
      <c r="J8" s="7"/>
      <c r="K8" s="7"/>
      <c r="L8" s="7"/>
      <c r="M8" s="7">
        <v>9</v>
      </c>
      <c r="N8" s="7">
        <v>19</v>
      </c>
      <c r="O8" s="7"/>
      <c r="P8" s="7"/>
      <c r="Q8" s="7">
        <v>1</v>
      </c>
      <c r="R8" s="7"/>
      <c r="S8" s="7"/>
      <c r="T8" s="7">
        <v>26</v>
      </c>
      <c r="U8" s="7">
        <v>21</v>
      </c>
      <c r="V8" s="7"/>
      <c r="W8" s="7"/>
      <c r="X8" s="7"/>
      <c r="Y8" s="7"/>
      <c r="Z8" s="7">
        <v>1</v>
      </c>
      <c r="AA8" s="7">
        <v>9</v>
      </c>
      <c r="AB8" s="7">
        <v>15</v>
      </c>
      <c r="AC8" s="7"/>
      <c r="AD8" s="7">
        <v>1</v>
      </c>
      <c r="AE8" s="7"/>
      <c r="AF8" s="8">
        <v>19</v>
      </c>
      <c r="AG8" s="4">
        <f t="shared" si="2"/>
        <v>158</v>
      </c>
    </row>
    <row r="9" spans="1:33" ht="18.75" hidden="1" x14ac:dyDescent="0.25">
      <c r="A9" s="41" t="s">
        <v>40</v>
      </c>
      <c r="B9" s="7"/>
      <c r="C9" s="7"/>
      <c r="D9" s="7"/>
      <c r="E9" s="7"/>
      <c r="F9" s="7">
        <v>19</v>
      </c>
      <c r="G9" s="7">
        <v>22</v>
      </c>
      <c r="H9" s="7"/>
      <c r="I9" s="7"/>
      <c r="J9" s="7"/>
      <c r="K9" s="7"/>
      <c r="L9" s="7"/>
      <c r="M9" s="7">
        <v>14</v>
      </c>
      <c r="N9" s="7">
        <v>17</v>
      </c>
      <c r="O9" s="7"/>
      <c r="P9" s="7"/>
      <c r="Q9" s="7"/>
      <c r="R9" s="7"/>
      <c r="S9" s="7"/>
      <c r="T9" s="7">
        <v>7</v>
      </c>
      <c r="U9" s="7">
        <v>20</v>
      </c>
      <c r="V9" s="7"/>
      <c r="W9" s="7"/>
      <c r="X9" s="7"/>
      <c r="Y9" s="7"/>
      <c r="Z9" s="7"/>
      <c r="AA9" s="7">
        <v>8</v>
      </c>
      <c r="AB9" s="7">
        <v>15</v>
      </c>
      <c r="AC9" s="7"/>
      <c r="AD9" s="7"/>
      <c r="AE9" s="7"/>
      <c r="AF9" s="8">
        <v>3</v>
      </c>
      <c r="AG9" s="4">
        <f t="shared" si="2"/>
        <v>125</v>
      </c>
    </row>
    <row r="10" spans="1:33" ht="18.75" hidden="1" x14ac:dyDescent="0.25">
      <c r="A10" s="41" t="s">
        <v>41</v>
      </c>
      <c r="B10" s="7"/>
      <c r="C10" s="7"/>
      <c r="D10" s="7"/>
      <c r="E10" s="7"/>
      <c r="F10" s="7">
        <v>9</v>
      </c>
      <c r="G10" s="7">
        <v>17</v>
      </c>
      <c r="H10" s="7"/>
      <c r="I10" s="7"/>
      <c r="J10" s="7"/>
      <c r="K10" s="7"/>
      <c r="L10" s="7"/>
      <c r="M10" s="7">
        <v>10</v>
      </c>
      <c r="N10" s="7">
        <v>17</v>
      </c>
      <c r="O10" s="7">
        <v>1</v>
      </c>
      <c r="P10" s="7"/>
      <c r="Q10" s="7"/>
      <c r="R10" s="7"/>
      <c r="S10" s="7"/>
      <c r="T10" s="7">
        <v>17</v>
      </c>
      <c r="U10" s="7">
        <v>11</v>
      </c>
      <c r="V10" s="7"/>
      <c r="W10" s="7"/>
      <c r="X10" s="7"/>
      <c r="Y10" s="7"/>
      <c r="Z10" s="7"/>
      <c r="AA10" s="7">
        <v>20</v>
      </c>
      <c r="AB10" s="7">
        <v>15</v>
      </c>
      <c r="AC10" s="7"/>
      <c r="AD10" s="7"/>
      <c r="AE10" s="7"/>
      <c r="AF10" s="8">
        <v>11</v>
      </c>
      <c r="AG10" s="4">
        <f t="shared" si="2"/>
        <v>128</v>
      </c>
    </row>
    <row r="11" spans="1:33" ht="18.75" hidden="1" x14ac:dyDescent="0.25">
      <c r="A11" s="41" t="s">
        <v>42</v>
      </c>
      <c r="B11" s="7"/>
      <c r="C11" s="7"/>
      <c r="D11" s="7"/>
      <c r="E11" s="7"/>
      <c r="F11" s="7">
        <v>12</v>
      </c>
      <c r="G11" s="7">
        <v>13</v>
      </c>
      <c r="H11" s="7"/>
      <c r="I11" s="7">
        <v>1</v>
      </c>
      <c r="J11" s="7"/>
      <c r="K11" s="7"/>
      <c r="L11" s="7"/>
      <c r="M11" s="7">
        <v>21</v>
      </c>
      <c r="N11" s="7">
        <v>24</v>
      </c>
      <c r="O11" s="7"/>
      <c r="P11" s="7"/>
      <c r="Q11" s="7"/>
      <c r="R11" s="7"/>
      <c r="S11" s="7"/>
      <c r="T11" s="7">
        <v>11</v>
      </c>
      <c r="U11" s="7">
        <v>12</v>
      </c>
      <c r="V11" s="7"/>
      <c r="W11" s="7"/>
      <c r="X11" s="7"/>
      <c r="Y11" s="7"/>
      <c r="Z11" s="7"/>
      <c r="AA11" s="7">
        <v>12</v>
      </c>
      <c r="AB11" s="7">
        <v>13</v>
      </c>
      <c r="AC11" s="7"/>
      <c r="AD11" s="7"/>
      <c r="AE11" s="7"/>
      <c r="AF11" s="8">
        <v>11</v>
      </c>
      <c r="AG11" s="4">
        <f t="shared" si="2"/>
        <v>130</v>
      </c>
    </row>
    <row r="12" spans="1:33" ht="18.75" hidden="1" x14ac:dyDescent="0.25">
      <c r="A12" s="41" t="s">
        <v>43</v>
      </c>
      <c r="B12" s="7"/>
      <c r="C12" s="7"/>
      <c r="D12" s="7"/>
      <c r="E12" s="7">
        <v>1</v>
      </c>
      <c r="F12" s="7">
        <v>17</v>
      </c>
      <c r="G12" s="7">
        <v>26</v>
      </c>
      <c r="H12" s="7"/>
      <c r="I12" s="7"/>
      <c r="J12" s="7"/>
      <c r="K12" s="7">
        <v>1</v>
      </c>
      <c r="L12" s="7"/>
      <c r="M12" s="7">
        <v>21</v>
      </c>
      <c r="N12" s="7">
        <v>19</v>
      </c>
      <c r="O12" s="7"/>
      <c r="P12" s="7"/>
      <c r="Q12" s="7">
        <v>1</v>
      </c>
      <c r="R12" s="7"/>
      <c r="S12" s="7"/>
      <c r="T12" s="7">
        <v>20</v>
      </c>
      <c r="U12" s="7">
        <v>15</v>
      </c>
      <c r="V12" s="7"/>
      <c r="W12" s="7"/>
      <c r="X12" s="7"/>
      <c r="Y12" s="7">
        <v>1</v>
      </c>
      <c r="Z12" s="7"/>
      <c r="AA12" s="7">
        <v>15</v>
      </c>
      <c r="AB12" s="7">
        <v>11</v>
      </c>
      <c r="AC12" s="7"/>
      <c r="AD12" s="7"/>
      <c r="AE12" s="7"/>
      <c r="AF12" s="8">
        <v>16</v>
      </c>
      <c r="AG12" s="4">
        <f t="shared" si="2"/>
        <v>164</v>
      </c>
    </row>
    <row r="13" spans="1:33" ht="18.75" hidden="1" x14ac:dyDescent="0.25">
      <c r="A13" s="41" t="s">
        <v>44</v>
      </c>
      <c r="B13" s="7">
        <v>57</v>
      </c>
      <c r="C13" s="7">
        <v>67</v>
      </c>
      <c r="D13" s="7">
        <v>56</v>
      </c>
      <c r="E13" s="7">
        <v>60</v>
      </c>
      <c r="F13" s="7">
        <v>24</v>
      </c>
      <c r="G13" s="7">
        <v>19</v>
      </c>
      <c r="H13" s="7">
        <v>85</v>
      </c>
      <c r="I13" s="7">
        <v>84</v>
      </c>
      <c r="J13" s="7">
        <v>72</v>
      </c>
      <c r="K13" s="7">
        <v>71</v>
      </c>
      <c r="L13" s="7">
        <v>75</v>
      </c>
      <c r="M13" s="7">
        <v>16</v>
      </c>
      <c r="N13" s="7">
        <v>19</v>
      </c>
      <c r="O13" s="7">
        <v>77</v>
      </c>
      <c r="P13" s="7">
        <v>65</v>
      </c>
      <c r="Q13" s="7">
        <v>75</v>
      </c>
      <c r="R13" s="7">
        <v>71</v>
      </c>
      <c r="S13" s="7">
        <v>72</v>
      </c>
      <c r="T13" s="7">
        <v>23</v>
      </c>
      <c r="U13" s="7">
        <v>23</v>
      </c>
      <c r="V13" s="7">
        <v>55</v>
      </c>
      <c r="W13" s="7">
        <v>49</v>
      </c>
      <c r="X13" s="7">
        <v>46</v>
      </c>
      <c r="Y13" s="7">
        <v>48</v>
      </c>
      <c r="Z13" s="7">
        <v>41</v>
      </c>
      <c r="AA13" s="7">
        <v>17</v>
      </c>
      <c r="AB13" s="7">
        <v>13</v>
      </c>
      <c r="AC13" s="7">
        <v>64</v>
      </c>
      <c r="AD13" s="7">
        <v>45</v>
      </c>
      <c r="AE13" s="7">
        <v>51</v>
      </c>
      <c r="AF13" s="8">
        <v>22</v>
      </c>
      <c r="AG13" s="4">
        <f t="shared" si="2"/>
        <v>1562</v>
      </c>
    </row>
    <row r="14" spans="1:33" ht="18.75" hidden="1" x14ac:dyDescent="0.25">
      <c r="A14" s="41" t="s">
        <v>45</v>
      </c>
      <c r="B14" s="7">
        <v>18</v>
      </c>
      <c r="C14" s="7">
        <v>21</v>
      </c>
      <c r="D14" s="7">
        <v>17</v>
      </c>
      <c r="E14" s="7">
        <v>13</v>
      </c>
      <c r="F14" s="7">
        <v>13</v>
      </c>
      <c r="G14" s="7">
        <v>23</v>
      </c>
      <c r="H14" s="7">
        <v>20</v>
      </c>
      <c r="I14" s="7">
        <v>16</v>
      </c>
      <c r="J14" s="7">
        <v>28</v>
      </c>
      <c r="K14" s="7">
        <v>22</v>
      </c>
      <c r="L14" s="7">
        <v>15</v>
      </c>
      <c r="M14" s="7">
        <v>14</v>
      </c>
      <c r="N14" s="7">
        <v>12</v>
      </c>
      <c r="O14" s="7">
        <v>28</v>
      </c>
      <c r="P14" s="7">
        <v>28</v>
      </c>
      <c r="Q14" s="7">
        <v>24</v>
      </c>
      <c r="R14" s="7">
        <v>17</v>
      </c>
      <c r="S14" s="7">
        <v>14</v>
      </c>
      <c r="T14" s="7">
        <v>16</v>
      </c>
      <c r="U14" s="7">
        <v>17</v>
      </c>
      <c r="V14" s="7">
        <v>11</v>
      </c>
      <c r="W14" s="7">
        <v>25</v>
      </c>
      <c r="X14" s="7">
        <v>12</v>
      </c>
      <c r="Y14" s="7">
        <v>22</v>
      </c>
      <c r="Z14" s="7">
        <v>14</v>
      </c>
      <c r="AA14" s="7">
        <v>13</v>
      </c>
      <c r="AB14" s="7">
        <v>15</v>
      </c>
      <c r="AC14" s="7">
        <v>10</v>
      </c>
      <c r="AD14" s="7">
        <v>14</v>
      </c>
      <c r="AE14" s="7">
        <v>20</v>
      </c>
      <c r="AF14" s="8">
        <v>15</v>
      </c>
      <c r="AG14" s="4">
        <f t="shared" si="2"/>
        <v>547</v>
      </c>
    </row>
    <row r="15" spans="1:33" ht="18.75" hidden="1" x14ac:dyDescent="0.25">
      <c r="A15" s="41" t="s">
        <v>46</v>
      </c>
      <c r="B15" s="7">
        <v>20</v>
      </c>
      <c r="C15" s="7">
        <v>29</v>
      </c>
      <c r="D15" s="7">
        <v>16</v>
      </c>
      <c r="E15" s="7">
        <v>27</v>
      </c>
      <c r="F15" s="7">
        <v>22</v>
      </c>
      <c r="G15" s="7">
        <v>20</v>
      </c>
      <c r="H15" s="7">
        <v>33</v>
      </c>
      <c r="I15" s="7">
        <v>19</v>
      </c>
      <c r="J15" s="7">
        <v>21</v>
      </c>
      <c r="K15" s="7">
        <v>27</v>
      </c>
      <c r="L15" s="7">
        <v>19</v>
      </c>
      <c r="M15" s="7">
        <v>19</v>
      </c>
      <c r="N15" s="7">
        <v>20</v>
      </c>
      <c r="O15" s="7">
        <v>17</v>
      </c>
      <c r="P15" s="7">
        <v>23</v>
      </c>
      <c r="Q15" s="7">
        <v>24</v>
      </c>
      <c r="R15" s="7">
        <v>21</v>
      </c>
      <c r="S15" s="7">
        <v>18</v>
      </c>
      <c r="T15" s="7">
        <v>14</v>
      </c>
      <c r="U15" s="7">
        <v>7</v>
      </c>
      <c r="V15" s="7">
        <v>8</v>
      </c>
      <c r="W15" s="7">
        <v>16</v>
      </c>
      <c r="X15" s="7">
        <v>12</v>
      </c>
      <c r="Y15" s="7">
        <v>15</v>
      </c>
      <c r="Z15" s="7">
        <v>11</v>
      </c>
      <c r="AA15" s="7">
        <v>12</v>
      </c>
      <c r="AB15" s="7">
        <v>20</v>
      </c>
      <c r="AC15" s="7">
        <v>12</v>
      </c>
      <c r="AD15" s="7">
        <v>22</v>
      </c>
      <c r="AE15" s="7">
        <v>13</v>
      </c>
      <c r="AF15" s="8">
        <v>15</v>
      </c>
      <c r="AG15" s="4">
        <f t="shared" si="2"/>
        <v>572</v>
      </c>
    </row>
    <row r="16" spans="1:33" ht="18.75" hidden="1" x14ac:dyDescent="0.25">
      <c r="A16" s="41" t="s">
        <v>47</v>
      </c>
      <c r="B16" s="7">
        <v>24</v>
      </c>
      <c r="C16" s="7">
        <v>18</v>
      </c>
      <c r="D16" s="7">
        <v>21</v>
      </c>
      <c r="E16" s="7">
        <v>23</v>
      </c>
      <c r="F16" s="7">
        <v>11</v>
      </c>
      <c r="G16" s="7">
        <v>13</v>
      </c>
      <c r="H16" s="7">
        <v>30</v>
      </c>
      <c r="I16" s="7">
        <v>20</v>
      </c>
      <c r="J16" s="7">
        <v>27</v>
      </c>
      <c r="K16" s="7">
        <v>22</v>
      </c>
      <c r="L16" s="7">
        <v>19</v>
      </c>
      <c r="M16" s="7">
        <v>12</v>
      </c>
      <c r="N16" s="7">
        <v>27</v>
      </c>
      <c r="O16" s="7">
        <v>25</v>
      </c>
      <c r="P16" s="7">
        <v>19</v>
      </c>
      <c r="Q16" s="7">
        <v>16</v>
      </c>
      <c r="R16" s="7">
        <v>24</v>
      </c>
      <c r="S16" s="7">
        <v>21</v>
      </c>
      <c r="T16" s="7">
        <v>13</v>
      </c>
      <c r="U16" s="7">
        <v>12</v>
      </c>
      <c r="V16" s="7">
        <v>9</v>
      </c>
      <c r="W16" s="7">
        <v>17</v>
      </c>
      <c r="X16" s="7">
        <v>16</v>
      </c>
      <c r="Y16" s="7">
        <v>11</v>
      </c>
      <c r="Z16" s="7">
        <v>26</v>
      </c>
      <c r="AA16" s="7">
        <v>10</v>
      </c>
      <c r="AB16" s="7">
        <v>14</v>
      </c>
      <c r="AC16" s="7">
        <v>9</v>
      </c>
      <c r="AD16" s="7">
        <v>17</v>
      </c>
      <c r="AE16" s="7">
        <v>10</v>
      </c>
      <c r="AF16" s="8">
        <v>5</v>
      </c>
      <c r="AG16" s="4">
        <f t="shared" si="2"/>
        <v>541</v>
      </c>
    </row>
    <row r="17" spans="1:33" ht="18.75" hidden="1" x14ac:dyDescent="0.25">
      <c r="A17" s="41" t="s">
        <v>48</v>
      </c>
      <c r="B17" s="7">
        <v>12</v>
      </c>
      <c r="C17" s="7">
        <v>18</v>
      </c>
      <c r="D17" s="7">
        <v>19</v>
      </c>
      <c r="E17" s="7">
        <v>17</v>
      </c>
      <c r="F17" s="7">
        <v>13</v>
      </c>
      <c r="G17" s="7">
        <v>10</v>
      </c>
      <c r="H17" s="7">
        <v>20</v>
      </c>
      <c r="I17" s="7">
        <v>18</v>
      </c>
      <c r="J17" s="7">
        <v>19</v>
      </c>
      <c r="K17" s="7">
        <v>20</v>
      </c>
      <c r="L17" s="7">
        <v>15</v>
      </c>
      <c r="M17" s="7">
        <v>19</v>
      </c>
      <c r="N17" s="7">
        <v>20</v>
      </c>
      <c r="O17" s="7">
        <v>29</v>
      </c>
      <c r="P17" s="7">
        <v>15</v>
      </c>
      <c r="Q17" s="7">
        <v>17</v>
      </c>
      <c r="R17" s="7">
        <v>24</v>
      </c>
      <c r="S17" s="7">
        <v>19</v>
      </c>
      <c r="T17" s="7">
        <v>16</v>
      </c>
      <c r="U17" s="7">
        <v>3</v>
      </c>
      <c r="V17" s="7">
        <v>3</v>
      </c>
      <c r="W17" s="7">
        <v>11</v>
      </c>
      <c r="X17" s="7">
        <v>6</v>
      </c>
      <c r="Y17" s="7">
        <v>12</v>
      </c>
      <c r="Z17" s="7">
        <v>14</v>
      </c>
      <c r="AA17" s="7">
        <v>11</v>
      </c>
      <c r="AB17" s="7">
        <v>11</v>
      </c>
      <c r="AC17" s="7">
        <v>10</v>
      </c>
      <c r="AD17" s="7">
        <v>16</v>
      </c>
      <c r="AE17" s="7">
        <v>10</v>
      </c>
      <c r="AF17" s="8">
        <v>11</v>
      </c>
      <c r="AG17" s="4">
        <f t="shared" si="2"/>
        <v>458</v>
      </c>
    </row>
    <row r="18" spans="1:33" ht="18.75" hidden="1" x14ac:dyDescent="0.25">
      <c r="A18" s="41" t="s">
        <v>49</v>
      </c>
      <c r="B18" s="7">
        <v>16</v>
      </c>
      <c r="C18" s="7">
        <v>14</v>
      </c>
      <c r="D18" s="7">
        <v>10</v>
      </c>
      <c r="E18" s="7">
        <v>11</v>
      </c>
      <c r="F18" s="7">
        <v>7</v>
      </c>
      <c r="G18" s="7">
        <v>12</v>
      </c>
      <c r="H18" s="7">
        <v>15</v>
      </c>
      <c r="I18" s="7">
        <v>15</v>
      </c>
      <c r="J18" s="7">
        <v>20</v>
      </c>
      <c r="K18" s="7">
        <v>12</v>
      </c>
      <c r="L18" s="7">
        <v>17</v>
      </c>
      <c r="M18" s="7">
        <v>7</v>
      </c>
      <c r="N18" s="7">
        <v>24</v>
      </c>
      <c r="O18" s="7">
        <v>12</v>
      </c>
      <c r="P18" s="7">
        <v>13</v>
      </c>
      <c r="Q18" s="7">
        <v>17</v>
      </c>
      <c r="R18" s="7">
        <v>25</v>
      </c>
      <c r="S18" s="7">
        <v>10</v>
      </c>
      <c r="T18" s="7">
        <v>10</v>
      </c>
      <c r="U18" s="7">
        <v>3</v>
      </c>
      <c r="V18" s="7">
        <v>5</v>
      </c>
      <c r="W18" s="7">
        <v>3</v>
      </c>
      <c r="X18" s="7">
        <v>5</v>
      </c>
      <c r="Y18" s="7">
        <v>8</v>
      </c>
      <c r="Z18" s="7">
        <v>10</v>
      </c>
      <c r="AA18" s="7">
        <v>7</v>
      </c>
      <c r="AB18" s="7">
        <v>6</v>
      </c>
      <c r="AC18" s="7">
        <v>6</v>
      </c>
      <c r="AD18" s="7">
        <v>13</v>
      </c>
      <c r="AE18" s="7">
        <v>12</v>
      </c>
      <c r="AF18" s="8">
        <v>9</v>
      </c>
      <c r="AG18" s="4">
        <f t="shared" si="2"/>
        <v>354</v>
      </c>
    </row>
    <row r="19" spans="1:33" ht="18.75" hidden="1" x14ac:dyDescent="0.25">
      <c r="A19" s="41" t="s">
        <v>50</v>
      </c>
      <c r="B19" s="7">
        <v>7</v>
      </c>
      <c r="C19" s="7">
        <v>12</v>
      </c>
      <c r="D19" s="7">
        <v>9</v>
      </c>
      <c r="E19" s="7">
        <v>8</v>
      </c>
      <c r="F19" s="7">
        <v>3</v>
      </c>
      <c r="G19" s="7">
        <v>9</v>
      </c>
      <c r="H19" s="7">
        <v>8</v>
      </c>
      <c r="I19" s="7">
        <v>8</v>
      </c>
      <c r="J19" s="7">
        <v>16</v>
      </c>
      <c r="K19" s="7">
        <v>7</v>
      </c>
      <c r="L19" s="7">
        <v>14</v>
      </c>
      <c r="M19" s="7">
        <v>14</v>
      </c>
      <c r="N19" s="7">
        <v>5</v>
      </c>
      <c r="O19" s="7">
        <v>5</v>
      </c>
      <c r="P19" s="7">
        <v>11</v>
      </c>
      <c r="Q19" s="7">
        <v>14</v>
      </c>
      <c r="R19" s="7">
        <v>12</v>
      </c>
      <c r="S19" s="7">
        <v>12</v>
      </c>
      <c r="T19" s="7">
        <v>3</v>
      </c>
      <c r="U19" s="7">
        <v>4</v>
      </c>
      <c r="V19" s="7">
        <v>4</v>
      </c>
      <c r="W19" s="7">
        <v>7</v>
      </c>
      <c r="X19" s="7">
        <v>5</v>
      </c>
      <c r="Y19" s="7">
        <v>9</v>
      </c>
      <c r="Z19" s="7">
        <v>10</v>
      </c>
      <c r="AA19" s="7">
        <v>3</v>
      </c>
      <c r="AB19" s="7">
        <v>7</v>
      </c>
      <c r="AC19" s="7">
        <v>6</v>
      </c>
      <c r="AD19" s="7">
        <v>16</v>
      </c>
      <c r="AE19" s="7">
        <v>6</v>
      </c>
      <c r="AF19" s="8">
        <v>7</v>
      </c>
      <c r="AG19" s="4">
        <f t="shared" si="2"/>
        <v>261</v>
      </c>
    </row>
    <row r="20" spans="1:33" ht="18.75" hidden="1" x14ac:dyDescent="0.25">
      <c r="A20" s="41" t="s">
        <v>33</v>
      </c>
      <c r="B20" s="7">
        <v>6</v>
      </c>
      <c r="C20" s="7">
        <v>5</v>
      </c>
      <c r="D20" s="7">
        <v>4</v>
      </c>
      <c r="E20" s="7">
        <v>4</v>
      </c>
      <c r="F20" s="7">
        <v>4</v>
      </c>
      <c r="G20" s="7">
        <v>5</v>
      </c>
      <c r="H20" s="7">
        <v>5</v>
      </c>
      <c r="I20" s="7">
        <v>4</v>
      </c>
      <c r="J20" s="7">
        <v>6</v>
      </c>
      <c r="K20" s="7">
        <v>9</v>
      </c>
      <c r="L20" s="7">
        <v>3</v>
      </c>
      <c r="M20" s="7">
        <v>9</v>
      </c>
      <c r="N20" s="7">
        <v>8</v>
      </c>
      <c r="O20" s="7">
        <v>8</v>
      </c>
      <c r="P20" s="7">
        <v>2</v>
      </c>
      <c r="Q20" s="7">
        <v>3</v>
      </c>
      <c r="R20" s="7">
        <v>5</v>
      </c>
      <c r="S20" s="7">
        <v>6</v>
      </c>
      <c r="T20" s="7">
        <v>6</v>
      </c>
      <c r="U20" s="7"/>
      <c r="V20" s="7">
        <v>3</v>
      </c>
      <c r="W20" s="7">
        <v>3</v>
      </c>
      <c r="X20" s="7">
        <v>3</v>
      </c>
      <c r="Y20" s="7">
        <v>1</v>
      </c>
      <c r="Z20" s="7">
        <v>3</v>
      </c>
      <c r="AA20" s="7">
        <v>3</v>
      </c>
      <c r="AB20" s="7">
        <v>2</v>
      </c>
      <c r="AC20" s="7">
        <v>1</v>
      </c>
      <c r="AD20" s="7">
        <v>2</v>
      </c>
      <c r="AE20" s="7">
        <v>3</v>
      </c>
      <c r="AF20" s="8">
        <v>7</v>
      </c>
      <c r="AG20" s="4">
        <f t="shared" si="2"/>
        <v>133</v>
      </c>
    </row>
    <row r="21" spans="1:33" ht="18.75" hidden="1" x14ac:dyDescent="0.25">
      <c r="A21" s="41" t="s">
        <v>34</v>
      </c>
      <c r="B21" s="7">
        <v>3</v>
      </c>
      <c r="C21" s="7">
        <v>1</v>
      </c>
      <c r="D21" s="7">
        <v>2</v>
      </c>
      <c r="E21" s="7">
        <v>1</v>
      </c>
      <c r="F21" s="7">
        <v>3</v>
      </c>
      <c r="G21" s="7">
        <v>1</v>
      </c>
      <c r="H21" s="7">
        <v>2</v>
      </c>
      <c r="I21" s="7">
        <v>4</v>
      </c>
      <c r="J21" s="7">
        <v>4</v>
      </c>
      <c r="K21" s="7">
        <v>4</v>
      </c>
      <c r="L21" s="7">
        <v>1</v>
      </c>
      <c r="M21" s="7">
        <v>4</v>
      </c>
      <c r="N21" s="7">
        <v>6</v>
      </c>
      <c r="O21" s="7">
        <v>2</v>
      </c>
      <c r="P21" s="7">
        <v>4</v>
      </c>
      <c r="Q21" s="7">
        <v>3</v>
      </c>
      <c r="R21" s="7">
        <v>6</v>
      </c>
      <c r="S21" s="7">
        <v>4</v>
      </c>
      <c r="T21" s="7">
        <v>1</v>
      </c>
      <c r="U21" s="7">
        <v>4</v>
      </c>
      <c r="V21" s="7">
        <v>1</v>
      </c>
      <c r="W21" s="7"/>
      <c r="X21" s="7">
        <v>1</v>
      </c>
      <c r="Y21" s="7"/>
      <c r="Z21" s="7">
        <v>6</v>
      </c>
      <c r="AA21" s="7">
        <v>5</v>
      </c>
      <c r="AB21" s="7">
        <v>8</v>
      </c>
      <c r="AC21" s="7">
        <v>1</v>
      </c>
      <c r="AD21" s="7">
        <v>3</v>
      </c>
      <c r="AE21" s="7">
        <v>5</v>
      </c>
      <c r="AF21" s="8">
        <v>7</v>
      </c>
      <c r="AG21" s="4">
        <f t="shared" si="2"/>
        <v>97</v>
      </c>
    </row>
    <row r="22" spans="1:33" ht="18.75" hidden="1" x14ac:dyDescent="0.25">
      <c r="A22" s="41" t="s">
        <v>35</v>
      </c>
      <c r="B22" s="7">
        <v>3</v>
      </c>
      <c r="C22" s="7"/>
      <c r="D22" s="7">
        <v>2</v>
      </c>
      <c r="E22" s="7">
        <v>1</v>
      </c>
      <c r="F22" s="7">
        <v>2</v>
      </c>
      <c r="G22" s="7">
        <v>2</v>
      </c>
      <c r="H22" s="7">
        <v>2</v>
      </c>
      <c r="I22" s="7">
        <v>2</v>
      </c>
      <c r="J22" s="7">
        <v>3</v>
      </c>
      <c r="K22" s="7">
        <v>3</v>
      </c>
      <c r="L22" s="7"/>
      <c r="M22" s="7">
        <v>2</v>
      </c>
      <c r="N22" s="7">
        <v>1</v>
      </c>
      <c r="O22" s="7">
        <v>2</v>
      </c>
      <c r="P22" s="7">
        <v>2</v>
      </c>
      <c r="Q22" s="7"/>
      <c r="R22" s="7"/>
      <c r="S22" s="7">
        <v>2</v>
      </c>
      <c r="T22" s="7">
        <v>2</v>
      </c>
      <c r="U22" s="7">
        <v>4</v>
      </c>
      <c r="V22" s="7">
        <v>1</v>
      </c>
      <c r="W22" s="7"/>
      <c r="X22" s="7">
        <v>2</v>
      </c>
      <c r="Y22" s="7">
        <v>2</v>
      </c>
      <c r="Z22" s="7">
        <v>4</v>
      </c>
      <c r="AA22" s="7">
        <v>1</v>
      </c>
      <c r="AB22" s="7">
        <v>4</v>
      </c>
      <c r="AC22" s="7">
        <v>4</v>
      </c>
      <c r="AD22" s="7">
        <v>1</v>
      </c>
      <c r="AE22" s="7">
        <v>2</v>
      </c>
      <c r="AF22" s="8"/>
      <c r="AG22" s="4">
        <f t="shared" si="2"/>
        <v>56</v>
      </c>
    </row>
    <row r="23" spans="1:33" ht="18.75" hidden="1" x14ac:dyDescent="0.25">
      <c r="A23" s="41" t="s">
        <v>36</v>
      </c>
      <c r="B23" s="7">
        <v>1</v>
      </c>
      <c r="C23" s="7">
        <v>1</v>
      </c>
      <c r="D23" s="7"/>
      <c r="E23" s="7">
        <v>3</v>
      </c>
      <c r="F23" s="7">
        <v>4</v>
      </c>
      <c r="G23" s="7">
        <v>1</v>
      </c>
      <c r="H23" s="7">
        <v>2</v>
      </c>
      <c r="I23" s="7">
        <v>2</v>
      </c>
      <c r="J23" s="7"/>
      <c r="K23" s="7">
        <v>1</v>
      </c>
      <c r="L23" s="7"/>
      <c r="M23" s="7">
        <v>4</v>
      </c>
      <c r="N23" s="7">
        <v>2</v>
      </c>
      <c r="O23" s="7"/>
      <c r="P23" s="7"/>
      <c r="Q23" s="7">
        <v>3</v>
      </c>
      <c r="R23" s="7">
        <v>2</v>
      </c>
      <c r="S23" s="7">
        <v>3</v>
      </c>
      <c r="T23" s="7">
        <v>1</v>
      </c>
      <c r="U23" s="7">
        <v>1</v>
      </c>
      <c r="V23" s="7">
        <v>3</v>
      </c>
      <c r="W23" s="7">
        <v>2</v>
      </c>
      <c r="X23" s="7">
        <v>1</v>
      </c>
      <c r="Y23" s="7"/>
      <c r="Z23" s="7">
        <v>3</v>
      </c>
      <c r="AA23" s="7">
        <v>1</v>
      </c>
      <c r="AB23" s="7">
        <v>1</v>
      </c>
      <c r="AC23" s="7">
        <v>2</v>
      </c>
      <c r="AD23" s="7"/>
      <c r="AE23" s="7"/>
      <c r="AF23" s="8"/>
      <c r="AG23" s="4">
        <f t="shared" si="2"/>
        <v>44</v>
      </c>
    </row>
    <row r="24" spans="1:33" ht="18.75" hidden="1" x14ac:dyDescent="0.25">
      <c r="A24" s="41" t="s">
        <v>51</v>
      </c>
      <c r="B24" s="7">
        <v>2</v>
      </c>
      <c r="C24" s="7">
        <v>1</v>
      </c>
      <c r="D24" s="7">
        <v>1</v>
      </c>
      <c r="E24" s="7"/>
      <c r="F24" s="7">
        <v>3</v>
      </c>
      <c r="G24" s="7">
        <v>1</v>
      </c>
      <c r="H24" s="7"/>
      <c r="I24" s="7">
        <v>2</v>
      </c>
      <c r="J24" s="7"/>
      <c r="K24" s="7">
        <v>1</v>
      </c>
      <c r="L24" s="7">
        <v>3</v>
      </c>
      <c r="M24" s="7"/>
      <c r="N24" s="7">
        <v>1</v>
      </c>
      <c r="O24" s="7">
        <v>1</v>
      </c>
      <c r="P24" s="7">
        <v>1</v>
      </c>
      <c r="Q24" s="7"/>
      <c r="R24" s="7">
        <v>1</v>
      </c>
      <c r="S24" s="7">
        <v>1</v>
      </c>
      <c r="T24" s="7">
        <v>2</v>
      </c>
      <c r="U24" s="7">
        <v>1</v>
      </c>
      <c r="V24" s="7"/>
      <c r="W24" s="7"/>
      <c r="X24" s="7">
        <v>1</v>
      </c>
      <c r="Y24" s="7">
        <v>1</v>
      </c>
      <c r="Z24" s="7"/>
      <c r="AA24" s="7">
        <v>2</v>
      </c>
      <c r="AB24" s="7"/>
      <c r="AC24" s="7"/>
      <c r="AD24" s="7">
        <v>1</v>
      </c>
      <c r="AE24" s="7">
        <v>3</v>
      </c>
      <c r="AF24" s="8">
        <v>3</v>
      </c>
      <c r="AG24" s="4">
        <f t="shared" si="2"/>
        <v>33</v>
      </c>
    </row>
    <row r="25" spans="1:33" ht="18.75" hidden="1" x14ac:dyDescent="0.25">
      <c r="A25" s="41" t="s">
        <v>52</v>
      </c>
      <c r="B25" s="7"/>
      <c r="C25" s="7">
        <v>1</v>
      </c>
      <c r="D25" s="7"/>
      <c r="E25" s="7"/>
      <c r="F25" s="7">
        <v>3</v>
      </c>
      <c r="G25" s="7">
        <v>1</v>
      </c>
      <c r="H25" s="7"/>
      <c r="I25" s="7">
        <v>1</v>
      </c>
      <c r="J25" s="7"/>
      <c r="K25" s="7"/>
      <c r="L25" s="7">
        <v>1</v>
      </c>
      <c r="M25" s="7">
        <v>1</v>
      </c>
      <c r="N25" s="7">
        <v>1</v>
      </c>
      <c r="O25" s="7"/>
      <c r="P25" s="7"/>
      <c r="Q25" s="7">
        <v>1</v>
      </c>
      <c r="R25" s="7"/>
      <c r="S25" s="7"/>
      <c r="T25" s="7">
        <v>2</v>
      </c>
      <c r="U25" s="7"/>
      <c r="V25" s="7">
        <v>1</v>
      </c>
      <c r="W25" s="7"/>
      <c r="X25" s="7">
        <v>1</v>
      </c>
      <c r="Y25" s="7">
        <v>1</v>
      </c>
      <c r="Z25" s="7">
        <v>1</v>
      </c>
      <c r="AA25" s="7">
        <v>1</v>
      </c>
      <c r="AB25" s="7"/>
      <c r="AC25" s="7">
        <v>1</v>
      </c>
      <c r="AD25" s="7"/>
      <c r="AE25" s="7"/>
      <c r="AF25" s="8">
        <v>1</v>
      </c>
      <c r="AG25" s="4">
        <f t="shared" si="2"/>
        <v>19</v>
      </c>
    </row>
    <row r="26" spans="1:33" ht="18.75" hidden="1" x14ac:dyDescent="0.25">
      <c r="A26" s="41" t="s">
        <v>37</v>
      </c>
      <c r="B26" s="7"/>
      <c r="C26" s="7">
        <v>1</v>
      </c>
      <c r="D26" s="7"/>
      <c r="E26" s="7">
        <v>2</v>
      </c>
      <c r="F26" s="7">
        <v>2</v>
      </c>
      <c r="G26" s="7">
        <v>1</v>
      </c>
      <c r="H26" s="7"/>
      <c r="I26" s="7">
        <v>2</v>
      </c>
      <c r="J26" s="7"/>
      <c r="K26" s="7">
        <v>2</v>
      </c>
      <c r="L26" s="7">
        <v>3</v>
      </c>
      <c r="M26" s="7"/>
      <c r="N26" s="7">
        <v>2</v>
      </c>
      <c r="O26" s="7"/>
      <c r="P26" s="7"/>
      <c r="Q26" s="7">
        <v>2</v>
      </c>
      <c r="R26" s="7"/>
      <c r="S26" s="7"/>
      <c r="T26" s="7"/>
      <c r="U26" s="7">
        <v>1</v>
      </c>
      <c r="V26" s="7"/>
      <c r="W26" s="7">
        <v>2</v>
      </c>
      <c r="X26" s="7"/>
      <c r="Y26" s="7">
        <v>1</v>
      </c>
      <c r="Z26" s="7"/>
      <c r="AA26" s="7"/>
      <c r="AB26" s="7"/>
      <c r="AC26" s="7"/>
      <c r="AD26" s="7"/>
      <c r="AE26" s="7">
        <v>1</v>
      </c>
      <c r="AF26" s="8"/>
      <c r="AG26" s="4">
        <f t="shared" si="2"/>
        <v>22</v>
      </c>
    </row>
    <row r="27" spans="1:33" ht="19.5" hidden="1" thickBot="1" x14ac:dyDescent="0.3">
      <c r="A27" s="81" t="s">
        <v>53</v>
      </c>
      <c r="B27" s="78"/>
      <c r="C27" s="78"/>
      <c r="D27" s="78"/>
      <c r="E27" s="78">
        <v>3</v>
      </c>
      <c r="F27" s="78">
        <v>2</v>
      </c>
      <c r="G27" s="78"/>
      <c r="H27" s="78"/>
      <c r="I27" s="78"/>
      <c r="J27" s="78"/>
      <c r="K27" s="78"/>
      <c r="L27" s="78">
        <v>1</v>
      </c>
      <c r="M27" s="78">
        <v>2</v>
      </c>
      <c r="N27" s="78"/>
      <c r="O27" s="78">
        <v>1</v>
      </c>
      <c r="P27" s="78"/>
      <c r="Q27" s="78"/>
      <c r="R27" s="78"/>
      <c r="S27" s="78">
        <v>4</v>
      </c>
      <c r="T27" s="78">
        <v>2</v>
      </c>
      <c r="U27" s="78"/>
      <c r="V27" s="78">
        <v>1</v>
      </c>
      <c r="W27" s="78"/>
      <c r="X27" s="78"/>
      <c r="Y27" s="78">
        <v>1</v>
      </c>
      <c r="Z27" s="78">
        <v>2</v>
      </c>
      <c r="AA27" s="78">
        <v>3</v>
      </c>
      <c r="AB27" s="78">
        <v>1</v>
      </c>
      <c r="AC27" s="78"/>
      <c r="AD27" s="78"/>
      <c r="AE27" s="78">
        <v>1</v>
      </c>
      <c r="AF27" s="83">
        <v>1</v>
      </c>
      <c r="AG27" s="4">
        <f t="shared" si="2"/>
        <v>25</v>
      </c>
    </row>
    <row r="28" spans="1:33" ht="19.5" thickBot="1" x14ac:dyDescent="0.3">
      <c r="A28" s="79" t="s">
        <v>107</v>
      </c>
      <c r="B28" s="80">
        <f>SUM(B29:B52)</f>
        <v>160</v>
      </c>
      <c r="C28" s="80">
        <f t="shared" ref="C28:AF28" si="3">SUM(C29:C52)</f>
        <v>166</v>
      </c>
      <c r="D28" s="80">
        <f t="shared" si="3"/>
        <v>141</v>
      </c>
      <c r="E28" s="80">
        <f t="shared" si="3"/>
        <v>129</v>
      </c>
      <c r="F28" s="80">
        <f t="shared" si="3"/>
        <v>222</v>
      </c>
      <c r="G28" s="80">
        <f t="shared" si="3"/>
        <v>242</v>
      </c>
      <c r="H28" s="80">
        <f t="shared" si="3"/>
        <v>193</v>
      </c>
      <c r="I28" s="80">
        <f t="shared" si="3"/>
        <v>174</v>
      </c>
      <c r="J28" s="80">
        <f t="shared" si="3"/>
        <v>185</v>
      </c>
      <c r="K28" s="80">
        <f t="shared" si="3"/>
        <v>172</v>
      </c>
      <c r="L28" s="80">
        <f t="shared" si="3"/>
        <v>177</v>
      </c>
      <c r="M28" s="80">
        <f t="shared" si="3"/>
        <v>247</v>
      </c>
      <c r="N28" s="80">
        <f t="shared" si="3"/>
        <v>266</v>
      </c>
      <c r="O28" s="80">
        <f t="shared" si="3"/>
        <v>194</v>
      </c>
      <c r="P28" s="80">
        <f t="shared" si="3"/>
        <v>157</v>
      </c>
      <c r="Q28" s="80">
        <f t="shared" si="3"/>
        <v>182</v>
      </c>
      <c r="R28" s="80">
        <f t="shared" si="3"/>
        <v>188</v>
      </c>
      <c r="S28" s="80">
        <f t="shared" si="3"/>
        <v>168</v>
      </c>
      <c r="T28" s="80">
        <f t="shared" si="3"/>
        <v>229</v>
      </c>
      <c r="U28" s="80">
        <f t="shared" si="3"/>
        <v>190</v>
      </c>
      <c r="V28" s="80">
        <f t="shared" si="3"/>
        <v>100</v>
      </c>
      <c r="W28" s="80">
        <f t="shared" si="3"/>
        <v>126</v>
      </c>
      <c r="X28" s="80">
        <f t="shared" si="3"/>
        <v>108</v>
      </c>
      <c r="Y28" s="80">
        <f t="shared" si="3"/>
        <v>127</v>
      </c>
      <c r="Z28" s="80">
        <f t="shared" si="3"/>
        <v>132</v>
      </c>
      <c r="AA28" s="80">
        <f t="shared" si="3"/>
        <v>164</v>
      </c>
      <c r="AB28" s="80">
        <f t="shared" si="3"/>
        <v>208</v>
      </c>
      <c r="AC28" s="80">
        <f t="shared" si="3"/>
        <v>119</v>
      </c>
      <c r="AD28" s="80">
        <f t="shared" si="3"/>
        <v>146</v>
      </c>
      <c r="AE28" s="80">
        <f>SUM(AE29:AE52)</f>
        <v>128</v>
      </c>
      <c r="AF28" s="80">
        <f t="shared" si="3"/>
        <v>194</v>
      </c>
      <c r="AG28" s="150">
        <f t="shared" si="2"/>
        <v>5334</v>
      </c>
    </row>
    <row r="29" spans="1:33" ht="18.75" hidden="1" x14ac:dyDescent="0.25">
      <c r="A29" s="41" t="s">
        <v>54</v>
      </c>
      <c r="B29" s="7"/>
      <c r="C29" s="7"/>
      <c r="D29" s="7"/>
      <c r="E29" s="7">
        <v>2</v>
      </c>
      <c r="F29" s="7">
        <v>4</v>
      </c>
      <c r="G29" s="7"/>
      <c r="H29" s="7"/>
      <c r="I29" s="7"/>
      <c r="J29" s="7"/>
      <c r="K29" s="7"/>
      <c r="L29" s="7"/>
      <c r="M29" s="7"/>
      <c r="N29" s="7">
        <v>6</v>
      </c>
      <c r="O29" s="7"/>
      <c r="P29" s="7"/>
      <c r="Q29" s="7"/>
      <c r="R29" s="7"/>
      <c r="S29" s="7">
        <v>1</v>
      </c>
      <c r="T29" s="7">
        <v>2</v>
      </c>
      <c r="U29" s="7">
        <v>1</v>
      </c>
      <c r="V29" s="7"/>
      <c r="W29" s="7"/>
      <c r="X29" s="7"/>
      <c r="Y29" s="7"/>
      <c r="Z29" s="7">
        <v>2</v>
      </c>
      <c r="AA29" s="7">
        <v>4</v>
      </c>
      <c r="AB29" s="7">
        <v>3</v>
      </c>
      <c r="AC29" s="7"/>
      <c r="AD29" s="7"/>
      <c r="AE29" s="7"/>
      <c r="AF29" s="8">
        <v>5</v>
      </c>
      <c r="AG29" s="4">
        <f t="shared" si="2"/>
        <v>30</v>
      </c>
    </row>
    <row r="30" spans="1:33" ht="18.75" hidden="1" x14ac:dyDescent="0.25">
      <c r="A30" s="41" t="s">
        <v>55</v>
      </c>
      <c r="B30" s="7"/>
      <c r="C30" s="7"/>
      <c r="D30" s="7"/>
      <c r="E30" s="7"/>
      <c r="F30" s="7">
        <v>6</v>
      </c>
      <c r="G30" s="7">
        <v>5</v>
      </c>
      <c r="H30" s="7"/>
      <c r="I30" s="7"/>
      <c r="J30" s="7"/>
      <c r="K30" s="7"/>
      <c r="L30" s="7"/>
      <c r="M30" s="7">
        <v>8</v>
      </c>
      <c r="N30" s="7">
        <v>12</v>
      </c>
      <c r="O30" s="7"/>
      <c r="P30" s="7"/>
      <c r="Q30" s="7"/>
      <c r="R30" s="7"/>
      <c r="S30" s="7"/>
      <c r="T30" s="7">
        <v>2</v>
      </c>
      <c r="U30" s="7">
        <v>2</v>
      </c>
      <c r="V30" s="7"/>
      <c r="W30" s="7"/>
      <c r="X30" s="7"/>
      <c r="Y30" s="7"/>
      <c r="Z30" s="7"/>
      <c r="AA30" s="7">
        <v>4</v>
      </c>
      <c r="AB30" s="7">
        <v>8</v>
      </c>
      <c r="AC30" s="7"/>
      <c r="AD30" s="7"/>
      <c r="AE30" s="7"/>
      <c r="AF30" s="8">
        <v>10</v>
      </c>
      <c r="AG30" s="4">
        <f t="shared" si="2"/>
        <v>57</v>
      </c>
    </row>
    <row r="31" spans="1:33" ht="18.75" hidden="1" x14ac:dyDescent="0.25">
      <c r="A31" s="41" t="s">
        <v>56</v>
      </c>
      <c r="B31" s="7"/>
      <c r="C31" s="7"/>
      <c r="D31" s="7"/>
      <c r="E31" s="7"/>
      <c r="F31" s="7">
        <v>12</v>
      </c>
      <c r="G31" s="7">
        <v>6</v>
      </c>
      <c r="H31" s="7"/>
      <c r="I31" s="7"/>
      <c r="J31" s="7"/>
      <c r="K31" s="7"/>
      <c r="L31" s="7"/>
      <c r="M31" s="7">
        <v>15</v>
      </c>
      <c r="N31" s="7">
        <v>19</v>
      </c>
      <c r="O31" s="7"/>
      <c r="P31" s="7"/>
      <c r="Q31" s="7"/>
      <c r="R31" s="7"/>
      <c r="S31" s="7"/>
      <c r="T31" s="7">
        <v>12</v>
      </c>
      <c r="U31" s="7">
        <v>9</v>
      </c>
      <c r="V31" s="7"/>
      <c r="W31" s="7"/>
      <c r="X31" s="7"/>
      <c r="Y31" s="7"/>
      <c r="Z31" s="7"/>
      <c r="AA31" s="7">
        <v>7</v>
      </c>
      <c r="AB31" s="7">
        <v>11</v>
      </c>
      <c r="AC31" s="7"/>
      <c r="AD31" s="7"/>
      <c r="AE31" s="7"/>
      <c r="AF31" s="8">
        <v>8</v>
      </c>
      <c r="AG31" s="4">
        <f t="shared" si="2"/>
        <v>99</v>
      </c>
    </row>
    <row r="32" spans="1:33" ht="18.75" hidden="1" x14ac:dyDescent="0.25">
      <c r="A32" s="41" t="s">
        <v>38</v>
      </c>
      <c r="B32" s="7"/>
      <c r="C32" s="7"/>
      <c r="D32" s="7"/>
      <c r="E32" s="7"/>
      <c r="F32" s="7">
        <v>14</v>
      </c>
      <c r="G32" s="7">
        <v>15</v>
      </c>
      <c r="H32" s="7"/>
      <c r="I32" s="7"/>
      <c r="J32" s="7"/>
      <c r="K32" s="7"/>
      <c r="L32" s="7"/>
      <c r="M32" s="7">
        <v>17</v>
      </c>
      <c r="N32" s="7">
        <v>16</v>
      </c>
      <c r="O32" s="7"/>
      <c r="P32" s="7"/>
      <c r="Q32" s="7"/>
      <c r="R32" s="7"/>
      <c r="S32" s="7"/>
      <c r="T32" s="7">
        <v>15</v>
      </c>
      <c r="U32" s="7">
        <v>9</v>
      </c>
      <c r="V32" s="7"/>
      <c r="W32" s="7"/>
      <c r="X32" s="7"/>
      <c r="Y32" s="7"/>
      <c r="Z32" s="7"/>
      <c r="AA32" s="7">
        <v>7</v>
      </c>
      <c r="AB32" s="7">
        <v>14</v>
      </c>
      <c r="AC32" s="7"/>
      <c r="AD32" s="7"/>
      <c r="AE32" s="7"/>
      <c r="AF32" s="8">
        <v>10</v>
      </c>
      <c r="AG32" s="4">
        <f t="shared" si="2"/>
        <v>117</v>
      </c>
    </row>
    <row r="33" spans="1:33" ht="18.75" hidden="1" x14ac:dyDescent="0.25">
      <c r="A33" s="41" t="s">
        <v>39</v>
      </c>
      <c r="B33" s="7"/>
      <c r="C33" s="7"/>
      <c r="D33" s="7"/>
      <c r="E33" s="7"/>
      <c r="F33" s="7">
        <v>14</v>
      </c>
      <c r="G33" s="7">
        <v>17</v>
      </c>
      <c r="H33" s="7"/>
      <c r="I33" s="7"/>
      <c r="J33" s="7"/>
      <c r="K33" s="7"/>
      <c r="L33" s="7"/>
      <c r="M33" s="7">
        <v>15</v>
      </c>
      <c r="N33" s="7">
        <v>14</v>
      </c>
      <c r="O33" s="7"/>
      <c r="P33" s="7"/>
      <c r="Q33" s="7"/>
      <c r="R33" s="7"/>
      <c r="S33" s="7"/>
      <c r="T33" s="7">
        <v>13</v>
      </c>
      <c r="U33" s="7">
        <v>12</v>
      </c>
      <c r="V33" s="7"/>
      <c r="W33" s="7"/>
      <c r="X33" s="7"/>
      <c r="Y33" s="7"/>
      <c r="Z33" s="7">
        <v>1</v>
      </c>
      <c r="AA33" s="7">
        <v>13</v>
      </c>
      <c r="AB33" s="7">
        <v>13</v>
      </c>
      <c r="AC33" s="7"/>
      <c r="AD33" s="7"/>
      <c r="AE33" s="7"/>
      <c r="AF33" s="8">
        <v>4</v>
      </c>
      <c r="AG33" s="4">
        <f t="shared" si="2"/>
        <v>116</v>
      </c>
    </row>
    <row r="34" spans="1:33" ht="18.75" hidden="1" x14ac:dyDescent="0.25">
      <c r="A34" s="41" t="s">
        <v>40</v>
      </c>
      <c r="B34" s="7"/>
      <c r="C34" s="7"/>
      <c r="D34" s="7"/>
      <c r="E34" s="7"/>
      <c r="F34" s="7">
        <v>12</v>
      </c>
      <c r="G34" s="7">
        <v>17</v>
      </c>
      <c r="H34" s="7"/>
      <c r="I34" s="7"/>
      <c r="J34" s="7"/>
      <c r="K34" s="7"/>
      <c r="L34" s="7"/>
      <c r="M34" s="7">
        <v>12</v>
      </c>
      <c r="N34" s="7">
        <v>15</v>
      </c>
      <c r="O34" s="7"/>
      <c r="P34" s="7"/>
      <c r="Q34" s="7">
        <v>1</v>
      </c>
      <c r="R34" s="7"/>
      <c r="S34" s="7"/>
      <c r="T34" s="7">
        <v>17</v>
      </c>
      <c r="U34" s="7">
        <v>10</v>
      </c>
      <c r="V34" s="7"/>
      <c r="W34" s="7"/>
      <c r="X34" s="7"/>
      <c r="Y34" s="7"/>
      <c r="Z34" s="7"/>
      <c r="AA34" s="7">
        <v>9</v>
      </c>
      <c r="AB34" s="7">
        <v>15</v>
      </c>
      <c r="AC34" s="7"/>
      <c r="AD34" s="7">
        <v>1</v>
      </c>
      <c r="AE34" s="7"/>
      <c r="AF34" s="8">
        <v>7</v>
      </c>
      <c r="AG34" s="4">
        <f t="shared" si="2"/>
        <v>116</v>
      </c>
    </row>
    <row r="35" spans="1:33" ht="18.75" hidden="1" x14ac:dyDescent="0.25">
      <c r="A35" s="41" t="s">
        <v>41</v>
      </c>
      <c r="B35" s="7"/>
      <c r="C35" s="7"/>
      <c r="D35" s="7"/>
      <c r="E35" s="7"/>
      <c r="F35" s="7">
        <v>10</v>
      </c>
      <c r="G35" s="7">
        <v>13</v>
      </c>
      <c r="H35" s="7"/>
      <c r="I35" s="7"/>
      <c r="J35" s="7"/>
      <c r="K35" s="7"/>
      <c r="L35" s="7"/>
      <c r="M35" s="7">
        <v>9</v>
      </c>
      <c r="N35" s="7">
        <v>16</v>
      </c>
      <c r="O35" s="7"/>
      <c r="P35" s="7"/>
      <c r="Q35" s="7"/>
      <c r="R35" s="7"/>
      <c r="S35" s="7"/>
      <c r="T35" s="7">
        <v>14</v>
      </c>
      <c r="U35" s="7">
        <v>18</v>
      </c>
      <c r="V35" s="7"/>
      <c r="W35" s="7"/>
      <c r="X35" s="7"/>
      <c r="Y35" s="7"/>
      <c r="Z35" s="7"/>
      <c r="AA35" s="7">
        <v>8</v>
      </c>
      <c r="AB35" s="7">
        <v>6</v>
      </c>
      <c r="AC35" s="7"/>
      <c r="AD35" s="7"/>
      <c r="AE35" s="7"/>
      <c r="AF35" s="8">
        <v>13</v>
      </c>
      <c r="AG35" s="4">
        <f t="shared" si="2"/>
        <v>107</v>
      </c>
    </row>
    <row r="36" spans="1:33" ht="18.75" hidden="1" x14ac:dyDescent="0.25">
      <c r="A36" s="41" t="s">
        <v>42</v>
      </c>
      <c r="B36" s="7"/>
      <c r="C36" s="7"/>
      <c r="D36" s="7"/>
      <c r="E36" s="7"/>
      <c r="F36" s="7">
        <v>11</v>
      </c>
      <c r="G36" s="7">
        <v>17</v>
      </c>
      <c r="H36" s="7"/>
      <c r="I36" s="7">
        <v>1</v>
      </c>
      <c r="J36" s="7"/>
      <c r="K36" s="7"/>
      <c r="L36" s="7"/>
      <c r="M36" s="7">
        <v>14</v>
      </c>
      <c r="N36" s="7">
        <v>21</v>
      </c>
      <c r="O36" s="7">
        <v>1</v>
      </c>
      <c r="P36" s="7"/>
      <c r="Q36" s="7"/>
      <c r="R36" s="7"/>
      <c r="S36" s="7"/>
      <c r="T36" s="7">
        <v>14</v>
      </c>
      <c r="U36" s="7">
        <v>13</v>
      </c>
      <c r="V36" s="7"/>
      <c r="W36" s="7"/>
      <c r="X36" s="7"/>
      <c r="Y36" s="7"/>
      <c r="Z36" s="7"/>
      <c r="AA36" s="7">
        <v>6</v>
      </c>
      <c r="AB36" s="7">
        <v>12</v>
      </c>
      <c r="AC36" s="7"/>
      <c r="AD36" s="7"/>
      <c r="AE36" s="7"/>
      <c r="AF36" s="8">
        <v>11</v>
      </c>
      <c r="AG36" s="4">
        <f t="shared" si="2"/>
        <v>121</v>
      </c>
    </row>
    <row r="37" spans="1:33" ht="18.75" hidden="1" x14ac:dyDescent="0.25">
      <c r="A37" s="41" t="s">
        <v>43</v>
      </c>
      <c r="B37" s="7"/>
      <c r="C37" s="7"/>
      <c r="D37" s="7"/>
      <c r="E37" s="7"/>
      <c r="F37" s="7">
        <v>13</v>
      </c>
      <c r="G37" s="7">
        <v>19</v>
      </c>
      <c r="H37" s="7"/>
      <c r="I37" s="7"/>
      <c r="J37" s="7"/>
      <c r="K37" s="7"/>
      <c r="L37" s="7"/>
      <c r="M37" s="7">
        <v>17</v>
      </c>
      <c r="N37" s="7">
        <v>12</v>
      </c>
      <c r="O37" s="7"/>
      <c r="P37" s="7"/>
      <c r="Q37" s="7"/>
      <c r="R37" s="7"/>
      <c r="S37" s="7"/>
      <c r="T37" s="7">
        <v>17</v>
      </c>
      <c r="U37" s="7">
        <v>13</v>
      </c>
      <c r="V37" s="7"/>
      <c r="W37" s="7"/>
      <c r="X37" s="7"/>
      <c r="Y37" s="7"/>
      <c r="Z37" s="7"/>
      <c r="AA37" s="7">
        <v>8</v>
      </c>
      <c r="AB37" s="7">
        <v>18</v>
      </c>
      <c r="AC37" s="7"/>
      <c r="AD37" s="7"/>
      <c r="AE37" s="7"/>
      <c r="AF37" s="8">
        <v>10</v>
      </c>
      <c r="AG37" s="4">
        <f t="shared" si="2"/>
        <v>127</v>
      </c>
    </row>
    <row r="38" spans="1:33" ht="18.75" hidden="1" x14ac:dyDescent="0.25">
      <c r="A38" s="41" t="s">
        <v>44</v>
      </c>
      <c r="B38" s="7">
        <v>4</v>
      </c>
      <c r="C38" s="7">
        <v>5</v>
      </c>
      <c r="D38" s="7">
        <v>4</v>
      </c>
      <c r="E38" s="7">
        <v>4</v>
      </c>
      <c r="F38" s="7">
        <v>10</v>
      </c>
      <c r="G38" s="7">
        <v>17</v>
      </c>
      <c r="H38" s="7">
        <v>7</v>
      </c>
      <c r="I38" s="7">
        <v>4</v>
      </c>
      <c r="J38" s="7">
        <v>4</v>
      </c>
      <c r="K38" s="7">
        <v>8</v>
      </c>
      <c r="L38" s="7">
        <v>11</v>
      </c>
      <c r="M38" s="7">
        <v>23</v>
      </c>
      <c r="N38" s="7">
        <v>19</v>
      </c>
      <c r="O38" s="7">
        <v>9</v>
      </c>
      <c r="P38" s="7">
        <v>5</v>
      </c>
      <c r="Q38" s="7">
        <v>5</v>
      </c>
      <c r="R38" s="7">
        <v>14</v>
      </c>
      <c r="S38" s="7">
        <v>8</v>
      </c>
      <c r="T38" s="7">
        <v>15</v>
      </c>
      <c r="U38" s="7">
        <v>16</v>
      </c>
      <c r="V38" s="7">
        <v>9</v>
      </c>
      <c r="W38" s="7">
        <v>5</v>
      </c>
      <c r="X38" s="7">
        <v>2</v>
      </c>
      <c r="Y38" s="7">
        <v>9</v>
      </c>
      <c r="Z38" s="7">
        <v>2</v>
      </c>
      <c r="AA38" s="7">
        <v>17</v>
      </c>
      <c r="AB38" s="7">
        <v>20</v>
      </c>
      <c r="AC38" s="7">
        <v>6</v>
      </c>
      <c r="AD38" s="7">
        <v>8</v>
      </c>
      <c r="AE38" s="7">
        <v>3</v>
      </c>
      <c r="AF38" s="8">
        <v>13</v>
      </c>
      <c r="AG38" s="4">
        <f t="shared" si="2"/>
        <v>286</v>
      </c>
    </row>
    <row r="39" spans="1:33" ht="18.75" hidden="1" x14ac:dyDescent="0.25">
      <c r="A39" s="41" t="s">
        <v>45</v>
      </c>
      <c r="B39" s="7">
        <v>20</v>
      </c>
      <c r="C39" s="7">
        <v>21</v>
      </c>
      <c r="D39" s="7">
        <v>16</v>
      </c>
      <c r="E39" s="7">
        <v>23</v>
      </c>
      <c r="F39" s="7">
        <v>14</v>
      </c>
      <c r="G39" s="7">
        <v>24</v>
      </c>
      <c r="H39" s="7">
        <v>24</v>
      </c>
      <c r="I39" s="7">
        <v>15</v>
      </c>
      <c r="J39" s="7">
        <v>18</v>
      </c>
      <c r="K39" s="7">
        <v>16</v>
      </c>
      <c r="L39" s="7">
        <v>28</v>
      </c>
      <c r="M39" s="7">
        <v>19</v>
      </c>
      <c r="N39" s="7">
        <v>9</v>
      </c>
      <c r="O39" s="7">
        <v>33</v>
      </c>
      <c r="P39" s="7">
        <v>21</v>
      </c>
      <c r="Q39" s="7">
        <v>32</v>
      </c>
      <c r="R39" s="7">
        <v>24</v>
      </c>
      <c r="S39" s="7">
        <v>29</v>
      </c>
      <c r="T39" s="7">
        <v>16</v>
      </c>
      <c r="U39" s="7">
        <v>22</v>
      </c>
      <c r="V39" s="7">
        <v>19</v>
      </c>
      <c r="W39" s="7">
        <v>24</v>
      </c>
      <c r="X39" s="7">
        <v>23</v>
      </c>
      <c r="Y39" s="7">
        <v>22</v>
      </c>
      <c r="Z39" s="7">
        <v>7</v>
      </c>
      <c r="AA39" s="7">
        <v>17</v>
      </c>
      <c r="AB39" s="7">
        <v>11</v>
      </c>
      <c r="AC39" s="7">
        <v>21</v>
      </c>
      <c r="AD39" s="7">
        <v>20</v>
      </c>
      <c r="AE39" s="7">
        <v>17</v>
      </c>
      <c r="AF39" s="8">
        <v>20</v>
      </c>
      <c r="AG39" s="4">
        <f t="shared" si="2"/>
        <v>625</v>
      </c>
    </row>
    <row r="40" spans="1:33" ht="18.75" hidden="1" x14ac:dyDescent="0.25">
      <c r="A40" s="41" t="s">
        <v>46</v>
      </c>
      <c r="B40" s="7">
        <v>28</v>
      </c>
      <c r="C40" s="7">
        <v>28</v>
      </c>
      <c r="D40" s="7">
        <v>26</v>
      </c>
      <c r="E40" s="7">
        <v>20</v>
      </c>
      <c r="F40" s="7">
        <v>10</v>
      </c>
      <c r="G40" s="7">
        <v>21</v>
      </c>
      <c r="H40" s="7">
        <v>31</v>
      </c>
      <c r="I40" s="7">
        <v>28</v>
      </c>
      <c r="J40" s="7">
        <v>26</v>
      </c>
      <c r="K40" s="7">
        <v>31</v>
      </c>
      <c r="L40" s="7">
        <v>27</v>
      </c>
      <c r="M40" s="7">
        <v>14</v>
      </c>
      <c r="N40" s="7">
        <v>15</v>
      </c>
      <c r="O40" s="7">
        <v>40</v>
      </c>
      <c r="P40" s="7">
        <v>25</v>
      </c>
      <c r="Q40" s="7">
        <v>30</v>
      </c>
      <c r="R40" s="7">
        <v>22</v>
      </c>
      <c r="S40" s="7">
        <v>29</v>
      </c>
      <c r="T40" s="7">
        <v>17</v>
      </c>
      <c r="U40" s="7">
        <v>20</v>
      </c>
      <c r="V40" s="7">
        <v>29</v>
      </c>
      <c r="W40" s="7">
        <v>29</v>
      </c>
      <c r="X40" s="7">
        <v>28</v>
      </c>
      <c r="Y40" s="7">
        <v>23</v>
      </c>
      <c r="Z40" s="7">
        <v>24</v>
      </c>
      <c r="AA40" s="7">
        <v>11</v>
      </c>
      <c r="AB40" s="7">
        <v>12</v>
      </c>
      <c r="AC40" s="7">
        <v>33</v>
      </c>
      <c r="AD40" s="7">
        <v>26</v>
      </c>
      <c r="AE40" s="7">
        <v>22</v>
      </c>
      <c r="AF40" s="8">
        <v>12</v>
      </c>
      <c r="AG40" s="4">
        <f t="shared" si="2"/>
        <v>737</v>
      </c>
    </row>
    <row r="41" spans="1:33" ht="18.75" hidden="1" x14ac:dyDescent="0.25">
      <c r="A41" s="41" t="s">
        <v>47</v>
      </c>
      <c r="B41" s="7">
        <v>29</v>
      </c>
      <c r="C41" s="7">
        <v>22</v>
      </c>
      <c r="D41" s="7">
        <v>16</v>
      </c>
      <c r="E41" s="7">
        <v>13</v>
      </c>
      <c r="F41" s="7">
        <v>15</v>
      </c>
      <c r="G41" s="7">
        <v>17</v>
      </c>
      <c r="H41" s="7">
        <v>33</v>
      </c>
      <c r="I41" s="7">
        <v>28</v>
      </c>
      <c r="J41" s="7">
        <v>31</v>
      </c>
      <c r="K41" s="7">
        <v>23</v>
      </c>
      <c r="L41" s="7">
        <v>25</v>
      </c>
      <c r="M41" s="7">
        <v>14</v>
      </c>
      <c r="N41" s="7">
        <v>24</v>
      </c>
      <c r="O41" s="7">
        <v>30</v>
      </c>
      <c r="P41" s="7">
        <v>27</v>
      </c>
      <c r="Q41" s="7">
        <v>24</v>
      </c>
      <c r="R41" s="7">
        <v>30</v>
      </c>
      <c r="S41" s="7">
        <v>23</v>
      </c>
      <c r="T41" s="7">
        <v>17</v>
      </c>
      <c r="U41" s="7">
        <v>17</v>
      </c>
      <c r="V41" s="7">
        <v>17</v>
      </c>
      <c r="W41" s="7">
        <v>21</v>
      </c>
      <c r="X41" s="7">
        <v>29</v>
      </c>
      <c r="Y41" s="7">
        <v>26</v>
      </c>
      <c r="Z41" s="7">
        <v>26</v>
      </c>
      <c r="AA41" s="7">
        <v>7</v>
      </c>
      <c r="AB41" s="7">
        <v>15</v>
      </c>
      <c r="AC41" s="7">
        <v>25</v>
      </c>
      <c r="AD41" s="7">
        <v>28</v>
      </c>
      <c r="AE41" s="7">
        <v>24</v>
      </c>
      <c r="AF41" s="8">
        <v>11</v>
      </c>
      <c r="AG41" s="4">
        <f t="shared" si="2"/>
        <v>687</v>
      </c>
    </row>
    <row r="42" spans="1:33" ht="18.75" hidden="1" x14ac:dyDescent="0.25">
      <c r="A42" s="41" t="s">
        <v>48</v>
      </c>
      <c r="B42" s="7">
        <v>32</v>
      </c>
      <c r="C42" s="7">
        <v>20</v>
      </c>
      <c r="D42" s="7">
        <v>27</v>
      </c>
      <c r="E42" s="7">
        <v>13</v>
      </c>
      <c r="F42" s="7">
        <v>12</v>
      </c>
      <c r="G42" s="7">
        <v>13</v>
      </c>
      <c r="H42" s="7">
        <v>27</v>
      </c>
      <c r="I42" s="7">
        <v>26</v>
      </c>
      <c r="J42" s="7">
        <v>31</v>
      </c>
      <c r="K42" s="7">
        <v>27</v>
      </c>
      <c r="L42" s="7">
        <v>16</v>
      </c>
      <c r="M42" s="7">
        <v>15</v>
      </c>
      <c r="N42" s="7">
        <v>18</v>
      </c>
      <c r="O42" s="7">
        <v>35</v>
      </c>
      <c r="P42" s="7">
        <v>29</v>
      </c>
      <c r="Q42" s="7">
        <v>23</v>
      </c>
      <c r="R42" s="7">
        <v>30</v>
      </c>
      <c r="S42" s="7">
        <v>11</v>
      </c>
      <c r="T42" s="7">
        <v>19</v>
      </c>
      <c r="U42" s="7">
        <v>8</v>
      </c>
      <c r="V42" s="7">
        <v>5</v>
      </c>
      <c r="W42" s="7">
        <v>17</v>
      </c>
      <c r="X42" s="7">
        <v>5</v>
      </c>
      <c r="Y42" s="7">
        <v>15</v>
      </c>
      <c r="Z42" s="7">
        <v>24</v>
      </c>
      <c r="AA42" s="7">
        <v>1</v>
      </c>
      <c r="AB42" s="7">
        <v>12</v>
      </c>
      <c r="AC42" s="7">
        <v>9</v>
      </c>
      <c r="AD42" s="7">
        <v>22</v>
      </c>
      <c r="AE42" s="7">
        <v>17</v>
      </c>
      <c r="AF42" s="8">
        <v>11</v>
      </c>
      <c r="AG42" s="4">
        <f t="shared" si="2"/>
        <v>570</v>
      </c>
    </row>
    <row r="43" spans="1:33" ht="18.75" hidden="1" x14ac:dyDescent="0.25">
      <c r="A43" s="41" t="s">
        <v>49</v>
      </c>
      <c r="B43" s="7">
        <v>17</v>
      </c>
      <c r="C43" s="7">
        <v>23</v>
      </c>
      <c r="D43" s="7">
        <v>17</v>
      </c>
      <c r="E43" s="7">
        <v>11</v>
      </c>
      <c r="F43" s="7">
        <v>14</v>
      </c>
      <c r="G43" s="7">
        <v>12</v>
      </c>
      <c r="H43" s="7">
        <v>34</v>
      </c>
      <c r="I43" s="7">
        <v>26</v>
      </c>
      <c r="J43" s="7">
        <v>25</v>
      </c>
      <c r="K43" s="7">
        <v>21</v>
      </c>
      <c r="L43" s="7">
        <v>20</v>
      </c>
      <c r="M43" s="7">
        <v>8</v>
      </c>
      <c r="N43" s="7">
        <v>24</v>
      </c>
      <c r="O43" s="7">
        <v>24</v>
      </c>
      <c r="P43" s="7">
        <v>8</v>
      </c>
      <c r="Q43" s="7">
        <v>25</v>
      </c>
      <c r="R43" s="7">
        <v>15</v>
      </c>
      <c r="S43" s="7">
        <v>11</v>
      </c>
      <c r="T43" s="7">
        <v>15</v>
      </c>
      <c r="U43" s="7">
        <v>5</v>
      </c>
      <c r="V43" s="7">
        <v>7</v>
      </c>
      <c r="W43" s="7">
        <v>14</v>
      </c>
      <c r="X43" s="7">
        <v>8</v>
      </c>
      <c r="Y43" s="7">
        <v>14</v>
      </c>
      <c r="Z43" s="7">
        <v>10</v>
      </c>
      <c r="AA43" s="7">
        <v>9</v>
      </c>
      <c r="AB43" s="7">
        <v>9</v>
      </c>
      <c r="AC43" s="7">
        <v>7</v>
      </c>
      <c r="AD43" s="7">
        <v>13</v>
      </c>
      <c r="AE43" s="7">
        <v>21</v>
      </c>
      <c r="AF43" s="8">
        <v>7</v>
      </c>
      <c r="AG43" s="4">
        <f t="shared" si="2"/>
        <v>474</v>
      </c>
    </row>
    <row r="44" spans="1:33" ht="18.75" hidden="1" x14ac:dyDescent="0.25">
      <c r="A44" s="41" t="s">
        <v>50</v>
      </c>
      <c r="B44" s="7">
        <v>13</v>
      </c>
      <c r="C44" s="7">
        <v>20</v>
      </c>
      <c r="D44" s="7">
        <v>13</v>
      </c>
      <c r="E44" s="7">
        <v>6</v>
      </c>
      <c r="F44" s="7">
        <v>9</v>
      </c>
      <c r="G44" s="7">
        <v>7</v>
      </c>
      <c r="H44" s="7">
        <v>17</v>
      </c>
      <c r="I44" s="7">
        <v>11</v>
      </c>
      <c r="J44" s="7">
        <v>20</v>
      </c>
      <c r="K44" s="7">
        <v>14</v>
      </c>
      <c r="L44" s="7">
        <v>16</v>
      </c>
      <c r="M44" s="7">
        <v>7</v>
      </c>
      <c r="N44" s="7">
        <v>5</v>
      </c>
      <c r="O44" s="7">
        <v>6</v>
      </c>
      <c r="P44" s="7">
        <v>10</v>
      </c>
      <c r="Q44" s="7">
        <v>12</v>
      </c>
      <c r="R44" s="7">
        <v>18</v>
      </c>
      <c r="S44" s="7">
        <v>13</v>
      </c>
      <c r="T44" s="7">
        <v>5</v>
      </c>
      <c r="U44" s="7">
        <v>1</v>
      </c>
      <c r="V44" s="7">
        <v>3</v>
      </c>
      <c r="W44" s="7">
        <v>7</v>
      </c>
      <c r="X44" s="7">
        <v>4</v>
      </c>
      <c r="Y44" s="7">
        <v>10</v>
      </c>
      <c r="Z44" s="7">
        <v>17</v>
      </c>
      <c r="AA44" s="7">
        <v>10</v>
      </c>
      <c r="AB44" s="7">
        <v>6</v>
      </c>
      <c r="AC44" s="7">
        <v>3</v>
      </c>
      <c r="AD44" s="7">
        <v>4</v>
      </c>
      <c r="AE44" s="7">
        <v>7</v>
      </c>
      <c r="AF44" s="8">
        <v>7</v>
      </c>
      <c r="AG44" s="4">
        <f t="shared" si="2"/>
        <v>301</v>
      </c>
    </row>
    <row r="45" spans="1:33" ht="18.75" hidden="1" x14ac:dyDescent="0.25">
      <c r="A45" s="41" t="s">
        <v>33</v>
      </c>
      <c r="B45" s="7">
        <v>5</v>
      </c>
      <c r="C45" s="7">
        <v>9</v>
      </c>
      <c r="D45" s="7">
        <v>15</v>
      </c>
      <c r="E45" s="7">
        <v>14</v>
      </c>
      <c r="F45" s="7">
        <v>11</v>
      </c>
      <c r="G45" s="7">
        <v>9</v>
      </c>
      <c r="H45" s="7">
        <v>4</v>
      </c>
      <c r="I45" s="7">
        <v>10</v>
      </c>
      <c r="J45" s="7">
        <v>12</v>
      </c>
      <c r="K45" s="7">
        <v>8</v>
      </c>
      <c r="L45" s="7">
        <v>22</v>
      </c>
      <c r="M45" s="7">
        <v>11</v>
      </c>
      <c r="N45" s="7">
        <v>8</v>
      </c>
      <c r="O45" s="7">
        <v>4</v>
      </c>
      <c r="P45" s="7">
        <v>10</v>
      </c>
      <c r="Q45" s="7">
        <v>11</v>
      </c>
      <c r="R45" s="7">
        <v>8</v>
      </c>
      <c r="S45" s="7">
        <v>11</v>
      </c>
      <c r="T45" s="7">
        <v>6</v>
      </c>
      <c r="U45" s="7">
        <v>3</v>
      </c>
      <c r="V45" s="7">
        <v>4</v>
      </c>
      <c r="W45" s="7">
        <v>4</v>
      </c>
      <c r="X45" s="7">
        <v>4</v>
      </c>
      <c r="Y45" s="7">
        <v>2</v>
      </c>
      <c r="Z45" s="7">
        <v>3</v>
      </c>
      <c r="AA45" s="7">
        <v>10</v>
      </c>
      <c r="AB45" s="7">
        <v>9</v>
      </c>
      <c r="AC45" s="7">
        <v>7</v>
      </c>
      <c r="AD45" s="7">
        <v>9</v>
      </c>
      <c r="AE45" s="7">
        <v>5</v>
      </c>
      <c r="AF45" s="8">
        <v>11</v>
      </c>
      <c r="AG45" s="4">
        <f t="shared" si="2"/>
        <v>259</v>
      </c>
    </row>
    <row r="46" spans="1:33" ht="18.75" hidden="1" x14ac:dyDescent="0.25">
      <c r="A46" s="41" t="s">
        <v>34</v>
      </c>
      <c r="B46" s="7">
        <v>5</v>
      </c>
      <c r="C46" s="7">
        <v>12</v>
      </c>
      <c r="D46" s="7">
        <v>3</v>
      </c>
      <c r="E46" s="7">
        <v>8</v>
      </c>
      <c r="F46" s="7">
        <v>7</v>
      </c>
      <c r="G46" s="7">
        <v>6</v>
      </c>
      <c r="H46" s="7">
        <v>3</v>
      </c>
      <c r="I46" s="7">
        <v>10</v>
      </c>
      <c r="J46" s="7">
        <v>9</v>
      </c>
      <c r="K46" s="7">
        <v>6</v>
      </c>
      <c r="L46" s="7">
        <v>4</v>
      </c>
      <c r="M46" s="7">
        <v>9</v>
      </c>
      <c r="N46" s="7">
        <v>6</v>
      </c>
      <c r="O46" s="7">
        <v>6</v>
      </c>
      <c r="P46" s="7">
        <v>7</v>
      </c>
      <c r="Q46" s="7">
        <v>11</v>
      </c>
      <c r="R46" s="7">
        <v>9</v>
      </c>
      <c r="S46" s="7">
        <v>8</v>
      </c>
      <c r="T46" s="7">
        <v>4</v>
      </c>
      <c r="U46" s="7">
        <v>3</v>
      </c>
      <c r="V46" s="7"/>
      <c r="W46" s="7">
        <v>1</v>
      </c>
      <c r="X46" s="7">
        <v>1</v>
      </c>
      <c r="Y46" s="7"/>
      <c r="Z46" s="7">
        <v>3</v>
      </c>
      <c r="AA46" s="7">
        <v>3</v>
      </c>
      <c r="AB46" s="7">
        <v>5</v>
      </c>
      <c r="AC46" s="7">
        <v>1</v>
      </c>
      <c r="AD46" s="7">
        <v>6</v>
      </c>
      <c r="AE46" s="7">
        <v>4</v>
      </c>
      <c r="AF46" s="8">
        <v>13</v>
      </c>
      <c r="AG46" s="4">
        <f t="shared" si="2"/>
        <v>173</v>
      </c>
    </row>
    <row r="47" spans="1:33" ht="18.75" hidden="1" x14ac:dyDescent="0.25">
      <c r="A47" s="41" t="s">
        <v>35</v>
      </c>
      <c r="B47" s="7">
        <v>4</v>
      </c>
      <c r="C47" s="7">
        <v>2</v>
      </c>
      <c r="D47" s="7">
        <v>3</v>
      </c>
      <c r="E47" s="7">
        <v>5</v>
      </c>
      <c r="F47" s="7">
        <v>7</v>
      </c>
      <c r="G47" s="7">
        <v>2</v>
      </c>
      <c r="H47" s="7">
        <v>6</v>
      </c>
      <c r="I47" s="7">
        <v>8</v>
      </c>
      <c r="J47" s="7">
        <v>8</v>
      </c>
      <c r="K47" s="7">
        <v>7</v>
      </c>
      <c r="L47" s="7"/>
      <c r="M47" s="7">
        <v>9</v>
      </c>
      <c r="N47" s="7">
        <v>1</v>
      </c>
      <c r="O47" s="7">
        <v>3</v>
      </c>
      <c r="P47" s="7">
        <v>8</v>
      </c>
      <c r="Q47" s="7">
        <v>2</v>
      </c>
      <c r="R47" s="7">
        <v>8</v>
      </c>
      <c r="S47" s="7">
        <v>6</v>
      </c>
      <c r="T47" s="7">
        <v>3</v>
      </c>
      <c r="U47" s="7">
        <v>5</v>
      </c>
      <c r="V47" s="7">
        <v>2</v>
      </c>
      <c r="W47" s="7"/>
      <c r="X47" s="7">
        <v>1</v>
      </c>
      <c r="Y47" s="7"/>
      <c r="Z47" s="7">
        <v>8</v>
      </c>
      <c r="AA47" s="7">
        <v>3</v>
      </c>
      <c r="AB47" s="7">
        <v>5</v>
      </c>
      <c r="AC47" s="7">
        <v>3</v>
      </c>
      <c r="AD47" s="7">
        <v>7</v>
      </c>
      <c r="AE47" s="7">
        <v>2</v>
      </c>
      <c r="AF47" s="8">
        <v>6</v>
      </c>
      <c r="AG47" s="4">
        <f t="shared" si="2"/>
        <v>134</v>
      </c>
    </row>
    <row r="48" spans="1:33" ht="18.75" hidden="1" x14ac:dyDescent="0.25">
      <c r="A48" s="41" t="s">
        <v>36</v>
      </c>
      <c r="B48" s="7">
        <v>1</v>
      </c>
      <c r="C48" s="7">
        <v>1</v>
      </c>
      <c r="D48" s="7"/>
      <c r="E48" s="7">
        <v>6</v>
      </c>
      <c r="F48" s="7">
        <v>6</v>
      </c>
      <c r="G48" s="7">
        <v>2</v>
      </c>
      <c r="H48" s="7">
        <v>6</v>
      </c>
      <c r="I48" s="7">
        <v>2</v>
      </c>
      <c r="J48" s="7">
        <v>1</v>
      </c>
      <c r="K48" s="7">
        <v>8</v>
      </c>
      <c r="L48" s="7"/>
      <c r="M48" s="7">
        <v>7</v>
      </c>
      <c r="N48" s="7">
        <v>2</v>
      </c>
      <c r="O48" s="7">
        <v>1</v>
      </c>
      <c r="P48" s="7">
        <v>6</v>
      </c>
      <c r="Q48" s="7">
        <v>3</v>
      </c>
      <c r="R48" s="7">
        <v>9</v>
      </c>
      <c r="S48" s="7">
        <v>9</v>
      </c>
      <c r="T48" s="7"/>
      <c r="U48" s="7"/>
      <c r="V48" s="7">
        <v>3</v>
      </c>
      <c r="W48" s="7">
        <v>2</v>
      </c>
      <c r="X48" s="7">
        <v>1</v>
      </c>
      <c r="Y48" s="7">
        <v>2</v>
      </c>
      <c r="Z48" s="7">
        <v>4</v>
      </c>
      <c r="AA48" s="7">
        <v>3</v>
      </c>
      <c r="AB48" s="7">
        <v>3</v>
      </c>
      <c r="AC48" s="7">
        <v>3</v>
      </c>
      <c r="AD48" s="7">
        <v>1</v>
      </c>
      <c r="AE48" s="7">
        <v>1</v>
      </c>
      <c r="AF48" s="8"/>
      <c r="AG48" s="4">
        <f t="shared" si="2"/>
        <v>93</v>
      </c>
    </row>
    <row r="49" spans="1:33" ht="18.75" hidden="1" x14ac:dyDescent="0.25">
      <c r="A49" s="41" t="s">
        <v>51</v>
      </c>
      <c r="B49" s="7">
        <v>2</v>
      </c>
      <c r="C49" s="7"/>
      <c r="D49" s="7">
        <v>1</v>
      </c>
      <c r="E49" s="7">
        <v>1</v>
      </c>
      <c r="F49" s="7">
        <v>3</v>
      </c>
      <c r="G49" s="7">
        <v>1</v>
      </c>
      <c r="H49" s="7">
        <v>1</v>
      </c>
      <c r="I49" s="7">
        <v>1</v>
      </c>
      <c r="J49" s="7"/>
      <c r="K49" s="7">
        <v>1</v>
      </c>
      <c r="L49" s="7">
        <v>2</v>
      </c>
      <c r="M49" s="7">
        <v>1</v>
      </c>
      <c r="N49" s="7">
        <v>1</v>
      </c>
      <c r="O49" s="7">
        <v>1</v>
      </c>
      <c r="P49" s="7">
        <v>1</v>
      </c>
      <c r="Q49" s="7"/>
      <c r="R49" s="7">
        <v>1</v>
      </c>
      <c r="S49" s="7">
        <v>5</v>
      </c>
      <c r="T49" s="7">
        <v>3</v>
      </c>
      <c r="U49" s="7">
        <v>2</v>
      </c>
      <c r="V49" s="7"/>
      <c r="W49" s="7"/>
      <c r="X49" s="7"/>
      <c r="Y49" s="7">
        <v>1</v>
      </c>
      <c r="Z49" s="7"/>
      <c r="AA49" s="7">
        <v>2</v>
      </c>
      <c r="AB49" s="7"/>
      <c r="AC49" s="7"/>
      <c r="AD49" s="7"/>
      <c r="AE49" s="7">
        <v>2</v>
      </c>
      <c r="AF49" s="8">
        <v>3</v>
      </c>
      <c r="AG49" s="4">
        <f t="shared" si="2"/>
        <v>36</v>
      </c>
    </row>
    <row r="50" spans="1:33" ht="18.75" hidden="1" x14ac:dyDescent="0.25">
      <c r="A50" s="41" t="s">
        <v>52</v>
      </c>
      <c r="B50" s="7"/>
      <c r="C50" s="7">
        <v>2</v>
      </c>
      <c r="D50" s="7"/>
      <c r="E50" s="7"/>
      <c r="F50" s="7">
        <v>3</v>
      </c>
      <c r="G50" s="7"/>
      <c r="H50" s="7"/>
      <c r="I50" s="7">
        <v>2</v>
      </c>
      <c r="J50" s="7"/>
      <c r="K50" s="7"/>
      <c r="L50" s="7">
        <v>2</v>
      </c>
      <c r="M50" s="7">
        <v>1</v>
      </c>
      <c r="N50" s="7">
        <v>1</v>
      </c>
      <c r="O50" s="7"/>
      <c r="P50" s="7"/>
      <c r="Q50" s="7">
        <v>1</v>
      </c>
      <c r="R50" s="7"/>
      <c r="S50" s="7">
        <v>1</v>
      </c>
      <c r="T50" s="7">
        <v>1</v>
      </c>
      <c r="U50" s="7"/>
      <c r="V50" s="7">
        <v>1</v>
      </c>
      <c r="W50" s="7"/>
      <c r="X50" s="7">
        <v>1</v>
      </c>
      <c r="Y50" s="7">
        <v>1</v>
      </c>
      <c r="Z50" s="7"/>
      <c r="AA50" s="7">
        <v>3</v>
      </c>
      <c r="AB50" s="7"/>
      <c r="AC50" s="7">
        <v>1</v>
      </c>
      <c r="AD50" s="7">
        <v>1</v>
      </c>
      <c r="AE50" s="7">
        <v>1</v>
      </c>
      <c r="AF50" s="8">
        <v>1</v>
      </c>
      <c r="AG50" s="4">
        <f t="shared" si="2"/>
        <v>24</v>
      </c>
    </row>
    <row r="51" spans="1:33" ht="18.75" hidden="1" x14ac:dyDescent="0.25">
      <c r="A51" s="41" t="s">
        <v>37</v>
      </c>
      <c r="B51" s="7"/>
      <c r="C51" s="7"/>
      <c r="D51" s="7"/>
      <c r="E51" s="7"/>
      <c r="F51" s="7">
        <v>2</v>
      </c>
      <c r="G51" s="7">
        <v>2</v>
      </c>
      <c r="H51" s="7"/>
      <c r="I51" s="7">
        <v>1</v>
      </c>
      <c r="J51" s="7"/>
      <c r="K51" s="7"/>
      <c r="L51" s="7">
        <v>1</v>
      </c>
      <c r="M51" s="7"/>
      <c r="N51" s="7">
        <v>2</v>
      </c>
      <c r="O51" s="7"/>
      <c r="P51" s="7"/>
      <c r="Q51" s="7"/>
      <c r="R51" s="7"/>
      <c r="S51" s="7"/>
      <c r="T51" s="7">
        <v>1</v>
      </c>
      <c r="U51" s="7">
        <v>1</v>
      </c>
      <c r="V51" s="7"/>
      <c r="W51" s="7">
        <v>2</v>
      </c>
      <c r="X51" s="7">
        <v>1</v>
      </c>
      <c r="Y51" s="7">
        <v>1</v>
      </c>
      <c r="Z51" s="7">
        <v>1</v>
      </c>
      <c r="AA51" s="7">
        <v>1</v>
      </c>
      <c r="AB51" s="7"/>
      <c r="AC51" s="7"/>
      <c r="AD51" s="7"/>
      <c r="AE51" s="7">
        <v>1</v>
      </c>
      <c r="AF51" s="8"/>
      <c r="AG51" s="4">
        <f t="shared" si="2"/>
        <v>17</v>
      </c>
    </row>
    <row r="52" spans="1:33" ht="19.5" hidden="1" thickBot="1" x14ac:dyDescent="0.3">
      <c r="A52" s="77" t="s">
        <v>53</v>
      </c>
      <c r="B52" s="9"/>
      <c r="C52" s="9">
        <v>1</v>
      </c>
      <c r="D52" s="9"/>
      <c r="E52" s="9">
        <v>3</v>
      </c>
      <c r="F52" s="9">
        <v>3</v>
      </c>
      <c r="G52" s="9"/>
      <c r="H52" s="9"/>
      <c r="I52" s="9">
        <v>1</v>
      </c>
      <c r="J52" s="9"/>
      <c r="K52" s="9">
        <v>2</v>
      </c>
      <c r="L52" s="9">
        <v>3</v>
      </c>
      <c r="M52" s="9">
        <v>2</v>
      </c>
      <c r="N52" s="9">
        <v>0</v>
      </c>
      <c r="O52" s="9">
        <v>1</v>
      </c>
      <c r="P52" s="9"/>
      <c r="Q52" s="9">
        <v>2</v>
      </c>
      <c r="R52" s="9"/>
      <c r="S52" s="9">
        <v>3</v>
      </c>
      <c r="T52" s="9">
        <v>1</v>
      </c>
      <c r="U52" s="9"/>
      <c r="V52" s="9">
        <v>1</v>
      </c>
      <c r="W52" s="9"/>
      <c r="X52" s="9"/>
      <c r="Y52" s="9">
        <v>1</v>
      </c>
      <c r="Z52" s="9"/>
      <c r="AA52" s="9">
        <v>1</v>
      </c>
      <c r="AB52" s="9">
        <v>1</v>
      </c>
      <c r="AC52" s="9"/>
      <c r="AD52" s="9"/>
      <c r="AE52" s="9">
        <v>1</v>
      </c>
      <c r="AF52" s="10">
        <v>1</v>
      </c>
      <c r="AG52" s="108">
        <f t="shared" si="2"/>
        <v>28</v>
      </c>
    </row>
    <row r="53" spans="1:33" ht="19.5" thickBot="1" x14ac:dyDescent="0.3">
      <c r="A53" s="136" t="s">
        <v>108</v>
      </c>
      <c r="B53" s="135">
        <f t="shared" ref="B53:AF53" si="4">SUM(B54:B77)</f>
        <v>9</v>
      </c>
      <c r="C53" s="135">
        <f t="shared" si="4"/>
        <v>23</v>
      </c>
      <c r="D53" s="135">
        <f t="shared" si="4"/>
        <v>16</v>
      </c>
      <c r="E53" s="135">
        <f t="shared" si="4"/>
        <v>45</v>
      </c>
      <c r="F53" s="135">
        <f t="shared" si="4"/>
        <v>18</v>
      </c>
      <c r="G53" s="135">
        <f t="shared" si="4"/>
        <v>3</v>
      </c>
      <c r="H53" s="135">
        <f t="shared" si="4"/>
        <v>29</v>
      </c>
      <c r="I53" s="135">
        <f t="shared" si="4"/>
        <v>24</v>
      </c>
      <c r="J53" s="135">
        <f t="shared" si="4"/>
        <v>31</v>
      </c>
      <c r="K53" s="135">
        <f t="shared" si="4"/>
        <v>30</v>
      </c>
      <c r="L53" s="135">
        <f t="shared" si="4"/>
        <v>9</v>
      </c>
      <c r="M53" s="135">
        <f t="shared" si="4"/>
        <v>7</v>
      </c>
      <c r="N53" s="135">
        <f t="shared" si="4"/>
        <v>32</v>
      </c>
      <c r="O53" s="135">
        <f t="shared" si="4"/>
        <v>14</v>
      </c>
      <c r="P53" s="135">
        <f t="shared" si="4"/>
        <v>26</v>
      </c>
      <c r="Q53" s="135">
        <f t="shared" si="4"/>
        <v>19</v>
      </c>
      <c r="R53" s="135">
        <f t="shared" si="4"/>
        <v>20</v>
      </c>
      <c r="S53" s="135">
        <f t="shared" si="4"/>
        <v>18</v>
      </c>
      <c r="T53" s="135">
        <f t="shared" si="4"/>
        <v>12</v>
      </c>
      <c r="U53" s="135">
        <f t="shared" si="4"/>
        <v>12</v>
      </c>
      <c r="V53" s="135">
        <f t="shared" si="4"/>
        <v>5</v>
      </c>
      <c r="W53" s="135">
        <f t="shared" si="4"/>
        <v>9</v>
      </c>
      <c r="X53" s="135">
        <f t="shared" si="4"/>
        <v>3</v>
      </c>
      <c r="Y53" s="135">
        <f t="shared" si="4"/>
        <v>6</v>
      </c>
      <c r="Z53" s="135">
        <f t="shared" si="4"/>
        <v>14</v>
      </c>
      <c r="AA53" s="135">
        <f t="shared" si="4"/>
        <v>30</v>
      </c>
      <c r="AB53" s="135">
        <f t="shared" si="4"/>
        <v>7</v>
      </c>
      <c r="AC53" s="135">
        <f t="shared" si="4"/>
        <v>7</v>
      </c>
      <c r="AD53" s="135">
        <f t="shared" si="4"/>
        <v>5</v>
      </c>
      <c r="AE53" s="135">
        <f t="shared" si="4"/>
        <v>9</v>
      </c>
      <c r="AF53" s="135">
        <f t="shared" si="4"/>
        <v>10</v>
      </c>
      <c r="AG53" s="116">
        <f t="shared" si="2"/>
        <v>502</v>
      </c>
    </row>
    <row r="54" spans="1:33" ht="18.75" hidden="1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7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hidden="1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>
        <v>1</v>
      </c>
      <c r="AB55" s="7"/>
      <c r="AC55" s="7"/>
      <c r="AD55" s="7"/>
      <c r="AE55" s="7"/>
      <c r="AF55" s="8"/>
      <c r="AG55" s="4">
        <f t="shared" si="2"/>
        <v>1</v>
      </c>
    </row>
    <row r="56" spans="1:33" ht="18.75" hidden="1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0</v>
      </c>
    </row>
    <row r="57" spans="1:33" ht="18.75" hidden="1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</v>
      </c>
      <c r="O57" s="7"/>
      <c r="P57" s="7"/>
      <c r="Q57" s="7"/>
      <c r="R57" s="7"/>
      <c r="S57" s="7"/>
      <c r="T57" s="7">
        <v>2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3</v>
      </c>
    </row>
    <row r="58" spans="1:33" ht="18.75" hidden="1" x14ac:dyDescent="0.25">
      <c r="A58" s="41" t="s">
        <v>39</v>
      </c>
      <c r="B58" s="7"/>
      <c r="C58" s="7"/>
      <c r="D58" s="7"/>
      <c r="E58" s="7"/>
      <c r="F58" s="7">
        <v>1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1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2</v>
      </c>
    </row>
    <row r="59" spans="1:33" ht="18.75" hidden="1" x14ac:dyDescent="0.25">
      <c r="A59" s="41" t="s">
        <v>40</v>
      </c>
      <c r="B59" s="7"/>
      <c r="C59" s="7"/>
      <c r="D59" s="7"/>
      <c r="E59" s="7"/>
      <c r="F59" s="7">
        <v>1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>
        <v>3</v>
      </c>
      <c r="U59" s="7"/>
      <c r="V59" s="7"/>
      <c r="W59" s="7"/>
      <c r="X59" s="7"/>
      <c r="Y59" s="7"/>
      <c r="Z59" s="7"/>
      <c r="AA59" s="7">
        <v>1</v>
      </c>
      <c r="AB59" s="7"/>
      <c r="AC59" s="7"/>
      <c r="AD59" s="7"/>
      <c r="AE59" s="7"/>
      <c r="AF59" s="8"/>
      <c r="AG59" s="4">
        <f t="shared" si="2"/>
        <v>5</v>
      </c>
    </row>
    <row r="60" spans="1:33" ht="18.75" hidden="1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>
        <v>3</v>
      </c>
      <c r="O60" s="7"/>
      <c r="P60" s="7"/>
      <c r="Q60" s="7"/>
      <c r="R60" s="7"/>
      <c r="S60" s="7"/>
      <c r="T60" s="7"/>
      <c r="U60" s="7">
        <v>3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>
        <v>2</v>
      </c>
      <c r="AG60" s="4">
        <f t="shared" si="2"/>
        <v>8</v>
      </c>
    </row>
    <row r="61" spans="1:33" ht="18.75" hidden="1" x14ac:dyDescent="0.25">
      <c r="A61" s="41" t="s">
        <v>42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>
        <v>3</v>
      </c>
      <c r="O61" s="7"/>
      <c r="P61" s="7"/>
      <c r="Q61" s="7"/>
      <c r="R61" s="7"/>
      <c r="S61" s="7"/>
      <c r="T61" s="7">
        <v>1</v>
      </c>
      <c r="U61" s="7">
        <v>3</v>
      </c>
      <c r="V61" s="7"/>
      <c r="W61" s="7"/>
      <c r="X61" s="7"/>
      <c r="Y61" s="7"/>
      <c r="Z61" s="7"/>
      <c r="AA61" s="7"/>
      <c r="AB61" s="7">
        <v>1</v>
      </c>
      <c r="AC61" s="7"/>
      <c r="AD61" s="7"/>
      <c r="AE61" s="7"/>
      <c r="AF61" s="8">
        <v>2</v>
      </c>
      <c r="AG61" s="4">
        <f t="shared" si="2"/>
        <v>11</v>
      </c>
    </row>
    <row r="62" spans="1:33" ht="18.75" hidden="1" x14ac:dyDescent="0.25">
      <c r="A62" s="41" t="s">
        <v>43</v>
      </c>
      <c r="B62" s="7"/>
      <c r="C62" s="7"/>
      <c r="D62" s="7"/>
      <c r="E62" s="7"/>
      <c r="F62" s="7">
        <v>1</v>
      </c>
      <c r="G62" s="7"/>
      <c r="H62" s="7"/>
      <c r="I62" s="7"/>
      <c r="J62" s="7"/>
      <c r="K62" s="7"/>
      <c r="L62" s="7"/>
      <c r="M62" s="7">
        <v>1</v>
      </c>
      <c r="N62" s="7">
        <v>3</v>
      </c>
      <c r="O62" s="7"/>
      <c r="P62" s="7"/>
      <c r="Q62" s="7"/>
      <c r="R62" s="7"/>
      <c r="S62" s="7"/>
      <c r="T62" s="7"/>
      <c r="U62" s="7">
        <v>1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4">
        <f t="shared" si="2"/>
        <v>6</v>
      </c>
    </row>
    <row r="63" spans="1:33" ht="18.75" hidden="1" x14ac:dyDescent="0.25">
      <c r="A63" s="41" t="s">
        <v>44</v>
      </c>
      <c r="B63" s="7">
        <v>1</v>
      </c>
      <c r="C63" s="7"/>
      <c r="D63" s="7"/>
      <c r="E63" s="7"/>
      <c r="F63" s="7">
        <v>1</v>
      </c>
      <c r="G63" s="7"/>
      <c r="H63" s="7"/>
      <c r="I63" s="7"/>
      <c r="J63" s="7">
        <v>3</v>
      </c>
      <c r="K63" s="7"/>
      <c r="L63" s="7"/>
      <c r="M63" s="7">
        <v>1</v>
      </c>
      <c r="N63" s="7">
        <v>3</v>
      </c>
      <c r="O63" s="7"/>
      <c r="P63" s="7"/>
      <c r="Q63" s="7">
        <v>1</v>
      </c>
      <c r="R63" s="7"/>
      <c r="S63" s="7"/>
      <c r="T63" s="7"/>
      <c r="U63" s="7">
        <v>3</v>
      </c>
      <c r="V63" s="7"/>
      <c r="W63" s="7"/>
      <c r="X63" s="7"/>
      <c r="Y63" s="7">
        <v>1</v>
      </c>
      <c r="Z63" s="7"/>
      <c r="AA63" s="7">
        <v>2</v>
      </c>
      <c r="AB63" s="7"/>
      <c r="AC63" s="7"/>
      <c r="AD63" s="7"/>
      <c r="AE63" s="7"/>
      <c r="AF63" s="8">
        <v>1</v>
      </c>
      <c r="AG63" s="4">
        <f t="shared" si="2"/>
        <v>17</v>
      </c>
    </row>
    <row r="64" spans="1:33" ht="18.75" hidden="1" x14ac:dyDescent="0.25">
      <c r="A64" s="41" t="s">
        <v>45</v>
      </c>
      <c r="B64" s="7"/>
      <c r="C64" s="7">
        <v>7</v>
      </c>
      <c r="D64" s="7">
        <v>2</v>
      </c>
      <c r="E64" s="7">
        <v>1</v>
      </c>
      <c r="F64" s="7"/>
      <c r="G64" s="7">
        <v>1</v>
      </c>
      <c r="H64" s="7"/>
      <c r="I64" s="7">
        <v>1</v>
      </c>
      <c r="J64" s="7">
        <v>6</v>
      </c>
      <c r="K64" s="7">
        <v>1</v>
      </c>
      <c r="L64" s="7">
        <v>2</v>
      </c>
      <c r="M64" s="7"/>
      <c r="N64" s="7">
        <v>6</v>
      </c>
      <c r="O64" s="7">
        <v>8</v>
      </c>
      <c r="P64" s="7">
        <v>2</v>
      </c>
      <c r="Q64" s="7">
        <v>6</v>
      </c>
      <c r="R64" s="7">
        <v>1</v>
      </c>
      <c r="S64" s="7">
        <v>1</v>
      </c>
      <c r="T64" s="7">
        <v>1</v>
      </c>
      <c r="U64" s="7">
        <v>1</v>
      </c>
      <c r="V64" s="7"/>
      <c r="W64" s="7">
        <v>2</v>
      </c>
      <c r="X64" s="7"/>
      <c r="Y64" s="7">
        <v>2</v>
      </c>
      <c r="Z64" s="7"/>
      <c r="AA64" s="7"/>
      <c r="AB64" s="7"/>
      <c r="AC64" s="7">
        <v>2</v>
      </c>
      <c r="AD64" s="7"/>
      <c r="AE64" s="7"/>
      <c r="AF64" s="8">
        <v>1</v>
      </c>
      <c r="AG64" s="4">
        <f t="shared" si="2"/>
        <v>54</v>
      </c>
    </row>
    <row r="65" spans="1:33" ht="18.75" hidden="1" x14ac:dyDescent="0.25">
      <c r="A65" s="41" t="s">
        <v>46</v>
      </c>
      <c r="B65" s="7">
        <v>2</v>
      </c>
      <c r="C65" s="7">
        <v>5</v>
      </c>
      <c r="D65" s="7">
        <v>4</v>
      </c>
      <c r="E65" s="7">
        <v>1</v>
      </c>
      <c r="F65" s="7">
        <v>3</v>
      </c>
      <c r="G65" s="7"/>
      <c r="H65" s="7">
        <v>4</v>
      </c>
      <c r="I65" s="7">
        <v>5</v>
      </c>
      <c r="J65" s="7">
        <v>6</v>
      </c>
      <c r="K65" s="7">
        <v>2</v>
      </c>
      <c r="L65" s="7">
        <v>3</v>
      </c>
      <c r="M65" s="7"/>
      <c r="N65" s="7">
        <v>3</v>
      </c>
      <c r="O65" s="7">
        <v>6</v>
      </c>
      <c r="P65" s="7">
        <v>4</v>
      </c>
      <c r="Q65" s="7">
        <v>4</v>
      </c>
      <c r="R65" s="7">
        <v>3</v>
      </c>
      <c r="S65" s="7">
        <v>1</v>
      </c>
      <c r="T65" s="7"/>
      <c r="U65" s="7">
        <v>1</v>
      </c>
      <c r="V65" s="7">
        <v>4</v>
      </c>
      <c r="W65" s="7">
        <v>2</v>
      </c>
      <c r="X65" s="7">
        <v>1</v>
      </c>
      <c r="Y65" s="7">
        <v>1</v>
      </c>
      <c r="Z65" s="7">
        <v>4</v>
      </c>
      <c r="AA65" s="7">
        <v>1</v>
      </c>
      <c r="AB65" s="7"/>
      <c r="AC65" s="7">
        <v>4</v>
      </c>
      <c r="AD65" s="7">
        <v>1</v>
      </c>
      <c r="AE65" s="7">
        <v>3</v>
      </c>
      <c r="AF65" s="8"/>
      <c r="AG65" s="4">
        <f t="shared" si="2"/>
        <v>78</v>
      </c>
    </row>
    <row r="66" spans="1:33" ht="18.75" hidden="1" x14ac:dyDescent="0.25">
      <c r="A66" s="41" t="s">
        <v>47</v>
      </c>
      <c r="B66" s="7">
        <v>4</v>
      </c>
      <c r="C66" s="7">
        <v>3</v>
      </c>
      <c r="D66" s="7">
        <v>5</v>
      </c>
      <c r="E66" s="7"/>
      <c r="F66" s="7">
        <v>3</v>
      </c>
      <c r="G66" s="7"/>
      <c r="H66" s="7">
        <v>15</v>
      </c>
      <c r="I66" s="7">
        <v>8</v>
      </c>
      <c r="J66" s="7">
        <v>3</v>
      </c>
      <c r="K66" s="7">
        <v>5</v>
      </c>
      <c r="L66" s="7">
        <v>2</v>
      </c>
      <c r="M66" s="7">
        <v>1</v>
      </c>
      <c r="N66" s="7">
        <v>4</v>
      </c>
      <c r="O66" s="7"/>
      <c r="P66" s="7">
        <v>1</v>
      </c>
      <c r="Q66" s="7">
        <v>3</v>
      </c>
      <c r="R66" s="7">
        <v>1</v>
      </c>
      <c r="S66" s="7">
        <v>5</v>
      </c>
      <c r="T66" s="7"/>
      <c r="U66" s="7"/>
      <c r="V66" s="7"/>
      <c r="W66" s="7">
        <v>3</v>
      </c>
      <c r="X66" s="7">
        <v>1</v>
      </c>
      <c r="Y66" s="7">
        <v>2</v>
      </c>
      <c r="Z66" s="7">
        <v>10</v>
      </c>
      <c r="AA66" s="7"/>
      <c r="AB66" s="7"/>
      <c r="AC66" s="7">
        <v>1</v>
      </c>
      <c r="AD66" s="7">
        <v>2</v>
      </c>
      <c r="AE66" s="7">
        <v>2</v>
      </c>
      <c r="AF66" s="8"/>
      <c r="AG66" s="4">
        <f t="shared" si="2"/>
        <v>84</v>
      </c>
    </row>
    <row r="67" spans="1:33" ht="18.75" hidden="1" x14ac:dyDescent="0.25">
      <c r="A67" s="41" t="s">
        <v>48</v>
      </c>
      <c r="B67" s="7">
        <v>2</v>
      </c>
      <c r="C67" s="7">
        <v>2</v>
      </c>
      <c r="D67" s="7">
        <v>3</v>
      </c>
      <c r="E67" s="7">
        <v>2</v>
      </c>
      <c r="F67" s="7">
        <v>4</v>
      </c>
      <c r="G67" s="7">
        <v>1</v>
      </c>
      <c r="H67" s="7">
        <v>2</v>
      </c>
      <c r="I67" s="7">
        <v>5</v>
      </c>
      <c r="J67" s="7">
        <v>4</v>
      </c>
      <c r="K67" s="7">
        <v>5</v>
      </c>
      <c r="L67" s="7">
        <v>1</v>
      </c>
      <c r="M67" s="7"/>
      <c r="N67" s="7">
        <v>5</v>
      </c>
      <c r="O67" s="7"/>
      <c r="P67" s="7">
        <v>8</v>
      </c>
      <c r="Q67" s="7"/>
      <c r="R67" s="7">
        <v>3</v>
      </c>
      <c r="S67" s="7"/>
      <c r="T67" s="7">
        <v>1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>
        <v>1</v>
      </c>
      <c r="AF67" s="8"/>
      <c r="AG67" s="4">
        <f t="shared" si="2"/>
        <v>49</v>
      </c>
    </row>
    <row r="68" spans="1:33" ht="18.75" hidden="1" x14ac:dyDescent="0.25">
      <c r="A68" s="41" t="s">
        <v>49</v>
      </c>
      <c r="B68" s="7"/>
      <c r="C68" s="7">
        <v>3</v>
      </c>
      <c r="D68" s="7"/>
      <c r="E68" s="7">
        <v>2</v>
      </c>
      <c r="F68" s="7"/>
      <c r="G68" s="7"/>
      <c r="H68" s="7">
        <v>6</v>
      </c>
      <c r="I68" s="7">
        <v>3</v>
      </c>
      <c r="J68" s="7">
        <v>3</v>
      </c>
      <c r="K68" s="7"/>
      <c r="L68" s="7"/>
      <c r="M68" s="7"/>
      <c r="N68" s="7">
        <v>1</v>
      </c>
      <c r="O68" s="7"/>
      <c r="P68" s="7"/>
      <c r="Q68" s="7">
        <v>2</v>
      </c>
      <c r="R68" s="7"/>
      <c r="S68" s="7"/>
      <c r="T68" s="7">
        <v>1</v>
      </c>
      <c r="U68" s="7"/>
      <c r="V68" s="7">
        <v>1</v>
      </c>
      <c r="W68" s="7">
        <v>1</v>
      </c>
      <c r="X68" s="7"/>
      <c r="Y68" s="7"/>
      <c r="Z68" s="7"/>
      <c r="AA68" s="7">
        <v>2</v>
      </c>
      <c r="AB68" s="7"/>
      <c r="AC68" s="7"/>
      <c r="AD68" s="7"/>
      <c r="AE68" s="7">
        <v>2</v>
      </c>
      <c r="AF68" s="8"/>
      <c r="AG68" s="4">
        <f t="shared" si="2"/>
        <v>27</v>
      </c>
    </row>
    <row r="69" spans="1:33" ht="18.75" hidden="1" x14ac:dyDescent="0.25">
      <c r="A69" s="41" t="s">
        <v>50</v>
      </c>
      <c r="B69" s="7"/>
      <c r="C69" s="7">
        <v>2</v>
      </c>
      <c r="D69" s="7">
        <v>2</v>
      </c>
      <c r="E69" s="7"/>
      <c r="F69" s="7">
        <v>1</v>
      </c>
      <c r="G69" s="7"/>
      <c r="H69" s="7"/>
      <c r="I69" s="7">
        <v>2</v>
      </c>
      <c r="J69" s="7">
        <v>4</v>
      </c>
      <c r="K69" s="7">
        <v>7</v>
      </c>
      <c r="L69" s="7"/>
      <c r="M69" s="7"/>
      <c r="N69" s="7"/>
      <c r="O69" s="7"/>
      <c r="P69" s="7">
        <v>2</v>
      </c>
      <c r="Q69" s="7">
        <v>1</v>
      </c>
      <c r="R69" s="7">
        <v>3</v>
      </c>
      <c r="S69" s="7">
        <v>1</v>
      </c>
      <c r="T69" s="7">
        <v>2</v>
      </c>
      <c r="U69" s="7"/>
      <c r="V69" s="7"/>
      <c r="W69" s="7"/>
      <c r="X69" s="7"/>
      <c r="Y69" s="7"/>
      <c r="Z69" s="7"/>
      <c r="AA69" s="7">
        <v>7</v>
      </c>
      <c r="AB69" s="7">
        <v>2</v>
      </c>
      <c r="AC69" s="7"/>
      <c r="AD69" s="7"/>
      <c r="AE69" s="7"/>
      <c r="AF69" s="8">
        <v>2</v>
      </c>
      <c r="AG69" s="4">
        <f t="shared" si="2"/>
        <v>38</v>
      </c>
    </row>
    <row r="70" spans="1:33" ht="18.75" hidden="1" x14ac:dyDescent="0.25">
      <c r="A70" s="41" t="s">
        <v>33</v>
      </c>
      <c r="B70" s="114"/>
      <c r="C70" s="114"/>
      <c r="D70" s="7"/>
      <c r="E70" s="114">
        <v>14</v>
      </c>
      <c r="F70" s="114">
        <v>3</v>
      </c>
      <c r="G70" s="7">
        <v>1</v>
      </c>
      <c r="H70" s="114"/>
      <c r="I70" s="7"/>
      <c r="J70" s="114"/>
      <c r="K70" s="114">
        <v>6</v>
      </c>
      <c r="L70" s="114">
        <v>1</v>
      </c>
      <c r="M70" s="114"/>
      <c r="N70" s="114"/>
      <c r="O70" s="114"/>
      <c r="P70" s="114"/>
      <c r="Q70" s="7">
        <v>2</v>
      </c>
      <c r="R70" s="114">
        <v>2</v>
      </c>
      <c r="S70" s="114">
        <v>2</v>
      </c>
      <c r="T70" s="114"/>
      <c r="U70" s="114"/>
      <c r="V70" s="114"/>
      <c r="W70" s="114"/>
      <c r="X70" s="114"/>
      <c r="Y70" s="114"/>
      <c r="Z70" s="114"/>
      <c r="AA70" s="114">
        <v>14</v>
      </c>
      <c r="AB70" s="114">
        <v>3</v>
      </c>
      <c r="AC70" s="114"/>
      <c r="AD70" s="114"/>
      <c r="AE70" s="114"/>
      <c r="AF70" s="115">
        <v>1</v>
      </c>
      <c r="AG70" s="4">
        <f t="shared" si="2"/>
        <v>49</v>
      </c>
    </row>
    <row r="71" spans="1:33" ht="18.75" hidden="1" x14ac:dyDescent="0.25">
      <c r="A71" s="41" t="s">
        <v>34</v>
      </c>
      <c r="B71" s="114"/>
      <c r="C71" s="114">
        <v>1</v>
      </c>
      <c r="D71" s="7"/>
      <c r="E71" s="114">
        <v>5</v>
      </c>
      <c r="F71" s="114"/>
      <c r="G71" s="7"/>
      <c r="H71" s="114">
        <v>1</v>
      </c>
      <c r="I71" s="7"/>
      <c r="J71" s="114">
        <v>1</v>
      </c>
      <c r="K71" s="114">
        <v>1</v>
      </c>
      <c r="L71" s="114"/>
      <c r="M71" s="114">
        <v>1</v>
      </c>
      <c r="N71" s="114"/>
      <c r="O71" s="114"/>
      <c r="P71" s="114"/>
      <c r="Q71" s="7"/>
      <c r="R71" s="114">
        <v>1</v>
      </c>
      <c r="S71" s="114">
        <v>2</v>
      </c>
      <c r="T71" s="114"/>
      <c r="U71" s="114"/>
      <c r="V71" s="114"/>
      <c r="W71" s="114">
        <v>1</v>
      </c>
      <c r="X71" s="114"/>
      <c r="Y71" s="114"/>
      <c r="Z71" s="114"/>
      <c r="AA71" s="114">
        <v>2</v>
      </c>
      <c r="AB71" s="114">
        <v>1</v>
      </c>
      <c r="AC71" s="114"/>
      <c r="AD71" s="114">
        <v>1</v>
      </c>
      <c r="AE71" s="114">
        <v>1</v>
      </c>
      <c r="AF71" s="115">
        <v>1</v>
      </c>
      <c r="AG71" s="4">
        <f t="shared" si="2"/>
        <v>20</v>
      </c>
    </row>
    <row r="72" spans="1:33" ht="18.75" hidden="1" x14ac:dyDescent="0.25">
      <c r="A72" s="41" t="s">
        <v>35</v>
      </c>
      <c r="B72" s="114"/>
      <c r="C72" s="114"/>
      <c r="D72" s="7"/>
      <c r="E72" s="114">
        <v>20</v>
      </c>
      <c r="F72" s="114"/>
      <c r="G72" s="7"/>
      <c r="H72" s="114">
        <v>1</v>
      </c>
      <c r="I72" s="7"/>
      <c r="J72" s="114">
        <v>1</v>
      </c>
      <c r="K72" s="114">
        <v>3</v>
      </c>
      <c r="L72" s="114"/>
      <c r="M72" s="114">
        <v>2</v>
      </c>
      <c r="N72" s="114"/>
      <c r="O72" s="114"/>
      <c r="P72" s="114">
        <v>3</v>
      </c>
      <c r="Q72" s="7"/>
      <c r="R72" s="114">
        <v>2</v>
      </c>
      <c r="S72" s="114">
        <v>3</v>
      </c>
      <c r="T72" s="114"/>
      <c r="U72" s="114"/>
      <c r="V72" s="114"/>
      <c r="W72" s="114"/>
      <c r="X72" s="114">
        <v>1</v>
      </c>
      <c r="Y72" s="114"/>
      <c r="Z72" s="114"/>
      <c r="AA72" s="114"/>
      <c r="AB72" s="114"/>
      <c r="AC72" s="114"/>
      <c r="AD72" s="114">
        <v>1</v>
      </c>
      <c r="AE72" s="114"/>
      <c r="AF72" s="115"/>
      <c r="AG72" s="4">
        <f t="shared" si="2"/>
        <v>37</v>
      </c>
    </row>
    <row r="73" spans="1:33" ht="18.75" hidden="1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>
        <v>6</v>
      </c>
      <c r="Q73" s="7"/>
      <c r="R73" s="114">
        <v>4</v>
      </c>
      <c r="S73" s="114">
        <v>3</v>
      </c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13</v>
      </c>
    </row>
    <row r="74" spans="1:33" ht="18.75" hidden="1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7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hidden="1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7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hidden="1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7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hidden="1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9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169</v>
      </c>
      <c r="C78" s="185">
        <f t="shared" si="5"/>
        <v>189</v>
      </c>
      <c r="D78" s="185">
        <f t="shared" si="5"/>
        <v>157</v>
      </c>
      <c r="E78" s="184">
        <f t="shared" si="5"/>
        <v>174</v>
      </c>
      <c r="F78" s="184">
        <f t="shared" si="5"/>
        <v>240</v>
      </c>
      <c r="G78" s="184">
        <f t="shared" si="5"/>
        <v>245</v>
      </c>
      <c r="H78" s="184">
        <f t="shared" si="5"/>
        <v>222</v>
      </c>
      <c r="I78" s="184">
        <f t="shared" si="5"/>
        <v>198</v>
      </c>
      <c r="J78" s="184">
        <f t="shared" si="5"/>
        <v>216</v>
      </c>
      <c r="K78" s="184">
        <f t="shared" si="5"/>
        <v>202</v>
      </c>
      <c r="L78" s="184">
        <f t="shared" si="5"/>
        <v>186</v>
      </c>
      <c r="M78" s="184">
        <f t="shared" si="5"/>
        <v>254</v>
      </c>
      <c r="N78" s="184">
        <f t="shared" si="5"/>
        <v>298</v>
      </c>
      <c r="O78" s="184">
        <f>SUM(O79:O80)</f>
        <v>208</v>
      </c>
      <c r="P78" s="184">
        <f t="shared" si="5"/>
        <v>183</v>
      </c>
      <c r="Q78" s="184">
        <f t="shared" si="5"/>
        <v>201</v>
      </c>
      <c r="R78" s="184">
        <f t="shared" si="5"/>
        <v>208</v>
      </c>
      <c r="S78" s="184">
        <f t="shared" si="5"/>
        <v>186</v>
      </c>
      <c r="T78" s="184">
        <f t="shared" si="5"/>
        <v>241</v>
      </c>
      <c r="U78" s="184">
        <f t="shared" si="5"/>
        <v>202</v>
      </c>
      <c r="V78" s="184">
        <f t="shared" si="5"/>
        <v>105</v>
      </c>
      <c r="W78" s="184">
        <f t="shared" si="5"/>
        <v>135</v>
      </c>
      <c r="X78" s="184">
        <f t="shared" si="5"/>
        <v>111</v>
      </c>
      <c r="Y78" s="184">
        <f t="shared" si="5"/>
        <v>133</v>
      </c>
      <c r="Z78" s="184">
        <f t="shared" si="5"/>
        <v>146</v>
      </c>
      <c r="AA78" s="184">
        <f t="shared" si="5"/>
        <v>194</v>
      </c>
      <c r="AB78" s="184">
        <f t="shared" si="5"/>
        <v>215</v>
      </c>
      <c r="AC78" s="184">
        <f t="shared" si="5"/>
        <v>126</v>
      </c>
      <c r="AD78" s="184">
        <f t="shared" si="5"/>
        <v>151</v>
      </c>
      <c r="AE78" s="184">
        <f t="shared" si="5"/>
        <v>137</v>
      </c>
      <c r="AF78" s="186">
        <f t="shared" si="5"/>
        <v>204</v>
      </c>
      <c r="AG78" s="116">
        <f t="shared" si="2"/>
        <v>5836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169</v>
      </c>
      <c r="C79" s="114">
        <f t="shared" si="6"/>
        <v>189</v>
      </c>
      <c r="D79" s="114">
        <f t="shared" si="6"/>
        <v>157</v>
      </c>
      <c r="E79" s="114">
        <f t="shared" si="6"/>
        <v>174</v>
      </c>
      <c r="F79" s="114">
        <f t="shared" si="6"/>
        <v>116</v>
      </c>
      <c r="G79" s="114">
        <f t="shared" si="6"/>
        <v>118</v>
      </c>
      <c r="H79" s="114">
        <f t="shared" si="6"/>
        <v>222</v>
      </c>
      <c r="I79" s="114">
        <f t="shared" si="6"/>
        <v>198</v>
      </c>
      <c r="J79" s="114">
        <f t="shared" si="6"/>
        <v>216</v>
      </c>
      <c r="K79" s="114">
        <f t="shared" si="6"/>
        <v>202</v>
      </c>
      <c r="L79" s="114">
        <f t="shared" si="6"/>
        <v>186</v>
      </c>
      <c r="M79" s="114">
        <f t="shared" si="6"/>
        <v>123</v>
      </c>
      <c r="N79" s="114">
        <f t="shared" si="6"/>
        <v>148</v>
      </c>
      <c r="O79" s="114">
        <f t="shared" si="6"/>
        <v>207</v>
      </c>
      <c r="P79" s="114">
        <f t="shared" si="6"/>
        <v>183</v>
      </c>
      <c r="Q79" s="114">
        <f t="shared" si="6"/>
        <v>201</v>
      </c>
      <c r="R79" s="114">
        <f t="shared" si="6"/>
        <v>208</v>
      </c>
      <c r="S79" s="114">
        <f t="shared" si="6"/>
        <v>186</v>
      </c>
      <c r="T79" s="114">
        <f t="shared" si="6"/>
        <v>111</v>
      </c>
      <c r="U79" s="114">
        <f t="shared" si="6"/>
        <v>80</v>
      </c>
      <c r="V79" s="114">
        <f t="shared" si="6"/>
        <v>105</v>
      </c>
      <c r="W79" s="114">
        <f t="shared" si="6"/>
        <v>135</v>
      </c>
      <c r="X79" s="114">
        <f t="shared" si="6"/>
        <v>111</v>
      </c>
      <c r="Y79" s="114">
        <f t="shared" si="6"/>
        <v>132</v>
      </c>
      <c r="Z79" s="114">
        <f t="shared" si="6"/>
        <v>146</v>
      </c>
      <c r="AA79" s="114">
        <f t="shared" si="6"/>
        <v>89</v>
      </c>
      <c r="AB79" s="114">
        <f t="shared" si="6"/>
        <v>102</v>
      </c>
      <c r="AC79" s="114">
        <f t="shared" si="6"/>
        <v>126</v>
      </c>
      <c r="AD79" s="114">
        <f t="shared" si="6"/>
        <v>151</v>
      </c>
      <c r="AE79" s="114">
        <f t="shared" si="6"/>
        <v>137</v>
      </c>
      <c r="AF79" s="114">
        <f t="shared" si="6"/>
        <v>103</v>
      </c>
      <c r="AG79" s="132">
        <f t="shared" si="2"/>
        <v>4731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124</v>
      </c>
      <c r="G80" s="9">
        <f>SUM(G4:G12)</f>
        <v>127</v>
      </c>
      <c r="H80" s="9">
        <f>SUM(H4:H12)</f>
        <v>0</v>
      </c>
      <c r="I80" s="11"/>
      <c r="J80" s="11"/>
      <c r="K80" s="9">
        <v>0</v>
      </c>
      <c r="L80" s="9">
        <v>0</v>
      </c>
      <c r="M80" s="9">
        <f>SUM(M4:M12)</f>
        <v>131</v>
      </c>
      <c r="N80" s="9">
        <f>SUM(N4:N12)</f>
        <v>150</v>
      </c>
      <c r="O80" s="9">
        <f>SUM(O4:O12)</f>
        <v>1</v>
      </c>
      <c r="P80" s="11"/>
      <c r="Q80" s="11"/>
      <c r="R80" s="9">
        <f>SUM(R4:R12)</f>
        <v>0</v>
      </c>
      <c r="S80" s="9">
        <f>SUM(S4:S12)</f>
        <v>0</v>
      </c>
      <c r="T80" s="9">
        <f>SUM(T4:T12)</f>
        <v>130</v>
      </c>
      <c r="U80" s="9">
        <f>SUM(U4:U12)</f>
        <v>122</v>
      </c>
      <c r="V80" s="9">
        <f>SUM(V4:V12)</f>
        <v>0</v>
      </c>
      <c r="W80" s="11"/>
      <c r="X80" s="11"/>
      <c r="Y80" s="9">
        <f>SUM(Y4:Y12)</f>
        <v>1</v>
      </c>
      <c r="Z80" s="11"/>
      <c r="AA80" s="9">
        <f>SUM(AA4:AA12)</f>
        <v>105</v>
      </c>
      <c r="AB80" s="9">
        <f>SUM(AB4:AB12)</f>
        <v>113</v>
      </c>
      <c r="AC80" s="9">
        <f>SUM(AC4:AC12)</f>
        <v>0</v>
      </c>
      <c r="AD80" s="11"/>
      <c r="AE80" s="11"/>
      <c r="AF80" s="9">
        <f>SUM(AF4:AF12)</f>
        <v>101</v>
      </c>
      <c r="AG80" s="108">
        <f t="shared" si="2"/>
        <v>1105</v>
      </c>
    </row>
    <row r="81" spans="1:35" ht="19.5" thickBot="1" x14ac:dyDescent="0.3">
      <c r="A81" s="183" t="s">
        <v>98</v>
      </c>
      <c r="B81" s="184">
        <f t="shared" ref="B81:AF81" si="7">SUM(B82:B83)</f>
        <v>9</v>
      </c>
      <c r="C81" s="184">
        <f t="shared" si="7"/>
        <v>23</v>
      </c>
      <c r="D81" s="184">
        <f t="shared" si="7"/>
        <v>16</v>
      </c>
      <c r="E81" s="184">
        <f t="shared" si="7"/>
        <v>45</v>
      </c>
      <c r="F81" s="184">
        <f t="shared" si="7"/>
        <v>18</v>
      </c>
      <c r="G81" s="184">
        <f t="shared" si="7"/>
        <v>3</v>
      </c>
      <c r="H81" s="184">
        <f t="shared" si="7"/>
        <v>29</v>
      </c>
      <c r="I81" s="184">
        <f t="shared" si="7"/>
        <v>24</v>
      </c>
      <c r="J81" s="184">
        <f t="shared" si="7"/>
        <v>31</v>
      </c>
      <c r="K81" s="184">
        <f t="shared" si="7"/>
        <v>30</v>
      </c>
      <c r="L81" s="184">
        <f t="shared" si="7"/>
        <v>9</v>
      </c>
      <c r="M81" s="184">
        <f t="shared" si="7"/>
        <v>7</v>
      </c>
      <c r="N81" s="184">
        <f t="shared" si="7"/>
        <v>32</v>
      </c>
      <c r="O81" s="184">
        <f t="shared" si="7"/>
        <v>14</v>
      </c>
      <c r="P81" s="184">
        <f t="shared" si="7"/>
        <v>26</v>
      </c>
      <c r="Q81" s="184">
        <f t="shared" si="7"/>
        <v>19</v>
      </c>
      <c r="R81" s="184">
        <f t="shared" si="7"/>
        <v>20</v>
      </c>
      <c r="S81" s="184">
        <f t="shared" si="7"/>
        <v>18</v>
      </c>
      <c r="T81" s="184">
        <f t="shared" si="7"/>
        <v>12</v>
      </c>
      <c r="U81" s="184">
        <f t="shared" si="7"/>
        <v>12</v>
      </c>
      <c r="V81" s="184">
        <f t="shared" si="7"/>
        <v>5</v>
      </c>
      <c r="W81" s="184">
        <f t="shared" si="7"/>
        <v>9</v>
      </c>
      <c r="X81" s="184">
        <f t="shared" si="7"/>
        <v>3</v>
      </c>
      <c r="Y81" s="184">
        <f t="shared" si="7"/>
        <v>6</v>
      </c>
      <c r="Z81" s="184">
        <f>SUM(Z82:Z83)</f>
        <v>14</v>
      </c>
      <c r="AA81" s="184">
        <f t="shared" si="7"/>
        <v>30</v>
      </c>
      <c r="AB81" s="184">
        <f t="shared" si="7"/>
        <v>7</v>
      </c>
      <c r="AC81" s="184">
        <f t="shared" si="7"/>
        <v>7</v>
      </c>
      <c r="AD81" s="184">
        <f t="shared" si="7"/>
        <v>5</v>
      </c>
      <c r="AE81" s="184">
        <f t="shared" si="7"/>
        <v>9</v>
      </c>
      <c r="AF81" s="184">
        <f t="shared" si="7"/>
        <v>10</v>
      </c>
      <c r="AG81" s="116">
        <f t="shared" si="2"/>
        <v>502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14">
        <f t="shared" si="8"/>
        <v>0</v>
      </c>
      <c r="D82" s="114">
        <f t="shared" si="8"/>
        <v>0</v>
      </c>
      <c r="E82" s="114">
        <f t="shared" si="8"/>
        <v>0</v>
      </c>
      <c r="F82" s="182"/>
      <c r="G82" s="182"/>
      <c r="H82" s="114">
        <f t="shared" si="8"/>
        <v>0</v>
      </c>
      <c r="I82" s="114">
        <f t="shared" si="8"/>
        <v>0</v>
      </c>
      <c r="J82" s="114">
        <f t="shared" si="8"/>
        <v>0</v>
      </c>
      <c r="K82" s="114">
        <f t="shared" si="8"/>
        <v>0</v>
      </c>
      <c r="L82" s="114">
        <f t="shared" si="8"/>
        <v>0</v>
      </c>
      <c r="M82" s="182"/>
      <c r="N82" s="182"/>
      <c r="O82" s="114">
        <f t="shared" si="8"/>
        <v>0</v>
      </c>
      <c r="P82" s="114">
        <f t="shared" si="8"/>
        <v>0</v>
      </c>
      <c r="Q82" s="114">
        <f t="shared" si="8"/>
        <v>0</v>
      </c>
      <c r="R82" s="114">
        <f t="shared" si="8"/>
        <v>0</v>
      </c>
      <c r="S82" s="114">
        <f t="shared" si="8"/>
        <v>0</v>
      </c>
      <c r="T82" s="182"/>
      <c r="U82" s="182"/>
      <c r="V82" s="114">
        <f t="shared" si="8"/>
        <v>0</v>
      </c>
      <c r="W82" s="114">
        <f t="shared" si="8"/>
        <v>0</v>
      </c>
      <c r="X82" s="114">
        <f t="shared" si="8"/>
        <v>0</v>
      </c>
      <c r="Y82" s="114">
        <f t="shared" si="8"/>
        <v>0</v>
      </c>
      <c r="Z82" s="114">
        <f t="shared" si="8"/>
        <v>0</v>
      </c>
      <c r="AA82" s="182"/>
      <c r="AB82" s="182"/>
      <c r="AC82" s="114">
        <f t="shared" si="8"/>
        <v>0</v>
      </c>
      <c r="AD82" s="114">
        <f t="shared" si="8"/>
        <v>0</v>
      </c>
      <c r="AE82" s="114">
        <f t="shared" si="8"/>
        <v>0</v>
      </c>
      <c r="AF82" s="182">
        <f t="shared" si="8"/>
        <v>4</v>
      </c>
      <c r="AG82" s="132">
        <f t="shared" si="2"/>
        <v>4</v>
      </c>
    </row>
    <row r="83" spans="1:35" ht="19.5" thickBot="1" x14ac:dyDescent="0.3">
      <c r="A83" s="107" t="s">
        <v>58</v>
      </c>
      <c r="B83" s="9">
        <f t="shared" ref="B83" si="9">SUM(B54:B77)-B82</f>
        <v>9</v>
      </c>
      <c r="C83" s="9">
        <f t="shared" ref="C83" si="10">SUM(C54:C77)-C82</f>
        <v>23</v>
      </c>
      <c r="D83" s="9">
        <f t="shared" ref="D83:AF83" si="11">SUM(D54:D77)-D82</f>
        <v>16</v>
      </c>
      <c r="E83" s="9">
        <f t="shared" si="11"/>
        <v>45</v>
      </c>
      <c r="F83" s="9">
        <f t="shared" si="11"/>
        <v>18</v>
      </c>
      <c r="G83" s="9">
        <f t="shared" si="11"/>
        <v>3</v>
      </c>
      <c r="H83" s="9">
        <f t="shared" si="11"/>
        <v>29</v>
      </c>
      <c r="I83" s="9">
        <f t="shared" si="11"/>
        <v>24</v>
      </c>
      <c r="J83" s="9">
        <f t="shared" si="11"/>
        <v>31</v>
      </c>
      <c r="K83" s="9">
        <f t="shared" si="11"/>
        <v>30</v>
      </c>
      <c r="L83" s="9">
        <f t="shared" si="11"/>
        <v>9</v>
      </c>
      <c r="M83" s="9">
        <f t="shared" si="11"/>
        <v>7</v>
      </c>
      <c r="N83" s="9">
        <f t="shared" si="11"/>
        <v>32</v>
      </c>
      <c r="O83" s="9">
        <f t="shared" si="11"/>
        <v>14</v>
      </c>
      <c r="P83" s="9">
        <f t="shared" si="11"/>
        <v>26</v>
      </c>
      <c r="Q83" s="9">
        <f t="shared" si="11"/>
        <v>19</v>
      </c>
      <c r="R83" s="9">
        <f t="shared" si="11"/>
        <v>20</v>
      </c>
      <c r="S83" s="9">
        <f t="shared" si="11"/>
        <v>18</v>
      </c>
      <c r="T83" s="9">
        <f t="shared" si="11"/>
        <v>12</v>
      </c>
      <c r="U83" s="9">
        <f t="shared" si="11"/>
        <v>12</v>
      </c>
      <c r="V83" s="9">
        <f t="shared" si="11"/>
        <v>5</v>
      </c>
      <c r="W83" s="9">
        <f t="shared" si="11"/>
        <v>9</v>
      </c>
      <c r="X83" s="9">
        <f t="shared" si="11"/>
        <v>3</v>
      </c>
      <c r="Y83" s="9">
        <f t="shared" si="11"/>
        <v>6</v>
      </c>
      <c r="Z83" s="9">
        <f t="shared" si="11"/>
        <v>14</v>
      </c>
      <c r="AA83" s="9">
        <f t="shared" si="11"/>
        <v>30</v>
      </c>
      <c r="AB83" s="9">
        <f t="shared" si="11"/>
        <v>7</v>
      </c>
      <c r="AC83" s="9">
        <f t="shared" si="11"/>
        <v>7</v>
      </c>
      <c r="AD83" s="9">
        <f t="shared" si="11"/>
        <v>5</v>
      </c>
      <c r="AE83" s="9">
        <f t="shared" si="11"/>
        <v>9</v>
      </c>
      <c r="AF83" s="9">
        <f t="shared" si="11"/>
        <v>6</v>
      </c>
      <c r="AG83" s="4">
        <f t="shared" si="2"/>
        <v>498</v>
      </c>
    </row>
    <row r="84" spans="1:35" ht="19.5" thickBot="1" x14ac:dyDescent="0.3">
      <c r="A84" s="164" t="s">
        <v>146</v>
      </c>
      <c r="B84" s="165">
        <f>SUM(B85:B86)</f>
        <v>9</v>
      </c>
      <c r="C84" s="165">
        <f t="shared" ref="C84:AF84" si="12">SUM(C85:C86)</f>
        <v>23</v>
      </c>
      <c r="D84" s="165">
        <f t="shared" si="12"/>
        <v>16</v>
      </c>
      <c r="E84" s="165">
        <f t="shared" si="12"/>
        <v>45</v>
      </c>
      <c r="F84" s="165">
        <f t="shared" si="12"/>
        <v>18</v>
      </c>
      <c r="G84" s="165">
        <f t="shared" si="12"/>
        <v>3</v>
      </c>
      <c r="H84" s="165">
        <f t="shared" si="12"/>
        <v>29</v>
      </c>
      <c r="I84" s="165">
        <f t="shared" si="12"/>
        <v>24</v>
      </c>
      <c r="J84" s="165">
        <f t="shared" si="12"/>
        <v>31</v>
      </c>
      <c r="K84" s="165">
        <f t="shared" si="12"/>
        <v>30</v>
      </c>
      <c r="L84" s="165">
        <f t="shared" si="12"/>
        <v>9</v>
      </c>
      <c r="M84" s="165">
        <f t="shared" si="12"/>
        <v>7</v>
      </c>
      <c r="N84" s="165">
        <f t="shared" si="12"/>
        <v>32</v>
      </c>
      <c r="O84" s="165">
        <f t="shared" si="12"/>
        <v>14</v>
      </c>
      <c r="P84" s="165">
        <f t="shared" si="12"/>
        <v>26</v>
      </c>
      <c r="Q84" s="165">
        <f t="shared" si="12"/>
        <v>19</v>
      </c>
      <c r="R84" s="165">
        <f t="shared" si="12"/>
        <v>20</v>
      </c>
      <c r="S84" s="165">
        <f t="shared" si="12"/>
        <v>18</v>
      </c>
      <c r="T84" s="165">
        <f t="shared" si="12"/>
        <v>12</v>
      </c>
      <c r="U84" s="165">
        <f t="shared" si="12"/>
        <v>12</v>
      </c>
      <c r="V84" s="165">
        <f t="shared" si="12"/>
        <v>5</v>
      </c>
      <c r="W84" s="165">
        <f t="shared" si="12"/>
        <v>9</v>
      </c>
      <c r="X84" s="165">
        <f t="shared" si="12"/>
        <v>3</v>
      </c>
      <c r="Y84" s="165">
        <f t="shared" si="12"/>
        <v>6</v>
      </c>
      <c r="Z84" s="165">
        <f t="shared" si="12"/>
        <v>14</v>
      </c>
      <c r="AA84" s="165">
        <f t="shared" si="12"/>
        <v>30</v>
      </c>
      <c r="AB84" s="165">
        <f t="shared" si="12"/>
        <v>7</v>
      </c>
      <c r="AC84" s="165">
        <f t="shared" si="12"/>
        <v>7</v>
      </c>
      <c r="AD84" s="165">
        <f t="shared" si="12"/>
        <v>5</v>
      </c>
      <c r="AE84" s="165">
        <f t="shared" si="12"/>
        <v>9</v>
      </c>
      <c r="AF84" s="165">
        <f t="shared" si="12"/>
        <v>10</v>
      </c>
      <c r="AG84" s="171">
        <f t="shared" ref="AG84:AG126" si="13">SUM(B84:AF84)</f>
        <v>502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2</v>
      </c>
      <c r="C85" s="169">
        <v>8</v>
      </c>
      <c r="D85" s="169">
        <v>2</v>
      </c>
      <c r="E85" s="169">
        <v>10</v>
      </c>
      <c r="F85" s="169">
        <v>4</v>
      </c>
      <c r="G85" s="169">
        <v>0</v>
      </c>
      <c r="H85" s="169">
        <v>10</v>
      </c>
      <c r="I85" s="169">
        <v>10</v>
      </c>
      <c r="J85" s="169">
        <v>6</v>
      </c>
      <c r="K85" s="169">
        <v>3</v>
      </c>
      <c r="L85" s="169">
        <v>3</v>
      </c>
      <c r="M85" s="169">
        <v>1</v>
      </c>
      <c r="N85" s="169">
        <v>9</v>
      </c>
      <c r="O85" s="169">
        <v>1</v>
      </c>
      <c r="P85" s="169">
        <v>8</v>
      </c>
      <c r="Q85" s="169">
        <v>5</v>
      </c>
      <c r="R85" s="169">
        <v>3</v>
      </c>
      <c r="S85" s="169">
        <v>5</v>
      </c>
      <c r="T85" s="169">
        <v>4</v>
      </c>
      <c r="U85" s="169">
        <v>1</v>
      </c>
      <c r="V85" s="169">
        <v>1</v>
      </c>
      <c r="W85" s="169">
        <v>3</v>
      </c>
      <c r="X85" s="169">
        <v>0</v>
      </c>
      <c r="Y85" s="169">
        <v>2</v>
      </c>
      <c r="Z85" s="169">
        <v>1</v>
      </c>
      <c r="AA85" s="169">
        <v>8</v>
      </c>
      <c r="AB85" s="169">
        <v>2</v>
      </c>
      <c r="AC85" s="169">
        <v>1</v>
      </c>
      <c r="AD85" s="169">
        <v>0</v>
      </c>
      <c r="AE85" s="169">
        <v>1</v>
      </c>
      <c r="AF85" s="170">
        <v>2</v>
      </c>
      <c r="AG85" s="168">
        <f t="shared" si="13"/>
        <v>116</v>
      </c>
      <c r="AI85" s="374"/>
    </row>
    <row r="86" spans="1:35" ht="19.5" thickBot="1" x14ac:dyDescent="0.3">
      <c r="A86" s="172" t="s">
        <v>145</v>
      </c>
      <c r="B86" s="173">
        <v>7</v>
      </c>
      <c r="C86" s="173">
        <v>15</v>
      </c>
      <c r="D86" s="173">
        <v>14</v>
      </c>
      <c r="E86" s="173">
        <v>35</v>
      </c>
      <c r="F86" s="173">
        <v>14</v>
      </c>
      <c r="G86" s="173">
        <v>3</v>
      </c>
      <c r="H86" s="173">
        <v>19</v>
      </c>
      <c r="I86" s="173">
        <v>14</v>
      </c>
      <c r="J86" s="173">
        <v>25</v>
      </c>
      <c r="K86" s="173">
        <v>27</v>
      </c>
      <c r="L86" s="173">
        <v>6</v>
      </c>
      <c r="M86" s="173">
        <v>6</v>
      </c>
      <c r="N86" s="173">
        <v>23</v>
      </c>
      <c r="O86" s="173">
        <v>13</v>
      </c>
      <c r="P86" s="173">
        <v>18</v>
      </c>
      <c r="Q86" s="173">
        <v>14</v>
      </c>
      <c r="R86" s="173">
        <v>17</v>
      </c>
      <c r="S86" s="173">
        <v>13</v>
      </c>
      <c r="T86" s="173">
        <v>8</v>
      </c>
      <c r="U86" s="173">
        <v>11</v>
      </c>
      <c r="V86" s="173">
        <v>4</v>
      </c>
      <c r="W86" s="173">
        <v>6</v>
      </c>
      <c r="X86" s="173">
        <v>3</v>
      </c>
      <c r="Y86" s="173">
        <v>4</v>
      </c>
      <c r="Z86" s="173">
        <v>13</v>
      </c>
      <c r="AA86" s="173">
        <v>22</v>
      </c>
      <c r="AB86" s="173">
        <v>5</v>
      </c>
      <c r="AC86" s="173">
        <v>6</v>
      </c>
      <c r="AD86" s="173">
        <v>5</v>
      </c>
      <c r="AE86" s="173">
        <v>8</v>
      </c>
      <c r="AF86" s="174">
        <v>8</v>
      </c>
      <c r="AG86" s="176">
        <f t="shared" si="13"/>
        <v>386</v>
      </c>
      <c r="AI86" s="375"/>
    </row>
    <row r="87" spans="1:35" ht="19.5" thickBot="1" x14ac:dyDescent="0.3">
      <c r="A87" s="177" t="s">
        <v>147</v>
      </c>
      <c r="B87" s="178">
        <f>SUM(B88:B92)</f>
        <v>9</v>
      </c>
      <c r="C87" s="178">
        <f t="shared" ref="C87:AF87" si="14">SUM(C88:C92)</f>
        <v>23</v>
      </c>
      <c r="D87" s="178">
        <f t="shared" si="14"/>
        <v>16</v>
      </c>
      <c r="E87" s="178">
        <f t="shared" si="14"/>
        <v>45</v>
      </c>
      <c r="F87" s="178">
        <f t="shared" si="14"/>
        <v>18</v>
      </c>
      <c r="G87" s="178">
        <f t="shared" si="14"/>
        <v>3</v>
      </c>
      <c r="H87" s="178">
        <f t="shared" si="14"/>
        <v>29</v>
      </c>
      <c r="I87" s="178">
        <f t="shared" si="14"/>
        <v>24</v>
      </c>
      <c r="J87" s="178">
        <f t="shared" si="14"/>
        <v>31</v>
      </c>
      <c r="K87" s="178">
        <f t="shared" si="14"/>
        <v>30</v>
      </c>
      <c r="L87" s="178">
        <f t="shared" si="14"/>
        <v>9</v>
      </c>
      <c r="M87" s="178">
        <f t="shared" si="14"/>
        <v>7</v>
      </c>
      <c r="N87" s="178">
        <f t="shared" si="14"/>
        <v>32</v>
      </c>
      <c r="O87" s="178">
        <f t="shared" si="14"/>
        <v>14</v>
      </c>
      <c r="P87" s="178">
        <f t="shared" si="14"/>
        <v>26</v>
      </c>
      <c r="Q87" s="178">
        <f t="shared" si="14"/>
        <v>19</v>
      </c>
      <c r="R87" s="178">
        <f t="shared" si="14"/>
        <v>20</v>
      </c>
      <c r="S87" s="178">
        <f t="shared" si="14"/>
        <v>18</v>
      </c>
      <c r="T87" s="178">
        <f t="shared" si="14"/>
        <v>12</v>
      </c>
      <c r="U87" s="178">
        <f t="shared" si="14"/>
        <v>12</v>
      </c>
      <c r="V87" s="178">
        <f t="shared" si="14"/>
        <v>5</v>
      </c>
      <c r="W87" s="178">
        <f t="shared" si="14"/>
        <v>9</v>
      </c>
      <c r="X87" s="178">
        <f t="shared" si="14"/>
        <v>3</v>
      </c>
      <c r="Y87" s="178">
        <f t="shared" si="14"/>
        <v>6</v>
      </c>
      <c r="Z87" s="178">
        <f t="shared" si="14"/>
        <v>14</v>
      </c>
      <c r="AA87" s="178">
        <f t="shared" si="14"/>
        <v>30</v>
      </c>
      <c r="AB87" s="178">
        <f t="shared" si="14"/>
        <v>7</v>
      </c>
      <c r="AC87" s="178">
        <f t="shared" si="14"/>
        <v>7</v>
      </c>
      <c r="AD87" s="178">
        <f t="shared" si="14"/>
        <v>5</v>
      </c>
      <c r="AE87" s="178">
        <f t="shared" si="14"/>
        <v>9</v>
      </c>
      <c r="AF87" s="178">
        <f t="shared" si="14"/>
        <v>10</v>
      </c>
      <c r="AG87" s="179">
        <f t="shared" si="13"/>
        <v>502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6</v>
      </c>
      <c r="C88" s="166">
        <v>9</v>
      </c>
      <c r="D88" s="166">
        <v>6</v>
      </c>
      <c r="E88" s="166">
        <v>5</v>
      </c>
      <c r="F88" s="166">
        <v>4</v>
      </c>
      <c r="G88" s="166">
        <v>1</v>
      </c>
      <c r="H88" s="166">
        <v>17</v>
      </c>
      <c r="I88" s="166">
        <v>21</v>
      </c>
      <c r="J88" s="166">
        <v>10</v>
      </c>
      <c r="K88" s="166">
        <v>10</v>
      </c>
      <c r="L88" s="166">
        <v>6</v>
      </c>
      <c r="M88" s="166">
        <v>0</v>
      </c>
      <c r="N88" s="166">
        <v>4</v>
      </c>
      <c r="O88" s="166">
        <v>8</v>
      </c>
      <c r="P88" s="166">
        <v>9</v>
      </c>
      <c r="Q88" s="166">
        <v>13</v>
      </c>
      <c r="R88" s="166">
        <v>4</v>
      </c>
      <c r="S88" s="166">
        <v>7</v>
      </c>
      <c r="T88" s="166">
        <v>5</v>
      </c>
      <c r="U88" s="166">
        <v>1</v>
      </c>
      <c r="V88" s="166"/>
      <c r="W88" s="166">
        <v>5</v>
      </c>
      <c r="X88" s="166"/>
      <c r="Y88" s="166">
        <v>3</v>
      </c>
      <c r="Z88" s="166">
        <v>11</v>
      </c>
      <c r="AA88" s="166">
        <v>5</v>
      </c>
      <c r="AB88" s="166">
        <v>1</v>
      </c>
      <c r="AC88" s="166">
        <v>5</v>
      </c>
      <c r="AD88" s="166">
        <v>3</v>
      </c>
      <c r="AE88" s="166">
        <v>3</v>
      </c>
      <c r="AF88" s="167">
        <v>1</v>
      </c>
      <c r="AG88" s="132">
        <f t="shared" si="13"/>
        <v>183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>
        <v>1</v>
      </c>
      <c r="F90" s="9"/>
      <c r="G90" s="9"/>
      <c r="H90" s="9"/>
      <c r="I90" s="9"/>
      <c r="J90" s="9">
        <v>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2</v>
      </c>
    </row>
    <row r="91" spans="1:35" ht="18.75" x14ac:dyDescent="0.25">
      <c r="A91" s="105" t="s">
        <v>75</v>
      </c>
      <c r="B91" s="9">
        <v>3</v>
      </c>
      <c r="C91" s="9">
        <v>8</v>
      </c>
      <c r="D91" s="9">
        <v>4</v>
      </c>
      <c r="E91" s="9">
        <v>24</v>
      </c>
      <c r="F91" s="9">
        <v>6</v>
      </c>
      <c r="G91" s="9"/>
      <c r="H91" s="9">
        <v>3</v>
      </c>
      <c r="I91" s="9">
        <v>1</v>
      </c>
      <c r="J91" s="9">
        <v>7</v>
      </c>
      <c r="K91" s="9">
        <v>2</v>
      </c>
      <c r="L91" s="9">
        <v>2</v>
      </c>
      <c r="M91" s="9">
        <v>0</v>
      </c>
      <c r="N91" s="9">
        <v>16</v>
      </c>
      <c r="O91" s="9">
        <v>1</v>
      </c>
      <c r="P91" s="9">
        <v>10</v>
      </c>
      <c r="Q91" s="9">
        <v>4</v>
      </c>
      <c r="R91" s="9">
        <v>6</v>
      </c>
      <c r="S91" s="9">
        <v>3</v>
      </c>
      <c r="T91" s="9">
        <v>6</v>
      </c>
      <c r="U91" s="9">
        <v>2</v>
      </c>
      <c r="V91" s="9">
        <v>1</v>
      </c>
      <c r="W91" s="9"/>
      <c r="X91" s="9"/>
      <c r="Y91" s="9">
        <v>1</v>
      </c>
      <c r="Z91" s="9">
        <v>2</v>
      </c>
      <c r="AA91" s="9">
        <v>17</v>
      </c>
      <c r="AB91" s="9">
        <v>4</v>
      </c>
      <c r="AC91" s="9">
        <v>1</v>
      </c>
      <c r="AD91" s="9">
        <v>1</v>
      </c>
      <c r="AE91" s="9">
        <v>3</v>
      </c>
      <c r="AF91" s="10">
        <v>3</v>
      </c>
      <c r="AG91" s="4">
        <f t="shared" si="13"/>
        <v>141</v>
      </c>
    </row>
    <row r="92" spans="1:35" ht="19.5" thickBot="1" x14ac:dyDescent="0.3">
      <c r="A92" s="105" t="s">
        <v>76</v>
      </c>
      <c r="B92" s="9"/>
      <c r="C92" s="9">
        <v>6</v>
      </c>
      <c r="D92" s="9">
        <v>6</v>
      </c>
      <c r="E92" s="9">
        <v>15</v>
      </c>
      <c r="F92" s="9">
        <v>8</v>
      </c>
      <c r="G92" s="9">
        <v>2</v>
      </c>
      <c r="H92" s="9">
        <v>9</v>
      </c>
      <c r="I92" s="9">
        <v>2</v>
      </c>
      <c r="J92" s="9">
        <v>13</v>
      </c>
      <c r="K92" s="9">
        <v>18</v>
      </c>
      <c r="L92" s="9">
        <v>1</v>
      </c>
      <c r="M92" s="9">
        <v>7</v>
      </c>
      <c r="N92" s="9">
        <v>12</v>
      </c>
      <c r="O92" s="9">
        <v>5</v>
      </c>
      <c r="P92" s="9">
        <v>7</v>
      </c>
      <c r="Q92" s="9">
        <v>2</v>
      </c>
      <c r="R92" s="9">
        <v>10</v>
      </c>
      <c r="S92" s="9">
        <v>8</v>
      </c>
      <c r="T92" s="9">
        <v>1</v>
      </c>
      <c r="U92" s="9">
        <v>9</v>
      </c>
      <c r="V92" s="9">
        <v>4</v>
      </c>
      <c r="W92" s="9">
        <v>4</v>
      </c>
      <c r="X92" s="9">
        <v>3</v>
      </c>
      <c r="Y92" s="9">
        <v>2</v>
      </c>
      <c r="Z92" s="9">
        <v>1</v>
      </c>
      <c r="AA92" s="9">
        <v>8</v>
      </c>
      <c r="AB92" s="9">
        <v>2</v>
      </c>
      <c r="AC92" s="9">
        <v>1</v>
      </c>
      <c r="AD92" s="9">
        <v>1</v>
      </c>
      <c r="AE92" s="9">
        <v>3</v>
      </c>
      <c r="AF92" s="10">
        <v>6</v>
      </c>
      <c r="AG92" s="4">
        <f t="shared" si="13"/>
        <v>176</v>
      </c>
    </row>
    <row r="93" spans="1:35" ht="18.75" x14ac:dyDescent="0.25">
      <c r="A93" s="73" t="s">
        <v>616</v>
      </c>
      <c r="B93" s="74">
        <f t="shared" ref="B93:AF93" si="15">+B94+B100</f>
        <v>160</v>
      </c>
      <c r="C93" s="74">
        <f t="shared" si="15"/>
        <v>166</v>
      </c>
      <c r="D93" s="74">
        <f t="shared" si="15"/>
        <v>141</v>
      </c>
      <c r="E93" s="74">
        <f t="shared" si="15"/>
        <v>129</v>
      </c>
      <c r="F93" s="74">
        <f t="shared" si="15"/>
        <v>222</v>
      </c>
      <c r="G93" s="74">
        <f t="shared" si="15"/>
        <v>242</v>
      </c>
      <c r="H93" s="74">
        <f t="shared" si="15"/>
        <v>193</v>
      </c>
      <c r="I93" s="74">
        <f t="shared" si="15"/>
        <v>174</v>
      </c>
      <c r="J93" s="74">
        <f t="shared" si="15"/>
        <v>185</v>
      </c>
      <c r="K93" s="74">
        <f t="shared" si="15"/>
        <v>172</v>
      </c>
      <c r="L93" s="74">
        <f t="shared" si="15"/>
        <v>177</v>
      </c>
      <c r="M93" s="74">
        <f t="shared" si="15"/>
        <v>247</v>
      </c>
      <c r="N93" s="74">
        <f t="shared" si="15"/>
        <v>266</v>
      </c>
      <c r="O93" s="74">
        <f t="shared" si="15"/>
        <v>194</v>
      </c>
      <c r="P93" s="74">
        <f t="shared" si="15"/>
        <v>157</v>
      </c>
      <c r="Q93" s="74">
        <f t="shared" si="15"/>
        <v>182</v>
      </c>
      <c r="R93" s="74">
        <f t="shared" si="15"/>
        <v>188</v>
      </c>
      <c r="S93" s="74">
        <f t="shared" si="15"/>
        <v>168</v>
      </c>
      <c r="T93" s="74">
        <f t="shared" si="15"/>
        <v>229</v>
      </c>
      <c r="U93" s="74">
        <f t="shared" si="15"/>
        <v>190</v>
      </c>
      <c r="V93" s="74">
        <f t="shared" si="15"/>
        <v>100</v>
      </c>
      <c r="W93" s="74">
        <f t="shared" si="15"/>
        <v>126</v>
      </c>
      <c r="X93" s="74">
        <f t="shared" si="15"/>
        <v>108</v>
      </c>
      <c r="Y93" s="74">
        <f t="shared" si="15"/>
        <v>127</v>
      </c>
      <c r="Z93" s="74">
        <f t="shared" si="15"/>
        <v>132</v>
      </c>
      <c r="AA93" s="74">
        <f t="shared" si="15"/>
        <v>164</v>
      </c>
      <c r="AB93" s="74">
        <f t="shared" si="15"/>
        <v>208</v>
      </c>
      <c r="AC93" s="74">
        <f t="shared" si="15"/>
        <v>119</v>
      </c>
      <c r="AD93" s="74">
        <f t="shared" si="15"/>
        <v>146</v>
      </c>
      <c r="AE93" s="74">
        <f t="shared" si="15"/>
        <v>128</v>
      </c>
      <c r="AF93" s="84">
        <f t="shared" si="15"/>
        <v>194</v>
      </c>
      <c r="AG93" s="150">
        <f t="shared" si="13"/>
        <v>5334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24</v>
      </c>
      <c r="C94" s="17">
        <f t="shared" si="16"/>
        <v>32</v>
      </c>
      <c r="D94" s="17">
        <f t="shared" si="16"/>
        <v>26</v>
      </c>
      <c r="E94" s="17">
        <f t="shared" si="16"/>
        <v>17</v>
      </c>
      <c r="F94" s="17">
        <f t="shared" si="16"/>
        <v>42</v>
      </c>
      <c r="G94" s="17">
        <f t="shared" si="16"/>
        <v>42</v>
      </c>
      <c r="H94" s="17">
        <f t="shared" si="16"/>
        <v>38</v>
      </c>
      <c r="I94" s="17">
        <f t="shared" si="16"/>
        <v>46</v>
      </c>
      <c r="J94" s="17">
        <f t="shared" si="16"/>
        <v>52</v>
      </c>
      <c r="K94" s="17">
        <f t="shared" si="16"/>
        <v>34</v>
      </c>
      <c r="L94" s="17">
        <f t="shared" si="16"/>
        <v>31</v>
      </c>
      <c r="M94" s="17">
        <f t="shared" si="16"/>
        <v>55</v>
      </c>
      <c r="N94" s="17">
        <f t="shared" si="16"/>
        <v>60</v>
      </c>
      <c r="O94" s="17">
        <f t="shared" si="16"/>
        <v>55</v>
      </c>
      <c r="P94" s="17">
        <f t="shared" si="16"/>
        <v>26</v>
      </c>
      <c r="Q94" s="17">
        <f t="shared" si="16"/>
        <v>48</v>
      </c>
      <c r="R94" s="17">
        <f t="shared" si="16"/>
        <v>44</v>
      </c>
      <c r="S94" s="17">
        <f t="shared" si="16"/>
        <v>34</v>
      </c>
      <c r="T94" s="17">
        <f t="shared" si="16"/>
        <v>46</v>
      </c>
      <c r="U94" s="17">
        <f t="shared" si="16"/>
        <v>43</v>
      </c>
      <c r="V94" s="17">
        <f t="shared" si="16"/>
        <v>15</v>
      </c>
      <c r="W94" s="17">
        <f t="shared" si="16"/>
        <v>24</v>
      </c>
      <c r="X94" s="17">
        <f t="shared" si="16"/>
        <v>29</v>
      </c>
      <c r="Y94" s="17">
        <f t="shared" si="16"/>
        <v>23</v>
      </c>
      <c r="Z94" s="17">
        <f t="shared" si="16"/>
        <v>30</v>
      </c>
      <c r="AA94" s="17">
        <f t="shared" si="16"/>
        <v>26</v>
      </c>
      <c r="AB94" s="17">
        <f t="shared" si="16"/>
        <v>37</v>
      </c>
      <c r="AC94" s="17">
        <f t="shared" si="16"/>
        <v>12</v>
      </c>
      <c r="AD94" s="17">
        <f t="shared" si="16"/>
        <v>31</v>
      </c>
      <c r="AE94" s="17">
        <f t="shared" si="16"/>
        <v>23</v>
      </c>
      <c r="AF94" s="18">
        <f t="shared" si="16"/>
        <v>20</v>
      </c>
      <c r="AG94" s="4">
        <f t="shared" si="13"/>
        <v>1065</v>
      </c>
    </row>
    <row r="95" spans="1:35" ht="18.75" x14ac:dyDescent="0.25">
      <c r="A95" s="44" t="s">
        <v>81</v>
      </c>
      <c r="B95" s="7"/>
      <c r="C95" s="7"/>
      <c r="D95" s="7"/>
      <c r="E95" s="7"/>
      <c r="F95" s="7">
        <v>1</v>
      </c>
      <c r="G95" s="7"/>
      <c r="H95" s="7">
        <v>1</v>
      </c>
      <c r="I95" s="7">
        <v>1</v>
      </c>
      <c r="J95" s="7">
        <v>1</v>
      </c>
      <c r="K95" s="7">
        <v>2</v>
      </c>
      <c r="L95" s="7">
        <v>2</v>
      </c>
      <c r="M95" s="7">
        <v>4</v>
      </c>
      <c r="N95" s="7">
        <v>1</v>
      </c>
      <c r="O95" s="7">
        <v>3</v>
      </c>
      <c r="P95" s="7"/>
      <c r="Q95" s="7">
        <v>1</v>
      </c>
      <c r="R95" s="7">
        <v>1</v>
      </c>
      <c r="S95" s="7">
        <v>1</v>
      </c>
      <c r="T95" s="7">
        <v>1</v>
      </c>
      <c r="U95" s="7">
        <v>2</v>
      </c>
      <c r="V95" s="7"/>
      <c r="W95" s="7"/>
      <c r="X95" s="7">
        <v>1</v>
      </c>
      <c r="Y95" s="7">
        <v>1</v>
      </c>
      <c r="Z95" s="7">
        <v>3</v>
      </c>
      <c r="AA95" s="7">
        <v>3</v>
      </c>
      <c r="AB95" s="7">
        <v>3</v>
      </c>
      <c r="AC95" s="7"/>
      <c r="AD95" s="7">
        <v>5</v>
      </c>
      <c r="AE95" s="7">
        <v>2</v>
      </c>
      <c r="AF95" s="8">
        <v>2</v>
      </c>
      <c r="AG95" s="4">
        <f t="shared" si="13"/>
        <v>42</v>
      </c>
    </row>
    <row r="96" spans="1:35" ht="18.75" x14ac:dyDescent="0.25">
      <c r="A96" s="45" t="s">
        <v>82</v>
      </c>
      <c r="B96" s="7">
        <v>3</v>
      </c>
      <c r="C96" s="7">
        <v>2</v>
      </c>
      <c r="D96" s="7">
        <v>2</v>
      </c>
      <c r="E96" s="7">
        <v>1</v>
      </c>
      <c r="F96" s="7">
        <v>3</v>
      </c>
      <c r="G96" s="7">
        <v>4</v>
      </c>
      <c r="H96" s="7">
        <v>2</v>
      </c>
      <c r="I96" s="7">
        <v>3</v>
      </c>
      <c r="J96" s="7">
        <v>5</v>
      </c>
      <c r="K96" s="7">
        <v>1</v>
      </c>
      <c r="L96" s="7">
        <v>2</v>
      </c>
      <c r="M96" s="7">
        <v>5</v>
      </c>
      <c r="N96" s="7">
        <v>2</v>
      </c>
      <c r="O96" s="7">
        <v>3</v>
      </c>
      <c r="P96" s="7">
        <v>2</v>
      </c>
      <c r="Q96" s="7">
        <v>2</v>
      </c>
      <c r="R96" s="7">
        <v>6</v>
      </c>
      <c r="S96" s="141">
        <v>3</v>
      </c>
      <c r="T96" s="7">
        <v>2</v>
      </c>
      <c r="U96" s="7">
        <v>6</v>
      </c>
      <c r="V96" s="7">
        <v>2</v>
      </c>
      <c r="W96" s="7">
        <v>3</v>
      </c>
      <c r="X96" s="7">
        <v>2</v>
      </c>
      <c r="Y96" s="7"/>
      <c r="Z96" s="7">
        <v>2</v>
      </c>
      <c r="AA96" s="7">
        <v>3</v>
      </c>
      <c r="AB96" s="7">
        <v>4</v>
      </c>
      <c r="AC96" s="7">
        <v>1</v>
      </c>
      <c r="AD96" s="7">
        <v>2</v>
      </c>
      <c r="AE96" s="7">
        <v>1</v>
      </c>
      <c r="AF96" s="8">
        <v>1</v>
      </c>
      <c r="AG96" s="4">
        <f t="shared" si="13"/>
        <v>80</v>
      </c>
    </row>
    <row r="97" spans="1:33" ht="18.75" x14ac:dyDescent="0.25">
      <c r="A97" s="46" t="s">
        <v>70</v>
      </c>
      <c r="B97" s="7">
        <v>6</v>
      </c>
      <c r="C97" s="7">
        <v>6</v>
      </c>
      <c r="D97" s="7">
        <v>6</v>
      </c>
      <c r="E97" s="7">
        <v>3</v>
      </c>
      <c r="F97" s="7">
        <v>11</v>
      </c>
      <c r="G97" s="7">
        <v>15</v>
      </c>
      <c r="H97" s="7">
        <v>8</v>
      </c>
      <c r="I97" s="7">
        <v>10</v>
      </c>
      <c r="J97" s="7">
        <v>10</v>
      </c>
      <c r="K97" s="7">
        <v>7</v>
      </c>
      <c r="L97" s="7">
        <v>4</v>
      </c>
      <c r="M97" s="7">
        <v>20</v>
      </c>
      <c r="N97" s="7">
        <v>15</v>
      </c>
      <c r="O97" s="7">
        <v>13</v>
      </c>
      <c r="P97" s="7">
        <v>4</v>
      </c>
      <c r="Q97" s="7">
        <v>12</v>
      </c>
      <c r="R97" s="7">
        <v>8</v>
      </c>
      <c r="S97" s="7">
        <v>6</v>
      </c>
      <c r="T97" s="7">
        <v>11</v>
      </c>
      <c r="U97" s="7">
        <v>10</v>
      </c>
      <c r="V97" s="7">
        <v>6</v>
      </c>
      <c r="W97" s="7">
        <v>6</v>
      </c>
      <c r="X97" s="7">
        <v>6</v>
      </c>
      <c r="Y97" s="7">
        <v>9</v>
      </c>
      <c r="Z97" s="7">
        <v>8</v>
      </c>
      <c r="AA97" s="7">
        <v>6</v>
      </c>
      <c r="AB97" s="7">
        <v>8</v>
      </c>
      <c r="AC97" s="7">
        <v>3</v>
      </c>
      <c r="AD97" s="7">
        <v>4</v>
      </c>
      <c r="AE97" s="7">
        <v>5</v>
      </c>
      <c r="AF97" s="8">
        <v>4</v>
      </c>
      <c r="AG97" s="4">
        <f t="shared" si="13"/>
        <v>250</v>
      </c>
    </row>
    <row r="98" spans="1:33" ht="18.75" x14ac:dyDescent="0.25">
      <c r="A98" s="47" t="s">
        <v>6</v>
      </c>
      <c r="B98" s="7">
        <v>7</v>
      </c>
      <c r="C98" s="7">
        <v>12</v>
      </c>
      <c r="D98" s="7">
        <v>12</v>
      </c>
      <c r="E98" s="7">
        <v>9</v>
      </c>
      <c r="F98" s="7">
        <v>16</v>
      </c>
      <c r="G98" s="7">
        <v>15</v>
      </c>
      <c r="H98" s="7">
        <v>15</v>
      </c>
      <c r="I98" s="7">
        <v>15</v>
      </c>
      <c r="J98" s="7">
        <v>16</v>
      </c>
      <c r="K98" s="7">
        <v>13</v>
      </c>
      <c r="L98" s="7">
        <v>11</v>
      </c>
      <c r="M98" s="7">
        <v>19</v>
      </c>
      <c r="N98" s="7">
        <v>23</v>
      </c>
      <c r="O98" s="7">
        <v>21</v>
      </c>
      <c r="P98" s="7">
        <v>13</v>
      </c>
      <c r="Q98" s="7">
        <v>15</v>
      </c>
      <c r="R98" s="7">
        <v>16</v>
      </c>
      <c r="S98" s="7">
        <v>14</v>
      </c>
      <c r="T98" s="7">
        <v>23</v>
      </c>
      <c r="U98" s="7">
        <v>16</v>
      </c>
      <c r="V98" s="7">
        <v>3</v>
      </c>
      <c r="W98" s="7">
        <v>10</v>
      </c>
      <c r="X98" s="7">
        <v>15</v>
      </c>
      <c r="Y98" s="7">
        <v>8</v>
      </c>
      <c r="Z98" s="7">
        <v>11</v>
      </c>
      <c r="AA98" s="7">
        <v>4</v>
      </c>
      <c r="AB98" s="7">
        <v>10</v>
      </c>
      <c r="AC98" s="7">
        <v>2</v>
      </c>
      <c r="AD98" s="7">
        <v>7</v>
      </c>
      <c r="AE98" s="7">
        <v>6</v>
      </c>
      <c r="AF98" s="8">
        <v>9</v>
      </c>
      <c r="AG98" s="4">
        <f t="shared" si="13"/>
        <v>386</v>
      </c>
    </row>
    <row r="99" spans="1:33" ht="18.75" x14ac:dyDescent="0.25">
      <c r="A99" s="48" t="s">
        <v>7</v>
      </c>
      <c r="B99" s="7">
        <v>8</v>
      </c>
      <c r="C99" s="7">
        <v>12</v>
      </c>
      <c r="D99" s="7">
        <v>6</v>
      </c>
      <c r="E99" s="7">
        <v>4</v>
      </c>
      <c r="F99" s="7">
        <v>11</v>
      </c>
      <c r="G99" s="7">
        <v>8</v>
      </c>
      <c r="H99" s="7">
        <v>12</v>
      </c>
      <c r="I99" s="7">
        <v>17</v>
      </c>
      <c r="J99" s="7">
        <v>20</v>
      </c>
      <c r="K99" s="7">
        <v>11</v>
      </c>
      <c r="L99" s="7">
        <v>12</v>
      </c>
      <c r="M99" s="7">
        <v>7</v>
      </c>
      <c r="N99" s="7">
        <v>19</v>
      </c>
      <c r="O99" s="7">
        <v>15</v>
      </c>
      <c r="P99" s="7">
        <v>7</v>
      </c>
      <c r="Q99" s="7">
        <v>18</v>
      </c>
      <c r="R99" s="7">
        <v>13</v>
      </c>
      <c r="S99" s="7">
        <v>10</v>
      </c>
      <c r="T99" s="7">
        <v>9</v>
      </c>
      <c r="U99" s="7">
        <v>9</v>
      </c>
      <c r="V99" s="7">
        <v>4</v>
      </c>
      <c r="W99" s="7">
        <v>5</v>
      </c>
      <c r="X99" s="7">
        <v>5</v>
      </c>
      <c r="Y99" s="7">
        <v>5</v>
      </c>
      <c r="Z99" s="7">
        <v>6</v>
      </c>
      <c r="AA99" s="7">
        <v>10</v>
      </c>
      <c r="AB99" s="7">
        <v>12</v>
      </c>
      <c r="AC99" s="7">
        <v>6</v>
      </c>
      <c r="AD99" s="7">
        <v>13</v>
      </c>
      <c r="AE99" s="7">
        <v>9</v>
      </c>
      <c r="AF99" s="8">
        <v>4</v>
      </c>
      <c r="AG99" s="4">
        <f t="shared" si="13"/>
        <v>307</v>
      </c>
    </row>
    <row r="100" spans="1:33" ht="18.75" x14ac:dyDescent="0.25">
      <c r="A100" s="42" t="s">
        <v>66</v>
      </c>
      <c r="B100" s="17">
        <f t="shared" ref="B100:AF100" si="17">SUM(B101:B115)</f>
        <v>136</v>
      </c>
      <c r="C100" s="17">
        <f t="shared" si="17"/>
        <v>134</v>
      </c>
      <c r="D100" s="17">
        <f t="shared" si="17"/>
        <v>115</v>
      </c>
      <c r="E100" s="17">
        <f t="shared" si="17"/>
        <v>112</v>
      </c>
      <c r="F100" s="17">
        <f t="shared" si="17"/>
        <v>180</v>
      </c>
      <c r="G100" s="17">
        <f t="shared" si="17"/>
        <v>200</v>
      </c>
      <c r="H100" s="17">
        <f t="shared" si="17"/>
        <v>155</v>
      </c>
      <c r="I100" s="17">
        <f t="shared" si="17"/>
        <v>128</v>
      </c>
      <c r="J100" s="17">
        <f t="shared" si="17"/>
        <v>133</v>
      </c>
      <c r="K100" s="17">
        <f t="shared" si="17"/>
        <v>138</v>
      </c>
      <c r="L100" s="17">
        <f t="shared" si="17"/>
        <v>146</v>
      </c>
      <c r="M100" s="17">
        <f t="shared" si="17"/>
        <v>192</v>
      </c>
      <c r="N100" s="17">
        <f t="shared" si="17"/>
        <v>206</v>
      </c>
      <c r="O100" s="17">
        <f t="shared" si="17"/>
        <v>139</v>
      </c>
      <c r="P100" s="17">
        <f t="shared" si="17"/>
        <v>131</v>
      </c>
      <c r="Q100" s="17">
        <f t="shared" si="17"/>
        <v>134</v>
      </c>
      <c r="R100" s="17">
        <f t="shared" si="17"/>
        <v>144</v>
      </c>
      <c r="S100" s="17">
        <f t="shared" si="17"/>
        <v>134</v>
      </c>
      <c r="T100" s="17">
        <f t="shared" si="17"/>
        <v>183</v>
      </c>
      <c r="U100" s="17">
        <f t="shared" si="17"/>
        <v>147</v>
      </c>
      <c r="V100" s="17">
        <f t="shared" si="17"/>
        <v>85</v>
      </c>
      <c r="W100" s="17">
        <f t="shared" si="17"/>
        <v>102</v>
      </c>
      <c r="X100" s="17">
        <f t="shared" si="17"/>
        <v>79</v>
      </c>
      <c r="Y100" s="17">
        <f t="shared" si="17"/>
        <v>104</v>
      </c>
      <c r="Z100" s="17">
        <f t="shared" si="17"/>
        <v>102</v>
      </c>
      <c r="AA100" s="17">
        <f t="shared" si="17"/>
        <v>138</v>
      </c>
      <c r="AB100" s="17">
        <f t="shared" si="17"/>
        <v>171</v>
      </c>
      <c r="AC100" s="17">
        <f t="shared" si="17"/>
        <v>107</v>
      </c>
      <c r="AD100" s="17">
        <f t="shared" si="17"/>
        <v>115</v>
      </c>
      <c r="AE100" s="17">
        <f t="shared" si="17"/>
        <v>105</v>
      </c>
      <c r="AF100" s="18">
        <f t="shared" si="17"/>
        <v>174</v>
      </c>
      <c r="AG100" s="4">
        <f t="shared" si="13"/>
        <v>4269</v>
      </c>
    </row>
    <row r="101" spans="1:33" ht="18.75" x14ac:dyDescent="0.25">
      <c r="A101" s="48" t="s">
        <v>8</v>
      </c>
      <c r="B101" s="7">
        <v>25</v>
      </c>
      <c r="C101" s="7">
        <v>12</v>
      </c>
      <c r="D101" s="7">
        <v>15</v>
      </c>
      <c r="E101" s="7">
        <v>5</v>
      </c>
      <c r="F101" s="7">
        <v>19</v>
      </c>
      <c r="G101" s="7">
        <v>19</v>
      </c>
      <c r="H101" s="7">
        <v>15</v>
      </c>
      <c r="I101" s="7">
        <v>13</v>
      </c>
      <c r="J101" s="7">
        <v>15</v>
      </c>
      <c r="K101" s="7">
        <v>16</v>
      </c>
      <c r="L101" s="7">
        <v>12</v>
      </c>
      <c r="M101" s="7">
        <v>13</v>
      </c>
      <c r="N101" s="7">
        <v>17</v>
      </c>
      <c r="O101" s="7">
        <v>17</v>
      </c>
      <c r="P101" s="7">
        <v>25</v>
      </c>
      <c r="Q101" s="7">
        <v>14</v>
      </c>
      <c r="R101" s="7">
        <v>14</v>
      </c>
      <c r="S101" s="7">
        <v>15</v>
      </c>
      <c r="T101" s="7">
        <v>19</v>
      </c>
      <c r="U101" s="7">
        <v>6</v>
      </c>
      <c r="V101" s="7">
        <v>4</v>
      </c>
      <c r="W101" s="7">
        <v>6</v>
      </c>
      <c r="X101" s="7">
        <v>10</v>
      </c>
      <c r="Y101" s="7">
        <v>7</v>
      </c>
      <c r="Z101" s="7">
        <v>8</v>
      </c>
      <c r="AA101" s="7">
        <v>13</v>
      </c>
      <c r="AB101" s="7">
        <v>10</v>
      </c>
      <c r="AC101" s="7">
        <v>11</v>
      </c>
      <c r="AD101" s="7">
        <v>11</v>
      </c>
      <c r="AE101" s="7">
        <v>9</v>
      </c>
      <c r="AF101" s="8">
        <v>8</v>
      </c>
      <c r="AG101" s="4">
        <f t="shared" si="13"/>
        <v>403</v>
      </c>
    </row>
    <row r="102" spans="1:33" ht="18.75" x14ac:dyDescent="0.25">
      <c r="A102" s="48" t="s">
        <v>9</v>
      </c>
      <c r="B102" s="7">
        <v>19</v>
      </c>
      <c r="C102" s="7">
        <v>13</v>
      </c>
      <c r="D102" s="7">
        <v>16</v>
      </c>
      <c r="E102" s="7">
        <v>13</v>
      </c>
      <c r="F102" s="7">
        <v>21</v>
      </c>
      <c r="G102" s="7">
        <v>18</v>
      </c>
      <c r="H102" s="7">
        <v>20</v>
      </c>
      <c r="I102" s="7">
        <v>15</v>
      </c>
      <c r="J102" s="7">
        <v>22</v>
      </c>
      <c r="K102" s="7">
        <v>18</v>
      </c>
      <c r="L102" s="7">
        <v>18</v>
      </c>
      <c r="M102" s="7">
        <v>25</v>
      </c>
      <c r="N102" s="7">
        <v>30</v>
      </c>
      <c r="O102" s="7">
        <v>29</v>
      </c>
      <c r="P102" s="7">
        <v>15</v>
      </c>
      <c r="Q102" s="7">
        <v>8</v>
      </c>
      <c r="R102" s="7">
        <v>20</v>
      </c>
      <c r="S102" s="7">
        <v>13</v>
      </c>
      <c r="T102" s="7">
        <v>12</v>
      </c>
      <c r="U102" s="7">
        <v>12</v>
      </c>
      <c r="V102" s="7">
        <v>7</v>
      </c>
      <c r="W102" s="7">
        <v>9</v>
      </c>
      <c r="X102" s="7">
        <v>7</v>
      </c>
      <c r="Y102" s="7">
        <v>9</v>
      </c>
      <c r="Z102" s="7">
        <v>7</v>
      </c>
      <c r="AA102" s="7">
        <v>8</v>
      </c>
      <c r="AB102" s="7">
        <v>15</v>
      </c>
      <c r="AC102" s="7">
        <v>15</v>
      </c>
      <c r="AD102" s="7">
        <v>16</v>
      </c>
      <c r="AE102" s="7">
        <v>8</v>
      </c>
      <c r="AF102" s="8">
        <v>16</v>
      </c>
      <c r="AG102" s="4">
        <f t="shared" si="13"/>
        <v>474</v>
      </c>
    </row>
    <row r="103" spans="1:33" ht="18.75" x14ac:dyDescent="0.25">
      <c r="A103" s="49" t="s">
        <v>10</v>
      </c>
      <c r="B103" s="7">
        <v>12</v>
      </c>
      <c r="C103" s="7">
        <v>10</v>
      </c>
      <c r="D103" s="7">
        <v>13</v>
      </c>
      <c r="E103" s="7">
        <v>9</v>
      </c>
      <c r="F103" s="7">
        <v>8</v>
      </c>
      <c r="G103" s="7">
        <v>18</v>
      </c>
      <c r="H103" s="7">
        <v>17</v>
      </c>
      <c r="I103" s="7">
        <v>11</v>
      </c>
      <c r="J103" s="7">
        <v>17</v>
      </c>
      <c r="K103" s="7">
        <v>10</v>
      </c>
      <c r="L103" s="7">
        <v>15</v>
      </c>
      <c r="M103" s="7">
        <v>14</v>
      </c>
      <c r="N103" s="7">
        <v>17</v>
      </c>
      <c r="O103" s="7">
        <v>11</v>
      </c>
      <c r="P103" s="7">
        <v>11</v>
      </c>
      <c r="Q103" s="7">
        <v>15</v>
      </c>
      <c r="R103" s="7">
        <v>15</v>
      </c>
      <c r="S103" s="7">
        <v>15</v>
      </c>
      <c r="T103" s="7">
        <v>10</v>
      </c>
      <c r="U103" s="7">
        <v>14</v>
      </c>
      <c r="V103" s="7">
        <v>7</v>
      </c>
      <c r="W103" s="7">
        <v>16</v>
      </c>
      <c r="X103" s="7">
        <v>7</v>
      </c>
      <c r="Y103" s="7">
        <v>9</v>
      </c>
      <c r="Z103" s="7">
        <v>9</v>
      </c>
      <c r="AA103" s="7">
        <v>13</v>
      </c>
      <c r="AB103" s="7">
        <v>14</v>
      </c>
      <c r="AC103" s="7">
        <v>8</v>
      </c>
      <c r="AD103" s="7">
        <v>13</v>
      </c>
      <c r="AE103" s="7">
        <v>13</v>
      </c>
      <c r="AF103" s="8">
        <v>20</v>
      </c>
      <c r="AG103" s="4">
        <f t="shared" si="13"/>
        <v>391</v>
      </c>
    </row>
    <row r="104" spans="1:33" ht="18.75" x14ac:dyDescent="0.25">
      <c r="A104" s="49" t="s">
        <v>11</v>
      </c>
      <c r="B104" s="7">
        <v>6</v>
      </c>
      <c r="C104" s="7">
        <v>12</v>
      </c>
      <c r="D104" s="7">
        <v>7</v>
      </c>
      <c r="E104" s="7">
        <v>4</v>
      </c>
      <c r="F104" s="7">
        <v>14</v>
      </c>
      <c r="G104" s="7">
        <v>16</v>
      </c>
      <c r="H104" s="7">
        <v>7</v>
      </c>
      <c r="I104" s="7">
        <v>13</v>
      </c>
      <c r="J104" s="7">
        <v>17</v>
      </c>
      <c r="K104" s="7">
        <v>11</v>
      </c>
      <c r="L104" s="7">
        <v>5</v>
      </c>
      <c r="M104" s="7">
        <v>18</v>
      </c>
      <c r="N104" s="7">
        <v>19</v>
      </c>
      <c r="O104" s="7">
        <v>12</v>
      </c>
      <c r="P104" s="7">
        <v>3</v>
      </c>
      <c r="Q104" s="7">
        <v>16</v>
      </c>
      <c r="R104" s="7">
        <v>7</v>
      </c>
      <c r="S104" s="7">
        <v>5</v>
      </c>
      <c r="T104" s="7">
        <v>16</v>
      </c>
      <c r="U104" s="7">
        <v>14</v>
      </c>
      <c r="V104" s="7">
        <v>9</v>
      </c>
      <c r="W104" s="7">
        <v>7</v>
      </c>
      <c r="X104" s="7">
        <v>4</v>
      </c>
      <c r="Y104" s="7">
        <v>8</v>
      </c>
      <c r="Z104" s="7">
        <v>3</v>
      </c>
      <c r="AA104" s="7">
        <v>9</v>
      </c>
      <c r="AB104" s="7">
        <v>15</v>
      </c>
      <c r="AC104" s="7">
        <v>4</v>
      </c>
      <c r="AD104" s="7">
        <v>9</v>
      </c>
      <c r="AE104" s="7">
        <v>7</v>
      </c>
      <c r="AF104" s="8">
        <v>11</v>
      </c>
      <c r="AG104" s="4">
        <f t="shared" si="13"/>
        <v>308</v>
      </c>
    </row>
    <row r="105" spans="1:33" ht="18.75" x14ac:dyDescent="0.25">
      <c r="A105" s="49" t="s">
        <v>12</v>
      </c>
      <c r="B105" s="7">
        <v>15</v>
      </c>
      <c r="C105" s="7">
        <v>16</v>
      </c>
      <c r="D105" s="7">
        <v>4</v>
      </c>
      <c r="E105" s="7">
        <v>13</v>
      </c>
      <c r="F105" s="7">
        <v>17</v>
      </c>
      <c r="G105" s="7">
        <v>4</v>
      </c>
      <c r="H105" s="7">
        <v>16</v>
      </c>
      <c r="I105" s="7">
        <v>7</v>
      </c>
      <c r="J105" s="7">
        <v>8</v>
      </c>
      <c r="K105" s="7">
        <v>9</v>
      </c>
      <c r="L105" s="7">
        <v>10</v>
      </c>
      <c r="M105" s="7">
        <v>16</v>
      </c>
      <c r="N105" s="7">
        <v>14</v>
      </c>
      <c r="O105" s="7">
        <v>7</v>
      </c>
      <c r="P105" s="7">
        <v>10</v>
      </c>
      <c r="Q105" s="7">
        <v>10</v>
      </c>
      <c r="R105" s="7">
        <v>6</v>
      </c>
      <c r="S105" s="7">
        <v>5</v>
      </c>
      <c r="T105" s="7">
        <v>13</v>
      </c>
      <c r="U105" s="7">
        <v>10</v>
      </c>
      <c r="V105" s="7">
        <v>5</v>
      </c>
      <c r="W105" s="7">
        <v>5</v>
      </c>
      <c r="X105" s="7">
        <v>2</v>
      </c>
      <c r="Y105" s="7">
        <v>3</v>
      </c>
      <c r="Z105" s="7">
        <v>5</v>
      </c>
      <c r="AA105" s="7">
        <v>9</v>
      </c>
      <c r="AB105" s="7">
        <v>11</v>
      </c>
      <c r="AC105" s="7">
        <v>5</v>
      </c>
      <c r="AD105" s="7">
        <v>5</v>
      </c>
      <c r="AE105" s="7">
        <v>5</v>
      </c>
      <c r="AF105" s="8">
        <v>14</v>
      </c>
      <c r="AG105" s="4">
        <f t="shared" si="13"/>
        <v>279</v>
      </c>
    </row>
    <row r="106" spans="1:33" ht="18.75" x14ac:dyDescent="0.25">
      <c r="A106" s="49" t="s">
        <v>13</v>
      </c>
      <c r="B106" s="7">
        <v>12</v>
      </c>
      <c r="C106" s="7">
        <v>10</v>
      </c>
      <c r="D106" s="7">
        <v>6</v>
      </c>
      <c r="E106" s="7">
        <v>4</v>
      </c>
      <c r="F106" s="7">
        <v>11</v>
      </c>
      <c r="G106" s="7">
        <v>12</v>
      </c>
      <c r="H106" s="7">
        <v>10</v>
      </c>
      <c r="I106" s="7">
        <v>4</v>
      </c>
      <c r="J106" s="7">
        <v>7</v>
      </c>
      <c r="K106" s="7">
        <v>5</v>
      </c>
      <c r="L106" s="7">
        <v>9</v>
      </c>
      <c r="M106" s="7">
        <v>7</v>
      </c>
      <c r="N106" s="7">
        <v>19</v>
      </c>
      <c r="O106" s="7">
        <v>11</v>
      </c>
      <c r="P106" s="7">
        <v>14</v>
      </c>
      <c r="Q106" s="7">
        <v>11</v>
      </c>
      <c r="R106" s="7">
        <v>7</v>
      </c>
      <c r="S106" s="7">
        <v>11</v>
      </c>
      <c r="T106" s="7">
        <v>8</v>
      </c>
      <c r="U106" s="7">
        <v>12</v>
      </c>
      <c r="V106" s="7">
        <v>5</v>
      </c>
      <c r="W106" s="7">
        <v>9</v>
      </c>
      <c r="X106" s="7">
        <v>3</v>
      </c>
      <c r="Y106" s="7">
        <v>10</v>
      </c>
      <c r="Z106" s="7">
        <v>9</v>
      </c>
      <c r="AA106" s="7">
        <v>13</v>
      </c>
      <c r="AB106" s="7">
        <v>13</v>
      </c>
      <c r="AC106" s="7">
        <v>7</v>
      </c>
      <c r="AD106" s="7">
        <v>8</v>
      </c>
      <c r="AE106" s="7">
        <v>6</v>
      </c>
      <c r="AF106" s="8">
        <v>14</v>
      </c>
      <c r="AG106" s="4">
        <f t="shared" si="13"/>
        <v>287</v>
      </c>
    </row>
    <row r="107" spans="1:33" ht="18.75" x14ac:dyDescent="0.25">
      <c r="A107" s="49" t="s">
        <v>14</v>
      </c>
      <c r="B107" s="7">
        <v>7</v>
      </c>
      <c r="C107" s="7">
        <v>10</v>
      </c>
      <c r="D107" s="7">
        <v>13</v>
      </c>
      <c r="E107" s="7">
        <v>13</v>
      </c>
      <c r="F107" s="7">
        <v>12</v>
      </c>
      <c r="G107" s="7">
        <v>12</v>
      </c>
      <c r="H107" s="7">
        <v>11</v>
      </c>
      <c r="I107" s="7">
        <v>17</v>
      </c>
      <c r="J107" s="7">
        <v>9</v>
      </c>
      <c r="K107" s="7">
        <v>11</v>
      </c>
      <c r="L107" s="7">
        <v>11</v>
      </c>
      <c r="M107" s="7">
        <v>21</v>
      </c>
      <c r="N107" s="7">
        <v>15</v>
      </c>
      <c r="O107" s="7">
        <v>9</v>
      </c>
      <c r="P107" s="7">
        <v>9</v>
      </c>
      <c r="Q107" s="7">
        <v>9</v>
      </c>
      <c r="R107" s="7">
        <v>18</v>
      </c>
      <c r="S107" s="7">
        <v>9</v>
      </c>
      <c r="T107" s="7">
        <v>16</v>
      </c>
      <c r="U107" s="7">
        <v>15</v>
      </c>
      <c r="V107" s="7">
        <v>7</v>
      </c>
      <c r="W107" s="7">
        <v>8</v>
      </c>
      <c r="X107" s="7">
        <v>10</v>
      </c>
      <c r="Y107" s="7">
        <v>5</v>
      </c>
      <c r="Z107" s="7">
        <v>12</v>
      </c>
      <c r="AA107" s="7">
        <v>8</v>
      </c>
      <c r="AB107" s="7">
        <v>19</v>
      </c>
      <c r="AC107" s="7">
        <v>5</v>
      </c>
      <c r="AD107" s="7">
        <v>10</v>
      </c>
      <c r="AE107" s="7">
        <v>8</v>
      </c>
      <c r="AF107" s="8">
        <v>13</v>
      </c>
      <c r="AG107" s="4">
        <f t="shared" si="13"/>
        <v>352</v>
      </c>
    </row>
    <row r="108" spans="1:33" ht="18.75" x14ac:dyDescent="0.25">
      <c r="A108" s="49" t="s">
        <v>15</v>
      </c>
      <c r="B108" s="7">
        <v>3</v>
      </c>
      <c r="C108" s="7">
        <v>9</v>
      </c>
      <c r="D108" s="7">
        <v>11</v>
      </c>
      <c r="E108" s="7">
        <v>7</v>
      </c>
      <c r="F108" s="7">
        <v>13</v>
      </c>
      <c r="G108" s="7">
        <v>14</v>
      </c>
      <c r="H108" s="7">
        <v>14</v>
      </c>
      <c r="I108" s="7">
        <v>5</v>
      </c>
      <c r="J108" s="7">
        <v>8</v>
      </c>
      <c r="K108" s="7">
        <v>6</v>
      </c>
      <c r="L108" s="7">
        <v>13</v>
      </c>
      <c r="M108" s="7">
        <v>12</v>
      </c>
      <c r="N108" s="7">
        <v>11</v>
      </c>
      <c r="O108" s="7">
        <v>8</v>
      </c>
      <c r="P108" s="7">
        <v>10</v>
      </c>
      <c r="Q108" s="7">
        <v>13</v>
      </c>
      <c r="R108" s="7">
        <v>12</v>
      </c>
      <c r="S108" s="7">
        <v>9</v>
      </c>
      <c r="T108" s="7">
        <v>21</v>
      </c>
      <c r="U108" s="7">
        <v>19</v>
      </c>
      <c r="V108" s="7">
        <v>7</v>
      </c>
      <c r="W108" s="7">
        <v>10</v>
      </c>
      <c r="X108" s="7">
        <v>8</v>
      </c>
      <c r="Y108" s="7">
        <v>11</v>
      </c>
      <c r="Z108" s="7">
        <v>16</v>
      </c>
      <c r="AA108" s="7">
        <v>14</v>
      </c>
      <c r="AB108" s="7">
        <v>22</v>
      </c>
      <c r="AC108" s="7">
        <v>14</v>
      </c>
      <c r="AD108" s="7">
        <v>13</v>
      </c>
      <c r="AE108" s="7">
        <v>11</v>
      </c>
      <c r="AF108" s="8">
        <v>16</v>
      </c>
      <c r="AG108" s="4">
        <f t="shared" si="13"/>
        <v>360</v>
      </c>
    </row>
    <row r="109" spans="1:33" ht="18.75" x14ac:dyDescent="0.25">
      <c r="A109" s="49" t="s">
        <v>16</v>
      </c>
      <c r="B109" s="7">
        <v>9</v>
      </c>
      <c r="C109" s="7">
        <v>10</v>
      </c>
      <c r="D109" s="7">
        <v>2</v>
      </c>
      <c r="E109" s="7">
        <v>8</v>
      </c>
      <c r="F109" s="7">
        <v>15</v>
      </c>
      <c r="G109" s="7">
        <v>25</v>
      </c>
      <c r="H109" s="7">
        <v>10</v>
      </c>
      <c r="I109" s="7">
        <v>11</v>
      </c>
      <c r="J109" s="7">
        <v>5</v>
      </c>
      <c r="K109" s="7">
        <v>10</v>
      </c>
      <c r="L109" s="7">
        <v>12</v>
      </c>
      <c r="M109" s="7">
        <v>18</v>
      </c>
      <c r="N109" s="7">
        <v>10</v>
      </c>
      <c r="O109" s="7">
        <v>11</v>
      </c>
      <c r="P109" s="7">
        <v>9</v>
      </c>
      <c r="Q109" s="7">
        <v>9</v>
      </c>
      <c r="R109" s="7">
        <v>14</v>
      </c>
      <c r="S109" s="7">
        <v>18</v>
      </c>
      <c r="T109" s="7">
        <v>18</v>
      </c>
      <c r="U109" s="7">
        <v>6</v>
      </c>
      <c r="V109" s="7">
        <v>10</v>
      </c>
      <c r="W109" s="7">
        <v>8</v>
      </c>
      <c r="X109" s="7">
        <v>10</v>
      </c>
      <c r="Y109" s="7">
        <v>9</v>
      </c>
      <c r="Z109" s="7">
        <v>5</v>
      </c>
      <c r="AA109" s="7">
        <v>7</v>
      </c>
      <c r="AB109" s="7">
        <v>7</v>
      </c>
      <c r="AC109" s="7">
        <v>5</v>
      </c>
      <c r="AD109" s="7">
        <v>7</v>
      </c>
      <c r="AE109" s="7">
        <v>9</v>
      </c>
      <c r="AF109" s="8">
        <v>14</v>
      </c>
      <c r="AG109" s="4">
        <f t="shared" si="13"/>
        <v>321</v>
      </c>
    </row>
    <row r="110" spans="1:33" ht="18.75" x14ac:dyDescent="0.25">
      <c r="A110" s="49" t="s">
        <v>17</v>
      </c>
      <c r="B110" s="7">
        <v>7</v>
      </c>
      <c r="C110" s="7">
        <v>11</v>
      </c>
      <c r="D110" s="7">
        <v>7</v>
      </c>
      <c r="E110" s="7">
        <v>5</v>
      </c>
      <c r="F110" s="7">
        <v>15</v>
      </c>
      <c r="G110" s="7">
        <v>19</v>
      </c>
      <c r="H110" s="7">
        <v>13</v>
      </c>
      <c r="I110" s="7">
        <v>9</v>
      </c>
      <c r="J110" s="7">
        <v>3</v>
      </c>
      <c r="K110" s="7">
        <v>14</v>
      </c>
      <c r="L110" s="7">
        <v>9</v>
      </c>
      <c r="M110" s="7">
        <v>14</v>
      </c>
      <c r="N110" s="7">
        <v>16</v>
      </c>
      <c r="O110" s="7">
        <v>6</v>
      </c>
      <c r="P110" s="7">
        <v>4</v>
      </c>
      <c r="Q110" s="7">
        <v>10</v>
      </c>
      <c r="R110" s="7">
        <v>8</v>
      </c>
      <c r="S110" s="7">
        <v>11</v>
      </c>
      <c r="T110" s="7">
        <v>14</v>
      </c>
      <c r="U110" s="7">
        <v>13</v>
      </c>
      <c r="V110" s="7">
        <v>6</v>
      </c>
      <c r="W110" s="7">
        <v>6</v>
      </c>
      <c r="X110" s="7">
        <v>3</v>
      </c>
      <c r="Y110" s="7">
        <v>9</v>
      </c>
      <c r="Z110" s="7">
        <v>2</v>
      </c>
      <c r="AA110" s="7">
        <v>12</v>
      </c>
      <c r="AB110" s="7">
        <v>10</v>
      </c>
      <c r="AC110" s="7">
        <v>7</v>
      </c>
      <c r="AD110" s="7">
        <v>7</v>
      </c>
      <c r="AE110" s="7">
        <v>6</v>
      </c>
      <c r="AF110" s="8">
        <v>10</v>
      </c>
      <c r="AG110" s="4">
        <f t="shared" si="13"/>
        <v>286</v>
      </c>
    </row>
    <row r="111" spans="1:33" ht="18.75" x14ac:dyDescent="0.25">
      <c r="A111" s="49" t="s">
        <v>18</v>
      </c>
      <c r="B111" s="7">
        <v>8</v>
      </c>
      <c r="C111" s="7">
        <v>7</v>
      </c>
      <c r="D111" s="7">
        <v>8</v>
      </c>
      <c r="E111" s="7">
        <v>6</v>
      </c>
      <c r="F111" s="7">
        <v>10</v>
      </c>
      <c r="G111" s="7">
        <v>11</v>
      </c>
      <c r="H111" s="7">
        <v>8</v>
      </c>
      <c r="I111" s="7">
        <v>8</v>
      </c>
      <c r="J111" s="7">
        <v>7</v>
      </c>
      <c r="K111" s="7">
        <v>8</v>
      </c>
      <c r="L111" s="7">
        <v>11</v>
      </c>
      <c r="M111" s="7">
        <v>9</v>
      </c>
      <c r="N111" s="7">
        <v>11</v>
      </c>
      <c r="O111" s="7">
        <v>9</v>
      </c>
      <c r="P111" s="7">
        <v>6</v>
      </c>
      <c r="Q111" s="7">
        <v>6</v>
      </c>
      <c r="R111" s="7">
        <v>8</v>
      </c>
      <c r="S111" s="7">
        <v>5</v>
      </c>
      <c r="T111" s="7">
        <v>5</v>
      </c>
      <c r="U111" s="7">
        <v>5</v>
      </c>
      <c r="V111" s="7">
        <v>7</v>
      </c>
      <c r="W111" s="7">
        <v>5</v>
      </c>
      <c r="X111" s="7">
        <v>5</v>
      </c>
      <c r="Y111" s="7">
        <v>10</v>
      </c>
      <c r="Z111" s="7">
        <v>6</v>
      </c>
      <c r="AA111" s="7">
        <v>10</v>
      </c>
      <c r="AB111" s="7">
        <v>18</v>
      </c>
      <c r="AC111" s="7">
        <v>8</v>
      </c>
      <c r="AD111" s="7">
        <v>4</v>
      </c>
      <c r="AE111" s="7">
        <v>6</v>
      </c>
      <c r="AF111" s="8">
        <v>11</v>
      </c>
      <c r="AG111" s="4">
        <f t="shared" si="13"/>
        <v>246</v>
      </c>
    </row>
    <row r="112" spans="1:33" ht="18.75" x14ac:dyDescent="0.25">
      <c r="A112" s="49" t="s">
        <v>19</v>
      </c>
      <c r="B112" s="7">
        <v>6</v>
      </c>
      <c r="C112" s="7">
        <v>7</v>
      </c>
      <c r="D112" s="7">
        <v>9</v>
      </c>
      <c r="E112" s="7">
        <v>6</v>
      </c>
      <c r="F112" s="7">
        <v>4</v>
      </c>
      <c r="G112" s="7">
        <v>14</v>
      </c>
      <c r="H112" s="7">
        <v>7</v>
      </c>
      <c r="I112" s="7">
        <v>3</v>
      </c>
      <c r="J112" s="7">
        <v>7</v>
      </c>
      <c r="K112" s="7">
        <v>7</v>
      </c>
      <c r="L112" s="7">
        <v>8</v>
      </c>
      <c r="M112" s="7">
        <v>14</v>
      </c>
      <c r="N112" s="7">
        <v>12</v>
      </c>
      <c r="O112" s="7">
        <v>4</v>
      </c>
      <c r="P112" s="7">
        <v>6</v>
      </c>
      <c r="Q112" s="7">
        <v>9</v>
      </c>
      <c r="R112" s="7">
        <v>2</v>
      </c>
      <c r="S112" s="7">
        <v>5</v>
      </c>
      <c r="T112" s="7">
        <v>12</v>
      </c>
      <c r="U112" s="7">
        <v>7</v>
      </c>
      <c r="V112" s="7">
        <v>1</v>
      </c>
      <c r="W112" s="7">
        <v>2</v>
      </c>
      <c r="X112" s="7">
        <v>2</v>
      </c>
      <c r="Y112" s="7">
        <v>4</v>
      </c>
      <c r="Z112" s="7">
        <v>8</v>
      </c>
      <c r="AA112" s="7">
        <v>7</v>
      </c>
      <c r="AB112" s="7">
        <v>5</v>
      </c>
      <c r="AC112" s="7">
        <v>8</v>
      </c>
      <c r="AD112" s="7">
        <v>3</v>
      </c>
      <c r="AE112" s="7">
        <v>6</v>
      </c>
      <c r="AF112" s="8">
        <v>11</v>
      </c>
      <c r="AG112" s="4">
        <f>SUM(B112:AF112)</f>
        <v>206</v>
      </c>
    </row>
    <row r="113" spans="1:33" ht="18.75" x14ac:dyDescent="0.25">
      <c r="A113" s="49" t="s">
        <v>20</v>
      </c>
      <c r="B113" s="7">
        <v>3</v>
      </c>
      <c r="C113" s="7">
        <v>3</v>
      </c>
      <c r="D113" s="7">
        <v>1</v>
      </c>
      <c r="E113" s="7">
        <v>8</v>
      </c>
      <c r="F113" s="7">
        <v>6</v>
      </c>
      <c r="G113" s="7">
        <v>5</v>
      </c>
      <c r="H113" s="7">
        <v>2</v>
      </c>
      <c r="I113" s="7">
        <v>6</v>
      </c>
      <c r="J113" s="7">
        <v>4</v>
      </c>
      <c r="K113" s="7">
        <v>3</v>
      </c>
      <c r="L113" s="7">
        <v>5</v>
      </c>
      <c r="M113" s="7">
        <v>6</v>
      </c>
      <c r="N113" s="7">
        <v>7</v>
      </c>
      <c r="O113" s="7">
        <v>1</v>
      </c>
      <c r="P113" s="7">
        <v>3</v>
      </c>
      <c r="Q113" s="7">
        <v>1</v>
      </c>
      <c r="R113" s="7">
        <v>4</v>
      </c>
      <c r="S113" s="7">
        <v>4</v>
      </c>
      <c r="T113" s="7">
        <v>8</v>
      </c>
      <c r="U113" s="7">
        <v>8</v>
      </c>
      <c r="V113" s="7">
        <v>2</v>
      </c>
      <c r="W113" s="7">
        <v>2</v>
      </c>
      <c r="X113" s="7">
        <v>5</v>
      </c>
      <c r="Y113" s="7">
        <v>4</v>
      </c>
      <c r="Z113" s="7">
        <v>6</v>
      </c>
      <c r="AA113" s="7">
        <v>11</v>
      </c>
      <c r="AB113" s="7">
        <v>4</v>
      </c>
      <c r="AC113" s="7">
        <v>6</v>
      </c>
      <c r="AD113" s="7">
        <v>6</v>
      </c>
      <c r="AE113" s="7">
        <v>4</v>
      </c>
      <c r="AF113" s="8">
        <v>7</v>
      </c>
      <c r="AG113" s="4">
        <f t="shared" si="13"/>
        <v>145</v>
      </c>
    </row>
    <row r="114" spans="1:33" ht="18.75" x14ac:dyDescent="0.25">
      <c r="A114" s="49" t="s">
        <v>21</v>
      </c>
      <c r="B114" s="7">
        <v>4</v>
      </c>
      <c r="C114" s="7">
        <v>4</v>
      </c>
      <c r="D114" s="7">
        <v>3</v>
      </c>
      <c r="E114" s="7">
        <v>11</v>
      </c>
      <c r="F114" s="7">
        <v>15</v>
      </c>
      <c r="G114" s="7">
        <v>7</v>
      </c>
      <c r="H114" s="7">
        <v>5</v>
      </c>
      <c r="I114" s="7">
        <v>6</v>
      </c>
      <c r="J114" s="7">
        <v>4</v>
      </c>
      <c r="K114" s="7">
        <v>10</v>
      </c>
      <c r="L114" s="7">
        <v>8</v>
      </c>
      <c r="M114" s="7">
        <v>5</v>
      </c>
      <c r="N114" s="7">
        <v>8</v>
      </c>
      <c r="O114" s="7">
        <v>4</v>
      </c>
      <c r="P114" s="7">
        <v>6</v>
      </c>
      <c r="Q114" s="7">
        <v>3</v>
      </c>
      <c r="R114" s="7">
        <v>9</v>
      </c>
      <c r="S114" s="7">
        <v>9</v>
      </c>
      <c r="T114" s="7">
        <v>11</v>
      </c>
      <c r="U114" s="7">
        <v>6</v>
      </c>
      <c r="V114" s="7">
        <v>8</v>
      </c>
      <c r="W114" s="7">
        <v>9</v>
      </c>
      <c r="X114" s="7">
        <v>3</v>
      </c>
      <c r="Y114" s="7">
        <v>6</v>
      </c>
      <c r="Z114" s="7">
        <v>6</v>
      </c>
      <c r="AA114" s="7">
        <v>4</v>
      </c>
      <c r="AB114" s="7">
        <v>8</v>
      </c>
      <c r="AC114" s="7">
        <v>4</v>
      </c>
      <c r="AD114" s="7">
        <v>3</v>
      </c>
      <c r="AE114" s="7">
        <v>7</v>
      </c>
      <c r="AF114" s="8">
        <v>9</v>
      </c>
      <c r="AG114" s="4">
        <f t="shared" si="13"/>
        <v>205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>
        <v>6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6</v>
      </c>
    </row>
    <row r="116" spans="1:33" ht="18.75" x14ac:dyDescent="0.25">
      <c r="A116" s="73" t="s">
        <v>61</v>
      </c>
      <c r="B116" s="74">
        <f t="shared" ref="B116:AF116" si="18">SUM(B117:B129)</f>
        <v>74</v>
      </c>
      <c r="C116" s="74">
        <f t="shared" si="18"/>
        <v>91</v>
      </c>
      <c r="D116" s="74">
        <f t="shared" si="18"/>
        <v>68</v>
      </c>
      <c r="E116" s="74">
        <f t="shared" si="18"/>
        <v>79</v>
      </c>
      <c r="F116" s="74">
        <f t="shared" si="18"/>
        <v>101</v>
      </c>
      <c r="G116" s="74">
        <f t="shared" si="18"/>
        <v>108</v>
      </c>
      <c r="H116" s="74">
        <f t="shared" si="18"/>
        <v>94</v>
      </c>
      <c r="I116" s="74">
        <f t="shared" si="18"/>
        <v>82</v>
      </c>
      <c r="J116" s="74">
        <f t="shared" si="18"/>
        <v>85</v>
      </c>
      <c r="K116" s="74">
        <f t="shared" si="18"/>
        <v>96</v>
      </c>
      <c r="L116" s="74">
        <f t="shared" si="18"/>
        <v>79</v>
      </c>
      <c r="M116" s="74">
        <f t="shared" si="18"/>
        <v>108</v>
      </c>
      <c r="N116" s="74">
        <f t="shared" si="18"/>
        <v>123</v>
      </c>
      <c r="O116" s="74">
        <f t="shared" si="18"/>
        <v>95</v>
      </c>
      <c r="P116" s="74">
        <f t="shared" si="18"/>
        <v>86</v>
      </c>
      <c r="Q116" s="74">
        <f t="shared" si="18"/>
        <v>88</v>
      </c>
      <c r="R116" s="74">
        <f t="shared" si="18"/>
        <v>79</v>
      </c>
      <c r="S116" s="74">
        <f t="shared" si="18"/>
        <v>77</v>
      </c>
      <c r="T116" s="74">
        <f t="shared" si="18"/>
        <v>115</v>
      </c>
      <c r="U116" s="74">
        <f t="shared" si="18"/>
        <v>91</v>
      </c>
      <c r="V116" s="74">
        <f t="shared" si="18"/>
        <v>53</v>
      </c>
      <c r="W116" s="74">
        <f t="shared" si="18"/>
        <v>51</v>
      </c>
      <c r="X116" s="74">
        <f t="shared" si="18"/>
        <v>43</v>
      </c>
      <c r="Y116" s="74">
        <f t="shared" si="18"/>
        <v>56</v>
      </c>
      <c r="Z116" s="74">
        <f t="shared" si="18"/>
        <v>68</v>
      </c>
      <c r="AA116" s="74">
        <f t="shared" si="18"/>
        <v>86</v>
      </c>
      <c r="AB116" s="74">
        <f t="shared" si="18"/>
        <v>91</v>
      </c>
      <c r="AC116" s="74">
        <f t="shared" si="18"/>
        <v>61</v>
      </c>
      <c r="AD116" s="74">
        <f t="shared" si="18"/>
        <v>75</v>
      </c>
      <c r="AE116" s="74">
        <f t="shared" si="18"/>
        <v>60</v>
      </c>
      <c r="AF116" s="84">
        <f t="shared" si="18"/>
        <v>96</v>
      </c>
      <c r="AG116" s="4">
        <f t="shared" si="13"/>
        <v>2559</v>
      </c>
    </row>
    <row r="117" spans="1:33" ht="18.75" x14ac:dyDescent="0.25">
      <c r="A117" s="43" t="s">
        <v>59</v>
      </c>
      <c r="B117" s="7">
        <v>54</v>
      </c>
      <c r="C117" s="7">
        <v>64</v>
      </c>
      <c r="D117" s="7">
        <v>51</v>
      </c>
      <c r="E117" s="7">
        <v>57</v>
      </c>
      <c r="F117" s="7">
        <v>74</v>
      </c>
      <c r="G117" s="7">
        <v>84</v>
      </c>
      <c r="H117" s="7">
        <v>66</v>
      </c>
      <c r="I117" s="7">
        <v>56</v>
      </c>
      <c r="J117" s="7">
        <v>58</v>
      </c>
      <c r="K117" s="7">
        <v>66</v>
      </c>
      <c r="L117" s="7">
        <v>57</v>
      </c>
      <c r="M117" s="7">
        <v>73</v>
      </c>
      <c r="N117" s="7">
        <v>85</v>
      </c>
      <c r="O117" s="7">
        <v>63</v>
      </c>
      <c r="P117" s="7">
        <v>66</v>
      </c>
      <c r="Q117" s="7">
        <v>68</v>
      </c>
      <c r="R117" s="7">
        <v>58</v>
      </c>
      <c r="S117" s="7">
        <v>63</v>
      </c>
      <c r="T117" s="7">
        <v>92</v>
      </c>
      <c r="U117" s="7">
        <v>72</v>
      </c>
      <c r="V117" s="7">
        <v>37</v>
      </c>
      <c r="W117" s="7">
        <v>42</v>
      </c>
      <c r="X117" s="7">
        <v>32</v>
      </c>
      <c r="Y117" s="7">
        <v>39</v>
      </c>
      <c r="Z117" s="7">
        <v>54</v>
      </c>
      <c r="AA117" s="7">
        <v>65</v>
      </c>
      <c r="AB117" s="7">
        <v>72</v>
      </c>
      <c r="AC117" s="7">
        <v>43</v>
      </c>
      <c r="AD117" s="7">
        <v>59</v>
      </c>
      <c r="AE117" s="7">
        <v>53</v>
      </c>
      <c r="AF117" s="8">
        <v>66</v>
      </c>
      <c r="AG117" s="4">
        <f t="shared" si="13"/>
        <v>1889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12+8</f>
        <v>20</v>
      </c>
      <c r="C129" s="13">
        <f>13+14</f>
        <v>27</v>
      </c>
      <c r="D129" s="13">
        <f>8+9</f>
        <v>17</v>
      </c>
      <c r="E129" s="13">
        <f>8+14</f>
        <v>22</v>
      </c>
      <c r="F129" s="13">
        <f>17+10</f>
        <v>27</v>
      </c>
      <c r="G129" s="13">
        <f>10+14</f>
        <v>24</v>
      </c>
      <c r="H129" s="13">
        <f>1+17+10</f>
        <v>28</v>
      </c>
      <c r="I129" s="13">
        <f>17+9</f>
        <v>26</v>
      </c>
      <c r="J129" s="13">
        <f>9+18</f>
        <v>27</v>
      </c>
      <c r="K129" s="13">
        <f>14+16</f>
        <v>30</v>
      </c>
      <c r="L129" s="13">
        <f>4+18</f>
        <v>22</v>
      </c>
      <c r="M129" s="13">
        <f>18+17</f>
        <v>35</v>
      </c>
      <c r="N129" s="13">
        <f>24+14</f>
        <v>38</v>
      </c>
      <c r="O129" s="13">
        <f>13+1+18</f>
        <v>32</v>
      </c>
      <c r="P129" s="13">
        <f>11+9</f>
        <v>20</v>
      </c>
      <c r="Q129" s="13">
        <f>6+14</f>
        <v>20</v>
      </c>
      <c r="R129" s="13">
        <f>11+1+9</f>
        <v>21</v>
      </c>
      <c r="S129" s="13">
        <f>7+7</f>
        <v>14</v>
      </c>
      <c r="T129" s="13">
        <f>12+1+10</f>
        <v>23</v>
      </c>
      <c r="U129" s="13">
        <f>8+11</f>
        <v>19</v>
      </c>
      <c r="V129" s="13">
        <f>7+1+8</f>
        <v>16</v>
      </c>
      <c r="W129" s="13">
        <f>5+4</f>
        <v>9</v>
      </c>
      <c r="X129" s="13">
        <v>11</v>
      </c>
      <c r="Y129" s="13">
        <f>10+7</f>
        <v>17</v>
      </c>
      <c r="Z129" s="13">
        <f>9+5</f>
        <v>14</v>
      </c>
      <c r="AA129" s="13">
        <f>14+7</f>
        <v>21</v>
      </c>
      <c r="AB129" s="13">
        <f>4+15</f>
        <v>19</v>
      </c>
      <c r="AC129" s="13">
        <f>7+11</f>
        <v>18</v>
      </c>
      <c r="AD129" s="13">
        <f>11+5</f>
        <v>16</v>
      </c>
      <c r="AE129" s="13">
        <f>2+5</f>
        <v>7</v>
      </c>
      <c r="AF129" s="14">
        <f>11+19</f>
        <v>30</v>
      </c>
      <c r="AG129" s="4">
        <f t="shared" si="19"/>
        <v>670</v>
      </c>
    </row>
    <row r="130" spans="1:35" ht="18.75" x14ac:dyDescent="0.25">
      <c r="A130" s="73" t="s">
        <v>109</v>
      </c>
      <c r="B130" s="74">
        <f t="shared" ref="B130:AF130" si="20">SUM(B131:B143)</f>
        <v>160</v>
      </c>
      <c r="C130" s="74">
        <f t="shared" si="20"/>
        <v>166</v>
      </c>
      <c r="D130" s="74">
        <f t="shared" si="20"/>
        <v>141</v>
      </c>
      <c r="E130" s="74">
        <f t="shared" si="20"/>
        <v>129</v>
      </c>
      <c r="F130" s="74">
        <f t="shared" si="20"/>
        <v>222</v>
      </c>
      <c r="G130" s="74">
        <f t="shared" si="20"/>
        <v>242</v>
      </c>
      <c r="H130" s="74">
        <f t="shared" si="20"/>
        <v>193</v>
      </c>
      <c r="I130" s="74">
        <f t="shared" si="20"/>
        <v>174</v>
      </c>
      <c r="J130" s="74">
        <f t="shared" si="20"/>
        <v>185</v>
      </c>
      <c r="K130" s="74">
        <f t="shared" si="20"/>
        <v>172</v>
      </c>
      <c r="L130" s="74">
        <f t="shared" si="20"/>
        <v>177</v>
      </c>
      <c r="M130" s="74">
        <f t="shared" si="20"/>
        <v>247</v>
      </c>
      <c r="N130" s="74">
        <f t="shared" si="20"/>
        <v>266</v>
      </c>
      <c r="O130" s="74">
        <f t="shared" si="20"/>
        <v>194</v>
      </c>
      <c r="P130" s="74">
        <f t="shared" si="20"/>
        <v>157</v>
      </c>
      <c r="Q130" s="74">
        <f t="shared" si="20"/>
        <v>182</v>
      </c>
      <c r="R130" s="74">
        <f t="shared" si="20"/>
        <v>188</v>
      </c>
      <c r="S130" s="74">
        <f t="shared" si="20"/>
        <v>168</v>
      </c>
      <c r="T130" s="74">
        <f t="shared" si="20"/>
        <v>229</v>
      </c>
      <c r="U130" s="74">
        <f t="shared" si="20"/>
        <v>190</v>
      </c>
      <c r="V130" s="74">
        <f t="shared" si="20"/>
        <v>100</v>
      </c>
      <c r="W130" s="74">
        <f t="shared" si="20"/>
        <v>126</v>
      </c>
      <c r="X130" s="74">
        <f t="shared" si="20"/>
        <v>108</v>
      </c>
      <c r="Y130" s="74">
        <f t="shared" si="20"/>
        <v>127</v>
      </c>
      <c r="Z130" s="74">
        <f t="shared" si="20"/>
        <v>132</v>
      </c>
      <c r="AA130" s="74">
        <f t="shared" si="20"/>
        <v>164</v>
      </c>
      <c r="AB130" s="74">
        <f t="shared" si="20"/>
        <v>208</v>
      </c>
      <c r="AC130" s="74">
        <f t="shared" si="20"/>
        <v>119</v>
      </c>
      <c r="AD130" s="74">
        <f t="shared" si="20"/>
        <v>146</v>
      </c>
      <c r="AE130" s="74">
        <f t="shared" si="20"/>
        <v>128</v>
      </c>
      <c r="AF130" s="84">
        <f t="shared" si="20"/>
        <v>194</v>
      </c>
      <c r="AG130" s="150">
        <f t="shared" si="19"/>
        <v>5334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51</v>
      </c>
      <c r="C131" s="7">
        <v>56</v>
      </c>
      <c r="D131" s="7">
        <v>44</v>
      </c>
      <c r="E131" s="7">
        <v>45</v>
      </c>
      <c r="F131" s="7">
        <v>69</v>
      </c>
      <c r="G131" s="7">
        <v>83</v>
      </c>
      <c r="H131" s="7">
        <v>56</v>
      </c>
      <c r="I131" s="7">
        <v>50</v>
      </c>
      <c r="J131" s="7">
        <v>52</v>
      </c>
      <c r="K131" s="7">
        <v>58</v>
      </c>
      <c r="L131" s="7">
        <v>56</v>
      </c>
      <c r="M131" s="7">
        <v>73</v>
      </c>
      <c r="N131" s="7">
        <v>74</v>
      </c>
      <c r="O131" s="7">
        <v>59</v>
      </c>
      <c r="P131" s="7">
        <v>56</v>
      </c>
      <c r="Q131" s="7">
        <v>59</v>
      </c>
      <c r="R131" s="7">
        <v>52</v>
      </c>
      <c r="S131" s="7">
        <v>58</v>
      </c>
      <c r="T131" s="7">
        <v>88</v>
      </c>
      <c r="U131" s="7">
        <v>69</v>
      </c>
      <c r="V131" s="7">
        <v>37</v>
      </c>
      <c r="W131" s="7">
        <v>40</v>
      </c>
      <c r="X131" s="7">
        <v>32</v>
      </c>
      <c r="Y131" s="7">
        <v>37</v>
      </c>
      <c r="Z131" s="7">
        <v>50</v>
      </c>
      <c r="AA131" s="7">
        <v>58</v>
      </c>
      <c r="AB131" s="7">
        <v>70</v>
      </c>
      <c r="AC131" s="7">
        <v>39</v>
      </c>
      <c r="AD131" s="7">
        <v>58</v>
      </c>
      <c r="AE131" s="7">
        <v>47</v>
      </c>
      <c r="AF131" s="8">
        <v>61</v>
      </c>
      <c r="AG131" s="4">
        <f t="shared" si="19"/>
        <v>1737</v>
      </c>
    </row>
    <row r="132" spans="1:35" ht="18.75" x14ac:dyDescent="0.25">
      <c r="A132" s="43" t="s">
        <v>23</v>
      </c>
      <c r="B132" s="7">
        <v>10</v>
      </c>
      <c r="C132" s="7">
        <v>13</v>
      </c>
      <c r="D132" s="7">
        <v>9</v>
      </c>
      <c r="E132" s="7">
        <v>8</v>
      </c>
      <c r="F132" s="7">
        <v>15</v>
      </c>
      <c r="G132" s="7">
        <v>15</v>
      </c>
      <c r="H132" s="7">
        <v>10</v>
      </c>
      <c r="I132" s="7">
        <v>12</v>
      </c>
      <c r="J132" s="7">
        <v>11</v>
      </c>
      <c r="K132" s="7">
        <v>7</v>
      </c>
      <c r="L132" s="7">
        <v>10</v>
      </c>
      <c r="M132" s="7">
        <v>18</v>
      </c>
      <c r="N132" s="7">
        <v>18</v>
      </c>
      <c r="O132" s="7">
        <v>12</v>
      </c>
      <c r="P132" s="7">
        <v>3</v>
      </c>
      <c r="Q132" s="7">
        <v>11</v>
      </c>
      <c r="R132" s="7">
        <v>14</v>
      </c>
      <c r="S132" s="7">
        <v>12</v>
      </c>
      <c r="T132" s="7">
        <v>9</v>
      </c>
      <c r="U132" s="7">
        <v>12</v>
      </c>
      <c r="V132" s="7">
        <v>6</v>
      </c>
      <c r="W132" s="7">
        <v>9</v>
      </c>
      <c r="X132" s="7">
        <v>4</v>
      </c>
      <c r="Y132" s="7">
        <v>7</v>
      </c>
      <c r="Z132" s="7">
        <v>9</v>
      </c>
      <c r="AA132" s="7">
        <v>7</v>
      </c>
      <c r="AB132" s="7">
        <v>7</v>
      </c>
      <c r="AC132" s="7">
        <v>3</v>
      </c>
      <c r="AD132" s="7">
        <v>6</v>
      </c>
      <c r="AE132" s="7">
        <v>7</v>
      </c>
      <c r="AF132" s="8">
        <v>15</v>
      </c>
      <c r="AG132" s="4">
        <f t="shared" si="19"/>
        <v>309</v>
      </c>
    </row>
    <row r="133" spans="1:35" ht="18.75" x14ac:dyDescent="0.25">
      <c r="A133" s="43" t="s">
        <v>24</v>
      </c>
      <c r="B133" s="7">
        <v>8</v>
      </c>
      <c r="C133" s="7">
        <v>15</v>
      </c>
      <c r="D133" s="7">
        <v>6</v>
      </c>
      <c r="E133" s="7">
        <v>8</v>
      </c>
      <c r="F133" s="7">
        <v>10</v>
      </c>
      <c r="G133" s="7">
        <v>19</v>
      </c>
      <c r="H133" s="7">
        <v>12</v>
      </c>
      <c r="I133" s="7">
        <v>15</v>
      </c>
      <c r="J133" s="7">
        <v>14</v>
      </c>
      <c r="K133" s="7">
        <v>10</v>
      </c>
      <c r="L133" s="7">
        <v>9</v>
      </c>
      <c r="M133" s="7">
        <v>27</v>
      </c>
      <c r="N133" s="7">
        <v>23</v>
      </c>
      <c r="O133" s="7">
        <v>15</v>
      </c>
      <c r="P133" s="7">
        <v>9</v>
      </c>
      <c r="Q133" s="7">
        <v>15</v>
      </c>
      <c r="R133" s="7">
        <v>14</v>
      </c>
      <c r="S133" s="7">
        <v>11</v>
      </c>
      <c r="T133" s="7">
        <v>15</v>
      </c>
      <c r="U133" s="7">
        <v>12</v>
      </c>
      <c r="V133" s="7">
        <v>6</v>
      </c>
      <c r="W133" s="7">
        <v>7</v>
      </c>
      <c r="X133" s="7">
        <v>6</v>
      </c>
      <c r="Y133" s="7">
        <v>11</v>
      </c>
      <c r="Z133" s="7">
        <v>6</v>
      </c>
      <c r="AA133" s="7">
        <v>11</v>
      </c>
      <c r="AB133" s="7">
        <v>12</v>
      </c>
      <c r="AC133" s="7">
        <v>5</v>
      </c>
      <c r="AD133" s="7">
        <v>8</v>
      </c>
      <c r="AE133" s="7">
        <v>13</v>
      </c>
      <c r="AF133" s="8">
        <v>12</v>
      </c>
      <c r="AG133" s="4">
        <f t="shared" si="19"/>
        <v>364</v>
      </c>
    </row>
    <row r="134" spans="1:35" ht="18.75" x14ac:dyDescent="0.25">
      <c r="A134" s="43" t="s">
        <v>25</v>
      </c>
      <c r="B134" s="7">
        <f>11+1</f>
        <v>12</v>
      </c>
      <c r="C134" s="7">
        <v>5</v>
      </c>
      <c r="D134" s="7">
        <f>1+4</f>
        <v>5</v>
      </c>
      <c r="E134" s="7">
        <f>1+9</f>
        <v>10</v>
      </c>
      <c r="F134" s="7">
        <f>1+11</f>
        <v>12</v>
      </c>
      <c r="G134" s="7">
        <f>12+1</f>
        <v>13</v>
      </c>
      <c r="H134" s="7">
        <v>8</v>
      </c>
      <c r="I134" s="7">
        <v>8</v>
      </c>
      <c r="J134" s="7">
        <v>13</v>
      </c>
      <c r="K134" s="7">
        <v>10</v>
      </c>
      <c r="L134" s="7">
        <f>1+6</f>
        <v>7</v>
      </c>
      <c r="M134" s="7">
        <f>1+10</f>
        <v>11</v>
      </c>
      <c r="N134" s="7">
        <v>15</v>
      </c>
      <c r="O134" s="7">
        <f>2+9</f>
        <v>11</v>
      </c>
      <c r="P134" s="7">
        <f>1+10</f>
        <v>11</v>
      </c>
      <c r="Q134" s="7">
        <v>12</v>
      </c>
      <c r="R134" s="7">
        <v>10</v>
      </c>
      <c r="S134" s="7">
        <f>1+10</f>
        <v>11</v>
      </c>
      <c r="T134" s="7">
        <f>10+1</f>
        <v>11</v>
      </c>
      <c r="U134" s="7">
        <f>1+7</f>
        <v>8</v>
      </c>
      <c r="V134" s="7">
        <v>2</v>
      </c>
      <c r="W134" s="7">
        <v>2</v>
      </c>
      <c r="X134" s="7">
        <f>4+1</f>
        <v>5</v>
      </c>
      <c r="Y134" s="7">
        <v>11</v>
      </c>
      <c r="Z134" s="7">
        <f>2+8+1</f>
        <v>11</v>
      </c>
      <c r="AA134" s="7">
        <v>8</v>
      </c>
      <c r="AB134" s="7">
        <v>15</v>
      </c>
      <c r="AC134" s="7">
        <f>5+1</f>
        <v>6</v>
      </c>
      <c r="AD134" s="7">
        <v>8</v>
      </c>
      <c r="AE134" s="7">
        <v>7</v>
      </c>
      <c r="AF134" s="8">
        <v>13</v>
      </c>
      <c r="AG134" s="4">
        <f t="shared" ref="AG134:AG147" si="21">SUM(B134:AF134)</f>
        <v>291</v>
      </c>
    </row>
    <row r="135" spans="1:35" ht="18.75" x14ac:dyDescent="0.25">
      <c r="A135" s="43" t="s">
        <v>26</v>
      </c>
      <c r="B135" s="7">
        <v>5</v>
      </c>
      <c r="C135" s="7">
        <v>8</v>
      </c>
      <c r="D135" s="7">
        <v>8</v>
      </c>
      <c r="E135" s="7">
        <v>7</v>
      </c>
      <c r="F135" s="7">
        <v>14</v>
      </c>
      <c r="G135" s="7">
        <v>8</v>
      </c>
      <c r="H135" s="7">
        <v>10</v>
      </c>
      <c r="I135" s="7">
        <v>9</v>
      </c>
      <c r="J135" s="7">
        <v>17</v>
      </c>
      <c r="K135" s="7">
        <v>14</v>
      </c>
      <c r="L135" s="7">
        <v>16</v>
      </c>
      <c r="M135" s="7">
        <v>27</v>
      </c>
      <c r="N135" s="7">
        <v>17</v>
      </c>
      <c r="O135" s="7">
        <v>14</v>
      </c>
      <c r="P135" s="7">
        <v>14</v>
      </c>
      <c r="Q135" s="7">
        <v>12</v>
      </c>
      <c r="R135" s="7">
        <v>8</v>
      </c>
      <c r="S135" s="7">
        <v>11</v>
      </c>
      <c r="T135" s="7">
        <v>8</v>
      </c>
      <c r="U135" s="7">
        <v>18</v>
      </c>
      <c r="V135" s="7">
        <v>7</v>
      </c>
      <c r="W135" s="7">
        <v>7</v>
      </c>
      <c r="X135" s="7">
        <v>5</v>
      </c>
      <c r="Y135" s="7">
        <v>8</v>
      </c>
      <c r="Z135" s="7">
        <v>3</v>
      </c>
      <c r="AA135" s="7">
        <v>6</v>
      </c>
      <c r="AB135" s="7">
        <v>16</v>
      </c>
      <c r="AC135" s="7">
        <v>8</v>
      </c>
      <c r="AD135" s="7">
        <v>2</v>
      </c>
      <c r="AE135" s="7">
        <v>9</v>
      </c>
      <c r="AF135" s="8">
        <v>11</v>
      </c>
      <c r="AG135" s="4">
        <f t="shared" si="21"/>
        <v>327</v>
      </c>
    </row>
    <row r="136" spans="1:35" ht="18.75" x14ac:dyDescent="0.25">
      <c r="A136" s="43" t="s">
        <v>27</v>
      </c>
      <c r="B136" s="7">
        <v>30</v>
      </c>
      <c r="C136" s="7">
        <v>23</v>
      </c>
      <c r="D136" s="7">
        <v>31</v>
      </c>
      <c r="E136" s="7">
        <v>28</v>
      </c>
      <c r="F136" s="7">
        <v>37</v>
      </c>
      <c r="G136" s="7">
        <v>41</v>
      </c>
      <c r="H136" s="7">
        <v>39</v>
      </c>
      <c r="I136" s="7">
        <v>35</v>
      </c>
      <c r="J136" s="7">
        <v>34</v>
      </c>
      <c r="K136" s="7">
        <v>33</v>
      </c>
      <c r="L136" s="7">
        <v>31</v>
      </c>
      <c r="M136" s="7">
        <v>40</v>
      </c>
      <c r="N136" s="7">
        <v>50</v>
      </c>
      <c r="O136" s="7">
        <v>41</v>
      </c>
      <c r="P136" s="7">
        <v>29</v>
      </c>
      <c r="Q136" s="7">
        <v>30</v>
      </c>
      <c r="R136" s="7">
        <v>40</v>
      </c>
      <c r="S136" s="7">
        <v>26</v>
      </c>
      <c r="T136" s="7">
        <v>52</v>
      </c>
      <c r="U136" s="7">
        <v>25</v>
      </c>
      <c r="V136" s="7">
        <v>13</v>
      </c>
      <c r="W136" s="7">
        <v>31</v>
      </c>
      <c r="X136" s="7">
        <v>31</v>
      </c>
      <c r="Y136" s="7">
        <v>17</v>
      </c>
      <c r="Z136" s="7">
        <v>25</v>
      </c>
      <c r="AA136" s="7">
        <v>32</v>
      </c>
      <c r="AB136" s="7">
        <v>41</v>
      </c>
      <c r="AC136" s="7">
        <v>19</v>
      </c>
      <c r="AD136" s="7">
        <v>27</v>
      </c>
      <c r="AE136" s="7">
        <v>31</v>
      </c>
      <c r="AF136" s="8">
        <v>27</v>
      </c>
      <c r="AG136" s="4">
        <f t="shared" si="21"/>
        <v>989</v>
      </c>
    </row>
    <row r="137" spans="1:35" ht="18.75" x14ac:dyDescent="0.25">
      <c r="A137" s="43" t="s">
        <v>28</v>
      </c>
      <c r="B137" s="7">
        <f>7+1</f>
        <v>8</v>
      </c>
      <c r="C137" s="7">
        <v>9</v>
      </c>
      <c r="D137" s="7">
        <f>6+2</f>
        <v>8</v>
      </c>
      <c r="E137" s="7">
        <v>3</v>
      </c>
      <c r="F137" s="7">
        <f>12+3</f>
        <v>15</v>
      </c>
      <c r="G137" s="7">
        <f>14+1</f>
        <v>15</v>
      </c>
      <c r="H137" s="7">
        <f>9+2</f>
        <v>11</v>
      </c>
      <c r="I137" s="7">
        <f>2+1</f>
        <v>3</v>
      </c>
      <c r="J137" s="7">
        <f>8+2</f>
        <v>10</v>
      </c>
      <c r="K137" s="7">
        <f>3+2</f>
        <v>5</v>
      </c>
      <c r="L137" s="7">
        <v>8</v>
      </c>
      <c r="M137" s="7">
        <f>8+2</f>
        <v>10</v>
      </c>
      <c r="N137" s="7">
        <f>13+2</f>
        <v>15</v>
      </c>
      <c r="O137" s="7">
        <f>2+2</f>
        <v>4</v>
      </c>
      <c r="P137" s="7">
        <v>3</v>
      </c>
      <c r="Q137" s="7">
        <f>9+2</f>
        <v>11</v>
      </c>
      <c r="R137" s="7">
        <f>9+1</f>
        <v>10</v>
      </c>
      <c r="S137" s="7">
        <f>8+1</f>
        <v>9</v>
      </c>
      <c r="T137" s="7">
        <f>10+1</f>
        <v>11</v>
      </c>
      <c r="U137" s="7">
        <f>9+1</f>
        <v>10</v>
      </c>
      <c r="V137" s="7">
        <v>6</v>
      </c>
      <c r="W137" s="7">
        <v>6</v>
      </c>
      <c r="X137" s="7">
        <v>3</v>
      </c>
      <c r="Y137" s="7">
        <v>6</v>
      </c>
      <c r="Z137" s="7">
        <v>3</v>
      </c>
      <c r="AA137" s="7">
        <f>5+1</f>
        <v>6</v>
      </c>
      <c r="AB137" s="7">
        <v>11</v>
      </c>
      <c r="AC137" s="7">
        <v>4</v>
      </c>
      <c r="AD137" s="7">
        <v>8</v>
      </c>
      <c r="AE137" s="7">
        <v>2</v>
      </c>
      <c r="AF137" s="8">
        <f>10+5</f>
        <v>15</v>
      </c>
      <c r="AG137" s="4">
        <f t="shared" si="21"/>
        <v>248</v>
      </c>
    </row>
    <row r="138" spans="1:35" ht="18.75" x14ac:dyDescent="0.25">
      <c r="A138" s="43" t="s">
        <v>29</v>
      </c>
      <c r="B138" s="7">
        <v>6</v>
      </c>
      <c r="C138" s="7">
        <v>5</v>
      </c>
      <c r="D138" s="7">
        <v>5</v>
      </c>
      <c r="E138" s="7">
        <v>2</v>
      </c>
      <c r="F138" s="7">
        <v>14</v>
      </c>
      <c r="G138" s="7">
        <v>10</v>
      </c>
      <c r="H138" s="7">
        <v>12</v>
      </c>
      <c r="I138" s="7">
        <v>7</v>
      </c>
      <c r="J138" s="7">
        <v>6</v>
      </c>
      <c r="K138" s="7">
        <v>5</v>
      </c>
      <c r="L138" s="7">
        <v>9</v>
      </c>
      <c r="M138" s="7">
        <v>6</v>
      </c>
      <c r="N138" s="7">
        <v>4</v>
      </c>
      <c r="O138" s="7">
        <v>3</v>
      </c>
      <c r="P138" s="7">
        <v>4</v>
      </c>
      <c r="Q138" s="7">
        <v>5</v>
      </c>
      <c r="R138" s="7">
        <v>9</v>
      </c>
      <c r="S138" s="7">
        <v>10</v>
      </c>
      <c r="T138" s="7">
        <v>8</v>
      </c>
      <c r="U138" s="7">
        <v>7</v>
      </c>
      <c r="V138" s="7">
        <v>4</v>
      </c>
      <c r="W138" s="7">
        <v>11</v>
      </c>
      <c r="X138" s="7">
        <v>5</v>
      </c>
      <c r="Y138" s="7">
        <v>5</v>
      </c>
      <c r="Z138" s="7">
        <v>6</v>
      </c>
      <c r="AA138" s="7">
        <v>9</v>
      </c>
      <c r="AB138" s="7">
        <v>7</v>
      </c>
      <c r="AC138" s="7">
        <v>6</v>
      </c>
      <c r="AD138" s="7">
        <v>3</v>
      </c>
      <c r="AE138" s="7">
        <v>3</v>
      </c>
      <c r="AF138" s="8">
        <v>7</v>
      </c>
      <c r="AG138" s="4">
        <f t="shared" si="21"/>
        <v>203</v>
      </c>
    </row>
    <row r="139" spans="1:35" ht="18.75" x14ac:dyDescent="0.25">
      <c r="A139" s="41" t="s">
        <v>30</v>
      </c>
      <c r="B139" s="7"/>
      <c r="C139" s="7">
        <f>2+1</f>
        <v>3</v>
      </c>
      <c r="D139" s="7">
        <f>4+1</f>
        <v>5</v>
      </c>
      <c r="E139" s="7"/>
      <c r="F139" s="7">
        <f>3+3</f>
        <v>6</v>
      </c>
      <c r="G139" s="7">
        <f>2</f>
        <v>2</v>
      </c>
      <c r="H139" s="7">
        <f>1+1</f>
        <v>2</v>
      </c>
      <c r="I139" s="7">
        <v>2</v>
      </c>
      <c r="J139" s="7">
        <f>2+1</f>
        <v>3</v>
      </c>
      <c r="K139" s="7">
        <v>1</v>
      </c>
      <c r="L139" s="7">
        <v>2</v>
      </c>
      <c r="M139" s="7">
        <f>1</f>
        <v>1</v>
      </c>
      <c r="N139" s="7">
        <f>2+2</f>
        <v>4</v>
      </c>
      <c r="O139" s="7">
        <v>1</v>
      </c>
      <c r="P139" s="7"/>
      <c r="Q139" s="7">
        <v>1</v>
      </c>
      <c r="R139" s="7"/>
      <c r="S139" s="7">
        <v>1</v>
      </c>
      <c r="T139" s="7">
        <v>1</v>
      </c>
      <c r="U139" s="7">
        <f>1+2</f>
        <v>3</v>
      </c>
      <c r="V139" s="7">
        <v>2</v>
      </c>
      <c r="W139" s="7">
        <f>1+1</f>
        <v>2</v>
      </c>
      <c r="X139" s="7">
        <f>2+1</f>
        <v>3</v>
      </c>
      <c r="Y139" s="7">
        <f>2+1</f>
        <v>3</v>
      </c>
      <c r="Z139" s="7">
        <v>1</v>
      </c>
      <c r="AA139" s="7">
        <f>1+1</f>
        <v>2</v>
      </c>
      <c r="AB139" s="7"/>
      <c r="AC139" s="7">
        <f>2+2</f>
        <v>4</v>
      </c>
      <c r="AD139" s="7">
        <v>4</v>
      </c>
      <c r="AE139" s="7">
        <v>1</v>
      </c>
      <c r="AF139" s="8"/>
      <c r="AG139" s="4">
        <f t="shared" si="21"/>
        <v>60</v>
      </c>
    </row>
    <row r="140" spans="1:35" ht="18.75" x14ac:dyDescent="0.25">
      <c r="A140" s="41" t="s">
        <v>31</v>
      </c>
      <c r="B140" s="7">
        <v>3</v>
      </c>
      <c r="C140" s="7">
        <v>2</v>
      </c>
      <c r="D140" s="7"/>
      <c r="E140" s="7">
        <v>1</v>
      </c>
      <c r="F140" s="7">
        <v>1</v>
      </c>
      <c r="G140" s="7">
        <v>4</v>
      </c>
      <c r="H140" s="7">
        <v>3</v>
      </c>
      <c r="I140" s="7">
        <v>1</v>
      </c>
      <c r="J140" s="7">
        <v>1</v>
      </c>
      <c r="K140" s="7">
        <v>1</v>
      </c>
      <c r="L140" s="7">
        <v>2</v>
      </c>
      <c r="M140" s="7"/>
      <c r="N140" s="7">
        <v>1</v>
      </c>
      <c r="O140" s="7">
        <v>1</v>
      </c>
      <c r="P140" s="7">
        <v>4</v>
      </c>
      <c r="Q140" s="7">
        <v>1</v>
      </c>
      <c r="R140" s="7">
        <v>2</v>
      </c>
      <c r="S140" s="7"/>
      <c r="T140" s="7">
        <v>1</v>
      </c>
      <c r="U140" s="7">
        <v>2</v>
      </c>
      <c r="V140" s="7">
        <v>2</v>
      </c>
      <c r="W140" s="7"/>
      <c r="X140" s="7">
        <v>1</v>
      </c>
      <c r="Y140" s="7"/>
      <c r="Z140" s="7"/>
      <c r="AA140" s="7">
        <v>5</v>
      </c>
      <c r="AB140" s="7">
        <v>3</v>
      </c>
      <c r="AC140" s="7">
        <v>2</v>
      </c>
      <c r="AD140" s="7">
        <v>1</v>
      </c>
      <c r="AE140" s="7"/>
      <c r="AF140" s="8">
        <v>1</v>
      </c>
      <c r="AG140" s="4">
        <f t="shared" si="21"/>
        <v>46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>
        <v>1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>
        <v>1</v>
      </c>
      <c r="V141" s="7"/>
      <c r="W141" s="7"/>
      <c r="X141" s="7"/>
      <c r="Y141" s="7"/>
      <c r="Z141" s="7">
        <v>1</v>
      </c>
      <c r="AA141" s="7"/>
      <c r="AB141" s="7"/>
      <c r="AC141" s="7">
        <v>1</v>
      </c>
      <c r="AD141" s="7"/>
      <c r="AE141" s="7"/>
      <c r="AF141" s="8"/>
      <c r="AG141" s="4">
        <f t="shared" si="21"/>
        <v>4</v>
      </c>
    </row>
    <row r="142" spans="1:35" ht="18.75" x14ac:dyDescent="0.25">
      <c r="A142" s="43" t="s">
        <v>60</v>
      </c>
      <c r="B142" s="7">
        <f>1+1+3+1+1+1</f>
        <v>8</v>
      </c>
      <c r="C142" s="7">
        <f>1+1+2+1</f>
        <v>5</v>
      </c>
      <c r="D142" s="7">
        <f>1+1+1+1+1</f>
        <v>5</v>
      </c>
      <c r="E142" s="7">
        <f>1+1+1</f>
        <v>3</v>
      </c>
      <c r="F142" s="7">
        <f>1+2+1</f>
        <v>4</v>
      </c>
      <c r="G142" s="7">
        <f>1+3+5</f>
        <v>9</v>
      </c>
      <c r="H142" s="7">
        <f>1+5</f>
        <v>6</v>
      </c>
      <c r="I142" s="7">
        <f>1+6</f>
        <v>7</v>
      </c>
      <c r="J142" s="7">
        <f>1+1+1+1</f>
        <v>4</v>
      </c>
      <c r="K142" s="7">
        <f>1+1+1</f>
        <v>3</v>
      </c>
      <c r="L142" s="7">
        <f>2+1+2+1+3</f>
        <v>9</v>
      </c>
      <c r="M142" s="7">
        <f>1+1</f>
        <v>2</v>
      </c>
      <c r="N142" s="7">
        <f>1+2+3+1+7</f>
        <v>14</v>
      </c>
      <c r="O142" s="7">
        <f>1+3</f>
        <v>4</v>
      </c>
      <c r="P142" s="7">
        <f>3+1+3</f>
        <v>7</v>
      </c>
      <c r="Q142" s="7">
        <f>2+1+6</f>
        <v>9</v>
      </c>
      <c r="R142" s="7">
        <f>1+1+6</f>
        <v>8</v>
      </c>
      <c r="S142" s="7">
        <f>1+5</f>
        <v>6</v>
      </c>
      <c r="T142" s="7">
        <f>1+1+3</f>
        <v>5</v>
      </c>
      <c r="U142" s="7">
        <f>1+3</f>
        <v>4</v>
      </c>
      <c r="V142" s="7">
        <f>1</f>
        <v>1</v>
      </c>
      <c r="W142" s="7">
        <f>2+2</f>
        <v>4</v>
      </c>
      <c r="X142" s="7">
        <f>1+1</f>
        <v>2</v>
      </c>
      <c r="Y142" s="7">
        <f>2+1+3</f>
        <v>6</v>
      </c>
      <c r="Z142" s="7">
        <f>5</f>
        <v>5</v>
      </c>
      <c r="AA142" s="7">
        <f>1+1+2</f>
        <v>4</v>
      </c>
      <c r="AB142" s="7">
        <f>1+1+6</f>
        <v>8</v>
      </c>
      <c r="AC142" s="7">
        <f>4</f>
        <v>4</v>
      </c>
      <c r="AD142" s="7">
        <f>1+1+3</f>
        <v>5</v>
      </c>
      <c r="AE142" s="7">
        <f>1+5</f>
        <v>6</v>
      </c>
      <c r="AF142" s="8">
        <f>2+1</f>
        <v>3</v>
      </c>
      <c r="AG142" s="4">
        <f t="shared" si="21"/>
        <v>170</v>
      </c>
    </row>
    <row r="143" spans="1:35" ht="19.5" thickBot="1" x14ac:dyDescent="0.3">
      <c r="A143" s="75" t="s">
        <v>86</v>
      </c>
      <c r="B143" s="13">
        <f>12+7</f>
        <v>19</v>
      </c>
      <c r="C143" s="13">
        <f>10+12</f>
        <v>22</v>
      </c>
      <c r="D143" s="13">
        <f>7+8</f>
        <v>15</v>
      </c>
      <c r="E143" s="13">
        <f>5+9</f>
        <v>14</v>
      </c>
      <c r="F143" s="13">
        <f>15+10</f>
        <v>25</v>
      </c>
      <c r="G143" s="13">
        <f>10+13</f>
        <v>23</v>
      </c>
      <c r="H143" s="13">
        <f>1+14+9</f>
        <v>24</v>
      </c>
      <c r="I143" s="13">
        <f>16+8</f>
        <v>24</v>
      </c>
      <c r="J143" s="13">
        <f>6+14</f>
        <v>20</v>
      </c>
      <c r="K143" s="13">
        <f>11+14</f>
        <v>25</v>
      </c>
      <c r="L143" s="13">
        <f>4+14</f>
        <v>18</v>
      </c>
      <c r="M143" s="13">
        <f>15+1+16</f>
        <v>32</v>
      </c>
      <c r="N143" s="13">
        <f>18+13</f>
        <v>31</v>
      </c>
      <c r="O143" s="13">
        <f>11+1+17</f>
        <v>29</v>
      </c>
      <c r="P143" s="13">
        <f>10+7</f>
        <v>17</v>
      </c>
      <c r="Q143" s="13">
        <f>4+12</f>
        <v>16</v>
      </c>
      <c r="R143" s="13">
        <f>11+10</f>
        <v>21</v>
      </c>
      <c r="S143" s="13">
        <f>6+7</f>
        <v>13</v>
      </c>
      <c r="T143" s="13">
        <f>9+1+10</f>
        <v>20</v>
      </c>
      <c r="U143" s="13">
        <f>8+11</f>
        <v>19</v>
      </c>
      <c r="V143" s="13">
        <f>6+1+7</f>
        <v>14</v>
      </c>
      <c r="W143" s="13">
        <f>5+2</f>
        <v>7</v>
      </c>
      <c r="X143" s="13">
        <v>11</v>
      </c>
      <c r="Y143" s="13">
        <f>8+1+7</f>
        <v>16</v>
      </c>
      <c r="Z143" s="13">
        <f>8+4</f>
        <v>12</v>
      </c>
      <c r="AA143" s="13">
        <f>11+5</f>
        <v>16</v>
      </c>
      <c r="AB143" s="13">
        <f>4+14</f>
        <v>18</v>
      </c>
      <c r="AC143" s="13">
        <f>7+11</f>
        <v>18</v>
      </c>
      <c r="AD143" s="13">
        <f>11+5</f>
        <v>16</v>
      </c>
      <c r="AE143" s="13">
        <v>2</v>
      </c>
      <c r="AF143" s="14">
        <f>11+18</f>
        <v>29</v>
      </c>
      <c r="AG143" s="108">
        <f t="shared" si="21"/>
        <v>586</v>
      </c>
    </row>
    <row r="144" spans="1:35" ht="19.5" thickBot="1" x14ac:dyDescent="0.3">
      <c r="A144" s="164" t="s">
        <v>89</v>
      </c>
      <c r="B144" s="165">
        <f t="shared" ref="B144:AD144" si="22">+B146+B156+B158+B167</f>
        <v>160</v>
      </c>
      <c r="C144" s="165">
        <f t="shared" si="22"/>
        <v>166</v>
      </c>
      <c r="D144" s="165">
        <f t="shared" si="22"/>
        <v>141</v>
      </c>
      <c r="E144" s="165">
        <f t="shared" si="22"/>
        <v>129</v>
      </c>
      <c r="F144" s="165">
        <f t="shared" si="22"/>
        <v>222</v>
      </c>
      <c r="G144" s="165">
        <f t="shared" si="22"/>
        <v>242</v>
      </c>
      <c r="H144" s="165">
        <f t="shared" si="22"/>
        <v>193</v>
      </c>
      <c r="I144" s="165">
        <f t="shared" si="22"/>
        <v>174</v>
      </c>
      <c r="J144" s="165">
        <f t="shared" si="22"/>
        <v>185</v>
      </c>
      <c r="K144" s="165">
        <f t="shared" si="22"/>
        <v>172</v>
      </c>
      <c r="L144" s="165">
        <f t="shared" si="22"/>
        <v>177</v>
      </c>
      <c r="M144" s="165">
        <f t="shared" si="22"/>
        <v>247</v>
      </c>
      <c r="N144" s="165">
        <f t="shared" si="22"/>
        <v>266</v>
      </c>
      <c r="O144" s="165">
        <f t="shared" si="22"/>
        <v>194</v>
      </c>
      <c r="P144" s="165">
        <f t="shared" si="22"/>
        <v>157</v>
      </c>
      <c r="Q144" s="165">
        <f t="shared" si="22"/>
        <v>182</v>
      </c>
      <c r="R144" s="165">
        <f t="shared" si="22"/>
        <v>188</v>
      </c>
      <c r="S144" s="165">
        <f t="shared" si="22"/>
        <v>168</v>
      </c>
      <c r="T144" s="165">
        <f t="shared" si="22"/>
        <v>229</v>
      </c>
      <c r="U144" s="165">
        <f t="shared" si="22"/>
        <v>190</v>
      </c>
      <c r="V144" s="165">
        <f t="shared" si="22"/>
        <v>100</v>
      </c>
      <c r="W144" s="165">
        <f t="shared" si="22"/>
        <v>126</v>
      </c>
      <c r="X144" s="165">
        <f t="shared" si="22"/>
        <v>108</v>
      </c>
      <c r="Y144" s="165">
        <f t="shared" si="22"/>
        <v>127</v>
      </c>
      <c r="Z144" s="165">
        <f t="shared" si="22"/>
        <v>132</v>
      </c>
      <c r="AA144" s="165">
        <f t="shared" si="22"/>
        <v>164</v>
      </c>
      <c r="AB144" s="165">
        <f t="shared" si="22"/>
        <v>208</v>
      </c>
      <c r="AC144" s="165">
        <f t="shared" si="22"/>
        <v>119</v>
      </c>
      <c r="AD144" s="165">
        <f t="shared" si="22"/>
        <v>146</v>
      </c>
      <c r="AE144" s="165">
        <f>+AE146+AE156+AE158+AE167</f>
        <v>128</v>
      </c>
      <c r="AF144" s="165">
        <f t="shared" ref="AF144" si="23">+AF146+AF156+AF158+AF167</f>
        <v>194</v>
      </c>
      <c r="AG144" s="116">
        <f t="shared" si="21"/>
        <v>5334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9</v>
      </c>
      <c r="C145" s="161">
        <f t="shared" si="24"/>
        <v>23</v>
      </c>
      <c r="D145" s="161">
        <f t="shared" si="24"/>
        <v>16</v>
      </c>
      <c r="E145" s="161">
        <f t="shared" si="24"/>
        <v>45</v>
      </c>
      <c r="F145" s="161">
        <f t="shared" si="24"/>
        <v>18</v>
      </c>
      <c r="G145" s="161">
        <f t="shared" si="24"/>
        <v>3</v>
      </c>
      <c r="H145" s="161">
        <f t="shared" si="24"/>
        <v>29</v>
      </c>
      <c r="I145" s="161">
        <f t="shared" si="24"/>
        <v>24</v>
      </c>
      <c r="J145" s="161">
        <f t="shared" si="24"/>
        <v>31</v>
      </c>
      <c r="K145" s="161">
        <f t="shared" si="24"/>
        <v>30</v>
      </c>
      <c r="L145" s="161">
        <f t="shared" si="24"/>
        <v>9</v>
      </c>
      <c r="M145" s="161">
        <f t="shared" si="24"/>
        <v>7</v>
      </c>
      <c r="N145" s="161">
        <f t="shared" si="24"/>
        <v>32</v>
      </c>
      <c r="O145" s="161">
        <f t="shared" si="24"/>
        <v>14</v>
      </c>
      <c r="P145" s="161">
        <f t="shared" si="24"/>
        <v>26</v>
      </c>
      <c r="Q145" s="161">
        <f t="shared" si="24"/>
        <v>19</v>
      </c>
      <c r="R145" s="161">
        <f t="shared" si="24"/>
        <v>20</v>
      </c>
      <c r="S145" s="161">
        <f t="shared" si="24"/>
        <v>18</v>
      </c>
      <c r="T145" s="161">
        <f t="shared" si="24"/>
        <v>12</v>
      </c>
      <c r="U145" s="161">
        <f t="shared" si="24"/>
        <v>12</v>
      </c>
      <c r="V145" s="161">
        <f t="shared" si="24"/>
        <v>5</v>
      </c>
      <c r="W145" s="161">
        <f t="shared" si="24"/>
        <v>9</v>
      </c>
      <c r="X145" s="161">
        <f t="shared" si="24"/>
        <v>3</v>
      </c>
      <c r="Y145" s="161">
        <f t="shared" si="24"/>
        <v>6</v>
      </c>
      <c r="Z145" s="161">
        <f t="shared" si="24"/>
        <v>14</v>
      </c>
      <c r="AA145" s="161">
        <f t="shared" si="24"/>
        <v>30</v>
      </c>
      <c r="AB145" s="161">
        <f t="shared" si="24"/>
        <v>7</v>
      </c>
      <c r="AC145" s="161">
        <f t="shared" si="24"/>
        <v>7</v>
      </c>
      <c r="AD145" s="161">
        <f t="shared" si="24"/>
        <v>5</v>
      </c>
      <c r="AE145" s="161">
        <f>+AE149+AE155+AE157+AE172</f>
        <v>9</v>
      </c>
      <c r="AF145" s="162">
        <f t="shared" ref="AF145" si="25">+AF149+AF155+AF157+AF172</f>
        <v>10</v>
      </c>
      <c r="AG145" s="163">
        <f t="shared" si="21"/>
        <v>502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2</v>
      </c>
      <c r="G146" s="118">
        <f t="shared" si="26"/>
        <v>1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1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1</v>
      </c>
      <c r="AE146" s="118">
        <f t="shared" si="26"/>
        <v>0</v>
      </c>
      <c r="AF146" s="119">
        <f t="shared" si="26"/>
        <v>0</v>
      </c>
      <c r="AG146" s="120">
        <f t="shared" si="26"/>
        <v>5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1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23" si="28">SUM(B148:AF148)</f>
        <v>1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>
        <v>1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1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>
        <v>1</v>
      </c>
      <c r="G154" s="126">
        <v>1</v>
      </c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>
        <v>1</v>
      </c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>
        <v>1</v>
      </c>
      <c r="AE154" s="126"/>
      <c r="AF154" s="127"/>
      <c r="AG154" s="128">
        <f t="shared" si="28"/>
        <v>4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160</v>
      </c>
      <c r="C156" s="56">
        <v>165</v>
      </c>
      <c r="D156" s="56">
        <v>139</v>
      </c>
      <c r="E156" s="56">
        <v>128</v>
      </c>
      <c r="F156" s="56">
        <v>219</v>
      </c>
      <c r="G156" s="56">
        <v>240</v>
      </c>
      <c r="H156" s="56">
        <v>192</v>
      </c>
      <c r="I156" s="56">
        <v>174</v>
      </c>
      <c r="J156" s="56">
        <v>185</v>
      </c>
      <c r="K156" s="56">
        <v>170</v>
      </c>
      <c r="L156" s="56">
        <v>175</v>
      </c>
      <c r="M156" s="56">
        <v>246</v>
      </c>
      <c r="N156" s="56">
        <v>262</v>
      </c>
      <c r="O156" s="56">
        <v>194</v>
      </c>
      <c r="P156" s="56">
        <v>156</v>
      </c>
      <c r="Q156" s="56">
        <v>182</v>
      </c>
      <c r="R156" s="56">
        <v>188</v>
      </c>
      <c r="S156" s="56">
        <v>167</v>
      </c>
      <c r="T156" s="56">
        <v>227</v>
      </c>
      <c r="U156" s="56">
        <v>188</v>
      </c>
      <c r="V156" s="56">
        <v>100</v>
      </c>
      <c r="W156" s="56">
        <v>125</v>
      </c>
      <c r="X156" s="56">
        <v>107</v>
      </c>
      <c r="Y156" s="56">
        <v>126</v>
      </c>
      <c r="Z156" s="56">
        <v>130</v>
      </c>
      <c r="AA156" s="56">
        <v>162</v>
      </c>
      <c r="AB156" s="56">
        <v>208</v>
      </c>
      <c r="AC156" s="56">
        <v>119</v>
      </c>
      <c r="AD156" s="56">
        <v>145</v>
      </c>
      <c r="AE156" s="56">
        <v>128</v>
      </c>
      <c r="AF156" s="85">
        <v>193</v>
      </c>
      <c r="AG156" s="95">
        <f t="shared" si="28"/>
        <v>5300</v>
      </c>
      <c r="AH156" s="2" t="s">
        <v>84</v>
      </c>
    </row>
    <row r="157" spans="1:34" ht="19.5" thickBot="1" x14ac:dyDescent="0.3">
      <c r="A157" s="75" t="s">
        <v>1</v>
      </c>
      <c r="B157" s="13">
        <v>9</v>
      </c>
      <c r="C157" s="13">
        <v>23</v>
      </c>
      <c r="D157" s="13">
        <v>16</v>
      </c>
      <c r="E157" s="13">
        <v>43</v>
      </c>
      <c r="F157" s="13">
        <v>18</v>
      </c>
      <c r="G157" s="13">
        <v>3</v>
      </c>
      <c r="H157" s="13">
        <v>29</v>
      </c>
      <c r="I157" s="13">
        <v>24</v>
      </c>
      <c r="J157" s="13">
        <v>31</v>
      </c>
      <c r="K157" s="13">
        <v>30</v>
      </c>
      <c r="L157" s="13">
        <v>9</v>
      </c>
      <c r="M157" s="13">
        <v>7</v>
      </c>
      <c r="N157" s="13">
        <v>31</v>
      </c>
      <c r="O157" s="13">
        <v>14</v>
      </c>
      <c r="P157" s="13">
        <v>26</v>
      </c>
      <c r="Q157" s="13">
        <v>19</v>
      </c>
      <c r="R157" s="13">
        <v>20</v>
      </c>
      <c r="S157" s="13">
        <v>18</v>
      </c>
      <c r="T157" s="13">
        <v>12</v>
      </c>
      <c r="U157" s="13">
        <v>12</v>
      </c>
      <c r="V157" s="13">
        <v>5</v>
      </c>
      <c r="W157" s="13">
        <v>9</v>
      </c>
      <c r="X157" s="13">
        <v>3</v>
      </c>
      <c r="Y157" s="13">
        <v>6</v>
      </c>
      <c r="Z157" s="13">
        <v>14</v>
      </c>
      <c r="AA157" s="13">
        <v>30</v>
      </c>
      <c r="AB157" s="13">
        <v>7</v>
      </c>
      <c r="AC157" s="13">
        <v>7</v>
      </c>
      <c r="AD157" s="13">
        <v>5</v>
      </c>
      <c r="AE157" s="13">
        <v>9</v>
      </c>
      <c r="AF157" s="14">
        <v>10</v>
      </c>
      <c r="AG157" s="157">
        <f t="shared" si="28"/>
        <v>499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1</v>
      </c>
      <c r="D158" s="122">
        <f t="shared" si="29"/>
        <v>1</v>
      </c>
      <c r="E158" s="122">
        <f t="shared" si="29"/>
        <v>0</v>
      </c>
      <c r="F158" s="122">
        <f t="shared" si="29"/>
        <v>1</v>
      </c>
      <c r="G158" s="122">
        <f t="shared" si="29"/>
        <v>1</v>
      </c>
      <c r="H158" s="122">
        <f t="shared" si="29"/>
        <v>0</v>
      </c>
      <c r="I158" s="122">
        <f t="shared" si="29"/>
        <v>0</v>
      </c>
      <c r="J158" s="122">
        <f t="shared" si="29"/>
        <v>0</v>
      </c>
      <c r="K158" s="122">
        <f t="shared" si="29"/>
        <v>2</v>
      </c>
      <c r="L158" s="122">
        <f t="shared" si="29"/>
        <v>2</v>
      </c>
      <c r="M158" s="122">
        <f t="shared" si="29"/>
        <v>0</v>
      </c>
      <c r="N158" s="122">
        <f t="shared" si="29"/>
        <v>2</v>
      </c>
      <c r="O158" s="122">
        <f t="shared" si="29"/>
        <v>0</v>
      </c>
      <c r="P158" s="122">
        <f t="shared" si="29"/>
        <v>1</v>
      </c>
      <c r="Q158" s="122">
        <f t="shared" si="29"/>
        <v>0</v>
      </c>
      <c r="R158" s="122">
        <f t="shared" si="29"/>
        <v>0</v>
      </c>
      <c r="S158" s="122">
        <f t="shared" si="29"/>
        <v>1</v>
      </c>
      <c r="T158" s="122">
        <f t="shared" si="29"/>
        <v>0</v>
      </c>
      <c r="U158" s="122">
        <f t="shared" si="29"/>
        <v>1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1</v>
      </c>
      <c r="Z158" s="122">
        <f t="shared" si="29"/>
        <v>1</v>
      </c>
      <c r="AA158" s="122">
        <f t="shared" si="29"/>
        <v>1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1</v>
      </c>
      <c r="AG158" s="124">
        <f t="shared" si="28"/>
        <v>17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>
        <v>1</v>
      </c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1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>
        <v>1</v>
      </c>
      <c r="G160" s="29"/>
      <c r="H160" s="29"/>
      <c r="I160" s="29"/>
      <c r="J160" s="29"/>
      <c r="K160" s="29">
        <v>1</v>
      </c>
      <c r="L160" s="29">
        <v>1</v>
      </c>
      <c r="M160" s="29"/>
      <c r="N160" s="29">
        <v>1</v>
      </c>
      <c r="O160" s="29"/>
      <c r="P160" s="29">
        <v>1</v>
      </c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5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>
        <v>1</v>
      </c>
      <c r="AB161" s="29"/>
      <c r="AC161" s="29"/>
      <c r="AD161" s="29"/>
      <c r="AE161" s="29"/>
      <c r="AF161" s="21"/>
      <c r="AG161" s="4">
        <f t="shared" si="28"/>
        <v>1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/>
      <c r="F162" s="29"/>
      <c r="G162" s="29"/>
      <c r="H162" s="29"/>
      <c r="I162" s="29"/>
      <c r="J162" s="29"/>
      <c r="K162" s="29"/>
      <c r="L162" s="29">
        <v>1</v>
      </c>
      <c r="M162" s="29"/>
      <c r="N162" s="29">
        <v>1</v>
      </c>
      <c r="O162" s="29"/>
      <c r="P162" s="29"/>
      <c r="Q162" s="29"/>
      <c r="R162" s="29"/>
      <c r="S162" s="29">
        <v>1</v>
      </c>
      <c r="T162" s="29"/>
      <c r="U162" s="29">
        <v>1</v>
      </c>
      <c r="V162" s="29"/>
      <c r="W162" s="29"/>
      <c r="X162" s="29"/>
      <c r="Y162" s="29">
        <v>1</v>
      </c>
      <c r="Z162" s="29">
        <v>1</v>
      </c>
      <c r="AA162" s="29"/>
      <c r="AB162" s="29"/>
      <c r="AC162" s="29"/>
      <c r="AD162" s="29"/>
      <c r="AE162" s="29"/>
      <c r="AF162" s="21"/>
      <c r="AG162" s="4">
        <f t="shared" si="28"/>
        <v>7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>
        <v>1</v>
      </c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1</v>
      </c>
    </row>
    <row r="165" spans="1:34" ht="18.75" x14ac:dyDescent="0.25">
      <c r="A165" s="50" t="s">
        <v>28</v>
      </c>
      <c r="B165" s="29"/>
      <c r="C165" s="29"/>
      <c r="D165" s="29">
        <v>1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>
        <v>1</v>
      </c>
      <c r="AG165" s="4">
        <f t="shared" si="28"/>
        <v>2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1</v>
      </c>
      <c r="E167" s="56">
        <f t="shared" si="30"/>
        <v>1</v>
      </c>
      <c r="F167" s="56">
        <f t="shared" si="30"/>
        <v>0</v>
      </c>
      <c r="G167" s="56">
        <f t="shared" si="30"/>
        <v>0</v>
      </c>
      <c r="H167" s="56">
        <f t="shared" si="30"/>
        <v>1</v>
      </c>
      <c r="I167" s="56">
        <f t="shared" si="30"/>
        <v>0</v>
      </c>
      <c r="J167" s="56">
        <f t="shared" si="30"/>
        <v>0</v>
      </c>
      <c r="K167" s="56">
        <f t="shared" si="30"/>
        <v>0</v>
      </c>
      <c r="L167" s="56">
        <f t="shared" si="30"/>
        <v>0</v>
      </c>
      <c r="M167" s="56">
        <f t="shared" si="30"/>
        <v>1</v>
      </c>
      <c r="N167" s="56">
        <f t="shared" si="30"/>
        <v>2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1</v>
      </c>
      <c r="U167" s="56">
        <f t="shared" si="30"/>
        <v>1</v>
      </c>
      <c r="V167" s="56">
        <f t="shared" si="30"/>
        <v>0</v>
      </c>
      <c r="W167" s="56">
        <f t="shared" si="30"/>
        <v>1</v>
      </c>
      <c r="X167" s="56">
        <f t="shared" si="30"/>
        <v>1</v>
      </c>
      <c r="Y167" s="56">
        <f t="shared" si="30"/>
        <v>0</v>
      </c>
      <c r="Z167" s="56">
        <f t="shared" si="30"/>
        <v>1</v>
      </c>
      <c r="AA167" s="56">
        <f t="shared" si="30"/>
        <v>1</v>
      </c>
      <c r="AB167" s="56">
        <f t="shared" si="30"/>
        <v>0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12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>
        <v>1</v>
      </c>
      <c r="O168" s="29"/>
      <c r="P168" s="29"/>
      <c r="Q168" s="29"/>
      <c r="R168" s="29"/>
      <c r="S168" s="29"/>
      <c r="T168" s="29"/>
      <c r="U168" s="29">
        <v>1</v>
      </c>
      <c r="V168" s="29"/>
      <c r="W168" s="29"/>
      <c r="X168" s="29">
        <v>1</v>
      </c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3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>
        <v>1</v>
      </c>
      <c r="I169" s="29"/>
      <c r="J169" s="29"/>
      <c r="K169" s="29"/>
      <c r="L169" s="29"/>
      <c r="M169" s="29"/>
      <c r="N169" s="29">
        <v>1</v>
      </c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>
        <v>1</v>
      </c>
      <c r="AB169" s="29"/>
      <c r="AC169" s="29"/>
      <c r="AD169" s="29"/>
      <c r="AE169" s="29"/>
      <c r="AF169" s="21"/>
      <c r="AG169" s="4">
        <f t="shared" si="28"/>
        <v>3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>
        <v>1</v>
      </c>
      <c r="E171" s="30">
        <v>1</v>
      </c>
      <c r="F171" s="30"/>
      <c r="G171" s="30"/>
      <c r="H171" s="30"/>
      <c r="I171" s="30"/>
      <c r="J171" s="30"/>
      <c r="K171" s="30"/>
      <c r="L171" s="30"/>
      <c r="M171" s="30">
        <v>1</v>
      </c>
      <c r="N171" s="30"/>
      <c r="O171" s="30"/>
      <c r="P171" s="30"/>
      <c r="Q171" s="30"/>
      <c r="R171" s="30"/>
      <c r="S171" s="30"/>
      <c r="T171" s="30">
        <v>1</v>
      </c>
      <c r="U171" s="30"/>
      <c r="V171" s="30"/>
      <c r="W171" s="30">
        <v>1</v>
      </c>
      <c r="X171" s="30"/>
      <c r="Y171" s="30"/>
      <c r="Z171" s="30">
        <v>1</v>
      </c>
      <c r="AA171" s="30"/>
      <c r="AB171" s="30"/>
      <c r="AC171" s="30"/>
      <c r="AD171" s="30"/>
      <c r="AE171" s="30"/>
      <c r="AF171" s="22"/>
      <c r="AG171" s="28">
        <f t="shared" si="28"/>
        <v>6</v>
      </c>
    </row>
    <row r="172" spans="1:34" ht="19.5" thickBot="1" x14ac:dyDescent="0.3">
      <c r="A172" s="158" t="s">
        <v>128</v>
      </c>
      <c r="B172" s="151"/>
      <c r="C172" s="151"/>
      <c r="D172" s="151"/>
      <c r="E172" s="151">
        <v>2</v>
      </c>
      <c r="F172" s="151"/>
      <c r="G172" s="151"/>
      <c r="H172" s="151"/>
      <c r="I172" s="151"/>
      <c r="J172" s="151"/>
      <c r="K172" s="151"/>
      <c r="L172" s="151"/>
      <c r="M172" s="151"/>
      <c r="N172" s="151">
        <v>1</v>
      </c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3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0</v>
      </c>
      <c r="E173" s="15">
        <v>0</v>
      </c>
      <c r="F173" s="15">
        <v>1</v>
      </c>
      <c r="G173" s="15">
        <v>0</v>
      </c>
      <c r="H173" s="15">
        <v>0</v>
      </c>
      <c r="I173" s="15">
        <v>1</v>
      </c>
      <c r="J173" s="15">
        <v>0</v>
      </c>
      <c r="K173" s="15">
        <v>0</v>
      </c>
      <c r="L173" s="15">
        <v>1</v>
      </c>
      <c r="M173" s="15">
        <v>1</v>
      </c>
      <c r="N173" s="15">
        <v>1</v>
      </c>
      <c r="O173" s="15">
        <v>1</v>
      </c>
      <c r="P173" s="15">
        <v>0</v>
      </c>
      <c r="Q173" s="15">
        <v>0</v>
      </c>
      <c r="R173" s="15">
        <v>0</v>
      </c>
      <c r="S173" s="15">
        <v>0</v>
      </c>
      <c r="T173" s="15">
        <v>1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1</v>
      </c>
      <c r="AB173" s="15">
        <v>1</v>
      </c>
      <c r="AC173" s="15">
        <v>0</v>
      </c>
      <c r="AD173" s="15">
        <v>0</v>
      </c>
      <c r="AE173" s="15">
        <v>0</v>
      </c>
      <c r="AF173" s="23">
        <v>0</v>
      </c>
      <c r="AG173" s="5">
        <f t="shared" si="28"/>
        <v>9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6</v>
      </c>
      <c r="C174" s="16">
        <f t="shared" ref="C174:AF174" si="31">SUM(C175:C176)</f>
        <v>5</v>
      </c>
      <c r="D174" s="16">
        <f t="shared" si="31"/>
        <v>6</v>
      </c>
      <c r="E174" s="16">
        <f t="shared" si="31"/>
        <v>5</v>
      </c>
      <c r="F174" s="16">
        <f t="shared" si="31"/>
        <v>10</v>
      </c>
      <c r="G174" s="16">
        <f t="shared" si="31"/>
        <v>3</v>
      </c>
      <c r="H174" s="16">
        <f t="shared" si="31"/>
        <v>2</v>
      </c>
      <c r="I174" s="16">
        <f t="shared" si="31"/>
        <v>11</v>
      </c>
      <c r="J174" s="16">
        <f t="shared" si="31"/>
        <v>5</v>
      </c>
      <c r="K174" s="16">
        <f t="shared" si="31"/>
        <v>6</v>
      </c>
      <c r="L174" s="16">
        <f t="shared" si="31"/>
        <v>7</v>
      </c>
      <c r="M174" s="16">
        <f t="shared" si="31"/>
        <v>5</v>
      </c>
      <c r="N174" s="16">
        <f t="shared" si="31"/>
        <v>11</v>
      </c>
      <c r="O174" s="16">
        <f t="shared" si="31"/>
        <v>9</v>
      </c>
      <c r="P174" s="16">
        <f t="shared" si="31"/>
        <v>3</v>
      </c>
      <c r="Q174" s="16">
        <f t="shared" si="31"/>
        <v>5</v>
      </c>
      <c r="R174" s="16">
        <f t="shared" si="31"/>
        <v>4</v>
      </c>
      <c r="S174" s="16">
        <f t="shared" si="31"/>
        <v>9</v>
      </c>
      <c r="T174" s="16">
        <f t="shared" si="31"/>
        <v>10</v>
      </c>
      <c r="U174" s="16">
        <f t="shared" si="31"/>
        <v>6</v>
      </c>
      <c r="V174" s="16">
        <f t="shared" si="31"/>
        <v>5</v>
      </c>
      <c r="W174" s="16">
        <f t="shared" si="31"/>
        <v>5</v>
      </c>
      <c r="X174" s="16">
        <f t="shared" si="31"/>
        <v>6</v>
      </c>
      <c r="Y174" s="16">
        <f t="shared" si="31"/>
        <v>5</v>
      </c>
      <c r="Z174" s="16">
        <f t="shared" si="31"/>
        <v>6</v>
      </c>
      <c r="AA174" s="16">
        <f t="shared" si="31"/>
        <v>2</v>
      </c>
      <c r="AB174" s="16">
        <f t="shared" si="31"/>
        <v>8</v>
      </c>
      <c r="AC174" s="16">
        <f t="shared" si="31"/>
        <v>6</v>
      </c>
      <c r="AD174" s="16">
        <f t="shared" si="31"/>
        <v>2</v>
      </c>
      <c r="AE174" s="16">
        <f t="shared" si="31"/>
        <v>3</v>
      </c>
      <c r="AF174" s="24">
        <f t="shared" si="31"/>
        <v>10</v>
      </c>
      <c r="AG174" s="6">
        <f t="shared" si="28"/>
        <v>186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1</v>
      </c>
      <c r="D175" s="15">
        <v>0</v>
      </c>
      <c r="E175" s="15">
        <v>1</v>
      </c>
      <c r="F175" s="15">
        <v>1</v>
      </c>
      <c r="G175" s="15">
        <v>0</v>
      </c>
      <c r="H175" s="15">
        <v>0</v>
      </c>
      <c r="I175" s="15">
        <v>2</v>
      </c>
      <c r="J175" s="15">
        <v>0</v>
      </c>
      <c r="K175" s="15">
        <v>0</v>
      </c>
      <c r="L175" s="15">
        <v>1</v>
      </c>
      <c r="M175" s="15">
        <v>0</v>
      </c>
      <c r="N175" s="15">
        <v>1</v>
      </c>
      <c r="O175" s="15">
        <v>4</v>
      </c>
      <c r="P175" s="15">
        <v>0</v>
      </c>
      <c r="Q175" s="15">
        <v>1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1</v>
      </c>
      <c r="X175" s="15">
        <v>1</v>
      </c>
      <c r="Y175" s="15">
        <v>1</v>
      </c>
      <c r="Z175" s="15">
        <v>1</v>
      </c>
      <c r="AA175" s="15">
        <v>0</v>
      </c>
      <c r="AB175" s="15">
        <v>1</v>
      </c>
      <c r="AC175" s="15">
        <v>0</v>
      </c>
      <c r="AD175" s="15">
        <v>0</v>
      </c>
      <c r="AE175" s="15">
        <v>1</v>
      </c>
      <c r="AF175" s="23">
        <v>0</v>
      </c>
      <c r="AG175" s="5">
        <f t="shared" si="28"/>
        <v>21</v>
      </c>
      <c r="AH175" s="2" t="s">
        <v>138</v>
      </c>
    </row>
    <row r="176" spans="1:34" ht="19.5" thickBot="1" x14ac:dyDescent="0.3">
      <c r="A176" s="104" t="s">
        <v>119</v>
      </c>
      <c r="B176" s="101">
        <v>5</v>
      </c>
      <c r="C176" s="101">
        <v>4</v>
      </c>
      <c r="D176" s="101">
        <v>6</v>
      </c>
      <c r="E176" s="101">
        <v>4</v>
      </c>
      <c r="F176" s="101">
        <v>9</v>
      </c>
      <c r="G176" s="101">
        <v>3</v>
      </c>
      <c r="H176" s="101">
        <v>2</v>
      </c>
      <c r="I176" s="101">
        <v>9</v>
      </c>
      <c r="J176" s="101">
        <v>5</v>
      </c>
      <c r="K176" s="101">
        <v>6</v>
      </c>
      <c r="L176" s="101">
        <v>6</v>
      </c>
      <c r="M176" s="101">
        <v>5</v>
      </c>
      <c r="N176" s="101">
        <v>10</v>
      </c>
      <c r="O176" s="101">
        <v>5</v>
      </c>
      <c r="P176" s="101">
        <v>3</v>
      </c>
      <c r="Q176" s="101">
        <v>4</v>
      </c>
      <c r="R176" s="101">
        <v>3</v>
      </c>
      <c r="S176" s="101">
        <v>8</v>
      </c>
      <c r="T176" s="101">
        <v>10</v>
      </c>
      <c r="U176" s="101">
        <v>6</v>
      </c>
      <c r="V176" s="101">
        <v>5</v>
      </c>
      <c r="W176" s="101">
        <v>4</v>
      </c>
      <c r="X176" s="101">
        <v>5</v>
      </c>
      <c r="Y176" s="101">
        <v>4</v>
      </c>
      <c r="Z176" s="101">
        <v>5</v>
      </c>
      <c r="AA176" s="101">
        <v>2</v>
      </c>
      <c r="AB176" s="101">
        <v>7</v>
      </c>
      <c r="AC176" s="101">
        <v>6</v>
      </c>
      <c r="AD176" s="101">
        <v>2</v>
      </c>
      <c r="AE176" s="101">
        <v>2</v>
      </c>
      <c r="AF176" s="102">
        <v>10</v>
      </c>
      <c r="AG176" s="103">
        <f t="shared" si="28"/>
        <v>165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17</v>
      </c>
      <c r="C179" s="220">
        <f t="shared" si="32"/>
        <v>15</v>
      </c>
      <c r="D179" s="220">
        <f t="shared" si="32"/>
        <v>9</v>
      </c>
      <c r="E179" s="220">
        <f t="shared" si="32"/>
        <v>11</v>
      </c>
      <c r="F179" s="220">
        <f t="shared" si="32"/>
        <v>15</v>
      </c>
      <c r="G179" s="220">
        <f t="shared" si="32"/>
        <v>19</v>
      </c>
      <c r="H179" s="220">
        <f t="shared" si="32"/>
        <v>13</v>
      </c>
      <c r="I179" s="220">
        <f t="shared" si="32"/>
        <v>22</v>
      </c>
      <c r="J179" s="220">
        <f t="shared" si="32"/>
        <v>14</v>
      </c>
      <c r="K179" s="220">
        <f t="shared" si="32"/>
        <v>19</v>
      </c>
      <c r="L179" s="220">
        <f t="shared" si="32"/>
        <v>13</v>
      </c>
      <c r="M179" s="220">
        <f t="shared" si="32"/>
        <v>10</v>
      </c>
      <c r="N179" s="220">
        <f t="shared" si="32"/>
        <v>29</v>
      </c>
      <c r="O179" s="220">
        <f t="shared" si="32"/>
        <v>15</v>
      </c>
      <c r="P179" s="220">
        <f t="shared" si="32"/>
        <v>11</v>
      </c>
      <c r="Q179" s="220">
        <f t="shared" si="32"/>
        <v>31</v>
      </c>
      <c r="R179" s="220">
        <f t="shared" si="32"/>
        <v>16</v>
      </c>
      <c r="S179" s="220">
        <f t="shared" si="32"/>
        <v>6</v>
      </c>
      <c r="T179" s="220">
        <f t="shared" si="32"/>
        <v>20</v>
      </c>
      <c r="U179" s="220">
        <f t="shared" si="32"/>
        <v>11</v>
      </c>
      <c r="V179" s="220">
        <f t="shared" si="32"/>
        <v>5</v>
      </c>
      <c r="W179" s="220">
        <f t="shared" si="32"/>
        <v>11</v>
      </c>
      <c r="X179" s="220">
        <f t="shared" si="32"/>
        <v>15</v>
      </c>
      <c r="Y179" s="220">
        <f t="shared" si="32"/>
        <v>9</v>
      </c>
      <c r="Z179" s="220">
        <f t="shared" si="32"/>
        <v>7</v>
      </c>
      <c r="AA179" s="220">
        <f t="shared" si="32"/>
        <v>15</v>
      </c>
      <c r="AB179" s="220">
        <f t="shared" si="32"/>
        <v>11</v>
      </c>
      <c r="AC179" s="220">
        <f t="shared" si="32"/>
        <v>15</v>
      </c>
      <c r="AD179" s="220">
        <f t="shared" si="32"/>
        <v>19</v>
      </c>
      <c r="AE179" s="220">
        <f t="shared" si="32"/>
        <v>12</v>
      </c>
      <c r="AF179" s="221">
        <f t="shared" si="32"/>
        <v>22</v>
      </c>
      <c r="AG179" s="156">
        <f t="shared" si="28"/>
        <v>457</v>
      </c>
      <c r="AH179" s="38"/>
    </row>
    <row r="180" spans="1:34" ht="18.75" x14ac:dyDescent="0.25">
      <c r="A180" s="109" t="s">
        <v>4</v>
      </c>
      <c r="B180" s="216">
        <v>6</v>
      </c>
      <c r="C180" s="216">
        <v>5</v>
      </c>
      <c r="D180" s="216">
        <v>2</v>
      </c>
      <c r="E180" s="216">
        <v>2</v>
      </c>
      <c r="F180" s="216">
        <v>8</v>
      </c>
      <c r="G180" s="216">
        <v>3</v>
      </c>
      <c r="H180" s="216">
        <v>2</v>
      </c>
      <c r="I180" s="216">
        <v>8</v>
      </c>
      <c r="J180" s="216">
        <v>5</v>
      </c>
      <c r="K180" s="216">
        <v>5</v>
      </c>
      <c r="L180" s="216">
        <v>3</v>
      </c>
      <c r="M180" s="216">
        <v>4</v>
      </c>
      <c r="N180" s="217">
        <v>10</v>
      </c>
      <c r="O180" s="217">
        <v>2</v>
      </c>
      <c r="P180" s="217">
        <v>1</v>
      </c>
      <c r="Q180" s="217">
        <v>11</v>
      </c>
      <c r="R180" s="217">
        <v>2</v>
      </c>
      <c r="S180" s="217">
        <v>1</v>
      </c>
      <c r="T180" s="217">
        <v>13</v>
      </c>
      <c r="U180" s="217">
        <v>2</v>
      </c>
      <c r="V180" s="217">
        <v>4</v>
      </c>
      <c r="W180" s="217">
        <v>3</v>
      </c>
      <c r="X180" s="217">
        <v>7</v>
      </c>
      <c r="Y180" s="217">
        <v>1</v>
      </c>
      <c r="Z180" s="217">
        <v>2</v>
      </c>
      <c r="AA180" s="217">
        <v>9</v>
      </c>
      <c r="AB180" s="217">
        <v>7</v>
      </c>
      <c r="AC180" s="217">
        <v>1</v>
      </c>
      <c r="AD180" s="217">
        <v>13</v>
      </c>
      <c r="AE180" s="217">
        <v>3</v>
      </c>
      <c r="AF180" s="218">
        <v>3</v>
      </c>
      <c r="AG180" s="31">
        <f t="shared" si="28"/>
        <v>148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>
        <v>2</v>
      </c>
      <c r="N181" s="17"/>
      <c r="O181" s="17"/>
      <c r="P181" s="17">
        <v>1</v>
      </c>
      <c r="Q181" s="17"/>
      <c r="R181" s="17">
        <v>2</v>
      </c>
      <c r="S181" s="17"/>
      <c r="T181" s="17"/>
      <c r="U181" s="17"/>
      <c r="V181" s="17"/>
      <c r="W181" s="17"/>
      <c r="X181" s="17"/>
      <c r="Y181" s="17">
        <v>1</v>
      </c>
      <c r="Z181" s="17"/>
      <c r="AA181" s="17"/>
      <c r="AB181" s="17"/>
      <c r="AC181" s="17"/>
      <c r="AD181" s="17"/>
      <c r="AE181" s="17"/>
      <c r="AF181" s="18"/>
      <c r="AG181" s="4">
        <f t="shared" si="28"/>
        <v>6</v>
      </c>
    </row>
    <row r="182" spans="1:34" ht="18.75" x14ac:dyDescent="0.25">
      <c r="A182" s="109" t="s">
        <v>123</v>
      </c>
      <c r="B182" s="147">
        <v>9</v>
      </c>
      <c r="C182" s="147">
        <v>8</v>
      </c>
      <c r="D182" s="147">
        <v>1</v>
      </c>
      <c r="E182" s="147">
        <v>6</v>
      </c>
      <c r="F182" s="147">
        <v>3</v>
      </c>
      <c r="G182" s="147">
        <v>12</v>
      </c>
      <c r="H182" s="147">
        <v>6</v>
      </c>
      <c r="I182" s="147">
        <v>12</v>
      </c>
      <c r="J182" s="147">
        <v>7</v>
      </c>
      <c r="K182" s="147">
        <v>4</v>
      </c>
      <c r="L182" s="147">
        <v>6</v>
      </c>
      <c r="M182" s="147"/>
      <c r="N182" s="17">
        <v>15</v>
      </c>
      <c r="O182" s="17">
        <v>12</v>
      </c>
      <c r="P182" s="17">
        <v>5</v>
      </c>
      <c r="Q182" s="17">
        <v>12</v>
      </c>
      <c r="R182" s="17">
        <v>2</v>
      </c>
      <c r="S182" s="17">
        <v>4</v>
      </c>
      <c r="T182" s="17">
        <v>1</v>
      </c>
      <c r="U182" s="17">
        <v>9</v>
      </c>
      <c r="V182" s="17"/>
      <c r="W182" s="17">
        <v>7</v>
      </c>
      <c r="X182" s="17">
        <v>4</v>
      </c>
      <c r="Y182" s="17">
        <v>1</v>
      </c>
      <c r="Z182" s="17">
        <v>2</v>
      </c>
      <c r="AA182" s="17">
        <v>2</v>
      </c>
      <c r="AB182" s="17"/>
      <c r="AC182" s="17">
        <v>14</v>
      </c>
      <c r="AD182" s="17">
        <v>5</v>
      </c>
      <c r="AE182" s="17">
        <v>5</v>
      </c>
      <c r="AF182" s="18">
        <v>6</v>
      </c>
      <c r="AG182" s="4">
        <f t="shared" si="28"/>
        <v>180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ref="AG183" si="33">SUM(B183:AF183)</f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>
        <v>1</v>
      </c>
      <c r="AG184" s="4">
        <f t="shared" si="28"/>
        <v>1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139</v>
      </c>
      <c r="B187" s="147"/>
      <c r="C187" s="147"/>
      <c r="D187" s="147">
        <v>6</v>
      </c>
      <c r="E187" s="147"/>
      <c r="F187" s="147"/>
      <c r="G187" s="147">
        <v>2</v>
      </c>
      <c r="H187" s="147"/>
      <c r="I187" s="147"/>
      <c r="J187" s="147"/>
      <c r="K187" s="147">
        <v>6</v>
      </c>
      <c r="L187" s="147">
        <v>1</v>
      </c>
      <c r="M187" s="147"/>
      <c r="N187" s="17"/>
      <c r="O187" s="17"/>
      <c r="P187" s="17"/>
      <c r="Q187" s="17"/>
      <c r="R187" s="17">
        <v>5</v>
      </c>
      <c r="S187" s="17"/>
      <c r="T187" s="17">
        <v>3</v>
      </c>
      <c r="U187" s="17"/>
      <c r="V187" s="17"/>
      <c r="W187" s="17"/>
      <c r="X187" s="17"/>
      <c r="Y187" s="17">
        <v>4</v>
      </c>
      <c r="Z187" s="17"/>
      <c r="AA187" s="17"/>
      <c r="AB187" s="17"/>
      <c r="AC187" s="17"/>
      <c r="AD187" s="17"/>
      <c r="AE187" s="17">
        <v>1</v>
      </c>
      <c r="AF187" s="18">
        <v>8</v>
      </c>
      <c r="AG187" s="4">
        <f t="shared" si="28"/>
        <v>36</v>
      </c>
    </row>
    <row r="188" spans="1:34" ht="18.75" x14ac:dyDescent="0.25">
      <c r="A188" s="110" t="s">
        <v>63</v>
      </c>
      <c r="B188" s="147">
        <v>1</v>
      </c>
      <c r="C188" s="147"/>
      <c r="D188" s="147"/>
      <c r="E188" s="147">
        <v>1</v>
      </c>
      <c r="F188" s="147"/>
      <c r="G188" s="147"/>
      <c r="H188" s="147"/>
      <c r="I188" s="147">
        <v>2</v>
      </c>
      <c r="J188" s="147"/>
      <c r="K188" s="147"/>
      <c r="L188" s="147">
        <v>3</v>
      </c>
      <c r="M188" s="147"/>
      <c r="N188" s="17"/>
      <c r="O188" s="17"/>
      <c r="P188" s="17">
        <v>2</v>
      </c>
      <c r="Q188" s="17"/>
      <c r="R188" s="17">
        <v>3</v>
      </c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>
        <v>1</v>
      </c>
      <c r="AF188" s="18"/>
      <c r="AG188" s="4">
        <f t="shared" si="28"/>
        <v>13</v>
      </c>
    </row>
    <row r="189" spans="1:34" ht="18.75" x14ac:dyDescent="0.25">
      <c r="A189" s="110" t="s">
        <v>142</v>
      </c>
      <c r="B189" s="147">
        <v>1</v>
      </c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>
        <v>1</v>
      </c>
      <c r="AB189" s="17"/>
      <c r="AC189" s="17"/>
      <c r="AD189" s="17"/>
      <c r="AE189" s="17"/>
      <c r="AF189" s="18">
        <v>1</v>
      </c>
      <c r="AG189" s="4">
        <f t="shared" si="28"/>
        <v>3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243" t="s">
        <v>5</v>
      </c>
      <c r="B192" s="244"/>
      <c r="C192" s="244"/>
      <c r="D192" s="244"/>
      <c r="E192" s="244"/>
      <c r="F192" s="244">
        <v>3</v>
      </c>
      <c r="G192" s="244"/>
      <c r="H192" s="244"/>
      <c r="I192" s="244"/>
      <c r="J192" s="244"/>
      <c r="K192" s="244">
        <v>1</v>
      </c>
      <c r="L192" s="244"/>
      <c r="M192" s="244">
        <v>2</v>
      </c>
      <c r="N192" s="245"/>
      <c r="O192" s="245"/>
      <c r="P192" s="245">
        <v>1</v>
      </c>
      <c r="Q192" s="245"/>
      <c r="R192" s="245">
        <v>1</v>
      </c>
      <c r="S192" s="245"/>
      <c r="T192" s="245">
        <v>3</v>
      </c>
      <c r="U192" s="245"/>
      <c r="V192" s="245">
        <v>1</v>
      </c>
      <c r="W192" s="245"/>
      <c r="X192" s="245">
        <v>1</v>
      </c>
      <c r="Y192" s="245">
        <v>1</v>
      </c>
      <c r="Z192" s="245"/>
      <c r="AA192" s="245">
        <v>1</v>
      </c>
      <c r="AB192" s="245">
        <v>3</v>
      </c>
      <c r="AC192" s="245"/>
      <c r="AD192" s="245">
        <v>1</v>
      </c>
      <c r="AE192" s="245">
        <v>1</v>
      </c>
      <c r="AF192" s="246">
        <v>1</v>
      </c>
      <c r="AG192" s="247">
        <f t="shared" ref="AG192" si="34">SUM(B192:AF192)</f>
        <v>21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143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>
        <v>3</v>
      </c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3</v>
      </c>
    </row>
    <row r="198" spans="1:34" ht="18.75" x14ac:dyDescent="0.25">
      <c r="A198" s="110" t="s">
        <v>124</v>
      </c>
      <c r="B198" s="147"/>
      <c r="C198" s="147">
        <v>1</v>
      </c>
      <c r="D198" s="147"/>
      <c r="E198" s="147"/>
      <c r="F198" s="147"/>
      <c r="G198" s="147"/>
      <c r="H198" s="147">
        <v>4</v>
      </c>
      <c r="I198" s="147"/>
      <c r="J198" s="147"/>
      <c r="K198" s="147">
        <v>1</v>
      </c>
      <c r="L198" s="147"/>
      <c r="M198" s="147"/>
      <c r="N198" s="17"/>
      <c r="O198" s="17">
        <v>1</v>
      </c>
      <c r="P198" s="17"/>
      <c r="Q198" s="17">
        <v>8</v>
      </c>
      <c r="R198" s="17">
        <v>1</v>
      </c>
      <c r="S198" s="17"/>
      <c r="T198" s="17"/>
      <c r="U198" s="17"/>
      <c r="V198" s="17"/>
      <c r="W198" s="17"/>
      <c r="X198" s="17">
        <v>3</v>
      </c>
      <c r="Y198" s="17"/>
      <c r="Z198" s="17"/>
      <c r="AA198" s="17"/>
      <c r="AB198" s="17"/>
      <c r="AC198" s="17"/>
      <c r="AD198" s="17"/>
      <c r="AE198" s="17"/>
      <c r="AF198" s="18">
        <v>1</v>
      </c>
      <c r="AG198" s="4">
        <f t="shared" si="28"/>
        <v>20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>
        <v>1</v>
      </c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125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>
        <v>1</v>
      </c>
      <c r="AB200" s="17"/>
      <c r="AC200" s="17"/>
      <c r="AD200" s="17"/>
      <c r="AE200" s="17"/>
      <c r="AF200" s="18"/>
      <c r="AG200" s="4">
        <f t="shared" si="28"/>
        <v>1</v>
      </c>
    </row>
    <row r="201" spans="1:34" ht="18.75" x14ac:dyDescent="0.25">
      <c r="A201" s="110" t="s">
        <v>126</v>
      </c>
      <c r="B201" s="202"/>
      <c r="C201" s="202">
        <v>1</v>
      </c>
      <c r="D201" s="202"/>
      <c r="E201" s="202">
        <v>2</v>
      </c>
      <c r="F201" s="202">
        <v>1</v>
      </c>
      <c r="G201" s="202">
        <v>1</v>
      </c>
      <c r="H201" s="202">
        <v>1</v>
      </c>
      <c r="I201" s="202"/>
      <c r="J201" s="202">
        <v>2</v>
      </c>
      <c r="K201" s="202"/>
      <c r="L201" s="202"/>
      <c r="M201" s="202">
        <v>2</v>
      </c>
      <c r="N201" s="203">
        <v>1</v>
      </c>
      <c r="O201" s="203"/>
      <c r="P201" s="203">
        <v>1</v>
      </c>
      <c r="Q201" s="203"/>
      <c r="R201" s="203"/>
      <c r="S201" s="203">
        <v>1</v>
      </c>
      <c r="T201" s="203"/>
      <c r="U201" s="203"/>
      <c r="V201" s="203"/>
      <c r="W201" s="203"/>
      <c r="X201" s="203"/>
      <c r="Y201" s="203">
        <v>1</v>
      </c>
      <c r="Z201" s="203">
        <v>2</v>
      </c>
      <c r="AA201" s="203">
        <v>1</v>
      </c>
      <c r="AB201" s="203">
        <v>1</v>
      </c>
      <c r="AC201" s="203"/>
      <c r="AD201" s="203"/>
      <c r="AE201" s="203">
        <v>1</v>
      </c>
      <c r="AF201" s="204">
        <v>1</v>
      </c>
      <c r="AG201" s="4">
        <f t="shared" si="28"/>
        <v>20</v>
      </c>
    </row>
    <row r="202" spans="1:34" ht="18.75" x14ac:dyDescent="0.25">
      <c r="A202" s="112" t="s">
        <v>170</v>
      </c>
      <c r="B202" s="202"/>
      <c r="C202" s="202"/>
      <c r="D202" s="202"/>
      <c r="E202" s="202"/>
      <c r="F202" s="202"/>
      <c r="G202" s="202">
        <v>1</v>
      </c>
      <c r="H202" s="202"/>
      <c r="I202" s="202"/>
      <c r="J202" s="202"/>
      <c r="K202" s="202">
        <v>1</v>
      </c>
      <c r="L202" s="202"/>
      <c r="M202" s="202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>
        <v>1</v>
      </c>
      <c r="X202" s="203"/>
      <c r="Y202" s="203"/>
      <c r="Z202" s="203">
        <v>1</v>
      </c>
      <c r="AA202" s="203"/>
      <c r="AB202" s="203"/>
      <c r="AC202" s="203"/>
      <c r="AD202" s="203"/>
      <c r="AE202" s="203"/>
      <c r="AF202" s="204"/>
      <c r="AG202" s="4">
        <f t="shared" si="28"/>
        <v>4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0</v>
      </c>
    </row>
    <row r="204" spans="1:34" ht="19.5" thickBot="1" x14ac:dyDescent="0.3">
      <c r="A204" s="215" t="s">
        <v>83</v>
      </c>
      <c r="B204" s="209">
        <f>SUM(B205:B209)</f>
        <v>160</v>
      </c>
      <c r="C204" s="210">
        <f t="shared" ref="C204:AF204" si="35">SUM(C205:C209)</f>
        <v>166</v>
      </c>
      <c r="D204" s="210">
        <f t="shared" si="35"/>
        <v>141</v>
      </c>
      <c r="E204" s="210">
        <f t="shared" si="35"/>
        <v>129</v>
      </c>
      <c r="F204" s="210">
        <f t="shared" si="35"/>
        <v>222</v>
      </c>
      <c r="G204" s="210">
        <f t="shared" si="35"/>
        <v>242</v>
      </c>
      <c r="H204" s="210">
        <f t="shared" si="35"/>
        <v>193</v>
      </c>
      <c r="I204" s="210">
        <f t="shared" si="35"/>
        <v>174</v>
      </c>
      <c r="J204" s="210">
        <f t="shared" si="35"/>
        <v>185</v>
      </c>
      <c r="K204" s="210">
        <f t="shared" si="35"/>
        <v>172</v>
      </c>
      <c r="L204" s="210">
        <f t="shared" si="35"/>
        <v>177</v>
      </c>
      <c r="M204" s="210">
        <f t="shared" si="35"/>
        <v>247</v>
      </c>
      <c r="N204" s="211">
        <f t="shared" si="35"/>
        <v>266</v>
      </c>
      <c r="O204" s="211">
        <f t="shared" si="35"/>
        <v>194</v>
      </c>
      <c r="P204" s="211">
        <f t="shared" si="35"/>
        <v>157</v>
      </c>
      <c r="Q204" s="211">
        <f t="shared" si="35"/>
        <v>182</v>
      </c>
      <c r="R204" s="211">
        <f t="shared" si="35"/>
        <v>188</v>
      </c>
      <c r="S204" s="211">
        <f t="shared" si="35"/>
        <v>168</v>
      </c>
      <c r="T204" s="211">
        <f t="shared" si="35"/>
        <v>229</v>
      </c>
      <c r="U204" s="211">
        <f t="shared" si="35"/>
        <v>190</v>
      </c>
      <c r="V204" s="211">
        <f t="shared" si="35"/>
        <v>100</v>
      </c>
      <c r="W204" s="211">
        <f t="shared" si="35"/>
        <v>126</v>
      </c>
      <c r="X204" s="211">
        <f t="shared" si="35"/>
        <v>108</v>
      </c>
      <c r="Y204" s="211">
        <f t="shared" si="35"/>
        <v>127</v>
      </c>
      <c r="Z204" s="211">
        <f t="shared" si="35"/>
        <v>132</v>
      </c>
      <c r="AA204" s="211">
        <f t="shared" si="35"/>
        <v>164</v>
      </c>
      <c r="AB204" s="211">
        <f t="shared" si="35"/>
        <v>208</v>
      </c>
      <c r="AC204" s="211">
        <f t="shared" si="35"/>
        <v>119</v>
      </c>
      <c r="AD204" s="211">
        <f t="shared" si="35"/>
        <v>146</v>
      </c>
      <c r="AE204" s="211">
        <f t="shared" si="35"/>
        <v>128</v>
      </c>
      <c r="AF204" s="212">
        <f t="shared" si="35"/>
        <v>194</v>
      </c>
      <c r="AG204" s="213">
        <f t="shared" si="28"/>
        <v>5334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6"/>
      <c r="O205" s="206">
        <v>1</v>
      </c>
      <c r="P205" s="206"/>
      <c r="Q205" s="206"/>
      <c r="R205" s="206">
        <v>1</v>
      </c>
      <c r="S205" s="206">
        <v>1</v>
      </c>
      <c r="T205" s="206"/>
      <c r="U205" s="206"/>
      <c r="V205" s="206"/>
      <c r="W205" s="206"/>
      <c r="X205" s="206"/>
      <c r="Y205" s="206"/>
      <c r="Z205" s="206">
        <v>1</v>
      </c>
      <c r="AA205" s="206"/>
      <c r="AB205" s="206"/>
      <c r="AC205" s="206"/>
      <c r="AD205" s="206">
        <v>1</v>
      </c>
      <c r="AE205" s="206"/>
      <c r="AF205" s="207"/>
      <c r="AG205" s="208">
        <f t="shared" si="28"/>
        <v>5</v>
      </c>
    </row>
    <row r="206" spans="1:34" ht="18.75" x14ac:dyDescent="0.25">
      <c r="A206" s="52" t="s">
        <v>73</v>
      </c>
      <c r="B206" s="148"/>
      <c r="C206" s="148">
        <v>1</v>
      </c>
      <c r="D206" s="148"/>
      <c r="E206" s="148"/>
      <c r="F206" s="148"/>
      <c r="G206" s="148">
        <v>1</v>
      </c>
      <c r="H206" s="148"/>
      <c r="I206" s="148">
        <v>2</v>
      </c>
      <c r="J206" s="148">
        <v>1</v>
      </c>
      <c r="K206" s="148">
        <v>1</v>
      </c>
      <c r="L206" s="148">
        <v>2</v>
      </c>
      <c r="M206" s="148"/>
      <c r="N206" s="33">
        <v>3</v>
      </c>
      <c r="O206" s="33">
        <v>1</v>
      </c>
      <c r="P206" s="33">
        <v>2</v>
      </c>
      <c r="Q206" s="33">
        <v>2</v>
      </c>
      <c r="R206" s="33"/>
      <c r="S206" s="33">
        <v>5</v>
      </c>
      <c r="T206" s="33">
        <v>2</v>
      </c>
      <c r="U206" s="33"/>
      <c r="V206" s="33"/>
      <c r="W206" s="33">
        <v>1</v>
      </c>
      <c r="X206" s="33"/>
      <c r="Y206" s="33">
        <v>2</v>
      </c>
      <c r="Z206" s="33">
        <v>2</v>
      </c>
      <c r="AA206" s="33">
        <v>2</v>
      </c>
      <c r="AB206" s="33">
        <v>2</v>
      </c>
      <c r="AC206" s="33">
        <v>2</v>
      </c>
      <c r="AD206" s="33"/>
      <c r="AE206" s="33">
        <v>3</v>
      </c>
      <c r="AF206" s="88">
        <v>1</v>
      </c>
      <c r="AG206" s="97">
        <f t="shared" si="28"/>
        <v>38</v>
      </c>
    </row>
    <row r="207" spans="1:34" ht="18.75" x14ac:dyDescent="0.25">
      <c r="A207" s="52" t="s">
        <v>74</v>
      </c>
      <c r="B207" s="148">
        <v>13</v>
      </c>
      <c r="C207" s="148">
        <v>25</v>
      </c>
      <c r="D207" s="148">
        <v>13</v>
      </c>
      <c r="E207" s="148">
        <v>12</v>
      </c>
      <c r="F207" s="148">
        <v>22</v>
      </c>
      <c r="G207" s="148">
        <v>18</v>
      </c>
      <c r="H207" s="148">
        <v>12</v>
      </c>
      <c r="I207" s="148">
        <v>17</v>
      </c>
      <c r="J207" s="148">
        <v>36</v>
      </c>
      <c r="K207" s="148">
        <v>25</v>
      </c>
      <c r="L207" s="148">
        <v>19</v>
      </c>
      <c r="M207" s="148">
        <v>17</v>
      </c>
      <c r="N207" s="33">
        <v>31</v>
      </c>
      <c r="O207" s="33">
        <v>24</v>
      </c>
      <c r="P207" s="33">
        <v>18</v>
      </c>
      <c r="Q207" s="33">
        <v>13</v>
      </c>
      <c r="R207" s="33">
        <v>9</v>
      </c>
      <c r="S207" s="33">
        <v>19</v>
      </c>
      <c r="T207" s="33">
        <v>24</v>
      </c>
      <c r="U207" s="33">
        <v>12</v>
      </c>
      <c r="V207" s="33">
        <v>6</v>
      </c>
      <c r="W207" s="33">
        <v>13</v>
      </c>
      <c r="X207" s="33">
        <v>10</v>
      </c>
      <c r="Y207" s="33">
        <v>13</v>
      </c>
      <c r="Z207" s="33">
        <v>10</v>
      </c>
      <c r="AA207" s="33">
        <v>27</v>
      </c>
      <c r="AB207" s="33">
        <v>24</v>
      </c>
      <c r="AC207" s="33">
        <v>2</v>
      </c>
      <c r="AD207" s="33">
        <v>18</v>
      </c>
      <c r="AE207" s="33">
        <v>17</v>
      </c>
      <c r="AF207" s="88">
        <v>27</v>
      </c>
      <c r="AG207" s="97">
        <f t="shared" si="28"/>
        <v>546</v>
      </c>
    </row>
    <row r="208" spans="1:34" ht="18.75" x14ac:dyDescent="0.25">
      <c r="A208" s="52" t="s">
        <v>75</v>
      </c>
      <c r="B208" s="148">
        <v>131</v>
      </c>
      <c r="C208" s="148">
        <v>119</v>
      </c>
      <c r="D208" s="148">
        <v>105</v>
      </c>
      <c r="E208" s="148">
        <v>93</v>
      </c>
      <c r="F208" s="148">
        <v>120</v>
      </c>
      <c r="G208" s="148">
        <v>163</v>
      </c>
      <c r="H208" s="148">
        <v>149</v>
      </c>
      <c r="I208" s="148">
        <v>138</v>
      </c>
      <c r="J208" s="148">
        <v>130</v>
      </c>
      <c r="K208" s="148">
        <v>123</v>
      </c>
      <c r="L208" s="148">
        <v>87</v>
      </c>
      <c r="M208" s="148">
        <v>123</v>
      </c>
      <c r="N208" s="33">
        <v>176</v>
      </c>
      <c r="O208" s="33">
        <v>111</v>
      </c>
      <c r="P208" s="33">
        <v>126</v>
      </c>
      <c r="Q208" s="33">
        <v>124</v>
      </c>
      <c r="R208" s="33">
        <v>120</v>
      </c>
      <c r="S208" s="33">
        <v>99</v>
      </c>
      <c r="T208" s="33">
        <v>155</v>
      </c>
      <c r="U208" s="33">
        <v>131</v>
      </c>
      <c r="V208" s="33">
        <v>67</v>
      </c>
      <c r="W208" s="33">
        <v>79</v>
      </c>
      <c r="X208" s="33">
        <v>85</v>
      </c>
      <c r="Y208" s="33">
        <v>84</v>
      </c>
      <c r="Z208" s="33">
        <v>77</v>
      </c>
      <c r="AA208" s="33">
        <v>100</v>
      </c>
      <c r="AB208" s="33">
        <v>136</v>
      </c>
      <c r="AC208" s="33">
        <v>89</v>
      </c>
      <c r="AD208" s="33">
        <v>117</v>
      </c>
      <c r="AE208" s="33">
        <v>84</v>
      </c>
      <c r="AF208" s="88">
        <v>109</v>
      </c>
      <c r="AG208" s="97">
        <f t="shared" si="28"/>
        <v>3550</v>
      </c>
    </row>
    <row r="209" spans="1:34" ht="19.5" thickBot="1" x14ac:dyDescent="0.3">
      <c r="A209" s="63" t="s">
        <v>76</v>
      </c>
      <c r="B209" s="149">
        <v>16</v>
      </c>
      <c r="C209" s="149">
        <v>21</v>
      </c>
      <c r="D209" s="149">
        <v>23</v>
      </c>
      <c r="E209" s="149">
        <v>24</v>
      </c>
      <c r="F209" s="149">
        <v>80</v>
      </c>
      <c r="G209" s="149">
        <v>60</v>
      </c>
      <c r="H209" s="149">
        <v>32</v>
      </c>
      <c r="I209" s="149">
        <v>17</v>
      </c>
      <c r="J209" s="149">
        <v>18</v>
      </c>
      <c r="K209" s="149">
        <v>23</v>
      </c>
      <c r="L209" s="149">
        <v>69</v>
      </c>
      <c r="M209" s="149">
        <v>107</v>
      </c>
      <c r="N209" s="34">
        <v>56</v>
      </c>
      <c r="O209" s="34">
        <v>57</v>
      </c>
      <c r="P209" s="34">
        <v>11</v>
      </c>
      <c r="Q209" s="34">
        <v>43</v>
      </c>
      <c r="R209" s="34">
        <v>58</v>
      </c>
      <c r="S209" s="34">
        <v>44</v>
      </c>
      <c r="T209" s="34">
        <v>48</v>
      </c>
      <c r="U209" s="34">
        <v>47</v>
      </c>
      <c r="V209" s="34">
        <v>27</v>
      </c>
      <c r="W209" s="34">
        <v>33</v>
      </c>
      <c r="X209" s="34">
        <v>13</v>
      </c>
      <c r="Y209" s="34">
        <v>28</v>
      </c>
      <c r="Z209" s="34">
        <v>42</v>
      </c>
      <c r="AA209" s="34">
        <v>35</v>
      </c>
      <c r="AB209" s="34">
        <v>46</v>
      </c>
      <c r="AC209" s="34">
        <v>26</v>
      </c>
      <c r="AD209" s="34">
        <v>10</v>
      </c>
      <c r="AE209" s="34">
        <v>24</v>
      </c>
      <c r="AF209" s="89">
        <v>57</v>
      </c>
      <c r="AG209" s="35">
        <f t="shared" si="28"/>
        <v>1195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>
        <v>3.0555555555555555E-2</v>
      </c>
      <c r="C211" s="19">
        <v>2.0833333333333332E-2</v>
      </c>
      <c r="D211" s="19">
        <v>1.4583333333333332E-2</v>
      </c>
      <c r="E211" s="19">
        <v>1.4583333333333332E-2</v>
      </c>
      <c r="F211" s="19">
        <v>9.7222222222222224E-3</v>
      </c>
      <c r="G211" s="19">
        <v>8.3333333333333332E-3</v>
      </c>
      <c r="H211" s="19">
        <v>4.3055555555555562E-2</v>
      </c>
      <c r="I211" s="19">
        <v>5.486111111111111E-2</v>
      </c>
      <c r="J211" s="19">
        <v>1.8055555555555557E-2</v>
      </c>
      <c r="K211" s="19">
        <v>2.9861111111111113E-2</v>
      </c>
      <c r="L211" s="19">
        <v>2.7777777777777776E-2</v>
      </c>
      <c r="M211" s="19">
        <v>6.9444444444444441E-3</v>
      </c>
      <c r="N211" s="19">
        <v>8.3333333333333332E-3</v>
      </c>
      <c r="O211" s="19">
        <v>2.013888888888889E-2</v>
      </c>
      <c r="P211" s="19">
        <v>4.4444444444444446E-2</v>
      </c>
      <c r="Q211" s="19">
        <v>1.9444444444444445E-2</v>
      </c>
      <c r="R211" s="19">
        <v>1.1805555555555555E-2</v>
      </c>
      <c r="S211" s="19">
        <v>3.125E-2</v>
      </c>
      <c r="T211" s="19">
        <v>6.9444444444444441E-3</v>
      </c>
      <c r="U211" s="19">
        <v>1.1111111111111112E-2</v>
      </c>
      <c r="V211" s="19">
        <v>2.2222222222222223E-2</v>
      </c>
      <c r="W211" s="19">
        <v>1.0416666666666666E-2</v>
      </c>
      <c r="X211" s="19">
        <v>1.8055555555555557E-2</v>
      </c>
      <c r="Y211" s="19">
        <v>1.1111111111111112E-2</v>
      </c>
      <c r="Z211" s="19">
        <v>2.0833333333333332E-2</v>
      </c>
      <c r="AA211" s="19">
        <v>1.7361111111111112E-2</v>
      </c>
      <c r="AB211" s="19">
        <v>4.8611111111111112E-3</v>
      </c>
      <c r="AC211" s="19">
        <v>2.7083333333333334E-2</v>
      </c>
      <c r="AD211" s="19">
        <v>2.1527777777777781E-2</v>
      </c>
      <c r="AE211" s="19">
        <v>1.5972222222222224E-2</v>
      </c>
      <c r="AF211" s="25">
        <v>8.3333333333333332E-3</v>
      </c>
      <c r="AG211" s="99">
        <f t="shared" si="28"/>
        <v>0.61041666666666683</v>
      </c>
      <c r="AH211" s="376" t="s">
        <v>85</v>
      </c>
    </row>
    <row r="212" spans="1:34" ht="18.75" x14ac:dyDescent="0.25">
      <c r="A212" s="53" t="s">
        <v>110</v>
      </c>
      <c r="B212" s="39">
        <v>4.9999999999999996E-2</v>
      </c>
      <c r="C212" s="39">
        <v>3.2638888888888891E-2</v>
      </c>
      <c r="D212" s="39">
        <v>2.5694444444444447E-2</v>
      </c>
      <c r="E212" s="39">
        <v>1.5972222222222224E-2</v>
      </c>
      <c r="F212" s="39">
        <v>1.4583333333333332E-2</v>
      </c>
      <c r="G212" s="39">
        <v>8.3333333333333332E-3</v>
      </c>
      <c r="H212" s="39">
        <v>5.4166666666666669E-2</v>
      </c>
      <c r="I212" s="39">
        <v>6.5972222222222224E-2</v>
      </c>
      <c r="J212" s="39">
        <v>2.1527777777777781E-2</v>
      </c>
      <c r="K212" s="39">
        <v>3.4722222222222224E-2</v>
      </c>
      <c r="L212" s="39">
        <v>3.6805555555555557E-2</v>
      </c>
      <c r="M212" s="39">
        <v>6.2499999999999995E-3</v>
      </c>
      <c r="N212" s="39">
        <v>7.6388888888888886E-3</v>
      </c>
      <c r="O212" s="39">
        <v>2.9861111111111113E-2</v>
      </c>
      <c r="P212" s="39">
        <v>4.6527777777777779E-2</v>
      </c>
      <c r="Q212" s="39">
        <v>2.9861111111111113E-2</v>
      </c>
      <c r="R212" s="39">
        <v>1.8055555555555557E-2</v>
      </c>
      <c r="S212" s="39">
        <v>3.9583333333333331E-2</v>
      </c>
      <c r="T212" s="39">
        <v>4.8611111111111112E-3</v>
      </c>
      <c r="U212" s="39">
        <v>1.6666666666666666E-2</v>
      </c>
      <c r="V212" s="39">
        <v>1.8749999999999999E-2</v>
      </c>
      <c r="W212" s="39">
        <v>1.5277777777777777E-2</v>
      </c>
      <c r="X212" s="39">
        <v>2.6388888888888889E-2</v>
      </c>
      <c r="Y212" s="39">
        <v>1.5277777777777777E-2</v>
      </c>
      <c r="Z212" s="39">
        <v>4.6527777777777779E-2</v>
      </c>
      <c r="AA212" s="39">
        <v>1.2499999999999999E-2</v>
      </c>
      <c r="AB212" s="39">
        <v>4.1666666666666666E-3</v>
      </c>
      <c r="AC212" s="39">
        <v>3.6805555555555557E-2</v>
      </c>
      <c r="AD212" s="39">
        <v>3.2638888888888891E-2</v>
      </c>
      <c r="AE212" s="39">
        <v>2.013888888888889E-2</v>
      </c>
      <c r="AF212" s="91">
        <v>8.3333333333333332E-3</v>
      </c>
      <c r="AG212" s="100">
        <f t="shared" si="28"/>
        <v>0.7965277777777775</v>
      </c>
      <c r="AH212" s="377"/>
    </row>
    <row r="213" spans="1:34" ht="18.75" x14ac:dyDescent="0.25">
      <c r="A213" s="53" t="s">
        <v>111</v>
      </c>
      <c r="B213" s="39">
        <v>4.5833333333333337E-2</v>
      </c>
      <c r="C213" s="39">
        <v>2.7083333333333334E-2</v>
      </c>
      <c r="D213" s="39">
        <v>1.9444444444444445E-2</v>
      </c>
      <c r="E213" s="39">
        <v>1.3888888888888888E-2</v>
      </c>
      <c r="F213" s="39">
        <v>9.0277777777777787E-3</v>
      </c>
      <c r="G213" s="39">
        <v>8.3333333333333332E-3</v>
      </c>
      <c r="H213" s="39">
        <v>7.9861111111111105E-2</v>
      </c>
      <c r="I213" s="39">
        <v>8.6805555555555566E-2</v>
      </c>
      <c r="J213" s="39">
        <v>2.6388888888888889E-2</v>
      </c>
      <c r="K213" s="39">
        <v>5.486111111111111E-2</v>
      </c>
      <c r="L213" s="39">
        <v>4.3750000000000004E-2</v>
      </c>
      <c r="M213" s="39">
        <v>3.472222222222222E-3</v>
      </c>
      <c r="N213" s="39">
        <v>9.0277777777777787E-3</v>
      </c>
      <c r="O213" s="39">
        <v>3.6805555555555557E-2</v>
      </c>
      <c r="P213" s="39">
        <v>6.805555555555555E-2</v>
      </c>
      <c r="Q213" s="39">
        <v>3.4027777777777775E-2</v>
      </c>
      <c r="R213" s="39">
        <v>1.9444444444444445E-2</v>
      </c>
      <c r="S213" s="39">
        <v>6.1805555555555558E-2</v>
      </c>
      <c r="T213" s="39">
        <v>4.1666666666666666E-3</v>
      </c>
      <c r="U213" s="39">
        <v>1.3888888888888888E-2</v>
      </c>
      <c r="V213" s="39">
        <v>3.9583333333333331E-2</v>
      </c>
      <c r="W213" s="39">
        <v>1.0416666666666666E-2</v>
      </c>
      <c r="X213" s="39">
        <v>3.2638888888888891E-2</v>
      </c>
      <c r="Y213" s="39">
        <v>1.7361111111111112E-2</v>
      </c>
      <c r="Z213" s="39">
        <v>4.5138888888888888E-2</v>
      </c>
      <c r="AA213" s="39">
        <v>8.3333333333333332E-3</v>
      </c>
      <c r="AB213" s="39">
        <v>5.5555555555555558E-3</v>
      </c>
      <c r="AC213" s="39">
        <v>4.3750000000000004E-2</v>
      </c>
      <c r="AD213" s="39">
        <v>4.0972222222222222E-2</v>
      </c>
      <c r="AE213" s="39">
        <v>2.5694444444444447E-2</v>
      </c>
      <c r="AF213" s="91">
        <v>8.3333333333333332E-3</v>
      </c>
      <c r="AG213" s="100">
        <f t="shared" si="28"/>
        <v>0.94374999999999976</v>
      </c>
      <c r="AH213" s="377"/>
    </row>
    <row r="214" spans="1:34" ht="18.75" x14ac:dyDescent="0.25">
      <c r="A214" s="53" t="s">
        <v>112</v>
      </c>
      <c r="B214" s="39">
        <v>3.4722222222222224E-2</v>
      </c>
      <c r="C214" s="39">
        <v>1.7361111111111112E-2</v>
      </c>
      <c r="D214" s="39">
        <v>8.3333333333333332E-3</v>
      </c>
      <c r="E214" s="39">
        <v>1.1805555555555555E-2</v>
      </c>
      <c r="F214" s="39">
        <v>1.1805555555555555E-2</v>
      </c>
      <c r="G214" s="39">
        <v>1.1111111111111112E-2</v>
      </c>
      <c r="H214" s="39">
        <v>4.2361111111111106E-2</v>
      </c>
      <c r="I214" s="39">
        <v>7.6388888888888895E-2</v>
      </c>
      <c r="J214" s="39">
        <v>1.1805555555555555E-2</v>
      </c>
      <c r="K214" s="39">
        <v>3.0555555555555555E-2</v>
      </c>
      <c r="L214" s="39">
        <v>3.125E-2</v>
      </c>
      <c r="M214" s="39">
        <v>4.1666666666666666E-3</v>
      </c>
      <c r="N214" s="39">
        <v>5.5555555555555558E-3</v>
      </c>
      <c r="O214" s="39">
        <v>2.4305555555555556E-2</v>
      </c>
      <c r="P214" s="39">
        <v>5.6944444444444443E-2</v>
      </c>
      <c r="Q214" s="39">
        <v>2.0833333333333332E-2</v>
      </c>
      <c r="R214" s="39">
        <v>5.5555555555555558E-3</v>
      </c>
      <c r="S214" s="39">
        <v>4.027777777777778E-2</v>
      </c>
      <c r="T214" s="39">
        <v>9.0277777777777787E-3</v>
      </c>
      <c r="U214" s="39">
        <v>8.3333333333333332E-3</v>
      </c>
      <c r="V214" s="39">
        <v>2.0833333333333332E-2</v>
      </c>
      <c r="W214" s="39">
        <v>1.1805555555555555E-2</v>
      </c>
      <c r="X214" s="39">
        <v>1.4583333333333332E-2</v>
      </c>
      <c r="Y214" s="39">
        <v>1.5277777777777777E-2</v>
      </c>
      <c r="Z214" s="39">
        <v>2.7777777777777779E-3</v>
      </c>
      <c r="AA214" s="39">
        <v>8.3333333333333332E-3</v>
      </c>
      <c r="AB214" s="39">
        <v>3.472222222222222E-3</v>
      </c>
      <c r="AC214" s="39">
        <v>3.4722222222222224E-2</v>
      </c>
      <c r="AD214" s="39">
        <v>2.5694444444444447E-2</v>
      </c>
      <c r="AE214" s="39">
        <v>1.5277777777777777E-2</v>
      </c>
      <c r="AF214" s="91">
        <v>5.5555555555555558E-3</v>
      </c>
      <c r="AG214" s="100">
        <f t="shared" si="28"/>
        <v>0.62083333333333313</v>
      </c>
      <c r="AH214" s="377"/>
    </row>
    <row r="215" spans="1:34" ht="18.75" x14ac:dyDescent="0.25">
      <c r="A215" s="53" t="s">
        <v>113</v>
      </c>
      <c r="B215" s="39">
        <v>2.5694444444444447E-2</v>
      </c>
      <c r="C215" s="39">
        <v>7.6388888888888886E-3</v>
      </c>
      <c r="D215" s="39">
        <v>9.0277777777777787E-3</v>
      </c>
      <c r="E215" s="39">
        <v>9.7222222222222224E-3</v>
      </c>
      <c r="F215" s="39">
        <v>1.1111111111111112E-2</v>
      </c>
      <c r="G215" s="39">
        <v>8.3333333333333332E-3</v>
      </c>
      <c r="H215" s="39">
        <v>3.2638888888888891E-2</v>
      </c>
      <c r="I215" s="39">
        <v>6.0416666666666667E-2</v>
      </c>
      <c r="J215" s="39">
        <v>2.2916666666666669E-2</v>
      </c>
      <c r="K215" s="39">
        <v>3.4027777777777775E-2</v>
      </c>
      <c r="L215" s="39">
        <v>2.2222222222222223E-2</v>
      </c>
      <c r="M215" s="39">
        <v>5.5555555555555558E-3</v>
      </c>
      <c r="N215" s="39">
        <v>1.8055555555555557E-2</v>
      </c>
      <c r="O215" s="39">
        <v>9.7222222222222224E-3</v>
      </c>
      <c r="P215" s="39">
        <v>4.8611111111111112E-2</v>
      </c>
      <c r="Q215" s="39">
        <v>9.0277777777777787E-3</v>
      </c>
      <c r="R215" s="39">
        <v>4.1666666666666666E-3</v>
      </c>
      <c r="S215" s="39">
        <v>2.4999999999999998E-2</v>
      </c>
      <c r="T215" s="39">
        <v>4.1666666666666666E-3</v>
      </c>
      <c r="U215" s="39">
        <v>4.8611111111111112E-3</v>
      </c>
      <c r="V215" s="39">
        <v>2.7777777777777779E-3</v>
      </c>
      <c r="W215" s="39">
        <v>5.5555555555555558E-3</v>
      </c>
      <c r="X215" s="39">
        <v>6.9444444444444441E-3</v>
      </c>
      <c r="Y215" s="39">
        <v>9.0277777777777787E-3</v>
      </c>
      <c r="Z215" s="39">
        <v>1.3888888888888888E-2</v>
      </c>
      <c r="AA215" s="39">
        <v>2.1527777777777781E-2</v>
      </c>
      <c r="AB215" s="39">
        <v>5.5555555555555558E-3</v>
      </c>
      <c r="AC215" s="39">
        <v>1.2499999999999999E-2</v>
      </c>
      <c r="AD215" s="39">
        <v>1.3888888888888888E-2</v>
      </c>
      <c r="AE215" s="39">
        <v>2.9861111111111113E-2</v>
      </c>
      <c r="AF215" s="91">
        <v>1.5972222222222224E-2</v>
      </c>
      <c r="AG215" s="100">
        <f t="shared" si="28"/>
        <v>0.51041666666666663</v>
      </c>
      <c r="AH215" s="377"/>
    </row>
    <row r="216" spans="1:34" ht="18.75" x14ac:dyDescent="0.25">
      <c r="A216" s="53" t="s">
        <v>114</v>
      </c>
      <c r="B216" s="39">
        <v>7.6388888888888886E-3</v>
      </c>
      <c r="C216" s="39">
        <v>8.3333333333333332E-3</v>
      </c>
      <c r="D216" s="39">
        <v>5.5555555555555558E-3</v>
      </c>
      <c r="E216" s="39">
        <v>1.9444444444444445E-2</v>
      </c>
      <c r="F216" s="39">
        <v>1.8055555555555557E-2</v>
      </c>
      <c r="G216" s="39">
        <v>1.1111111111111112E-2</v>
      </c>
      <c r="H216" s="39">
        <v>3.2638888888888891E-2</v>
      </c>
      <c r="I216" s="39">
        <v>4.6527777777777779E-2</v>
      </c>
      <c r="J216" s="39">
        <v>1.8055555555555557E-2</v>
      </c>
      <c r="K216" s="39">
        <v>2.2916666666666669E-2</v>
      </c>
      <c r="L216" s="39">
        <v>1.5972222222222224E-2</v>
      </c>
      <c r="M216" s="39">
        <v>3.472222222222222E-3</v>
      </c>
      <c r="N216" s="39">
        <v>1.1111111111111112E-2</v>
      </c>
      <c r="O216" s="39">
        <v>7.6388888888888886E-3</v>
      </c>
      <c r="P216" s="39">
        <v>2.9166666666666664E-2</v>
      </c>
      <c r="Q216" s="39">
        <v>2.0833333333333333E-3</v>
      </c>
      <c r="R216" s="39">
        <v>4.8611111111111112E-3</v>
      </c>
      <c r="S216" s="39">
        <v>2.2916666666666669E-2</v>
      </c>
      <c r="T216" s="39">
        <v>2.0833333333333333E-3</v>
      </c>
      <c r="U216" s="39">
        <v>5.5555555555555558E-3</v>
      </c>
      <c r="V216" s="39">
        <v>3.472222222222222E-3</v>
      </c>
      <c r="W216" s="39">
        <v>4.1666666666666666E-3</v>
      </c>
      <c r="X216" s="39">
        <v>6.9444444444444441E-3</v>
      </c>
      <c r="Y216" s="39">
        <v>3.472222222222222E-3</v>
      </c>
      <c r="Z216" s="39">
        <v>1.0416666666666666E-2</v>
      </c>
      <c r="AA216" s="39">
        <v>4.8611111111111112E-3</v>
      </c>
      <c r="AB216" s="39">
        <v>2.7777777777777779E-3</v>
      </c>
      <c r="AC216" s="39">
        <v>7.6388888888888886E-3</v>
      </c>
      <c r="AD216" s="39">
        <v>7.6388888888888886E-3</v>
      </c>
      <c r="AE216" s="39">
        <v>5.5555555555555558E-3</v>
      </c>
      <c r="AF216" s="91">
        <v>9.7222222222222224E-3</v>
      </c>
      <c r="AG216" s="100">
        <f t="shared" ref="AG216:AG218" si="36">SUM(B216:AF216)</f>
        <v>0.36180555555555538</v>
      </c>
      <c r="AH216" s="377"/>
    </row>
    <row r="217" spans="1:34" ht="18.75" x14ac:dyDescent="0.25">
      <c r="A217" s="53" t="s">
        <v>115</v>
      </c>
      <c r="B217" s="39">
        <v>5.5555555555555558E-3</v>
      </c>
      <c r="C217" s="39">
        <v>2.1527777777777781E-2</v>
      </c>
      <c r="D217" s="39">
        <v>8.3333333333333332E-3</v>
      </c>
      <c r="E217" s="39">
        <v>2.2222222222222223E-2</v>
      </c>
      <c r="F217" s="39">
        <v>9.7222222222222224E-3</v>
      </c>
      <c r="G217" s="39">
        <v>9.0277777777777787E-3</v>
      </c>
      <c r="H217" s="39">
        <v>2.4305555555555556E-2</v>
      </c>
      <c r="I217" s="39">
        <v>3.4027777777777775E-2</v>
      </c>
      <c r="J217" s="39">
        <v>1.1111111111111112E-2</v>
      </c>
      <c r="K217" s="39">
        <v>9.7222222222222224E-3</v>
      </c>
      <c r="L217" s="39">
        <v>1.9444444444444445E-2</v>
      </c>
      <c r="M217" s="39">
        <v>8.3333333333333332E-3</v>
      </c>
      <c r="N217" s="39">
        <v>7.6388888888888886E-3</v>
      </c>
      <c r="O217" s="39">
        <v>5.5555555555555558E-3</v>
      </c>
      <c r="P217" s="39">
        <v>2.013888888888889E-2</v>
      </c>
      <c r="Q217" s="39">
        <v>1.1111111111111112E-2</v>
      </c>
      <c r="R217" s="39">
        <v>6.9444444444444441E-3</v>
      </c>
      <c r="S217" s="39">
        <v>1.9444444444444445E-2</v>
      </c>
      <c r="T217" s="39">
        <v>1.3888888888888889E-3</v>
      </c>
      <c r="U217" s="39">
        <v>4.1666666666666666E-3</v>
      </c>
      <c r="V217" s="39">
        <v>2.7777777777777779E-3</v>
      </c>
      <c r="W217" s="39">
        <v>8.3333333333333332E-3</v>
      </c>
      <c r="X217" s="39">
        <v>2.7777777777777779E-3</v>
      </c>
      <c r="Y217" s="39">
        <v>2.7777777777777779E-3</v>
      </c>
      <c r="Z217" s="39">
        <v>1.1111111111111112E-2</v>
      </c>
      <c r="AA217" s="39">
        <v>1.5277777777777777E-2</v>
      </c>
      <c r="AB217" s="39">
        <v>4.1666666666666666E-3</v>
      </c>
      <c r="AC217" s="39">
        <v>1.1111111111111112E-2</v>
      </c>
      <c r="AD217" s="39">
        <v>1.1111111111111112E-2</v>
      </c>
      <c r="AE217" s="39">
        <v>2.0833333333333333E-3</v>
      </c>
      <c r="AF217" s="91">
        <v>1.8749999999999999E-2</v>
      </c>
      <c r="AG217" s="100">
        <f t="shared" si="36"/>
        <v>0.35</v>
      </c>
      <c r="AH217" s="377"/>
    </row>
    <row r="218" spans="1:34" ht="18.75" x14ac:dyDescent="0.25">
      <c r="A218" s="53" t="s">
        <v>116</v>
      </c>
      <c r="B218" s="39">
        <v>4.8611111111111112E-3</v>
      </c>
      <c r="C218" s="39">
        <v>9.7222222222222224E-3</v>
      </c>
      <c r="D218" s="39">
        <v>4.1666666666666666E-3</v>
      </c>
      <c r="E218" s="39">
        <v>2.361111111111111E-2</v>
      </c>
      <c r="F218" s="39">
        <v>3.472222222222222E-3</v>
      </c>
      <c r="G218" s="39">
        <v>3.472222222222222E-3</v>
      </c>
      <c r="H218" s="39">
        <v>7.6388888888888886E-3</v>
      </c>
      <c r="I218" s="39">
        <v>1.0416666666666666E-2</v>
      </c>
      <c r="J218" s="39">
        <v>6.2499999999999995E-3</v>
      </c>
      <c r="K218" s="39">
        <v>6.9444444444444441E-3</v>
      </c>
      <c r="L218" s="39">
        <v>1.3888888888888888E-2</v>
      </c>
      <c r="M218" s="39">
        <v>6.2499999999999995E-3</v>
      </c>
      <c r="N218" s="39">
        <v>3.472222222222222E-3</v>
      </c>
      <c r="O218" s="39">
        <v>3.472222222222222E-3</v>
      </c>
      <c r="P218" s="39">
        <v>8.3333333333333332E-3</v>
      </c>
      <c r="Q218" s="39">
        <v>2.0833333333333333E-3</v>
      </c>
      <c r="R218" s="39">
        <v>5.5555555555555558E-3</v>
      </c>
      <c r="S218" s="39">
        <v>1.2499999999999999E-2</v>
      </c>
      <c r="T218" s="39">
        <v>4.1666666666666666E-3</v>
      </c>
      <c r="U218" s="39">
        <v>2.7777777777777779E-3</v>
      </c>
      <c r="V218" s="39">
        <v>2.7777777777777779E-3</v>
      </c>
      <c r="W218" s="39">
        <v>3.472222222222222E-3</v>
      </c>
      <c r="X218" s="39">
        <v>3.472222222222222E-3</v>
      </c>
      <c r="Y218" s="39">
        <v>3.472222222222222E-3</v>
      </c>
      <c r="Z218" s="39">
        <v>9.0277777777777787E-3</v>
      </c>
      <c r="AA218" s="39">
        <v>1.0416666666666666E-2</v>
      </c>
      <c r="AB218" s="39">
        <v>4.1666666666666666E-3</v>
      </c>
      <c r="AC218" s="39">
        <v>4.8611111111111112E-3</v>
      </c>
      <c r="AD218" s="39">
        <v>4.1666666666666666E-3</v>
      </c>
      <c r="AE218" s="39">
        <v>1.3888888888888889E-3</v>
      </c>
      <c r="AF218" s="91">
        <v>9.7222222222222224E-3</v>
      </c>
      <c r="AG218" s="100">
        <f t="shared" si="36"/>
        <v>0.2</v>
      </c>
      <c r="AH218" s="377"/>
    </row>
    <row r="219" spans="1:34" ht="18.75" x14ac:dyDescent="0.25">
      <c r="A219" s="53" t="s">
        <v>117</v>
      </c>
      <c r="B219" s="39">
        <v>2.7777777777777779E-3</v>
      </c>
      <c r="C219" s="39">
        <v>8.3333333333333332E-3</v>
      </c>
      <c r="D219" s="39">
        <v>4.8611111111111112E-3</v>
      </c>
      <c r="E219" s="39">
        <v>2.7083333333333334E-2</v>
      </c>
      <c r="F219" s="39">
        <v>1.7361111111111112E-2</v>
      </c>
      <c r="G219" s="39">
        <v>1.1805555555555555E-2</v>
      </c>
      <c r="H219" s="39">
        <v>8.3333333333333332E-3</v>
      </c>
      <c r="I219" s="39">
        <v>8.3333333333333332E-3</v>
      </c>
      <c r="J219" s="39">
        <v>9.7222222222222224E-3</v>
      </c>
      <c r="K219" s="39">
        <v>8.3333333333333332E-3</v>
      </c>
      <c r="L219" s="39">
        <v>8.3333333333333332E-3</v>
      </c>
      <c r="M219" s="39">
        <v>5.5555555555555558E-3</v>
      </c>
      <c r="N219" s="39">
        <v>3.472222222222222E-3</v>
      </c>
      <c r="O219" s="39">
        <v>3.472222222222222E-3</v>
      </c>
      <c r="P219" s="39">
        <v>1.8749999999999999E-2</v>
      </c>
      <c r="Q219" s="39">
        <v>6.2499999999999995E-3</v>
      </c>
      <c r="R219" s="39">
        <v>2.8472222222222222E-2</v>
      </c>
      <c r="S219" s="39">
        <v>6.9444444444444441E-3</v>
      </c>
      <c r="T219" s="39">
        <v>6.2499999999999995E-3</v>
      </c>
      <c r="U219" s="39">
        <v>0</v>
      </c>
      <c r="V219" s="39">
        <v>5.5555555555555558E-3</v>
      </c>
      <c r="W219" s="39">
        <v>3.472222222222222E-3</v>
      </c>
      <c r="X219" s="39">
        <v>2.7777777777777779E-3</v>
      </c>
      <c r="Y219" s="39">
        <v>1.3888888888888889E-3</v>
      </c>
      <c r="Z219" s="39">
        <v>4.8611111111111112E-3</v>
      </c>
      <c r="AA219" s="39">
        <v>2.4999999999999998E-2</v>
      </c>
      <c r="AB219" s="39">
        <v>1.1111111111111112E-2</v>
      </c>
      <c r="AC219" s="39">
        <v>7</v>
      </c>
      <c r="AD219" s="39">
        <v>1.5972222222222224E-2</v>
      </c>
      <c r="AE219" s="39">
        <v>3.472222222222222E-3</v>
      </c>
      <c r="AF219" s="91">
        <v>9.7222222222222224E-3</v>
      </c>
      <c r="AG219" s="100">
        <f t="shared" si="28"/>
        <v>7.2777777777777777</v>
      </c>
      <c r="AH219" s="377"/>
    </row>
    <row r="220" spans="1:34" ht="18.75" x14ac:dyDescent="0.25">
      <c r="A220" s="43" t="s">
        <v>150</v>
      </c>
      <c r="B220" s="19">
        <v>8.3333333333333332E-3</v>
      </c>
      <c r="C220" s="19">
        <v>3.8194444444444441E-2</v>
      </c>
      <c r="D220" s="19">
        <v>3.4722222222222224E-2</v>
      </c>
      <c r="E220" s="19">
        <v>6.458333333333334E-2</v>
      </c>
      <c r="F220" s="19">
        <v>4.2361111111111106E-2</v>
      </c>
      <c r="G220" s="19">
        <v>1.0416666666666666E-2</v>
      </c>
      <c r="H220" s="19">
        <v>1.6666666666666666E-2</v>
      </c>
      <c r="I220" s="19">
        <v>1.3194444444444444E-2</v>
      </c>
      <c r="J220" s="19">
        <v>3.7499999999999999E-2</v>
      </c>
      <c r="K220" s="19">
        <v>3.4722222222222224E-2</v>
      </c>
      <c r="L220" s="19">
        <v>1.9444444444444445E-2</v>
      </c>
      <c r="M220" s="19">
        <v>1.9444444444444445E-2</v>
      </c>
      <c r="N220" s="19">
        <v>3.2638888888888891E-2</v>
      </c>
      <c r="O220" s="19">
        <v>1.1805555555555555E-2</v>
      </c>
      <c r="P220" s="19">
        <v>2.7777777777777776E-2</v>
      </c>
      <c r="Q220" s="19">
        <v>3.5416666666666666E-2</v>
      </c>
      <c r="R220" s="19">
        <v>4.8611111111111112E-2</v>
      </c>
      <c r="S220" s="19">
        <v>3.0555555555555555E-2</v>
      </c>
      <c r="T220" s="19">
        <v>2.9166666666666664E-2</v>
      </c>
      <c r="U220" s="19">
        <v>3.5416666666666666E-2</v>
      </c>
      <c r="V220" s="19">
        <v>1.0416666666666666E-2</v>
      </c>
      <c r="W220" s="19">
        <v>2.8472222222222222E-2</v>
      </c>
      <c r="X220" s="19">
        <v>1.5972222222222224E-2</v>
      </c>
      <c r="Y220" s="19">
        <v>1.8055555555555557E-2</v>
      </c>
      <c r="Z220" s="19">
        <v>1.2499999999999999E-2</v>
      </c>
      <c r="AA220" s="19">
        <v>5.9027777777777783E-2</v>
      </c>
      <c r="AB220" s="19">
        <v>2.013888888888889E-2</v>
      </c>
      <c r="AC220" s="19">
        <v>1.5972222222222224E-2</v>
      </c>
      <c r="AD220" s="19">
        <v>1.1805555555555555E-2</v>
      </c>
      <c r="AE220" s="19">
        <v>3.0555555555555555E-2</v>
      </c>
      <c r="AF220" s="25">
        <v>3.3333333333333333E-2</v>
      </c>
      <c r="AG220" s="99">
        <f t="shared" si="28"/>
        <v>0.84722222222222221</v>
      </c>
      <c r="AH220" s="377"/>
    </row>
    <row r="221" spans="1:34" ht="18.75" x14ac:dyDescent="0.25">
      <c r="A221" s="43" t="s">
        <v>78</v>
      </c>
      <c r="B221" s="19">
        <v>1.5972222222222224E-2</v>
      </c>
      <c r="C221" s="19">
        <v>5.0694444444444452E-2</v>
      </c>
      <c r="D221" s="19">
        <v>4.9999999999999996E-2</v>
      </c>
      <c r="E221" s="19">
        <v>7.7777777777777779E-2</v>
      </c>
      <c r="F221" s="19">
        <v>5.5555555555555552E-2</v>
      </c>
      <c r="G221" s="19">
        <v>2.1527777777777781E-2</v>
      </c>
      <c r="H221" s="19">
        <v>2.6388888888888889E-2</v>
      </c>
      <c r="I221" s="19">
        <v>2.6388888888888889E-2</v>
      </c>
      <c r="J221" s="19">
        <v>4.8611111111111112E-2</v>
      </c>
      <c r="K221" s="19">
        <v>4.8611111111111112E-2</v>
      </c>
      <c r="L221" s="19">
        <v>3.0555555555555555E-2</v>
      </c>
      <c r="M221" s="19">
        <v>3.2638888888888891E-2</v>
      </c>
      <c r="N221" s="19">
        <v>4.4444444444444446E-2</v>
      </c>
      <c r="O221" s="19">
        <v>2.013888888888889E-2</v>
      </c>
      <c r="P221" s="19">
        <v>4.1666666666666664E-2</v>
      </c>
      <c r="Q221" s="19">
        <v>4.3750000000000004E-2</v>
      </c>
      <c r="R221" s="19">
        <v>5.8333333333333327E-2</v>
      </c>
      <c r="S221" s="19">
        <v>4.4444444444444446E-2</v>
      </c>
      <c r="T221" s="19">
        <v>4.1666666666666664E-2</v>
      </c>
      <c r="U221" s="19">
        <v>4.0972222222222222E-2</v>
      </c>
      <c r="V221" s="19">
        <v>1.8749999999999999E-2</v>
      </c>
      <c r="W221" s="19">
        <v>3.8194444444444441E-2</v>
      </c>
      <c r="X221" s="19">
        <v>2.4305555555555556E-2</v>
      </c>
      <c r="Y221" s="19">
        <v>2.7777777777777776E-2</v>
      </c>
      <c r="Z221" s="19">
        <v>2.0833333333333332E-2</v>
      </c>
      <c r="AA221" s="19">
        <v>7.0833333333333331E-2</v>
      </c>
      <c r="AB221" s="19">
        <v>2.9861111111111113E-2</v>
      </c>
      <c r="AC221" s="19">
        <v>2.2916666666666669E-2</v>
      </c>
      <c r="AD221" s="19">
        <v>1.0416666666666666E-2</v>
      </c>
      <c r="AE221" s="19">
        <v>4.0972222222222222E-2</v>
      </c>
      <c r="AF221" s="25">
        <v>4.7916666666666663E-2</v>
      </c>
      <c r="AG221" s="99">
        <f t="shared" si="28"/>
        <v>1.1729166666666666</v>
      </c>
      <c r="AH221" s="377"/>
    </row>
    <row r="222" spans="1:34" ht="19.5" thickBot="1" x14ac:dyDescent="0.3">
      <c r="A222" s="43" t="s">
        <v>79</v>
      </c>
      <c r="B222" s="19">
        <v>3.0555555555555555E-2</v>
      </c>
      <c r="C222" s="19">
        <v>2.9166666666666664E-2</v>
      </c>
      <c r="D222" s="19">
        <v>3.8194444444444441E-2</v>
      </c>
      <c r="E222" s="19">
        <v>4.7222222222222221E-2</v>
      </c>
      <c r="F222" s="19">
        <v>3.8194444444444441E-2</v>
      </c>
      <c r="G222" s="19">
        <v>2.9861111111111113E-2</v>
      </c>
      <c r="H222" s="19">
        <v>4.4444444444444446E-2</v>
      </c>
      <c r="I222" s="19">
        <v>3.4027777777777775E-2</v>
      </c>
      <c r="J222" s="19">
        <v>3.125E-2</v>
      </c>
      <c r="K222" s="19">
        <v>3.888888888888889E-2</v>
      </c>
      <c r="L222" s="19">
        <v>3.4027777777777775E-2</v>
      </c>
      <c r="M222" s="19">
        <v>3.5416666666666666E-2</v>
      </c>
      <c r="N222" s="19">
        <v>3.8194444444444441E-2</v>
      </c>
      <c r="O222" s="19">
        <v>2.9861111111111113E-2</v>
      </c>
      <c r="P222" s="19">
        <v>3.1944444444444449E-2</v>
      </c>
      <c r="Q222" s="19">
        <v>3.1944444444444449E-2</v>
      </c>
      <c r="R222" s="19">
        <v>3.1944444444444449E-2</v>
      </c>
      <c r="S222" s="19">
        <v>4.0972222222222222E-2</v>
      </c>
      <c r="T222" s="19">
        <v>4.0972222222222222E-2</v>
      </c>
      <c r="U222" s="19">
        <v>2.6388888888888889E-2</v>
      </c>
      <c r="V222" s="19">
        <v>2.7083333333333334E-2</v>
      </c>
      <c r="W222" s="19">
        <v>3.2638888888888891E-2</v>
      </c>
      <c r="X222" s="19">
        <v>2.8472222222222222E-2</v>
      </c>
      <c r="Y222" s="19">
        <v>3.4722222222222224E-2</v>
      </c>
      <c r="Z222" s="19">
        <v>2.9861111111111113E-2</v>
      </c>
      <c r="AA222" s="19">
        <v>3.8194444444444441E-2</v>
      </c>
      <c r="AB222" s="19">
        <v>3.4722222222222224E-2</v>
      </c>
      <c r="AC222" s="19">
        <v>3.5416666666666666E-2</v>
      </c>
      <c r="AD222" s="19">
        <v>2.1527777777777781E-2</v>
      </c>
      <c r="AE222" s="19">
        <v>3.7499999999999999E-2</v>
      </c>
      <c r="AF222" s="25">
        <v>4.9999999999999996E-2</v>
      </c>
      <c r="AG222" s="99">
        <f t="shared" si="28"/>
        <v>1.0736111111111111</v>
      </c>
      <c r="AH222" s="378"/>
    </row>
    <row r="223" spans="1:34" ht="24" thickBot="1" x14ac:dyDescent="0.3">
      <c r="A223" s="62" t="s">
        <v>118</v>
      </c>
      <c r="B223" s="20">
        <v>8.5416666666666669E-2</v>
      </c>
      <c r="C223" s="20">
        <v>0.1388888888888889</v>
      </c>
      <c r="D223" s="20">
        <v>0.13749999999999998</v>
      </c>
      <c r="E223" s="20">
        <v>0.20416666666666666</v>
      </c>
      <c r="F223" s="20">
        <v>0.14583333333333331</v>
      </c>
      <c r="G223" s="20">
        <v>7.013888888888889E-2</v>
      </c>
      <c r="H223" s="20">
        <v>0.13055555555555556</v>
      </c>
      <c r="I223" s="20">
        <v>0.12847222222222221</v>
      </c>
      <c r="J223" s="20">
        <v>0.13541666666666666</v>
      </c>
      <c r="K223" s="20">
        <v>0.15208333333333335</v>
      </c>
      <c r="L223" s="20">
        <v>0.11180555555555555</v>
      </c>
      <c r="M223" s="20">
        <v>9.4444444444444442E-2</v>
      </c>
      <c r="N223" s="20">
        <v>0.12361111111111112</v>
      </c>
      <c r="O223" s="20">
        <v>8.1944444444444445E-2</v>
      </c>
      <c r="P223" s="20">
        <v>0.14583333333333331</v>
      </c>
      <c r="Q223" s="20">
        <v>0.13055555555555556</v>
      </c>
      <c r="R223" s="20">
        <v>0.15069444444444444</v>
      </c>
      <c r="S223" s="20">
        <v>0.14722222222222223</v>
      </c>
      <c r="T223" s="20">
        <v>0.11874999999999999</v>
      </c>
      <c r="U223" s="20">
        <v>0.11388888888888889</v>
      </c>
      <c r="V223" s="20">
        <v>7.8472222222222221E-2</v>
      </c>
      <c r="W223" s="20">
        <v>0.10972222222222222</v>
      </c>
      <c r="X223" s="20">
        <v>8.6805555555555552E-2</v>
      </c>
      <c r="Y223" s="20">
        <v>9.1666666666666674E-2</v>
      </c>
      <c r="Z223" s="20">
        <v>8.4027777777777785E-2</v>
      </c>
      <c r="AA223" s="20">
        <v>0.18541666666666667</v>
      </c>
      <c r="AB223" s="20">
        <v>8.9583333333333334E-2</v>
      </c>
      <c r="AC223" s="20">
        <v>0.10138888888888889</v>
      </c>
      <c r="AD223" s="20">
        <v>6.5277777777777782E-2</v>
      </c>
      <c r="AE223" s="20">
        <v>0.125</v>
      </c>
      <c r="AF223" s="26">
        <v>0.13958333333333331</v>
      </c>
      <c r="AG223" s="99">
        <f t="shared" si="28"/>
        <v>3.7041666666666657</v>
      </c>
      <c r="AH223" s="36"/>
    </row>
    <row r="224" spans="1:34" ht="18.75" x14ac:dyDescent="0.25">
      <c r="A224" s="57" t="s">
        <v>90</v>
      </c>
      <c r="B224" s="27">
        <v>35</v>
      </c>
      <c r="C224" s="27">
        <v>24</v>
      </c>
      <c r="D224" s="27">
        <v>40</v>
      </c>
      <c r="E224" s="27">
        <v>29</v>
      </c>
      <c r="F224" s="27">
        <v>23</v>
      </c>
      <c r="G224" s="27">
        <v>22</v>
      </c>
      <c r="H224" s="27">
        <v>49</v>
      </c>
      <c r="I224" s="27">
        <v>32</v>
      </c>
      <c r="J224" s="27">
        <v>35</v>
      </c>
      <c r="K224" s="27">
        <v>39</v>
      </c>
      <c r="L224" s="27">
        <v>32</v>
      </c>
      <c r="M224" s="27">
        <v>8</v>
      </c>
      <c r="N224" s="27">
        <v>35</v>
      </c>
      <c r="O224" s="27">
        <v>35</v>
      </c>
      <c r="P224" s="27">
        <v>26</v>
      </c>
      <c r="Q224" s="27">
        <v>44</v>
      </c>
      <c r="R224" s="27">
        <v>39</v>
      </c>
      <c r="S224" s="27">
        <v>20</v>
      </c>
      <c r="T224" s="27">
        <v>20</v>
      </c>
      <c r="U224" s="27">
        <v>10</v>
      </c>
      <c r="V224" s="27">
        <v>13</v>
      </c>
      <c r="W224" s="27">
        <v>31</v>
      </c>
      <c r="X224" s="27">
        <v>32</v>
      </c>
      <c r="Y224" s="27">
        <v>35</v>
      </c>
      <c r="Z224" s="27">
        <v>27</v>
      </c>
      <c r="AA224" s="27">
        <v>18</v>
      </c>
      <c r="AB224" s="27">
        <v>16</v>
      </c>
      <c r="AC224" s="27">
        <v>37</v>
      </c>
      <c r="AD224" s="27">
        <v>32</v>
      </c>
      <c r="AE224" s="27">
        <v>40</v>
      </c>
      <c r="AF224" s="92">
        <v>14</v>
      </c>
      <c r="AG224" s="31">
        <f t="shared" ref="AG224:AG237" si="37">SUM(B224:AF224)</f>
        <v>892</v>
      </c>
      <c r="AH224" s="379" t="s">
        <v>96</v>
      </c>
    </row>
    <row r="225" spans="1:34" ht="18.75" x14ac:dyDescent="0.25">
      <c r="A225" s="54" t="s">
        <v>91</v>
      </c>
      <c r="B225" s="40">
        <v>0.33333333333333331</v>
      </c>
      <c r="C225" s="40">
        <v>0.33333333333333331</v>
      </c>
      <c r="D225" s="40">
        <v>0.33333333333333331</v>
      </c>
      <c r="E225" s="40"/>
      <c r="F225" s="40"/>
      <c r="G225" s="40">
        <v>0.33333333333333331</v>
      </c>
      <c r="H225" s="40">
        <v>0.33333333333333331</v>
      </c>
      <c r="I225" s="40">
        <v>0.33333333333333331</v>
      </c>
      <c r="J225" s="40">
        <v>0.33333333333333331</v>
      </c>
      <c r="K225" s="40">
        <v>0.33333333333333331</v>
      </c>
      <c r="L225" s="40"/>
      <c r="M225" s="40"/>
      <c r="N225" s="40">
        <v>0.33333333333333331</v>
      </c>
      <c r="O225" s="40">
        <v>0.33333333333333331</v>
      </c>
      <c r="P225" s="40">
        <v>0.33333333333333331</v>
      </c>
      <c r="Q225" s="40">
        <v>0.33333333333333331</v>
      </c>
      <c r="R225" s="40">
        <v>0.33333333333333331</v>
      </c>
      <c r="S225" s="40"/>
      <c r="T225" s="40"/>
      <c r="U225" s="40">
        <v>0.33333333333333331</v>
      </c>
      <c r="V225" s="40">
        <v>0.33333333333333331</v>
      </c>
      <c r="W225" s="40">
        <v>0.33333333333333331</v>
      </c>
      <c r="X225" s="40">
        <v>0.33333333333333331</v>
      </c>
      <c r="Y225" s="40">
        <v>0.33333333333333331</v>
      </c>
      <c r="Z225" s="40"/>
      <c r="AA225" s="40"/>
      <c r="AB225" s="40">
        <v>0.33333333333333331</v>
      </c>
      <c r="AC225" s="40">
        <v>0.33333333333333331</v>
      </c>
      <c r="AD225" s="40">
        <v>0.33333333333333331</v>
      </c>
      <c r="AE225" s="40"/>
      <c r="AF225" s="93"/>
      <c r="AG225" s="99">
        <f t="shared" si="37"/>
        <v>6.9999999999999973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>
        <v>0</v>
      </c>
      <c r="AG226" s="28">
        <f t="shared" si="37"/>
        <v>0</v>
      </c>
      <c r="AH226" s="381"/>
    </row>
    <row r="227" spans="1:34" ht="18.75" x14ac:dyDescent="0.25">
      <c r="A227" s="55" t="s">
        <v>92</v>
      </c>
      <c r="B227" s="118">
        <f>SUM(B228:B230)</f>
        <v>4</v>
      </c>
      <c r="C227" s="118">
        <f t="shared" ref="C227:AF227" si="38">SUM(C228:C230)</f>
        <v>3</v>
      </c>
      <c r="D227" s="118">
        <f t="shared" si="38"/>
        <v>7</v>
      </c>
      <c r="E227" s="118">
        <f t="shared" si="38"/>
        <v>3</v>
      </c>
      <c r="F227" s="118">
        <f t="shared" si="38"/>
        <v>5</v>
      </c>
      <c r="G227" s="118">
        <f t="shared" si="38"/>
        <v>2</v>
      </c>
      <c r="H227" s="118">
        <f t="shared" si="38"/>
        <v>3</v>
      </c>
      <c r="I227" s="118">
        <f t="shared" si="38"/>
        <v>5</v>
      </c>
      <c r="J227" s="118">
        <f t="shared" si="38"/>
        <v>1</v>
      </c>
      <c r="K227" s="118">
        <f t="shared" si="38"/>
        <v>6</v>
      </c>
      <c r="L227" s="118">
        <f t="shared" si="38"/>
        <v>5</v>
      </c>
      <c r="M227" s="118">
        <f t="shared" si="38"/>
        <v>4</v>
      </c>
      <c r="N227" s="118">
        <f t="shared" si="38"/>
        <v>6</v>
      </c>
      <c r="O227" s="118">
        <f t="shared" si="38"/>
        <v>3</v>
      </c>
      <c r="P227" s="118">
        <f t="shared" si="38"/>
        <v>2</v>
      </c>
      <c r="Q227" s="118">
        <f t="shared" si="38"/>
        <v>1</v>
      </c>
      <c r="R227" s="118">
        <f t="shared" si="38"/>
        <v>2</v>
      </c>
      <c r="S227" s="118">
        <f t="shared" si="38"/>
        <v>8</v>
      </c>
      <c r="T227" s="118">
        <f t="shared" si="38"/>
        <v>5</v>
      </c>
      <c r="U227" s="118">
        <f t="shared" si="38"/>
        <v>5</v>
      </c>
      <c r="V227" s="118">
        <f t="shared" si="38"/>
        <v>4</v>
      </c>
      <c r="W227" s="118">
        <f t="shared" si="38"/>
        <v>7</v>
      </c>
      <c r="X227" s="118">
        <f t="shared" si="38"/>
        <v>4</v>
      </c>
      <c r="Y227" s="118">
        <f t="shared" si="38"/>
        <v>3</v>
      </c>
      <c r="Z227" s="118">
        <f t="shared" si="38"/>
        <v>5</v>
      </c>
      <c r="AA227" s="118">
        <f t="shared" si="38"/>
        <v>5</v>
      </c>
      <c r="AB227" s="118">
        <f t="shared" si="38"/>
        <v>7</v>
      </c>
      <c r="AC227" s="118">
        <f t="shared" si="38"/>
        <v>6</v>
      </c>
      <c r="AD227" s="118">
        <f t="shared" si="38"/>
        <v>3</v>
      </c>
      <c r="AE227" s="118">
        <f t="shared" si="38"/>
        <v>2</v>
      </c>
      <c r="AF227" s="118">
        <f t="shared" si="38"/>
        <v>10</v>
      </c>
      <c r="AG227" s="95">
        <f t="shared" si="37"/>
        <v>136</v>
      </c>
      <c r="AH227" s="379" t="s">
        <v>93</v>
      </c>
    </row>
    <row r="228" spans="1:34" ht="18.75" x14ac:dyDescent="0.25">
      <c r="A228" s="139" t="s">
        <v>94</v>
      </c>
      <c r="B228" s="140">
        <v>1</v>
      </c>
      <c r="C228" s="140">
        <v>1</v>
      </c>
      <c r="D228" s="140">
        <v>3</v>
      </c>
      <c r="E228" s="140">
        <v>2</v>
      </c>
      <c r="F228" s="140">
        <v>1</v>
      </c>
      <c r="G228" s="140">
        <v>2</v>
      </c>
      <c r="H228" s="140">
        <v>3</v>
      </c>
      <c r="I228" s="140">
        <v>3</v>
      </c>
      <c r="J228" s="140">
        <v>0</v>
      </c>
      <c r="K228" s="140">
        <v>1</v>
      </c>
      <c r="L228" s="140">
        <v>2</v>
      </c>
      <c r="M228" s="140">
        <v>1</v>
      </c>
      <c r="N228" s="145">
        <v>2</v>
      </c>
      <c r="O228" s="140">
        <v>1</v>
      </c>
      <c r="P228" s="140">
        <v>0</v>
      </c>
      <c r="Q228" s="140">
        <v>0</v>
      </c>
      <c r="R228" s="140">
        <v>0</v>
      </c>
      <c r="S228" s="140">
        <v>1</v>
      </c>
      <c r="T228" s="140">
        <v>3</v>
      </c>
      <c r="U228" s="140">
        <v>1</v>
      </c>
      <c r="V228" s="140">
        <v>1</v>
      </c>
      <c r="W228" s="140">
        <v>2</v>
      </c>
      <c r="X228" s="140">
        <v>0</v>
      </c>
      <c r="Y228" s="140">
        <v>1</v>
      </c>
      <c r="Z228" s="142">
        <v>1</v>
      </c>
      <c r="AA228" s="140">
        <v>3</v>
      </c>
      <c r="AB228" s="140">
        <v>5</v>
      </c>
      <c r="AC228" s="140">
        <v>1</v>
      </c>
      <c r="AD228" s="140">
        <v>1</v>
      </c>
      <c r="AE228" s="140">
        <v>0</v>
      </c>
      <c r="AF228" s="144">
        <v>4</v>
      </c>
      <c r="AG228" s="143">
        <f t="shared" si="37"/>
        <v>47</v>
      </c>
      <c r="AH228" s="380"/>
    </row>
    <row r="229" spans="1:34" ht="18.75" x14ac:dyDescent="0.25">
      <c r="A229" s="139" t="s">
        <v>95</v>
      </c>
      <c r="B229" s="140">
        <v>3</v>
      </c>
      <c r="C229" s="140">
        <v>2</v>
      </c>
      <c r="D229" s="140">
        <v>4</v>
      </c>
      <c r="E229" s="140">
        <v>1</v>
      </c>
      <c r="F229" s="140">
        <v>4</v>
      </c>
      <c r="G229" s="140">
        <v>0</v>
      </c>
      <c r="H229" s="140">
        <v>0</v>
      </c>
      <c r="I229" s="140">
        <v>2</v>
      </c>
      <c r="J229" s="140">
        <v>1</v>
      </c>
      <c r="K229" s="140">
        <v>5</v>
      </c>
      <c r="L229" s="140">
        <v>3</v>
      </c>
      <c r="M229" s="140">
        <v>3</v>
      </c>
      <c r="N229" s="145">
        <v>4</v>
      </c>
      <c r="O229" s="140">
        <v>2</v>
      </c>
      <c r="P229" s="140">
        <v>2</v>
      </c>
      <c r="Q229" s="140">
        <v>1</v>
      </c>
      <c r="R229" s="140">
        <v>2</v>
      </c>
      <c r="S229" s="140">
        <v>7</v>
      </c>
      <c r="T229" s="140">
        <v>2</v>
      </c>
      <c r="U229" s="140">
        <v>4</v>
      </c>
      <c r="V229" s="140">
        <v>3</v>
      </c>
      <c r="W229" s="140">
        <v>5</v>
      </c>
      <c r="X229" s="140">
        <v>4</v>
      </c>
      <c r="Y229" s="140">
        <v>2</v>
      </c>
      <c r="Z229" s="142">
        <v>4</v>
      </c>
      <c r="AA229" s="140">
        <v>2</v>
      </c>
      <c r="AB229" s="140">
        <v>2</v>
      </c>
      <c r="AC229" s="140">
        <v>5</v>
      </c>
      <c r="AD229" s="140">
        <v>2</v>
      </c>
      <c r="AE229" s="140">
        <v>2</v>
      </c>
      <c r="AF229" s="144">
        <v>6</v>
      </c>
      <c r="AG229" s="143">
        <f t="shared" si="37"/>
        <v>89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7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39">SUM(C232:C237)</f>
        <v>0</v>
      </c>
      <c r="D231" s="199">
        <f t="shared" si="39"/>
        <v>0</v>
      </c>
      <c r="E231" s="199">
        <f t="shared" si="39"/>
        <v>0</v>
      </c>
      <c r="F231" s="199">
        <f t="shared" si="39"/>
        <v>0</v>
      </c>
      <c r="G231" s="199">
        <f t="shared" si="39"/>
        <v>0</v>
      </c>
      <c r="H231" s="199">
        <f t="shared" si="39"/>
        <v>0</v>
      </c>
      <c r="I231" s="199">
        <f t="shared" si="39"/>
        <v>0</v>
      </c>
      <c r="J231" s="199">
        <f t="shared" si="39"/>
        <v>0</v>
      </c>
      <c r="K231" s="199">
        <f t="shared" si="39"/>
        <v>0</v>
      </c>
      <c r="L231" s="199">
        <f t="shared" si="39"/>
        <v>0</v>
      </c>
      <c r="M231" s="199">
        <f t="shared" si="39"/>
        <v>0</v>
      </c>
      <c r="N231" s="199">
        <f t="shared" si="39"/>
        <v>0</v>
      </c>
      <c r="O231" s="199">
        <f t="shared" si="39"/>
        <v>0</v>
      </c>
      <c r="P231" s="199">
        <f t="shared" si="39"/>
        <v>0</v>
      </c>
      <c r="Q231" s="199">
        <f t="shared" si="39"/>
        <v>0</v>
      </c>
      <c r="R231" s="199">
        <f t="shared" si="39"/>
        <v>0</v>
      </c>
      <c r="S231" s="199">
        <f t="shared" si="39"/>
        <v>0</v>
      </c>
      <c r="T231" s="199">
        <f t="shared" si="39"/>
        <v>0</v>
      </c>
      <c r="U231" s="199">
        <f t="shared" si="39"/>
        <v>0</v>
      </c>
      <c r="V231" s="199">
        <f t="shared" si="39"/>
        <v>0</v>
      </c>
      <c r="W231" s="199">
        <f t="shared" si="39"/>
        <v>0</v>
      </c>
      <c r="X231" s="199">
        <f t="shared" si="39"/>
        <v>0</v>
      </c>
      <c r="Y231" s="199">
        <f t="shared" si="39"/>
        <v>0</v>
      </c>
      <c r="Z231" s="199">
        <f t="shared" si="39"/>
        <v>0</v>
      </c>
      <c r="AA231" s="199">
        <f t="shared" si="39"/>
        <v>0</v>
      </c>
      <c r="AB231" s="199">
        <f t="shared" si="39"/>
        <v>0</v>
      </c>
      <c r="AC231" s="199">
        <f t="shared" si="39"/>
        <v>0</v>
      </c>
      <c r="AD231" s="199">
        <f t="shared" si="39"/>
        <v>0</v>
      </c>
      <c r="AE231" s="199">
        <f t="shared" si="39"/>
        <v>0</v>
      </c>
      <c r="AF231" s="200">
        <f t="shared" si="39"/>
        <v>0</v>
      </c>
      <c r="AG231" s="201">
        <f t="shared" si="37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37"/>
        <v>0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37"/>
        <v>0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37"/>
        <v>0</v>
      </c>
    </row>
    <row r="238" spans="1:34" ht="22.5" thickBot="1" x14ac:dyDescent="0.35">
      <c r="A238" s="225" t="s">
        <v>151</v>
      </c>
      <c r="B238" s="267">
        <v>4.0972222222222222E-2</v>
      </c>
      <c r="C238" s="267">
        <v>6.9444444444444434E-2</v>
      </c>
      <c r="D238" s="267">
        <v>7.4999999999999997E-2</v>
      </c>
      <c r="E238" s="267">
        <v>0.11527777777777777</v>
      </c>
      <c r="F238" s="267">
        <v>8.2638888888888887E-2</v>
      </c>
      <c r="G238" s="267">
        <v>4.3055555555555562E-2</v>
      </c>
      <c r="H238" s="267">
        <v>6.3194444444444442E-2</v>
      </c>
      <c r="I238" s="267">
        <v>5.0694444444444452E-2</v>
      </c>
      <c r="J238" s="267">
        <v>7.2916666666666671E-2</v>
      </c>
      <c r="K238" s="267">
        <v>7.7777777777777779E-2</v>
      </c>
      <c r="L238" s="267">
        <v>5.486111111111111E-2</v>
      </c>
      <c r="M238" s="267">
        <v>5.8333333333333327E-2</v>
      </c>
      <c r="N238" s="267">
        <v>7.3611111111111113E-2</v>
      </c>
      <c r="O238" s="267">
        <v>4.4444444444444446E-2</v>
      </c>
      <c r="P238" s="267">
        <v>6.3194444444444442E-2</v>
      </c>
      <c r="Q238" s="267">
        <v>7.1527777777777787E-2</v>
      </c>
      <c r="R238" s="267">
        <v>8.1250000000000003E-2</v>
      </c>
      <c r="S238" s="267">
        <v>7.4305555555555555E-2</v>
      </c>
      <c r="T238" s="267">
        <v>7.3611111111111113E-2</v>
      </c>
      <c r="U238" s="267">
        <v>6.3888888888888884E-2</v>
      </c>
      <c r="V238" s="267">
        <v>4.027777777777778E-2</v>
      </c>
      <c r="W238" s="267">
        <v>6.25E-2</v>
      </c>
      <c r="X238" s="267">
        <v>4.5138888888888888E-2</v>
      </c>
      <c r="Y238" s="267">
        <v>5.486111111111111E-2</v>
      </c>
      <c r="Z238" s="267">
        <v>4.4444444444444446E-2</v>
      </c>
      <c r="AA238" s="267">
        <v>0.1013888888888889</v>
      </c>
      <c r="AB238" s="267">
        <v>5.8333333333333327E-2</v>
      </c>
      <c r="AC238" s="267">
        <v>5.2083333333333336E-2</v>
      </c>
      <c r="AD238" s="267">
        <v>4.4444444444444446E-2</v>
      </c>
      <c r="AE238" s="267">
        <v>7.013888888888889E-2</v>
      </c>
      <c r="AF238" s="267">
        <v>8.6805555555555566E-2</v>
      </c>
      <c r="AG238" s="286">
        <f>AVERAGE(B238:AF238)</f>
        <v>6.4852150537634407E-2</v>
      </c>
    </row>
    <row r="239" spans="1:34" ht="22.5" thickBot="1" x14ac:dyDescent="0.35">
      <c r="A239" s="228" t="s">
        <v>152</v>
      </c>
      <c r="B239" s="269">
        <v>2.4305555555555556E-2</v>
      </c>
      <c r="C239" s="269">
        <v>8.8888888888888892E-2</v>
      </c>
      <c r="D239" s="269">
        <v>8.4722222222222213E-2</v>
      </c>
      <c r="E239" s="269">
        <v>0.1423611111111111</v>
      </c>
      <c r="F239" s="269">
        <v>9.7916666666666666E-2</v>
      </c>
      <c r="G239" s="269">
        <v>3.2638888888888891E-2</v>
      </c>
      <c r="H239" s="269">
        <v>4.3055555555555562E-2</v>
      </c>
      <c r="I239" s="269">
        <v>3.8194444444444441E-2</v>
      </c>
      <c r="J239" s="269">
        <v>8.5416666666666655E-2</v>
      </c>
      <c r="K239" s="269">
        <v>8.2638888888888887E-2</v>
      </c>
      <c r="L239" s="269">
        <v>4.9999999999999996E-2</v>
      </c>
      <c r="M239" s="269">
        <v>5.2083333333333336E-2</v>
      </c>
      <c r="N239" s="269">
        <v>7.6388888888888895E-2</v>
      </c>
      <c r="O239" s="269">
        <v>3.2638888888888891E-2</v>
      </c>
      <c r="P239" s="269">
        <v>6.9444444444444434E-2</v>
      </c>
      <c r="Q239" s="269">
        <v>7.9166666666666663E-2</v>
      </c>
      <c r="R239" s="269">
        <v>0.10486111111111111</v>
      </c>
      <c r="S239" s="269">
        <v>7.4305555555555555E-2</v>
      </c>
      <c r="T239" s="269">
        <v>7.0833333333333331E-2</v>
      </c>
      <c r="U239" s="269">
        <v>7.6388888888888895E-2</v>
      </c>
      <c r="V239" s="269">
        <v>2.9166666666666664E-2</v>
      </c>
      <c r="W239" s="269">
        <v>6.5972222222222224E-2</v>
      </c>
      <c r="X239" s="269">
        <v>3.9583333333333331E-2</v>
      </c>
      <c r="Y239" s="269">
        <v>4.5138888888888888E-2</v>
      </c>
      <c r="Z239" s="269">
        <v>3.2638888888888891E-2</v>
      </c>
      <c r="AA239" s="269">
        <v>0.12916666666666668</v>
      </c>
      <c r="AB239" s="269">
        <v>4.9999999999999996E-2</v>
      </c>
      <c r="AC239" s="269">
        <v>3.7499999999999999E-2</v>
      </c>
      <c r="AD239" s="269">
        <v>3.4027777777777775E-2</v>
      </c>
      <c r="AE239" s="269">
        <v>7.0833333333333331E-2</v>
      </c>
      <c r="AF239" s="269">
        <v>8.0555555555555561E-2</v>
      </c>
      <c r="AG239" s="286">
        <f>AVERAGE(B239:AF239)</f>
        <v>6.5188172043010764E-2</v>
      </c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71">
        <v>0</v>
      </c>
      <c r="C241" s="272">
        <v>0</v>
      </c>
      <c r="D241" s="272">
        <v>0</v>
      </c>
      <c r="E241" s="272">
        <v>0</v>
      </c>
      <c r="F241" s="272">
        <v>0</v>
      </c>
      <c r="G241" s="272">
        <v>0</v>
      </c>
      <c r="H241" s="272">
        <v>0</v>
      </c>
      <c r="I241" s="272">
        <v>0</v>
      </c>
      <c r="J241" s="272">
        <v>0</v>
      </c>
      <c r="K241" s="272">
        <v>0</v>
      </c>
      <c r="L241" s="272">
        <v>0</v>
      </c>
      <c r="M241" s="272">
        <v>0</v>
      </c>
      <c r="N241" s="272">
        <v>0</v>
      </c>
      <c r="O241" s="272">
        <v>2.4305555555555556E-2</v>
      </c>
      <c r="P241" s="272">
        <v>0</v>
      </c>
      <c r="Q241" s="272">
        <v>0</v>
      </c>
      <c r="R241" s="272">
        <v>0</v>
      </c>
      <c r="S241" s="272">
        <v>1.3194444444444444E-2</v>
      </c>
      <c r="T241" s="272">
        <v>0</v>
      </c>
      <c r="U241" s="272">
        <v>0</v>
      </c>
      <c r="V241" s="272">
        <v>0</v>
      </c>
      <c r="W241" s="272">
        <v>0</v>
      </c>
      <c r="X241" s="272">
        <v>0</v>
      </c>
      <c r="Y241" s="272">
        <v>0</v>
      </c>
      <c r="Z241" s="272">
        <v>2.7777777777777779E-3</v>
      </c>
      <c r="AA241" s="272">
        <v>0</v>
      </c>
      <c r="AB241" s="272">
        <v>0</v>
      </c>
      <c r="AC241" s="272">
        <v>0</v>
      </c>
      <c r="AD241" s="272">
        <v>2.7777777777777776E-2</v>
      </c>
      <c r="AE241" s="272">
        <v>0</v>
      </c>
      <c r="AF241" s="273">
        <v>0</v>
      </c>
      <c r="AG241" s="257">
        <f>AVERAGE(B241:AF241)</f>
        <v>2.1953405017921144E-3</v>
      </c>
    </row>
    <row r="242" spans="1:33" ht="23.25" x14ac:dyDescent="0.35">
      <c r="A242" s="253" t="s">
        <v>73</v>
      </c>
      <c r="B242" s="274">
        <v>0</v>
      </c>
      <c r="C242" s="275">
        <v>1.7361111111111112E-2</v>
      </c>
      <c r="D242" s="275">
        <v>0</v>
      </c>
      <c r="E242" s="275">
        <v>0</v>
      </c>
      <c r="F242" s="275">
        <v>0</v>
      </c>
      <c r="G242" s="275">
        <v>1.8055555555555557E-2</v>
      </c>
      <c r="H242" s="275">
        <v>0</v>
      </c>
      <c r="I242" s="275">
        <v>4.1666666666666664E-2</v>
      </c>
      <c r="J242" s="275">
        <v>7.6388888888888886E-3</v>
      </c>
      <c r="K242" s="275">
        <v>1.2499999999999999E-2</v>
      </c>
      <c r="L242" s="275">
        <v>6.2499999999999995E-3</v>
      </c>
      <c r="M242" s="275">
        <v>0</v>
      </c>
      <c r="N242" s="275">
        <v>2.4305555555555556E-2</v>
      </c>
      <c r="O242" s="275">
        <v>1.3888888888888888E-2</v>
      </c>
      <c r="P242" s="275">
        <v>6.9444444444444447E-4</v>
      </c>
      <c r="Q242" s="275">
        <v>1.3888888888888888E-2</v>
      </c>
      <c r="R242" s="275">
        <v>0</v>
      </c>
      <c r="S242" s="275">
        <v>2.4305555555555556E-2</v>
      </c>
      <c r="T242" s="275">
        <v>6.2499999999999995E-3</v>
      </c>
      <c r="U242" s="275">
        <v>0</v>
      </c>
      <c r="V242" s="275">
        <v>0</v>
      </c>
      <c r="W242" s="275">
        <v>0</v>
      </c>
      <c r="X242" s="275">
        <v>0</v>
      </c>
      <c r="Y242" s="275">
        <v>1.3888888888888888E-2</v>
      </c>
      <c r="Z242" s="275">
        <v>2.7777777777777779E-3</v>
      </c>
      <c r="AA242" s="275">
        <v>1.2499999999999999E-2</v>
      </c>
      <c r="AB242" s="275">
        <v>7.6388888888888886E-3</v>
      </c>
      <c r="AC242" s="275">
        <v>2.9166666666666664E-2</v>
      </c>
      <c r="AD242" s="275">
        <v>0</v>
      </c>
      <c r="AE242" s="275">
        <v>2.2222222222222223E-2</v>
      </c>
      <c r="AF242" s="276">
        <v>1.4583333333333332E-2</v>
      </c>
      <c r="AG242" s="261">
        <f>AVERAGE(B242:AF242)</f>
        <v>9.3413978494623663E-3</v>
      </c>
    </row>
    <row r="243" spans="1:33" ht="23.25" x14ac:dyDescent="0.35">
      <c r="A243" s="253" t="s">
        <v>74</v>
      </c>
      <c r="B243" s="274">
        <v>9.7222222222222224E-3</v>
      </c>
      <c r="C243" s="275">
        <v>2.4999999999999998E-2</v>
      </c>
      <c r="D243" s="275">
        <v>2.1527777777777781E-2</v>
      </c>
      <c r="E243" s="275">
        <v>2.2916666666666669E-2</v>
      </c>
      <c r="F243" s="275">
        <v>2.361111111111111E-2</v>
      </c>
      <c r="G243" s="275">
        <v>1.5972222222222224E-2</v>
      </c>
      <c r="H243" s="275">
        <v>1.4583333333333332E-2</v>
      </c>
      <c r="I243" s="275">
        <v>1.1111111111111112E-2</v>
      </c>
      <c r="J243" s="275">
        <v>1.5972222222222224E-2</v>
      </c>
      <c r="K243" s="275">
        <v>2.013888888888889E-2</v>
      </c>
      <c r="L243" s="275">
        <v>1.8055555555555557E-2</v>
      </c>
      <c r="M243" s="275">
        <v>1.8055555555555557E-2</v>
      </c>
      <c r="N243" s="275">
        <v>1.5277777777777777E-2</v>
      </c>
      <c r="O243" s="275">
        <v>1.4583333333333332E-2</v>
      </c>
      <c r="P243" s="275">
        <v>1.6666666666666666E-2</v>
      </c>
      <c r="Q243" s="275">
        <v>9.7222222222222224E-3</v>
      </c>
      <c r="R243" s="275">
        <v>1.6666666666666666E-2</v>
      </c>
      <c r="S243" s="275">
        <v>1.7361111111111112E-2</v>
      </c>
      <c r="T243" s="275">
        <v>1.3194444444444444E-2</v>
      </c>
      <c r="U243" s="275">
        <v>9.7222222222222224E-3</v>
      </c>
      <c r="V243" s="275">
        <v>7.6388888888888886E-3</v>
      </c>
      <c r="W243" s="275">
        <v>1.1805555555555555E-2</v>
      </c>
      <c r="X243" s="275">
        <v>9.7222222222222224E-3</v>
      </c>
      <c r="Y243" s="275">
        <v>1.1805555555555555E-2</v>
      </c>
      <c r="Z243" s="275">
        <v>1.5972222222222224E-2</v>
      </c>
      <c r="AA243" s="275">
        <v>2.4999999999999998E-2</v>
      </c>
      <c r="AB243" s="275">
        <v>1.2499999999999999E-2</v>
      </c>
      <c r="AC243" s="275">
        <v>1.0416666666666666E-2</v>
      </c>
      <c r="AD243" s="275">
        <v>1.5972222222222224E-2</v>
      </c>
      <c r="AE243" s="275">
        <v>1.6666666666666666E-2</v>
      </c>
      <c r="AF243" s="276">
        <v>2.4305555555555556E-2</v>
      </c>
      <c r="AG243" s="261">
        <f>AVERAGE(B243:AF243)</f>
        <v>1.5860215053763446E-2</v>
      </c>
    </row>
    <row r="244" spans="1:33" ht="23.25" x14ac:dyDescent="0.35">
      <c r="A244" s="253" t="s">
        <v>75</v>
      </c>
      <c r="B244" s="274">
        <v>1.4583333333333332E-2</v>
      </c>
      <c r="C244" s="275">
        <v>6.0416666666666667E-2</v>
      </c>
      <c r="D244" s="275">
        <v>4.8611111111111112E-2</v>
      </c>
      <c r="E244" s="275">
        <v>9.4444444444444442E-2</v>
      </c>
      <c r="F244" s="275">
        <v>5.6250000000000001E-2</v>
      </c>
      <c r="G244" s="275">
        <v>2.1527777777777781E-2</v>
      </c>
      <c r="H244" s="275">
        <v>2.361111111111111E-2</v>
      </c>
      <c r="I244" s="275">
        <v>2.2916666666666669E-2</v>
      </c>
      <c r="J244" s="275">
        <v>5.6944444444444443E-2</v>
      </c>
      <c r="K244" s="275">
        <v>4.6527777777777779E-2</v>
      </c>
      <c r="L244" s="275">
        <v>2.5694444444444447E-2</v>
      </c>
      <c r="M244" s="275">
        <v>2.5694444444444447E-2</v>
      </c>
      <c r="N244" s="275">
        <v>4.4444444444444446E-2</v>
      </c>
      <c r="O244" s="275">
        <v>1.6666666666666666E-2</v>
      </c>
      <c r="P244" s="275">
        <v>4.5833333333333337E-2</v>
      </c>
      <c r="Q244" s="275">
        <v>4.3750000000000004E-2</v>
      </c>
      <c r="R244" s="275">
        <v>4.6527777777777779E-2</v>
      </c>
      <c r="S244" s="275">
        <v>5.2777777777777778E-2</v>
      </c>
      <c r="T244" s="275">
        <v>4.0972222222222222E-2</v>
      </c>
      <c r="U244" s="275">
        <v>3.8194444444444441E-2</v>
      </c>
      <c r="V244" s="275">
        <v>1.8749999999999999E-2</v>
      </c>
      <c r="W244" s="275">
        <v>3.7499999999999999E-2</v>
      </c>
      <c r="X244" s="275">
        <v>2.4305555555555556E-2</v>
      </c>
      <c r="Y244" s="275">
        <v>2.5694444444444447E-2</v>
      </c>
      <c r="Z244" s="275">
        <v>2.1527777777777781E-2</v>
      </c>
      <c r="AA244" s="275">
        <v>7.2222222222222229E-2</v>
      </c>
      <c r="AB244" s="275">
        <v>2.9861111111111113E-2</v>
      </c>
      <c r="AC244" s="275">
        <v>1.7361111111111112E-2</v>
      </c>
      <c r="AD244" s="275">
        <v>2.2916666666666669E-2</v>
      </c>
      <c r="AE244" s="275">
        <v>4.9999999999999996E-2</v>
      </c>
      <c r="AF244" s="276">
        <v>5.0694444444444452E-2</v>
      </c>
      <c r="AG244" s="261">
        <f>AVERAGE(B244:AF244)</f>
        <v>3.8620071684587823E-2</v>
      </c>
    </row>
    <row r="245" spans="1:33" ht="24" thickBot="1" x14ac:dyDescent="0.4">
      <c r="A245" s="262" t="s">
        <v>76</v>
      </c>
      <c r="B245" s="277">
        <v>3.5416666666666666E-2</v>
      </c>
      <c r="C245" s="278">
        <v>2.8472222222222222E-2</v>
      </c>
      <c r="D245" s="278">
        <v>7.2916666666666671E-2</v>
      </c>
      <c r="E245" s="278">
        <v>4.2361111111111106E-2</v>
      </c>
      <c r="F245" s="278">
        <v>6.3888888888888884E-2</v>
      </c>
      <c r="G245" s="278">
        <v>2.361111111111111E-2</v>
      </c>
      <c r="H245" s="278">
        <v>4.3055555555555562E-2</v>
      </c>
      <c r="I245" s="278">
        <v>6.3888888888888884E-2</v>
      </c>
      <c r="J245" s="278">
        <v>5.5555555555555552E-2</v>
      </c>
      <c r="K245" s="278">
        <v>9.0277777777777776E-2</v>
      </c>
      <c r="L245" s="278">
        <v>4.0972222222222222E-2</v>
      </c>
      <c r="M245" s="278">
        <v>4.3750000000000004E-2</v>
      </c>
      <c r="N245" s="278">
        <v>6.25E-2</v>
      </c>
      <c r="O245" s="278">
        <v>3.0555555555555555E-2</v>
      </c>
      <c r="P245" s="278">
        <v>3.8194444444444441E-2</v>
      </c>
      <c r="Q245" s="278">
        <v>5.5555555555555552E-2</v>
      </c>
      <c r="R245" s="278">
        <v>8.9583333333333334E-2</v>
      </c>
      <c r="S245" s="278">
        <v>4.0972222222222222E-2</v>
      </c>
      <c r="T245" s="278">
        <v>5.9027777777777783E-2</v>
      </c>
      <c r="U245" s="278">
        <v>5.6944444444444443E-2</v>
      </c>
      <c r="V245" s="278">
        <v>2.1527777777777781E-2</v>
      </c>
      <c r="W245" s="278">
        <v>5.1388888888888894E-2</v>
      </c>
      <c r="X245" s="278">
        <v>3.1944444444444449E-2</v>
      </c>
      <c r="Y245" s="278">
        <v>4.3055555555555562E-2</v>
      </c>
      <c r="Z245" s="278">
        <v>2.2222222222222223E-2</v>
      </c>
      <c r="AA245" s="278">
        <v>0.10625</v>
      </c>
      <c r="AB245" s="278">
        <v>3.9583333333333331E-2</v>
      </c>
      <c r="AC245" s="278">
        <v>3.9583333333333331E-2</v>
      </c>
      <c r="AD245" s="278">
        <v>1.4583333333333332E-2</v>
      </c>
      <c r="AE245" s="278">
        <v>2.8472222222222222E-2</v>
      </c>
      <c r="AF245" s="279">
        <v>5.347222222222222E-2</v>
      </c>
      <c r="AG245" s="266">
        <f>AVERAGE(B245:AF245)</f>
        <v>4.8051075268817203E-2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31" priority="7" operator="lessThan">
      <formula>0</formula>
    </cfRule>
  </conditionalFormatting>
  <conditionalFormatting sqref="D54:D77">
    <cfRule type="cellIs" dxfId="30" priority="3" operator="lessThan">
      <formula>0</formula>
    </cfRule>
  </conditionalFormatting>
  <conditionalFormatting sqref="G54:G77">
    <cfRule type="cellIs" dxfId="29" priority="2" operator="lessThan">
      <formula>0</formula>
    </cfRule>
  </conditionalFormatting>
  <conditionalFormatting sqref="Q54:Q77">
    <cfRule type="cellIs" dxfId="28" priority="1" operator="lessThan">
      <formula>0</formula>
    </cfRule>
  </conditionalFormatting>
  <conditionalFormatting sqref="AH81">
    <cfRule type="cellIs" dxfId="27" priority="5" operator="equal">
      <formula>"*"</formula>
    </cfRule>
  </conditionalFormatting>
  <conditionalFormatting sqref="AH84 AH87">
    <cfRule type="cellIs" dxfId="26" priority="6" operator="equal">
      <formula>"*"</formula>
    </cfRule>
  </conditionalFormatting>
  <conditionalFormatting sqref="AH93">
    <cfRule type="cellIs" dxfId="25" priority="11" operator="equal">
      <formula>"*"</formula>
    </cfRule>
  </conditionalFormatting>
  <conditionalFormatting sqref="AH130">
    <cfRule type="cellIs" dxfId="24" priority="9" operator="equal">
      <formula>"*"</formula>
    </cfRule>
  </conditionalFormatting>
  <conditionalFormatting sqref="AH144:AH145">
    <cfRule type="cellIs" dxfId="23" priority="10" operator="equal">
      <formula>"*"</formula>
    </cfRule>
  </conditionalFormatting>
  <conditionalFormatting sqref="AH179">
    <cfRule type="cellIs" dxfId="22" priority="8" operator="equal">
      <formula>"*"</formula>
    </cfRule>
  </conditionalFormatting>
  <conditionalFormatting sqref="AH204">
    <cfRule type="cellIs" dxfId="21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C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275"/>
  <sheetViews>
    <sheetView zoomScale="80" zoomScaleNormal="80" workbookViewId="0">
      <pane xSplit="1" ySplit="3" topLeftCell="I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135</v>
      </c>
      <c r="B2" s="106">
        <v>1</v>
      </c>
      <c r="C2" s="106">
        <f t="shared" ref="C2:AA2" si="0">+B2+1</f>
        <v>2</v>
      </c>
      <c r="D2" s="106">
        <f t="shared" si="0"/>
        <v>3</v>
      </c>
      <c r="E2" s="234">
        <f t="shared" si="0"/>
        <v>4</v>
      </c>
      <c r="F2" s="234">
        <f t="shared" si="0"/>
        <v>5</v>
      </c>
      <c r="G2" s="234">
        <f t="shared" si="0"/>
        <v>6</v>
      </c>
      <c r="H2" s="234">
        <f t="shared" si="0"/>
        <v>7</v>
      </c>
      <c r="I2" s="234">
        <f t="shared" si="0"/>
        <v>8</v>
      </c>
      <c r="J2" s="106">
        <f t="shared" si="0"/>
        <v>9</v>
      </c>
      <c r="K2" s="106">
        <f t="shared" si="0"/>
        <v>10</v>
      </c>
      <c r="L2" s="234">
        <f t="shared" si="0"/>
        <v>11</v>
      </c>
      <c r="M2" s="234">
        <f t="shared" si="0"/>
        <v>12</v>
      </c>
      <c r="N2" s="234">
        <f t="shared" si="0"/>
        <v>13</v>
      </c>
      <c r="O2" s="234">
        <f t="shared" si="0"/>
        <v>14</v>
      </c>
      <c r="P2" s="234">
        <f t="shared" si="0"/>
        <v>15</v>
      </c>
      <c r="Q2" s="106">
        <f t="shared" si="0"/>
        <v>16</v>
      </c>
      <c r="R2" s="106">
        <f t="shared" si="0"/>
        <v>17</v>
      </c>
      <c r="S2" s="234">
        <f t="shared" si="0"/>
        <v>18</v>
      </c>
      <c r="T2" s="234">
        <f t="shared" si="0"/>
        <v>19</v>
      </c>
      <c r="U2" s="234">
        <f t="shared" si="0"/>
        <v>20</v>
      </c>
      <c r="V2" s="234">
        <f t="shared" si="0"/>
        <v>21</v>
      </c>
      <c r="W2" s="234">
        <f t="shared" si="0"/>
        <v>22</v>
      </c>
      <c r="X2" s="106">
        <f t="shared" si="0"/>
        <v>23</v>
      </c>
      <c r="Y2" s="106">
        <f t="shared" si="0"/>
        <v>24</v>
      </c>
      <c r="Z2" s="234">
        <f t="shared" si="0"/>
        <v>25</v>
      </c>
      <c r="AA2" s="234">
        <f t="shared" si="0"/>
        <v>26</v>
      </c>
      <c r="AB2" s="234">
        <v>27</v>
      </c>
      <c r="AC2" s="234">
        <f>+AB2+1</f>
        <v>28</v>
      </c>
      <c r="AD2" s="234">
        <v>29</v>
      </c>
      <c r="AE2" s="106">
        <v>30</v>
      </c>
      <c r="AF2" s="234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216</v>
      </c>
      <c r="C3" s="135">
        <f t="shared" si="1"/>
        <v>209</v>
      </c>
      <c r="D3" s="135">
        <f t="shared" si="1"/>
        <v>201</v>
      </c>
      <c r="E3" s="135">
        <f t="shared" si="1"/>
        <v>177</v>
      </c>
      <c r="F3" s="135">
        <f t="shared" si="1"/>
        <v>167</v>
      </c>
      <c r="G3" s="135">
        <f t="shared" si="1"/>
        <v>153</v>
      </c>
      <c r="H3" s="135">
        <f t="shared" si="1"/>
        <v>113</v>
      </c>
      <c r="I3" s="135">
        <f t="shared" si="1"/>
        <v>148</v>
      </c>
      <c r="J3" s="135">
        <f t="shared" si="1"/>
        <v>233</v>
      </c>
      <c r="K3" s="135">
        <f t="shared" si="1"/>
        <v>228</v>
      </c>
      <c r="L3" s="135">
        <f t="shared" si="1"/>
        <v>184</v>
      </c>
      <c r="M3" s="135">
        <f t="shared" si="1"/>
        <v>111</v>
      </c>
      <c r="N3" s="135">
        <f t="shared" si="1"/>
        <v>141</v>
      </c>
      <c r="O3" s="135">
        <f t="shared" si="1"/>
        <v>156</v>
      </c>
      <c r="P3" s="135">
        <f t="shared" si="1"/>
        <v>160</v>
      </c>
      <c r="Q3" s="135">
        <f t="shared" si="1"/>
        <v>197</v>
      </c>
      <c r="R3" s="135">
        <f t="shared" si="1"/>
        <v>212</v>
      </c>
      <c r="S3" s="135">
        <f t="shared" si="1"/>
        <v>176</v>
      </c>
      <c r="T3" s="135">
        <f t="shared" si="1"/>
        <v>155</v>
      </c>
      <c r="U3" s="135">
        <f t="shared" si="1"/>
        <v>144</v>
      </c>
      <c r="V3" s="135">
        <f t="shared" si="1"/>
        <v>150</v>
      </c>
      <c r="W3" s="135">
        <f t="shared" si="1"/>
        <v>141</v>
      </c>
      <c r="X3" s="135">
        <f t="shared" si="1"/>
        <v>212</v>
      </c>
      <c r="Y3" s="135">
        <f t="shared" si="1"/>
        <v>221</v>
      </c>
      <c r="Z3" s="135">
        <f t="shared" si="1"/>
        <v>172</v>
      </c>
      <c r="AA3" s="135">
        <f t="shared" si="1"/>
        <v>141</v>
      </c>
      <c r="AB3" s="135">
        <f t="shared" si="1"/>
        <v>165</v>
      </c>
      <c r="AC3" s="135">
        <f t="shared" si="1"/>
        <v>198</v>
      </c>
      <c r="AD3" s="135">
        <f t="shared" si="1"/>
        <v>153</v>
      </c>
      <c r="AE3" s="135">
        <f t="shared" si="1"/>
        <v>232</v>
      </c>
      <c r="AF3" s="135">
        <f t="shared" si="1"/>
        <v>0</v>
      </c>
      <c r="AG3" s="187">
        <f>SUM(B3:AF3)</f>
        <v>5266</v>
      </c>
    </row>
    <row r="4" spans="1:33" ht="18.75" x14ac:dyDescent="0.25">
      <c r="A4" s="113" t="s">
        <v>54</v>
      </c>
      <c r="B4" s="114">
        <v>6</v>
      </c>
      <c r="C4" s="114">
        <v>1</v>
      </c>
      <c r="D4" s="114">
        <v>5</v>
      </c>
      <c r="E4" s="114"/>
      <c r="F4" s="114"/>
      <c r="G4" s="114"/>
      <c r="H4" s="114"/>
      <c r="I4" s="114"/>
      <c r="J4" s="114">
        <v>7</v>
      </c>
      <c r="K4" s="114">
        <v>6</v>
      </c>
      <c r="L4" s="114"/>
      <c r="M4" s="114"/>
      <c r="N4" s="114"/>
      <c r="O4" s="114"/>
      <c r="P4" s="114"/>
      <c r="Q4" s="114">
        <v>8</v>
      </c>
      <c r="R4" s="114">
        <v>8</v>
      </c>
      <c r="S4" s="114"/>
      <c r="T4" s="114"/>
      <c r="U4" s="114"/>
      <c r="V4" s="114"/>
      <c r="W4" s="114"/>
      <c r="X4" s="114">
        <v>4</v>
      </c>
      <c r="Y4" s="114">
        <v>2</v>
      </c>
      <c r="Z4" s="114"/>
      <c r="AA4" s="114"/>
      <c r="AB4" s="114"/>
      <c r="AC4" s="114"/>
      <c r="AD4" s="114"/>
      <c r="AE4" s="114">
        <v>11</v>
      </c>
      <c r="AF4" s="115"/>
      <c r="AG4" s="132">
        <f t="shared" ref="AG4:AG83" si="2">SUM(B4:AF4)</f>
        <v>58</v>
      </c>
    </row>
    <row r="5" spans="1:33" ht="18.75" x14ac:dyDescent="0.25">
      <c r="A5" s="41" t="s">
        <v>55</v>
      </c>
      <c r="B5" s="7">
        <v>8</v>
      </c>
      <c r="C5" s="7">
        <v>14</v>
      </c>
      <c r="D5" s="7">
        <v>7</v>
      </c>
      <c r="E5" s="7"/>
      <c r="F5" s="7"/>
      <c r="G5" s="7"/>
      <c r="H5" s="7"/>
      <c r="I5" s="7"/>
      <c r="J5" s="7">
        <v>12</v>
      </c>
      <c r="K5" s="7">
        <v>7</v>
      </c>
      <c r="L5" s="7"/>
      <c r="M5" s="7"/>
      <c r="N5" s="7"/>
      <c r="O5" s="7"/>
      <c r="P5" s="7"/>
      <c r="Q5" s="7">
        <v>11</v>
      </c>
      <c r="R5" s="7">
        <v>12</v>
      </c>
      <c r="S5" s="7"/>
      <c r="T5" s="7"/>
      <c r="U5" s="7"/>
      <c r="V5" s="7"/>
      <c r="W5" s="7"/>
      <c r="X5" s="7">
        <v>20</v>
      </c>
      <c r="Y5" s="7">
        <v>4</v>
      </c>
      <c r="Z5" s="7"/>
      <c r="AA5" s="7"/>
      <c r="AB5" s="7"/>
      <c r="AC5" s="7"/>
      <c r="AD5" s="7"/>
      <c r="AE5" s="7">
        <v>16</v>
      </c>
      <c r="AF5" s="8"/>
      <c r="AG5" s="4">
        <f t="shared" si="2"/>
        <v>111</v>
      </c>
    </row>
    <row r="6" spans="1:33" ht="18.75" x14ac:dyDescent="0.25">
      <c r="A6" s="41" t="s">
        <v>56</v>
      </c>
      <c r="B6" s="7">
        <v>13</v>
      </c>
      <c r="C6" s="7">
        <v>8</v>
      </c>
      <c r="D6" s="7">
        <v>13</v>
      </c>
      <c r="E6" s="7"/>
      <c r="F6" s="7"/>
      <c r="G6" s="7"/>
      <c r="H6" s="7"/>
      <c r="I6" s="7"/>
      <c r="J6" s="7">
        <v>12</v>
      </c>
      <c r="K6" s="7">
        <v>9</v>
      </c>
      <c r="L6" s="7"/>
      <c r="M6" s="7"/>
      <c r="N6" s="7"/>
      <c r="O6" s="7"/>
      <c r="P6" s="7"/>
      <c r="Q6" s="7">
        <v>6</v>
      </c>
      <c r="R6" s="7">
        <v>10</v>
      </c>
      <c r="S6" s="7"/>
      <c r="T6" s="7"/>
      <c r="U6" s="7"/>
      <c r="V6" s="7"/>
      <c r="W6" s="7"/>
      <c r="X6" s="7">
        <v>9</v>
      </c>
      <c r="Y6" s="7">
        <v>8</v>
      </c>
      <c r="Z6" s="7"/>
      <c r="AA6" s="7"/>
      <c r="AB6" s="7"/>
      <c r="AC6" s="7"/>
      <c r="AD6" s="7"/>
      <c r="AE6" s="7">
        <v>8</v>
      </c>
      <c r="AF6" s="8"/>
      <c r="AG6" s="4">
        <f t="shared" si="2"/>
        <v>96</v>
      </c>
    </row>
    <row r="7" spans="1:33" ht="18.75" x14ac:dyDescent="0.25">
      <c r="A7" s="41" t="s">
        <v>38</v>
      </c>
      <c r="B7" s="7">
        <v>22</v>
      </c>
      <c r="C7" s="7">
        <v>14</v>
      </c>
      <c r="D7" s="7">
        <v>21</v>
      </c>
      <c r="E7" s="7"/>
      <c r="F7" s="7"/>
      <c r="G7" s="7"/>
      <c r="H7" s="7"/>
      <c r="I7" s="7"/>
      <c r="J7" s="7">
        <v>21</v>
      </c>
      <c r="K7" s="7">
        <v>19</v>
      </c>
      <c r="L7" s="7"/>
      <c r="M7" s="7"/>
      <c r="N7" s="7"/>
      <c r="O7" s="7"/>
      <c r="P7" s="7"/>
      <c r="Q7" s="7">
        <v>12</v>
      </c>
      <c r="R7" s="7">
        <v>13</v>
      </c>
      <c r="S7" s="7"/>
      <c r="T7" s="7"/>
      <c r="U7" s="7"/>
      <c r="V7" s="7"/>
      <c r="W7" s="7"/>
      <c r="X7" s="7">
        <v>13</v>
      </c>
      <c r="Y7" s="7">
        <v>15</v>
      </c>
      <c r="Z7" s="7"/>
      <c r="AA7" s="7"/>
      <c r="AB7" s="7"/>
      <c r="AC7" s="7"/>
      <c r="AD7" s="7"/>
      <c r="AE7" s="7">
        <v>19</v>
      </c>
      <c r="AF7" s="8"/>
      <c r="AG7" s="4">
        <f t="shared" si="2"/>
        <v>169</v>
      </c>
    </row>
    <row r="8" spans="1:33" ht="18.75" x14ac:dyDescent="0.25">
      <c r="A8" s="41" t="s">
        <v>39</v>
      </c>
      <c r="B8" s="7">
        <v>11</v>
      </c>
      <c r="C8" s="7">
        <v>9</v>
      </c>
      <c r="D8" s="7">
        <v>9</v>
      </c>
      <c r="E8" s="7"/>
      <c r="F8" s="7"/>
      <c r="G8" s="7"/>
      <c r="H8" s="7"/>
      <c r="I8" s="7"/>
      <c r="J8" s="7">
        <v>12</v>
      </c>
      <c r="K8" s="7">
        <v>13</v>
      </c>
      <c r="L8" s="7"/>
      <c r="M8" s="7"/>
      <c r="N8" s="7"/>
      <c r="O8" s="7"/>
      <c r="P8" s="7"/>
      <c r="Q8" s="7">
        <v>9</v>
      </c>
      <c r="R8" s="7">
        <v>12</v>
      </c>
      <c r="S8" s="7"/>
      <c r="T8" s="7"/>
      <c r="U8" s="7"/>
      <c r="V8" s="7">
        <v>1</v>
      </c>
      <c r="W8" s="7"/>
      <c r="X8" s="7">
        <v>12</v>
      </c>
      <c r="Y8" s="7">
        <v>19</v>
      </c>
      <c r="Z8" s="7"/>
      <c r="AA8" s="7"/>
      <c r="AB8" s="7"/>
      <c r="AC8" s="7">
        <v>5</v>
      </c>
      <c r="AD8" s="7"/>
      <c r="AE8" s="7">
        <v>12</v>
      </c>
      <c r="AF8" s="8"/>
      <c r="AG8" s="4">
        <f t="shared" si="2"/>
        <v>124</v>
      </c>
    </row>
    <row r="9" spans="1:33" ht="18.75" x14ac:dyDescent="0.25">
      <c r="A9" s="41" t="s">
        <v>40</v>
      </c>
      <c r="B9" s="7">
        <v>3</v>
      </c>
      <c r="C9" s="7">
        <v>14</v>
      </c>
      <c r="D9" s="7">
        <v>12</v>
      </c>
      <c r="E9" s="7"/>
      <c r="F9" s="7"/>
      <c r="G9" s="7"/>
      <c r="H9" s="7"/>
      <c r="I9" s="7"/>
      <c r="J9" s="7">
        <v>10</v>
      </c>
      <c r="K9" s="7">
        <v>9</v>
      </c>
      <c r="L9" s="7"/>
      <c r="M9" s="7"/>
      <c r="N9" s="7"/>
      <c r="O9" s="7"/>
      <c r="P9" s="7"/>
      <c r="Q9" s="7">
        <v>12</v>
      </c>
      <c r="R9" s="7">
        <v>8</v>
      </c>
      <c r="S9" s="7"/>
      <c r="T9" s="7"/>
      <c r="U9" s="7"/>
      <c r="V9" s="7"/>
      <c r="W9" s="7"/>
      <c r="X9" s="7">
        <v>4</v>
      </c>
      <c r="Y9" s="7">
        <v>12</v>
      </c>
      <c r="Z9" s="7"/>
      <c r="AA9" s="7"/>
      <c r="AB9" s="7"/>
      <c r="AC9" s="7">
        <v>2</v>
      </c>
      <c r="AD9" s="7"/>
      <c r="AE9" s="7">
        <v>6</v>
      </c>
      <c r="AF9" s="8"/>
      <c r="AG9" s="4">
        <f t="shared" si="2"/>
        <v>92</v>
      </c>
    </row>
    <row r="10" spans="1:33" ht="18.75" x14ac:dyDescent="0.25">
      <c r="A10" s="41" t="s">
        <v>41</v>
      </c>
      <c r="B10" s="7">
        <v>15</v>
      </c>
      <c r="C10" s="7">
        <v>5</v>
      </c>
      <c r="D10" s="7">
        <v>12</v>
      </c>
      <c r="E10" s="7"/>
      <c r="F10" s="7"/>
      <c r="G10" s="7"/>
      <c r="H10" s="7"/>
      <c r="I10" s="7"/>
      <c r="J10" s="7">
        <v>9</v>
      </c>
      <c r="K10" s="7">
        <v>9</v>
      </c>
      <c r="L10" s="7"/>
      <c r="M10" s="7"/>
      <c r="N10" s="7"/>
      <c r="O10" s="7"/>
      <c r="P10" s="7"/>
      <c r="Q10" s="7">
        <v>10</v>
      </c>
      <c r="R10" s="7">
        <v>10</v>
      </c>
      <c r="S10" s="7"/>
      <c r="T10" s="7"/>
      <c r="U10" s="7"/>
      <c r="V10" s="7"/>
      <c r="W10" s="7"/>
      <c r="X10" s="7">
        <v>10</v>
      </c>
      <c r="Y10" s="7">
        <v>16</v>
      </c>
      <c r="Z10" s="7"/>
      <c r="AA10" s="7"/>
      <c r="AB10" s="7"/>
      <c r="AC10" s="7">
        <v>7</v>
      </c>
      <c r="AD10" s="7"/>
      <c r="AE10" s="7">
        <v>7</v>
      </c>
      <c r="AF10" s="8"/>
      <c r="AG10" s="4">
        <f t="shared" si="2"/>
        <v>110</v>
      </c>
    </row>
    <row r="11" spans="1:33" ht="18.75" x14ac:dyDescent="0.25">
      <c r="A11" s="41" t="s">
        <v>42</v>
      </c>
      <c r="B11" s="7">
        <v>13</v>
      </c>
      <c r="C11" s="7">
        <v>7</v>
      </c>
      <c r="D11" s="7">
        <v>15</v>
      </c>
      <c r="E11" s="7"/>
      <c r="F11" s="7"/>
      <c r="G11" s="7"/>
      <c r="H11" s="7"/>
      <c r="I11" s="7"/>
      <c r="J11" s="7">
        <v>17</v>
      </c>
      <c r="K11" s="7">
        <v>9</v>
      </c>
      <c r="L11" s="7"/>
      <c r="M11" s="7"/>
      <c r="N11" s="7"/>
      <c r="O11" s="7"/>
      <c r="P11" s="7"/>
      <c r="Q11" s="7">
        <v>9</v>
      </c>
      <c r="R11" s="7">
        <v>6</v>
      </c>
      <c r="S11" s="7"/>
      <c r="T11" s="7"/>
      <c r="U11" s="7"/>
      <c r="V11" s="7"/>
      <c r="W11" s="7"/>
      <c r="X11" s="7">
        <v>15</v>
      </c>
      <c r="Y11" s="7">
        <v>27</v>
      </c>
      <c r="Z11" s="7"/>
      <c r="AA11" s="7"/>
      <c r="AB11" s="7"/>
      <c r="AC11" s="7">
        <v>7</v>
      </c>
      <c r="AD11" s="7"/>
      <c r="AE11" s="7">
        <v>18</v>
      </c>
      <c r="AF11" s="8"/>
      <c r="AG11" s="4">
        <f t="shared" si="2"/>
        <v>143</v>
      </c>
    </row>
    <row r="12" spans="1:33" ht="18.75" x14ac:dyDescent="0.25">
      <c r="A12" s="41" t="s">
        <v>43</v>
      </c>
      <c r="B12" s="7">
        <v>13</v>
      </c>
      <c r="C12" s="7">
        <v>19</v>
      </c>
      <c r="D12" s="7">
        <v>18</v>
      </c>
      <c r="E12" s="7"/>
      <c r="F12" s="7"/>
      <c r="G12" s="7">
        <v>1</v>
      </c>
      <c r="H12" s="7"/>
      <c r="I12" s="7">
        <v>1</v>
      </c>
      <c r="J12" s="7">
        <v>15</v>
      </c>
      <c r="K12" s="7">
        <v>13</v>
      </c>
      <c r="L12" s="7"/>
      <c r="M12" s="7"/>
      <c r="N12" s="7"/>
      <c r="O12" s="7"/>
      <c r="P12" s="7"/>
      <c r="Q12" s="7">
        <v>11</v>
      </c>
      <c r="R12" s="7">
        <v>15</v>
      </c>
      <c r="S12" s="7"/>
      <c r="T12" s="7"/>
      <c r="U12" s="7"/>
      <c r="V12" s="7"/>
      <c r="W12" s="7"/>
      <c r="X12" s="7">
        <v>20</v>
      </c>
      <c r="Y12" s="7">
        <v>23</v>
      </c>
      <c r="Z12" s="7">
        <v>1</v>
      </c>
      <c r="AA12" s="7"/>
      <c r="AB12" s="7"/>
      <c r="AC12" s="7">
        <v>4</v>
      </c>
      <c r="AD12" s="7"/>
      <c r="AE12" s="7">
        <v>8</v>
      </c>
      <c r="AF12" s="8"/>
      <c r="AG12" s="4">
        <f t="shared" si="2"/>
        <v>162</v>
      </c>
    </row>
    <row r="13" spans="1:33" ht="18.75" x14ac:dyDescent="0.25">
      <c r="A13" s="41" t="s">
        <v>44</v>
      </c>
      <c r="B13" s="7">
        <v>22</v>
      </c>
      <c r="C13" s="7">
        <v>23</v>
      </c>
      <c r="D13" s="7">
        <v>16</v>
      </c>
      <c r="E13" s="7">
        <v>64</v>
      </c>
      <c r="F13" s="7">
        <v>57</v>
      </c>
      <c r="G13" s="7">
        <v>62</v>
      </c>
      <c r="H13" s="7">
        <v>35</v>
      </c>
      <c r="I13" s="7">
        <v>48</v>
      </c>
      <c r="J13" s="7">
        <v>18</v>
      </c>
      <c r="K13" s="7">
        <v>14</v>
      </c>
      <c r="L13" s="7">
        <v>62</v>
      </c>
      <c r="M13" s="7">
        <v>33</v>
      </c>
      <c r="N13" s="7">
        <v>50</v>
      </c>
      <c r="O13" s="7">
        <v>59</v>
      </c>
      <c r="P13" s="7">
        <v>47</v>
      </c>
      <c r="Q13" s="7">
        <v>18</v>
      </c>
      <c r="R13" s="7">
        <v>15</v>
      </c>
      <c r="S13" s="7">
        <v>56</v>
      </c>
      <c r="T13" s="7">
        <v>53</v>
      </c>
      <c r="U13" s="7">
        <v>65</v>
      </c>
      <c r="V13" s="7">
        <v>52</v>
      </c>
      <c r="W13" s="7">
        <v>33</v>
      </c>
      <c r="X13" s="7">
        <v>13</v>
      </c>
      <c r="Y13" s="7">
        <v>10</v>
      </c>
      <c r="Z13" s="7">
        <v>63</v>
      </c>
      <c r="AA13" s="7">
        <v>51</v>
      </c>
      <c r="AB13" s="7">
        <v>59</v>
      </c>
      <c r="AC13" s="7">
        <v>51</v>
      </c>
      <c r="AD13" s="7">
        <v>49</v>
      </c>
      <c r="AE13" s="7">
        <v>18</v>
      </c>
      <c r="AF13" s="8"/>
      <c r="AG13" s="4">
        <f t="shared" si="2"/>
        <v>1216</v>
      </c>
    </row>
    <row r="14" spans="1:33" ht="18.75" x14ac:dyDescent="0.25">
      <c r="A14" s="41" t="s">
        <v>45</v>
      </c>
      <c r="B14" s="7">
        <v>17</v>
      </c>
      <c r="C14" s="7">
        <v>9</v>
      </c>
      <c r="D14" s="7">
        <v>15</v>
      </c>
      <c r="E14" s="7">
        <v>17</v>
      </c>
      <c r="F14" s="7">
        <v>22</v>
      </c>
      <c r="G14" s="7">
        <v>13</v>
      </c>
      <c r="H14" s="7">
        <v>13</v>
      </c>
      <c r="I14" s="7">
        <v>12</v>
      </c>
      <c r="J14" s="7">
        <v>13</v>
      </c>
      <c r="K14" s="7">
        <v>16</v>
      </c>
      <c r="L14" s="7">
        <v>26</v>
      </c>
      <c r="M14" s="7">
        <v>9</v>
      </c>
      <c r="N14" s="7">
        <v>25</v>
      </c>
      <c r="O14" s="7">
        <v>24</v>
      </c>
      <c r="P14" s="7">
        <v>16</v>
      </c>
      <c r="Q14" s="7">
        <v>19</v>
      </c>
      <c r="R14" s="7">
        <v>21</v>
      </c>
      <c r="S14" s="7">
        <v>22</v>
      </c>
      <c r="T14" s="7">
        <v>17</v>
      </c>
      <c r="U14" s="7">
        <v>18</v>
      </c>
      <c r="V14" s="7">
        <v>13</v>
      </c>
      <c r="W14" s="7">
        <v>12</v>
      </c>
      <c r="X14" s="7">
        <v>14</v>
      </c>
      <c r="Y14" s="7">
        <v>12</v>
      </c>
      <c r="Z14" s="7">
        <v>32</v>
      </c>
      <c r="AA14" s="7">
        <v>14</v>
      </c>
      <c r="AB14" s="7">
        <v>17</v>
      </c>
      <c r="AC14" s="7">
        <v>24</v>
      </c>
      <c r="AD14" s="7">
        <v>19</v>
      </c>
      <c r="AE14" s="7">
        <v>15</v>
      </c>
      <c r="AF14" s="8"/>
      <c r="AG14" s="4">
        <f t="shared" si="2"/>
        <v>516</v>
      </c>
    </row>
    <row r="15" spans="1:33" ht="18.75" x14ac:dyDescent="0.25">
      <c r="A15" s="41" t="s">
        <v>46</v>
      </c>
      <c r="B15" s="7">
        <v>15</v>
      </c>
      <c r="C15" s="7">
        <v>17</v>
      </c>
      <c r="D15" s="7">
        <v>19</v>
      </c>
      <c r="E15" s="7">
        <v>14</v>
      </c>
      <c r="F15" s="7">
        <v>17</v>
      </c>
      <c r="G15" s="7">
        <v>23</v>
      </c>
      <c r="H15" s="7">
        <v>22</v>
      </c>
      <c r="I15" s="7">
        <v>19</v>
      </c>
      <c r="J15" s="7">
        <v>14</v>
      </c>
      <c r="K15" s="7">
        <v>22</v>
      </c>
      <c r="L15" s="7">
        <v>25</v>
      </c>
      <c r="M15" s="7">
        <v>15</v>
      </c>
      <c r="N15" s="7">
        <v>10</v>
      </c>
      <c r="O15" s="7">
        <v>10</v>
      </c>
      <c r="P15" s="7">
        <v>26</v>
      </c>
      <c r="Q15" s="7">
        <v>15</v>
      </c>
      <c r="R15" s="7">
        <v>13</v>
      </c>
      <c r="S15" s="7">
        <v>13</v>
      </c>
      <c r="T15" s="7">
        <v>18</v>
      </c>
      <c r="U15" s="7">
        <v>16</v>
      </c>
      <c r="V15" s="7">
        <v>13</v>
      </c>
      <c r="W15" s="7">
        <v>16</v>
      </c>
      <c r="X15" s="7">
        <v>18</v>
      </c>
      <c r="Y15" s="7">
        <v>10</v>
      </c>
      <c r="Z15" s="7">
        <v>16</v>
      </c>
      <c r="AA15" s="7">
        <v>18</v>
      </c>
      <c r="AB15" s="7">
        <v>22</v>
      </c>
      <c r="AC15" s="7">
        <v>24</v>
      </c>
      <c r="AD15" s="7">
        <v>15</v>
      </c>
      <c r="AE15" s="7">
        <v>10</v>
      </c>
      <c r="AF15" s="8"/>
      <c r="AG15" s="4">
        <f t="shared" si="2"/>
        <v>505</v>
      </c>
    </row>
    <row r="16" spans="1:33" ht="18.75" x14ac:dyDescent="0.25">
      <c r="A16" s="41" t="s">
        <v>47</v>
      </c>
      <c r="B16" s="7">
        <v>15</v>
      </c>
      <c r="C16" s="7">
        <v>15</v>
      </c>
      <c r="D16" s="7">
        <v>8</v>
      </c>
      <c r="E16" s="7">
        <v>21</v>
      </c>
      <c r="F16" s="7">
        <v>17</v>
      </c>
      <c r="G16" s="7">
        <v>14</v>
      </c>
      <c r="H16" s="7">
        <v>12</v>
      </c>
      <c r="I16" s="7">
        <v>19</v>
      </c>
      <c r="J16" s="7">
        <v>20</v>
      </c>
      <c r="K16" s="7">
        <v>17</v>
      </c>
      <c r="L16" s="7">
        <v>21</v>
      </c>
      <c r="M16" s="7">
        <v>16</v>
      </c>
      <c r="N16" s="7">
        <v>9</v>
      </c>
      <c r="O16" s="7">
        <v>9</v>
      </c>
      <c r="P16" s="7">
        <v>18</v>
      </c>
      <c r="Q16" s="7">
        <v>11</v>
      </c>
      <c r="R16" s="7">
        <v>18</v>
      </c>
      <c r="S16" s="7">
        <v>20</v>
      </c>
      <c r="T16" s="7">
        <v>21</v>
      </c>
      <c r="U16" s="7">
        <v>8</v>
      </c>
      <c r="V16" s="7">
        <v>19</v>
      </c>
      <c r="W16" s="7">
        <v>19</v>
      </c>
      <c r="X16" s="7">
        <v>15</v>
      </c>
      <c r="Y16" s="7">
        <v>14</v>
      </c>
      <c r="Z16" s="7">
        <v>10</v>
      </c>
      <c r="AA16" s="7">
        <v>14</v>
      </c>
      <c r="AB16" s="7">
        <v>19</v>
      </c>
      <c r="AC16" s="7">
        <v>15</v>
      </c>
      <c r="AD16" s="7">
        <v>18</v>
      </c>
      <c r="AE16" s="7">
        <v>16</v>
      </c>
      <c r="AF16" s="8"/>
      <c r="AG16" s="4">
        <f t="shared" si="2"/>
        <v>468</v>
      </c>
    </row>
    <row r="17" spans="1:33" ht="18.75" x14ac:dyDescent="0.25">
      <c r="A17" s="41" t="s">
        <v>48</v>
      </c>
      <c r="B17" s="7">
        <v>10</v>
      </c>
      <c r="C17" s="7">
        <v>16</v>
      </c>
      <c r="D17" s="7">
        <v>5</v>
      </c>
      <c r="E17" s="7">
        <v>20</v>
      </c>
      <c r="F17" s="7">
        <v>16</v>
      </c>
      <c r="G17" s="7">
        <v>12</v>
      </c>
      <c r="H17" s="7">
        <v>14</v>
      </c>
      <c r="I17" s="7">
        <v>16</v>
      </c>
      <c r="J17" s="7">
        <v>18</v>
      </c>
      <c r="K17" s="7">
        <v>21</v>
      </c>
      <c r="L17" s="7">
        <v>13</v>
      </c>
      <c r="M17" s="7">
        <v>14</v>
      </c>
      <c r="N17" s="7">
        <v>12</v>
      </c>
      <c r="O17" s="7">
        <v>17</v>
      </c>
      <c r="P17" s="7">
        <v>12</v>
      </c>
      <c r="Q17" s="7">
        <v>9</v>
      </c>
      <c r="R17" s="7">
        <v>20</v>
      </c>
      <c r="S17" s="7">
        <v>13</v>
      </c>
      <c r="T17" s="7">
        <v>9</v>
      </c>
      <c r="U17" s="7">
        <v>7</v>
      </c>
      <c r="V17" s="7">
        <v>13</v>
      </c>
      <c r="W17" s="7">
        <v>17</v>
      </c>
      <c r="X17" s="7">
        <v>8</v>
      </c>
      <c r="Y17" s="7">
        <v>17</v>
      </c>
      <c r="Z17" s="7">
        <v>15</v>
      </c>
      <c r="AA17" s="7">
        <v>18</v>
      </c>
      <c r="AB17" s="7">
        <v>15</v>
      </c>
      <c r="AC17" s="7">
        <v>13</v>
      </c>
      <c r="AD17" s="7">
        <v>11</v>
      </c>
      <c r="AE17" s="7">
        <v>16</v>
      </c>
      <c r="AF17" s="8"/>
      <c r="AG17" s="4">
        <f t="shared" si="2"/>
        <v>417</v>
      </c>
    </row>
    <row r="18" spans="1:33" ht="18.75" x14ac:dyDescent="0.25">
      <c r="A18" s="41" t="s">
        <v>49</v>
      </c>
      <c r="B18" s="7">
        <v>7</v>
      </c>
      <c r="C18" s="7">
        <v>12</v>
      </c>
      <c r="D18" s="7">
        <v>6</v>
      </c>
      <c r="E18" s="7">
        <v>16</v>
      </c>
      <c r="F18" s="7">
        <v>13</v>
      </c>
      <c r="G18" s="7">
        <v>5</v>
      </c>
      <c r="H18" s="7">
        <v>9</v>
      </c>
      <c r="I18" s="7">
        <v>4</v>
      </c>
      <c r="J18" s="7">
        <v>11</v>
      </c>
      <c r="K18" s="7">
        <v>21</v>
      </c>
      <c r="L18" s="7">
        <v>16</v>
      </c>
      <c r="M18" s="7">
        <v>5</v>
      </c>
      <c r="N18" s="7">
        <v>13</v>
      </c>
      <c r="O18" s="7">
        <v>12</v>
      </c>
      <c r="P18" s="7">
        <v>18</v>
      </c>
      <c r="Q18" s="7">
        <v>17</v>
      </c>
      <c r="R18" s="7">
        <v>11</v>
      </c>
      <c r="S18" s="7">
        <v>20</v>
      </c>
      <c r="T18" s="7">
        <v>13</v>
      </c>
      <c r="U18" s="7">
        <v>10</v>
      </c>
      <c r="V18" s="7">
        <v>15</v>
      </c>
      <c r="W18" s="7">
        <v>14</v>
      </c>
      <c r="X18" s="7">
        <v>7</v>
      </c>
      <c r="Y18" s="7">
        <v>14</v>
      </c>
      <c r="Z18" s="7">
        <v>14</v>
      </c>
      <c r="AA18" s="7">
        <v>7</v>
      </c>
      <c r="AB18" s="7">
        <v>10</v>
      </c>
      <c r="AC18" s="7">
        <v>19</v>
      </c>
      <c r="AD18" s="7">
        <v>18</v>
      </c>
      <c r="AE18" s="7">
        <v>17</v>
      </c>
      <c r="AF18" s="8"/>
      <c r="AG18" s="4">
        <f t="shared" si="2"/>
        <v>374</v>
      </c>
    </row>
    <row r="19" spans="1:33" ht="18.75" x14ac:dyDescent="0.25">
      <c r="A19" s="41" t="s">
        <v>50</v>
      </c>
      <c r="B19" s="7">
        <v>10</v>
      </c>
      <c r="C19" s="7">
        <v>6</v>
      </c>
      <c r="D19" s="7">
        <v>9</v>
      </c>
      <c r="E19" s="7">
        <v>11</v>
      </c>
      <c r="F19" s="7">
        <v>11</v>
      </c>
      <c r="G19" s="7">
        <v>11</v>
      </c>
      <c r="H19" s="7">
        <v>1</v>
      </c>
      <c r="I19" s="7">
        <v>9</v>
      </c>
      <c r="J19" s="7">
        <v>9</v>
      </c>
      <c r="K19" s="7">
        <v>7</v>
      </c>
      <c r="L19" s="7">
        <v>12</v>
      </c>
      <c r="M19" s="7">
        <v>6</v>
      </c>
      <c r="N19" s="7">
        <v>11</v>
      </c>
      <c r="O19" s="7">
        <v>9</v>
      </c>
      <c r="P19" s="7">
        <v>11</v>
      </c>
      <c r="Q19" s="7">
        <v>8</v>
      </c>
      <c r="R19" s="7">
        <v>11</v>
      </c>
      <c r="S19" s="7">
        <v>15</v>
      </c>
      <c r="T19" s="7">
        <v>10</v>
      </c>
      <c r="U19" s="7">
        <v>5</v>
      </c>
      <c r="V19" s="7">
        <v>12</v>
      </c>
      <c r="W19" s="7">
        <v>11</v>
      </c>
      <c r="X19" s="7">
        <v>7</v>
      </c>
      <c r="Y19" s="7">
        <v>5</v>
      </c>
      <c r="Z19" s="7">
        <v>8</v>
      </c>
      <c r="AA19" s="7">
        <v>9</v>
      </c>
      <c r="AB19" s="7">
        <v>11</v>
      </c>
      <c r="AC19" s="7">
        <v>6</v>
      </c>
      <c r="AD19" s="7">
        <v>13</v>
      </c>
      <c r="AE19" s="7">
        <v>11</v>
      </c>
      <c r="AF19" s="8"/>
      <c r="AG19" s="4">
        <f t="shared" si="2"/>
        <v>275</v>
      </c>
    </row>
    <row r="20" spans="1:33" ht="18.75" x14ac:dyDescent="0.25">
      <c r="A20" s="41" t="s">
        <v>33</v>
      </c>
      <c r="B20" s="7">
        <v>3</v>
      </c>
      <c r="C20" s="7">
        <v>9</v>
      </c>
      <c r="D20" s="7">
        <v>2</v>
      </c>
      <c r="E20" s="7">
        <v>6</v>
      </c>
      <c r="F20" s="7">
        <v>4</v>
      </c>
      <c r="G20" s="7">
        <v>6</v>
      </c>
      <c r="H20" s="7">
        <v>3</v>
      </c>
      <c r="I20" s="7">
        <v>8</v>
      </c>
      <c r="J20" s="7">
        <v>4</v>
      </c>
      <c r="K20" s="7">
        <v>8</v>
      </c>
      <c r="L20" s="7">
        <v>3</v>
      </c>
      <c r="M20" s="7">
        <v>3</v>
      </c>
      <c r="N20" s="7">
        <v>1</v>
      </c>
      <c r="O20" s="7">
        <v>5</v>
      </c>
      <c r="P20" s="7">
        <v>2</v>
      </c>
      <c r="Q20" s="7">
        <v>7</v>
      </c>
      <c r="R20" s="7">
        <v>4</v>
      </c>
      <c r="S20" s="7">
        <v>6</v>
      </c>
      <c r="T20" s="7">
        <v>7</v>
      </c>
      <c r="U20" s="7">
        <v>7</v>
      </c>
      <c r="V20" s="7">
        <v>4</v>
      </c>
      <c r="W20" s="7">
        <v>6</v>
      </c>
      <c r="X20" s="7">
        <v>7</v>
      </c>
      <c r="Y20" s="7">
        <v>8</v>
      </c>
      <c r="Z20" s="7">
        <v>3</v>
      </c>
      <c r="AA20" s="7">
        <v>6</v>
      </c>
      <c r="AB20" s="7">
        <v>4</v>
      </c>
      <c r="AC20" s="7">
        <v>10</v>
      </c>
      <c r="AD20" s="7">
        <v>4</v>
      </c>
      <c r="AE20" s="7">
        <v>11</v>
      </c>
      <c r="AF20" s="8"/>
      <c r="AG20" s="4">
        <f t="shared" si="2"/>
        <v>161</v>
      </c>
    </row>
    <row r="21" spans="1:33" ht="18.75" x14ac:dyDescent="0.25">
      <c r="A21" s="41" t="s">
        <v>34</v>
      </c>
      <c r="B21" s="7">
        <v>3</v>
      </c>
      <c r="C21" s="7">
        <v>2</v>
      </c>
      <c r="D21" s="7">
        <v>4</v>
      </c>
      <c r="E21" s="7">
        <v>1</v>
      </c>
      <c r="F21" s="7">
        <v>4</v>
      </c>
      <c r="G21" s="7">
        <v>3</v>
      </c>
      <c r="H21" s="7">
        <v>2</v>
      </c>
      <c r="I21" s="7">
        <v>2</v>
      </c>
      <c r="J21" s="7">
        <v>3</v>
      </c>
      <c r="K21" s="7">
        <v>3</v>
      </c>
      <c r="L21" s="7">
        <v>2</v>
      </c>
      <c r="M21" s="7">
        <v>4</v>
      </c>
      <c r="N21" s="7"/>
      <c r="O21" s="7">
        <v>3</v>
      </c>
      <c r="P21" s="7">
        <v>2</v>
      </c>
      <c r="Q21" s="7">
        <v>4</v>
      </c>
      <c r="R21" s="7">
        <v>3</v>
      </c>
      <c r="S21" s="7">
        <v>5</v>
      </c>
      <c r="T21" s="7">
        <v>1</v>
      </c>
      <c r="U21" s="7">
        <v>4</v>
      </c>
      <c r="V21" s="7">
        <v>2</v>
      </c>
      <c r="W21" s="7">
        <v>5</v>
      </c>
      <c r="X21" s="7">
        <v>4</v>
      </c>
      <c r="Y21" s="7">
        <v>1</v>
      </c>
      <c r="Z21" s="7">
        <v>3</v>
      </c>
      <c r="AA21" s="7">
        <v>2</v>
      </c>
      <c r="AB21" s="7">
        <v>2</v>
      </c>
      <c r="AC21" s="7">
        <v>3</v>
      </c>
      <c r="AD21" s="7">
        <v>2</v>
      </c>
      <c r="AE21" s="7">
        <v>5</v>
      </c>
      <c r="AF21" s="8"/>
      <c r="AG21" s="4">
        <f t="shared" si="2"/>
        <v>84</v>
      </c>
    </row>
    <row r="22" spans="1:33" ht="18.75" x14ac:dyDescent="0.25">
      <c r="A22" s="41" t="s">
        <v>35</v>
      </c>
      <c r="B22" s="7">
        <v>1</v>
      </c>
      <c r="C22" s="7">
        <v>3</v>
      </c>
      <c r="D22" s="7">
        <v>3</v>
      </c>
      <c r="E22" s="7">
        <v>3</v>
      </c>
      <c r="F22" s="7"/>
      <c r="G22" s="7">
        <v>1</v>
      </c>
      <c r="H22" s="7">
        <v>1</v>
      </c>
      <c r="I22" s="7">
        <v>2</v>
      </c>
      <c r="J22" s="7">
        <v>3</v>
      </c>
      <c r="K22" s="7"/>
      <c r="L22" s="7">
        <v>2</v>
      </c>
      <c r="M22" s="7">
        <v>3</v>
      </c>
      <c r="N22" s="7">
        <v>3</v>
      </c>
      <c r="O22" s="7">
        <v>1</v>
      </c>
      <c r="P22" s="7">
        <v>3</v>
      </c>
      <c r="Q22" s="7"/>
      <c r="R22" s="7">
        <v>2</v>
      </c>
      <c r="S22" s="7">
        <v>3</v>
      </c>
      <c r="T22" s="7">
        <v>1</v>
      </c>
      <c r="U22" s="7">
        <v>1</v>
      </c>
      <c r="V22" s="7">
        <v>2</v>
      </c>
      <c r="W22" s="7">
        <v>5</v>
      </c>
      <c r="X22" s="7">
        <v>1</v>
      </c>
      <c r="Y22" s="7"/>
      <c r="Z22" s="7"/>
      <c r="AA22" s="7">
        <v>1</v>
      </c>
      <c r="AB22" s="7">
        <v>2</v>
      </c>
      <c r="AC22" s="7">
        <v>3</v>
      </c>
      <c r="AD22" s="7">
        <v>2</v>
      </c>
      <c r="AE22" s="7">
        <v>2</v>
      </c>
      <c r="AF22" s="8"/>
      <c r="AG22" s="4">
        <f t="shared" si="2"/>
        <v>54</v>
      </c>
    </row>
    <row r="23" spans="1:33" ht="18.75" x14ac:dyDescent="0.25">
      <c r="A23" s="41" t="s">
        <v>36</v>
      </c>
      <c r="B23" s="7">
        <v>5</v>
      </c>
      <c r="C23" s="7"/>
      <c r="D23" s="7">
        <v>1</v>
      </c>
      <c r="E23" s="7">
        <v>2</v>
      </c>
      <c r="F23" s="7">
        <v>2</v>
      </c>
      <c r="G23" s="7">
        <v>1</v>
      </c>
      <c r="H23" s="7"/>
      <c r="I23" s="7"/>
      <c r="J23" s="7"/>
      <c r="K23" s="7">
        <v>3</v>
      </c>
      <c r="L23" s="7">
        <v>2</v>
      </c>
      <c r="M23" s="7">
        <v>1</v>
      </c>
      <c r="N23" s="7">
        <v>1</v>
      </c>
      <c r="O23" s="7">
        <v>1</v>
      </c>
      <c r="P23" s="7"/>
      <c r="Q23" s="7"/>
      <c r="R23" s="7"/>
      <c r="S23" s="7"/>
      <c r="T23" s="7">
        <v>3</v>
      </c>
      <c r="U23" s="7">
        <v>1</v>
      </c>
      <c r="V23" s="7"/>
      <c r="W23" s="7">
        <v>1</v>
      </c>
      <c r="X23" s="7">
        <v>3</v>
      </c>
      <c r="Y23" s="7">
        <v>1</v>
      </c>
      <c r="Z23" s="7">
        <v>3</v>
      </c>
      <c r="AA23" s="7"/>
      <c r="AB23" s="7">
        <v>1</v>
      </c>
      <c r="AC23" s="7"/>
      <c r="AD23" s="7"/>
      <c r="AE23" s="7">
        <v>3</v>
      </c>
      <c r="AF23" s="8"/>
      <c r="AG23" s="4">
        <f t="shared" si="2"/>
        <v>35</v>
      </c>
    </row>
    <row r="24" spans="1:33" ht="18.75" x14ac:dyDescent="0.25">
      <c r="A24" s="41" t="s">
        <v>51</v>
      </c>
      <c r="B24" s="7"/>
      <c r="C24" s="7"/>
      <c r="D24" s="7"/>
      <c r="E24" s="7"/>
      <c r="F24" s="7">
        <v>1</v>
      </c>
      <c r="G24" s="7">
        <v>1</v>
      </c>
      <c r="H24" s="7">
        <v>1</v>
      </c>
      <c r="I24" s="7">
        <v>1</v>
      </c>
      <c r="J24" s="7">
        <v>2</v>
      </c>
      <c r="K24" s="7">
        <v>1</v>
      </c>
      <c r="L24" s="7"/>
      <c r="M24" s="7"/>
      <c r="N24" s="7">
        <v>2</v>
      </c>
      <c r="O24" s="7">
        <v>3</v>
      </c>
      <c r="P24" s="7"/>
      <c r="Q24" s="7">
        <v>1</v>
      </c>
      <c r="R24" s="7"/>
      <c r="S24" s="7"/>
      <c r="T24" s="7">
        <v>1</v>
      </c>
      <c r="U24" s="7">
        <v>2</v>
      </c>
      <c r="V24" s="7">
        <v>2</v>
      </c>
      <c r="W24" s="7">
        <v>1</v>
      </c>
      <c r="X24" s="7"/>
      <c r="Y24" s="7">
        <v>1</v>
      </c>
      <c r="Z24" s="7">
        <v>2</v>
      </c>
      <c r="AA24" s="7"/>
      <c r="AB24" s="7"/>
      <c r="AC24" s="7">
        <v>2</v>
      </c>
      <c r="AD24" s="7"/>
      <c r="AE24" s="7">
        <v>1</v>
      </c>
      <c r="AF24" s="8"/>
      <c r="AG24" s="4">
        <f t="shared" si="2"/>
        <v>25</v>
      </c>
    </row>
    <row r="25" spans="1:33" ht="18.75" x14ac:dyDescent="0.25">
      <c r="A25" s="41" t="s">
        <v>52</v>
      </c>
      <c r="B25" s="7"/>
      <c r="C25" s="7">
        <v>1</v>
      </c>
      <c r="D25" s="7"/>
      <c r="E25" s="7"/>
      <c r="F25" s="7">
        <v>1</v>
      </c>
      <c r="G25" s="7"/>
      <c r="H25" s="7"/>
      <c r="I25" s="7">
        <v>2</v>
      </c>
      <c r="J25" s="7">
        <v>1</v>
      </c>
      <c r="K25" s="7">
        <v>1</v>
      </c>
      <c r="L25" s="7"/>
      <c r="M25" s="7"/>
      <c r="N25" s="7">
        <v>2</v>
      </c>
      <c r="O25" s="7">
        <v>1</v>
      </c>
      <c r="P25" s="7">
        <v>1</v>
      </c>
      <c r="Q25" s="7"/>
      <c r="R25" s="7"/>
      <c r="S25" s="7">
        <v>2</v>
      </c>
      <c r="T25" s="7">
        <v>1</v>
      </c>
      <c r="U25" s="7"/>
      <c r="V25" s="7">
        <v>2</v>
      </c>
      <c r="W25" s="7"/>
      <c r="X25" s="7">
        <v>2</v>
      </c>
      <c r="Y25" s="7">
        <v>2</v>
      </c>
      <c r="Z25" s="7">
        <v>1</v>
      </c>
      <c r="AA25" s="7">
        <v>1</v>
      </c>
      <c r="AB25" s="7"/>
      <c r="AC25" s="7">
        <v>2</v>
      </c>
      <c r="AD25" s="7"/>
      <c r="AE25" s="7"/>
      <c r="AF25" s="8"/>
      <c r="AG25" s="4">
        <f t="shared" si="2"/>
        <v>23</v>
      </c>
    </row>
    <row r="26" spans="1:33" ht="18.75" x14ac:dyDescent="0.25">
      <c r="A26" s="41" t="s">
        <v>37</v>
      </c>
      <c r="B26" s="7"/>
      <c r="C26" s="7">
        <v>3</v>
      </c>
      <c r="D26" s="7"/>
      <c r="E26" s="7">
        <v>1</v>
      </c>
      <c r="F26" s="7">
        <v>2</v>
      </c>
      <c r="G26" s="7"/>
      <c r="H26" s="7"/>
      <c r="I26" s="7">
        <v>4</v>
      </c>
      <c r="J26" s="7"/>
      <c r="K26" s="7"/>
      <c r="L26" s="7"/>
      <c r="M26" s="7">
        <v>2</v>
      </c>
      <c r="N26" s="7">
        <v>2</v>
      </c>
      <c r="O26" s="7">
        <v>2</v>
      </c>
      <c r="P26" s="7">
        <v>3</v>
      </c>
      <c r="Q26" s="7"/>
      <c r="R26" s="7"/>
      <c r="S26" s="7">
        <v>1</v>
      </c>
      <c r="T26" s="7"/>
      <c r="U26" s="7"/>
      <c r="V26" s="7"/>
      <c r="W26" s="7"/>
      <c r="X26" s="7">
        <v>3</v>
      </c>
      <c r="Y26" s="7"/>
      <c r="Z26" s="7">
        <v>1</v>
      </c>
      <c r="AA26" s="7"/>
      <c r="AB26" s="7">
        <v>2</v>
      </c>
      <c r="AC26" s="7">
        <v>1</v>
      </c>
      <c r="AD26" s="7"/>
      <c r="AE26" s="7">
        <v>1</v>
      </c>
      <c r="AF26" s="8"/>
      <c r="AG26" s="4">
        <f t="shared" si="2"/>
        <v>28</v>
      </c>
    </row>
    <row r="27" spans="1:33" ht="19.5" thickBot="1" x14ac:dyDescent="0.3">
      <c r="A27" s="81" t="s">
        <v>53</v>
      </c>
      <c r="B27" s="78">
        <v>4</v>
      </c>
      <c r="C27" s="78">
        <v>2</v>
      </c>
      <c r="D27" s="78">
        <v>1</v>
      </c>
      <c r="E27" s="78">
        <v>1</v>
      </c>
      <c r="F27" s="78"/>
      <c r="G27" s="78"/>
      <c r="H27" s="78"/>
      <c r="I27" s="78">
        <v>1</v>
      </c>
      <c r="J27" s="78">
        <v>2</v>
      </c>
      <c r="K27" s="78"/>
      <c r="L27" s="78"/>
      <c r="M27" s="78"/>
      <c r="N27" s="78"/>
      <c r="O27" s="78"/>
      <c r="P27" s="78">
        <v>1</v>
      </c>
      <c r="Q27" s="78"/>
      <c r="R27" s="78"/>
      <c r="S27" s="78"/>
      <c r="T27" s="78"/>
      <c r="U27" s="78"/>
      <c r="V27" s="78"/>
      <c r="W27" s="78">
        <v>1</v>
      </c>
      <c r="X27" s="78">
        <v>3</v>
      </c>
      <c r="Y27" s="78"/>
      <c r="Z27" s="78"/>
      <c r="AA27" s="78"/>
      <c r="AB27" s="78">
        <v>1</v>
      </c>
      <c r="AC27" s="78"/>
      <c r="AD27" s="78">
        <v>2</v>
      </c>
      <c r="AE27" s="78">
        <v>1</v>
      </c>
      <c r="AF27" s="83"/>
      <c r="AG27" s="4">
        <f t="shared" si="2"/>
        <v>20</v>
      </c>
    </row>
    <row r="28" spans="1:33" ht="18.75" x14ac:dyDescent="0.25">
      <c r="A28" s="79" t="s">
        <v>107</v>
      </c>
      <c r="B28" s="80">
        <f>SUM(B29:B52)</f>
        <v>207</v>
      </c>
      <c r="C28" s="80">
        <f t="shared" ref="C28:AF28" si="3">SUM(C29:C52)</f>
        <v>194</v>
      </c>
      <c r="D28" s="80">
        <f t="shared" si="3"/>
        <v>193</v>
      </c>
      <c r="E28" s="80">
        <f t="shared" si="3"/>
        <v>161</v>
      </c>
      <c r="F28" s="80">
        <f t="shared" si="3"/>
        <v>129</v>
      </c>
      <c r="G28" s="80">
        <f t="shared" si="3"/>
        <v>138</v>
      </c>
      <c r="H28" s="80">
        <f t="shared" si="3"/>
        <v>108</v>
      </c>
      <c r="I28" s="80">
        <f t="shared" si="3"/>
        <v>133</v>
      </c>
      <c r="J28" s="80">
        <f t="shared" si="3"/>
        <v>207</v>
      </c>
      <c r="K28" s="80">
        <f t="shared" si="3"/>
        <v>211</v>
      </c>
      <c r="L28" s="80">
        <f t="shared" si="3"/>
        <v>172</v>
      </c>
      <c r="M28" s="80">
        <f t="shared" si="3"/>
        <v>110</v>
      </c>
      <c r="N28" s="80">
        <f t="shared" si="3"/>
        <v>137</v>
      </c>
      <c r="O28" s="80">
        <f t="shared" si="3"/>
        <v>127</v>
      </c>
      <c r="P28" s="80">
        <f t="shared" si="3"/>
        <v>146</v>
      </c>
      <c r="Q28" s="80">
        <f t="shared" si="3"/>
        <v>184</v>
      </c>
      <c r="R28" s="80">
        <f t="shared" si="3"/>
        <v>199</v>
      </c>
      <c r="S28" s="80">
        <f t="shared" si="3"/>
        <v>166</v>
      </c>
      <c r="T28" s="80">
        <f t="shared" si="3"/>
        <v>141</v>
      </c>
      <c r="U28" s="80">
        <f t="shared" si="3"/>
        <v>134</v>
      </c>
      <c r="V28" s="80">
        <f t="shared" si="3"/>
        <v>143</v>
      </c>
      <c r="W28" s="80">
        <f t="shared" si="3"/>
        <v>134</v>
      </c>
      <c r="X28" s="80">
        <f t="shared" si="3"/>
        <v>195</v>
      </c>
      <c r="Y28" s="80">
        <f t="shared" si="3"/>
        <v>200</v>
      </c>
      <c r="Z28" s="80">
        <f t="shared" si="3"/>
        <v>165</v>
      </c>
      <c r="AA28" s="80">
        <f t="shared" si="3"/>
        <v>137</v>
      </c>
      <c r="AB28" s="80">
        <f t="shared" si="3"/>
        <v>152</v>
      </c>
      <c r="AC28" s="80">
        <f t="shared" si="3"/>
        <v>159</v>
      </c>
      <c r="AD28" s="80">
        <f t="shared" si="3"/>
        <v>134</v>
      </c>
      <c r="AE28" s="80">
        <f>SUM(AE29:AE52)</f>
        <v>201</v>
      </c>
      <c r="AF28" s="80">
        <f t="shared" si="3"/>
        <v>0</v>
      </c>
      <c r="AG28" s="150">
        <f t="shared" si="2"/>
        <v>4817</v>
      </c>
    </row>
    <row r="29" spans="1:33" ht="18.75" x14ac:dyDescent="0.25">
      <c r="A29" s="41" t="s">
        <v>54</v>
      </c>
      <c r="B29" s="7">
        <v>5</v>
      </c>
      <c r="C29" s="7">
        <v>2</v>
      </c>
      <c r="D29" s="7">
        <v>3</v>
      </c>
      <c r="E29" s="7"/>
      <c r="F29" s="7"/>
      <c r="G29" s="7"/>
      <c r="H29" s="7"/>
      <c r="I29" s="7">
        <v>1</v>
      </c>
      <c r="J29" s="7">
        <v>4</v>
      </c>
      <c r="K29" s="7">
        <v>2</v>
      </c>
      <c r="L29" s="7"/>
      <c r="M29" s="7"/>
      <c r="N29" s="7"/>
      <c r="O29" s="7"/>
      <c r="P29" s="7">
        <v>1</v>
      </c>
      <c r="Q29" s="7">
        <v>2</v>
      </c>
      <c r="R29" s="7">
        <v>3</v>
      </c>
      <c r="S29" s="7"/>
      <c r="T29" s="7"/>
      <c r="U29" s="7"/>
      <c r="V29" s="7"/>
      <c r="W29" s="7"/>
      <c r="X29" s="7">
        <v>6</v>
      </c>
      <c r="Y29" s="7"/>
      <c r="Z29" s="7"/>
      <c r="AA29" s="7"/>
      <c r="AB29" s="7"/>
      <c r="AC29" s="7"/>
      <c r="AD29" s="7"/>
      <c r="AE29" s="7">
        <v>5</v>
      </c>
      <c r="AF29" s="8"/>
      <c r="AG29" s="4">
        <f t="shared" si="2"/>
        <v>34</v>
      </c>
    </row>
    <row r="30" spans="1:33" ht="18.75" x14ac:dyDescent="0.25">
      <c r="A30" s="41" t="s">
        <v>55</v>
      </c>
      <c r="B30" s="7">
        <v>4</v>
      </c>
      <c r="C30" s="7">
        <v>10</v>
      </c>
      <c r="D30" s="7">
        <v>3</v>
      </c>
      <c r="E30" s="7"/>
      <c r="F30" s="7"/>
      <c r="G30" s="7"/>
      <c r="H30" s="7"/>
      <c r="I30" s="7"/>
      <c r="J30" s="7">
        <v>8</v>
      </c>
      <c r="K30" s="7">
        <v>8</v>
      </c>
      <c r="L30" s="7"/>
      <c r="M30" s="7"/>
      <c r="N30" s="7"/>
      <c r="O30" s="7"/>
      <c r="P30" s="7"/>
      <c r="Q30" s="7">
        <v>9</v>
      </c>
      <c r="R30" s="7">
        <v>6</v>
      </c>
      <c r="S30" s="7"/>
      <c r="T30" s="7"/>
      <c r="U30" s="7"/>
      <c r="V30" s="7"/>
      <c r="W30" s="7"/>
      <c r="X30" s="7">
        <v>10</v>
      </c>
      <c r="Y30" s="7">
        <v>4</v>
      </c>
      <c r="Z30" s="7"/>
      <c r="AA30" s="7"/>
      <c r="AB30" s="7"/>
      <c r="AC30" s="7"/>
      <c r="AD30" s="7"/>
      <c r="AE30" s="7">
        <v>6</v>
      </c>
      <c r="AF30" s="8"/>
      <c r="AG30" s="4">
        <f t="shared" si="2"/>
        <v>68</v>
      </c>
    </row>
    <row r="31" spans="1:33" ht="18.75" x14ac:dyDescent="0.25">
      <c r="A31" s="41" t="s">
        <v>56</v>
      </c>
      <c r="B31" s="7">
        <v>10</v>
      </c>
      <c r="C31" s="7">
        <v>11</v>
      </c>
      <c r="D31" s="7">
        <v>7</v>
      </c>
      <c r="E31" s="7"/>
      <c r="F31" s="7"/>
      <c r="G31" s="7"/>
      <c r="H31" s="7"/>
      <c r="I31" s="7"/>
      <c r="J31" s="7">
        <v>8</v>
      </c>
      <c r="K31" s="7">
        <v>8</v>
      </c>
      <c r="L31" s="7"/>
      <c r="M31" s="7"/>
      <c r="N31" s="7"/>
      <c r="O31" s="7"/>
      <c r="P31" s="7"/>
      <c r="Q31" s="7">
        <v>9</v>
      </c>
      <c r="R31" s="7">
        <v>8</v>
      </c>
      <c r="S31" s="7"/>
      <c r="T31" s="7"/>
      <c r="U31" s="7"/>
      <c r="V31" s="7"/>
      <c r="W31" s="7"/>
      <c r="X31" s="7">
        <v>10</v>
      </c>
      <c r="Y31" s="7">
        <v>6</v>
      </c>
      <c r="Z31" s="7"/>
      <c r="AA31" s="7"/>
      <c r="AB31" s="7"/>
      <c r="AC31" s="7"/>
      <c r="AD31" s="7"/>
      <c r="AE31" s="7">
        <v>11</v>
      </c>
      <c r="AF31" s="8"/>
      <c r="AG31" s="4">
        <f t="shared" si="2"/>
        <v>88</v>
      </c>
    </row>
    <row r="32" spans="1:33" ht="18.75" x14ac:dyDescent="0.25">
      <c r="A32" s="41" t="s">
        <v>38</v>
      </c>
      <c r="B32" s="7">
        <v>10</v>
      </c>
      <c r="C32" s="7">
        <v>12</v>
      </c>
      <c r="D32" s="7">
        <v>13</v>
      </c>
      <c r="E32" s="7"/>
      <c r="F32" s="7"/>
      <c r="G32" s="7"/>
      <c r="H32" s="7"/>
      <c r="I32" s="7"/>
      <c r="J32" s="7">
        <v>11</v>
      </c>
      <c r="K32" s="7">
        <v>11</v>
      </c>
      <c r="L32" s="7"/>
      <c r="M32" s="7"/>
      <c r="N32" s="7"/>
      <c r="O32" s="7"/>
      <c r="P32" s="7"/>
      <c r="Q32" s="7">
        <v>10</v>
      </c>
      <c r="R32" s="7">
        <v>13</v>
      </c>
      <c r="S32" s="7"/>
      <c r="T32" s="7"/>
      <c r="U32" s="7"/>
      <c r="V32" s="7"/>
      <c r="W32" s="7"/>
      <c r="X32" s="7">
        <v>8</v>
      </c>
      <c r="Y32" s="7">
        <v>13</v>
      </c>
      <c r="Z32" s="7"/>
      <c r="AA32" s="7"/>
      <c r="AB32" s="7"/>
      <c r="AC32" s="7"/>
      <c r="AD32" s="7"/>
      <c r="AE32" s="7">
        <v>8</v>
      </c>
      <c r="AF32" s="8"/>
      <c r="AG32" s="4">
        <f t="shared" si="2"/>
        <v>109</v>
      </c>
    </row>
    <row r="33" spans="1:33" ht="18.75" x14ac:dyDescent="0.25">
      <c r="A33" s="41" t="s">
        <v>39</v>
      </c>
      <c r="B33" s="7">
        <v>7</v>
      </c>
      <c r="C33" s="7">
        <v>11</v>
      </c>
      <c r="D33" s="7">
        <v>8</v>
      </c>
      <c r="E33" s="7"/>
      <c r="F33" s="7"/>
      <c r="G33" s="7"/>
      <c r="H33" s="7"/>
      <c r="I33" s="7"/>
      <c r="J33" s="7">
        <v>8</v>
      </c>
      <c r="K33" s="7">
        <v>8</v>
      </c>
      <c r="L33" s="7"/>
      <c r="M33" s="7"/>
      <c r="N33" s="7"/>
      <c r="O33" s="7"/>
      <c r="P33" s="7"/>
      <c r="Q33" s="7">
        <v>9</v>
      </c>
      <c r="R33" s="7">
        <v>8</v>
      </c>
      <c r="S33" s="7"/>
      <c r="T33" s="7"/>
      <c r="U33" s="7"/>
      <c r="V33" s="7"/>
      <c r="W33" s="7"/>
      <c r="X33" s="7">
        <v>6</v>
      </c>
      <c r="Y33" s="7">
        <v>12</v>
      </c>
      <c r="Z33" s="7"/>
      <c r="AA33" s="7"/>
      <c r="AB33" s="7"/>
      <c r="AC33" s="7">
        <v>3</v>
      </c>
      <c r="AD33" s="7"/>
      <c r="AE33" s="7">
        <v>8</v>
      </c>
      <c r="AF33" s="8"/>
      <c r="AG33" s="4">
        <f t="shared" si="2"/>
        <v>88</v>
      </c>
    </row>
    <row r="34" spans="1:33" ht="18.75" x14ac:dyDescent="0.25">
      <c r="A34" s="41" t="s">
        <v>40</v>
      </c>
      <c r="B34" s="7">
        <v>8</v>
      </c>
      <c r="C34" s="7">
        <v>10</v>
      </c>
      <c r="D34" s="7">
        <v>9</v>
      </c>
      <c r="E34" s="7"/>
      <c r="F34" s="7"/>
      <c r="G34" s="7"/>
      <c r="H34" s="7"/>
      <c r="I34" s="7"/>
      <c r="J34" s="7">
        <v>10</v>
      </c>
      <c r="K34" s="7">
        <v>10</v>
      </c>
      <c r="L34" s="7"/>
      <c r="M34" s="7"/>
      <c r="N34" s="7"/>
      <c r="O34" s="7"/>
      <c r="P34" s="7"/>
      <c r="Q34" s="7">
        <v>5</v>
      </c>
      <c r="R34" s="7">
        <v>9</v>
      </c>
      <c r="S34" s="7"/>
      <c r="T34" s="7"/>
      <c r="U34" s="7"/>
      <c r="V34" s="7">
        <v>1</v>
      </c>
      <c r="W34" s="7"/>
      <c r="X34" s="7">
        <v>10</v>
      </c>
      <c r="Y34" s="7">
        <v>11</v>
      </c>
      <c r="Z34" s="7"/>
      <c r="AA34" s="7"/>
      <c r="AB34" s="7"/>
      <c r="AC34" s="7">
        <v>3</v>
      </c>
      <c r="AD34" s="7"/>
      <c r="AE34" s="7">
        <v>8</v>
      </c>
      <c r="AF34" s="8"/>
      <c r="AG34" s="4">
        <f t="shared" si="2"/>
        <v>94</v>
      </c>
    </row>
    <row r="35" spans="1:33" ht="18.75" x14ac:dyDescent="0.25">
      <c r="A35" s="41" t="s">
        <v>41</v>
      </c>
      <c r="B35" s="7">
        <v>16</v>
      </c>
      <c r="C35" s="7">
        <v>8</v>
      </c>
      <c r="D35" s="7">
        <v>15</v>
      </c>
      <c r="E35" s="7"/>
      <c r="F35" s="7"/>
      <c r="G35" s="7"/>
      <c r="H35" s="7"/>
      <c r="I35" s="7"/>
      <c r="J35" s="7">
        <v>10</v>
      </c>
      <c r="K35" s="7">
        <v>6</v>
      </c>
      <c r="L35" s="7"/>
      <c r="M35" s="7"/>
      <c r="N35" s="7"/>
      <c r="O35" s="7"/>
      <c r="P35" s="7"/>
      <c r="Q35" s="7">
        <v>7</v>
      </c>
      <c r="R35" s="7">
        <v>10</v>
      </c>
      <c r="S35" s="7"/>
      <c r="T35" s="7"/>
      <c r="U35" s="7"/>
      <c r="V35" s="7"/>
      <c r="W35" s="7"/>
      <c r="X35" s="7">
        <v>9</v>
      </c>
      <c r="Y35" s="7">
        <v>18</v>
      </c>
      <c r="Z35" s="7"/>
      <c r="AA35" s="7"/>
      <c r="AB35" s="7"/>
      <c r="AC35" s="7">
        <v>8</v>
      </c>
      <c r="AD35" s="7"/>
      <c r="AE35" s="7">
        <v>12</v>
      </c>
      <c r="AF35" s="8"/>
      <c r="AG35" s="4">
        <f t="shared" si="2"/>
        <v>119</v>
      </c>
    </row>
    <row r="36" spans="1:33" ht="18.75" x14ac:dyDescent="0.25">
      <c r="A36" s="41" t="s">
        <v>42</v>
      </c>
      <c r="B36" s="7">
        <v>17</v>
      </c>
      <c r="C36" s="7">
        <v>8</v>
      </c>
      <c r="D36" s="7">
        <v>12</v>
      </c>
      <c r="E36" s="7"/>
      <c r="F36" s="7"/>
      <c r="G36" s="7"/>
      <c r="H36" s="7"/>
      <c r="I36" s="7"/>
      <c r="J36" s="7">
        <v>9</v>
      </c>
      <c r="K36" s="7">
        <v>12</v>
      </c>
      <c r="L36" s="7"/>
      <c r="M36" s="7"/>
      <c r="N36" s="7"/>
      <c r="O36" s="7"/>
      <c r="P36" s="7"/>
      <c r="Q36" s="7">
        <v>15</v>
      </c>
      <c r="R36" s="7">
        <v>12</v>
      </c>
      <c r="S36" s="7"/>
      <c r="T36" s="7"/>
      <c r="U36" s="7"/>
      <c r="V36" s="7"/>
      <c r="W36" s="7"/>
      <c r="X36" s="7">
        <v>11</v>
      </c>
      <c r="Y36" s="7">
        <v>12</v>
      </c>
      <c r="Z36" s="7"/>
      <c r="AA36" s="7"/>
      <c r="AB36" s="7"/>
      <c r="AC36" s="7">
        <v>6</v>
      </c>
      <c r="AD36" s="7"/>
      <c r="AE36" s="7">
        <v>12</v>
      </c>
      <c r="AF36" s="8"/>
      <c r="AG36" s="4">
        <f t="shared" si="2"/>
        <v>126</v>
      </c>
    </row>
    <row r="37" spans="1:33" ht="18.75" x14ac:dyDescent="0.25">
      <c r="A37" s="41" t="s">
        <v>43</v>
      </c>
      <c r="B37" s="7">
        <v>12</v>
      </c>
      <c r="C37" s="7">
        <v>8</v>
      </c>
      <c r="D37" s="7">
        <v>14</v>
      </c>
      <c r="E37" s="7"/>
      <c r="F37" s="7"/>
      <c r="G37" s="7">
        <v>1</v>
      </c>
      <c r="H37" s="7"/>
      <c r="I37" s="7"/>
      <c r="J37" s="7">
        <v>12</v>
      </c>
      <c r="K37" s="7">
        <v>17</v>
      </c>
      <c r="L37" s="7"/>
      <c r="M37" s="7"/>
      <c r="N37" s="7"/>
      <c r="O37" s="7"/>
      <c r="P37" s="7"/>
      <c r="Q37" s="7">
        <v>11</v>
      </c>
      <c r="R37" s="7">
        <v>15</v>
      </c>
      <c r="S37" s="7">
        <v>1</v>
      </c>
      <c r="T37" s="7"/>
      <c r="U37" s="7"/>
      <c r="V37" s="7"/>
      <c r="W37" s="7"/>
      <c r="X37" s="7">
        <v>11</v>
      </c>
      <c r="Y37" s="7">
        <v>13</v>
      </c>
      <c r="Z37" s="7"/>
      <c r="AA37" s="7"/>
      <c r="AB37" s="7"/>
      <c r="AC37" s="7">
        <v>4</v>
      </c>
      <c r="AD37" s="7"/>
      <c r="AE37" s="7">
        <v>18</v>
      </c>
      <c r="AF37" s="8"/>
      <c r="AG37" s="4">
        <f t="shared" si="2"/>
        <v>137</v>
      </c>
    </row>
    <row r="38" spans="1:33" ht="18.75" x14ac:dyDescent="0.25">
      <c r="A38" s="41" t="s">
        <v>44</v>
      </c>
      <c r="B38" s="7">
        <v>22</v>
      </c>
      <c r="C38" s="7">
        <v>19</v>
      </c>
      <c r="D38" s="7">
        <v>17</v>
      </c>
      <c r="E38" s="7">
        <v>4</v>
      </c>
      <c r="F38" s="7"/>
      <c r="G38" s="7"/>
      <c r="H38" s="7">
        <v>4</v>
      </c>
      <c r="I38" s="7">
        <v>9</v>
      </c>
      <c r="J38" s="7">
        <v>14</v>
      </c>
      <c r="K38" s="7">
        <v>14</v>
      </c>
      <c r="L38" s="7">
        <v>5</v>
      </c>
      <c r="M38" s="7">
        <v>9</v>
      </c>
      <c r="N38" s="7">
        <v>3</v>
      </c>
      <c r="O38" s="7"/>
      <c r="P38" s="7">
        <v>6</v>
      </c>
      <c r="Q38" s="7">
        <v>13</v>
      </c>
      <c r="R38" s="7">
        <v>16</v>
      </c>
      <c r="S38" s="7">
        <v>3</v>
      </c>
      <c r="T38" s="7">
        <v>6</v>
      </c>
      <c r="U38" s="7">
        <v>13</v>
      </c>
      <c r="V38" s="7">
        <v>12</v>
      </c>
      <c r="W38" s="7">
        <v>5</v>
      </c>
      <c r="X38" s="7">
        <v>20</v>
      </c>
      <c r="Y38" s="7">
        <v>18</v>
      </c>
      <c r="Z38" s="7">
        <v>10</v>
      </c>
      <c r="AA38" s="7">
        <v>12</v>
      </c>
      <c r="AB38" s="7">
        <v>1</v>
      </c>
      <c r="AC38" s="7">
        <v>9</v>
      </c>
      <c r="AD38" s="7">
        <v>13</v>
      </c>
      <c r="AE38" s="7">
        <v>11</v>
      </c>
      <c r="AF38" s="8"/>
      <c r="AG38" s="4">
        <f t="shared" si="2"/>
        <v>288</v>
      </c>
    </row>
    <row r="39" spans="1:33" ht="18.75" x14ac:dyDescent="0.25">
      <c r="A39" s="41" t="s">
        <v>45</v>
      </c>
      <c r="B39" s="7">
        <v>17</v>
      </c>
      <c r="C39" s="7">
        <v>16</v>
      </c>
      <c r="D39" s="7">
        <v>19</v>
      </c>
      <c r="E39" s="7">
        <v>17</v>
      </c>
      <c r="F39" s="7">
        <v>7</v>
      </c>
      <c r="G39" s="7">
        <v>23</v>
      </c>
      <c r="H39" s="7">
        <v>16</v>
      </c>
      <c r="I39" s="7">
        <v>17</v>
      </c>
      <c r="J39" s="7">
        <v>14</v>
      </c>
      <c r="K39" s="7">
        <v>11</v>
      </c>
      <c r="L39" s="7">
        <v>34</v>
      </c>
      <c r="M39" s="7">
        <v>23</v>
      </c>
      <c r="N39" s="7">
        <v>30</v>
      </c>
      <c r="O39" s="7">
        <v>8</v>
      </c>
      <c r="P39" s="7">
        <v>23</v>
      </c>
      <c r="Q39" s="7">
        <v>15</v>
      </c>
      <c r="R39" s="7">
        <v>16</v>
      </c>
      <c r="S39" s="7">
        <v>20</v>
      </c>
      <c r="T39" s="7">
        <v>16</v>
      </c>
      <c r="U39" s="7">
        <v>18</v>
      </c>
      <c r="V39" s="7">
        <v>17</v>
      </c>
      <c r="W39" s="7">
        <v>14</v>
      </c>
      <c r="X39" s="7">
        <v>13</v>
      </c>
      <c r="Y39" s="7">
        <v>15</v>
      </c>
      <c r="Z39" s="7">
        <v>26</v>
      </c>
      <c r="AA39" s="7">
        <v>21</v>
      </c>
      <c r="AB39" s="7">
        <v>22</v>
      </c>
      <c r="AC39" s="7">
        <v>16</v>
      </c>
      <c r="AD39" s="7">
        <v>24</v>
      </c>
      <c r="AE39" s="7">
        <v>13</v>
      </c>
      <c r="AF39" s="8"/>
      <c r="AG39" s="4">
        <f t="shared" si="2"/>
        <v>541</v>
      </c>
    </row>
    <row r="40" spans="1:33" ht="18.75" x14ac:dyDescent="0.25">
      <c r="A40" s="41" t="s">
        <v>46</v>
      </c>
      <c r="B40" s="7">
        <v>13</v>
      </c>
      <c r="C40" s="7">
        <v>14</v>
      </c>
      <c r="D40" s="7">
        <v>7</v>
      </c>
      <c r="E40" s="7">
        <v>31</v>
      </c>
      <c r="F40" s="7">
        <v>21</v>
      </c>
      <c r="G40" s="7">
        <v>29</v>
      </c>
      <c r="H40" s="7">
        <v>24</v>
      </c>
      <c r="I40" s="7">
        <v>23</v>
      </c>
      <c r="J40" s="7">
        <v>13</v>
      </c>
      <c r="K40" s="7">
        <v>19</v>
      </c>
      <c r="L40" s="7">
        <v>28</v>
      </c>
      <c r="M40" s="7">
        <v>17</v>
      </c>
      <c r="N40" s="7">
        <v>25</v>
      </c>
      <c r="O40" s="7">
        <v>25</v>
      </c>
      <c r="P40" s="7">
        <v>27</v>
      </c>
      <c r="Q40" s="7">
        <v>12</v>
      </c>
      <c r="R40" s="7">
        <v>11</v>
      </c>
      <c r="S40" s="7">
        <v>22</v>
      </c>
      <c r="T40" s="7">
        <v>23</v>
      </c>
      <c r="U40" s="7">
        <v>19</v>
      </c>
      <c r="V40" s="7">
        <v>26</v>
      </c>
      <c r="W40" s="7">
        <v>22</v>
      </c>
      <c r="X40" s="7">
        <v>15</v>
      </c>
      <c r="Y40" s="7">
        <v>14</v>
      </c>
      <c r="Z40" s="7">
        <v>20</v>
      </c>
      <c r="AA40" s="7">
        <v>27</v>
      </c>
      <c r="AB40" s="7">
        <v>26</v>
      </c>
      <c r="AC40" s="7">
        <v>13</v>
      </c>
      <c r="AD40" s="7">
        <v>15</v>
      </c>
      <c r="AE40" s="7">
        <v>18</v>
      </c>
      <c r="AF40" s="8"/>
      <c r="AG40" s="4">
        <f t="shared" si="2"/>
        <v>599</v>
      </c>
    </row>
    <row r="41" spans="1:33" ht="18.75" x14ac:dyDescent="0.25">
      <c r="A41" s="41" t="s">
        <v>47</v>
      </c>
      <c r="B41" s="7">
        <v>10</v>
      </c>
      <c r="C41" s="7">
        <v>8</v>
      </c>
      <c r="D41" s="7">
        <v>13</v>
      </c>
      <c r="E41" s="7">
        <v>24</v>
      </c>
      <c r="F41" s="7">
        <v>22</v>
      </c>
      <c r="G41" s="7">
        <v>19</v>
      </c>
      <c r="H41" s="7">
        <v>13</v>
      </c>
      <c r="I41" s="7">
        <v>22</v>
      </c>
      <c r="J41" s="7">
        <v>14</v>
      </c>
      <c r="K41" s="7">
        <v>11</v>
      </c>
      <c r="L41" s="7">
        <v>26</v>
      </c>
      <c r="M41" s="7">
        <v>13</v>
      </c>
      <c r="N41" s="7">
        <v>29</v>
      </c>
      <c r="O41" s="7">
        <v>22</v>
      </c>
      <c r="P41" s="7">
        <v>28</v>
      </c>
      <c r="Q41" s="7">
        <v>11</v>
      </c>
      <c r="R41" s="7">
        <v>12</v>
      </c>
      <c r="S41" s="7">
        <v>25</v>
      </c>
      <c r="T41" s="7">
        <v>24</v>
      </c>
      <c r="U41" s="7">
        <v>20</v>
      </c>
      <c r="V41" s="7">
        <v>24</v>
      </c>
      <c r="W41" s="7">
        <v>19</v>
      </c>
      <c r="X41" s="7">
        <v>9</v>
      </c>
      <c r="Y41" s="7">
        <v>5</v>
      </c>
      <c r="Z41" s="7">
        <v>26</v>
      </c>
      <c r="AA41" s="7">
        <v>24</v>
      </c>
      <c r="AB41" s="7">
        <v>25</v>
      </c>
      <c r="AC41" s="7">
        <v>20</v>
      </c>
      <c r="AD41" s="7">
        <v>13</v>
      </c>
      <c r="AE41" s="7">
        <v>14</v>
      </c>
      <c r="AF41" s="8"/>
      <c r="AG41" s="4">
        <f t="shared" si="2"/>
        <v>545</v>
      </c>
    </row>
    <row r="42" spans="1:33" ht="18.75" x14ac:dyDescent="0.25">
      <c r="A42" s="41" t="s">
        <v>48</v>
      </c>
      <c r="B42" s="7">
        <v>11</v>
      </c>
      <c r="C42" s="7">
        <v>6</v>
      </c>
      <c r="D42" s="7">
        <v>13</v>
      </c>
      <c r="E42" s="7">
        <v>32</v>
      </c>
      <c r="F42" s="7">
        <v>18</v>
      </c>
      <c r="G42" s="7">
        <v>17</v>
      </c>
      <c r="H42" s="7">
        <v>23</v>
      </c>
      <c r="I42" s="7">
        <v>11</v>
      </c>
      <c r="J42" s="7">
        <v>15</v>
      </c>
      <c r="K42" s="7">
        <v>19</v>
      </c>
      <c r="L42" s="7">
        <v>26</v>
      </c>
      <c r="M42" s="7">
        <v>21</v>
      </c>
      <c r="N42" s="7">
        <v>10</v>
      </c>
      <c r="O42" s="7">
        <v>16</v>
      </c>
      <c r="P42" s="7">
        <v>17</v>
      </c>
      <c r="Q42" s="7">
        <v>10</v>
      </c>
      <c r="R42" s="7">
        <v>9</v>
      </c>
      <c r="S42" s="7">
        <v>31</v>
      </c>
      <c r="T42" s="7">
        <v>17</v>
      </c>
      <c r="U42" s="7">
        <v>14</v>
      </c>
      <c r="V42" s="7">
        <v>17</v>
      </c>
      <c r="W42" s="7">
        <v>15</v>
      </c>
      <c r="X42" s="7">
        <v>13</v>
      </c>
      <c r="Y42" s="7">
        <v>10</v>
      </c>
      <c r="Z42" s="7">
        <v>30</v>
      </c>
      <c r="AA42" s="7">
        <v>13</v>
      </c>
      <c r="AB42" s="7">
        <v>22</v>
      </c>
      <c r="AC42" s="7">
        <v>17</v>
      </c>
      <c r="AD42" s="7">
        <v>9</v>
      </c>
      <c r="AE42" s="7">
        <v>12</v>
      </c>
      <c r="AF42" s="8"/>
      <c r="AG42" s="4">
        <f t="shared" si="2"/>
        <v>494</v>
      </c>
    </row>
    <row r="43" spans="1:33" ht="18.75" x14ac:dyDescent="0.25">
      <c r="A43" s="41" t="s">
        <v>49</v>
      </c>
      <c r="B43" s="7">
        <v>8</v>
      </c>
      <c r="C43" s="7">
        <v>7</v>
      </c>
      <c r="D43" s="7">
        <v>15</v>
      </c>
      <c r="E43" s="7">
        <v>20</v>
      </c>
      <c r="F43" s="7">
        <v>17</v>
      </c>
      <c r="G43" s="7">
        <v>18</v>
      </c>
      <c r="H43" s="7">
        <v>13</v>
      </c>
      <c r="I43" s="7">
        <v>12</v>
      </c>
      <c r="J43" s="7">
        <v>10</v>
      </c>
      <c r="K43" s="7">
        <v>21</v>
      </c>
      <c r="L43" s="7">
        <v>21</v>
      </c>
      <c r="M43" s="7">
        <v>7</v>
      </c>
      <c r="N43" s="7">
        <v>14</v>
      </c>
      <c r="O43" s="7">
        <v>14</v>
      </c>
      <c r="P43" s="7">
        <v>10</v>
      </c>
      <c r="Q43" s="7">
        <v>12</v>
      </c>
      <c r="R43" s="7">
        <v>8</v>
      </c>
      <c r="S43" s="7">
        <v>24</v>
      </c>
      <c r="T43" s="7">
        <v>11</v>
      </c>
      <c r="U43" s="7">
        <v>15</v>
      </c>
      <c r="V43" s="7">
        <v>10</v>
      </c>
      <c r="W43" s="7">
        <v>18</v>
      </c>
      <c r="X43" s="7">
        <v>8</v>
      </c>
      <c r="Y43" s="7">
        <v>8</v>
      </c>
      <c r="Z43" s="7">
        <v>15</v>
      </c>
      <c r="AA43" s="7">
        <v>6</v>
      </c>
      <c r="AB43" s="7">
        <v>16</v>
      </c>
      <c r="AC43" s="7">
        <v>19</v>
      </c>
      <c r="AD43" s="7">
        <v>11</v>
      </c>
      <c r="AE43" s="7">
        <v>7</v>
      </c>
      <c r="AF43" s="8"/>
      <c r="AG43" s="4">
        <f t="shared" si="2"/>
        <v>395</v>
      </c>
    </row>
    <row r="44" spans="1:33" ht="18.75" x14ac:dyDescent="0.25">
      <c r="A44" s="41" t="s">
        <v>50</v>
      </c>
      <c r="B44" s="7">
        <v>11</v>
      </c>
      <c r="C44" s="7">
        <v>8</v>
      </c>
      <c r="D44" s="7">
        <v>8</v>
      </c>
      <c r="E44" s="7">
        <v>11</v>
      </c>
      <c r="F44" s="7"/>
      <c r="G44" s="7">
        <v>15</v>
      </c>
      <c r="H44" s="7">
        <v>9</v>
      </c>
      <c r="I44" s="7">
        <v>9</v>
      </c>
      <c r="J44" s="7">
        <v>17</v>
      </c>
      <c r="K44" s="7">
        <v>16</v>
      </c>
      <c r="L44" s="7">
        <v>9</v>
      </c>
      <c r="M44" s="7">
        <v>7</v>
      </c>
      <c r="N44" s="7">
        <v>11</v>
      </c>
      <c r="O44" s="7">
        <v>13</v>
      </c>
      <c r="P44" s="7">
        <v>8</v>
      </c>
      <c r="Q44" s="7">
        <v>9</v>
      </c>
      <c r="R44" s="7">
        <v>13</v>
      </c>
      <c r="S44" s="7">
        <v>15</v>
      </c>
      <c r="T44" s="7">
        <v>7</v>
      </c>
      <c r="U44" s="7">
        <v>16</v>
      </c>
      <c r="V44" s="7">
        <v>15</v>
      </c>
      <c r="W44" s="7">
        <v>11</v>
      </c>
      <c r="X44" s="7">
        <v>5</v>
      </c>
      <c r="Y44" s="7">
        <v>11</v>
      </c>
      <c r="Z44" s="7">
        <v>15</v>
      </c>
      <c r="AA44" s="7">
        <v>14</v>
      </c>
      <c r="AB44" s="7">
        <v>13</v>
      </c>
      <c r="AC44" s="7">
        <v>10</v>
      </c>
      <c r="AD44" s="7">
        <v>12</v>
      </c>
      <c r="AE44" s="7">
        <v>5</v>
      </c>
      <c r="AF44" s="8"/>
      <c r="AG44" s="4">
        <f t="shared" si="2"/>
        <v>323</v>
      </c>
    </row>
    <row r="45" spans="1:33" ht="18.75" x14ac:dyDescent="0.25">
      <c r="A45" s="41" t="s">
        <v>33</v>
      </c>
      <c r="B45" s="7">
        <v>7</v>
      </c>
      <c r="C45" s="7">
        <v>12</v>
      </c>
      <c r="D45" s="7">
        <v>7</v>
      </c>
      <c r="E45" s="7">
        <v>10</v>
      </c>
      <c r="F45" s="7">
        <v>11</v>
      </c>
      <c r="G45" s="7">
        <v>7</v>
      </c>
      <c r="H45" s="7">
        <v>2</v>
      </c>
      <c r="I45" s="7">
        <v>11</v>
      </c>
      <c r="J45" s="7">
        <v>9</v>
      </c>
      <c r="K45" s="7">
        <v>10</v>
      </c>
      <c r="L45" s="7">
        <v>5</v>
      </c>
      <c r="M45" s="7">
        <v>4</v>
      </c>
      <c r="N45" s="7">
        <v>5</v>
      </c>
      <c r="O45" s="7">
        <v>4</v>
      </c>
      <c r="P45" s="7">
        <v>5</v>
      </c>
      <c r="Q45" s="7">
        <v>17</v>
      </c>
      <c r="R45" s="7">
        <v>7</v>
      </c>
      <c r="S45" s="7">
        <v>10</v>
      </c>
      <c r="T45" s="7">
        <v>15</v>
      </c>
      <c r="U45" s="7">
        <v>10</v>
      </c>
      <c r="V45" s="7">
        <v>8</v>
      </c>
      <c r="W45" s="7">
        <v>8</v>
      </c>
      <c r="X45" s="7">
        <v>7</v>
      </c>
      <c r="Y45" s="7">
        <v>7</v>
      </c>
      <c r="Z45" s="7">
        <v>12</v>
      </c>
      <c r="AA45" s="7">
        <v>9</v>
      </c>
      <c r="AB45" s="7">
        <v>7</v>
      </c>
      <c r="AC45" s="7">
        <v>7</v>
      </c>
      <c r="AD45" s="7">
        <v>9</v>
      </c>
      <c r="AE45" s="7">
        <v>8</v>
      </c>
      <c r="AF45" s="8"/>
      <c r="AG45" s="4">
        <f t="shared" si="2"/>
        <v>250</v>
      </c>
    </row>
    <row r="46" spans="1:33" ht="18.75" x14ac:dyDescent="0.25">
      <c r="A46" s="41" t="s">
        <v>34</v>
      </c>
      <c r="B46" s="7">
        <v>6</v>
      </c>
      <c r="C46" s="7">
        <v>9</v>
      </c>
      <c r="D46" s="7">
        <v>2</v>
      </c>
      <c r="E46" s="7">
        <v>5</v>
      </c>
      <c r="F46" s="7">
        <v>9</v>
      </c>
      <c r="G46" s="7">
        <v>6</v>
      </c>
      <c r="H46" s="7">
        <v>2</v>
      </c>
      <c r="I46" s="7">
        <v>8</v>
      </c>
      <c r="J46" s="7">
        <v>10</v>
      </c>
      <c r="K46" s="7">
        <v>3</v>
      </c>
      <c r="L46" s="7">
        <v>4</v>
      </c>
      <c r="M46" s="7">
        <v>4</v>
      </c>
      <c r="N46" s="7"/>
      <c r="O46" s="7">
        <v>6</v>
      </c>
      <c r="P46" s="7">
        <v>2</v>
      </c>
      <c r="Q46" s="7">
        <v>7</v>
      </c>
      <c r="R46" s="7">
        <v>10</v>
      </c>
      <c r="S46" s="7">
        <v>6</v>
      </c>
      <c r="T46" s="7">
        <v>9</v>
      </c>
      <c r="U46" s="7">
        <v>4</v>
      </c>
      <c r="V46" s="7">
        <v>5</v>
      </c>
      <c r="W46" s="7">
        <v>4</v>
      </c>
      <c r="X46" s="7">
        <v>7</v>
      </c>
      <c r="Y46" s="7">
        <v>5</v>
      </c>
      <c r="Z46" s="7">
        <v>4</v>
      </c>
      <c r="AA46" s="7">
        <v>6</v>
      </c>
      <c r="AB46" s="7">
        <v>7</v>
      </c>
      <c r="AC46" s="7">
        <v>5</v>
      </c>
      <c r="AD46" s="7">
        <v>8</v>
      </c>
      <c r="AE46" s="7">
        <v>6</v>
      </c>
      <c r="AF46" s="8"/>
      <c r="AG46" s="4">
        <f t="shared" si="2"/>
        <v>169</v>
      </c>
    </row>
    <row r="47" spans="1:33" ht="18.75" x14ac:dyDescent="0.25">
      <c r="A47" s="41" t="s">
        <v>35</v>
      </c>
      <c r="B47" s="7">
        <v>4</v>
      </c>
      <c r="C47" s="7">
        <v>8</v>
      </c>
      <c r="D47" s="7">
        <v>6</v>
      </c>
      <c r="E47" s="7">
        <v>1</v>
      </c>
      <c r="F47" s="7">
        <v>9</v>
      </c>
      <c r="G47" s="7">
        <v>1</v>
      </c>
      <c r="H47" s="7">
        <v>1</v>
      </c>
      <c r="I47" s="7">
        <v>2</v>
      </c>
      <c r="J47" s="7">
        <v>8</v>
      </c>
      <c r="K47" s="7"/>
      <c r="L47" s="7">
        <v>7</v>
      </c>
      <c r="M47" s="7">
        <v>3</v>
      </c>
      <c r="N47" s="7">
        <v>1</v>
      </c>
      <c r="O47" s="7">
        <v>7</v>
      </c>
      <c r="P47" s="7">
        <v>9</v>
      </c>
      <c r="Q47" s="7"/>
      <c r="R47" s="7">
        <v>5</v>
      </c>
      <c r="S47" s="7">
        <v>5</v>
      </c>
      <c r="T47" s="7">
        <v>5</v>
      </c>
      <c r="U47" s="7">
        <v>2</v>
      </c>
      <c r="V47" s="7">
        <v>3</v>
      </c>
      <c r="W47" s="7">
        <v>8</v>
      </c>
      <c r="X47" s="7">
        <v>1</v>
      </c>
      <c r="Y47" s="7">
        <v>8</v>
      </c>
      <c r="Z47" s="7"/>
      <c r="AA47" s="7">
        <v>3</v>
      </c>
      <c r="AB47" s="7">
        <v>8</v>
      </c>
      <c r="AC47" s="7">
        <v>6</v>
      </c>
      <c r="AD47" s="7">
        <v>8</v>
      </c>
      <c r="AE47" s="7">
        <v>3</v>
      </c>
      <c r="AF47" s="8"/>
      <c r="AG47" s="4">
        <f t="shared" si="2"/>
        <v>132</v>
      </c>
    </row>
    <row r="48" spans="1:33" ht="18.75" x14ac:dyDescent="0.25">
      <c r="A48" s="41" t="s">
        <v>36</v>
      </c>
      <c r="B48" s="7">
        <v>5</v>
      </c>
      <c r="C48" s="7">
        <v>3</v>
      </c>
      <c r="D48" s="7">
        <v>1</v>
      </c>
      <c r="E48" s="7">
        <v>3</v>
      </c>
      <c r="F48" s="7">
        <v>6</v>
      </c>
      <c r="G48" s="7">
        <v>1</v>
      </c>
      <c r="H48" s="7"/>
      <c r="I48" s="7">
        <v>1</v>
      </c>
      <c r="J48" s="7"/>
      <c r="K48" s="7">
        <v>3</v>
      </c>
      <c r="L48" s="7">
        <v>5</v>
      </c>
      <c r="M48" s="7">
        <v>1</v>
      </c>
      <c r="N48" s="7">
        <v>3</v>
      </c>
      <c r="O48" s="7">
        <v>6</v>
      </c>
      <c r="P48" s="7">
        <v>6</v>
      </c>
      <c r="Q48" s="7"/>
      <c r="R48" s="7">
        <v>7</v>
      </c>
      <c r="S48" s="7">
        <v>1</v>
      </c>
      <c r="T48" s="7">
        <v>6</v>
      </c>
      <c r="U48" s="7"/>
      <c r="V48" s="7">
        <v>1</v>
      </c>
      <c r="W48" s="7">
        <v>8</v>
      </c>
      <c r="X48" s="7">
        <v>5</v>
      </c>
      <c r="Y48" s="7">
        <v>5</v>
      </c>
      <c r="Z48" s="7">
        <v>3</v>
      </c>
      <c r="AA48" s="7">
        <v>1</v>
      </c>
      <c r="AB48" s="7">
        <v>1</v>
      </c>
      <c r="AC48" s="7">
        <v>8</v>
      </c>
      <c r="AD48" s="7">
        <v>7</v>
      </c>
      <c r="AE48" s="7">
        <v>3</v>
      </c>
      <c r="AF48" s="8"/>
      <c r="AG48" s="4">
        <f t="shared" si="2"/>
        <v>100</v>
      </c>
    </row>
    <row r="49" spans="1:33" ht="18.75" x14ac:dyDescent="0.25">
      <c r="A49" s="41" t="s">
        <v>51</v>
      </c>
      <c r="B49" s="7"/>
      <c r="C49" s="7"/>
      <c r="D49" s="7"/>
      <c r="E49" s="7">
        <v>1</v>
      </c>
      <c r="F49" s="7">
        <v>6</v>
      </c>
      <c r="G49" s="7"/>
      <c r="H49" s="7">
        <v>1</v>
      </c>
      <c r="I49" s="7">
        <v>1</v>
      </c>
      <c r="J49" s="7">
        <v>2</v>
      </c>
      <c r="K49" s="7"/>
      <c r="L49" s="7">
        <v>2</v>
      </c>
      <c r="M49" s="7"/>
      <c r="N49" s="7">
        <v>1</v>
      </c>
      <c r="O49" s="7">
        <v>3</v>
      </c>
      <c r="P49" s="7"/>
      <c r="Q49" s="7">
        <v>1</v>
      </c>
      <c r="R49" s="7">
        <v>1</v>
      </c>
      <c r="S49" s="7"/>
      <c r="T49" s="7">
        <v>1</v>
      </c>
      <c r="U49" s="7">
        <v>3</v>
      </c>
      <c r="V49" s="7">
        <v>1</v>
      </c>
      <c r="W49" s="7">
        <v>1</v>
      </c>
      <c r="X49" s="7">
        <v>3</v>
      </c>
      <c r="Y49" s="7">
        <v>2</v>
      </c>
      <c r="Z49" s="7">
        <v>1</v>
      </c>
      <c r="AA49" s="7"/>
      <c r="AB49" s="7">
        <v>1</v>
      </c>
      <c r="AC49" s="7">
        <v>1</v>
      </c>
      <c r="AD49" s="7">
        <v>3</v>
      </c>
      <c r="AE49" s="7">
        <v>2</v>
      </c>
      <c r="AF49" s="8"/>
      <c r="AG49" s="4">
        <f t="shared" si="2"/>
        <v>38</v>
      </c>
    </row>
    <row r="50" spans="1:33" ht="18.75" x14ac:dyDescent="0.25">
      <c r="A50" s="41" t="s">
        <v>52</v>
      </c>
      <c r="B50" s="7"/>
      <c r="C50" s="7"/>
      <c r="D50" s="7"/>
      <c r="E50" s="7"/>
      <c r="F50" s="7"/>
      <c r="G50" s="7">
        <v>1</v>
      </c>
      <c r="H50" s="7"/>
      <c r="I50" s="7">
        <v>1</v>
      </c>
      <c r="J50" s="7">
        <v>1</v>
      </c>
      <c r="K50" s="7">
        <v>2</v>
      </c>
      <c r="L50" s="7"/>
      <c r="M50" s="7"/>
      <c r="N50" s="7">
        <v>3</v>
      </c>
      <c r="O50" s="7">
        <v>1</v>
      </c>
      <c r="P50" s="7">
        <v>1</v>
      </c>
      <c r="Q50" s="7"/>
      <c r="R50" s="7"/>
      <c r="S50" s="7">
        <v>1</v>
      </c>
      <c r="T50" s="7"/>
      <c r="U50" s="7"/>
      <c r="V50" s="7">
        <v>3</v>
      </c>
      <c r="W50" s="7"/>
      <c r="X50" s="7">
        <v>2</v>
      </c>
      <c r="Y50" s="7">
        <v>3</v>
      </c>
      <c r="Z50" s="7">
        <v>1</v>
      </c>
      <c r="AA50" s="7"/>
      <c r="AB50" s="7"/>
      <c r="AC50" s="7">
        <v>2</v>
      </c>
      <c r="AD50" s="7"/>
      <c r="AE50" s="7">
        <v>6</v>
      </c>
      <c r="AF50" s="8"/>
      <c r="AG50" s="4">
        <f t="shared" si="2"/>
        <v>28</v>
      </c>
    </row>
    <row r="51" spans="1:33" ht="18.75" x14ac:dyDescent="0.25">
      <c r="A51" s="41" t="s">
        <v>37</v>
      </c>
      <c r="B51" s="7"/>
      <c r="C51" s="7">
        <v>4</v>
      </c>
      <c r="D51" s="7"/>
      <c r="E51" s="7"/>
      <c r="F51" s="7">
        <v>3</v>
      </c>
      <c r="G51" s="7"/>
      <c r="H51" s="7"/>
      <c r="I51" s="7">
        <v>4</v>
      </c>
      <c r="J51" s="7"/>
      <c r="K51" s="7"/>
      <c r="L51" s="7"/>
      <c r="M51" s="7">
        <v>1</v>
      </c>
      <c r="N51" s="7"/>
      <c r="O51" s="7">
        <v>2</v>
      </c>
      <c r="P51" s="7">
        <v>2</v>
      </c>
      <c r="Q51" s="7"/>
      <c r="R51" s="7"/>
      <c r="S51" s="7">
        <v>2</v>
      </c>
      <c r="T51" s="7">
        <v>1</v>
      </c>
      <c r="U51" s="7"/>
      <c r="V51" s="7"/>
      <c r="W51" s="7"/>
      <c r="X51" s="7">
        <v>3</v>
      </c>
      <c r="Y51" s="7"/>
      <c r="Z51" s="7">
        <v>2</v>
      </c>
      <c r="AA51" s="7">
        <v>1</v>
      </c>
      <c r="AB51" s="7">
        <v>1</v>
      </c>
      <c r="AC51" s="7">
        <v>1</v>
      </c>
      <c r="AD51" s="7"/>
      <c r="AE51" s="7">
        <v>4</v>
      </c>
      <c r="AF51" s="8"/>
      <c r="AG51" s="4">
        <f t="shared" si="2"/>
        <v>31</v>
      </c>
    </row>
    <row r="52" spans="1:33" ht="19.5" thickBot="1" x14ac:dyDescent="0.3">
      <c r="A52" s="77" t="s">
        <v>53</v>
      </c>
      <c r="B52" s="9">
        <v>4</v>
      </c>
      <c r="C52" s="9"/>
      <c r="D52" s="9">
        <v>1</v>
      </c>
      <c r="E52" s="9">
        <v>2</v>
      </c>
      <c r="F52" s="9"/>
      <c r="G52" s="9"/>
      <c r="H52" s="9"/>
      <c r="I52" s="9">
        <v>1</v>
      </c>
      <c r="J52" s="9"/>
      <c r="K52" s="9"/>
      <c r="L52" s="9"/>
      <c r="M52" s="9"/>
      <c r="N52" s="9">
        <v>2</v>
      </c>
      <c r="O52" s="9"/>
      <c r="P52" s="9">
        <v>1</v>
      </c>
      <c r="Q52" s="9"/>
      <c r="R52" s="9"/>
      <c r="S52" s="9"/>
      <c r="T52" s="9"/>
      <c r="U52" s="9"/>
      <c r="V52" s="9"/>
      <c r="W52" s="9">
        <v>1</v>
      </c>
      <c r="X52" s="9">
        <v>3</v>
      </c>
      <c r="Y52" s="9"/>
      <c r="Z52" s="9"/>
      <c r="AA52" s="9"/>
      <c r="AB52" s="9">
        <v>2</v>
      </c>
      <c r="AC52" s="9">
        <v>1</v>
      </c>
      <c r="AD52" s="9">
        <v>2</v>
      </c>
      <c r="AE52" s="9">
        <v>1</v>
      </c>
      <c r="AF52" s="10"/>
      <c r="AG52" s="108">
        <f t="shared" si="2"/>
        <v>21</v>
      </c>
    </row>
    <row r="53" spans="1:33" ht="19.5" thickBot="1" x14ac:dyDescent="0.3">
      <c r="A53" s="136" t="s">
        <v>108</v>
      </c>
      <c r="B53" s="135">
        <f t="shared" ref="B53:AF53" si="4">SUM(B54:B77)</f>
        <v>9</v>
      </c>
      <c r="C53" s="135">
        <f t="shared" si="4"/>
        <v>15</v>
      </c>
      <c r="D53" s="135">
        <f t="shared" si="4"/>
        <v>8</v>
      </c>
      <c r="E53" s="135">
        <f t="shared" si="4"/>
        <v>16</v>
      </c>
      <c r="F53" s="135">
        <f t="shared" si="4"/>
        <v>38</v>
      </c>
      <c r="G53" s="135">
        <f t="shared" si="4"/>
        <v>15</v>
      </c>
      <c r="H53" s="135">
        <f t="shared" si="4"/>
        <v>5</v>
      </c>
      <c r="I53" s="135">
        <f t="shared" si="4"/>
        <v>15</v>
      </c>
      <c r="J53" s="135">
        <f t="shared" si="4"/>
        <v>26</v>
      </c>
      <c r="K53" s="135">
        <f t="shared" si="4"/>
        <v>17</v>
      </c>
      <c r="L53" s="135">
        <f t="shared" si="4"/>
        <v>12</v>
      </c>
      <c r="M53" s="135">
        <f t="shared" si="4"/>
        <v>1</v>
      </c>
      <c r="N53" s="135">
        <f t="shared" si="4"/>
        <v>4</v>
      </c>
      <c r="O53" s="135">
        <f t="shared" si="4"/>
        <v>29</v>
      </c>
      <c r="P53" s="135">
        <f t="shared" si="4"/>
        <v>14</v>
      </c>
      <c r="Q53" s="135">
        <f t="shared" si="4"/>
        <v>13</v>
      </c>
      <c r="R53" s="135">
        <f t="shared" si="4"/>
        <v>13</v>
      </c>
      <c r="S53" s="135">
        <f t="shared" si="4"/>
        <v>11</v>
      </c>
      <c r="T53" s="135">
        <f t="shared" si="4"/>
        <v>14</v>
      </c>
      <c r="U53" s="135">
        <f t="shared" si="4"/>
        <v>10</v>
      </c>
      <c r="V53" s="135">
        <f t="shared" si="4"/>
        <v>7</v>
      </c>
      <c r="W53" s="135">
        <f t="shared" si="4"/>
        <v>7</v>
      </c>
      <c r="X53" s="135">
        <f t="shared" si="4"/>
        <v>17</v>
      </c>
      <c r="Y53" s="135">
        <f t="shared" si="4"/>
        <v>21</v>
      </c>
      <c r="Z53" s="135">
        <f t="shared" si="4"/>
        <v>7</v>
      </c>
      <c r="AA53" s="135">
        <f t="shared" si="4"/>
        <v>4</v>
      </c>
      <c r="AB53" s="135">
        <f t="shared" si="4"/>
        <v>13</v>
      </c>
      <c r="AC53" s="135">
        <f t="shared" si="4"/>
        <v>39</v>
      </c>
      <c r="AD53" s="135">
        <f t="shared" si="4"/>
        <v>19</v>
      </c>
      <c r="AE53" s="135">
        <f t="shared" si="4"/>
        <v>31</v>
      </c>
      <c r="AF53" s="135">
        <f t="shared" si="4"/>
        <v>0</v>
      </c>
      <c r="AG53" s="116">
        <f t="shared" si="2"/>
        <v>450</v>
      </c>
    </row>
    <row r="54" spans="1:33" ht="18.75" x14ac:dyDescent="0.25">
      <c r="A54" s="113" t="s">
        <v>54</v>
      </c>
      <c r="B54" s="114"/>
      <c r="C54" s="114"/>
      <c r="D54" s="7">
        <v>1</v>
      </c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1</v>
      </c>
    </row>
    <row r="55" spans="1:33" ht="18.75" x14ac:dyDescent="0.25">
      <c r="A55" s="41" t="s">
        <v>55</v>
      </c>
      <c r="B55" s="7"/>
      <c r="C55" s="7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1</v>
      </c>
    </row>
    <row r="56" spans="1:33" ht="18.75" x14ac:dyDescent="0.25">
      <c r="A56" s="41" t="s">
        <v>56</v>
      </c>
      <c r="B56" s="7">
        <v>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1</v>
      </c>
    </row>
    <row r="57" spans="1:33" ht="18.75" x14ac:dyDescent="0.25">
      <c r="A57" s="41" t="s">
        <v>38</v>
      </c>
      <c r="B57" s="7">
        <v>1</v>
      </c>
      <c r="C57" s="7"/>
      <c r="D57" s="7"/>
      <c r="E57" s="7"/>
      <c r="F57" s="7"/>
      <c r="G57" s="7"/>
      <c r="H57" s="7"/>
      <c r="I57" s="7"/>
      <c r="J57" s="7">
        <v>2</v>
      </c>
      <c r="K57" s="7"/>
      <c r="L57" s="7"/>
      <c r="M57" s="7"/>
      <c r="N57" s="7"/>
      <c r="O57" s="7"/>
      <c r="P57" s="7"/>
      <c r="Q57" s="7"/>
      <c r="R57" s="7">
        <v>1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4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v>1</v>
      </c>
      <c r="R58" s="7"/>
      <c r="S58" s="7"/>
      <c r="T58" s="7"/>
      <c r="U58" s="7"/>
      <c r="V58" s="7"/>
      <c r="W58" s="7"/>
      <c r="X58" s="7"/>
      <c r="Y58" s="7">
        <v>2</v>
      </c>
      <c r="Z58" s="7"/>
      <c r="AA58" s="7"/>
      <c r="AB58" s="7"/>
      <c r="AC58" s="7"/>
      <c r="AD58" s="7"/>
      <c r="AE58" s="7">
        <v>1</v>
      </c>
      <c r="AF58" s="8"/>
      <c r="AG58" s="4">
        <f t="shared" si="2"/>
        <v>4</v>
      </c>
    </row>
    <row r="59" spans="1:33" ht="18.75" x14ac:dyDescent="0.25">
      <c r="A59" s="41" t="s">
        <v>40</v>
      </c>
      <c r="B59" s="7">
        <v>3</v>
      </c>
      <c r="C59" s="7"/>
      <c r="D59" s="7"/>
      <c r="E59" s="7"/>
      <c r="F59" s="7"/>
      <c r="G59" s="7"/>
      <c r="H59" s="7"/>
      <c r="I59" s="7"/>
      <c r="J59" s="7"/>
      <c r="K59" s="7">
        <v>2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>
        <v>2</v>
      </c>
      <c r="AF59" s="8"/>
      <c r="AG59" s="4">
        <f t="shared" si="2"/>
        <v>7</v>
      </c>
    </row>
    <row r="60" spans="1:33" ht="18.75" x14ac:dyDescent="0.25">
      <c r="A60" s="41" t="s">
        <v>41</v>
      </c>
      <c r="B60" s="7">
        <v>2</v>
      </c>
      <c r="C60" s="7"/>
      <c r="D60" s="7">
        <v>1</v>
      </c>
      <c r="E60" s="7"/>
      <c r="F60" s="7"/>
      <c r="G60" s="7"/>
      <c r="H60" s="7"/>
      <c r="I60" s="7"/>
      <c r="J60" s="7">
        <v>7</v>
      </c>
      <c r="K60" s="7">
        <v>2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>
        <v>4</v>
      </c>
      <c r="Y60" s="7"/>
      <c r="Z60" s="7"/>
      <c r="AA60" s="7"/>
      <c r="AB60" s="7"/>
      <c r="AC60" s="7"/>
      <c r="AD60" s="7"/>
      <c r="AE60" s="7">
        <v>3</v>
      </c>
      <c r="AF60" s="8"/>
      <c r="AG60" s="4">
        <f t="shared" si="2"/>
        <v>19</v>
      </c>
    </row>
    <row r="61" spans="1:33" ht="18.75" x14ac:dyDescent="0.25">
      <c r="A61" s="41" t="s">
        <v>42</v>
      </c>
      <c r="B61" s="7"/>
      <c r="C61" s="7"/>
      <c r="D61" s="7">
        <v>1</v>
      </c>
      <c r="E61" s="7"/>
      <c r="F61" s="7"/>
      <c r="G61" s="7"/>
      <c r="H61" s="7"/>
      <c r="I61" s="7"/>
      <c r="J61" s="7">
        <v>1</v>
      </c>
      <c r="K61" s="7"/>
      <c r="L61" s="7"/>
      <c r="M61" s="7"/>
      <c r="N61" s="7"/>
      <c r="O61" s="7"/>
      <c r="P61" s="7"/>
      <c r="Q61" s="7">
        <v>3</v>
      </c>
      <c r="R61" s="7">
        <v>1</v>
      </c>
      <c r="S61" s="7"/>
      <c r="T61" s="7"/>
      <c r="U61" s="7"/>
      <c r="V61" s="7"/>
      <c r="W61" s="7"/>
      <c r="X61" s="7">
        <v>1</v>
      </c>
      <c r="Y61" s="7"/>
      <c r="Z61" s="7"/>
      <c r="AA61" s="7"/>
      <c r="AB61" s="7"/>
      <c r="AC61" s="7"/>
      <c r="AD61" s="7"/>
      <c r="AE61" s="7">
        <v>1</v>
      </c>
      <c r="AF61" s="8"/>
      <c r="AG61" s="4">
        <f t="shared" si="2"/>
        <v>8</v>
      </c>
    </row>
    <row r="62" spans="1:33" ht="18.75" x14ac:dyDescent="0.25">
      <c r="A62" s="41" t="s">
        <v>43</v>
      </c>
      <c r="B62" s="7"/>
      <c r="C62" s="7"/>
      <c r="D62" s="7">
        <v>1</v>
      </c>
      <c r="E62" s="7"/>
      <c r="F62" s="7"/>
      <c r="G62" s="7"/>
      <c r="H62" s="7"/>
      <c r="I62" s="7"/>
      <c r="J62" s="7">
        <v>1</v>
      </c>
      <c r="K62" s="7">
        <v>1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>
        <v>1</v>
      </c>
      <c r="Y62" s="7"/>
      <c r="Z62" s="7"/>
      <c r="AA62" s="7"/>
      <c r="AB62" s="7"/>
      <c r="AC62" s="7"/>
      <c r="AD62" s="7"/>
      <c r="AE62" s="7">
        <v>1</v>
      </c>
      <c r="AF62" s="8"/>
      <c r="AG62" s="4">
        <f t="shared" si="2"/>
        <v>5</v>
      </c>
    </row>
    <row r="63" spans="1:33" ht="18.75" x14ac:dyDescent="0.25">
      <c r="A63" s="41" t="s">
        <v>44</v>
      </c>
      <c r="B63" s="7"/>
      <c r="C63" s="7">
        <v>1</v>
      </c>
      <c r="D63" s="7"/>
      <c r="E63" s="7"/>
      <c r="F63" s="7"/>
      <c r="G63" s="7"/>
      <c r="H63" s="7">
        <v>1</v>
      </c>
      <c r="I63" s="7">
        <v>1</v>
      </c>
      <c r="J63" s="7">
        <v>1</v>
      </c>
      <c r="K63" s="7">
        <v>1</v>
      </c>
      <c r="L63" s="7"/>
      <c r="M63" s="7"/>
      <c r="N63" s="7"/>
      <c r="O63" s="7"/>
      <c r="P63" s="7"/>
      <c r="Q63" s="7"/>
      <c r="R63" s="7">
        <v>1</v>
      </c>
      <c r="S63" s="7"/>
      <c r="T63" s="7"/>
      <c r="U63" s="7"/>
      <c r="V63" s="7"/>
      <c r="W63" s="7"/>
      <c r="X63" s="7">
        <v>3</v>
      </c>
      <c r="Y63" s="7">
        <v>2</v>
      </c>
      <c r="Z63" s="7"/>
      <c r="AA63" s="7"/>
      <c r="AB63" s="7"/>
      <c r="AC63" s="7"/>
      <c r="AD63" s="7"/>
      <c r="AE63" s="7"/>
      <c r="AF63" s="8"/>
      <c r="AG63" s="4">
        <f t="shared" si="2"/>
        <v>11</v>
      </c>
    </row>
    <row r="64" spans="1:33" ht="18.75" x14ac:dyDescent="0.25">
      <c r="A64" s="41" t="s">
        <v>45</v>
      </c>
      <c r="B64" s="7"/>
      <c r="C64" s="7"/>
      <c r="D64" s="7"/>
      <c r="E64" s="7">
        <v>1</v>
      </c>
      <c r="F64" s="7"/>
      <c r="G64" s="7">
        <v>4</v>
      </c>
      <c r="H64" s="7"/>
      <c r="I64" s="7"/>
      <c r="J64" s="7">
        <v>3</v>
      </c>
      <c r="K64" s="7"/>
      <c r="L64" s="7"/>
      <c r="M64" s="7"/>
      <c r="N64" s="7">
        <v>2</v>
      </c>
      <c r="O64" s="7">
        <v>2</v>
      </c>
      <c r="P64" s="7"/>
      <c r="Q64" s="7"/>
      <c r="R64" s="7"/>
      <c r="S64" s="7">
        <v>1</v>
      </c>
      <c r="T64" s="7">
        <v>2</v>
      </c>
      <c r="U64" s="7">
        <v>2</v>
      </c>
      <c r="V64" s="7">
        <v>2</v>
      </c>
      <c r="W64" s="7"/>
      <c r="X64" s="7"/>
      <c r="Y64" s="7">
        <v>1</v>
      </c>
      <c r="Z64" s="7">
        <v>1</v>
      </c>
      <c r="AA64" s="7">
        <v>1</v>
      </c>
      <c r="AB64" s="7">
        <v>1</v>
      </c>
      <c r="AC64" s="7">
        <v>2</v>
      </c>
      <c r="AD64" s="7">
        <v>1</v>
      </c>
      <c r="AE64" s="7"/>
      <c r="AF64" s="8"/>
      <c r="AG64" s="4">
        <f t="shared" si="2"/>
        <v>26</v>
      </c>
    </row>
    <row r="65" spans="1:33" ht="18.75" x14ac:dyDescent="0.25">
      <c r="A65" s="41" t="s">
        <v>46</v>
      </c>
      <c r="B65" s="7"/>
      <c r="C65" s="7">
        <v>1</v>
      </c>
      <c r="D65" s="7">
        <v>1</v>
      </c>
      <c r="E65" s="7">
        <v>6</v>
      </c>
      <c r="F65" s="7">
        <v>7</v>
      </c>
      <c r="G65" s="7">
        <v>1</v>
      </c>
      <c r="H65" s="7"/>
      <c r="I65" s="7">
        <v>1</v>
      </c>
      <c r="J65" s="7">
        <v>1</v>
      </c>
      <c r="K65" s="7"/>
      <c r="L65" s="7">
        <v>2</v>
      </c>
      <c r="M65" s="7"/>
      <c r="N65" s="7">
        <v>2</v>
      </c>
      <c r="O65" s="7">
        <v>7</v>
      </c>
      <c r="P65" s="7"/>
      <c r="Q65" s="7"/>
      <c r="R65" s="7"/>
      <c r="S65" s="7">
        <v>2</v>
      </c>
      <c r="T65" s="7">
        <v>3</v>
      </c>
      <c r="U65" s="7">
        <v>3</v>
      </c>
      <c r="V65" s="7">
        <v>1</v>
      </c>
      <c r="W65" s="7">
        <v>1</v>
      </c>
      <c r="X65" s="7">
        <v>1</v>
      </c>
      <c r="Y65" s="7"/>
      <c r="Z65" s="7">
        <v>2</v>
      </c>
      <c r="AA65" s="7">
        <v>2</v>
      </c>
      <c r="AB65" s="7">
        <v>1</v>
      </c>
      <c r="AC65" s="7"/>
      <c r="AD65" s="7"/>
      <c r="AE65" s="7"/>
      <c r="AF65" s="8"/>
      <c r="AG65" s="4">
        <f t="shared" si="2"/>
        <v>45</v>
      </c>
    </row>
    <row r="66" spans="1:33" ht="18.75" x14ac:dyDescent="0.25">
      <c r="A66" s="41" t="s">
        <v>47</v>
      </c>
      <c r="B66" s="7"/>
      <c r="C66" s="7"/>
      <c r="D66" s="7"/>
      <c r="E66" s="7">
        <v>3</v>
      </c>
      <c r="F66" s="7">
        <v>2</v>
      </c>
      <c r="G66" s="7">
        <v>6</v>
      </c>
      <c r="H66" s="7">
        <v>1</v>
      </c>
      <c r="I66" s="7">
        <v>4</v>
      </c>
      <c r="J66" s="7">
        <v>2</v>
      </c>
      <c r="K66" s="7">
        <v>1</v>
      </c>
      <c r="L66" s="7">
        <v>2</v>
      </c>
      <c r="M66" s="7"/>
      <c r="N66" s="7"/>
      <c r="O66" s="7">
        <v>1</v>
      </c>
      <c r="P66" s="7">
        <v>2</v>
      </c>
      <c r="Q66" s="7"/>
      <c r="R66" s="7"/>
      <c r="S66" s="7">
        <v>1</v>
      </c>
      <c r="T66" s="7">
        <v>4</v>
      </c>
      <c r="U66" s="7">
        <v>2</v>
      </c>
      <c r="V66" s="7">
        <v>3</v>
      </c>
      <c r="W66" s="7">
        <v>1</v>
      </c>
      <c r="X66" s="7">
        <v>1</v>
      </c>
      <c r="Y66" s="7">
        <v>1</v>
      </c>
      <c r="Z66" s="7">
        <v>2</v>
      </c>
      <c r="AA66" s="7"/>
      <c r="AB66" s="7">
        <v>3</v>
      </c>
      <c r="AC66" s="7">
        <v>4</v>
      </c>
      <c r="AD66" s="7">
        <v>1</v>
      </c>
      <c r="AE66" s="7">
        <v>2</v>
      </c>
      <c r="AF66" s="8"/>
      <c r="AG66" s="4">
        <f t="shared" si="2"/>
        <v>49</v>
      </c>
    </row>
    <row r="67" spans="1:33" ht="18.75" x14ac:dyDescent="0.25">
      <c r="A67" s="41" t="s">
        <v>48</v>
      </c>
      <c r="B67" s="7"/>
      <c r="C67" s="7">
        <v>1</v>
      </c>
      <c r="D67" s="7">
        <v>1</v>
      </c>
      <c r="E67" s="7"/>
      <c r="F67" s="7">
        <v>7</v>
      </c>
      <c r="G67" s="7">
        <v>3</v>
      </c>
      <c r="H67" s="7">
        <v>2</v>
      </c>
      <c r="I67" s="7">
        <v>1</v>
      </c>
      <c r="J67" s="7">
        <v>1</v>
      </c>
      <c r="K67" s="7">
        <v>2</v>
      </c>
      <c r="L67" s="7">
        <v>4</v>
      </c>
      <c r="M67" s="7"/>
      <c r="N67" s="7"/>
      <c r="O67" s="7">
        <v>1</v>
      </c>
      <c r="P67" s="7"/>
      <c r="Q67" s="7">
        <v>1</v>
      </c>
      <c r="R67" s="7"/>
      <c r="S67" s="7">
        <v>6</v>
      </c>
      <c r="T67" s="7"/>
      <c r="U67" s="7">
        <v>1</v>
      </c>
      <c r="V67" s="7"/>
      <c r="W67" s="7"/>
      <c r="X67" s="7"/>
      <c r="Y67" s="7">
        <v>2</v>
      </c>
      <c r="Z67" s="7">
        <v>1</v>
      </c>
      <c r="AA67" s="7">
        <v>1</v>
      </c>
      <c r="AB67" s="7">
        <v>2</v>
      </c>
      <c r="AC67" s="7">
        <v>3</v>
      </c>
      <c r="AD67" s="7"/>
      <c r="AE67" s="7"/>
      <c r="AF67" s="8"/>
      <c r="AG67" s="4">
        <f t="shared" si="2"/>
        <v>40</v>
      </c>
    </row>
    <row r="68" spans="1:33" ht="18.75" x14ac:dyDescent="0.25">
      <c r="A68" s="41" t="s">
        <v>49</v>
      </c>
      <c r="B68" s="7">
        <v>1</v>
      </c>
      <c r="C68" s="7"/>
      <c r="D68" s="7">
        <v>1</v>
      </c>
      <c r="E68" s="7">
        <v>3</v>
      </c>
      <c r="F68" s="7">
        <v>6</v>
      </c>
      <c r="G68" s="7"/>
      <c r="H68" s="7"/>
      <c r="I68" s="7">
        <v>2</v>
      </c>
      <c r="J68" s="7">
        <v>1</v>
      </c>
      <c r="K68" s="7">
        <v>1</v>
      </c>
      <c r="L68" s="7">
        <v>1</v>
      </c>
      <c r="M68" s="7"/>
      <c r="N68" s="7"/>
      <c r="O68" s="7">
        <v>8</v>
      </c>
      <c r="P68" s="7"/>
      <c r="Q68" s="7">
        <v>2</v>
      </c>
      <c r="R68" s="7"/>
      <c r="S68" s="7"/>
      <c r="T68" s="7"/>
      <c r="U68" s="7">
        <v>2</v>
      </c>
      <c r="V68" s="7"/>
      <c r="W68" s="7">
        <v>1</v>
      </c>
      <c r="X68" s="7"/>
      <c r="Y68" s="7">
        <v>1</v>
      </c>
      <c r="Z68" s="7">
        <v>1</v>
      </c>
      <c r="AA68" s="7"/>
      <c r="AB68" s="7">
        <v>1</v>
      </c>
      <c r="AC68" s="7"/>
      <c r="AD68" s="7">
        <v>2</v>
      </c>
      <c r="AE68" s="7"/>
      <c r="AF68" s="8"/>
      <c r="AG68" s="4">
        <f t="shared" si="2"/>
        <v>34</v>
      </c>
    </row>
    <row r="69" spans="1:33" ht="18.75" x14ac:dyDescent="0.25">
      <c r="A69" s="41" t="s">
        <v>50</v>
      </c>
      <c r="B69" s="7"/>
      <c r="C69" s="7"/>
      <c r="D69" s="7">
        <v>1</v>
      </c>
      <c r="E69" s="7">
        <v>3</v>
      </c>
      <c r="F69" s="7"/>
      <c r="G69" s="7">
        <v>1</v>
      </c>
      <c r="H69" s="7"/>
      <c r="I69" s="7">
        <v>1</v>
      </c>
      <c r="J69" s="7">
        <v>2</v>
      </c>
      <c r="K69" s="7">
        <v>3</v>
      </c>
      <c r="L69" s="7"/>
      <c r="M69" s="7"/>
      <c r="N69" s="7"/>
      <c r="O69" s="7">
        <v>1</v>
      </c>
      <c r="P69" s="7"/>
      <c r="Q69" s="7">
        <v>1</v>
      </c>
      <c r="R69" s="7"/>
      <c r="S69" s="7">
        <v>1</v>
      </c>
      <c r="T69" s="7"/>
      <c r="U69" s="7"/>
      <c r="V69" s="7">
        <v>1</v>
      </c>
      <c r="W69" s="7"/>
      <c r="X69" s="7">
        <v>2</v>
      </c>
      <c r="Y69" s="7"/>
      <c r="Z69" s="7"/>
      <c r="AA69" s="7"/>
      <c r="AB69" s="7">
        <v>4</v>
      </c>
      <c r="AC69" s="7">
        <v>5</v>
      </c>
      <c r="AD69" s="7">
        <v>5</v>
      </c>
      <c r="AE69" s="7">
        <v>1</v>
      </c>
      <c r="AF69" s="8"/>
      <c r="AG69" s="4">
        <f t="shared" si="2"/>
        <v>32</v>
      </c>
    </row>
    <row r="70" spans="1:33" ht="18.75" x14ac:dyDescent="0.25">
      <c r="A70" s="41" t="s">
        <v>33</v>
      </c>
      <c r="B70" s="114"/>
      <c r="C70" s="114">
        <v>3</v>
      </c>
      <c r="D70" s="7"/>
      <c r="E70" s="114"/>
      <c r="F70" s="114"/>
      <c r="G70" s="7"/>
      <c r="H70" s="114"/>
      <c r="I70" s="7">
        <v>2</v>
      </c>
      <c r="J70" s="114">
        <v>3</v>
      </c>
      <c r="K70" s="114">
        <v>4</v>
      </c>
      <c r="L70" s="114"/>
      <c r="M70" s="114"/>
      <c r="N70" s="114"/>
      <c r="O70" s="114"/>
      <c r="P70" s="114"/>
      <c r="Q70" s="114">
        <v>3</v>
      </c>
      <c r="R70" s="114">
        <v>2</v>
      </c>
      <c r="S70" s="114"/>
      <c r="T70" s="114">
        <v>1</v>
      </c>
      <c r="U70" s="114"/>
      <c r="V70" s="114"/>
      <c r="W70" s="114"/>
      <c r="X70" s="114">
        <v>1</v>
      </c>
      <c r="Y70" s="114">
        <v>3</v>
      </c>
      <c r="Z70" s="114"/>
      <c r="AA70" s="114"/>
      <c r="AB70" s="114"/>
      <c r="AC70" s="114">
        <v>1</v>
      </c>
      <c r="AD70" s="114">
        <v>1</v>
      </c>
      <c r="AE70" s="114">
        <v>2</v>
      </c>
      <c r="AF70" s="115"/>
      <c r="AG70" s="4">
        <f t="shared" si="2"/>
        <v>26</v>
      </c>
    </row>
    <row r="71" spans="1:33" ht="18.75" x14ac:dyDescent="0.25">
      <c r="A71" s="41" t="s">
        <v>34</v>
      </c>
      <c r="B71" s="114"/>
      <c r="C71" s="114">
        <v>5</v>
      </c>
      <c r="D71" s="7"/>
      <c r="E71" s="114"/>
      <c r="F71" s="114">
        <v>2</v>
      </c>
      <c r="G71" s="7"/>
      <c r="H71" s="114"/>
      <c r="I71" s="7">
        <v>3</v>
      </c>
      <c r="J71" s="114"/>
      <c r="K71" s="114"/>
      <c r="L71" s="114"/>
      <c r="M71" s="114"/>
      <c r="N71" s="114"/>
      <c r="O71" s="114">
        <v>2</v>
      </c>
      <c r="P71" s="114">
        <v>5</v>
      </c>
      <c r="Q71" s="114">
        <v>2</v>
      </c>
      <c r="R71" s="114">
        <v>6</v>
      </c>
      <c r="S71" s="114"/>
      <c r="T71" s="114"/>
      <c r="U71" s="114"/>
      <c r="V71" s="114"/>
      <c r="W71" s="114"/>
      <c r="X71" s="114"/>
      <c r="Y71" s="114">
        <v>1</v>
      </c>
      <c r="Z71" s="114"/>
      <c r="AA71" s="114"/>
      <c r="AB71" s="114"/>
      <c r="AC71" s="114">
        <v>9</v>
      </c>
      <c r="AD71" s="114"/>
      <c r="AE71" s="114"/>
      <c r="AF71" s="115"/>
      <c r="AG71" s="4">
        <f t="shared" si="2"/>
        <v>35</v>
      </c>
    </row>
    <row r="72" spans="1:33" ht="18.75" x14ac:dyDescent="0.25">
      <c r="A72" s="41" t="s">
        <v>35</v>
      </c>
      <c r="B72" s="114">
        <v>1</v>
      </c>
      <c r="C72" s="114">
        <v>3</v>
      </c>
      <c r="D72" s="7"/>
      <c r="E72" s="114"/>
      <c r="F72" s="114">
        <v>4</v>
      </c>
      <c r="G72" s="7"/>
      <c r="H72" s="114"/>
      <c r="I72" s="7"/>
      <c r="J72" s="114"/>
      <c r="K72" s="114"/>
      <c r="L72" s="114">
        <v>2</v>
      </c>
      <c r="M72" s="114"/>
      <c r="N72" s="114"/>
      <c r="O72" s="114"/>
      <c r="P72" s="114">
        <v>4</v>
      </c>
      <c r="Q72" s="114"/>
      <c r="R72" s="114">
        <v>2</v>
      </c>
      <c r="S72" s="114"/>
      <c r="T72" s="114">
        <v>3</v>
      </c>
      <c r="U72" s="114"/>
      <c r="V72" s="114"/>
      <c r="W72" s="114">
        <v>3</v>
      </c>
      <c r="X72" s="114"/>
      <c r="Y72" s="114">
        <v>8</v>
      </c>
      <c r="Z72" s="114"/>
      <c r="AA72" s="114"/>
      <c r="AB72" s="114">
        <v>1</v>
      </c>
      <c r="AC72" s="114">
        <v>12</v>
      </c>
      <c r="AD72" s="114">
        <v>1</v>
      </c>
      <c r="AE72" s="114">
        <v>2</v>
      </c>
      <c r="AF72" s="115"/>
      <c r="AG72" s="4">
        <f t="shared" si="2"/>
        <v>46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>
        <v>5</v>
      </c>
      <c r="G73" s="7"/>
      <c r="H73" s="114"/>
      <c r="I73" s="7"/>
      <c r="J73" s="114"/>
      <c r="K73" s="114"/>
      <c r="L73" s="114">
        <v>1</v>
      </c>
      <c r="M73" s="114"/>
      <c r="N73" s="114"/>
      <c r="O73" s="114">
        <v>7</v>
      </c>
      <c r="P73" s="114">
        <v>3</v>
      </c>
      <c r="Q73" s="114"/>
      <c r="R73" s="114"/>
      <c r="S73" s="114"/>
      <c r="T73" s="114">
        <v>1</v>
      </c>
      <c r="U73" s="114"/>
      <c r="V73" s="114"/>
      <c r="W73" s="114">
        <v>1</v>
      </c>
      <c r="X73" s="114">
        <v>1</v>
      </c>
      <c r="Y73" s="114"/>
      <c r="Z73" s="114"/>
      <c r="AA73" s="114"/>
      <c r="AB73" s="114"/>
      <c r="AC73" s="114">
        <v>3</v>
      </c>
      <c r="AD73" s="114">
        <v>8</v>
      </c>
      <c r="AE73" s="114"/>
      <c r="AF73" s="115"/>
      <c r="AG73" s="4">
        <f t="shared" si="2"/>
        <v>30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>
        <v>5</v>
      </c>
      <c r="G74" s="7"/>
      <c r="H74" s="114">
        <v>1</v>
      </c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>
        <v>8</v>
      </c>
      <c r="AF74" s="115"/>
      <c r="AG74" s="4">
        <f t="shared" si="2"/>
        <v>14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>
        <v>2</v>
      </c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2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>
        <v>1</v>
      </c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>
        <v>8</v>
      </c>
      <c r="AF76" s="115"/>
      <c r="AG76" s="4">
        <f t="shared" si="2"/>
        <v>9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>
        <v>1</v>
      </c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216</v>
      </c>
      <c r="C78" s="185">
        <f t="shared" si="5"/>
        <v>209</v>
      </c>
      <c r="D78" s="185">
        <f t="shared" si="5"/>
        <v>201</v>
      </c>
      <c r="E78" s="184">
        <f t="shared" si="5"/>
        <v>177</v>
      </c>
      <c r="F78" s="184">
        <f t="shared" si="5"/>
        <v>167</v>
      </c>
      <c r="G78" s="184">
        <f t="shared" si="5"/>
        <v>153</v>
      </c>
      <c r="H78" s="184">
        <f t="shared" si="5"/>
        <v>113</v>
      </c>
      <c r="I78" s="184">
        <f t="shared" si="5"/>
        <v>148</v>
      </c>
      <c r="J78" s="184">
        <f t="shared" si="5"/>
        <v>233</v>
      </c>
      <c r="K78" s="184">
        <f t="shared" si="5"/>
        <v>228</v>
      </c>
      <c r="L78" s="184">
        <f t="shared" si="5"/>
        <v>184</v>
      </c>
      <c r="M78" s="184">
        <f t="shared" si="5"/>
        <v>111</v>
      </c>
      <c r="N78" s="184">
        <f t="shared" si="5"/>
        <v>141</v>
      </c>
      <c r="O78" s="184">
        <f>SUM(O79:O80)</f>
        <v>156</v>
      </c>
      <c r="P78" s="184">
        <f t="shared" si="5"/>
        <v>160</v>
      </c>
      <c r="Q78" s="184">
        <f t="shared" si="5"/>
        <v>197</v>
      </c>
      <c r="R78" s="184">
        <f t="shared" si="5"/>
        <v>212</v>
      </c>
      <c r="S78" s="184">
        <f t="shared" si="5"/>
        <v>176</v>
      </c>
      <c r="T78" s="184">
        <f t="shared" si="5"/>
        <v>155</v>
      </c>
      <c r="U78" s="184">
        <f t="shared" si="5"/>
        <v>144</v>
      </c>
      <c r="V78" s="184">
        <f t="shared" si="5"/>
        <v>150</v>
      </c>
      <c r="W78" s="184">
        <f t="shared" si="5"/>
        <v>141</v>
      </c>
      <c r="X78" s="184">
        <f t="shared" si="5"/>
        <v>212</v>
      </c>
      <c r="Y78" s="184">
        <f t="shared" si="5"/>
        <v>221</v>
      </c>
      <c r="Z78" s="184">
        <f t="shared" si="5"/>
        <v>172</v>
      </c>
      <c r="AA78" s="184">
        <f t="shared" si="5"/>
        <v>141</v>
      </c>
      <c r="AB78" s="184">
        <f t="shared" si="5"/>
        <v>165</v>
      </c>
      <c r="AC78" s="184">
        <f t="shared" si="5"/>
        <v>198</v>
      </c>
      <c r="AD78" s="184">
        <f t="shared" si="5"/>
        <v>153</v>
      </c>
      <c r="AE78" s="184">
        <f t="shared" si="5"/>
        <v>232</v>
      </c>
      <c r="AF78" s="186">
        <f t="shared" si="5"/>
        <v>0</v>
      </c>
      <c r="AG78" s="116">
        <f t="shared" si="2"/>
        <v>5266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216</v>
      </c>
      <c r="C79" s="114">
        <f t="shared" si="6"/>
        <v>209</v>
      </c>
      <c r="D79" s="114">
        <f t="shared" si="6"/>
        <v>201</v>
      </c>
      <c r="E79" s="114">
        <f t="shared" si="6"/>
        <v>177</v>
      </c>
      <c r="F79" s="114">
        <f t="shared" si="6"/>
        <v>167</v>
      </c>
      <c r="G79" s="114">
        <f t="shared" si="6"/>
        <v>152</v>
      </c>
      <c r="H79" s="114">
        <f t="shared" si="6"/>
        <v>113</v>
      </c>
      <c r="I79" s="114">
        <f t="shared" si="6"/>
        <v>148</v>
      </c>
      <c r="J79" s="114">
        <f t="shared" si="6"/>
        <v>233</v>
      </c>
      <c r="K79" s="114">
        <f t="shared" si="6"/>
        <v>228</v>
      </c>
      <c r="L79" s="114">
        <f t="shared" si="6"/>
        <v>184</v>
      </c>
      <c r="M79" s="114">
        <f t="shared" si="6"/>
        <v>111</v>
      </c>
      <c r="N79" s="114">
        <f t="shared" si="6"/>
        <v>141</v>
      </c>
      <c r="O79" s="114">
        <f t="shared" si="6"/>
        <v>156</v>
      </c>
      <c r="P79" s="114">
        <f t="shared" si="6"/>
        <v>160</v>
      </c>
      <c r="Q79" s="114">
        <f t="shared" si="6"/>
        <v>197</v>
      </c>
      <c r="R79" s="114">
        <f t="shared" si="6"/>
        <v>118</v>
      </c>
      <c r="S79" s="114">
        <f t="shared" si="6"/>
        <v>176</v>
      </c>
      <c r="T79" s="114">
        <f t="shared" si="6"/>
        <v>155</v>
      </c>
      <c r="U79" s="114">
        <f t="shared" si="6"/>
        <v>144</v>
      </c>
      <c r="V79" s="114">
        <f t="shared" si="6"/>
        <v>149</v>
      </c>
      <c r="W79" s="114">
        <f t="shared" si="6"/>
        <v>141</v>
      </c>
      <c r="X79" s="114">
        <f t="shared" si="6"/>
        <v>212</v>
      </c>
      <c r="Y79" s="114">
        <f t="shared" si="6"/>
        <v>95</v>
      </c>
      <c r="Z79" s="114">
        <f t="shared" si="6"/>
        <v>172</v>
      </c>
      <c r="AA79" s="114">
        <f t="shared" si="6"/>
        <v>141</v>
      </c>
      <c r="AB79" s="114">
        <f t="shared" si="6"/>
        <v>165</v>
      </c>
      <c r="AC79" s="114">
        <f t="shared" si="6"/>
        <v>173</v>
      </c>
      <c r="AD79" s="114">
        <f t="shared" si="6"/>
        <v>153</v>
      </c>
      <c r="AE79" s="114">
        <f t="shared" si="6"/>
        <v>232</v>
      </c>
      <c r="AF79" s="114">
        <f t="shared" si="6"/>
        <v>0</v>
      </c>
      <c r="AG79" s="132">
        <f t="shared" si="2"/>
        <v>5019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1</v>
      </c>
      <c r="H80" s="9">
        <f>SUM(H4:H12)</f>
        <v>0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0</v>
      </c>
      <c r="O80" s="9">
        <f>SUM(O4:O12)</f>
        <v>0</v>
      </c>
      <c r="P80" s="11"/>
      <c r="Q80" s="11"/>
      <c r="R80" s="9">
        <f>SUM(R4:R12)</f>
        <v>94</v>
      </c>
      <c r="S80" s="9">
        <f>SUM(S4:S12)</f>
        <v>0</v>
      </c>
      <c r="T80" s="9">
        <f>SUM(T4:T12)</f>
        <v>0</v>
      </c>
      <c r="U80" s="9">
        <f>SUM(U4:U12)</f>
        <v>0</v>
      </c>
      <c r="V80" s="9">
        <f>SUM(V4:V12)</f>
        <v>1</v>
      </c>
      <c r="W80" s="11"/>
      <c r="X80" s="11"/>
      <c r="Y80" s="9">
        <f>SUM(Y4:Y12)</f>
        <v>126</v>
      </c>
      <c r="Z80" s="11"/>
      <c r="AA80" s="9">
        <f>SUM(AA4:AA12)</f>
        <v>0</v>
      </c>
      <c r="AB80" s="9">
        <f>SUM(AB4:AB12)</f>
        <v>0</v>
      </c>
      <c r="AC80" s="9">
        <f>SUM(AC4:AC12)</f>
        <v>25</v>
      </c>
      <c r="AD80" s="11"/>
      <c r="AE80" s="11"/>
      <c r="AF80" s="9">
        <f>SUM(AF4:AF12)</f>
        <v>0</v>
      </c>
      <c r="AG80" s="108">
        <f t="shared" si="2"/>
        <v>247</v>
      </c>
    </row>
    <row r="81" spans="1:35" ht="19.5" thickBot="1" x14ac:dyDescent="0.3">
      <c r="A81" s="183" t="s">
        <v>98</v>
      </c>
      <c r="B81" s="184">
        <f t="shared" ref="B81:AF81" si="7">SUM(B82:B83)</f>
        <v>9</v>
      </c>
      <c r="C81" s="184">
        <f t="shared" si="7"/>
        <v>15</v>
      </c>
      <c r="D81" s="184">
        <f t="shared" si="7"/>
        <v>8</v>
      </c>
      <c r="E81" s="184">
        <f t="shared" si="7"/>
        <v>16</v>
      </c>
      <c r="F81" s="184">
        <f t="shared" si="7"/>
        <v>38</v>
      </c>
      <c r="G81" s="184">
        <f t="shared" si="7"/>
        <v>15</v>
      </c>
      <c r="H81" s="184">
        <f t="shared" si="7"/>
        <v>5</v>
      </c>
      <c r="I81" s="184">
        <f t="shared" si="7"/>
        <v>15</v>
      </c>
      <c r="J81" s="184">
        <f t="shared" si="7"/>
        <v>26</v>
      </c>
      <c r="K81" s="184">
        <f t="shared" si="7"/>
        <v>17</v>
      </c>
      <c r="L81" s="184">
        <f t="shared" si="7"/>
        <v>12</v>
      </c>
      <c r="M81" s="184">
        <f t="shared" si="7"/>
        <v>1</v>
      </c>
      <c r="N81" s="184">
        <f t="shared" si="7"/>
        <v>4</v>
      </c>
      <c r="O81" s="184">
        <f t="shared" si="7"/>
        <v>29</v>
      </c>
      <c r="P81" s="184">
        <f t="shared" si="7"/>
        <v>14</v>
      </c>
      <c r="Q81" s="184">
        <f t="shared" si="7"/>
        <v>13</v>
      </c>
      <c r="R81" s="184">
        <f t="shared" si="7"/>
        <v>13</v>
      </c>
      <c r="S81" s="184">
        <f t="shared" si="7"/>
        <v>11</v>
      </c>
      <c r="T81" s="184">
        <f t="shared" si="7"/>
        <v>14</v>
      </c>
      <c r="U81" s="184">
        <f t="shared" si="7"/>
        <v>10</v>
      </c>
      <c r="V81" s="184">
        <f t="shared" si="7"/>
        <v>7</v>
      </c>
      <c r="W81" s="184">
        <f t="shared" si="7"/>
        <v>7</v>
      </c>
      <c r="X81" s="184">
        <f t="shared" si="7"/>
        <v>17</v>
      </c>
      <c r="Y81" s="184">
        <f t="shared" si="7"/>
        <v>21</v>
      </c>
      <c r="Z81" s="184">
        <f>SUM(Z82:Z83)</f>
        <v>7</v>
      </c>
      <c r="AA81" s="184">
        <f t="shared" si="7"/>
        <v>4</v>
      </c>
      <c r="AB81" s="184">
        <f t="shared" si="7"/>
        <v>13</v>
      </c>
      <c r="AC81" s="184">
        <f t="shared" si="7"/>
        <v>39</v>
      </c>
      <c r="AD81" s="184">
        <f t="shared" si="7"/>
        <v>19</v>
      </c>
      <c r="AE81" s="184">
        <f t="shared" si="7"/>
        <v>31</v>
      </c>
      <c r="AF81" s="184">
        <f t="shared" si="7"/>
        <v>0</v>
      </c>
      <c r="AG81" s="116">
        <f t="shared" si="2"/>
        <v>450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82"/>
      <c r="D82" s="182"/>
      <c r="E82" s="114">
        <f t="shared" ref="E82:AF82" si="8">SUM(E54:E62)</f>
        <v>0</v>
      </c>
      <c r="F82" s="114">
        <f t="shared" si="8"/>
        <v>0</v>
      </c>
      <c r="G82" s="114">
        <f t="shared" si="8"/>
        <v>0</v>
      </c>
      <c r="H82" s="114">
        <f t="shared" si="8"/>
        <v>0</v>
      </c>
      <c r="I82" s="114">
        <f t="shared" si="8"/>
        <v>0</v>
      </c>
      <c r="J82" s="182"/>
      <c r="K82" s="182"/>
      <c r="L82" s="114">
        <f t="shared" si="8"/>
        <v>0</v>
      </c>
      <c r="M82" s="114">
        <f t="shared" si="8"/>
        <v>0</v>
      </c>
      <c r="N82" s="114">
        <f t="shared" si="8"/>
        <v>0</v>
      </c>
      <c r="O82" s="114">
        <f t="shared" si="8"/>
        <v>0</v>
      </c>
      <c r="P82" s="114">
        <f t="shared" si="8"/>
        <v>0</v>
      </c>
      <c r="Q82" s="182"/>
      <c r="R82" s="182"/>
      <c r="S82" s="114">
        <f t="shared" si="8"/>
        <v>0</v>
      </c>
      <c r="T82" s="114">
        <f t="shared" si="8"/>
        <v>0</v>
      </c>
      <c r="U82" s="114">
        <f t="shared" si="8"/>
        <v>0</v>
      </c>
      <c r="V82" s="114">
        <f t="shared" si="8"/>
        <v>0</v>
      </c>
      <c r="W82" s="114">
        <f t="shared" si="8"/>
        <v>0</v>
      </c>
      <c r="X82" s="182"/>
      <c r="Y82" s="182"/>
      <c r="Z82" s="114">
        <f t="shared" si="8"/>
        <v>0</v>
      </c>
      <c r="AA82" s="114">
        <f t="shared" si="8"/>
        <v>0</v>
      </c>
      <c r="AB82" s="114">
        <f t="shared" si="8"/>
        <v>0</v>
      </c>
      <c r="AC82" s="114">
        <f t="shared" si="8"/>
        <v>0</v>
      </c>
      <c r="AD82" s="114">
        <f t="shared" si="8"/>
        <v>0</v>
      </c>
      <c r="AE82" s="182"/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9</v>
      </c>
      <c r="C83" s="9">
        <f t="shared" ref="C83" si="10">SUM(C54:C77)-C82</f>
        <v>15</v>
      </c>
      <c r="D83" s="9">
        <f t="shared" ref="D83:AF83" si="11">SUM(D54:D77)-D82</f>
        <v>8</v>
      </c>
      <c r="E83" s="9">
        <f t="shared" si="11"/>
        <v>16</v>
      </c>
      <c r="F83" s="9">
        <f t="shared" si="11"/>
        <v>38</v>
      </c>
      <c r="G83" s="9">
        <f t="shared" si="11"/>
        <v>15</v>
      </c>
      <c r="H83" s="9">
        <f t="shared" si="11"/>
        <v>5</v>
      </c>
      <c r="I83" s="9">
        <f t="shared" si="11"/>
        <v>15</v>
      </c>
      <c r="J83" s="9">
        <f t="shared" si="11"/>
        <v>26</v>
      </c>
      <c r="K83" s="9">
        <f t="shared" si="11"/>
        <v>17</v>
      </c>
      <c r="L83" s="9">
        <f t="shared" si="11"/>
        <v>12</v>
      </c>
      <c r="M83" s="9">
        <f t="shared" si="11"/>
        <v>1</v>
      </c>
      <c r="N83" s="9">
        <f t="shared" si="11"/>
        <v>4</v>
      </c>
      <c r="O83" s="9">
        <f t="shared" si="11"/>
        <v>29</v>
      </c>
      <c r="P83" s="9">
        <f t="shared" si="11"/>
        <v>14</v>
      </c>
      <c r="Q83" s="9">
        <f t="shared" si="11"/>
        <v>13</v>
      </c>
      <c r="R83" s="9">
        <f t="shared" si="11"/>
        <v>13</v>
      </c>
      <c r="S83" s="9">
        <f t="shared" si="11"/>
        <v>11</v>
      </c>
      <c r="T83" s="9">
        <f t="shared" si="11"/>
        <v>14</v>
      </c>
      <c r="U83" s="9">
        <f t="shared" si="11"/>
        <v>10</v>
      </c>
      <c r="V83" s="9">
        <f t="shared" si="11"/>
        <v>7</v>
      </c>
      <c r="W83" s="9">
        <f t="shared" si="11"/>
        <v>7</v>
      </c>
      <c r="X83" s="9">
        <f t="shared" si="11"/>
        <v>17</v>
      </c>
      <c r="Y83" s="9">
        <f t="shared" si="11"/>
        <v>21</v>
      </c>
      <c r="Z83" s="9">
        <f t="shared" si="11"/>
        <v>7</v>
      </c>
      <c r="AA83" s="9">
        <f t="shared" si="11"/>
        <v>4</v>
      </c>
      <c r="AB83" s="9">
        <f t="shared" si="11"/>
        <v>13</v>
      </c>
      <c r="AC83" s="9">
        <f t="shared" si="11"/>
        <v>39</v>
      </c>
      <c r="AD83" s="9">
        <f t="shared" si="11"/>
        <v>19</v>
      </c>
      <c r="AE83" s="9">
        <f t="shared" si="11"/>
        <v>31</v>
      </c>
      <c r="AF83" s="9">
        <f t="shared" si="11"/>
        <v>0</v>
      </c>
      <c r="AG83" s="4">
        <f t="shared" si="2"/>
        <v>450</v>
      </c>
    </row>
    <row r="84" spans="1:35" ht="19.5" thickBot="1" x14ac:dyDescent="0.3">
      <c r="A84" s="164" t="s">
        <v>146</v>
      </c>
      <c r="B84" s="165">
        <f>SUM(B85:B86)</f>
        <v>9</v>
      </c>
      <c r="C84" s="165">
        <f t="shared" ref="C84:AF84" si="12">SUM(C85:C86)</f>
        <v>15</v>
      </c>
      <c r="D84" s="165">
        <f t="shared" si="12"/>
        <v>8</v>
      </c>
      <c r="E84" s="165">
        <f t="shared" si="12"/>
        <v>16</v>
      </c>
      <c r="F84" s="165">
        <f t="shared" si="12"/>
        <v>38</v>
      </c>
      <c r="G84" s="165">
        <f t="shared" si="12"/>
        <v>15</v>
      </c>
      <c r="H84" s="165">
        <f t="shared" si="12"/>
        <v>5</v>
      </c>
      <c r="I84" s="165">
        <f t="shared" si="12"/>
        <v>15</v>
      </c>
      <c r="J84" s="165">
        <f t="shared" si="12"/>
        <v>26</v>
      </c>
      <c r="K84" s="165">
        <f t="shared" si="12"/>
        <v>17</v>
      </c>
      <c r="L84" s="165">
        <f t="shared" si="12"/>
        <v>12</v>
      </c>
      <c r="M84" s="165">
        <f t="shared" si="12"/>
        <v>1</v>
      </c>
      <c r="N84" s="165">
        <f t="shared" si="12"/>
        <v>4</v>
      </c>
      <c r="O84" s="165">
        <f t="shared" si="12"/>
        <v>29</v>
      </c>
      <c r="P84" s="165">
        <f t="shared" si="12"/>
        <v>14</v>
      </c>
      <c r="Q84" s="165">
        <f t="shared" si="12"/>
        <v>13</v>
      </c>
      <c r="R84" s="165">
        <f t="shared" si="12"/>
        <v>13</v>
      </c>
      <c r="S84" s="165">
        <f t="shared" si="12"/>
        <v>11</v>
      </c>
      <c r="T84" s="165">
        <f t="shared" si="12"/>
        <v>14</v>
      </c>
      <c r="U84" s="165">
        <f t="shared" si="12"/>
        <v>10</v>
      </c>
      <c r="V84" s="165">
        <f t="shared" si="12"/>
        <v>7</v>
      </c>
      <c r="W84" s="165">
        <f t="shared" si="12"/>
        <v>7</v>
      </c>
      <c r="X84" s="165">
        <f t="shared" si="12"/>
        <v>17</v>
      </c>
      <c r="Y84" s="165">
        <f t="shared" si="12"/>
        <v>21</v>
      </c>
      <c r="Z84" s="165">
        <f t="shared" si="12"/>
        <v>7</v>
      </c>
      <c r="AA84" s="165">
        <f t="shared" si="12"/>
        <v>4</v>
      </c>
      <c r="AB84" s="165">
        <f t="shared" si="12"/>
        <v>13</v>
      </c>
      <c r="AC84" s="165">
        <f t="shared" si="12"/>
        <v>39</v>
      </c>
      <c r="AD84" s="165">
        <f t="shared" si="12"/>
        <v>19</v>
      </c>
      <c r="AE84" s="165">
        <f t="shared" si="12"/>
        <v>31</v>
      </c>
      <c r="AF84" s="165">
        <f t="shared" si="12"/>
        <v>0</v>
      </c>
      <c r="AG84" s="171">
        <f t="shared" ref="AG84:AG126" si="13">SUM(B84:AF84)</f>
        <v>450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1</v>
      </c>
      <c r="C85" s="169">
        <v>4</v>
      </c>
      <c r="D85" s="169">
        <v>0</v>
      </c>
      <c r="E85" s="169">
        <v>2</v>
      </c>
      <c r="F85" s="169">
        <v>8</v>
      </c>
      <c r="G85" s="169">
        <v>1</v>
      </c>
      <c r="H85" s="169">
        <v>0</v>
      </c>
      <c r="I85" s="169">
        <v>2</v>
      </c>
      <c r="J85" s="169">
        <v>7</v>
      </c>
      <c r="K85" s="169">
        <v>3</v>
      </c>
      <c r="L85" s="169">
        <v>2</v>
      </c>
      <c r="M85" s="169">
        <v>0</v>
      </c>
      <c r="N85" s="169">
        <v>3</v>
      </c>
      <c r="O85" s="169">
        <v>8</v>
      </c>
      <c r="P85" s="169">
        <v>7</v>
      </c>
      <c r="Q85" s="169">
        <v>3</v>
      </c>
      <c r="R85" s="169">
        <v>1</v>
      </c>
      <c r="S85" s="169">
        <v>3</v>
      </c>
      <c r="T85" s="169">
        <v>3</v>
      </c>
      <c r="U85" s="169">
        <v>2</v>
      </c>
      <c r="V85" s="169">
        <v>1</v>
      </c>
      <c r="W85" s="169">
        <v>1</v>
      </c>
      <c r="X85" s="169">
        <v>5</v>
      </c>
      <c r="Y85" s="169">
        <v>3</v>
      </c>
      <c r="Z85" s="169">
        <v>2</v>
      </c>
      <c r="AA85" s="169">
        <v>1</v>
      </c>
      <c r="AB85" s="169">
        <v>2</v>
      </c>
      <c r="AC85" s="169">
        <v>7</v>
      </c>
      <c r="AD85" s="169">
        <v>1</v>
      </c>
      <c r="AE85" s="169">
        <v>6</v>
      </c>
      <c r="AF85" s="170"/>
      <c r="AG85" s="168">
        <f t="shared" si="13"/>
        <v>89</v>
      </c>
      <c r="AI85" s="374"/>
    </row>
    <row r="86" spans="1:35" ht="19.5" thickBot="1" x14ac:dyDescent="0.3">
      <c r="A86" s="172" t="s">
        <v>145</v>
      </c>
      <c r="B86" s="173">
        <v>8</v>
      </c>
      <c r="C86" s="173">
        <v>11</v>
      </c>
      <c r="D86" s="173">
        <v>8</v>
      </c>
      <c r="E86" s="173">
        <v>14</v>
      </c>
      <c r="F86" s="173">
        <v>30</v>
      </c>
      <c r="G86" s="173">
        <v>14</v>
      </c>
      <c r="H86" s="173">
        <v>5</v>
      </c>
      <c r="I86" s="173">
        <v>13</v>
      </c>
      <c r="J86" s="173">
        <v>19</v>
      </c>
      <c r="K86" s="173">
        <v>14</v>
      </c>
      <c r="L86" s="173">
        <v>10</v>
      </c>
      <c r="M86" s="173">
        <v>1</v>
      </c>
      <c r="N86" s="173">
        <v>1</v>
      </c>
      <c r="O86" s="173">
        <v>21</v>
      </c>
      <c r="P86" s="173">
        <v>7</v>
      </c>
      <c r="Q86" s="173">
        <v>10</v>
      </c>
      <c r="R86" s="173">
        <v>12</v>
      </c>
      <c r="S86" s="173">
        <v>8</v>
      </c>
      <c r="T86" s="173">
        <v>11</v>
      </c>
      <c r="U86" s="173">
        <v>8</v>
      </c>
      <c r="V86" s="173">
        <v>6</v>
      </c>
      <c r="W86" s="173">
        <v>6</v>
      </c>
      <c r="X86" s="173">
        <v>12</v>
      </c>
      <c r="Y86" s="173">
        <v>18</v>
      </c>
      <c r="Z86" s="173">
        <v>5</v>
      </c>
      <c r="AA86" s="173">
        <v>3</v>
      </c>
      <c r="AB86" s="173">
        <v>11</v>
      </c>
      <c r="AC86" s="173">
        <v>32</v>
      </c>
      <c r="AD86" s="173">
        <v>18</v>
      </c>
      <c r="AE86" s="173">
        <v>25</v>
      </c>
      <c r="AF86" s="174"/>
      <c r="AG86" s="176">
        <f t="shared" si="13"/>
        <v>361</v>
      </c>
      <c r="AI86" s="375"/>
    </row>
    <row r="87" spans="1:35" ht="19.5" thickBot="1" x14ac:dyDescent="0.3">
      <c r="A87" s="177" t="s">
        <v>147</v>
      </c>
      <c r="B87" s="178">
        <f>SUM(B88:B92)</f>
        <v>9</v>
      </c>
      <c r="C87" s="178">
        <f t="shared" ref="C87:AF87" si="14">SUM(C88:C92)</f>
        <v>15</v>
      </c>
      <c r="D87" s="178">
        <f t="shared" si="14"/>
        <v>8</v>
      </c>
      <c r="E87" s="178">
        <f t="shared" si="14"/>
        <v>16</v>
      </c>
      <c r="F87" s="178">
        <f t="shared" si="14"/>
        <v>38</v>
      </c>
      <c r="G87" s="178">
        <f t="shared" si="14"/>
        <v>15</v>
      </c>
      <c r="H87" s="178">
        <f t="shared" si="14"/>
        <v>5</v>
      </c>
      <c r="I87" s="178">
        <f t="shared" si="14"/>
        <v>15</v>
      </c>
      <c r="J87" s="178">
        <f t="shared" si="14"/>
        <v>26</v>
      </c>
      <c r="K87" s="178">
        <f t="shared" si="14"/>
        <v>17</v>
      </c>
      <c r="L87" s="178">
        <f t="shared" si="14"/>
        <v>12</v>
      </c>
      <c r="M87" s="178">
        <f t="shared" si="14"/>
        <v>1</v>
      </c>
      <c r="N87" s="178">
        <f t="shared" si="14"/>
        <v>4</v>
      </c>
      <c r="O87" s="178">
        <f t="shared" si="14"/>
        <v>29</v>
      </c>
      <c r="P87" s="178">
        <f t="shared" si="14"/>
        <v>14</v>
      </c>
      <c r="Q87" s="178">
        <f t="shared" si="14"/>
        <v>13</v>
      </c>
      <c r="R87" s="178">
        <f t="shared" si="14"/>
        <v>13</v>
      </c>
      <c r="S87" s="178">
        <f t="shared" si="14"/>
        <v>11</v>
      </c>
      <c r="T87" s="178">
        <f t="shared" si="14"/>
        <v>14</v>
      </c>
      <c r="U87" s="178">
        <f t="shared" si="14"/>
        <v>10</v>
      </c>
      <c r="V87" s="178">
        <f t="shared" si="14"/>
        <v>7</v>
      </c>
      <c r="W87" s="178">
        <f t="shared" si="14"/>
        <v>7</v>
      </c>
      <c r="X87" s="178">
        <f t="shared" si="14"/>
        <v>17</v>
      </c>
      <c r="Y87" s="178">
        <f t="shared" si="14"/>
        <v>21</v>
      </c>
      <c r="Z87" s="178">
        <f t="shared" si="14"/>
        <v>7</v>
      </c>
      <c r="AA87" s="178">
        <f t="shared" si="14"/>
        <v>4</v>
      </c>
      <c r="AB87" s="178">
        <f t="shared" si="14"/>
        <v>13</v>
      </c>
      <c r="AC87" s="178">
        <f t="shared" si="14"/>
        <v>39</v>
      </c>
      <c r="AD87" s="178">
        <f t="shared" si="14"/>
        <v>19</v>
      </c>
      <c r="AE87" s="178">
        <f t="shared" si="14"/>
        <v>31</v>
      </c>
      <c r="AF87" s="178">
        <f t="shared" si="14"/>
        <v>0</v>
      </c>
      <c r="AG87" s="179">
        <f t="shared" si="13"/>
        <v>450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>
        <v>1</v>
      </c>
      <c r="D88" s="166">
        <v>2</v>
      </c>
      <c r="E88" s="166">
        <v>8</v>
      </c>
      <c r="F88" s="166">
        <v>20</v>
      </c>
      <c r="G88" s="166">
        <v>1</v>
      </c>
      <c r="H88" s="166">
        <v>2</v>
      </c>
      <c r="I88" s="166">
        <v>4</v>
      </c>
      <c r="J88" s="166">
        <v>4</v>
      </c>
      <c r="K88" s="166">
        <v>9</v>
      </c>
      <c r="L88" s="166">
        <v>8</v>
      </c>
      <c r="M88" s="166">
        <v>0</v>
      </c>
      <c r="N88" s="166">
        <v>4</v>
      </c>
      <c r="O88" s="166">
        <v>7</v>
      </c>
      <c r="P88" s="166">
        <v>1</v>
      </c>
      <c r="Q88" s="166">
        <v>4</v>
      </c>
      <c r="R88" s="166">
        <v>1</v>
      </c>
      <c r="S88" s="166">
        <v>1</v>
      </c>
      <c r="T88" s="166">
        <v>6</v>
      </c>
      <c r="U88" s="166">
        <v>3</v>
      </c>
      <c r="V88" s="166">
        <v>3</v>
      </c>
      <c r="W88" s="166"/>
      <c r="X88" s="166">
        <v>2</v>
      </c>
      <c r="Y88" s="166">
        <v>4</v>
      </c>
      <c r="Z88" s="166">
        <v>5</v>
      </c>
      <c r="AA88" s="166">
        <v>4</v>
      </c>
      <c r="AB88" s="166">
        <v>4</v>
      </c>
      <c r="AC88" s="166">
        <v>8</v>
      </c>
      <c r="AD88" s="166">
        <v>3</v>
      </c>
      <c r="AE88" s="166">
        <v>2</v>
      </c>
      <c r="AF88" s="167"/>
      <c r="AG88" s="132">
        <f t="shared" si="13"/>
        <v>121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>
        <v>1</v>
      </c>
      <c r="P90" s="9"/>
      <c r="Q90" s="9"/>
      <c r="R90" s="9"/>
      <c r="S90" s="9"/>
      <c r="T90" s="9"/>
      <c r="U90" s="9"/>
      <c r="V90" s="9">
        <v>1</v>
      </c>
      <c r="W90" s="9"/>
      <c r="X90" s="9"/>
      <c r="Y90" s="9"/>
      <c r="Z90" s="9"/>
      <c r="AA90" s="9"/>
      <c r="AB90" s="9"/>
      <c r="AC90" s="9">
        <v>2</v>
      </c>
      <c r="AD90" s="9"/>
      <c r="AE90" s="9">
        <v>2</v>
      </c>
      <c r="AF90" s="10"/>
      <c r="AG90" s="4">
        <f t="shared" si="13"/>
        <v>6</v>
      </c>
    </row>
    <row r="91" spans="1:35" ht="18.75" x14ac:dyDescent="0.25">
      <c r="A91" s="105" t="s">
        <v>75</v>
      </c>
      <c r="B91" s="9">
        <v>3</v>
      </c>
      <c r="C91" s="9">
        <v>4</v>
      </c>
      <c r="D91" s="9">
        <v>2</v>
      </c>
      <c r="E91" s="9">
        <v>5</v>
      </c>
      <c r="F91" s="9">
        <v>16</v>
      </c>
      <c r="G91" s="9">
        <v>6</v>
      </c>
      <c r="H91" s="9">
        <v>3</v>
      </c>
      <c r="I91" s="9">
        <v>4</v>
      </c>
      <c r="J91" s="9">
        <v>11</v>
      </c>
      <c r="K91" s="9">
        <v>3</v>
      </c>
      <c r="L91" s="9">
        <v>1</v>
      </c>
      <c r="M91" s="9">
        <v>1</v>
      </c>
      <c r="N91" s="9">
        <v>0</v>
      </c>
      <c r="O91" s="9">
        <v>12</v>
      </c>
      <c r="P91" s="9">
        <v>11</v>
      </c>
      <c r="Q91" s="9">
        <v>7</v>
      </c>
      <c r="R91" s="9">
        <v>6</v>
      </c>
      <c r="S91" s="9">
        <v>3</v>
      </c>
      <c r="T91" s="9">
        <v>7</v>
      </c>
      <c r="U91" s="9">
        <v>4</v>
      </c>
      <c r="V91" s="9">
        <v>1</v>
      </c>
      <c r="W91" s="9">
        <v>3</v>
      </c>
      <c r="X91" s="9">
        <v>8</v>
      </c>
      <c r="Y91" s="9">
        <v>7</v>
      </c>
      <c r="Z91" s="9">
        <v>1</v>
      </c>
      <c r="AA91" s="9">
        <v>0</v>
      </c>
      <c r="AB91" s="9">
        <v>2</v>
      </c>
      <c r="AC91" s="9">
        <v>17</v>
      </c>
      <c r="AD91" s="9">
        <v>15</v>
      </c>
      <c r="AE91" s="9">
        <v>14</v>
      </c>
      <c r="AF91" s="10"/>
      <c r="AG91" s="4">
        <f t="shared" si="13"/>
        <v>177</v>
      </c>
    </row>
    <row r="92" spans="1:35" ht="19.5" thickBot="1" x14ac:dyDescent="0.3">
      <c r="A92" s="105" t="s">
        <v>76</v>
      </c>
      <c r="B92" s="9">
        <v>6</v>
      </c>
      <c r="C92" s="9">
        <v>10</v>
      </c>
      <c r="D92" s="9">
        <v>4</v>
      </c>
      <c r="E92" s="9">
        <v>3</v>
      </c>
      <c r="F92" s="9">
        <v>2</v>
      </c>
      <c r="G92" s="9">
        <v>8</v>
      </c>
      <c r="H92" s="9"/>
      <c r="I92" s="9">
        <v>7</v>
      </c>
      <c r="J92" s="9">
        <v>11</v>
      </c>
      <c r="K92" s="9">
        <v>5</v>
      </c>
      <c r="L92" s="9">
        <v>3</v>
      </c>
      <c r="M92" s="9">
        <v>0</v>
      </c>
      <c r="N92" s="9">
        <v>0</v>
      </c>
      <c r="O92" s="9">
        <v>9</v>
      </c>
      <c r="P92" s="9">
        <v>2</v>
      </c>
      <c r="Q92" s="9">
        <v>2</v>
      </c>
      <c r="R92" s="9">
        <v>6</v>
      </c>
      <c r="S92" s="9">
        <v>7</v>
      </c>
      <c r="T92" s="9">
        <v>1</v>
      </c>
      <c r="U92" s="9">
        <v>3</v>
      </c>
      <c r="V92" s="9">
        <v>2</v>
      </c>
      <c r="W92" s="9">
        <v>4</v>
      </c>
      <c r="X92" s="9">
        <v>7</v>
      </c>
      <c r="Y92" s="9">
        <v>10</v>
      </c>
      <c r="Z92" s="9">
        <v>1</v>
      </c>
      <c r="AA92" s="9">
        <v>0</v>
      </c>
      <c r="AB92" s="9">
        <v>7</v>
      </c>
      <c r="AC92" s="9">
        <v>12</v>
      </c>
      <c r="AD92" s="9">
        <v>1</v>
      </c>
      <c r="AE92" s="9">
        <v>13</v>
      </c>
      <c r="AF92" s="10"/>
      <c r="AG92" s="4">
        <f t="shared" si="13"/>
        <v>146</v>
      </c>
    </row>
    <row r="93" spans="1:35" ht="18.75" x14ac:dyDescent="0.25">
      <c r="A93" s="73" t="s">
        <v>616</v>
      </c>
      <c r="B93" s="74">
        <f t="shared" ref="B93:AF93" si="15">+B94+B100</f>
        <v>207</v>
      </c>
      <c r="C93" s="74">
        <f t="shared" si="15"/>
        <v>194</v>
      </c>
      <c r="D93" s="74">
        <f t="shared" si="15"/>
        <v>193</v>
      </c>
      <c r="E93" s="74">
        <f t="shared" si="15"/>
        <v>161</v>
      </c>
      <c r="F93" s="74">
        <f t="shared" si="15"/>
        <v>129</v>
      </c>
      <c r="G93" s="74">
        <f t="shared" si="15"/>
        <v>138</v>
      </c>
      <c r="H93" s="74">
        <f t="shared" si="15"/>
        <v>108</v>
      </c>
      <c r="I93" s="74">
        <f t="shared" si="15"/>
        <v>133</v>
      </c>
      <c r="J93" s="74">
        <f t="shared" si="15"/>
        <v>207</v>
      </c>
      <c r="K93" s="74">
        <f t="shared" si="15"/>
        <v>211</v>
      </c>
      <c r="L93" s="74">
        <f t="shared" si="15"/>
        <v>172</v>
      </c>
      <c r="M93" s="74">
        <f t="shared" si="15"/>
        <v>110</v>
      </c>
      <c r="N93" s="74">
        <f t="shared" si="15"/>
        <v>137</v>
      </c>
      <c r="O93" s="74">
        <f t="shared" si="15"/>
        <v>127</v>
      </c>
      <c r="P93" s="74">
        <f t="shared" si="15"/>
        <v>146</v>
      </c>
      <c r="Q93" s="74">
        <f t="shared" si="15"/>
        <v>184</v>
      </c>
      <c r="R93" s="74">
        <f t="shared" si="15"/>
        <v>199</v>
      </c>
      <c r="S93" s="74">
        <f t="shared" si="15"/>
        <v>166</v>
      </c>
      <c r="T93" s="74">
        <f t="shared" si="15"/>
        <v>141</v>
      </c>
      <c r="U93" s="74">
        <f t="shared" si="15"/>
        <v>134</v>
      </c>
      <c r="V93" s="74">
        <f t="shared" si="15"/>
        <v>143</v>
      </c>
      <c r="W93" s="74">
        <f t="shared" si="15"/>
        <v>134</v>
      </c>
      <c r="X93" s="74">
        <f t="shared" si="15"/>
        <v>195</v>
      </c>
      <c r="Y93" s="74">
        <f t="shared" si="15"/>
        <v>200</v>
      </c>
      <c r="Z93" s="74">
        <f t="shared" si="15"/>
        <v>165</v>
      </c>
      <c r="AA93" s="74">
        <f t="shared" si="15"/>
        <v>137</v>
      </c>
      <c r="AB93" s="74">
        <f t="shared" si="15"/>
        <v>152</v>
      </c>
      <c r="AC93" s="74">
        <f t="shared" si="15"/>
        <v>159</v>
      </c>
      <c r="AD93" s="74">
        <f t="shared" si="15"/>
        <v>134</v>
      </c>
      <c r="AE93" s="74">
        <f t="shared" si="15"/>
        <v>201</v>
      </c>
      <c r="AF93" s="84">
        <f t="shared" si="15"/>
        <v>0</v>
      </c>
      <c r="AG93" s="150">
        <f t="shared" si="13"/>
        <v>4817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29</v>
      </c>
      <c r="C94" s="17">
        <f t="shared" si="16"/>
        <v>19</v>
      </c>
      <c r="D94" s="17">
        <f t="shared" si="16"/>
        <v>35</v>
      </c>
      <c r="E94" s="17">
        <f t="shared" si="16"/>
        <v>23</v>
      </c>
      <c r="F94" s="17">
        <f t="shared" si="16"/>
        <v>23</v>
      </c>
      <c r="G94" s="17">
        <f t="shared" si="16"/>
        <v>18</v>
      </c>
      <c r="H94" s="17">
        <f t="shared" si="16"/>
        <v>21</v>
      </c>
      <c r="I94" s="17">
        <f t="shared" si="16"/>
        <v>22</v>
      </c>
      <c r="J94" s="17">
        <f t="shared" si="16"/>
        <v>27</v>
      </c>
      <c r="K94" s="17">
        <f t="shared" si="16"/>
        <v>46</v>
      </c>
      <c r="L94" s="17">
        <f t="shared" si="16"/>
        <v>40</v>
      </c>
      <c r="M94" s="17">
        <f t="shared" si="16"/>
        <v>19</v>
      </c>
      <c r="N94" s="17">
        <f t="shared" si="16"/>
        <v>21</v>
      </c>
      <c r="O94" s="17">
        <f t="shared" si="16"/>
        <v>16</v>
      </c>
      <c r="P94" s="17">
        <f t="shared" si="16"/>
        <v>29</v>
      </c>
      <c r="Q94" s="17">
        <f t="shared" si="16"/>
        <v>32</v>
      </c>
      <c r="R94" s="17">
        <f t="shared" si="16"/>
        <v>47</v>
      </c>
      <c r="S94" s="17">
        <f t="shared" si="16"/>
        <v>34</v>
      </c>
      <c r="T94" s="17">
        <f t="shared" si="16"/>
        <v>21</v>
      </c>
      <c r="U94" s="17">
        <f t="shared" si="16"/>
        <v>19</v>
      </c>
      <c r="V94" s="17">
        <f t="shared" si="16"/>
        <v>25</v>
      </c>
      <c r="W94" s="17">
        <f t="shared" si="16"/>
        <v>20</v>
      </c>
      <c r="X94" s="17">
        <f t="shared" si="16"/>
        <v>34</v>
      </c>
      <c r="Y94" s="17">
        <f t="shared" si="16"/>
        <v>37</v>
      </c>
      <c r="Z94" s="17">
        <f t="shared" si="16"/>
        <v>34</v>
      </c>
      <c r="AA94" s="17">
        <f t="shared" si="16"/>
        <v>25</v>
      </c>
      <c r="AB94" s="17">
        <f t="shared" si="16"/>
        <v>28</v>
      </c>
      <c r="AC94" s="17">
        <f t="shared" si="16"/>
        <v>21</v>
      </c>
      <c r="AD94" s="17">
        <f t="shared" si="16"/>
        <v>25</v>
      </c>
      <c r="AE94" s="17">
        <f t="shared" si="16"/>
        <v>32</v>
      </c>
      <c r="AF94" s="18">
        <f t="shared" si="16"/>
        <v>0</v>
      </c>
      <c r="AG94" s="4">
        <f t="shared" si="13"/>
        <v>822</v>
      </c>
    </row>
    <row r="95" spans="1:35" ht="18.75" x14ac:dyDescent="0.25">
      <c r="A95" s="44" t="s">
        <v>81</v>
      </c>
      <c r="B95" s="7">
        <v>1</v>
      </c>
      <c r="C95" s="7">
        <v>2</v>
      </c>
      <c r="D95" s="7">
        <v>3</v>
      </c>
      <c r="E95" s="7"/>
      <c r="F95" s="7"/>
      <c r="G95" s="7"/>
      <c r="H95" s="7">
        <v>1</v>
      </c>
      <c r="I95" s="7">
        <v>1</v>
      </c>
      <c r="J95" s="7">
        <v>1</v>
      </c>
      <c r="K95" s="7"/>
      <c r="L95" s="7">
        <v>3</v>
      </c>
      <c r="M95" s="7">
        <v>2</v>
      </c>
      <c r="N95" s="7"/>
      <c r="O95" s="7"/>
      <c r="P95" s="7"/>
      <c r="Q95" s="7">
        <v>1</v>
      </c>
      <c r="R95" s="7">
        <v>6</v>
      </c>
      <c r="S95" s="7">
        <v>2</v>
      </c>
      <c r="T95" s="7"/>
      <c r="U95" s="7">
        <v>1</v>
      </c>
      <c r="V95" s="7">
        <v>2</v>
      </c>
      <c r="W95" s="7"/>
      <c r="X95" s="7">
        <v>3</v>
      </c>
      <c r="Y95" s="7">
        <v>2</v>
      </c>
      <c r="Z95" s="7">
        <v>1</v>
      </c>
      <c r="AA95" s="7">
        <v>3</v>
      </c>
      <c r="AB95" s="7"/>
      <c r="AC95" s="7">
        <v>1</v>
      </c>
      <c r="AD95" s="7">
        <v>1</v>
      </c>
      <c r="AE95" s="7">
        <v>1</v>
      </c>
      <c r="AF95" s="8"/>
      <c r="AG95" s="4">
        <f t="shared" si="13"/>
        <v>38</v>
      </c>
    </row>
    <row r="96" spans="1:35" ht="18.75" x14ac:dyDescent="0.25">
      <c r="A96" s="45" t="s">
        <v>82</v>
      </c>
      <c r="B96" s="7">
        <v>4</v>
      </c>
      <c r="C96" s="7">
        <v>1</v>
      </c>
      <c r="D96" s="7">
        <v>1</v>
      </c>
      <c r="E96" s="7">
        <v>4</v>
      </c>
      <c r="F96" s="7"/>
      <c r="G96" s="7">
        <v>1</v>
      </c>
      <c r="H96" s="7"/>
      <c r="I96" s="7"/>
      <c r="J96" s="7">
        <v>2</v>
      </c>
      <c r="K96" s="7">
        <v>5</v>
      </c>
      <c r="L96" s="7">
        <v>8</v>
      </c>
      <c r="M96" s="7">
        <v>1</v>
      </c>
      <c r="N96" s="7">
        <v>2</v>
      </c>
      <c r="O96" s="7">
        <v>3</v>
      </c>
      <c r="P96" s="7">
        <v>3</v>
      </c>
      <c r="Q96" s="7">
        <v>3</v>
      </c>
      <c r="R96" s="7">
        <v>6</v>
      </c>
      <c r="S96" s="141">
        <v>4</v>
      </c>
      <c r="T96" s="7">
        <v>1</v>
      </c>
      <c r="U96" s="7"/>
      <c r="V96" s="7">
        <v>1</v>
      </c>
      <c r="W96" s="7">
        <v>1</v>
      </c>
      <c r="X96" s="7">
        <v>6</v>
      </c>
      <c r="Y96" s="7">
        <v>3</v>
      </c>
      <c r="Z96" s="7">
        <v>2</v>
      </c>
      <c r="AA96" s="7"/>
      <c r="AB96" s="7">
        <v>3</v>
      </c>
      <c r="AC96" s="7">
        <v>2</v>
      </c>
      <c r="AD96" s="7">
        <v>3</v>
      </c>
      <c r="AE96" s="7">
        <v>2</v>
      </c>
      <c r="AF96" s="8"/>
      <c r="AG96" s="4">
        <f t="shared" si="13"/>
        <v>72</v>
      </c>
    </row>
    <row r="97" spans="1:33" ht="18.75" x14ac:dyDescent="0.25">
      <c r="A97" s="46" t="s">
        <v>70</v>
      </c>
      <c r="B97" s="7">
        <v>14</v>
      </c>
      <c r="C97" s="7">
        <v>7</v>
      </c>
      <c r="D97" s="7">
        <v>9</v>
      </c>
      <c r="E97" s="7">
        <v>6</v>
      </c>
      <c r="F97" s="7">
        <v>4</v>
      </c>
      <c r="G97" s="7">
        <v>4</v>
      </c>
      <c r="H97" s="7">
        <v>5</v>
      </c>
      <c r="I97" s="7">
        <v>6</v>
      </c>
      <c r="J97" s="7">
        <v>6</v>
      </c>
      <c r="K97" s="7">
        <v>13</v>
      </c>
      <c r="L97" s="7">
        <v>10</v>
      </c>
      <c r="M97" s="7">
        <v>2</v>
      </c>
      <c r="N97" s="7">
        <v>3</v>
      </c>
      <c r="O97" s="7">
        <v>3</v>
      </c>
      <c r="P97" s="7">
        <v>9</v>
      </c>
      <c r="Q97" s="7">
        <v>8</v>
      </c>
      <c r="R97" s="7">
        <v>10</v>
      </c>
      <c r="S97" s="7">
        <v>9</v>
      </c>
      <c r="T97" s="7">
        <v>2</v>
      </c>
      <c r="U97" s="7">
        <v>3</v>
      </c>
      <c r="V97" s="7">
        <v>5</v>
      </c>
      <c r="W97" s="7">
        <v>3</v>
      </c>
      <c r="X97" s="7">
        <v>6</v>
      </c>
      <c r="Y97" s="7">
        <v>7</v>
      </c>
      <c r="Z97" s="7">
        <v>8</v>
      </c>
      <c r="AA97" s="7">
        <v>7</v>
      </c>
      <c r="AB97" s="7">
        <v>3</v>
      </c>
      <c r="AC97" s="7">
        <v>7</v>
      </c>
      <c r="AD97" s="7">
        <v>8</v>
      </c>
      <c r="AE97" s="7">
        <v>9</v>
      </c>
      <c r="AF97" s="8"/>
      <c r="AG97" s="4">
        <f t="shared" si="13"/>
        <v>196</v>
      </c>
    </row>
    <row r="98" spans="1:33" ht="18.75" x14ac:dyDescent="0.25">
      <c r="A98" s="47" t="s">
        <v>6</v>
      </c>
      <c r="B98" s="7">
        <v>6</v>
      </c>
      <c r="C98" s="7">
        <v>6</v>
      </c>
      <c r="D98" s="7">
        <v>15</v>
      </c>
      <c r="E98" s="7">
        <v>7</v>
      </c>
      <c r="F98" s="7">
        <v>6</v>
      </c>
      <c r="G98" s="7">
        <v>8</v>
      </c>
      <c r="H98" s="7">
        <v>6</v>
      </c>
      <c r="I98" s="7">
        <v>11</v>
      </c>
      <c r="J98" s="7">
        <v>11</v>
      </c>
      <c r="K98" s="7">
        <v>20</v>
      </c>
      <c r="L98" s="7">
        <v>9</v>
      </c>
      <c r="M98" s="7">
        <v>5</v>
      </c>
      <c r="N98" s="7">
        <v>8</v>
      </c>
      <c r="O98" s="7">
        <v>7</v>
      </c>
      <c r="P98" s="7">
        <v>6</v>
      </c>
      <c r="Q98" s="7">
        <v>12</v>
      </c>
      <c r="R98" s="7">
        <v>10</v>
      </c>
      <c r="S98" s="7">
        <v>10</v>
      </c>
      <c r="T98" s="7">
        <v>8</v>
      </c>
      <c r="U98" s="7">
        <v>9</v>
      </c>
      <c r="V98" s="7">
        <v>7</v>
      </c>
      <c r="W98" s="7">
        <v>7</v>
      </c>
      <c r="X98" s="7">
        <v>12</v>
      </c>
      <c r="Y98" s="7">
        <v>13</v>
      </c>
      <c r="Z98" s="7">
        <v>14</v>
      </c>
      <c r="AA98" s="7">
        <v>7</v>
      </c>
      <c r="AB98" s="7">
        <v>13</v>
      </c>
      <c r="AC98" s="7">
        <v>6</v>
      </c>
      <c r="AD98" s="7">
        <v>7</v>
      </c>
      <c r="AE98" s="7">
        <v>10</v>
      </c>
      <c r="AF98" s="8"/>
      <c r="AG98" s="4">
        <f t="shared" si="13"/>
        <v>276</v>
      </c>
    </row>
    <row r="99" spans="1:33" ht="18.75" x14ac:dyDescent="0.25">
      <c r="A99" s="48" t="s">
        <v>7</v>
      </c>
      <c r="B99" s="7">
        <v>4</v>
      </c>
      <c r="C99" s="7">
        <v>3</v>
      </c>
      <c r="D99" s="7">
        <v>7</v>
      </c>
      <c r="E99" s="7">
        <v>6</v>
      </c>
      <c r="F99" s="7">
        <v>13</v>
      </c>
      <c r="G99" s="7">
        <v>5</v>
      </c>
      <c r="H99" s="7">
        <v>9</v>
      </c>
      <c r="I99" s="7">
        <v>4</v>
      </c>
      <c r="J99" s="7">
        <v>7</v>
      </c>
      <c r="K99" s="7">
        <v>8</v>
      </c>
      <c r="L99" s="7">
        <v>10</v>
      </c>
      <c r="M99" s="7">
        <v>9</v>
      </c>
      <c r="N99" s="7">
        <v>8</v>
      </c>
      <c r="O99" s="7">
        <v>3</v>
      </c>
      <c r="P99" s="7">
        <v>11</v>
      </c>
      <c r="Q99" s="7">
        <v>8</v>
      </c>
      <c r="R99" s="7">
        <v>15</v>
      </c>
      <c r="S99" s="7">
        <v>9</v>
      </c>
      <c r="T99" s="7">
        <v>10</v>
      </c>
      <c r="U99" s="7">
        <v>6</v>
      </c>
      <c r="V99" s="7">
        <v>10</v>
      </c>
      <c r="W99" s="7">
        <v>9</v>
      </c>
      <c r="X99" s="7">
        <v>7</v>
      </c>
      <c r="Y99" s="7">
        <v>12</v>
      </c>
      <c r="Z99" s="7">
        <v>9</v>
      </c>
      <c r="AA99" s="7">
        <v>8</v>
      </c>
      <c r="AB99" s="7">
        <v>9</v>
      </c>
      <c r="AC99" s="7">
        <v>5</v>
      </c>
      <c r="AD99" s="7">
        <v>6</v>
      </c>
      <c r="AE99" s="7">
        <v>10</v>
      </c>
      <c r="AF99" s="8"/>
      <c r="AG99" s="4">
        <f t="shared" si="13"/>
        <v>240</v>
      </c>
    </row>
    <row r="100" spans="1:33" ht="18.75" x14ac:dyDescent="0.25">
      <c r="A100" s="42" t="s">
        <v>66</v>
      </c>
      <c r="B100" s="17">
        <f t="shared" ref="B100:AF100" si="17">SUM(B101:B115)</f>
        <v>178</v>
      </c>
      <c r="C100" s="17">
        <f t="shared" si="17"/>
        <v>175</v>
      </c>
      <c r="D100" s="17">
        <f t="shared" si="17"/>
        <v>158</v>
      </c>
      <c r="E100" s="17">
        <f t="shared" si="17"/>
        <v>138</v>
      </c>
      <c r="F100" s="17">
        <f t="shared" si="17"/>
        <v>106</v>
      </c>
      <c r="G100" s="17">
        <f t="shared" si="17"/>
        <v>120</v>
      </c>
      <c r="H100" s="17">
        <f t="shared" si="17"/>
        <v>87</v>
      </c>
      <c r="I100" s="17">
        <f t="shared" si="17"/>
        <v>111</v>
      </c>
      <c r="J100" s="17">
        <f t="shared" si="17"/>
        <v>180</v>
      </c>
      <c r="K100" s="17">
        <f t="shared" si="17"/>
        <v>165</v>
      </c>
      <c r="L100" s="17">
        <f t="shared" si="17"/>
        <v>132</v>
      </c>
      <c r="M100" s="17">
        <f t="shared" si="17"/>
        <v>91</v>
      </c>
      <c r="N100" s="17">
        <f t="shared" si="17"/>
        <v>116</v>
      </c>
      <c r="O100" s="17">
        <f t="shared" si="17"/>
        <v>111</v>
      </c>
      <c r="P100" s="17">
        <f t="shared" si="17"/>
        <v>117</v>
      </c>
      <c r="Q100" s="17">
        <f t="shared" si="17"/>
        <v>152</v>
      </c>
      <c r="R100" s="17">
        <f t="shared" si="17"/>
        <v>152</v>
      </c>
      <c r="S100" s="17">
        <f t="shared" si="17"/>
        <v>132</v>
      </c>
      <c r="T100" s="17">
        <f t="shared" si="17"/>
        <v>120</v>
      </c>
      <c r="U100" s="17">
        <f t="shared" si="17"/>
        <v>115</v>
      </c>
      <c r="V100" s="17">
        <f t="shared" si="17"/>
        <v>118</v>
      </c>
      <c r="W100" s="17">
        <f t="shared" si="17"/>
        <v>114</v>
      </c>
      <c r="X100" s="17">
        <f t="shared" si="17"/>
        <v>161</v>
      </c>
      <c r="Y100" s="17">
        <f t="shared" si="17"/>
        <v>163</v>
      </c>
      <c r="Z100" s="17">
        <f t="shared" si="17"/>
        <v>131</v>
      </c>
      <c r="AA100" s="17">
        <f t="shared" si="17"/>
        <v>112</v>
      </c>
      <c r="AB100" s="17">
        <f t="shared" si="17"/>
        <v>124</v>
      </c>
      <c r="AC100" s="17">
        <f t="shared" si="17"/>
        <v>138</v>
      </c>
      <c r="AD100" s="17">
        <f t="shared" si="17"/>
        <v>109</v>
      </c>
      <c r="AE100" s="17">
        <f t="shared" si="17"/>
        <v>169</v>
      </c>
      <c r="AF100" s="18">
        <f t="shared" si="17"/>
        <v>0</v>
      </c>
      <c r="AG100" s="4">
        <f t="shared" si="13"/>
        <v>3995</v>
      </c>
    </row>
    <row r="101" spans="1:33" ht="18.75" x14ac:dyDescent="0.25">
      <c r="A101" s="48" t="s">
        <v>8</v>
      </c>
      <c r="B101" s="7">
        <v>9</v>
      </c>
      <c r="C101" s="7">
        <v>11</v>
      </c>
      <c r="D101" s="7">
        <v>10</v>
      </c>
      <c r="E101" s="7">
        <v>10</v>
      </c>
      <c r="F101" s="7">
        <v>6</v>
      </c>
      <c r="G101" s="7">
        <v>11</v>
      </c>
      <c r="H101" s="7">
        <v>9</v>
      </c>
      <c r="I101" s="7">
        <v>5</v>
      </c>
      <c r="J101" s="7">
        <v>12</v>
      </c>
      <c r="K101" s="7">
        <v>15</v>
      </c>
      <c r="L101" s="7">
        <v>9</v>
      </c>
      <c r="M101" s="7">
        <v>5</v>
      </c>
      <c r="N101" s="7">
        <v>14</v>
      </c>
      <c r="O101" s="7">
        <v>9</v>
      </c>
      <c r="P101" s="7">
        <v>11</v>
      </c>
      <c r="Q101" s="7">
        <v>16</v>
      </c>
      <c r="R101" s="7">
        <v>8</v>
      </c>
      <c r="S101" s="7">
        <v>13</v>
      </c>
      <c r="T101" s="7">
        <v>14</v>
      </c>
      <c r="U101" s="7">
        <v>14</v>
      </c>
      <c r="V101" s="7">
        <v>8</v>
      </c>
      <c r="W101" s="7">
        <v>11</v>
      </c>
      <c r="X101" s="7">
        <v>8</v>
      </c>
      <c r="Y101" s="7">
        <v>13</v>
      </c>
      <c r="Z101" s="7">
        <v>11</v>
      </c>
      <c r="AA101" s="7">
        <v>8</v>
      </c>
      <c r="AB101" s="7">
        <v>13</v>
      </c>
      <c r="AC101" s="7">
        <v>10</v>
      </c>
      <c r="AD101" s="7">
        <v>11</v>
      </c>
      <c r="AE101" s="7">
        <v>8</v>
      </c>
      <c r="AF101" s="8"/>
      <c r="AG101" s="4">
        <f t="shared" si="13"/>
        <v>312</v>
      </c>
    </row>
    <row r="102" spans="1:33" ht="18.75" x14ac:dyDescent="0.25">
      <c r="A102" s="48" t="s">
        <v>9</v>
      </c>
      <c r="B102" s="7">
        <v>23</v>
      </c>
      <c r="C102" s="7">
        <v>13</v>
      </c>
      <c r="D102" s="7">
        <v>9</v>
      </c>
      <c r="E102" s="7">
        <v>12</v>
      </c>
      <c r="F102" s="7">
        <v>14</v>
      </c>
      <c r="G102" s="7">
        <v>12</v>
      </c>
      <c r="H102" s="7">
        <v>8</v>
      </c>
      <c r="I102" s="7">
        <v>14</v>
      </c>
      <c r="J102" s="7">
        <v>14</v>
      </c>
      <c r="K102" s="7">
        <v>25</v>
      </c>
      <c r="L102" s="7">
        <v>16</v>
      </c>
      <c r="M102" s="7">
        <v>15</v>
      </c>
      <c r="N102" s="7">
        <v>16</v>
      </c>
      <c r="O102" s="7">
        <v>17</v>
      </c>
      <c r="P102" s="7">
        <v>20</v>
      </c>
      <c r="Q102" s="7">
        <v>11</v>
      </c>
      <c r="R102" s="7">
        <v>14</v>
      </c>
      <c r="S102" s="7">
        <v>13</v>
      </c>
      <c r="T102" s="7">
        <v>20</v>
      </c>
      <c r="U102" s="7">
        <v>16</v>
      </c>
      <c r="V102" s="7">
        <v>17</v>
      </c>
      <c r="W102" s="7">
        <v>13</v>
      </c>
      <c r="X102" s="7">
        <v>16</v>
      </c>
      <c r="Y102" s="7">
        <v>15</v>
      </c>
      <c r="Z102" s="7">
        <v>13</v>
      </c>
      <c r="AA102" s="7">
        <v>18</v>
      </c>
      <c r="AB102" s="7">
        <v>12</v>
      </c>
      <c r="AC102" s="7">
        <v>10</v>
      </c>
      <c r="AD102" s="7">
        <v>12</v>
      </c>
      <c r="AE102" s="7">
        <v>15</v>
      </c>
      <c r="AF102" s="8"/>
      <c r="AG102" s="4">
        <f t="shared" si="13"/>
        <v>443</v>
      </c>
    </row>
    <row r="103" spans="1:33" ht="18.75" x14ac:dyDescent="0.25">
      <c r="A103" s="49" t="s">
        <v>10</v>
      </c>
      <c r="B103" s="7">
        <v>19</v>
      </c>
      <c r="C103" s="7">
        <v>14</v>
      </c>
      <c r="D103" s="7">
        <v>16</v>
      </c>
      <c r="E103" s="7">
        <v>18</v>
      </c>
      <c r="F103" s="7">
        <v>6</v>
      </c>
      <c r="G103" s="7">
        <v>15</v>
      </c>
      <c r="H103" s="7">
        <v>4</v>
      </c>
      <c r="I103" s="7">
        <v>12</v>
      </c>
      <c r="J103" s="7">
        <v>13</v>
      </c>
      <c r="K103" s="7">
        <v>12</v>
      </c>
      <c r="L103" s="7">
        <v>12</v>
      </c>
      <c r="M103" s="7">
        <v>10</v>
      </c>
      <c r="N103" s="7">
        <v>20</v>
      </c>
      <c r="O103" s="7">
        <v>9</v>
      </c>
      <c r="P103" s="7">
        <v>7</v>
      </c>
      <c r="Q103" s="7">
        <v>12</v>
      </c>
      <c r="R103" s="7">
        <v>11</v>
      </c>
      <c r="S103" s="7">
        <v>18</v>
      </c>
      <c r="T103" s="7">
        <v>13</v>
      </c>
      <c r="U103" s="7">
        <v>11</v>
      </c>
      <c r="V103" s="7">
        <v>10</v>
      </c>
      <c r="W103" s="7">
        <v>15</v>
      </c>
      <c r="X103" s="7">
        <v>13</v>
      </c>
      <c r="Y103" s="7">
        <v>12</v>
      </c>
      <c r="Z103" s="7">
        <v>13</v>
      </c>
      <c r="AA103" s="7">
        <v>14</v>
      </c>
      <c r="AB103" s="7">
        <v>8</v>
      </c>
      <c r="AC103" s="7">
        <v>10</v>
      </c>
      <c r="AD103" s="7">
        <v>8</v>
      </c>
      <c r="AE103" s="7">
        <v>16</v>
      </c>
      <c r="AF103" s="8"/>
      <c r="AG103" s="4">
        <f t="shared" si="13"/>
        <v>371</v>
      </c>
    </row>
    <row r="104" spans="1:33" ht="18.75" x14ac:dyDescent="0.25">
      <c r="A104" s="49" t="s">
        <v>11</v>
      </c>
      <c r="B104" s="7">
        <v>16</v>
      </c>
      <c r="C104" s="7">
        <v>13</v>
      </c>
      <c r="D104" s="7">
        <v>13</v>
      </c>
      <c r="E104" s="7">
        <v>8</v>
      </c>
      <c r="F104" s="7">
        <v>6</v>
      </c>
      <c r="G104" s="7">
        <v>7</v>
      </c>
      <c r="H104" s="7">
        <v>9</v>
      </c>
      <c r="I104" s="7">
        <v>7</v>
      </c>
      <c r="J104" s="7">
        <v>15</v>
      </c>
      <c r="K104" s="7">
        <v>12</v>
      </c>
      <c r="L104" s="7">
        <v>9</v>
      </c>
      <c r="M104" s="7">
        <v>5</v>
      </c>
      <c r="N104" s="7">
        <v>9</v>
      </c>
      <c r="O104" s="7">
        <v>8</v>
      </c>
      <c r="P104" s="7">
        <v>15</v>
      </c>
      <c r="Q104" s="7">
        <v>7</v>
      </c>
      <c r="R104" s="7">
        <v>14</v>
      </c>
      <c r="S104" s="7">
        <v>9</v>
      </c>
      <c r="T104" s="7">
        <v>12</v>
      </c>
      <c r="U104" s="7">
        <v>9</v>
      </c>
      <c r="V104" s="7">
        <v>8</v>
      </c>
      <c r="W104" s="7">
        <v>7</v>
      </c>
      <c r="X104" s="7">
        <v>9</v>
      </c>
      <c r="Y104" s="7">
        <v>11</v>
      </c>
      <c r="Z104" s="7">
        <v>15</v>
      </c>
      <c r="AA104" s="7">
        <v>8</v>
      </c>
      <c r="AB104" s="7">
        <v>13</v>
      </c>
      <c r="AC104" s="7">
        <v>20</v>
      </c>
      <c r="AD104" s="7">
        <v>9</v>
      </c>
      <c r="AE104" s="7">
        <v>11</v>
      </c>
      <c r="AF104" s="8"/>
      <c r="AG104" s="4">
        <f t="shared" si="13"/>
        <v>314</v>
      </c>
    </row>
    <row r="105" spans="1:33" ht="18.75" x14ac:dyDescent="0.25">
      <c r="A105" s="49" t="s">
        <v>12</v>
      </c>
      <c r="B105" s="7">
        <v>13</v>
      </c>
      <c r="C105" s="7">
        <v>18</v>
      </c>
      <c r="D105" s="7">
        <v>14</v>
      </c>
      <c r="E105" s="7">
        <v>9</v>
      </c>
      <c r="F105" s="7">
        <v>11</v>
      </c>
      <c r="G105" s="7">
        <v>6</v>
      </c>
      <c r="H105" s="7">
        <v>2</v>
      </c>
      <c r="I105" s="7">
        <v>7</v>
      </c>
      <c r="J105" s="7">
        <v>12</v>
      </c>
      <c r="K105" s="7">
        <v>7</v>
      </c>
      <c r="L105" s="7">
        <v>7</v>
      </c>
      <c r="M105" s="7">
        <v>9</v>
      </c>
      <c r="N105" s="7">
        <v>4</v>
      </c>
      <c r="O105" s="7">
        <v>7</v>
      </c>
      <c r="P105" s="7">
        <v>10</v>
      </c>
      <c r="Q105" s="7">
        <v>9</v>
      </c>
      <c r="R105" s="7">
        <v>6</v>
      </c>
      <c r="S105" s="7">
        <v>7</v>
      </c>
      <c r="T105" s="7">
        <v>7</v>
      </c>
      <c r="U105" s="7">
        <v>7</v>
      </c>
      <c r="V105" s="7">
        <v>16</v>
      </c>
      <c r="W105" s="7">
        <v>9</v>
      </c>
      <c r="X105" s="7">
        <v>10</v>
      </c>
      <c r="Y105" s="7">
        <v>12</v>
      </c>
      <c r="Z105" s="7">
        <v>12</v>
      </c>
      <c r="AA105" s="7">
        <v>8</v>
      </c>
      <c r="AB105" s="7">
        <v>8</v>
      </c>
      <c r="AC105" s="7">
        <v>14</v>
      </c>
      <c r="AD105" s="7">
        <v>6</v>
      </c>
      <c r="AE105" s="7">
        <v>10</v>
      </c>
      <c r="AF105" s="8"/>
      <c r="AG105" s="4">
        <f t="shared" si="13"/>
        <v>277</v>
      </c>
    </row>
    <row r="106" spans="1:33" ht="18.75" x14ac:dyDescent="0.25">
      <c r="A106" s="49" t="s">
        <v>13</v>
      </c>
      <c r="B106" s="7">
        <v>10</v>
      </c>
      <c r="C106" s="7">
        <v>8</v>
      </c>
      <c r="D106" s="7">
        <v>8</v>
      </c>
      <c r="E106" s="7">
        <v>12</v>
      </c>
      <c r="F106" s="7">
        <v>8</v>
      </c>
      <c r="G106" s="7">
        <v>14</v>
      </c>
      <c r="H106" s="7">
        <v>5</v>
      </c>
      <c r="I106" s="7">
        <v>5</v>
      </c>
      <c r="J106" s="7">
        <v>6</v>
      </c>
      <c r="K106" s="7">
        <v>9</v>
      </c>
      <c r="L106" s="7">
        <v>12</v>
      </c>
      <c r="M106" s="7">
        <v>6</v>
      </c>
      <c r="N106" s="7">
        <v>9</v>
      </c>
      <c r="O106" s="7">
        <v>11</v>
      </c>
      <c r="P106" s="7">
        <v>5</v>
      </c>
      <c r="Q106" s="7">
        <v>12</v>
      </c>
      <c r="R106" s="7">
        <v>8</v>
      </c>
      <c r="S106" s="7">
        <v>9</v>
      </c>
      <c r="T106" s="7">
        <v>4</v>
      </c>
      <c r="U106" s="7">
        <v>6</v>
      </c>
      <c r="V106" s="7">
        <v>6</v>
      </c>
      <c r="W106" s="7">
        <v>8</v>
      </c>
      <c r="X106" s="7">
        <v>9</v>
      </c>
      <c r="Y106" s="7">
        <v>8</v>
      </c>
      <c r="Z106" s="7">
        <v>8</v>
      </c>
      <c r="AA106" s="7">
        <v>7</v>
      </c>
      <c r="AB106" s="7">
        <v>7</v>
      </c>
      <c r="AC106" s="7">
        <v>5</v>
      </c>
      <c r="AD106" s="7">
        <v>6</v>
      </c>
      <c r="AE106" s="7">
        <v>12</v>
      </c>
      <c r="AF106" s="8"/>
      <c r="AG106" s="4">
        <f t="shared" si="13"/>
        <v>243</v>
      </c>
    </row>
    <row r="107" spans="1:33" ht="18.75" x14ac:dyDescent="0.25">
      <c r="A107" s="49" t="s">
        <v>14</v>
      </c>
      <c r="B107" s="7">
        <v>14</v>
      </c>
      <c r="C107" s="7">
        <v>20</v>
      </c>
      <c r="D107" s="7">
        <v>13</v>
      </c>
      <c r="E107" s="7">
        <v>10</v>
      </c>
      <c r="F107" s="7">
        <v>7</v>
      </c>
      <c r="G107" s="7">
        <v>8</v>
      </c>
      <c r="H107" s="7">
        <v>8</v>
      </c>
      <c r="I107" s="7">
        <v>7</v>
      </c>
      <c r="J107" s="7">
        <v>14</v>
      </c>
      <c r="K107" s="7">
        <v>14</v>
      </c>
      <c r="L107" s="7">
        <v>14</v>
      </c>
      <c r="M107" s="7">
        <v>8</v>
      </c>
      <c r="N107" s="7">
        <v>4</v>
      </c>
      <c r="O107" s="7">
        <v>10</v>
      </c>
      <c r="P107" s="7">
        <v>6</v>
      </c>
      <c r="Q107" s="7">
        <v>10</v>
      </c>
      <c r="R107" s="7">
        <v>12</v>
      </c>
      <c r="S107" s="7">
        <v>6</v>
      </c>
      <c r="T107" s="7">
        <v>4</v>
      </c>
      <c r="U107" s="7">
        <v>8</v>
      </c>
      <c r="V107" s="7">
        <v>8</v>
      </c>
      <c r="W107" s="7">
        <v>7</v>
      </c>
      <c r="X107" s="7">
        <v>11</v>
      </c>
      <c r="Y107" s="7">
        <v>15</v>
      </c>
      <c r="Z107" s="7">
        <v>8</v>
      </c>
      <c r="AA107" s="7">
        <v>3</v>
      </c>
      <c r="AB107" s="7">
        <v>8</v>
      </c>
      <c r="AC107" s="7">
        <v>9</v>
      </c>
      <c r="AD107" s="7">
        <v>13</v>
      </c>
      <c r="AE107" s="7">
        <v>19</v>
      </c>
      <c r="AF107" s="8"/>
      <c r="AG107" s="4">
        <f t="shared" si="13"/>
        <v>298</v>
      </c>
    </row>
    <row r="108" spans="1:33" ht="18.75" x14ac:dyDescent="0.25">
      <c r="A108" s="49" t="s">
        <v>15</v>
      </c>
      <c r="B108" s="7">
        <v>13</v>
      </c>
      <c r="C108" s="7">
        <v>19</v>
      </c>
      <c r="D108" s="7">
        <v>18</v>
      </c>
      <c r="E108" s="7">
        <v>16</v>
      </c>
      <c r="F108" s="7">
        <v>16</v>
      </c>
      <c r="G108" s="7">
        <v>11</v>
      </c>
      <c r="H108" s="7">
        <v>9</v>
      </c>
      <c r="I108" s="7">
        <v>6</v>
      </c>
      <c r="J108" s="7">
        <v>19</v>
      </c>
      <c r="K108" s="7">
        <v>16</v>
      </c>
      <c r="L108" s="7">
        <v>9</v>
      </c>
      <c r="M108" s="7">
        <v>9</v>
      </c>
      <c r="N108" s="7">
        <v>9</v>
      </c>
      <c r="O108" s="7">
        <v>8</v>
      </c>
      <c r="P108" s="7">
        <v>10</v>
      </c>
      <c r="Q108" s="7">
        <v>15</v>
      </c>
      <c r="R108" s="7">
        <v>20</v>
      </c>
      <c r="S108" s="7">
        <v>10</v>
      </c>
      <c r="T108" s="7">
        <v>7</v>
      </c>
      <c r="U108" s="7">
        <v>6</v>
      </c>
      <c r="V108" s="7">
        <v>10</v>
      </c>
      <c r="W108" s="7">
        <v>6</v>
      </c>
      <c r="X108" s="7">
        <v>9</v>
      </c>
      <c r="Y108" s="7">
        <v>15</v>
      </c>
      <c r="Z108" s="7">
        <v>18</v>
      </c>
      <c r="AA108" s="7">
        <v>10</v>
      </c>
      <c r="AB108" s="7">
        <v>12</v>
      </c>
      <c r="AC108" s="7">
        <v>11</v>
      </c>
      <c r="AD108" s="7">
        <v>6</v>
      </c>
      <c r="AE108" s="7">
        <v>14</v>
      </c>
      <c r="AF108" s="8"/>
      <c r="AG108" s="4">
        <f t="shared" si="13"/>
        <v>357</v>
      </c>
    </row>
    <row r="109" spans="1:33" ht="18.75" x14ac:dyDescent="0.25">
      <c r="A109" s="49" t="s">
        <v>16</v>
      </c>
      <c r="B109" s="7">
        <v>12</v>
      </c>
      <c r="C109" s="7">
        <v>13</v>
      </c>
      <c r="D109" s="7">
        <v>16</v>
      </c>
      <c r="E109" s="7">
        <v>8</v>
      </c>
      <c r="F109" s="7">
        <v>7</v>
      </c>
      <c r="G109" s="7">
        <v>6</v>
      </c>
      <c r="H109" s="7">
        <v>7</v>
      </c>
      <c r="I109" s="7">
        <v>6</v>
      </c>
      <c r="J109" s="7">
        <v>11</v>
      </c>
      <c r="K109" s="7">
        <v>14</v>
      </c>
      <c r="L109" s="7">
        <v>7</v>
      </c>
      <c r="M109" s="7">
        <v>4</v>
      </c>
      <c r="N109" s="7">
        <v>8</v>
      </c>
      <c r="O109" s="7">
        <v>5</v>
      </c>
      <c r="P109" s="7">
        <v>6</v>
      </c>
      <c r="Q109" s="7">
        <v>19</v>
      </c>
      <c r="R109" s="7">
        <v>13</v>
      </c>
      <c r="S109" s="7">
        <v>11</v>
      </c>
      <c r="T109" s="7">
        <v>13</v>
      </c>
      <c r="U109" s="7">
        <v>16</v>
      </c>
      <c r="V109" s="7">
        <v>7</v>
      </c>
      <c r="W109" s="7">
        <v>11</v>
      </c>
      <c r="X109" s="7">
        <v>14</v>
      </c>
      <c r="Y109" s="7">
        <v>16</v>
      </c>
      <c r="Z109" s="7">
        <v>12</v>
      </c>
      <c r="AA109" s="7">
        <v>12</v>
      </c>
      <c r="AB109" s="7">
        <v>9</v>
      </c>
      <c r="AC109" s="7">
        <v>10</v>
      </c>
      <c r="AD109" s="7">
        <v>11</v>
      </c>
      <c r="AE109" s="7">
        <v>11</v>
      </c>
      <c r="AF109" s="8"/>
      <c r="AG109" s="4">
        <f t="shared" si="13"/>
        <v>315</v>
      </c>
    </row>
    <row r="110" spans="1:33" ht="18.75" x14ac:dyDescent="0.25">
      <c r="A110" s="49" t="s">
        <v>17</v>
      </c>
      <c r="B110" s="7">
        <v>9</v>
      </c>
      <c r="C110" s="7">
        <v>11</v>
      </c>
      <c r="D110" s="7">
        <v>8</v>
      </c>
      <c r="E110" s="7">
        <v>15</v>
      </c>
      <c r="F110" s="7">
        <v>8</v>
      </c>
      <c r="G110" s="7">
        <v>10</v>
      </c>
      <c r="H110" s="7">
        <v>13</v>
      </c>
      <c r="I110" s="7">
        <v>8</v>
      </c>
      <c r="J110" s="7">
        <v>15</v>
      </c>
      <c r="K110" s="7">
        <v>15</v>
      </c>
      <c r="L110" s="7">
        <v>10</v>
      </c>
      <c r="M110" s="7">
        <v>7</v>
      </c>
      <c r="N110" s="7">
        <v>7</v>
      </c>
      <c r="O110" s="7">
        <v>3</v>
      </c>
      <c r="P110" s="7">
        <v>7</v>
      </c>
      <c r="Q110" s="7">
        <v>13</v>
      </c>
      <c r="R110" s="7">
        <v>14</v>
      </c>
      <c r="S110" s="7">
        <v>10</v>
      </c>
      <c r="T110" s="7">
        <v>8</v>
      </c>
      <c r="U110" s="7">
        <v>4</v>
      </c>
      <c r="V110" s="7">
        <v>9</v>
      </c>
      <c r="W110" s="7">
        <v>6</v>
      </c>
      <c r="X110" s="7">
        <v>16</v>
      </c>
      <c r="Y110" s="7">
        <v>11</v>
      </c>
      <c r="Z110" s="7">
        <v>5</v>
      </c>
      <c r="AA110" s="7">
        <v>6</v>
      </c>
      <c r="AB110" s="7">
        <v>10</v>
      </c>
      <c r="AC110" s="7">
        <v>8</v>
      </c>
      <c r="AD110" s="7">
        <v>7</v>
      </c>
      <c r="AE110" s="7">
        <v>12</v>
      </c>
      <c r="AF110" s="8"/>
      <c r="AG110" s="4">
        <f t="shared" si="13"/>
        <v>285</v>
      </c>
    </row>
    <row r="111" spans="1:33" ht="18.75" x14ac:dyDescent="0.25">
      <c r="A111" s="49" t="s">
        <v>18</v>
      </c>
      <c r="B111" s="7">
        <v>11</v>
      </c>
      <c r="C111" s="7">
        <v>13</v>
      </c>
      <c r="D111" s="7">
        <v>10</v>
      </c>
      <c r="E111" s="7">
        <v>6</v>
      </c>
      <c r="F111" s="7">
        <v>4</v>
      </c>
      <c r="G111" s="7">
        <v>2</v>
      </c>
      <c r="H111" s="7">
        <v>5</v>
      </c>
      <c r="I111" s="7">
        <v>12</v>
      </c>
      <c r="J111" s="7">
        <v>14</v>
      </c>
      <c r="K111" s="7">
        <v>5</v>
      </c>
      <c r="L111" s="7">
        <v>10</v>
      </c>
      <c r="M111" s="7">
        <v>6</v>
      </c>
      <c r="N111" s="7">
        <v>3</v>
      </c>
      <c r="O111" s="7">
        <v>7</v>
      </c>
      <c r="P111" s="7">
        <v>3</v>
      </c>
      <c r="Q111" s="7">
        <v>6</v>
      </c>
      <c r="R111" s="7">
        <v>11</v>
      </c>
      <c r="S111" s="7">
        <v>10</v>
      </c>
      <c r="T111" s="7">
        <v>7</v>
      </c>
      <c r="U111" s="7">
        <v>3</v>
      </c>
      <c r="V111" s="7">
        <v>5</v>
      </c>
      <c r="W111" s="7">
        <v>6</v>
      </c>
      <c r="X111" s="7">
        <v>15</v>
      </c>
      <c r="Y111" s="7">
        <v>5</v>
      </c>
      <c r="Z111" s="7">
        <v>7</v>
      </c>
      <c r="AA111" s="7">
        <v>6</v>
      </c>
      <c r="AB111" s="7">
        <v>9</v>
      </c>
      <c r="AC111" s="7">
        <v>6</v>
      </c>
      <c r="AD111" s="7">
        <v>5</v>
      </c>
      <c r="AE111" s="7">
        <v>13</v>
      </c>
      <c r="AF111" s="8"/>
      <c r="AG111" s="4">
        <f t="shared" si="13"/>
        <v>225</v>
      </c>
    </row>
    <row r="112" spans="1:33" ht="18.75" x14ac:dyDescent="0.25">
      <c r="A112" s="49" t="s">
        <v>19</v>
      </c>
      <c r="B112" s="7">
        <v>7</v>
      </c>
      <c r="C112" s="7">
        <v>7</v>
      </c>
      <c r="D112" s="7">
        <v>6</v>
      </c>
      <c r="E112" s="7">
        <v>6</v>
      </c>
      <c r="F112" s="7">
        <v>4</v>
      </c>
      <c r="G112" s="7">
        <v>4</v>
      </c>
      <c r="H112" s="7">
        <v>3</v>
      </c>
      <c r="I112" s="7">
        <v>5</v>
      </c>
      <c r="J112" s="7">
        <v>10</v>
      </c>
      <c r="K112" s="7">
        <v>9</v>
      </c>
      <c r="L112" s="7">
        <v>6</v>
      </c>
      <c r="M112" s="7">
        <v>4</v>
      </c>
      <c r="N112" s="7">
        <v>3</v>
      </c>
      <c r="O112" s="7">
        <v>4</v>
      </c>
      <c r="P112" s="7">
        <v>8</v>
      </c>
      <c r="Q112" s="7">
        <v>7</v>
      </c>
      <c r="R112" s="7">
        <v>4</v>
      </c>
      <c r="S112" s="7">
        <v>8</v>
      </c>
      <c r="T112" s="7">
        <v>4</v>
      </c>
      <c r="U112" s="7">
        <v>8</v>
      </c>
      <c r="V112" s="7">
        <v>5</v>
      </c>
      <c r="W112" s="7">
        <v>3</v>
      </c>
      <c r="X112" s="7">
        <v>18</v>
      </c>
      <c r="Y112" s="7">
        <v>9</v>
      </c>
      <c r="Z112" s="7">
        <v>1</v>
      </c>
      <c r="AA112" s="7">
        <v>2</v>
      </c>
      <c r="AB112" s="7">
        <v>3</v>
      </c>
      <c r="AC112" s="7">
        <v>7</v>
      </c>
      <c r="AD112" s="7">
        <v>4</v>
      </c>
      <c r="AE112" s="7">
        <v>11</v>
      </c>
      <c r="AF112" s="8"/>
      <c r="AG112" s="4">
        <f>SUM(B112:AF112)</f>
        <v>180</v>
      </c>
    </row>
    <row r="113" spans="1:33" ht="18.75" x14ac:dyDescent="0.25">
      <c r="A113" s="49" t="s">
        <v>20</v>
      </c>
      <c r="B113" s="7">
        <v>10</v>
      </c>
      <c r="C113" s="7">
        <v>8</v>
      </c>
      <c r="D113" s="7">
        <v>8</v>
      </c>
      <c r="E113" s="7">
        <v>5</v>
      </c>
      <c r="F113" s="7">
        <v>3</v>
      </c>
      <c r="G113" s="7">
        <v>6</v>
      </c>
      <c r="H113" s="7">
        <v>1</v>
      </c>
      <c r="I113" s="7">
        <v>5</v>
      </c>
      <c r="J113" s="7">
        <v>9</v>
      </c>
      <c r="K113" s="7">
        <v>5</v>
      </c>
      <c r="L113" s="7">
        <v>7</v>
      </c>
      <c r="M113" s="7">
        <v>2</v>
      </c>
      <c r="N113" s="7">
        <v>5</v>
      </c>
      <c r="O113" s="7">
        <v>4</v>
      </c>
      <c r="P113" s="7">
        <v>7</v>
      </c>
      <c r="Q113" s="7">
        <v>6</v>
      </c>
      <c r="R113" s="7">
        <v>4</v>
      </c>
      <c r="S113" s="7">
        <v>4</v>
      </c>
      <c r="T113" s="7">
        <v>3</v>
      </c>
      <c r="U113" s="7">
        <v>1</v>
      </c>
      <c r="V113" s="7">
        <v>4</v>
      </c>
      <c r="W113" s="7">
        <v>3</v>
      </c>
      <c r="X113" s="7">
        <v>6</v>
      </c>
      <c r="Y113" s="7">
        <v>12</v>
      </c>
      <c r="Z113" s="7">
        <v>3</v>
      </c>
      <c r="AA113" s="7">
        <v>4</v>
      </c>
      <c r="AB113" s="7">
        <v>6</v>
      </c>
      <c r="AC113" s="7">
        <v>4</v>
      </c>
      <c r="AD113" s="7">
        <v>3</v>
      </c>
      <c r="AE113" s="7">
        <v>9</v>
      </c>
      <c r="AF113" s="8"/>
      <c r="AG113" s="4">
        <f t="shared" si="13"/>
        <v>157</v>
      </c>
    </row>
    <row r="114" spans="1:33" ht="18.75" x14ac:dyDescent="0.25">
      <c r="A114" s="49" t="s">
        <v>21</v>
      </c>
      <c r="B114" s="7">
        <v>12</v>
      </c>
      <c r="C114" s="7">
        <v>7</v>
      </c>
      <c r="D114" s="7">
        <v>9</v>
      </c>
      <c r="E114" s="7">
        <v>3</v>
      </c>
      <c r="F114" s="7">
        <v>6</v>
      </c>
      <c r="G114" s="7">
        <v>8</v>
      </c>
      <c r="H114" s="7">
        <v>4</v>
      </c>
      <c r="I114" s="7">
        <v>12</v>
      </c>
      <c r="J114" s="7">
        <v>16</v>
      </c>
      <c r="K114" s="7">
        <v>7</v>
      </c>
      <c r="L114" s="7">
        <v>4</v>
      </c>
      <c r="M114" s="7">
        <v>1</v>
      </c>
      <c r="N114" s="7">
        <v>5</v>
      </c>
      <c r="O114" s="7">
        <v>9</v>
      </c>
      <c r="P114" s="7">
        <v>2</v>
      </c>
      <c r="Q114" s="7">
        <v>9</v>
      </c>
      <c r="R114" s="7">
        <v>13</v>
      </c>
      <c r="S114" s="7">
        <v>4</v>
      </c>
      <c r="T114" s="7">
        <v>4</v>
      </c>
      <c r="U114" s="7">
        <v>6</v>
      </c>
      <c r="V114" s="7">
        <v>5</v>
      </c>
      <c r="W114" s="7">
        <v>9</v>
      </c>
      <c r="X114" s="7">
        <v>7</v>
      </c>
      <c r="Y114" s="7">
        <v>9</v>
      </c>
      <c r="Z114" s="7">
        <v>5</v>
      </c>
      <c r="AA114" s="7">
        <v>6</v>
      </c>
      <c r="AB114" s="7">
        <v>6</v>
      </c>
      <c r="AC114" s="7">
        <v>14</v>
      </c>
      <c r="AD114" s="7">
        <v>8</v>
      </c>
      <c r="AE114" s="7">
        <v>8</v>
      </c>
      <c r="AF114" s="8"/>
      <c r="AG114" s="4">
        <f t="shared" si="13"/>
        <v>218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91</v>
      </c>
      <c r="C116" s="74">
        <f t="shared" si="18"/>
        <v>105</v>
      </c>
      <c r="D116" s="74">
        <f t="shared" si="18"/>
        <v>93</v>
      </c>
      <c r="E116" s="74">
        <f t="shared" si="18"/>
        <v>80</v>
      </c>
      <c r="F116" s="74">
        <f t="shared" si="18"/>
        <v>69</v>
      </c>
      <c r="G116" s="74">
        <f t="shared" si="18"/>
        <v>65</v>
      </c>
      <c r="H116" s="74">
        <f t="shared" si="18"/>
        <v>57</v>
      </c>
      <c r="I116" s="74">
        <f t="shared" si="18"/>
        <v>77</v>
      </c>
      <c r="J116" s="74">
        <f t="shared" si="18"/>
        <v>101</v>
      </c>
      <c r="K116" s="74">
        <f t="shared" si="18"/>
        <v>87</v>
      </c>
      <c r="L116" s="74">
        <f t="shared" si="18"/>
        <v>82</v>
      </c>
      <c r="M116" s="74">
        <f t="shared" si="18"/>
        <v>44</v>
      </c>
      <c r="N116" s="74">
        <f t="shared" si="18"/>
        <v>51</v>
      </c>
      <c r="O116" s="74">
        <f t="shared" si="18"/>
        <v>59</v>
      </c>
      <c r="P116" s="74">
        <f t="shared" si="18"/>
        <v>71</v>
      </c>
      <c r="Q116" s="74">
        <f t="shared" si="18"/>
        <v>84</v>
      </c>
      <c r="R116" s="74">
        <f t="shared" si="18"/>
        <v>92</v>
      </c>
      <c r="S116" s="74">
        <f t="shared" si="18"/>
        <v>68</v>
      </c>
      <c r="T116" s="74">
        <f t="shared" si="18"/>
        <v>66</v>
      </c>
      <c r="U116" s="74">
        <f t="shared" si="18"/>
        <v>59</v>
      </c>
      <c r="V116" s="74">
        <f t="shared" si="18"/>
        <v>60</v>
      </c>
      <c r="W116" s="74">
        <f t="shared" si="18"/>
        <v>66</v>
      </c>
      <c r="X116" s="74">
        <f t="shared" si="18"/>
        <v>103</v>
      </c>
      <c r="Y116" s="74">
        <f t="shared" si="18"/>
        <v>84</v>
      </c>
      <c r="Z116" s="74">
        <f t="shared" si="18"/>
        <v>73</v>
      </c>
      <c r="AA116" s="74">
        <f t="shared" si="18"/>
        <v>56</v>
      </c>
      <c r="AB116" s="74">
        <f t="shared" si="18"/>
        <v>78</v>
      </c>
      <c r="AC116" s="74">
        <f t="shared" si="18"/>
        <v>94</v>
      </c>
      <c r="AD116" s="74">
        <f t="shared" si="18"/>
        <v>63</v>
      </c>
      <c r="AE116" s="74">
        <f t="shared" si="18"/>
        <v>109</v>
      </c>
      <c r="AF116" s="84">
        <f t="shared" si="18"/>
        <v>0</v>
      </c>
      <c r="AG116" s="4">
        <f t="shared" si="13"/>
        <v>2287</v>
      </c>
    </row>
    <row r="117" spans="1:33" ht="18.75" x14ac:dyDescent="0.25">
      <c r="A117" s="43" t="s">
        <v>59</v>
      </c>
      <c r="B117" s="7">
        <v>62</v>
      </c>
      <c r="C117" s="7">
        <v>80</v>
      </c>
      <c r="D117" s="7">
        <v>58</v>
      </c>
      <c r="E117" s="7">
        <v>51</v>
      </c>
      <c r="F117" s="7">
        <v>55</v>
      </c>
      <c r="G117" s="7">
        <v>51</v>
      </c>
      <c r="H117" s="7">
        <v>43</v>
      </c>
      <c r="I117" s="7">
        <v>56</v>
      </c>
      <c r="J117" s="7">
        <v>71</v>
      </c>
      <c r="K117" s="7">
        <v>52</v>
      </c>
      <c r="L117" s="7">
        <f>15+9</f>
        <v>24</v>
      </c>
      <c r="M117" s="7">
        <v>33</v>
      </c>
      <c r="N117" s="7">
        <v>42</v>
      </c>
      <c r="O117" s="7">
        <v>43</v>
      </c>
      <c r="P117" s="7">
        <v>48</v>
      </c>
      <c r="Q117" s="7">
        <v>62</v>
      </c>
      <c r="R117" s="7">
        <v>65</v>
      </c>
      <c r="S117" s="7">
        <v>48</v>
      </c>
      <c r="T117" s="7">
        <v>46</v>
      </c>
      <c r="U117" s="7">
        <v>43</v>
      </c>
      <c r="V117" s="7">
        <v>47</v>
      </c>
      <c r="W117" s="7">
        <v>45</v>
      </c>
      <c r="X117" s="7">
        <v>74</v>
      </c>
      <c r="Y117" s="7">
        <v>63</v>
      </c>
      <c r="Z117" s="7">
        <v>53</v>
      </c>
      <c r="AA117" s="7">
        <v>39</v>
      </c>
      <c r="AB117" s="7">
        <v>60</v>
      </c>
      <c r="AC117" s="7">
        <v>69</v>
      </c>
      <c r="AD117" s="7">
        <v>49</v>
      </c>
      <c r="AE117" s="7">
        <v>88</v>
      </c>
      <c r="AF117" s="8"/>
      <c r="AG117" s="4">
        <f t="shared" si="13"/>
        <v>1620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20+9</f>
        <v>29</v>
      </c>
      <c r="C129" s="13">
        <f>8+17</f>
        <v>25</v>
      </c>
      <c r="D129" s="13">
        <f>18+17</f>
        <v>35</v>
      </c>
      <c r="E129" s="13">
        <f>12+17</f>
        <v>29</v>
      </c>
      <c r="F129" s="13">
        <f>7+7</f>
        <v>14</v>
      </c>
      <c r="G129" s="13">
        <f>8+6</f>
        <v>14</v>
      </c>
      <c r="H129" s="13">
        <f>8+6</f>
        <v>14</v>
      </c>
      <c r="I129" s="13">
        <f>3+18</f>
        <v>21</v>
      </c>
      <c r="J129" s="13">
        <f>16+14</f>
        <v>30</v>
      </c>
      <c r="K129" s="13">
        <f>12+23</f>
        <v>35</v>
      </c>
      <c r="L129" s="13">
        <v>58</v>
      </c>
      <c r="M129" s="13">
        <f>4+7</f>
        <v>11</v>
      </c>
      <c r="N129" s="13">
        <f>4+1+4</f>
        <v>9</v>
      </c>
      <c r="O129" s="13">
        <f>9+7</f>
        <v>16</v>
      </c>
      <c r="P129" s="13">
        <f>6+17</f>
        <v>23</v>
      </c>
      <c r="Q129" s="13">
        <f>10+12</f>
        <v>22</v>
      </c>
      <c r="R129" s="13">
        <f>8+1+18</f>
        <v>27</v>
      </c>
      <c r="S129" s="13">
        <f>7+13</f>
        <v>20</v>
      </c>
      <c r="T129" s="13">
        <f>12+8</f>
        <v>20</v>
      </c>
      <c r="U129" s="13">
        <f>6+10</f>
        <v>16</v>
      </c>
      <c r="V129" s="13">
        <f>8+5</f>
        <v>13</v>
      </c>
      <c r="W129" s="13">
        <f>10+1+10</f>
        <v>21</v>
      </c>
      <c r="X129" s="13">
        <f>17+12</f>
        <v>29</v>
      </c>
      <c r="Y129" s="13">
        <f>11+10</f>
        <v>21</v>
      </c>
      <c r="Z129" s="13">
        <f>12+1+7</f>
        <v>20</v>
      </c>
      <c r="AA129" s="13">
        <f>6+11</f>
        <v>17</v>
      </c>
      <c r="AB129" s="13">
        <f>5+1+12</f>
        <v>18</v>
      </c>
      <c r="AC129" s="13">
        <f>10+15</f>
        <v>25</v>
      </c>
      <c r="AD129" s="13">
        <f>7+7</f>
        <v>14</v>
      </c>
      <c r="AE129" s="13">
        <f>8+13</f>
        <v>21</v>
      </c>
      <c r="AF129" s="14"/>
      <c r="AG129" s="4">
        <f t="shared" si="19"/>
        <v>667</v>
      </c>
    </row>
    <row r="130" spans="1:35" ht="18.75" x14ac:dyDescent="0.25">
      <c r="A130" s="73" t="s">
        <v>109</v>
      </c>
      <c r="B130" s="74">
        <f t="shared" ref="B130:AF130" si="20">SUM(B131:B143)</f>
        <v>207</v>
      </c>
      <c r="C130" s="74">
        <f t="shared" si="20"/>
        <v>194</v>
      </c>
      <c r="D130" s="74">
        <f t="shared" si="20"/>
        <v>193</v>
      </c>
      <c r="E130" s="74">
        <f t="shared" si="20"/>
        <v>161</v>
      </c>
      <c r="F130" s="74">
        <f t="shared" si="20"/>
        <v>129</v>
      </c>
      <c r="G130" s="74">
        <f t="shared" si="20"/>
        <v>138</v>
      </c>
      <c r="H130" s="74">
        <f t="shared" si="20"/>
        <v>108</v>
      </c>
      <c r="I130" s="74">
        <f t="shared" si="20"/>
        <v>133</v>
      </c>
      <c r="J130" s="74">
        <f t="shared" si="20"/>
        <v>207</v>
      </c>
      <c r="K130" s="74">
        <f t="shared" si="20"/>
        <v>211</v>
      </c>
      <c r="L130" s="74">
        <f t="shared" si="20"/>
        <v>172</v>
      </c>
      <c r="M130" s="74">
        <f t="shared" si="20"/>
        <v>110</v>
      </c>
      <c r="N130" s="74">
        <f t="shared" si="20"/>
        <v>137</v>
      </c>
      <c r="O130" s="74">
        <f t="shared" si="20"/>
        <v>127</v>
      </c>
      <c r="P130" s="74">
        <f t="shared" si="20"/>
        <v>146</v>
      </c>
      <c r="Q130" s="74">
        <f t="shared" si="20"/>
        <v>184</v>
      </c>
      <c r="R130" s="74">
        <f t="shared" si="20"/>
        <v>199</v>
      </c>
      <c r="S130" s="74">
        <f t="shared" si="20"/>
        <v>166</v>
      </c>
      <c r="T130" s="74">
        <f t="shared" si="20"/>
        <v>141</v>
      </c>
      <c r="U130" s="74">
        <f t="shared" si="20"/>
        <v>134</v>
      </c>
      <c r="V130" s="74">
        <f t="shared" si="20"/>
        <v>143</v>
      </c>
      <c r="W130" s="74">
        <f t="shared" si="20"/>
        <v>134</v>
      </c>
      <c r="X130" s="74">
        <f t="shared" si="20"/>
        <v>195</v>
      </c>
      <c r="Y130" s="74">
        <f t="shared" si="20"/>
        <v>200</v>
      </c>
      <c r="Z130" s="74">
        <f t="shared" si="20"/>
        <v>165</v>
      </c>
      <c r="AA130" s="74">
        <f t="shared" si="20"/>
        <v>137</v>
      </c>
      <c r="AB130" s="74">
        <f t="shared" si="20"/>
        <v>152</v>
      </c>
      <c r="AC130" s="74">
        <f t="shared" si="20"/>
        <v>159</v>
      </c>
      <c r="AD130" s="74">
        <f t="shared" si="20"/>
        <v>134</v>
      </c>
      <c r="AE130" s="74">
        <f t="shared" si="20"/>
        <v>201</v>
      </c>
      <c r="AF130" s="84">
        <f t="shared" si="20"/>
        <v>0</v>
      </c>
      <c r="AG130" s="150">
        <f t="shared" si="19"/>
        <v>4817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61</v>
      </c>
      <c r="C131" s="7">
        <v>73</v>
      </c>
      <c r="D131" s="7">
        <v>55</v>
      </c>
      <c r="E131" s="7">
        <v>49</v>
      </c>
      <c r="F131" s="7">
        <v>44</v>
      </c>
      <c r="G131" s="7">
        <v>46</v>
      </c>
      <c r="H131" s="7">
        <v>42</v>
      </c>
      <c r="I131" s="7">
        <v>52</v>
      </c>
      <c r="J131" s="7">
        <v>62</v>
      </c>
      <c r="K131" s="7">
        <v>52</v>
      </c>
      <c r="L131" s="7">
        <v>55</v>
      </c>
      <c r="M131" s="7">
        <v>33</v>
      </c>
      <c r="N131" s="7">
        <v>40</v>
      </c>
      <c r="O131" s="7">
        <v>34</v>
      </c>
      <c r="P131" s="7">
        <v>47</v>
      </c>
      <c r="Q131" s="7">
        <v>60</v>
      </c>
      <c r="R131" s="7">
        <v>64</v>
      </c>
      <c r="S131" s="7">
        <v>44</v>
      </c>
      <c r="T131" s="7">
        <v>43</v>
      </c>
      <c r="U131" s="7">
        <v>38</v>
      </c>
      <c r="V131" s="7">
        <v>44</v>
      </c>
      <c r="W131" s="7">
        <v>43</v>
      </c>
      <c r="X131" s="7">
        <v>72</v>
      </c>
      <c r="Y131" s="7">
        <v>56</v>
      </c>
      <c r="Z131" s="7">
        <v>51</v>
      </c>
      <c r="AA131" s="7">
        <v>38</v>
      </c>
      <c r="AB131" s="7">
        <v>58</v>
      </c>
      <c r="AC131" s="7">
        <v>50</v>
      </c>
      <c r="AD131" s="7">
        <v>44</v>
      </c>
      <c r="AE131" s="7">
        <v>80</v>
      </c>
      <c r="AF131" s="8"/>
      <c r="AG131" s="4">
        <f t="shared" si="19"/>
        <v>1530</v>
      </c>
    </row>
    <row r="132" spans="1:35" ht="18.75" x14ac:dyDescent="0.25">
      <c r="A132" s="43" t="s">
        <v>23</v>
      </c>
      <c r="B132" s="7">
        <v>4</v>
      </c>
      <c r="C132" s="7">
        <v>11</v>
      </c>
      <c r="D132" s="7">
        <v>13</v>
      </c>
      <c r="E132" s="7">
        <v>3</v>
      </c>
      <c r="F132" s="7">
        <v>10</v>
      </c>
      <c r="G132" s="7">
        <v>10</v>
      </c>
      <c r="H132" s="7">
        <v>4</v>
      </c>
      <c r="I132" s="7">
        <v>6</v>
      </c>
      <c r="J132" s="7">
        <v>13</v>
      </c>
      <c r="K132" s="7">
        <v>12</v>
      </c>
      <c r="L132" s="7">
        <v>7</v>
      </c>
      <c r="M132" s="7">
        <v>6</v>
      </c>
      <c r="N132" s="7">
        <v>13</v>
      </c>
      <c r="O132" s="7">
        <v>9</v>
      </c>
      <c r="P132" s="7">
        <v>9</v>
      </c>
      <c r="Q132" s="7">
        <v>8</v>
      </c>
      <c r="R132" s="7">
        <v>8</v>
      </c>
      <c r="S132" s="7">
        <v>10</v>
      </c>
      <c r="T132" s="7">
        <v>7</v>
      </c>
      <c r="U132" s="7">
        <v>5</v>
      </c>
      <c r="V132" s="7">
        <v>15</v>
      </c>
      <c r="W132" s="7">
        <v>8</v>
      </c>
      <c r="X132" s="7">
        <v>11</v>
      </c>
      <c r="Y132" s="7">
        <v>14</v>
      </c>
      <c r="Z132" s="7">
        <v>15</v>
      </c>
      <c r="AA132" s="7">
        <v>4</v>
      </c>
      <c r="AB132" s="7">
        <v>12</v>
      </c>
      <c r="AC132" s="7">
        <v>12</v>
      </c>
      <c r="AD132" s="7">
        <v>11</v>
      </c>
      <c r="AE132" s="7">
        <v>19</v>
      </c>
      <c r="AF132" s="8"/>
      <c r="AG132" s="4">
        <f t="shared" si="19"/>
        <v>289</v>
      </c>
    </row>
    <row r="133" spans="1:35" ht="18.75" x14ac:dyDescent="0.25">
      <c r="A133" s="43" t="s">
        <v>24</v>
      </c>
      <c r="B133" s="7">
        <v>25</v>
      </c>
      <c r="C133" s="7">
        <v>15</v>
      </c>
      <c r="D133" s="7">
        <v>5</v>
      </c>
      <c r="E133" s="7">
        <v>5</v>
      </c>
      <c r="F133" s="7">
        <v>8</v>
      </c>
      <c r="G133" s="7">
        <v>12</v>
      </c>
      <c r="H133" s="7">
        <v>5</v>
      </c>
      <c r="I133" s="7">
        <v>8</v>
      </c>
      <c r="J133" s="7">
        <v>14</v>
      </c>
      <c r="K133" s="7">
        <v>14</v>
      </c>
      <c r="L133" s="7">
        <v>16</v>
      </c>
      <c r="M133" s="7">
        <v>4</v>
      </c>
      <c r="N133" s="7">
        <v>8</v>
      </c>
      <c r="O133" s="7">
        <v>10</v>
      </c>
      <c r="P133" s="7">
        <v>7</v>
      </c>
      <c r="Q133" s="7">
        <v>11</v>
      </c>
      <c r="R133" s="7">
        <v>19</v>
      </c>
      <c r="S133" s="7">
        <v>14</v>
      </c>
      <c r="T133" s="7">
        <v>5</v>
      </c>
      <c r="U133" s="7">
        <v>8</v>
      </c>
      <c r="V133" s="7">
        <v>12</v>
      </c>
      <c r="W133" s="7">
        <v>7</v>
      </c>
      <c r="X133" s="7">
        <v>16</v>
      </c>
      <c r="Y133" s="7">
        <v>12</v>
      </c>
      <c r="Z133" s="7">
        <v>13</v>
      </c>
      <c r="AA133" s="7">
        <v>14</v>
      </c>
      <c r="AB133" s="7">
        <v>9</v>
      </c>
      <c r="AC133" s="7">
        <v>13</v>
      </c>
      <c r="AD133" s="7">
        <v>8</v>
      </c>
      <c r="AE133" s="7">
        <v>11</v>
      </c>
      <c r="AF133" s="8"/>
      <c r="AG133" s="4">
        <f t="shared" si="19"/>
        <v>328</v>
      </c>
    </row>
    <row r="134" spans="1:35" ht="18.75" x14ac:dyDescent="0.25">
      <c r="A134" s="43" t="s">
        <v>25</v>
      </c>
      <c r="B134" s="7">
        <f>2+22</f>
        <v>24</v>
      </c>
      <c r="C134" s="7">
        <f>1+13</f>
        <v>14</v>
      </c>
      <c r="D134" s="7">
        <v>9</v>
      </c>
      <c r="E134" s="7">
        <f>1+10</f>
        <v>11</v>
      </c>
      <c r="F134" s="7">
        <v>4</v>
      </c>
      <c r="G134" s="7">
        <f>1+7</f>
        <v>8</v>
      </c>
      <c r="H134" s="7">
        <v>4</v>
      </c>
      <c r="I134" s="7">
        <v>5</v>
      </c>
      <c r="J134" s="7">
        <f>1+9</f>
        <v>10</v>
      </c>
      <c r="K134" s="7">
        <v>9</v>
      </c>
      <c r="L134" s="7">
        <f>1+10</f>
        <v>11</v>
      </c>
      <c r="M134" s="7">
        <v>10</v>
      </c>
      <c r="N134" s="7">
        <f>6+1</f>
        <v>7</v>
      </c>
      <c r="O134" s="7">
        <v>5</v>
      </c>
      <c r="P134" s="7">
        <f>1+6</f>
        <v>7</v>
      </c>
      <c r="Q134" s="7">
        <f>1+10</f>
        <v>11</v>
      </c>
      <c r="R134" s="7">
        <v>11</v>
      </c>
      <c r="S134" s="7">
        <f>5+1</f>
        <v>6</v>
      </c>
      <c r="T134" s="7">
        <f>1+13</f>
        <v>14</v>
      </c>
      <c r="U134" s="7">
        <v>6</v>
      </c>
      <c r="V134" s="7">
        <f>3</f>
        <v>3</v>
      </c>
      <c r="W134" s="7">
        <v>5</v>
      </c>
      <c r="X134" s="7">
        <f>1+5</f>
        <v>6</v>
      </c>
      <c r="Y134" s="7">
        <v>11</v>
      </c>
      <c r="Z134" s="7">
        <f>7+1</f>
        <v>8</v>
      </c>
      <c r="AA134" s="7">
        <v>6</v>
      </c>
      <c r="AB134" s="7">
        <v>8</v>
      </c>
      <c r="AC134" s="7">
        <f>2+9</f>
        <v>11</v>
      </c>
      <c r="AD134" s="7">
        <f>1+5+1</f>
        <v>7</v>
      </c>
      <c r="AE134" s="7">
        <v>10</v>
      </c>
      <c r="AF134" s="8"/>
      <c r="AG134" s="4">
        <f t="shared" ref="AG134:AG147" si="21">SUM(B134:AF134)</f>
        <v>261</v>
      </c>
    </row>
    <row r="135" spans="1:35" ht="18.75" x14ac:dyDescent="0.25">
      <c r="A135" s="43" t="s">
        <v>26</v>
      </c>
      <c r="B135" s="7">
        <v>5</v>
      </c>
      <c r="C135" s="7">
        <v>5</v>
      </c>
      <c r="D135" s="7">
        <v>17</v>
      </c>
      <c r="E135" s="7">
        <v>16</v>
      </c>
      <c r="F135" s="7">
        <v>11</v>
      </c>
      <c r="G135" s="7">
        <v>10</v>
      </c>
      <c r="H135" s="7">
        <v>6</v>
      </c>
      <c r="I135" s="7">
        <v>5</v>
      </c>
      <c r="J135" s="7">
        <v>16</v>
      </c>
      <c r="K135" s="7">
        <v>23</v>
      </c>
      <c r="L135" s="7">
        <v>7</v>
      </c>
      <c r="M135" s="7">
        <v>8</v>
      </c>
      <c r="N135" s="7">
        <v>9</v>
      </c>
      <c r="O135" s="7">
        <v>14</v>
      </c>
      <c r="P135" s="7">
        <v>14</v>
      </c>
      <c r="Q135" s="7">
        <v>10</v>
      </c>
      <c r="R135" s="7">
        <v>5</v>
      </c>
      <c r="S135" s="7">
        <v>13</v>
      </c>
      <c r="T135" s="7">
        <v>9</v>
      </c>
      <c r="U135" s="7">
        <v>12</v>
      </c>
      <c r="V135" s="7">
        <v>10</v>
      </c>
      <c r="W135" s="7">
        <v>10</v>
      </c>
      <c r="X135" s="7">
        <v>17</v>
      </c>
      <c r="Y135" s="7">
        <v>9</v>
      </c>
      <c r="Z135" s="7">
        <v>10</v>
      </c>
      <c r="AA135" s="7">
        <v>6</v>
      </c>
      <c r="AB135" s="7">
        <v>6</v>
      </c>
      <c r="AC135" s="7">
        <v>11</v>
      </c>
      <c r="AD135" s="7">
        <v>10</v>
      </c>
      <c r="AE135" s="7">
        <v>6</v>
      </c>
      <c r="AF135" s="8"/>
      <c r="AG135" s="4">
        <f t="shared" si="21"/>
        <v>310</v>
      </c>
    </row>
    <row r="136" spans="1:35" ht="18.75" x14ac:dyDescent="0.25">
      <c r="A136" s="43" t="s">
        <v>27</v>
      </c>
      <c r="B136" s="7">
        <v>35</v>
      </c>
      <c r="C136" s="7">
        <v>22</v>
      </c>
      <c r="D136" s="7">
        <v>31</v>
      </c>
      <c r="E136" s="7">
        <v>21</v>
      </c>
      <c r="F136" s="7">
        <v>21</v>
      </c>
      <c r="G136" s="7">
        <v>26</v>
      </c>
      <c r="H136" s="7">
        <v>23</v>
      </c>
      <c r="I136" s="7">
        <v>24</v>
      </c>
      <c r="J136" s="7">
        <v>39</v>
      </c>
      <c r="K136" s="7">
        <v>51</v>
      </c>
      <c r="L136" s="7">
        <v>33</v>
      </c>
      <c r="M136" s="7">
        <v>19</v>
      </c>
      <c r="N136" s="7">
        <v>26</v>
      </c>
      <c r="O136" s="7">
        <v>27</v>
      </c>
      <c r="P136" s="7">
        <v>33</v>
      </c>
      <c r="Q136" s="7">
        <v>46</v>
      </c>
      <c r="R136" s="7">
        <v>37</v>
      </c>
      <c r="S136" s="7">
        <v>32</v>
      </c>
      <c r="T136" s="7">
        <v>29</v>
      </c>
      <c r="U136" s="7">
        <v>34</v>
      </c>
      <c r="V136" s="7">
        <v>21</v>
      </c>
      <c r="W136" s="7">
        <v>22</v>
      </c>
      <c r="X136" s="7">
        <v>29</v>
      </c>
      <c r="Y136" s="7">
        <v>46</v>
      </c>
      <c r="Z136" s="7">
        <v>28</v>
      </c>
      <c r="AA136" s="7">
        <v>29</v>
      </c>
      <c r="AB136" s="7">
        <v>24</v>
      </c>
      <c r="AC136" s="7">
        <v>23</v>
      </c>
      <c r="AD136" s="7">
        <v>22</v>
      </c>
      <c r="AE136" s="7">
        <v>28</v>
      </c>
      <c r="AF136" s="8"/>
      <c r="AG136" s="4">
        <f t="shared" si="21"/>
        <v>881</v>
      </c>
    </row>
    <row r="137" spans="1:35" ht="18.75" x14ac:dyDescent="0.25">
      <c r="A137" s="43" t="s">
        <v>28</v>
      </c>
      <c r="B137" s="7">
        <v>8</v>
      </c>
      <c r="C137" s="7">
        <f>9+3</f>
        <v>12</v>
      </c>
      <c r="D137" s="7">
        <f>10+3</f>
        <v>13</v>
      </c>
      <c r="E137" s="7">
        <f>8+1</f>
        <v>9</v>
      </c>
      <c r="F137" s="7">
        <f>9+2</f>
        <v>11</v>
      </c>
      <c r="G137" s="7">
        <f>4+1</f>
        <v>5</v>
      </c>
      <c r="H137" s="7">
        <f>3+1</f>
        <v>4</v>
      </c>
      <c r="I137" s="7">
        <v>7</v>
      </c>
      <c r="J137" s="7">
        <v>11</v>
      </c>
      <c r="K137" s="7">
        <v>10</v>
      </c>
      <c r="L137" s="7">
        <v>6</v>
      </c>
      <c r="M137" s="7">
        <f>6+3</f>
        <v>9</v>
      </c>
      <c r="N137" s="7">
        <f>6+2</f>
        <v>8</v>
      </c>
      <c r="O137" s="7">
        <v>6</v>
      </c>
      <c r="P137" s="7">
        <f>3+2</f>
        <v>5</v>
      </c>
      <c r="Q137" s="7">
        <v>9</v>
      </c>
      <c r="R137" s="7">
        <f>10+3</f>
        <v>13</v>
      </c>
      <c r="S137" s="7">
        <f>11+2</f>
        <v>13</v>
      </c>
      <c r="T137" s="7">
        <v>4</v>
      </c>
      <c r="U137" s="7">
        <v>6</v>
      </c>
      <c r="V137" s="7">
        <f>3+1</f>
        <v>4</v>
      </c>
      <c r="W137" s="7">
        <v>6</v>
      </c>
      <c r="X137" s="7">
        <f>3+1</f>
        <v>4</v>
      </c>
      <c r="Y137" s="7">
        <f>11+1</f>
        <v>12</v>
      </c>
      <c r="Z137" s="7">
        <f>8+1</f>
        <v>9</v>
      </c>
      <c r="AA137" s="7">
        <f>5+7</f>
        <v>12</v>
      </c>
      <c r="AB137" s="7">
        <f>6+1</f>
        <v>7</v>
      </c>
      <c r="AC137" s="7">
        <v>9</v>
      </c>
      <c r="AD137" s="7">
        <v>3</v>
      </c>
      <c r="AE137" s="7">
        <v>7</v>
      </c>
      <c r="AF137" s="8"/>
      <c r="AG137" s="4">
        <f t="shared" si="21"/>
        <v>242</v>
      </c>
    </row>
    <row r="138" spans="1:35" ht="18.75" x14ac:dyDescent="0.25">
      <c r="A138" s="43" t="s">
        <v>29</v>
      </c>
      <c r="B138" s="7">
        <v>8</v>
      </c>
      <c r="C138" s="7">
        <v>6</v>
      </c>
      <c r="D138" s="7">
        <v>9</v>
      </c>
      <c r="E138" s="7">
        <v>7</v>
      </c>
      <c r="F138" s="7">
        <v>3</v>
      </c>
      <c r="G138" s="7">
        <v>2</v>
      </c>
      <c r="H138" s="7">
        <v>3</v>
      </c>
      <c r="I138" s="7">
        <v>3</v>
      </c>
      <c r="J138" s="7">
        <v>7</v>
      </c>
      <c r="K138" s="7">
        <v>6</v>
      </c>
      <c r="L138" s="7">
        <v>6</v>
      </c>
      <c r="M138" s="7">
        <v>6</v>
      </c>
      <c r="N138" s="7">
        <v>4</v>
      </c>
      <c r="O138" s="7">
        <v>5</v>
      </c>
      <c r="P138" s="7">
        <v>5</v>
      </c>
      <c r="Q138" s="7">
        <v>3</v>
      </c>
      <c r="R138" s="7">
        <v>5</v>
      </c>
      <c r="S138" s="7">
        <v>6</v>
      </c>
      <c r="T138" s="7">
        <v>5</v>
      </c>
      <c r="U138" s="7">
        <v>5</v>
      </c>
      <c r="V138" s="7">
        <v>8</v>
      </c>
      <c r="W138" s="7">
        <v>4</v>
      </c>
      <c r="X138" s="7">
        <v>6</v>
      </c>
      <c r="Y138" s="7">
        <v>9</v>
      </c>
      <c r="Z138" s="7">
        <v>7</v>
      </c>
      <c r="AA138" s="7">
        <v>4</v>
      </c>
      <c r="AB138" s="7">
        <v>4</v>
      </c>
      <c r="AC138" s="7">
        <v>2</v>
      </c>
      <c r="AD138" s="7">
        <v>2</v>
      </c>
      <c r="AE138" s="7">
        <v>11</v>
      </c>
      <c r="AF138" s="8"/>
      <c r="AG138" s="4">
        <f t="shared" si="21"/>
        <v>161</v>
      </c>
    </row>
    <row r="139" spans="1:35" ht="18.75" x14ac:dyDescent="0.25">
      <c r="A139" s="41" t="s">
        <v>30</v>
      </c>
      <c r="B139" s="7">
        <v>3</v>
      </c>
      <c r="C139" s="7">
        <f>3+2</f>
        <v>5</v>
      </c>
      <c r="D139" s="7">
        <v>1</v>
      </c>
      <c r="E139" s="7">
        <v>1</v>
      </c>
      <c r="F139" s="7">
        <f>3+2</f>
        <v>5</v>
      </c>
      <c r="G139" s="7">
        <f>1</f>
        <v>1</v>
      </c>
      <c r="H139" s="7"/>
      <c r="I139" s="7">
        <f>1</f>
        <v>1</v>
      </c>
      <c r="J139" s="7">
        <f>1+2</f>
        <v>3</v>
      </c>
      <c r="K139" s="7">
        <f>1+1</f>
        <v>2</v>
      </c>
      <c r="L139" s="7">
        <v>2</v>
      </c>
      <c r="M139" s="7"/>
      <c r="N139" s="7">
        <f>2+3</f>
        <v>5</v>
      </c>
      <c r="O139" s="7">
        <f>1+1</f>
        <v>2</v>
      </c>
      <c r="P139" s="7">
        <f>1</f>
        <v>1</v>
      </c>
      <c r="Q139" s="7"/>
      <c r="R139" s="7">
        <v>2</v>
      </c>
      <c r="S139" s="7">
        <v>2</v>
      </c>
      <c r="T139" s="7">
        <f>2+1</f>
        <v>3</v>
      </c>
      <c r="U139" s="7">
        <v>1</v>
      </c>
      <c r="V139" s="7">
        <f>1+1</f>
        <v>2</v>
      </c>
      <c r="W139" s="7">
        <v>1</v>
      </c>
      <c r="X139" s="7">
        <f>1+2</f>
        <v>3</v>
      </c>
      <c r="Y139" s="7">
        <f>2+1</f>
        <v>3</v>
      </c>
      <c r="Z139" s="7">
        <f>1+1</f>
        <v>2</v>
      </c>
      <c r="AA139" s="7">
        <v>2</v>
      </c>
      <c r="AB139" s="7">
        <v>1</v>
      </c>
      <c r="AC139" s="7">
        <f>1+1</f>
        <v>2</v>
      </c>
      <c r="AD139" s="7">
        <f>3+3</f>
        <v>6</v>
      </c>
      <c r="AE139" s="7">
        <f>3+2</f>
        <v>5</v>
      </c>
      <c r="AF139" s="8"/>
      <c r="AG139" s="4">
        <f t="shared" si="21"/>
        <v>67</v>
      </c>
    </row>
    <row r="140" spans="1:35" ht="18.75" x14ac:dyDescent="0.25">
      <c r="A140" s="41" t="s">
        <v>31</v>
      </c>
      <c r="B140" s="7">
        <v>2</v>
      </c>
      <c r="C140" s="7">
        <v>5</v>
      </c>
      <c r="D140" s="7">
        <v>2</v>
      </c>
      <c r="E140" s="7">
        <v>2</v>
      </c>
      <c r="F140" s="7">
        <v>2</v>
      </c>
      <c r="G140" s="7"/>
      <c r="H140" s="7">
        <v>1</v>
      </c>
      <c r="I140" s="7">
        <v>1</v>
      </c>
      <c r="J140" s="7">
        <v>1</v>
      </c>
      <c r="K140" s="7">
        <v>2</v>
      </c>
      <c r="L140" s="7">
        <v>1</v>
      </c>
      <c r="M140" s="7">
        <v>1</v>
      </c>
      <c r="N140" s="7">
        <v>3</v>
      </c>
      <c r="O140" s="7">
        <v>1</v>
      </c>
      <c r="P140" s="7"/>
      <c r="Q140" s="7">
        <v>1</v>
      </c>
      <c r="R140" s="7">
        <v>1</v>
      </c>
      <c r="S140" s="7">
        <v>1</v>
      </c>
      <c r="T140" s="7">
        <v>1</v>
      </c>
      <c r="U140" s="7">
        <v>1</v>
      </c>
      <c r="V140" s="7">
        <v>1</v>
      </c>
      <c r="W140" s="7">
        <v>2</v>
      </c>
      <c r="X140" s="7">
        <v>1</v>
      </c>
      <c r="Y140" s="7">
        <v>3</v>
      </c>
      <c r="Z140" s="7">
        <v>2</v>
      </c>
      <c r="AA140" s="7">
        <v>1</v>
      </c>
      <c r="AB140" s="7">
        <v>2</v>
      </c>
      <c r="AC140" s="7">
        <v>2</v>
      </c>
      <c r="AD140" s="7">
        <v>3</v>
      </c>
      <c r="AE140" s="7">
        <v>3</v>
      </c>
      <c r="AF140" s="8"/>
      <c r="AG140" s="4">
        <f t="shared" si="21"/>
        <v>49</v>
      </c>
    </row>
    <row r="141" spans="1:35" ht="18.75" x14ac:dyDescent="0.25">
      <c r="A141" s="41" t="s">
        <v>32</v>
      </c>
      <c r="B141" s="7"/>
      <c r="C141" s="7"/>
      <c r="D141" s="7"/>
      <c r="E141" s="7">
        <v>1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>
        <v>1</v>
      </c>
      <c r="R141" s="7"/>
      <c r="S141" s="7"/>
      <c r="T141" s="7"/>
      <c r="U141" s="7"/>
      <c r="V141" s="7"/>
      <c r="W141" s="7">
        <v>1</v>
      </c>
      <c r="X141" s="7"/>
      <c r="Y141" s="7"/>
      <c r="Z141" s="7"/>
      <c r="AA141" s="7">
        <v>1</v>
      </c>
      <c r="AB141" s="7"/>
      <c r="AC141" s="7"/>
      <c r="AD141" s="7"/>
      <c r="AE141" s="7"/>
      <c r="AF141" s="8"/>
      <c r="AG141" s="4">
        <f t="shared" si="21"/>
        <v>4</v>
      </c>
    </row>
    <row r="142" spans="1:35" ht="18.75" x14ac:dyDescent="0.25">
      <c r="A142" s="43" t="s">
        <v>60</v>
      </c>
      <c r="B142" s="7">
        <f>1+2+3</f>
        <v>6</v>
      </c>
      <c r="C142" s="7">
        <f>1+1</f>
        <v>2</v>
      </c>
      <c r="D142" s="7">
        <f>1+1+1+1</f>
        <v>4</v>
      </c>
      <c r="E142" s="7">
        <f>1+2+1+1+1+1</f>
        <v>7</v>
      </c>
      <c r="F142" s="7">
        <f>1+2</f>
        <v>3</v>
      </c>
      <c r="G142" s="7">
        <f>1+1+1+2</f>
        <v>5</v>
      </c>
      <c r="H142" s="7">
        <f>1+1+1+1</f>
        <v>4</v>
      </c>
      <c r="I142" s="7">
        <f>1</f>
        <v>1</v>
      </c>
      <c r="J142" s="7">
        <f>1+1+1+1+1</f>
        <v>5</v>
      </c>
      <c r="K142" s="7">
        <f>1+1+2+1+1+1</f>
        <v>7</v>
      </c>
      <c r="L142" s="7">
        <f>1+1+1+1</f>
        <v>4</v>
      </c>
      <c r="M142" s="7">
        <f>1+1+1</f>
        <v>3</v>
      </c>
      <c r="N142" s="7">
        <f>1+1+4</f>
        <v>6</v>
      </c>
      <c r="O142" s="7">
        <f>1+1</f>
        <v>2</v>
      </c>
      <c r="P142" s="7">
        <v>1</v>
      </c>
      <c r="Q142" s="7">
        <f>1+4</f>
        <v>5</v>
      </c>
      <c r="R142" s="7">
        <f>1+1+7</f>
        <v>9</v>
      </c>
      <c r="S142" s="7">
        <f>2+3</f>
        <v>5</v>
      </c>
      <c r="T142" s="7">
        <f>1+5</f>
        <v>6</v>
      </c>
      <c r="U142" s="7">
        <f>1+1+1</f>
        <v>3</v>
      </c>
      <c r="V142" s="7">
        <f>1+2+1+1+5</f>
        <v>10</v>
      </c>
      <c r="W142" s="7">
        <f>1+2+2</f>
        <v>5</v>
      </c>
      <c r="X142" s="7">
        <f>1+4</f>
        <v>5</v>
      </c>
      <c r="Y142" s="7">
        <f>1+2+3</f>
        <v>6</v>
      </c>
      <c r="Z142" s="7">
        <f>1+1</f>
        <v>2</v>
      </c>
      <c r="AA142" s="7">
        <f>1+2</f>
        <v>3</v>
      </c>
      <c r="AB142" s="7">
        <f>1+1+3</f>
        <v>5</v>
      </c>
      <c r="AC142" s="7">
        <f>5</f>
        <v>5</v>
      </c>
      <c r="AD142" s="7">
        <f>2+2</f>
        <v>4</v>
      </c>
      <c r="AE142" s="7">
        <f>2+2</f>
        <v>4</v>
      </c>
      <c r="AF142" s="8"/>
      <c r="AG142" s="4">
        <f t="shared" si="21"/>
        <v>137</v>
      </c>
    </row>
    <row r="143" spans="1:35" ht="19.5" thickBot="1" x14ac:dyDescent="0.3">
      <c r="A143" s="75" t="s">
        <v>86</v>
      </c>
      <c r="B143" s="13">
        <f>18+8</f>
        <v>26</v>
      </c>
      <c r="C143" s="13">
        <f>8+1+15</f>
        <v>24</v>
      </c>
      <c r="D143" s="13">
        <f>18+16</f>
        <v>34</v>
      </c>
      <c r="E143" s="13">
        <f>12+17</f>
        <v>29</v>
      </c>
      <c r="F143" s="13">
        <f>1+6</f>
        <v>7</v>
      </c>
      <c r="G143" s="13">
        <f>7+6</f>
        <v>13</v>
      </c>
      <c r="H143" s="13">
        <f>7+5</f>
        <v>12</v>
      </c>
      <c r="I143" s="13">
        <f>3+17</f>
        <v>20</v>
      </c>
      <c r="J143" s="13">
        <f>15+11</f>
        <v>26</v>
      </c>
      <c r="K143" s="13">
        <f>8+15</f>
        <v>23</v>
      </c>
      <c r="L143" s="13">
        <f>15+9</f>
        <v>24</v>
      </c>
      <c r="M143" s="13">
        <f>4+7</f>
        <v>11</v>
      </c>
      <c r="N143" s="13">
        <f>4+1+3</f>
        <v>8</v>
      </c>
      <c r="O143" s="13">
        <f>8+4</f>
        <v>12</v>
      </c>
      <c r="P143" s="13">
        <f>5+12</f>
        <v>17</v>
      </c>
      <c r="Q143" s="13">
        <f>10+9</f>
        <v>19</v>
      </c>
      <c r="R143" s="13">
        <f>8+1+16</f>
        <v>25</v>
      </c>
      <c r="S143" s="13">
        <f>7+13</f>
        <v>20</v>
      </c>
      <c r="T143" s="13">
        <f>10+5</f>
        <v>15</v>
      </c>
      <c r="U143" s="13">
        <f>6+9</f>
        <v>15</v>
      </c>
      <c r="V143" s="13">
        <f>8+5</f>
        <v>13</v>
      </c>
      <c r="W143" s="13">
        <f>10+10</f>
        <v>20</v>
      </c>
      <c r="X143" s="13">
        <f>13+12</f>
        <v>25</v>
      </c>
      <c r="Y143" s="13">
        <f>9+10</f>
        <v>19</v>
      </c>
      <c r="Z143" s="13">
        <f>10+1+7</f>
        <v>18</v>
      </c>
      <c r="AA143" s="13">
        <f>6+11</f>
        <v>17</v>
      </c>
      <c r="AB143" s="13">
        <f>4+1+11</f>
        <v>16</v>
      </c>
      <c r="AC143" s="13">
        <f>8+11</f>
        <v>19</v>
      </c>
      <c r="AD143" s="13">
        <f>7+7</f>
        <v>14</v>
      </c>
      <c r="AE143" s="13">
        <f>6+11</f>
        <v>17</v>
      </c>
      <c r="AF143" s="14"/>
      <c r="AG143" s="108">
        <f t="shared" si="21"/>
        <v>558</v>
      </c>
    </row>
    <row r="144" spans="1:35" ht="19.5" thickBot="1" x14ac:dyDescent="0.3">
      <c r="A144" s="164" t="s">
        <v>89</v>
      </c>
      <c r="B144" s="165">
        <f t="shared" ref="B144:AD144" si="22">+B146+B156+B158+B167</f>
        <v>207</v>
      </c>
      <c r="C144" s="165">
        <f t="shared" si="22"/>
        <v>194</v>
      </c>
      <c r="D144" s="165">
        <f t="shared" si="22"/>
        <v>193</v>
      </c>
      <c r="E144" s="165">
        <f t="shared" si="22"/>
        <v>161</v>
      </c>
      <c r="F144" s="165">
        <f t="shared" si="22"/>
        <v>129</v>
      </c>
      <c r="G144" s="165">
        <f t="shared" si="22"/>
        <v>138</v>
      </c>
      <c r="H144" s="165">
        <f t="shared" si="22"/>
        <v>108</v>
      </c>
      <c r="I144" s="165">
        <f t="shared" si="22"/>
        <v>133</v>
      </c>
      <c r="J144" s="165">
        <f t="shared" si="22"/>
        <v>207</v>
      </c>
      <c r="K144" s="165">
        <f t="shared" si="22"/>
        <v>211</v>
      </c>
      <c r="L144" s="165">
        <f t="shared" si="22"/>
        <v>172</v>
      </c>
      <c r="M144" s="165">
        <f t="shared" si="22"/>
        <v>110</v>
      </c>
      <c r="N144" s="165">
        <f t="shared" si="22"/>
        <v>137</v>
      </c>
      <c r="O144" s="165">
        <f t="shared" si="22"/>
        <v>127</v>
      </c>
      <c r="P144" s="165">
        <f t="shared" si="22"/>
        <v>146</v>
      </c>
      <c r="Q144" s="165">
        <f t="shared" si="22"/>
        <v>184</v>
      </c>
      <c r="R144" s="165">
        <f t="shared" si="22"/>
        <v>199</v>
      </c>
      <c r="S144" s="165">
        <f t="shared" si="22"/>
        <v>166</v>
      </c>
      <c r="T144" s="165">
        <f t="shared" si="22"/>
        <v>141</v>
      </c>
      <c r="U144" s="165">
        <f t="shared" si="22"/>
        <v>134</v>
      </c>
      <c r="V144" s="165">
        <f t="shared" si="22"/>
        <v>143</v>
      </c>
      <c r="W144" s="165">
        <f t="shared" si="22"/>
        <v>134</v>
      </c>
      <c r="X144" s="165">
        <f t="shared" si="22"/>
        <v>195</v>
      </c>
      <c r="Y144" s="165">
        <f t="shared" si="22"/>
        <v>200</v>
      </c>
      <c r="Z144" s="165">
        <f t="shared" si="22"/>
        <v>165</v>
      </c>
      <c r="AA144" s="165">
        <f t="shared" si="22"/>
        <v>137</v>
      </c>
      <c r="AB144" s="165">
        <f t="shared" si="22"/>
        <v>152</v>
      </c>
      <c r="AC144" s="165">
        <f t="shared" si="22"/>
        <v>159</v>
      </c>
      <c r="AD144" s="165">
        <f t="shared" si="22"/>
        <v>134</v>
      </c>
      <c r="AE144" s="165">
        <f>+AE146+AE156+AE158+AE167</f>
        <v>201</v>
      </c>
      <c r="AF144" s="165">
        <f t="shared" ref="AF144" si="23">+AF146+AF156+AF158+AF167</f>
        <v>0</v>
      </c>
      <c r="AG144" s="116">
        <f t="shared" si="21"/>
        <v>4817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9</v>
      </c>
      <c r="C145" s="161">
        <f t="shared" si="24"/>
        <v>15</v>
      </c>
      <c r="D145" s="161">
        <f t="shared" si="24"/>
        <v>8</v>
      </c>
      <c r="E145" s="161">
        <f t="shared" si="24"/>
        <v>16</v>
      </c>
      <c r="F145" s="161">
        <f t="shared" si="24"/>
        <v>38</v>
      </c>
      <c r="G145" s="161">
        <f t="shared" si="24"/>
        <v>15</v>
      </c>
      <c r="H145" s="161">
        <f t="shared" si="24"/>
        <v>5</v>
      </c>
      <c r="I145" s="161">
        <f t="shared" si="24"/>
        <v>15</v>
      </c>
      <c r="J145" s="161">
        <f t="shared" si="24"/>
        <v>26</v>
      </c>
      <c r="K145" s="161">
        <f t="shared" si="24"/>
        <v>17</v>
      </c>
      <c r="L145" s="161">
        <f t="shared" si="24"/>
        <v>12</v>
      </c>
      <c r="M145" s="161">
        <f t="shared" si="24"/>
        <v>1</v>
      </c>
      <c r="N145" s="161">
        <f t="shared" si="24"/>
        <v>4</v>
      </c>
      <c r="O145" s="161">
        <f t="shared" si="24"/>
        <v>29</v>
      </c>
      <c r="P145" s="161">
        <f t="shared" si="24"/>
        <v>14</v>
      </c>
      <c r="Q145" s="161">
        <f t="shared" si="24"/>
        <v>13</v>
      </c>
      <c r="R145" s="161">
        <f t="shared" si="24"/>
        <v>13</v>
      </c>
      <c r="S145" s="161">
        <f t="shared" si="24"/>
        <v>11</v>
      </c>
      <c r="T145" s="161">
        <f t="shared" si="24"/>
        <v>14</v>
      </c>
      <c r="U145" s="161">
        <f t="shared" si="24"/>
        <v>10</v>
      </c>
      <c r="V145" s="161">
        <f t="shared" si="24"/>
        <v>7</v>
      </c>
      <c r="W145" s="161">
        <f t="shared" si="24"/>
        <v>7</v>
      </c>
      <c r="X145" s="161">
        <f t="shared" si="24"/>
        <v>17</v>
      </c>
      <c r="Y145" s="161">
        <f t="shared" si="24"/>
        <v>21</v>
      </c>
      <c r="Z145" s="161">
        <f t="shared" si="24"/>
        <v>7</v>
      </c>
      <c r="AA145" s="161">
        <f t="shared" si="24"/>
        <v>4</v>
      </c>
      <c r="AB145" s="161">
        <f t="shared" si="24"/>
        <v>13</v>
      </c>
      <c r="AC145" s="161">
        <f t="shared" si="24"/>
        <v>39</v>
      </c>
      <c r="AD145" s="161">
        <f t="shared" si="24"/>
        <v>19</v>
      </c>
      <c r="AE145" s="161">
        <f>+AE149+AE155+AE157+AE172</f>
        <v>31</v>
      </c>
      <c r="AF145" s="162">
        <f t="shared" ref="AF145" si="25">+AF149+AF155+AF157+AF172</f>
        <v>0</v>
      </c>
      <c r="AG145" s="163">
        <f t="shared" si="21"/>
        <v>450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1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1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23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>
        <v>1</v>
      </c>
      <c r="AC154" s="126"/>
      <c r="AD154" s="126"/>
      <c r="AE154" s="126"/>
      <c r="AF154" s="127"/>
      <c r="AG154" s="128">
        <f t="shared" si="28"/>
        <v>1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206</v>
      </c>
      <c r="C156" s="56">
        <v>193</v>
      </c>
      <c r="D156" s="56">
        <v>193</v>
      </c>
      <c r="E156" s="56">
        <v>161</v>
      </c>
      <c r="F156" s="56">
        <v>129</v>
      </c>
      <c r="G156" s="56">
        <v>138</v>
      </c>
      <c r="H156" s="56">
        <v>108</v>
      </c>
      <c r="I156" s="56">
        <v>133</v>
      </c>
      <c r="J156" s="56">
        <v>205</v>
      </c>
      <c r="K156" s="56">
        <v>209</v>
      </c>
      <c r="L156" s="56">
        <v>172</v>
      </c>
      <c r="M156" s="56">
        <v>110</v>
      </c>
      <c r="N156" s="56">
        <v>136</v>
      </c>
      <c r="O156" s="56">
        <v>126</v>
      </c>
      <c r="P156" s="56">
        <v>145</v>
      </c>
      <c r="Q156" s="56">
        <v>184</v>
      </c>
      <c r="R156" s="56">
        <v>199</v>
      </c>
      <c r="S156" s="56">
        <v>166</v>
      </c>
      <c r="T156" s="56">
        <v>141</v>
      </c>
      <c r="U156" s="56">
        <v>134</v>
      </c>
      <c r="V156" s="56">
        <v>142</v>
      </c>
      <c r="W156" s="56">
        <v>131</v>
      </c>
      <c r="X156" s="56">
        <v>194</v>
      </c>
      <c r="Y156" s="56">
        <v>199</v>
      </c>
      <c r="Z156" s="56">
        <v>165</v>
      </c>
      <c r="AA156" s="56">
        <v>137</v>
      </c>
      <c r="AB156" s="56">
        <v>151</v>
      </c>
      <c r="AC156" s="56">
        <v>157</v>
      </c>
      <c r="AD156" s="56">
        <v>132</v>
      </c>
      <c r="AE156" s="56">
        <v>201</v>
      </c>
      <c r="AF156" s="85"/>
      <c r="AG156" s="95">
        <f t="shared" si="28"/>
        <v>4797</v>
      </c>
      <c r="AH156" s="2" t="s">
        <v>84</v>
      </c>
    </row>
    <row r="157" spans="1:34" ht="19.5" thickBot="1" x14ac:dyDescent="0.3">
      <c r="A157" s="75" t="s">
        <v>1</v>
      </c>
      <c r="B157" s="13">
        <v>9</v>
      </c>
      <c r="C157" s="13">
        <v>15</v>
      </c>
      <c r="D157" s="13">
        <v>8</v>
      </c>
      <c r="E157" s="13">
        <v>16</v>
      </c>
      <c r="F157" s="13">
        <v>38</v>
      </c>
      <c r="G157" s="13">
        <v>15</v>
      </c>
      <c r="H157" s="13">
        <v>5</v>
      </c>
      <c r="I157" s="13">
        <v>15</v>
      </c>
      <c r="J157" s="13">
        <v>26</v>
      </c>
      <c r="K157" s="13">
        <v>16</v>
      </c>
      <c r="L157" s="13">
        <v>12</v>
      </c>
      <c r="M157" s="13">
        <v>1</v>
      </c>
      <c r="N157" s="13">
        <v>4</v>
      </c>
      <c r="O157" s="13">
        <v>29</v>
      </c>
      <c r="P157" s="13">
        <v>13</v>
      </c>
      <c r="Q157" s="13">
        <v>13</v>
      </c>
      <c r="R157" s="13">
        <v>13</v>
      </c>
      <c r="S157" s="13">
        <v>11</v>
      </c>
      <c r="T157" s="13">
        <v>14</v>
      </c>
      <c r="U157" s="13">
        <v>10</v>
      </c>
      <c r="V157" s="13">
        <v>7</v>
      </c>
      <c r="W157" s="13">
        <v>7</v>
      </c>
      <c r="X157" s="13">
        <v>16</v>
      </c>
      <c r="Y157" s="13">
        <v>21</v>
      </c>
      <c r="Z157" s="13">
        <v>7</v>
      </c>
      <c r="AA157" s="13">
        <v>4</v>
      </c>
      <c r="AB157" s="13">
        <v>13</v>
      </c>
      <c r="AC157" s="13">
        <v>39</v>
      </c>
      <c r="AD157" s="13">
        <v>19</v>
      </c>
      <c r="AE157" s="13">
        <v>31</v>
      </c>
      <c r="AF157" s="14"/>
      <c r="AG157" s="157">
        <f t="shared" si="28"/>
        <v>447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1</v>
      </c>
      <c r="C158" s="122">
        <f t="shared" si="29"/>
        <v>0</v>
      </c>
      <c r="D158" s="122">
        <f t="shared" si="29"/>
        <v>0</v>
      </c>
      <c r="E158" s="122">
        <f t="shared" si="29"/>
        <v>0</v>
      </c>
      <c r="F158" s="122">
        <f t="shared" si="29"/>
        <v>0</v>
      </c>
      <c r="G158" s="122">
        <f t="shared" si="29"/>
        <v>0</v>
      </c>
      <c r="H158" s="122">
        <f t="shared" si="29"/>
        <v>0</v>
      </c>
      <c r="I158" s="122">
        <f t="shared" si="29"/>
        <v>0</v>
      </c>
      <c r="J158" s="122">
        <f t="shared" si="29"/>
        <v>1</v>
      </c>
      <c r="K158" s="122">
        <f t="shared" si="29"/>
        <v>1</v>
      </c>
      <c r="L158" s="122">
        <f t="shared" si="29"/>
        <v>0</v>
      </c>
      <c r="M158" s="122">
        <f t="shared" si="29"/>
        <v>0</v>
      </c>
      <c r="N158" s="122">
        <f t="shared" si="29"/>
        <v>1</v>
      </c>
      <c r="O158" s="122">
        <f t="shared" si="29"/>
        <v>1</v>
      </c>
      <c r="P158" s="122">
        <f t="shared" si="29"/>
        <v>1</v>
      </c>
      <c r="Q158" s="122">
        <f t="shared" si="29"/>
        <v>0</v>
      </c>
      <c r="R158" s="122">
        <f t="shared" si="29"/>
        <v>0</v>
      </c>
      <c r="S158" s="122">
        <f t="shared" si="29"/>
        <v>0</v>
      </c>
      <c r="T158" s="122">
        <f t="shared" si="29"/>
        <v>0</v>
      </c>
      <c r="U158" s="122">
        <f t="shared" si="29"/>
        <v>0</v>
      </c>
      <c r="V158" s="122">
        <f t="shared" si="29"/>
        <v>1</v>
      </c>
      <c r="W158" s="122">
        <f t="shared" si="29"/>
        <v>2</v>
      </c>
      <c r="X158" s="122">
        <f t="shared" si="29"/>
        <v>1</v>
      </c>
      <c r="Y158" s="122">
        <f t="shared" si="29"/>
        <v>1</v>
      </c>
      <c r="Z158" s="122">
        <f t="shared" si="29"/>
        <v>0</v>
      </c>
      <c r="AA158" s="122">
        <f t="shared" si="29"/>
        <v>0</v>
      </c>
      <c r="AB158" s="122">
        <f t="shared" si="29"/>
        <v>0</v>
      </c>
      <c r="AC158" s="122">
        <f t="shared" si="29"/>
        <v>1</v>
      </c>
      <c r="AD158" s="122">
        <f t="shared" si="29"/>
        <v>2</v>
      </c>
      <c r="AE158" s="122">
        <f t="shared" si="29"/>
        <v>0</v>
      </c>
      <c r="AF158" s="123">
        <f t="shared" si="29"/>
        <v>0</v>
      </c>
      <c r="AG158" s="124">
        <f t="shared" si="28"/>
        <v>14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>
        <v>1</v>
      </c>
      <c r="O159" s="130"/>
      <c r="P159" s="130"/>
      <c r="Q159" s="130"/>
      <c r="R159" s="130"/>
      <c r="S159" s="130"/>
      <c r="T159" s="130"/>
      <c r="U159" s="130"/>
      <c r="V159" s="130"/>
      <c r="W159" s="130"/>
      <c r="X159" s="130">
        <v>1</v>
      </c>
      <c r="Y159" s="130">
        <v>1</v>
      </c>
      <c r="Z159" s="130"/>
      <c r="AA159" s="130"/>
      <c r="AB159" s="130"/>
      <c r="AC159" s="130"/>
      <c r="AD159" s="130"/>
      <c r="AE159" s="130"/>
      <c r="AF159" s="131"/>
      <c r="AG159" s="132">
        <f t="shared" si="28"/>
        <v>3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1</v>
      </c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1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>
        <v>1</v>
      </c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1</v>
      </c>
    </row>
    <row r="162" spans="1:34" ht="18.75" x14ac:dyDescent="0.25">
      <c r="A162" s="50" t="s">
        <v>25</v>
      </c>
      <c r="B162" s="29">
        <v>1</v>
      </c>
      <c r="C162" s="29"/>
      <c r="D162" s="29"/>
      <c r="E162" s="29"/>
      <c r="F162" s="29"/>
      <c r="G162" s="29"/>
      <c r="H162" s="29"/>
      <c r="I162" s="29"/>
      <c r="J162" s="29">
        <v>1</v>
      </c>
      <c r="K162" s="29">
        <v>1</v>
      </c>
      <c r="L162" s="29"/>
      <c r="M162" s="29"/>
      <c r="N162" s="29"/>
      <c r="O162" s="29"/>
      <c r="P162" s="29">
        <v>1</v>
      </c>
      <c r="Q162" s="29"/>
      <c r="R162" s="29"/>
      <c r="S162" s="29"/>
      <c r="T162" s="29"/>
      <c r="U162" s="29"/>
      <c r="V162" s="29"/>
      <c r="W162" s="29">
        <v>1</v>
      </c>
      <c r="X162" s="29"/>
      <c r="Y162" s="29"/>
      <c r="Z162" s="29"/>
      <c r="AA162" s="29"/>
      <c r="AB162" s="29"/>
      <c r="AC162" s="29"/>
      <c r="AD162" s="29">
        <v>1</v>
      </c>
      <c r="AE162" s="29"/>
      <c r="AF162" s="21"/>
      <c r="AG162" s="4">
        <f t="shared" si="28"/>
        <v>6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>
        <v>1</v>
      </c>
      <c r="X165" s="29"/>
      <c r="Y165" s="29"/>
      <c r="Z165" s="29"/>
      <c r="AA165" s="29"/>
      <c r="AB165" s="29"/>
      <c r="AC165" s="29">
        <v>1</v>
      </c>
      <c r="AD165" s="29">
        <v>1</v>
      </c>
      <c r="AE165" s="29"/>
      <c r="AF165" s="21"/>
      <c r="AG165" s="4">
        <f t="shared" si="28"/>
        <v>3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1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0</v>
      </c>
      <c r="H167" s="56">
        <f t="shared" si="30"/>
        <v>0</v>
      </c>
      <c r="I167" s="56">
        <f t="shared" si="30"/>
        <v>0</v>
      </c>
      <c r="J167" s="56">
        <f t="shared" si="30"/>
        <v>1</v>
      </c>
      <c r="K167" s="56">
        <f t="shared" si="30"/>
        <v>1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1</v>
      </c>
      <c r="X167" s="56">
        <f t="shared" si="30"/>
        <v>0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1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5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0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>
        <v>1</v>
      </c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>
        <v>1</v>
      </c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2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>
        <v>1</v>
      </c>
      <c r="D171" s="30"/>
      <c r="E171" s="30"/>
      <c r="F171" s="30"/>
      <c r="G171" s="30"/>
      <c r="H171" s="30"/>
      <c r="I171" s="30"/>
      <c r="J171" s="30">
        <v>1</v>
      </c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>
        <v>1</v>
      </c>
      <c r="AD171" s="30"/>
      <c r="AE171" s="30"/>
      <c r="AF171" s="22"/>
      <c r="AG171" s="28">
        <f t="shared" si="28"/>
        <v>3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>
        <v>1</v>
      </c>
      <c r="L172" s="151"/>
      <c r="M172" s="151"/>
      <c r="N172" s="151"/>
      <c r="O172" s="151"/>
      <c r="P172" s="151">
        <v>1</v>
      </c>
      <c r="Q172" s="151"/>
      <c r="R172" s="151"/>
      <c r="S172" s="151"/>
      <c r="T172" s="151"/>
      <c r="U172" s="151"/>
      <c r="V172" s="151"/>
      <c r="W172" s="151"/>
      <c r="X172" s="151">
        <v>1</v>
      </c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3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1</v>
      </c>
      <c r="E173" s="15">
        <v>1</v>
      </c>
      <c r="F173" s="15">
        <v>0</v>
      </c>
      <c r="G173" s="15">
        <v>0</v>
      </c>
      <c r="H173" s="15">
        <v>0</v>
      </c>
      <c r="I173" s="15">
        <v>0</v>
      </c>
      <c r="J173" s="15">
        <v>4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f>1+1</f>
        <v>2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1</v>
      </c>
      <c r="AE173" s="15">
        <v>0</v>
      </c>
      <c r="AF173" s="23"/>
      <c r="AG173" s="5">
        <f t="shared" si="28"/>
        <v>10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3</v>
      </c>
      <c r="C174" s="16">
        <f t="shared" ref="C174:AF174" si="31">SUM(C175:C176)</f>
        <v>5</v>
      </c>
      <c r="D174" s="16">
        <f t="shared" si="31"/>
        <v>11</v>
      </c>
      <c r="E174" s="16">
        <f t="shared" si="31"/>
        <v>4</v>
      </c>
      <c r="F174" s="16">
        <f t="shared" si="31"/>
        <v>3</v>
      </c>
      <c r="G174" s="16">
        <f t="shared" si="31"/>
        <v>6</v>
      </c>
      <c r="H174" s="16">
        <f t="shared" si="31"/>
        <v>7</v>
      </c>
      <c r="I174" s="16">
        <f t="shared" si="31"/>
        <v>10</v>
      </c>
      <c r="J174" s="16">
        <f t="shared" si="31"/>
        <v>7</v>
      </c>
      <c r="K174" s="16">
        <f t="shared" si="31"/>
        <v>5</v>
      </c>
      <c r="L174" s="16">
        <f t="shared" si="31"/>
        <v>3</v>
      </c>
      <c r="M174" s="16">
        <f t="shared" si="31"/>
        <v>3</v>
      </c>
      <c r="N174" s="16">
        <f t="shared" si="31"/>
        <v>1</v>
      </c>
      <c r="O174" s="16">
        <f t="shared" si="31"/>
        <v>13</v>
      </c>
      <c r="P174" s="16">
        <f t="shared" si="31"/>
        <v>5</v>
      </c>
      <c r="Q174" s="16">
        <f t="shared" si="31"/>
        <v>8</v>
      </c>
      <c r="R174" s="16">
        <f t="shared" si="31"/>
        <v>4</v>
      </c>
      <c r="S174" s="16">
        <f t="shared" si="31"/>
        <v>2</v>
      </c>
      <c r="T174" s="16">
        <f t="shared" si="31"/>
        <v>3</v>
      </c>
      <c r="U174" s="16">
        <f t="shared" si="31"/>
        <v>5</v>
      </c>
      <c r="V174" s="16">
        <f t="shared" si="31"/>
        <v>3</v>
      </c>
      <c r="W174" s="16">
        <f t="shared" si="31"/>
        <v>6</v>
      </c>
      <c r="X174" s="16">
        <f t="shared" si="31"/>
        <v>1</v>
      </c>
      <c r="Y174" s="16">
        <f t="shared" si="31"/>
        <v>11</v>
      </c>
      <c r="Z174" s="16">
        <f t="shared" si="31"/>
        <v>4</v>
      </c>
      <c r="AA174" s="16">
        <f t="shared" si="31"/>
        <v>3</v>
      </c>
      <c r="AB174" s="16">
        <f t="shared" si="31"/>
        <v>4</v>
      </c>
      <c r="AC174" s="16">
        <f t="shared" si="31"/>
        <v>4</v>
      </c>
      <c r="AD174" s="16">
        <f t="shared" si="31"/>
        <v>3</v>
      </c>
      <c r="AE174" s="16">
        <f t="shared" si="31"/>
        <v>5</v>
      </c>
      <c r="AF174" s="24">
        <f t="shared" si="31"/>
        <v>0</v>
      </c>
      <c r="AG174" s="6">
        <f t="shared" si="28"/>
        <v>152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0</v>
      </c>
      <c r="D175" s="15">
        <v>0</v>
      </c>
      <c r="E175" s="15">
        <v>1</v>
      </c>
      <c r="F175" s="15">
        <v>0</v>
      </c>
      <c r="G175" s="15">
        <v>1</v>
      </c>
      <c r="H175" s="15">
        <v>2</v>
      </c>
      <c r="I175" s="15">
        <v>0</v>
      </c>
      <c r="J175" s="15">
        <v>1</v>
      </c>
      <c r="K175" s="15">
        <v>1</v>
      </c>
      <c r="L175" s="15">
        <v>1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2</v>
      </c>
      <c r="Z175" s="15">
        <v>0</v>
      </c>
      <c r="AA175" s="15">
        <v>0</v>
      </c>
      <c r="AB175" s="15">
        <v>0</v>
      </c>
      <c r="AC175" s="15">
        <v>0</v>
      </c>
      <c r="AD175" s="15">
        <v>1</v>
      </c>
      <c r="AE175" s="15">
        <v>1</v>
      </c>
      <c r="AF175" s="23"/>
      <c r="AG175" s="5">
        <f t="shared" si="28"/>
        <v>13</v>
      </c>
      <c r="AH175" s="2" t="s">
        <v>138</v>
      </c>
    </row>
    <row r="176" spans="1:34" ht="19.5" thickBot="1" x14ac:dyDescent="0.3">
      <c r="A176" s="104" t="s">
        <v>119</v>
      </c>
      <c r="B176" s="101">
        <v>2</v>
      </c>
      <c r="C176" s="101">
        <v>5</v>
      </c>
      <c r="D176" s="101">
        <v>11</v>
      </c>
      <c r="E176" s="101">
        <v>3</v>
      </c>
      <c r="F176" s="101">
        <v>3</v>
      </c>
      <c r="G176" s="101">
        <v>5</v>
      </c>
      <c r="H176" s="101">
        <v>5</v>
      </c>
      <c r="I176" s="101">
        <v>10</v>
      </c>
      <c r="J176" s="101">
        <v>6</v>
      </c>
      <c r="K176" s="101">
        <v>4</v>
      </c>
      <c r="L176" s="101">
        <v>2</v>
      </c>
      <c r="M176" s="101">
        <v>3</v>
      </c>
      <c r="N176" s="101">
        <v>1</v>
      </c>
      <c r="O176" s="101">
        <v>13</v>
      </c>
      <c r="P176" s="101">
        <v>4</v>
      </c>
      <c r="Q176" s="101">
        <v>8</v>
      </c>
      <c r="R176" s="101">
        <v>4</v>
      </c>
      <c r="S176" s="101">
        <v>2</v>
      </c>
      <c r="T176" s="101">
        <v>3</v>
      </c>
      <c r="U176" s="101">
        <v>5</v>
      </c>
      <c r="V176" s="101">
        <v>3</v>
      </c>
      <c r="W176" s="101">
        <v>6</v>
      </c>
      <c r="X176" s="101">
        <v>1</v>
      </c>
      <c r="Y176" s="101">
        <v>9</v>
      </c>
      <c r="Z176" s="101">
        <v>4</v>
      </c>
      <c r="AA176" s="101">
        <v>3</v>
      </c>
      <c r="AB176" s="101">
        <v>4</v>
      </c>
      <c r="AC176" s="101">
        <v>4</v>
      </c>
      <c r="AD176" s="101">
        <v>2</v>
      </c>
      <c r="AE176" s="101">
        <v>4</v>
      </c>
      <c r="AF176" s="102"/>
      <c r="AG176" s="103">
        <f t="shared" si="28"/>
        <v>139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SUM(B180:B203)</f>
        <v>21</v>
      </c>
      <c r="C179" s="220">
        <f t="shared" si="32"/>
        <v>12</v>
      </c>
      <c r="D179" s="220">
        <f t="shared" si="32"/>
        <v>18</v>
      </c>
      <c r="E179" s="220">
        <f t="shared" si="32"/>
        <v>13</v>
      </c>
      <c r="F179" s="220">
        <f t="shared" si="32"/>
        <v>16</v>
      </c>
      <c r="G179" s="220">
        <f t="shared" si="32"/>
        <v>8</v>
      </c>
      <c r="H179" s="220">
        <f t="shared" si="32"/>
        <v>11</v>
      </c>
      <c r="I179" s="220">
        <f t="shared" si="32"/>
        <v>16</v>
      </c>
      <c r="J179" s="220">
        <f t="shared" si="32"/>
        <v>15</v>
      </c>
      <c r="K179" s="220">
        <f t="shared" si="32"/>
        <v>25</v>
      </c>
      <c r="L179" s="220">
        <f t="shared" si="32"/>
        <v>23</v>
      </c>
      <c r="M179" s="220">
        <f t="shared" si="32"/>
        <v>20</v>
      </c>
      <c r="N179" s="220">
        <f t="shared" si="32"/>
        <v>20</v>
      </c>
      <c r="O179" s="220">
        <f t="shared" si="32"/>
        <v>23</v>
      </c>
      <c r="P179" s="220">
        <f t="shared" si="32"/>
        <v>20</v>
      </c>
      <c r="Q179" s="220">
        <f t="shared" si="32"/>
        <v>8</v>
      </c>
      <c r="R179" s="220">
        <f t="shared" si="32"/>
        <v>16</v>
      </c>
      <c r="S179" s="220">
        <f t="shared" si="32"/>
        <v>22</v>
      </c>
      <c r="T179" s="220">
        <f t="shared" si="32"/>
        <v>21</v>
      </c>
      <c r="U179" s="220">
        <f t="shared" si="32"/>
        <v>15</v>
      </c>
      <c r="V179" s="220">
        <f t="shared" si="32"/>
        <v>19</v>
      </c>
      <c r="W179" s="220">
        <f t="shared" si="32"/>
        <v>23</v>
      </c>
      <c r="X179" s="220">
        <f t="shared" si="32"/>
        <v>8</v>
      </c>
      <c r="Y179" s="220">
        <f t="shared" si="32"/>
        <v>25</v>
      </c>
      <c r="Z179" s="220">
        <f t="shared" si="32"/>
        <v>22</v>
      </c>
      <c r="AA179" s="220">
        <f t="shared" si="32"/>
        <v>17</v>
      </c>
      <c r="AB179" s="220">
        <f t="shared" si="32"/>
        <v>14</v>
      </c>
      <c r="AC179" s="220">
        <f t="shared" si="32"/>
        <v>16</v>
      </c>
      <c r="AD179" s="220">
        <f t="shared" si="32"/>
        <v>14</v>
      </c>
      <c r="AE179" s="220">
        <f t="shared" si="32"/>
        <v>20</v>
      </c>
      <c r="AF179" s="221">
        <f t="shared" si="32"/>
        <v>0</v>
      </c>
      <c r="AG179" s="156">
        <f t="shared" si="28"/>
        <v>521</v>
      </c>
      <c r="AH179" s="38"/>
    </row>
    <row r="180" spans="1:34" ht="18.75" x14ac:dyDescent="0.25">
      <c r="A180" s="109" t="s">
        <v>4</v>
      </c>
      <c r="B180" s="216">
        <v>7</v>
      </c>
      <c r="C180" s="216">
        <v>5</v>
      </c>
      <c r="D180" s="216">
        <v>1</v>
      </c>
      <c r="E180" s="216">
        <v>6</v>
      </c>
      <c r="F180" s="216">
        <v>4</v>
      </c>
      <c r="G180" s="216">
        <v>3</v>
      </c>
      <c r="H180" s="216">
        <v>3</v>
      </c>
      <c r="I180" s="216">
        <v>8</v>
      </c>
      <c r="J180" s="216">
        <v>7</v>
      </c>
      <c r="K180" s="216">
        <v>8</v>
      </c>
      <c r="L180" s="216">
        <v>2</v>
      </c>
      <c r="M180" s="216">
        <v>7</v>
      </c>
      <c r="N180" s="217">
        <v>8</v>
      </c>
      <c r="O180" s="217">
        <v>6</v>
      </c>
      <c r="P180" s="217">
        <v>5</v>
      </c>
      <c r="Q180" s="217">
        <v>7</v>
      </c>
      <c r="R180" s="217">
        <v>15</v>
      </c>
      <c r="S180" s="217">
        <v>8</v>
      </c>
      <c r="T180" s="217">
        <v>7</v>
      </c>
      <c r="U180" s="217">
        <v>5</v>
      </c>
      <c r="V180" s="217">
        <v>10</v>
      </c>
      <c r="W180" s="217">
        <v>6</v>
      </c>
      <c r="X180" s="217">
        <v>5</v>
      </c>
      <c r="Y180" s="217">
        <v>10</v>
      </c>
      <c r="Z180" s="217">
        <v>5</v>
      </c>
      <c r="AA180" s="217">
        <v>5</v>
      </c>
      <c r="AB180" s="217">
        <v>6</v>
      </c>
      <c r="AC180" s="217">
        <v>10</v>
      </c>
      <c r="AD180" s="217">
        <v>3</v>
      </c>
      <c r="AE180" s="217">
        <v>11</v>
      </c>
      <c r="AF180" s="218"/>
      <c r="AG180" s="31">
        <f t="shared" si="28"/>
        <v>193</v>
      </c>
    </row>
    <row r="181" spans="1:34" ht="18.75" x14ac:dyDescent="0.25">
      <c r="A181" s="109" t="s">
        <v>122</v>
      </c>
      <c r="B181" s="147"/>
      <c r="C181" s="147">
        <v>1</v>
      </c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>
        <v>3</v>
      </c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4</v>
      </c>
    </row>
    <row r="182" spans="1:34" ht="18.75" x14ac:dyDescent="0.25">
      <c r="A182" s="109" t="s">
        <v>123</v>
      </c>
      <c r="B182" s="147">
        <v>12</v>
      </c>
      <c r="C182" s="147">
        <v>2</v>
      </c>
      <c r="D182" s="147">
        <v>14</v>
      </c>
      <c r="E182" s="147">
        <v>6</v>
      </c>
      <c r="F182" s="147">
        <v>6</v>
      </c>
      <c r="G182" s="147">
        <v>4</v>
      </c>
      <c r="H182" s="147"/>
      <c r="I182" s="147">
        <v>7</v>
      </c>
      <c r="J182" s="147"/>
      <c r="K182" s="147">
        <v>13</v>
      </c>
      <c r="L182" s="147">
        <v>18</v>
      </c>
      <c r="M182" s="147">
        <v>10</v>
      </c>
      <c r="N182" s="17">
        <v>10</v>
      </c>
      <c r="O182" s="17">
        <v>1</v>
      </c>
      <c r="P182" s="17">
        <v>7</v>
      </c>
      <c r="Q182" s="17"/>
      <c r="R182" s="17"/>
      <c r="S182" s="17">
        <v>10</v>
      </c>
      <c r="T182" s="17">
        <v>12</v>
      </c>
      <c r="U182" s="17">
        <v>4</v>
      </c>
      <c r="V182" s="17">
        <v>5</v>
      </c>
      <c r="W182" s="17">
        <v>10</v>
      </c>
      <c r="X182" s="17"/>
      <c r="Y182" s="17">
        <v>15</v>
      </c>
      <c r="Z182" s="17">
        <v>16</v>
      </c>
      <c r="AA182" s="17">
        <v>12</v>
      </c>
      <c r="AB182" s="17"/>
      <c r="AC182" s="17">
        <v>5</v>
      </c>
      <c r="AD182" s="17">
        <v>10</v>
      </c>
      <c r="AE182" s="17">
        <v>4</v>
      </c>
      <c r="AF182" s="18"/>
      <c r="AG182" s="4">
        <f t="shared" si="28"/>
        <v>213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>
        <v>1</v>
      </c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8"/>
      <c r="AG184" s="4">
        <f t="shared" si="28"/>
        <v>1</v>
      </c>
    </row>
    <row r="185" spans="1:34" ht="18.75" x14ac:dyDescent="0.25">
      <c r="A185" s="109" t="s">
        <v>141</v>
      </c>
      <c r="B185" s="147"/>
      <c r="C185" s="147"/>
      <c r="D185" s="147"/>
      <c r="E185" s="147">
        <v>1</v>
      </c>
      <c r="F185" s="147"/>
      <c r="G185" s="147"/>
      <c r="H185" s="147">
        <v>1</v>
      </c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2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139</v>
      </c>
      <c r="B187" s="147"/>
      <c r="C187" s="147"/>
      <c r="D187" s="147"/>
      <c r="E187" s="147"/>
      <c r="F187" s="147"/>
      <c r="G187" s="147"/>
      <c r="H187" s="147">
        <v>4</v>
      </c>
      <c r="I187" s="147"/>
      <c r="J187" s="147"/>
      <c r="K187" s="147"/>
      <c r="L187" s="147"/>
      <c r="M187" s="147"/>
      <c r="N187" s="17"/>
      <c r="O187" s="17">
        <v>5</v>
      </c>
      <c r="P187" s="17">
        <v>3</v>
      </c>
      <c r="Q187" s="17">
        <v>1</v>
      </c>
      <c r="R187" s="17"/>
      <c r="S187" s="17"/>
      <c r="T187" s="17"/>
      <c r="U187" s="17"/>
      <c r="V187" s="17">
        <v>2</v>
      </c>
      <c r="W187" s="17">
        <v>3</v>
      </c>
      <c r="X187" s="17"/>
      <c r="Y187" s="17"/>
      <c r="Z187" s="17"/>
      <c r="AA187" s="17"/>
      <c r="AB187" s="17">
        <v>6</v>
      </c>
      <c r="AC187" s="17"/>
      <c r="AD187" s="17"/>
      <c r="AE187" s="17"/>
      <c r="AF187" s="18"/>
      <c r="AG187" s="4">
        <f t="shared" si="28"/>
        <v>24</v>
      </c>
    </row>
    <row r="188" spans="1:34" ht="18.75" x14ac:dyDescent="0.25">
      <c r="A188" s="110" t="s">
        <v>63</v>
      </c>
      <c r="B188" s="147"/>
      <c r="C188" s="147"/>
      <c r="D188" s="147"/>
      <c r="E188" s="147"/>
      <c r="F188" s="147">
        <v>1</v>
      </c>
      <c r="G188" s="147">
        <v>1</v>
      </c>
      <c r="H188" s="147">
        <v>1</v>
      </c>
      <c r="I188" s="147"/>
      <c r="J188" s="147"/>
      <c r="K188" s="147"/>
      <c r="L188" s="147">
        <v>1</v>
      </c>
      <c r="M188" s="147"/>
      <c r="N188" s="17">
        <v>1</v>
      </c>
      <c r="O188" s="17"/>
      <c r="P188" s="17">
        <v>2</v>
      </c>
      <c r="Q188" s="17"/>
      <c r="R188" s="17"/>
      <c r="S188" s="17">
        <v>1</v>
      </c>
      <c r="T188" s="17"/>
      <c r="U188" s="17"/>
      <c r="V188" s="17"/>
      <c r="W188" s="17"/>
      <c r="X188" s="17"/>
      <c r="Y188" s="17"/>
      <c r="Z188" s="17"/>
      <c r="AA188" s="17"/>
      <c r="AB188" s="17">
        <v>1</v>
      </c>
      <c r="AC188" s="17">
        <v>1</v>
      </c>
      <c r="AD188" s="17"/>
      <c r="AE188" s="17"/>
      <c r="AF188" s="18"/>
      <c r="AG188" s="4">
        <f t="shared" si="28"/>
        <v>10</v>
      </c>
    </row>
    <row r="189" spans="1:34" ht="18.75" x14ac:dyDescent="0.25">
      <c r="A189" s="110" t="s">
        <v>142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>
        <v>1</v>
      </c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1</v>
      </c>
    </row>
    <row r="190" spans="1:34" ht="18.75" x14ac:dyDescent="0.25">
      <c r="A190" s="110" t="s">
        <v>168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169</v>
      </c>
      <c r="B191" s="147"/>
      <c r="C191" s="147"/>
      <c r="D191" s="147"/>
      <c r="E191" s="147"/>
      <c r="F191" s="147"/>
      <c r="G191" s="147"/>
      <c r="H191" s="147">
        <v>1</v>
      </c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1</v>
      </c>
    </row>
    <row r="192" spans="1:34" ht="18.75" x14ac:dyDescent="0.25">
      <c r="A192" s="243" t="s">
        <v>5</v>
      </c>
      <c r="B192" s="244">
        <v>2</v>
      </c>
      <c r="C192" s="244">
        <v>3</v>
      </c>
      <c r="D192" s="244"/>
      <c r="E192" s="244"/>
      <c r="F192" s="244">
        <v>2</v>
      </c>
      <c r="G192" s="244"/>
      <c r="H192" s="244">
        <v>1</v>
      </c>
      <c r="I192" s="244">
        <v>1</v>
      </c>
      <c r="J192" s="244">
        <v>6</v>
      </c>
      <c r="K192" s="244">
        <v>2</v>
      </c>
      <c r="L192" s="244"/>
      <c r="M192" s="244"/>
      <c r="N192" s="245"/>
      <c r="O192" s="245">
        <v>3</v>
      </c>
      <c r="P192" s="245">
        <v>1</v>
      </c>
      <c r="Q192" s="245"/>
      <c r="R192" s="245"/>
      <c r="S192" s="245"/>
      <c r="T192" s="245"/>
      <c r="U192" s="245">
        <v>1</v>
      </c>
      <c r="V192" s="245">
        <v>1</v>
      </c>
      <c r="W192" s="245">
        <v>2</v>
      </c>
      <c r="X192" s="245">
        <v>1</v>
      </c>
      <c r="Y192" s="245"/>
      <c r="Z192" s="245"/>
      <c r="AA192" s="245"/>
      <c r="AB192" s="245"/>
      <c r="AC192" s="245"/>
      <c r="AD192" s="245"/>
      <c r="AE192" s="245">
        <v>2</v>
      </c>
      <c r="AF192" s="246"/>
      <c r="AG192" s="247">
        <f t="shared" si="28"/>
        <v>28</v>
      </c>
    </row>
    <row r="193" spans="1:34" ht="18.75" x14ac:dyDescent="0.25">
      <c r="A193" s="111" t="s">
        <v>175</v>
      </c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4">
        <f t="shared" si="28"/>
        <v>0</v>
      </c>
    </row>
    <row r="194" spans="1:34" ht="18.75" x14ac:dyDescent="0.25">
      <c r="A194" s="111" t="s">
        <v>172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174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88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>
        <v>1</v>
      </c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1</v>
      </c>
    </row>
    <row r="197" spans="1:34" ht="18.75" x14ac:dyDescent="0.25">
      <c r="A197" s="111" t="s">
        <v>143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>
        <v>1</v>
      </c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1</v>
      </c>
    </row>
    <row r="198" spans="1:34" ht="18.75" x14ac:dyDescent="0.25">
      <c r="A198" s="110" t="s">
        <v>124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>
        <v>1</v>
      </c>
      <c r="O198" s="17"/>
      <c r="P198" s="17"/>
      <c r="Q198" s="17"/>
      <c r="R198" s="17"/>
      <c r="S198" s="17"/>
      <c r="T198" s="17">
        <v>1</v>
      </c>
      <c r="U198" s="17">
        <v>2</v>
      </c>
      <c r="V198" s="17"/>
      <c r="W198" s="17"/>
      <c r="X198" s="17"/>
      <c r="Y198" s="17"/>
      <c r="Z198" s="17"/>
      <c r="AA198" s="17"/>
      <c r="AB198" s="17"/>
      <c r="AC198" s="17"/>
      <c r="AD198" s="17">
        <v>1</v>
      </c>
      <c r="AE198" s="17"/>
      <c r="AF198" s="18"/>
      <c r="AG198" s="4">
        <f t="shared" si="28"/>
        <v>5</v>
      </c>
    </row>
    <row r="199" spans="1:34" ht="18.75" x14ac:dyDescent="0.25">
      <c r="A199" s="110" t="s">
        <v>167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125</v>
      </c>
      <c r="B200" s="147"/>
      <c r="C200" s="147"/>
      <c r="D200" s="147">
        <v>2</v>
      </c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>
        <v>1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3</v>
      </c>
    </row>
    <row r="201" spans="1:34" ht="18.75" x14ac:dyDescent="0.25">
      <c r="A201" s="110" t="s">
        <v>126</v>
      </c>
      <c r="B201" s="202"/>
      <c r="C201" s="202">
        <v>1</v>
      </c>
      <c r="D201" s="202">
        <v>1</v>
      </c>
      <c r="E201" s="202"/>
      <c r="F201" s="202">
        <v>3</v>
      </c>
      <c r="G201" s="202"/>
      <c r="H201" s="202"/>
      <c r="I201" s="202"/>
      <c r="J201" s="202">
        <v>1</v>
      </c>
      <c r="K201" s="202">
        <v>2</v>
      </c>
      <c r="L201" s="202"/>
      <c r="M201" s="202">
        <v>1</v>
      </c>
      <c r="N201" s="203"/>
      <c r="O201" s="203">
        <v>4</v>
      </c>
      <c r="P201" s="203">
        <v>2</v>
      </c>
      <c r="Q201" s="203"/>
      <c r="R201" s="203">
        <v>1</v>
      </c>
      <c r="S201" s="203">
        <v>2</v>
      </c>
      <c r="T201" s="203">
        <v>1</v>
      </c>
      <c r="U201" s="203">
        <v>3</v>
      </c>
      <c r="V201" s="203"/>
      <c r="W201" s="203">
        <v>2</v>
      </c>
      <c r="X201" s="203">
        <v>1</v>
      </c>
      <c r="Y201" s="203"/>
      <c r="Z201" s="203">
        <v>1</v>
      </c>
      <c r="AA201" s="203"/>
      <c r="AB201" s="203">
        <v>1</v>
      </c>
      <c r="AC201" s="203"/>
      <c r="AD201" s="203"/>
      <c r="AE201" s="203">
        <v>3</v>
      </c>
      <c r="AF201" s="204"/>
      <c r="AG201" s="4">
        <f t="shared" si="28"/>
        <v>30</v>
      </c>
    </row>
    <row r="202" spans="1:34" ht="18.75" x14ac:dyDescent="0.25">
      <c r="A202" s="112" t="s">
        <v>170</v>
      </c>
      <c r="B202" s="202"/>
      <c r="C202" s="202"/>
      <c r="D202" s="202"/>
      <c r="E202" s="202"/>
      <c r="F202" s="202"/>
      <c r="G202" s="202"/>
      <c r="H202" s="202"/>
      <c r="I202" s="202"/>
      <c r="J202" s="202">
        <v>1</v>
      </c>
      <c r="K202" s="202"/>
      <c r="L202" s="202"/>
      <c r="M202" s="202">
        <v>2</v>
      </c>
      <c r="N202" s="203"/>
      <c r="O202" s="203">
        <v>1</v>
      </c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4"/>
      <c r="AG202" s="4">
        <f t="shared" si="28"/>
        <v>4</v>
      </c>
    </row>
    <row r="203" spans="1:34" ht="19.5" thickBot="1" x14ac:dyDescent="0.3">
      <c r="A203" s="235" t="s">
        <v>166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28">
        <f t="shared" si="28"/>
        <v>0</v>
      </c>
    </row>
    <row r="204" spans="1:34" ht="19.5" thickBot="1" x14ac:dyDescent="0.3">
      <c r="A204" s="215" t="s">
        <v>83</v>
      </c>
      <c r="B204" s="209">
        <f>SUM(B205:B209)</f>
        <v>207</v>
      </c>
      <c r="C204" s="210">
        <f t="shared" ref="C204:AF204" si="33">SUM(C205:C209)</f>
        <v>194</v>
      </c>
      <c r="D204" s="210">
        <f t="shared" si="33"/>
        <v>193</v>
      </c>
      <c r="E204" s="210">
        <f t="shared" si="33"/>
        <v>161</v>
      </c>
      <c r="F204" s="210">
        <f t="shared" si="33"/>
        <v>129</v>
      </c>
      <c r="G204" s="210">
        <f t="shared" si="33"/>
        <v>138</v>
      </c>
      <c r="H204" s="210">
        <f t="shared" si="33"/>
        <v>108</v>
      </c>
      <c r="I204" s="210">
        <f t="shared" si="33"/>
        <v>133</v>
      </c>
      <c r="J204" s="210">
        <f t="shared" si="33"/>
        <v>207</v>
      </c>
      <c r="K204" s="210">
        <f t="shared" si="33"/>
        <v>211</v>
      </c>
      <c r="L204" s="210">
        <f t="shared" si="33"/>
        <v>172</v>
      </c>
      <c r="M204" s="210">
        <f t="shared" si="33"/>
        <v>110</v>
      </c>
      <c r="N204" s="211">
        <f t="shared" si="33"/>
        <v>137</v>
      </c>
      <c r="O204" s="211">
        <f t="shared" si="33"/>
        <v>127</v>
      </c>
      <c r="P204" s="211">
        <f t="shared" si="33"/>
        <v>146</v>
      </c>
      <c r="Q204" s="211">
        <f t="shared" si="33"/>
        <v>184</v>
      </c>
      <c r="R204" s="211">
        <f t="shared" si="33"/>
        <v>199</v>
      </c>
      <c r="S204" s="211">
        <f t="shared" si="33"/>
        <v>166</v>
      </c>
      <c r="T204" s="211">
        <f t="shared" si="33"/>
        <v>141</v>
      </c>
      <c r="U204" s="211">
        <f t="shared" si="33"/>
        <v>134</v>
      </c>
      <c r="V204" s="211">
        <f t="shared" si="33"/>
        <v>143</v>
      </c>
      <c r="W204" s="211">
        <f t="shared" si="33"/>
        <v>134</v>
      </c>
      <c r="X204" s="211">
        <f t="shared" si="33"/>
        <v>195</v>
      </c>
      <c r="Y204" s="211">
        <f t="shared" si="33"/>
        <v>200</v>
      </c>
      <c r="Z204" s="211">
        <f t="shared" si="33"/>
        <v>165</v>
      </c>
      <c r="AA204" s="211">
        <f t="shared" si="33"/>
        <v>137</v>
      </c>
      <c r="AB204" s="211">
        <f t="shared" si="33"/>
        <v>152</v>
      </c>
      <c r="AC204" s="211">
        <f t="shared" si="33"/>
        <v>159</v>
      </c>
      <c r="AD204" s="211">
        <f t="shared" si="33"/>
        <v>134</v>
      </c>
      <c r="AE204" s="211">
        <f t="shared" si="33"/>
        <v>201</v>
      </c>
      <c r="AF204" s="212">
        <f t="shared" si="33"/>
        <v>0</v>
      </c>
      <c r="AG204" s="213">
        <f t="shared" si="28"/>
        <v>4817</v>
      </c>
      <c r="AH204" s="180" t="str">
        <f>IF(AG204&lt;&gt;AG93,"X","")</f>
        <v/>
      </c>
    </row>
    <row r="205" spans="1:34" ht="18.75" x14ac:dyDescent="0.25">
      <c r="A205" s="214" t="s">
        <v>72</v>
      </c>
      <c r="B205" s="205"/>
      <c r="C205" s="205"/>
      <c r="D205" s="205"/>
      <c r="E205" s="205"/>
      <c r="F205" s="205"/>
      <c r="G205" s="205">
        <v>1</v>
      </c>
      <c r="H205" s="205"/>
      <c r="I205" s="205"/>
      <c r="J205" s="205"/>
      <c r="K205" s="205"/>
      <c r="L205" s="205"/>
      <c r="M205" s="205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7"/>
      <c r="AG205" s="208">
        <f t="shared" si="28"/>
        <v>1</v>
      </c>
    </row>
    <row r="206" spans="1:34" ht="18.75" x14ac:dyDescent="0.25">
      <c r="A206" s="52" t="s">
        <v>73</v>
      </c>
      <c r="B206" s="148">
        <v>4</v>
      </c>
      <c r="C206" s="148">
        <v>3</v>
      </c>
      <c r="D206" s="148">
        <v>2</v>
      </c>
      <c r="E206" s="148">
        <v>2</v>
      </c>
      <c r="F206" s="148"/>
      <c r="G206" s="148"/>
      <c r="H206" s="148"/>
      <c r="I206" s="148"/>
      <c r="J206" s="148">
        <v>5</v>
      </c>
      <c r="K206" s="148">
        <v>2</v>
      </c>
      <c r="L206" s="148">
        <v>1</v>
      </c>
      <c r="M206" s="148"/>
      <c r="N206" s="33"/>
      <c r="O206" s="33">
        <v>2</v>
      </c>
      <c r="P206" s="33">
        <v>2</v>
      </c>
      <c r="Q206" s="33">
        <v>4</v>
      </c>
      <c r="R206" s="33"/>
      <c r="S206" s="33"/>
      <c r="T206" s="33">
        <v>1</v>
      </c>
      <c r="U206" s="33">
        <v>3</v>
      </c>
      <c r="V206" s="33">
        <v>2</v>
      </c>
      <c r="W206" s="33">
        <v>1</v>
      </c>
      <c r="X206" s="33"/>
      <c r="Y206" s="33">
        <v>3</v>
      </c>
      <c r="Z206" s="33"/>
      <c r="AA206" s="33"/>
      <c r="AB206" s="33"/>
      <c r="AC206" s="33">
        <v>2</v>
      </c>
      <c r="AD206" s="33"/>
      <c r="AE206" s="33">
        <v>2</v>
      </c>
      <c r="AF206" s="88"/>
      <c r="AG206" s="97">
        <f t="shared" si="28"/>
        <v>41</v>
      </c>
    </row>
    <row r="207" spans="1:34" ht="18.75" x14ac:dyDescent="0.25">
      <c r="A207" s="52" t="s">
        <v>74</v>
      </c>
      <c r="B207" s="148">
        <v>24</v>
      </c>
      <c r="C207" s="148">
        <v>19</v>
      </c>
      <c r="D207" s="148">
        <v>12</v>
      </c>
      <c r="E207" s="148">
        <v>16</v>
      </c>
      <c r="F207" s="148">
        <v>12</v>
      </c>
      <c r="G207" s="148">
        <v>29</v>
      </c>
      <c r="H207" s="148">
        <v>9</v>
      </c>
      <c r="I207" s="148">
        <v>23</v>
      </c>
      <c r="J207" s="148">
        <v>54</v>
      </c>
      <c r="K207" s="148">
        <v>18</v>
      </c>
      <c r="L207" s="148">
        <v>14</v>
      </c>
      <c r="M207" s="148">
        <v>10</v>
      </c>
      <c r="N207" s="33">
        <v>12</v>
      </c>
      <c r="O207" s="33">
        <v>15</v>
      </c>
      <c r="P207" s="33">
        <v>14</v>
      </c>
      <c r="Q207" s="33">
        <v>19</v>
      </c>
      <c r="R207" s="33">
        <v>28</v>
      </c>
      <c r="S207" s="33">
        <v>14</v>
      </c>
      <c r="T207" s="33">
        <v>9</v>
      </c>
      <c r="U207" s="33">
        <v>22</v>
      </c>
      <c r="V207" s="33">
        <v>20</v>
      </c>
      <c r="W207" s="33">
        <v>16</v>
      </c>
      <c r="X207" s="33">
        <v>19</v>
      </c>
      <c r="Y207" s="33">
        <v>26</v>
      </c>
      <c r="Z207" s="33">
        <v>13</v>
      </c>
      <c r="AA207" s="33">
        <v>11</v>
      </c>
      <c r="AB207" s="33">
        <v>14</v>
      </c>
      <c r="AC207" s="33">
        <v>27</v>
      </c>
      <c r="AD207" s="33">
        <v>10</v>
      </c>
      <c r="AE207" s="33">
        <v>31</v>
      </c>
      <c r="AF207" s="88"/>
      <c r="AG207" s="97">
        <f t="shared" si="28"/>
        <v>560</v>
      </c>
    </row>
    <row r="208" spans="1:34" ht="18.75" x14ac:dyDescent="0.25">
      <c r="A208" s="52" t="s">
        <v>75</v>
      </c>
      <c r="B208" s="148">
        <v>121</v>
      </c>
      <c r="C208" s="148">
        <v>111</v>
      </c>
      <c r="D208" s="148">
        <v>114</v>
      </c>
      <c r="E208" s="148">
        <v>118</v>
      </c>
      <c r="F208" s="148">
        <v>111</v>
      </c>
      <c r="G208" s="148">
        <v>95</v>
      </c>
      <c r="H208" s="148">
        <v>82</v>
      </c>
      <c r="I208" s="148">
        <v>95</v>
      </c>
      <c r="J208" s="148">
        <v>117</v>
      </c>
      <c r="K208" s="148">
        <v>146</v>
      </c>
      <c r="L208" s="148">
        <v>131</v>
      </c>
      <c r="M208" s="148">
        <v>92</v>
      </c>
      <c r="N208" s="33">
        <v>102</v>
      </c>
      <c r="O208" s="33">
        <v>104</v>
      </c>
      <c r="P208" s="33">
        <v>101</v>
      </c>
      <c r="Q208" s="33">
        <v>114</v>
      </c>
      <c r="R208" s="33">
        <v>147</v>
      </c>
      <c r="S208" s="33">
        <v>131</v>
      </c>
      <c r="T208" s="33">
        <v>123</v>
      </c>
      <c r="U208" s="33">
        <v>95</v>
      </c>
      <c r="V208" s="33">
        <v>113</v>
      </c>
      <c r="W208" s="33">
        <v>92</v>
      </c>
      <c r="X208" s="33">
        <v>118</v>
      </c>
      <c r="Y208" s="33">
        <v>121</v>
      </c>
      <c r="Z208" s="33">
        <v>126</v>
      </c>
      <c r="AA208" s="33">
        <v>112</v>
      </c>
      <c r="AB208" s="33">
        <v>116</v>
      </c>
      <c r="AC208" s="33">
        <v>95</v>
      </c>
      <c r="AD208" s="33">
        <v>105</v>
      </c>
      <c r="AE208" s="33">
        <v>110</v>
      </c>
      <c r="AF208" s="88"/>
      <c r="AG208" s="97">
        <f t="shared" si="28"/>
        <v>3358</v>
      </c>
    </row>
    <row r="209" spans="1:34" ht="19.5" thickBot="1" x14ac:dyDescent="0.3">
      <c r="A209" s="63" t="s">
        <v>76</v>
      </c>
      <c r="B209" s="149">
        <v>58</v>
      </c>
      <c r="C209" s="149">
        <v>61</v>
      </c>
      <c r="D209" s="149">
        <v>65</v>
      </c>
      <c r="E209" s="149">
        <v>25</v>
      </c>
      <c r="F209" s="149">
        <v>6</v>
      </c>
      <c r="G209" s="149">
        <v>13</v>
      </c>
      <c r="H209" s="149">
        <v>17</v>
      </c>
      <c r="I209" s="149">
        <v>15</v>
      </c>
      <c r="J209" s="149">
        <v>31</v>
      </c>
      <c r="K209" s="149">
        <v>45</v>
      </c>
      <c r="L209" s="149">
        <v>26</v>
      </c>
      <c r="M209" s="149">
        <v>8</v>
      </c>
      <c r="N209" s="34">
        <v>23</v>
      </c>
      <c r="O209" s="34">
        <v>6</v>
      </c>
      <c r="P209" s="34">
        <v>29</v>
      </c>
      <c r="Q209" s="34">
        <v>47</v>
      </c>
      <c r="R209" s="34">
        <v>24</v>
      </c>
      <c r="S209" s="34">
        <v>21</v>
      </c>
      <c r="T209" s="34">
        <v>8</v>
      </c>
      <c r="U209" s="34">
        <v>14</v>
      </c>
      <c r="V209" s="34">
        <v>8</v>
      </c>
      <c r="W209" s="34">
        <v>25</v>
      </c>
      <c r="X209" s="34">
        <v>58</v>
      </c>
      <c r="Y209" s="34">
        <v>50</v>
      </c>
      <c r="Z209" s="34">
        <v>26</v>
      </c>
      <c r="AA209" s="34">
        <v>14</v>
      </c>
      <c r="AB209" s="34">
        <v>22</v>
      </c>
      <c r="AC209" s="34">
        <v>35</v>
      </c>
      <c r="AD209" s="34">
        <v>19</v>
      </c>
      <c r="AE209" s="34">
        <v>58</v>
      </c>
      <c r="AF209" s="89"/>
      <c r="AG209" s="35">
        <f t="shared" si="28"/>
        <v>857</v>
      </c>
    </row>
    <row r="210" spans="1:34" ht="19.5" thickBot="1" x14ac:dyDescent="0.3">
      <c r="A210" s="60" t="s">
        <v>64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90"/>
      <c r="AG210" s="98"/>
    </row>
    <row r="211" spans="1:34" ht="18.75" x14ac:dyDescent="0.25">
      <c r="A211" s="43" t="s">
        <v>77</v>
      </c>
      <c r="B211" s="19">
        <v>5.5555555555555558E-3</v>
      </c>
      <c r="C211" s="19">
        <v>6.9444444444444441E-3</v>
      </c>
      <c r="D211" s="19">
        <v>1.0416666666666666E-2</v>
      </c>
      <c r="E211" s="19">
        <v>3.1944444444444449E-2</v>
      </c>
      <c r="F211" s="19">
        <v>4.027777777777778E-2</v>
      </c>
      <c r="G211" s="19">
        <v>2.0833333333333332E-2</v>
      </c>
      <c r="H211" s="19">
        <v>1.3194444444444444E-2</v>
      </c>
      <c r="I211" s="19">
        <v>1.4583333333333332E-2</v>
      </c>
      <c r="J211" s="19">
        <v>6.9444444444444441E-3</v>
      </c>
      <c r="K211" s="19">
        <v>6.2499999999999995E-3</v>
      </c>
      <c r="L211" s="19">
        <v>3.5416666666666666E-2</v>
      </c>
      <c r="M211" s="19">
        <v>8.3333333333333332E-3</v>
      </c>
      <c r="N211" s="19">
        <v>1.2499999999999999E-2</v>
      </c>
      <c r="O211" s="19">
        <v>3.2638888888888891E-2</v>
      </c>
      <c r="P211" s="19">
        <v>1.3194444444444444E-2</v>
      </c>
      <c r="Q211" s="19">
        <v>7.6388888888888886E-3</v>
      </c>
      <c r="R211" s="19">
        <v>6.2499999999999995E-3</v>
      </c>
      <c r="S211" s="19">
        <v>8.3333333333333332E-3</v>
      </c>
      <c r="T211" s="19">
        <v>2.361111111111111E-2</v>
      </c>
      <c r="U211" s="19">
        <v>2.2222222222222223E-2</v>
      </c>
      <c r="V211" s="19">
        <v>1.2499999999999999E-2</v>
      </c>
      <c r="W211" s="19">
        <v>6.9444444444444441E-3</v>
      </c>
      <c r="X211" s="19">
        <v>9.0277777777777787E-3</v>
      </c>
      <c r="Y211" s="19">
        <v>1.2499999999999999E-2</v>
      </c>
      <c r="Z211" s="19">
        <v>3.1944444444444449E-2</v>
      </c>
      <c r="AA211" s="19">
        <v>2.013888888888889E-2</v>
      </c>
      <c r="AB211" s="19">
        <v>2.2222222222222223E-2</v>
      </c>
      <c r="AC211" s="19">
        <v>2.0833333333333332E-2</v>
      </c>
      <c r="AD211" s="19">
        <v>1.8749999999999999E-2</v>
      </c>
      <c r="AE211" s="19">
        <v>5.5555555555555558E-3</v>
      </c>
      <c r="AF211" s="25"/>
      <c r="AG211" s="99">
        <f t="shared" si="28"/>
        <v>0.48749999999999993</v>
      </c>
      <c r="AH211" s="376" t="s">
        <v>85</v>
      </c>
    </row>
    <row r="212" spans="1:34" ht="18.75" x14ac:dyDescent="0.25">
      <c r="A212" s="53" t="s">
        <v>110</v>
      </c>
      <c r="B212" s="39">
        <v>4.1666666666666666E-3</v>
      </c>
      <c r="C212" s="39">
        <v>4.8611111111111112E-3</v>
      </c>
      <c r="D212" s="39">
        <v>1.3888888888888888E-2</v>
      </c>
      <c r="E212" s="39">
        <v>4.1666666666666664E-2</v>
      </c>
      <c r="F212" s="39">
        <v>3.2638888888888891E-2</v>
      </c>
      <c r="G212" s="39">
        <v>2.4999999999999998E-2</v>
      </c>
      <c r="H212" s="39">
        <v>2.2916666666666669E-2</v>
      </c>
      <c r="I212" s="39">
        <v>2.2916666666666669E-2</v>
      </c>
      <c r="J212" s="39">
        <v>5.5555555555555558E-3</v>
      </c>
      <c r="K212" s="39">
        <v>5.5555555555555558E-3</v>
      </c>
      <c r="L212" s="39">
        <v>4.4444444444444446E-2</v>
      </c>
      <c r="M212" s="39">
        <v>1.6666666666666666E-2</v>
      </c>
      <c r="N212" s="39">
        <v>2.1527777777777781E-2</v>
      </c>
      <c r="O212" s="39">
        <v>3.5416666666666666E-2</v>
      </c>
      <c r="P212" s="39">
        <v>1.7361111111111112E-2</v>
      </c>
      <c r="Q212" s="39">
        <v>6.9444444444444441E-3</v>
      </c>
      <c r="R212" s="39">
        <v>2.7777777777777779E-3</v>
      </c>
      <c r="S212" s="39">
        <v>1.2499999999999999E-2</v>
      </c>
      <c r="T212" s="39">
        <v>3.3333333333333333E-2</v>
      </c>
      <c r="U212" s="39">
        <v>2.7777777777777776E-2</v>
      </c>
      <c r="V212" s="39">
        <v>1.6666666666666666E-2</v>
      </c>
      <c r="W212" s="39">
        <v>1.2499999999999999E-2</v>
      </c>
      <c r="X212" s="39">
        <v>1.0416666666666666E-2</v>
      </c>
      <c r="Y212" s="39">
        <v>3.5416666666666666E-2</v>
      </c>
      <c r="Z212" s="39">
        <v>2.9861111111111113E-2</v>
      </c>
      <c r="AA212" s="39">
        <v>2.9166666666666664E-2</v>
      </c>
      <c r="AB212" s="39">
        <v>2.9861111111111113E-2</v>
      </c>
      <c r="AC212" s="39">
        <v>2.7083333333333334E-2</v>
      </c>
      <c r="AD212" s="39">
        <v>2.7083333333333334E-2</v>
      </c>
      <c r="AE212" s="39">
        <v>1.3888888888888888E-2</v>
      </c>
      <c r="AF212" s="91"/>
      <c r="AG212" s="100">
        <f t="shared" si="28"/>
        <v>0.62986111111111109</v>
      </c>
      <c r="AH212" s="377"/>
    </row>
    <row r="213" spans="1:34" ht="18.75" x14ac:dyDescent="0.25">
      <c r="A213" s="53" t="s">
        <v>111</v>
      </c>
      <c r="B213" s="39">
        <v>4.1666666666666666E-3</v>
      </c>
      <c r="C213" s="39">
        <v>6.2499999999999995E-3</v>
      </c>
      <c r="D213" s="39">
        <v>1.1805555555555555E-2</v>
      </c>
      <c r="E213" s="39">
        <v>6.8749999999999992E-2</v>
      </c>
      <c r="F213" s="39">
        <v>8.1250000000000003E-2</v>
      </c>
      <c r="G213" s="39">
        <v>4.3750000000000004E-2</v>
      </c>
      <c r="H213" s="39">
        <v>1.8055555555555557E-2</v>
      </c>
      <c r="I213" s="39">
        <v>2.5694444444444447E-2</v>
      </c>
      <c r="J213" s="39">
        <v>8.3333333333333332E-3</v>
      </c>
      <c r="K213" s="39">
        <v>4.8611111111111112E-3</v>
      </c>
      <c r="L213" s="39">
        <v>4.3750000000000004E-2</v>
      </c>
      <c r="M213" s="39">
        <v>9.0277777777777787E-3</v>
      </c>
      <c r="N213" s="39">
        <v>1.7361111111111112E-2</v>
      </c>
      <c r="O213" s="39">
        <v>5.8333333333333327E-2</v>
      </c>
      <c r="P213" s="39">
        <v>9.7222222222222224E-3</v>
      </c>
      <c r="Q213" s="39">
        <v>9.0277777777777787E-3</v>
      </c>
      <c r="R213" s="39">
        <v>3.472222222222222E-3</v>
      </c>
      <c r="S213" s="39">
        <v>1.0416666666666666E-2</v>
      </c>
      <c r="T213" s="39">
        <v>4.3750000000000004E-2</v>
      </c>
      <c r="U213" s="39">
        <v>4.5138888888888888E-2</v>
      </c>
      <c r="V213" s="39">
        <v>2.8472222222222222E-2</v>
      </c>
      <c r="W213" s="39">
        <v>6.9444444444444441E-3</v>
      </c>
      <c r="X213" s="39">
        <v>1.1111111111111112E-2</v>
      </c>
      <c r="Y213" s="39">
        <v>1.1111111111111112E-2</v>
      </c>
      <c r="Z213" s="39">
        <v>6.3888888888888884E-2</v>
      </c>
      <c r="AA213" s="39">
        <v>2.7083333333333334E-2</v>
      </c>
      <c r="AB213" s="39">
        <v>3.6111111111111115E-2</v>
      </c>
      <c r="AC213" s="39">
        <v>3.125E-2</v>
      </c>
      <c r="AD213" s="39">
        <v>2.7777777777777776E-2</v>
      </c>
      <c r="AE213" s="39">
        <v>4.1666666666666666E-3</v>
      </c>
      <c r="AF213" s="91"/>
      <c r="AG213" s="100">
        <f t="shared" si="28"/>
        <v>0.77083333333333337</v>
      </c>
      <c r="AH213" s="377"/>
    </row>
    <row r="214" spans="1:34" ht="18.75" x14ac:dyDescent="0.25">
      <c r="A214" s="53" t="s">
        <v>112</v>
      </c>
      <c r="B214" s="39">
        <v>2.0833333333333333E-3</v>
      </c>
      <c r="C214" s="39">
        <v>1.1111111111111112E-2</v>
      </c>
      <c r="D214" s="39">
        <v>9.7222222222222224E-3</v>
      </c>
      <c r="E214" s="39">
        <v>4.2361111111111106E-2</v>
      </c>
      <c r="F214" s="39">
        <v>4.5833333333333337E-2</v>
      </c>
      <c r="G214" s="39">
        <v>3.125E-2</v>
      </c>
      <c r="H214" s="39">
        <v>9.7222222222222224E-3</v>
      </c>
      <c r="I214" s="39">
        <v>1.3194444444444444E-2</v>
      </c>
      <c r="J214" s="39">
        <v>6.2499999999999995E-3</v>
      </c>
      <c r="K214" s="39">
        <v>3.472222222222222E-3</v>
      </c>
      <c r="L214" s="39">
        <v>4.5833333333333337E-2</v>
      </c>
      <c r="M214" s="39">
        <v>6.2499999999999995E-3</v>
      </c>
      <c r="N214" s="39">
        <v>9.0277777777777787E-3</v>
      </c>
      <c r="O214" s="39">
        <v>4.8611111111111112E-2</v>
      </c>
      <c r="P214" s="39">
        <v>1.4583333333333332E-2</v>
      </c>
      <c r="Q214" s="39">
        <v>5.5555555555555558E-3</v>
      </c>
      <c r="R214" s="39">
        <v>6.9444444444444441E-3</v>
      </c>
      <c r="S214" s="39">
        <v>6.9444444444444441E-3</v>
      </c>
      <c r="T214" s="39">
        <v>2.2222222222222223E-2</v>
      </c>
      <c r="U214" s="39">
        <v>2.7083333333333334E-2</v>
      </c>
      <c r="V214" s="39">
        <v>1.5972222222222224E-2</v>
      </c>
      <c r="W214" s="39">
        <v>3.472222222222222E-3</v>
      </c>
      <c r="X214" s="39">
        <v>1.0416666666666666E-2</v>
      </c>
      <c r="Y214" s="39">
        <v>7.6388888888888886E-3</v>
      </c>
      <c r="Z214" s="39">
        <v>5.1388888888888894E-2</v>
      </c>
      <c r="AA214" s="39">
        <v>2.361111111111111E-2</v>
      </c>
      <c r="AB214" s="39">
        <v>2.2222222222222223E-2</v>
      </c>
      <c r="AC214" s="39">
        <v>2.6388888888888889E-2</v>
      </c>
      <c r="AD214" s="39">
        <v>2.2222222222222223E-2</v>
      </c>
      <c r="AE214" s="39">
        <v>3.472222222222222E-3</v>
      </c>
      <c r="AF214" s="91"/>
      <c r="AG214" s="100">
        <f t="shared" si="28"/>
        <v>0.55486111111111103</v>
      </c>
      <c r="AH214" s="377"/>
    </row>
    <row r="215" spans="1:34" ht="18.75" x14ac:dyDescent="0.25">
      <c r="A215" s="53" t="s">
        <v>113</v>
      </c>
      <c r="B215" s="39">
        <v>4.1666666666666666E-3</v>
      </c>
      <c r="C215" s="39">
        <v>1.3194444444444444E-2</v>
      </c>
      <c r="D215" s="39">
        <v>2.0833333333333333E-3</v>
      </c>
      <c r="E215" s="39">
        <v>3.1944444444444449E-2</v>
      </c>
      <c r="F215" s="39">
        <v>5.486111111111111E-2</v>
      </c>
      <c r="G215" s="39">
        <v>1.5277777777777777E-2</v>
      </c>
      <c r="H215" s="39">
        <v>5.5555555555555558E-3</v>
      </c>
      <c r="I215" s="39">
        <v>4.8611111111111112E-3</v>
      </c>
      <c r="J215" s="39">
        <v>8.3333333333333332E-3</v>
      </c>
      <c r="K215" s="39">
        <v>6.2499999999999995E-3</v>
      </c>
      <c r="L215" s="39">
        <v>4.0972222222222222E-2</v>
      </c>
      <c r="M215" s="39">
        <v>3.472222222222222E-3</v>
      </c>
      <c r="N215" s="39">
        <v>3.472222222222222E-3</v>
      </c>
      <c r="O215" s="39">
        <v>4.3055555555555562E-2</v>
      </c>
      <c r="P215" s="39">
        <v>2.013888888888889E-2</v>
      </c>
      <c r="Q215" s="39">
        <v>5.5555555555555558E-3</v>
      </c>
      <c r="R215" s="39">
        <v>5.5555555555555558E-3</v>
      </c>
      <c r="S215" s="39">
        <v>4.8611111111111112E-3</v>
      </c>
      <c r="T215" s="39">
        <v>1.8749999999999999E-2</v>
      </c>
      <c r="U215" s="39">
        <v>4.8611111111111112E-3</v>
      </c>
      <c r="V215" s="39">
        <v>6.2499999999999995E-3</v>
      </c>
      <c r="W215" s="39">
        <v>6.2499999999999995E-3</v>
      </c>
      <c r="X215" s="39">
        <v>1.2499999999999999E-2</v>
      </c>
      <c r="Y215" s="39">
        <v>3.472222222222222E-3</v>
      </c>
      <c r="Z215" s="39">
        <v>2.8472222222222222E-2</v>
      </c>
      <c r="AA215" s="39">
        <v>1.5277777777777777E-2</v>
      </c>
      <c r="AB215" s="39">
        <v>1.6666666666666666E-2</v>
      </c>
      <c r="AC215" s="39">
        <v>3.125E-2</v>
      </c>
      <c r="AD215" s="39">
        <v>1.6666666666666666E-2</v>
      </c>
      <c r="AE215" s="39">
        <v>3.472222222222222E-3</v>
      </c>
      <c r="AF215" s="91"/>
      <c r="AG215" s="100">
        <f t="shared" si="28"/>
        <v>0.43749999999999989</v>
      </c>
      <c r="AH215" s="377"/>
    </row>
    <row r="216" spans="1:34" ht="18.75" x14ac:dyDescent="0.25">
      <c r="A216" s="53" t="s">
        <v>114</v>
      </c>
      <c r="B216" s="39">
        <v>1.1805555555555555E-2</v>
      </c>
      <c r="C216" s="39">
        <v>1.5972222222222224E-2</v>
      </c>
      <c r="D216" s="39">
        <v>1.3194444444444444E-2</v>
      </c>
      <c r="E216" s="39">
        <v>1.6666666666666666E-2</v>
      </c>
      <c r="F216" s="39">
        <v>3.2638888888888891E-2</v>
      </c>
      <c r="G216" s="39">
        <v>4.8611111111111112E-3</v>
      </c>
      <c r="H216" s="39">
        <v>4.8611111111111112E-3</v>
      </c>
      <c r="I216" s="39">
        <v>1.4583333333333332E-2</v>
      </c>
      <c r="J216" s="39">
        <v>1.0416666666666666E-2</v>
      </c>
      <c r="K216" s="39">
        <v>1.3194444444444444E-2</v>
      </c>
      <c r="L216" s="39">
        <v>2.2222222222222223E-2</v>
      </c>
      <c r="M216" s="39">
        <v>5.5555555555555558E-3</v>
      </c>
      <c r="N216" s="39">
        <v>1.3888888888888889E-3</v>
      </c>
      <c r="O216" s="39">
        <v>1.8055555555555557E-2</v>
      </c>
      <c r="P216" s="39">
        <v>1.1805555555555555E-2</v>
      </c>
      <c r="Q216" s="39">
        <v>8.3333333333333332E-3</v>
      </c>
      <c r="R216" s="39">
        <v>8.3333333333333332E-3</v>
      </c>
      <c r="S216" s="39">
        <v>6.2499999999999995E-3</v>
      </c>
      <c r="T216" s="39">
        <v>7.6388888888888886E-3</v>
      </c>
      <c r="U216" s="39">
        <v>3.472222222222222E-3</v>
      </c>
      <c r="V216" s="39">
        <v>7.6388888888888886E-3</v>
      </c>
      <c r="W216" s="39">
        <v>4.8611111111111112E-3</v>
      </c>
      <c r="X216" s="39">
        <v>1.4583333333333332E-2</v>
      </c>
      <c r="Y216" s="39">
        <v>4.8611111111111112E-3</v>
      </c>
      <c r="Z216" s="39">
        <v>2.013888888888889E-2</v>
      </c>
      <c r="AA216" s="39">
        <v>6.2499999999999995E-3</v>
      </c>
      <c r="AB216" s="39">
        <v>1.0416666666666666E-2</v>
      </c>
      <c r="AC216" s="39">
        <v>2.2222222222222223E-2</v>
      </c>
      <c r="AD216" s="39">
        <v>4.8611111111111112E-3</v>
      </c>
      <c r="AE216" s="39">
        <v>4.1666666666666666E-3</v>
      </c>
      <c r="AF216" s="91"/>
      <c r="AG216" s="100">
        <f t="shared" ref="AG216:AG218" si="34">SUM(B216:AF216)</f>
        <v>0.33124999999999993</v>
      </c>
      <c r="AH216" s="377"/>
    </row>
    <row r="217" spans="1:34" ht="18.75" x14ac:dyDescent="0.25">
      <c r="A217" s="53" t="s">
        <v>115</v>
      </c>
      <c r="B217" s="39">
        <v>1.3888888888888889E-3</v>
      </c>
      <c r="C217" s="39">
        <v>1.0416666666666666E-2</v>
      </c>
      <c r="D217" s="39">
        <v>1.3888888888888888E-2</v>
      </c>
      <c r="E217" s="39">
        <v>6.9444444444444441E-3</v>
      </c>
      <c r="F217" s="39">
        <v>2.4305555555555556E-2</v>
      </c>
      <c r="G217" s="39">
        <v>4.1666666666666666E-3</v>
      </c>
      <c r="H217" s="39">
        <v>6.9444444444444441E-3</v>
      </c>
      <c r="I217" s="39">
        <v>9.7222222222222224E-3</v>
      </c>
      <c r="J217" s="39">
        <v>1.2499999999999999E-2</v>
      </c>
      <c r="K217" s="39">
        <v>1.3888888888888888E-2</v>
      </c>
      <c r="L217" s="39">
        <v>1.1805555555555555E-2</v>
      </c>
      <c r="M217" s="39">
        <v>2.0833333333333333E-3</v>
      </c>
      <c r="N217" s="39">
        <v>2.0833333333333333E-3</v>
      </c>
      <c r="O217" s="39">
        <v>1.3888888888888888E-2</v>
      </c>
      <c r="P217" s="39">
        <v>6.9444444444444441E-3</v>
      </c>
      <c r="Q217" s="39">
        <v>1.1805555555555555E-2</v>
      </c>
      <c r="R217" s="39">
        <v>1.1111111111111112E-2</v>
      </c>
      <c r="S217" s="39">
        <v>5.5555555555555558E-3</v>
      </c>
      <c r="T217" s="39">
        <v>6.9444444444444441E-3</v>
      </c>
      <c r="U217" s="39">
        <v>6.2499999999999995E-3</v>
      </c>
      <c r="V217" s="39">
        <v>6.9444444444444441E-3</v>
      </c>
      <c r="W217" s="39">
        <v>6.9444444444444441E-3</v>
      </c>
      <c r="X217" s="39">
        <v>2.7083333333333334E-2</v>
      </c>
      <c r="Y217" s="39">
        <v>1.3888888888888888E-2</v>
      </c>
      <c r="Z217" s="39">
        <v>1.1805555555555555E-2</v>
      </c>
      <c r="AA217" s="39">
        <v>1.6666666666666666E-2</v>
      </c>
      <c r="AB217" s="39">
        <v>4.1666666666666666E-3</v>
      </c>
      <c r="AC217" s="39">
        <v>1.5972222222222224E-2</v>
      </c>
      <c r="AD217" s="39">
        <v>9.0277777777777787E-3</v>
      </c>
      <c r="AE217" s="39">
        <v>1.2499999999999999E-2</v>
      </c>
      <c r="AF217" s="91"/>
      <c r="AG217" s="100">
        <f t="shared" si="34"/>
        <v>0.30763888888888896</v>
      </c>
      <c r="AH217" s="377"/>
    </row>
    <row r="218" spans="1:34" ht="18.75" x14ac:dyDescent="0.25">
      <c r="A218" s="53" t="s">
        <v>116</v>
      </c>
      <c r="B218" s="39">
        <v>4.1666666666666666E-3</v>
      </c>
      <c r="C218" s="39">
        <v>8.3333333333333332E-3</v>
      </c>
      <c r="D218" s="39">
        <v>6.9444444444444441E-3</v>
      </c>
      <c r="E218" s="39">
        <v>6.2499999999999995E-3</v>
      </c>
      <c r="F218" s="39">
        <v>1.9444444444444445E-2</v>
      </c>
      <c r="G218" s="39">
        <v>4.8611111111111112E-3</v>
      </c>
      <c r="H218" s="39">
        <v>1.3888888888888889E-3</v>
      </c>
      <c r="I218" s="39">
        <v>4.1666666666666666E-3</v>
      </c>
      <c r="J218" s="39">
        <v>7.6388888888888886E-3</v>
      </c>
      <c r="K218" s="39">
        <v>5.5555555555555558E-3</v>
      </c>
      <c r="L218" s="39">
        <v>7.6388888888888886E-3</v>
      </c>
      <c r="M218" s="39">
        <v>4.1666666666666666E-3</v>
      </c>
      <c r="N218" s="39">
        <v>2.7777777777777779E-3</v>
      </c>
      <c r="O218" s="39">
        <v>8.3333333333333332E-3</v>
      </c>
      <c r="P218" s="39">
        <v>6.2499999999999995E-3</v>
      </c>
      <c r="Q218" s="39">
        <v>4.8611111111111112E-3</v>
      </c>
      <c r="R218" s="39">
        <v>7.6388888888888886E-3</v>
      </c>
      <c r="S218" s="39">
        <v>8.3333333333333332E-3</v>
      </c>
      <c r="T218" s="39">
        <v>3.472222222222222E-3</v>
      </c>
      <c r="U218" s="39">
        <v>4.8611111111111112E-3</v>
      </c>
      <c r="V218" s="39">
        <v>7.6388888888888886E-3</v>
      </c>
      <c r="W218" s="39">
        <v>7.6388888888888886E-3</v>
      </c>
      <c r="X218" s="39">
        <v>9.7222222222222224E-3</v>
      </c>
      <c r="Y218" s="39">
        <v>1.1805555555555555E-2</v>
      </c>
      <c r="Z218" s="39">
        <v>5.5555555555555558E-3</v>
      </c>
      <c r="AA218" s="39">
        <v>4.8611111111111112E-3</v>
      </c>
      <c r="AB218" s="39">
        <v>1.7361111111111112E-2</v>
      </c>
      <c r="AC218" s="39">
        <v>1.9444444444444445E-2</v>
      </c>
      <c r="AD218" s="39">
        <v>4.8611111111111112E-3</v>
      </c>
      <c r="AE218" s="39">
        <v>6.9444444444444441E-3</v>
      </c>
      <c r="AF218" s="91"/>
      <c r="AG218" s="100">
        <f t="shared" si="34"/>
        <v>0.22291666666666665</v>
      </c>
      <c r="AH218" s="377"/>
    </row>
    <row r="219" spans="1:34" ht="18.75" x14ac:dyDescent="0.25">
      <c r="A219" s="53" t="s">
        <v>117</v>
      </c>
      <c r="B219" s="39">
        <v>3.472222222222222E-3</v>
      </c>
      <c r="C219" s="39">
        <v>8.3333333333333332E-3</v>
      </c>
      <c r="D219" s="39">
        <v>2.7777777777777779E-3</v>
      </c>
      <c r="E219" s="39">
        <v>6.2499999999999995E-3</v>
      </c>
      <c r="F219" s="39">
        <v>1.5972222222222224E-2</v>
      </c>
      <c r="G219" s="39">
        <v>1.2499999999999999E-2</v>
      </c>
      <c r="H219" s="39">
        <v>4.1666666666666666E-3</v>
      </c>
      <c r="I219" s="39">
        <v>8.3333333333333332E-3</v>
      </c>
      <c r="J219" s="39">
        <v>1.0416666666666666E-2</v>
      </c>
      <c r="K219" s="39">
        <v>3.472222222222222E-3</v>
      </c>
      <c r="L219" s="39">
        <v>9.7222222222222224E-3</v>
      </c>
      <c r="M219" s="39">
        <v>2.7777777777777779E-3</v>
      </c>
      <c r="N219" s="39">
        <v>2.0833333333333333E-3</v>
      </c>
      <c r="O219" s="39">
        <v>1.3888888888888888E-2</v>
      </c>
      <c r="P219" s="39">
        <v>1.4583333333333332E-2</v>
      </c>
      <c r="Q219" s="39">
        <v>1.0416666666666666E-2</v>
      </c>
      <c r="R219" s="39">
        <v>1.5972222222222224E-2</v>
      </c>
      <c r="S219" s="39">
        <v>4.8611111111111112E-3</v>
      </c>
      <c r="T219" s="39">
        <v>1.3888888888888888E-2</v>
      </c>
      <c r="U219" s="39">
        <v>7.6388888888888886E-3</v>
      </c>
      <c r="V219" s="39">
        <v>2.7777777777777779E-3</v>
      </c>
      <c r="W219" s="39">
        <v>1.2499999999999999E-2</v>
      </c>
      <c r="X219" s="39">
        <v>3.472222222222222E-3</v>
      </c>
      <c r="Y219" s="39">
        <v>1.3194444444444444E-2</v>
      </c>
      <c r="Z219" s="39">
        <v>9.0277777777777787E-3</v>
      </c>
      <c r="AA219" s="39">
        <v>6.2499999999999995E-3</v>
      </c>
      <c r="AB219" s="39">
        <v>6.2499999999999995E-3</v>
      </c>
      <c r="AC219" s="39">
        <v>1.0416666666666666E-2</v>
      </c>
      <c r="AD219" s="39">
        <v>4.1666666666666666E-3</v>
      </c>
      <c r="AE219" s="39">
        <v>7.6388888888888886E-3</v>
      </c>
      <c r="AF219" s="91"/>
      <c r="AG219" s="100">
        <f t="shared" si="28"/>
        <v>0.24722222222222226</v>
      </c>
      <c r="AH219" s="377"/>
    </row>
    <row r="220" spans="1:34" ht="18.75" x14ac:dyDescent="0.25">
      <c r="A220" s="43" t="s">
        <v>150</v>
      </c>
      <c r="B220" s="19">
        <v>1.7361111111111112E-2</v>
      </c>
      <c r="C220" s="19">
        <v>1.9444444444444445E-2</v>
      </c>
      <c r="D220" s="19">
        <v>2.7083333333333334E-2</v>
      </c>
      <c r="E220" s="19">
        <v>1.3194444444444444E-2</v>
      </c>
      <c r="F220" s="19">
        <v>5.4166666666666669E-2</v>
      </c>
      <c r="G220" s="19">
        <v>2.7083333333333334E-2</v>
      </c>
      <c r="H220" s="19">
        <v>2.361111111111111E-2</v>
      </c>
      <c r="I220" s="19">
        <v>2.7083333333333334E-2</v>
      </c>
      <c r="J220" s="19">
        <v>4.2361111111111106E-2</v>
      </c>
      <c r="K220" s="19">
        <v>1.7361111111111112E-2</v>
      </c>
      <c r="L220" s="19">
        <v>1.4583333333333332E-2</v>
      </c>
      <c r="M220" s="19">
        <v>4.8611111111111112E-3</v>
      </c>
      <c r="N220" s="19">
        <v>1.6666666666666666E-2</v>
      </c>
      <c r="O220" s="19">
        <v>4.4444444444444446E-2</v>
      </c>
      <c r="P220" s="19">
        <v>3.2638888888888891E-2</v>
      </c>
      <c r="Q220" s="19">
        <v>2.2222222222222223E-2</v>
      </c>
      <c r="R220" s="19">
        <v>3.4722222222222224E-2</v>
      </c>
      <c r="S220" s="19">
        <v>3.4722222222222224E-2</v>
      </c>
      <c r="T220" s="19">
        <v>3.6805555555555557E-2</v>
      </c>
      <c r="U220" s="19">
        <v>2.6388888888888889E-2</v>
      </c>
      <c r="V220" s="19">
        <v>1.8055555555555557E-2</v>
      </c>
      <c r="W220" s="19">
        <v>3.1944444444444449E-2</v>
      </c>
      <c r="X220" s="19">
        <v>3.5416666666666666E-2</v>
      </c>
      <c r="Y220" s="19">
        <v>3.125E-2</v>
      </c>
      <c r="Z220" s="19">
        <v>1.7361111111111112E-2</v>
      </c>
      <c r="AA220" s="19">
        <v>1.5277777777777777E-2</v>
      </c>
      <c r="AB220" s="19">
        <v>3.6805555555555557E-2</v>
      </c>
      <c r="AC220" s="19">
        <v>4.2361111111111106E-2</v>
      </c>
      <c r="AD220" s="19">
        <v>4.6527777777777779E-2</v>
      </c>
      <c r="AE220" s="19">
        <v>4.4444444444444446E-2</v>
      </c>
      <c r="AF220" s="25"/>
      <c r="AG220" s="99">
        <f t="shared" si="28"/>
        <v>0.85624999999999984</v>
      </c>
      <c r="AH220" s="377"/>
    </row>
    <row r="221" spans="1:34" ht="18.75" x14ac:dyDescent="0.25">
      <c r="A221" s="43" t="s">
        <v>78</v>
      </c>
      <c r="B221" s="19">
        <v>2.7083333333333334E-2</v>
      </c>
      <c r="C221" s="19">
        <v>2.7777777777777776E-2</v>
      </c>
      <c r="D221" s="19">
        <v>4.3750000000000004E-2</v>
      </c>
      <c r="E221" s="19">
        <v>2.2222222222222223E-2</v>
      </c>
      <c r="F221" s="19">
        <v>6.9444444444444434E-2</v>
      </c>
      <c r="G221" s="19">
        <v>3.8194444444444441E-2</v>
      </c>
      <c r="H221" s="19">
        <v>3.4722222222222224E-2</v>
      </c>
      <c r="I221" s="19">
        <v>3.888888888888889E-2</v>
      </c>
      <c r="J221" s="19">
        <v>5.4166666666666669E-2</v>
      </c>
      <c r="K221" s="19">
        <v>2.8472222222222222E-2</v>
      </c>
      <c r="L221" s="19">
        <v>2.4999999999999998E-2</v>
      </c>
      <c r="M221" s="19">
        <v>1.8055555555555557E-2</v>
      </c>
      <c r="N221" s="19">
        <v>2.5694444444444447E-2</v>
      </c>
      <c r="O221" s="19">
        <v>5.6250000000000001E-2</v>
      </c>
      <c r="P221" s="19">
        <v>4.5138888888888888E-2</v>
      </c>
      <c r="Q221" s="19">
        <v>3.4722222222222224E-2</v>
      </c>
      <c r="R221" s="19">
        <v>4.7916666666666663E-2</v>
      </c>
      <c r="S221" s="19">
        <v>4.3055555555555562E-2</v>
      </c>
      <c r="T221" s="19">
        <v>4.9305555555555554E-2</v>
      </c>
      <c r="U221" s="19">
        <v>3.8194444444444441E-2</v>
      </c>
      <c r="V221" s="19">
        <v>2.7083333333333334E-2</v>
      </c>
      <c r="W221" s="19">
        <v>4.2361111111111106E-2</v>
      </c>
      <c r="X221" s="19">
        <v>4.9305555555555554E-2</v>
      </c>
      <c r="Y221" s="19">
        <v>4.7222222222222221E-2</v>
      </c>
      <c r="Z221" s="19">
        <v>2.8472222222222222E-2</v>
      </c>
      <c r="AA221" s="19">
        <v>2.5694444444444447E-2</v>
      </c>
      <c r="AB221" s="19">
        <v>4.9999999999999996E-2</v>
      </c>
      <c r="AC221" s="19">
        <v>5.1388888888888894E-2</v>
      </c>
      <c r="AD221" s="19">
        <v>6.0416666666666667E-2</v>
      </c>
      <c r="AE221" s="19">
        <v>6.3194444444444442E-2</v>
      </c>
      <c r="AF221" s="25"/>
      <c r="AG221" s="99">
        <f t="shared" si="28"/>
        <v>1.2131944444444445</v>
      </c>
      <c r="AH221" s="377"/>
    </row>
    <row r="222" spans="1:34" ht="19.5" thickBot="1" x14ac:dyDescent="0.3">
      <c r="A222" s="43" t="s">
        <v>79</v>
      </c>
      <c r="B222" s="19">
        <v>3.0555555555555555E-2</v>
      </c>
      <c r="C222" s="19">
        <v>2.4999999999999998E-2</v>
      </c>
      <c r="D222" s="19">
        <v>3.8194444444444441E-2</v>
      </c>
      <c r="E222" s="19">
        <v>4.0972222222222222E-2</v>
      </c>
      <c r="F222" s="19">
        <v>3.7499999999999999E-2</v>
      </c>
      <c r="G222" s="19">
        <v>3.3333333333333333E-2</v>
      </c>
      <c r="H222" s="19">
        <v>3.5416666666666666E-2</v>
      </c>
      <c r="I222" s="19">
        <v>3.888888888888889E-2</v>
      </c>
      <c r="J222" s="19">
        <v>3.8194444444444441E-2</v>
      </c>
      <c r="K222" s="19">
        <v>2.4999999999999998E-2</v>
      </c>
      <c r="L222" s="19">
        <v>4.027777777777778E-2</v>
      </c>
      <c r="M222" s="19">
        <v>3.1944444444444449E-2</v>
      </c>
      <c r="N222" s="19">
        <v>2.7777777777777776E-2</v>
      </c>
      <c r="O222" s="19">
        <v>3.9583333333333331E-2</v>
      </c>
      <c r="P222" s="19">
        <v>4.1666666666666664E-2</v>
      </c>
      <c r="Q222" s="19">
        <v>3.5416666666666666E-2</v>
      </c>
      <c r="R222" s="19">
        <v>3.6111111111111115E-2</v>
      </c>
      <c r="S222" s="19">
        <v>2.8472222222222222E-2</v>
      </c>
      <c r="T222" s="19">
        <v>3.2638888888888891E-2</v>
      </c>
      <c r="U222" s="19">
        <v>3.0555555555555555E-2</v>
      </c>
      <c r="V222" s="19">
        <v>3.9583333333333331E-2</v>
      </c>
      <c r="W222" s="19">
        <v>3.4027777777777775E-2</v>
      </c>
      <c r="X222" s="19">
        <v>4.1666666666666664E-2</v>
      </c>
      <c r="Y222" s="19">
        <v>4.5138888888888888E-2</v>
      </c>
      <c r="Z222" s="19">
        <v>3.8194444444444441E-2</v>
      </c>
      <c r="AA222" s="19">
        <v>3.2638888888888891E-2</v>
      </c>
      <c r="AB222" s="19">
        <v>4.027777777777778E-2</v>
      </c>
      <c r="AC222" s="19">
        <v>3.4722222222222224E-2</v>
      </c>
      <c r="AD222" s="19">
        <v>3.5416666666666666E-2</v>
      </c>
      <c r="AE222" s="19">
        <v>3.9583333333333331E-2</v>
      </c>
      <c r="AF222" s="25"/>
      <c r="AG222" s="99">
        <f t="shared" si="28"/>
        <v>1.0687499999999999</v>
      </c>
      <c r="AH222" s="378"/>
    </row>
    <row r="223" spans="1:34" ht="24" thickBot="1" x14ac:dyDescent="0.3">
      <c r="A223" s="62" t="s">
        <v>118</v>
      </c>
      <c r="B223" s="20">
        <f>+B222+B221+B211+B220</f>
        <v>8.0555555555555547E-2</v>
      </c>
      <c r="C223" s="20">
        <f t="shared" ref="C223:AF223" si="35">+C222+C221+C211+C220</f>
        <v>7.9166666666666663E-2</v>
      </c>
      <c r="D223" s="20">
        <f t="shared" si="35"/>
        <v>0.11944444444444445</v>
      </c>
      <c r="E223" s="20">
        <f t="shared" si="35"/>
        <v>0.10833333333333332</v>
      </c>
      <c r="F223" s="20">
        <f t="shared" si="35"/>
        <v>0.20138888888888887</v>
      </c>
      <c r="G223" s="20">
        <f t="shared" si="35"/>
        <v>0.11944444444444444</v>
      </c>
      <c r="H223" s="20">
        <f t="shared" si="35"/>
        <v>0.10694444444444444</v>
      </c>
      <c r="I223" s="20">
        <f t="shared" si="35"/>
        <v>0.11944444444444445</v>
      </c>
      <c r="J223" s="20">
        <f t="shared" si="35"/>
        <v>0.14166666666666666</v>
      </c>
      <c r="K223" s="20">
        <f t="shared" si="35"/>
        <v>7.7083333333333337E-2</v>
      </c>
      <c r="L223" s="20">
        <f t="shared" si="35"/>
        <v>0.11527777777777778</v>
      </c>
      <c r="M223" s="20">
        <f t="shared" si="35"/>
        <v>6.3194444444444442E-2</v>
      </c>
      <c r="N223" s="20">
        <f t="shared" si="35"/>
        <v>8.2638888888888887E-2</v>
      </c>
      <c r="O223" s="20">
        <f t="shared" si="35"/>
        <v>0.17291666666666666</v>
      </c>
      <c r="P223" s="20">
        <f t="shared" si="35"/>
        <v>0.13263888888888889</v>
      </c>
      <c r="Q223" s="20">
        <f t="shared" si="35"/>
        <v>0.1</v>
      </c>
      <c r="R223" s="20">
        <f t="shared" si="35"/>
        <v>0.125</v>
      </c>
      <c r="S223" s="20">
        <f t="shared" si="35"/>
        <v>0.11458333333333334</v>
      </c>
      <c r="T223" s="20">
        <f t="shared" si="35"/>
        <v>0.1423611111111111</v>
      </c>
      <c r="U223" s="20">
        <f t="shared" si="35"/>
        <v>0.11736111111111111</v>
      </c>
      <c r="V223" s="20">
        <f t="shared" si="35"/>
        <v>9.7222222222222224E-2</v>
      </c>
      <c r="W223" s="20">
        <f t="shared" si="35"/>
        <v>0.11527777777777778</v>
      </c>
      <c r="X223" s="20">
        <f t="shared" si="35"/>
        <v>0.13541666666666666</v>
      </c>
      <c r="Y223" s="20">
        <f t="shared" si="35"/>
        <v>0.13611111111111113</v>
      </c>
      <c r="Z223" s="20">
        <f t="shared" si="35"/>
        <v>0.11597222222222223</v>
      </c>
      <c r="AA223" s="20">
        <f t="shared" si="35"/>
        <v>9.375E-2</v>
      </c>
      <c r="AB223" s="20">
        <f t="shared" si="35"/>
        <v>0.14930555555555555</v>
      </c>
      <c r="AC223" s="20">
        <f t="shared" si="35"/>
        <v>0.14930555555555555</v>
      </c>
      <c r="AD223" s="20">
        <f t="shared" si="35"/>
        <v>0.16111111111111109</v>
      </c>
      <c r="AE223" s="20">
        <f t="shared" si="35"/>
        <v>0.15277777777777776</v>
      </c>
      <c r="AF223" s="26">
        <f t="shared" si="35"/>
        <v>0</v>
      </c>
      <c r="AG223" s="99">
        <f t="shared" si="28"/>
        <v>3.6256944444444437</v>
      </c>
      <c r="AH223" s="36"/>
    </row>
    <row r="224" spans="1:34" ht="18.75" x14ac:dyDescent="0.25">
      <c r="A224" s="57" t="s">
        <v>90</v>
      </c>
      <c r="B224" s="27">
        <v>17</v>
      </c>
      <c r="C224" s="27">
        <v>11</v>
      </c>
      <c r="D224" s="27">
        <v>9</v>
      </c>
      <c r="E224" s="27">
        <v>29</v>
      </c>
      <c r="F224" s="27">
        <v>30</v>
      </c>
      <c r="G224" s="27">
        <v>27</v>
      </c>
      <c r="H224" s="27">
        <v>30</v>
      </c>
      <c r="I224" s="27">
        <v>23</v>
      </c>
      <c r="J224" s="27">
        <v>19</v>
      </c>
      <c r="K224" s="27">
        <v>12</v>
      </c>
      <c r="L224" s="27">
        <v>35</v>
      </c>
      <c r="M224" s="27">
        <v>24</v>
      </c>
      <c r="N224" s="27">
        <v>22</v>
      </c>
      <c r="O224" s="27">
        <v>36</v>
      </c>
      <c r="P224" s="27">
        <v>31</v>
      </c>
      <c r="Q224" s="27">
        <v>12</v>
      </c>
      <c r="R224" s="27">
        <v>19</v>
      </c>
      <c r="S224" s="27">
        <v>45</v>
      </c>
      <c r="T224" s="27">
        <v>35</v>
      </c>
      <c r="U224" s="27">
        <v>32</v>
      </c>
      <c r="V224" s="27">
        <v>36</v>
      </c>
      <c r="W224" s="27">
        <v>13</v>
      </c>
      <c r="X224" s="27">
        <v>11</v>
      </c>
      <c r="Y224" s="27">
        <v>18</v>
      </c>
      <c r="Z224" s="27">
        <v>46</v>
      </c>
      <c r="AA224" s="27">
        <v>40</v>
      </c>
      <c r="AB224" s="27">
        <v>29</v>
      </c>
      <c r="AC224" s="27">
        <v>16</v>
      </c>
      <c r="AD224" s="27">
        <v>20</v>
      </c>
      <c r="AE224" s="27">
        <v>9</v>
      </c>
      <c r="AF224" s="92"/>
      <c r="AG224" s="31">
        <f t="shared" ref="AG224:AG237" si="36">SUM(B224:AF224)</f>
        <v>736</v>
      </c>
      <c r="AH224" s="379" t="s">
        <v>96</v>
      </c>
    </row>
    <row r="225" spans="1:34" ht="18.75" x14ac:dyDescent="0.25">
      <c r="A225" s="54" t="s">
        <v>91</v>
      </c>
      <c r="B225" s="40"/>
      <c r="C225" s="40"/>
      <c r="D225" s="40">
        <v>0.33333333333333331</v>
      </c>
      <c r="E225" s="40">
        <v>0.33333333333333331</v>
      </c>
      <c r="F225" s="40">
        <v>0.33333333333333331</v>
      </c>
      <c r="G225" s="40">
        <v>0.33333333333333331</v>
      </c>
      <c r="H225" s="40">
        <v>0.33333333333333331</v>
      </c>
      <c r="I225" s="40"/>
      <c r="J225" s="40"/>
      <c r="K225" s="40">
        <v>0.33333333333333331</v>
      </c>
      <c r="L225" s="40">
        <v>0.33333333333333331</v>
      </c>
      <c r="M225" s="40">
        <v>0.33333333333333331</v>
      </c>
      <c r="N225" s="40">
        <v>0.33333333333333331</v>
      </c>
      <c r="O225" s="40">
        <v>0.33333333333333331</v>
      </c>
      <c r="P225" s="40"/>
      <c r="Q225" s="40"/>
      <c r="R225" s="40">
        <v>0.33333333333333331</v>
      </c>
      <c r="S225" s="40">
        <v>0.33333333333333331</v>
      </c>
      <c r="T225" s="40">
        <v>0.33333333333333331</v>
      </c>
      <c r="U225" s="40">
        <v>0.33333333333333331</v>
      </c>
      <c r="V225" s="40">
        <v>0.33333333333333331</v>
      </c>
      <c r="W225" s="40"/>
      <c r="X225" s="40"/>
      <c r="Y225" s="40">
        <v>0.33333333333333331</v>
      </c>
      <c r="Z225" s="40">
        <v>0.33333333333333331</v>
      </c>
      <c r="AA225" s="40">
        <v>0.33333333333333331</v>
      </c>
      <c r="AB225" s="40">
        <v>0.33333333333333331</v>
      </c>
      <c r="AC225" s="40">
        <v>0.33333333333333331</v>
      </c>
      <c r="AD225" s="40"/>
      <c r="AE225" s="40"/>
      <c r="AF225" s="93"/>
      <c r="AG225" s="99">
        <f t="shared" si="36"/>
        <v>6.6666666666666643</v>
      </c>
      <c r="AH225" s="380"/>
    </row>
    <row r="226" spans="1:34" ht="19.5" thickBot="1" x14ac:dyDescent="0.3">
      <c r="A226" s="58" t="s">
        <v>97</v>
      </c>
      <c r="B226" s="59">
        <v>0</v>
      </c>
      <c r="C226" s="59">
        <v>0</v>
      </c>
      <c r="D226" s="59">
        <v>0</v>
      </c>
      <c r="E226" s="59">
        <v>0</v>
      </c>
      <c r="F226" s="59">
        <v>0</v>
      </c>
      <c r="G226" s="59">
        <v>0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94"/>
      <c r="AG226" s="28">
        <f t="shared" si="36"/>
        <v>0</v>
      </c>
      <c r="AH226" s="381"/>
    </row>
    <row r="227" spans="1:34" ht="18.75" x14ac:dyDescent="0.25">
      <c r="A227" s="55" t="s">
        <v>92</v>
      </c>
      <c r="B227" s="118">
        <f>SUM(B228:B230)</f>
        <v>3</v>
      </c>
      <c r="C227" s="118">
        <f t="shared" ref="C227:AF227" si="37">SUM(C228:C230)</f>
        <v>6</v>
      </c>
      <c r="D227" s="118">
        <f t="shared" si="37"/>
        <v>7</v>
      </c>
      <c r="E227" s="118">
        <f t="shared" si="37"/>
        <v>3</v>
      </c>
      <c r="F227" s="118">
        <f t="shared" si="37"/>
        <v>5</v>
      </c>
      <c r="G227" s="118">
        <f t="shared" si="37"/>
        <v>7</v>
      </c>
      <c r="H227" s="118">
        <f t="shared" si="37"/>
        <v>5</v>
      </c>
      <c r="I227" s="118">
        <f t="shared" si="37"/>
        <v>6</v>
      </c>
      <c r="J227" s="118">
        <f t="shared" si="37"/>
        <v>8</v>
      </c>
      <c r="K227" s="118">
        <f t="shared" si="37"/>
        <v>3</v>
      </c>
      <c r="L227" s="118">
        <f t="shared" si="37"/>
        <v>4</v>
      </c>
      <c r="M227" s="118">
        <f t="shared" si="37"/>
        <v>5</v>
      </c>
      <c r="N227" s="118">
        <f t="shared" si="37"/>
        <v>0</v>
      </c>
      <c r="O227" s="118">
        <f t="shared" si="37"/>
        <v>7</v>
      </c>
      <c r="P227" s="118">
        <f t="shared" si="37"/>
        <v>5</v>
      </c>
      <c r="Q227" s="118">
        <f t="shared" si="37"/>
        <v>8</v>
      </c>
      <c r="R227" s="118">
        <f t="shared" si="37"/>
        <v>6</v>
      </c>
      <c r="S227" s="118">
        <f t="shared" si="37"/>
        <v>4</v>
      </c>
      <c r="T227" s="118">
        <f t="shared" si="37"/>
        <v>1</v>
      </c>
      <c r="U227" s="118">
        <f t="shared" si="37"/>
        <v>2</v>
      </c>
      <c r="V227" s="118">
        <f t="shared" si="37"/>
        <v>1</v>
      </c>
      <c r="W227" s="118">
        <f t="shared" si="37"/>
        <v>4</v>
      </c>
      <c r="X227" s="118">
        <f t="shared" si="37"/>
        <v>5</v>
      </c>
      <c r="Y227" s="118">
        <f t="shared" si="37"/>
        <v>8</v>
      </c>
      <c r="Z227" s="118">
        <f t="shared" si="37"/>
        <v>7</v>
      </c>
      <c r="AA227" s="118">
        <f t="shared" si="37"/>
        <v>6</v>
      </c>
      <c r="AB227" s="118">
        <f t="shared" si="37"/>
        <v>6</v>
      </c>
      <c r="AC227" s="118">
        <f t="shared" si="37"/>
        <v>5</v>
      </c>
      <c r="AD227" s="118">
        <f t="shared" si="37"/>
        <v>4</v>
      </c>
      <c r="AE227" s="118">
        <f t="shared" si="37"/>
        <v>1</v>
      </c>
      <c r="AF227" s="118">
        <f t="shared" si="37"/>
        <v>0</v>
      </c>
      <c r="AG227" s="95">
        <f t="shared" si="36"/>
        <v>142</v>
      </c>
      <c r="AH227" s="379" t="s">
        <v>93</v>
      </c>
    </row>
    <row r="228" spans="1:34" ht="18.75" x14ac:dyDescent="0.25">
      <c r="A228" s="139" t="s">
        <v>94</v>
      </c>
      <c r="B228" s="140">
        <v>1</v>
      </c>
      <c r="C228" s="140">
        <v>1</v>
      </c>
      <c r="D228" s="140">
        <v>2</v>
      </c>
      <c r="E228" s="140">
        <v>0</v>
      </c>
      <c r="F228" s="140">
        <v>2</v>
      </c>
      <c r="G228" s="140">
        <v>1</v>
      </c>
      <c r="H228" s="140">
        <v>1</v>
      </c>
      <c r="I228" s="140">
        <v>1</v>
      </c>
      <c r="J228" s="140">
        <v>3</v>
      </c>
      <c r="K228" s="140">
        <v>2</v>
      </c>
      <c r="L228" s="140">
        <v>1</v>
      </c>
      <c r="M228" s="140">
        <v>1</v>
      </c>
      <c r="N228" s="145">
        <v>0</v>
      </c>
      <c r="O228" s="140">
        <v>1</v>
      </c>
      <c r="P228" s="140">
        <v>1</v>
      </c>
      <c r="Q228" s="140">
        <v>4</v>
      </c>
      <c r="R228" s="140">
        <v>2</v>
      </c>
      <c r="S228" s="140">
        <v>1</v>
      </c>
      <c r="T228" s="140">
        <v>1</v>
      </c>
      <c r="U228" s="140">
        <v>0</v>
      </c>
      <c r="V228" s="140">
        <v>1</v>
      </c>
      <c r="W228" s="140">
        <v>0</v>
      </c>
      <c r="X228" s="140">
        <v>2</v>
      </c>
      <c r="Y228" s="140">
        <v>1</v>
      </c>
      <c r="Z228" s="142">
        <v>2</v>
      </c>
      <c r="AA228" s="140">
        <v>1</v>
      </c>
      <c r="AB228" s="140">
        <v>2</v>
      </c>
      <c r="AC228" s="140">
        <v>1</v>
      </c>
      <c r="AD228" s="140">
        <v>1</v>
      </c>
      <c r="AE228" s="140">
        <v>0</v>
      </c>
      <c r="AF228" s="144"/>
      <c r="AG228" s="143">
        <f t="shared" si="36"/>
        <v>37</v>
      </c>
      <c r="AH228" s="380"/>
    </row>
    <row r="229" spans="1:34" ht="18.75" x14ac:dyDescent="0.25">
      <c r="A229" s="139" t="s">
        <v>95</v>
      </c>
      <c r="B229" s="140">
        <v>2</v>
      </c>
      <c r="C229" s="140">
        <v>5</v>
      </c>
      <c r="D229" s="140">
        <v>5</v>
      </c>
      <c r="E229" s="140">
        <v>3</v>
      </c>
      <c r="F229" s="140">
        <v>3</v>
      </c>
      <c r="G229" s="140">
        <v>6</v>
      </c>
      <c r="H229" s="140">
        <v>4</v>
      </c>
      <c r="I229" s="140">
        <v>5</v>
      </c>
      <c r="J229" s="140">
        <v>5</v>
      </c>
      <c r="K229" s="140">
        <v>1</v>
      </c>
      <c r="L229" s="140">
        <v>3</v>
      </c>
      <c r="M229" s="140">
        <v>4</v>
      </c>
      <c r="N229" s="145">
        <v>0</v>
      </c>
      <c r="O229" s="140">
        <v>6</v>
      </c>
      <c r="P229" s="140">
        <v>4</v>
      </c>
      <c r="Q229" s="140">
        <v>4</v>
      </c>
      <c r="R229" s="140">
        <v>4</v>
      </c>
      <c r="S229" s="140">
        <v>3</v>
      </c>
      <c r="T229" s="140">
        <v>0</v>
      </c>
      <c r="U229" s="140">
        <v>2</v>
      </c>
      <c r="V229" s="140">
        <v>0</v>
      </c>
      <c r="W229" s="140">
        <v>4</v>
      </c>
      <c r="X229" s="140">
        <v>3</v>
      </c>
      <c r="Y229" s="140">
        <v>7</v>
      </c>
      <c r="Z229" s="142">
        <v>5</v>
      </c>
      <c r="AA229" s="140">
        <v>5</v>
      </c>
      <c r="AB229" s="140">
        <v>4</v>
      </c>
      <c r="AC229" s="140">
        <v>4</v>
      </c>
      <c r="AD229" s="140">
        <v>3</v>
      </c>
      <c r="AE229" s="140">
        <v>1</v>
      </c>
      <c r="AF229" s="144"/>
      <c r="AG229" s="143">
        <f t="shared" si="36"/>
        <v>105</v>
      </c>
      <c r="AH229" s="380"/>
    </row>
    <row r="230" spans="1:34" ht="19.5" thickBot="1" x14ac:dyDescent="0.3">
      <c r="A230" s="190" t="s">
        <v>106</v>
      </c>
      <c r="B230" s="191"/>
      <c r="C230" s="191"/>
      <c r="D230" s="191"/>
      <c r="E230" s="191"/>
      <c r="F230" s="191"/>
      <c r="G230" s="191"/>
      <c r="H230" s="191"/>
      <c r="I230" s="191"/>
      <c r="J230" s="191"/>
      <c r="K230" s="192"/>
      <c r="L230" s="192"/>
      <c r="M230" s="192"/>
      <c r="N230" s="193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5"/>
      <c r="AG230" s="108">
        <f t="shared" si="36"/>
        <v>0</v>
      </c>
      <c r="AH230" s="381"/>
    </row>
    <row r="231" spans="1:34" ht="24" hidden="1" thickBot="1" x14ac:dyDescent="0.3">
      <c r="A231" s="198" t="s">
        <v>148</v>
      </c>
      <c r="B231" s="199">
        <f>SUM(B232:B237)</f>
        <v>0</v>
      </c>
      <c r="C231" s="199">
        <f t="shared" ref="C231:AF231" si="38">SUM(C232:C237)</f>
        <v>0</v>
      </c>
      <c r="D231" s="199">
        <f t="shared" si="38"/>
        <v>0</v>
      </c>
      <c r="E231" s="199">
        <f t="shared" si="38"/>
        <v>0</v>
      </c>
      <c r="F231" s="199">
        <f t="shared" si="38"/>
        <v>0</v>
      </c>
      <c r="G231" s="199">
        <f t="shared" si="38"/>
        <v>0</v>
      </c>
      <c r="H231" s="199">
        <f t="shared" si="38"/>
        <v>0</v>
      </c>
      <c r="I231" s="199">
        <f t="shared" si="38"/>
        <v>0</v>
      </c>
      <c r="J231" s="199">
        <f t="shared" si="38"/>
        <v>0</v>
      </c>
      <c r="K231" s="199">
        <f t="shared" si="38"/>
        <v>0</v>
      </c>
      <c r="L231" s="199">
        <f t="shared" si="38"/>
        <v>0</v>
      </c>
      <c r="M231" s="199">
        <f t="shared" si="38"/>
        <v>0</v>
      </c>
      <c r="N231" s="199">
        <f t="shared" si="38"/>
        <v>0</v>
      </c>
      <c r="O231" s="199">
        <f t="shared" si="38"/>
        <v>0</v>
      </c>
      <c r="P231" s="199">
        <f t="shared" si="38"/>
        <v>0</v>
      </c>
      <c r="Q231" s="199">
        <f t="shared" si="38"/>
        <v>0</v>
      </c>
      <c r="R231" s="199">
        <f t="shared" si="38"/>
        <v>0</v>
      </c>
      <c r="S231" s="199">
        <f t="shared" si="38"/>
        <v>0</v>
      </c>
      <c r="T231" s="199">
        <f t="shared" si="38"/>
        <v>0</v>
      </c>
      <c r="U231" s="199">
        <f t="shared" si="38"/>
        <v>0</v>
      </c>
      <c r="V231" s="199">
        <f t="shared" si="38"/>
        <v>0</v>
      </c>
      <c r="W231" s="199">
        <f t="shared" si="38"/>
        <v>0</v>
      </c>
      <c r="X231" s="199">
        <f t="shared" si="38"/>
        <v>0</v>
      </c>
      <c r="Y231" s="199">
        <f t="shared" si="38"/>
        <v>0</v>
      </c>
      <c r="Z231" s="199">
        <f t="shared" si="38"/>
        <v>0</v>
      </c>
      <c r="AA231" s="199">
        <f t="shared" si="38"/>
        <v>0</v>
      </c>
      <c r="AB231" s="199">
        <f t="shared" si="38"/>
        <v>0</v>
      </c>
      <c r="AC231" s="199">
        <f t="shared" si="38"/>
        <v>0</v>
      </c>
      <c r="AD231" s="199">
        <f t="shared" si="38"/>
        <v>0</v>
      </c>
      <c r="AE231" s="199">
        <f t="shared" si="38"/>
        <v>0</v>
      </c>
      <c r="AF231" s="200">
        <f t="shared" si="38"/>
        <v>0</v>
      </c>
      <c r="AG231" s="201">
        <f t="shared" si="36"/>
        <v>0</v>
      </c>
    </row>
    <row r="232" spans="1:34" ht="38.25" hidden="1" customHeight="1" x14ac:dyDescent="0.25">
      <c r="A232" s="231" t="s">
        <v>159</v>
      </c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96"/>
      <c r="AG232" s="197">
        <f t="shared" si="36"/>
        <v>0</v>
      </c>
    </row>
    <row r="233" spans="1:34" ht="40.5" hidden="1" customHeight="1" x14ac:dyDescent="0.25">
      <c r="A233" s="231" t="s">
        <v>160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/>
    </row>
    <row r="234" spans="1:34" ht="40.5" hidden="1" customHeight="1" x14ac:dyDescent="0.25">
      <c r="A234" s="231" t="s">
        <v>161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162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2" t="s">
        <v>163</v>
      </c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88"/>
      <c r="AG236" s="138">
        <f t="shared" si="36"/>
        <v>0</v>
      </c>
    </row>
    <row r="237" spans="1:34" ht="39.75" hidden="1" customHeight="1" thickBot="1" x14ac:dyDescent="0.3">
      <c r="A237" s="233" t="s">
        <v>164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3"/>
      <c r="AG237" s="224">
        <f t="shared" si="36"/>
        <v>0</v>
      </c>
    </row>
    <row r="238" spans="1:34" ht="21.75" x14ac:dyDescent="0.25">
      <c r="A238" s="225" t="s">
        <v>151</v>
      </c>
      <c r="B238" s="251">
        <v>5.0694444444444452E-2</v>
      </c>
      <c r="C238" s="251">
        <v>4.7222222222222221E-2</v>
      </c>
      <c r="D238" s="251">
        <v>7.1527777777777787E-2</v>
      </c>
      <c r="E238" s="251">
        <v>5.6944444444444443E-2</v>
      </c>
      <c r="F238" s="251">
        <v>9.5138888888888884E-2</v>
      </c>
      <c r="G238" s="251">
        <v>6.458333333333334E-2</v>
      </c>
      <c r="H238" s="251">
        <v>6.1111111111111116E-2</v>
      </c>
      <c r="I238" s="251">
        <v>6.9444444444444434E-2</v>
      </c>
      <c r="J238" s="251">
        <v>8.3333333333333329E-2</v>
      </c>
      <c r="K238" s="251">
        <v>4.5138888888888888E-2</v>
      </c>
      <c r="L238" s="251">
        <v>5.6250000000000001E-2</v>
      </c>
      <c r="M238" s="251">
        <v>4.3055555555555562E-2</v>
      </c>
      <c r="N238" s="251">
        <v>4.7222222222222221E-2</v>
      </c>
      <c r="O238" s="251">
        <v>8.4722222222222213E-2</v>
      </c>
      <c r="P238" s="251">
        <v>7.8472222222222221E-2</v>
      </c>
      <c r="Q238" s="251">
        <v>5.9722222222222225E-2</v>
      </c>
      <c r="R238" s="251">
        <v>7.2916666666666671E-2</v>
      </c>
      <c r="S238" s="251">
        <v>6.5277777777777782E-2</v>
      </c>
      <c r="T238" s="251">
        <v>7.2916666666666671E-2</v>
      </c>
      <c r="U238" s="251">
        <v>5.9722222222222225E-2</v>
      </c>
      <c r="V238" s="251">
        <v>5.9722222222222225E-2</v>
      </c>
      <c r="W238" s="251">
        <v>6.9444444444444434E-2</v>
      </c>
      <c r="X238" s="251">
        <v>8.1250000000000003E-2</v>
      </c>
      <c r="Y238" s="251">
        <v>7.9166666666666663E-2</v>
      </c>
      <c r="Z238" s="251">
        <v>5.9027777777777783E-2</v>
      </c>
      <c r="AA238" s="251">
        <v>4.9999999999999996E-2</v>
      </c>
      <c r="AB238" s="251">
        <v>8.1250000000000003E-2</v>
      </c>
      <c r="AC238" s="251">
        <v>7.5694444444444439E-2</v>
      </c>
      <c r="AD238" s="251">
        <v>8.5416666666666655E-2</v>
      </c>
      <c r="AE238" s="251">
        <v>9.0277777777777776E-2</v>
      </c>
      <c r="AF238" s="226"/>
      <c r="AG238" s="268">
        <f t="shared" ref="AG238:AG239" si="39">SUM(B238:AF238)</f>
        <v>2.0166666666666666</v>
      </c>
    </row>
    <row r="239" spans="1:34" ht="22.5" thickBot="1" x14ac:dyDescent="0.3">
      <c r="A239" s="228" t="s">
        <v>152</v>
      </c>
      <c r="B239" s="252">
        <v>4.4444444444444446E-2</v>
      </c>
      <c r="C239" s="252">
        <v>4.6527777777777779E-2</v>
      </c>
      <c r="D239" s="252">
        <v>7.1527777777777787E-2</v>
      </c>
      <c r="E239" s="252">
        <v>3.5416666666666666E-2</v>
      </c>
      <c r="F239" s="252">
        <v>0.12361111111111112</v>
      </c>
      <c r="G239" s="252">
        <v>6.5277777777777782E-2</v>
      </c>
      <c r="H239" s="252">
        <v>5.8333333333333327E-2</v>
      </c>
      <c r="I239" s="252">
        <v>6.5277777777777782E-2</v>
      </c>
      <c r="J239" s="252">
        <v>9.5138888888888884E-2</v>
      </c>
      <c r="K239" s="252">
        <v>4.5833333333333337E-2</v>
      </c>
      <c r="L239" s="252">
        <v>3.9583333333333331E-2</v>
      </c>
      <c r="M239" s="252">
        <v>2.2916666666666669E-2</v>
      </c>
      <c r="N239" s="252">
        <v>4.2361111111111106E-2</v>
      </c>
      <c r="O239" s="252">
        <v>9.8611111111111108E-2</v>
      </c>
      <c r="P239" s="252">
        <v>7.7083333333333337E-2</v>
      </c>
      <c r="Q239" s="252">
        <v>5.5555555555555552E-2</v>
      </c>
      <c r="R239" s="252">
        <v>8.2638888888888887E-2</v>
      </c>
      <c r="S239" s="252">
        <v>7.8472222222222221E-2</v>
      </c>
      <c r="T239" s="252">
        <v>8.6111111111111124E-2</v>
      </c>
      <c r="U239" s="252">
        <v>6.3888888888888884E-2</v>
      </c>
      <c r="V239" s="252">
        <v>4.5138888888888888E-2</v>
      </c>
      <c r="W239" s="252">
        <v>7.4305555555555555E-2</v>
      </c>
      <c r="X239" s="252">
        <v>8.5416666666666655E-2</v>
      </c>
      <c r="Y239" s="252">
        <v>7.8472222222222221E-2</v>
      </c>
      <c r="Z239" s="252">
        <v>4.5833333333333337E-2</v>
      </c>
      <c r="AA239" s="252">
        <v>4.0972222222222222E-2</v>
      </c>
      <c r="AB239" s="252">
        <v>8.7500000000000008E-2</v>
      </c>
      <c r="AC239" s="252">
        <v>8.819444444444445E-2</v>
      </c>
      <c r="AD239" s="252">
        <v>0.1076388888888889</v>
      </c>
      <c r="AE239" s="252">
        <v>0.1076388888888889</v>
      </c>
      <c r="AF239" s="229"/>
      <c r="AG239" s="270">
        <f t="shared" si="39"/>
        <v>2.0597222222222222</v>
      </c>
    </row>
    <row r="240" spans="1:34" ht="15.75" thickBot="1" x14ac:dyDescent="0.3">
      <c r="A240" s="382" t="s">
        <v>619</v>
      </c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  <c r="AA240" s="383"/>
      <c r="AB240" s="383"/>
      <c r="AC240" s="383"/>
      <c r="AD240" s="383"/>
      <c r="AE240" s="383"/>
      <c r="AF240" s="383"/>
      <c r="AG240" s="384"/>
    </row>
    <row r="241" spans="1:33" ht="23.25" x14ac:dyDescent="0.35">
      <c r="A241" s="253" t="s">
        <v>72</v>
      </c>
      <c r="B241" s="254">
        <v>0</v>
      </c>
      <c r="C241" s="255">
        <v>0</v>
      </c>
      <c r="D241" s="255">
        <v>0</v>
      </c>
      <c r="E241" s="255">
        <v>0</v>
      </c>
      <c r="F241" s="255">
        <v>0</v>
      </c>
      <c r="G241" s="255">
        <v>6.2499999999999995E-3</v>
      </c>
      <c r="H241" s="255">
        <v>0</v>
      </c>
      <c r="I241" s="255">
        <v>0</v>
      </c>
      <c r="J241" s="255">
        <v>0</v>
      </c>
      <c r="K241" s="255">
        <v>0</v>
      </c>
      <c r="L241" s="255">
        <v>0</v>
      </c>
      <c r="M241" s="255">
        <v>0</v>
      </c>
      <c r="N241" s="255">
        <v>0</v>
      </c>
      <c r="O241" s="255">
        <v>0</v>
      </c>
      <c r="P241" s="255">
        <v>0</v>
      </c>
      <c r="Q241" s="255">
        <v>0</v>
      </c>
      <c r="R241" s="255">
        <v>0</v>
      </c>
      <c r="S241" s="255">
        <v>0</v>
      </c>
      <c r="T241" s="255">
        <v>0</v>
      </c>
      <c r="U241" s="255">
        <v>0</v>
      </c>
      <c r="V241" s="255">
        <v>0</v>
      </c>
      <c r="W241" s="255">
        <v>0</v>
      </c>
      <c r="X241" s="255">
        <v>0</v>
      </c>
      <c r="Y241" s="255">
        <v>0</v>
      </c>
      <c r="Z241" s="255">
        <v>0</v>
      </c>
      <c r="AA241" s="255">
        <v>0</v>
      </c>
      <c r="AB241" s="255">
        <v>0</v>
      </c>
      <c r="AC241" s="255">
        <v>0</v>
      </c>
      <c r="AD241" s="255">
        <v>0</v>
      </c>
      <c r="AE241" s="255">
        <v>0</v>
      </c>
      <c r="AF241" s="256"/>
      <c r="AG241" s="257">
        <f>AVERAGE(B241:AF241)</f>
        <v>2.0833333333333332E-4</v>
      </c>
    </row>
    <row r="242" spans="1:33" ht="23.25" x14ac:dyDescent="0.35">
      <c r="A242" s="253" t="s">
        <v>73</v>
      </c>
      <c r="B242" s="258">
        <v>6.2499999999999995E-3</v>
      </c>
      <c r="C242" s="259">
        <v>1.4583333333333332E-2</v>
      </c>
      <c r="D242" s="259">
        <v>2.0833333333333332E-2</v>
      </c>
      <c r="E242" s="259">
        <v>4.8611111111111112E-3</v>
      </c>
      <c r="F242" s="259">
        <v>0</v>
      </c>
      <c r="G242" s="259">
        <v>0</v>
      </c>
      <c r="H242" s="259">
        <v>0</v>
      </c>
      <c r="I242" s="259">
        <v>0</v>
      </c>
      <c r="J242" s="259">
        <v>1.0416666666666666E-2</v>
      </c>
      <c r="K242" s="259">
        <v>5.1388888888888894E-2</v>
      </c>
      <c r="L242" s="259">
        <v>3.0555555555555555E-2</v>
      </c>
      <c r="M242" s="259">
        <v>0</v>
      </c>
      <c r="N242" s="259">
        <v>0</v>
      </c>
      <c r="O242" s="259">
        <v>1.3888888888888888E-2</v>
      </c>
      <c r="P242" s="259">
        <v>6.2499999999999995E-3</v>
      </c>
      <c r="Q242" s="259">
        <v>1.6666666666666666E-2</v>
      </c>
      <c r="R242" s="259">
        <v>0</v>
      </c>
      <c r="S242" s="259">
        <v>0</v>
      </c>
      <c r="T242" s="259">
        <v>2.1527777777777781E-2</v>
      </c>
      <c r="U242" s="259">
        <v>1.1111111111111112E-2</v>
      </c>
      <c r="V242" s="259">
        <v>1.1111111111111112E-2</v>
      </c>
      <c r="W242" s="259">
        <v>0</v>
      </c>
      <c r="X242" s="259">
        <v>0</v>
      </c>
      <c r="Y242" s="259">
        <v>1.3194444444444444E-2</v>
      </c>
      <c r="Z242" s="259">
        <v>0</v>
      </c>
      <c r="AA242" s="259">
        <v>0</v>
      </c>
      <c r="AB242" s="259">
        <v>0</v>
      </c>
      <c r="AC242" s="259">
        <v>1.8749999999999999E-2</v>
      </c>
      <c r="AD242" s="259">
        <v>0</v>
      </c>
      <c r="AE242" s="259">
        <v>1.0416666666666666E-2</v>
      </c>
      <c r="AF242" s="260"/>
      <c r="AG242" s="261">
        <f>AVERAGE(B242:AF242)</f>
        <v>8.726851851851852E-3</v>
      </c>
    </row>
    <row r="243" spans="1:33" ht="23.25" x14ac:dyDescent="0.35">
      <c r="A243" s="253" t="s">
        <v>74</v>
      </c>
      <c r="B243" s="258">
        <v>1.2499999999999999E-2</v>
      </c>
      <c r="C243" s="259">
        <v>1.4583333333333332E-2</v>
      </c>
      <c r="D243" s="259">
        <v>2.9861111111111113E-2</v>
      </c>
      <c r="E243" s="259">
        <v>1.1805555555555555E-2</v>
      </c>
      <c r="F243" s="259">
        <v>1.3888888888888888E-2</v>
      </c>
      <c r="G243" s="259">
        <v>1.5277777777777777E-2</v>
      </c>
      <c r="H243" s="259">
        <v>1.3888888888888888E-2</v>
      </c>
      <c r="I243" s="259">
        <v>1.5277777777777777E-2</v>
      </c>
      <c r="J243" s="259">
        <v>2.0833333333333332E-2</v>
      </c>
      <c r="K243" s="259">
        <v>1.2499999999999999E-2</v>
      </c>
      <c r="L243" s="259">
        <v>1.8749999999999999E-2</v>
      </c>
      <c r="M243" s="259">
        <v>1.1805555555555555E-2</v>
      </c>
      <c r="N243" s="259">
        <v>1.6666666666666666E-2</v>
      </c>
      <c r="O243" s="259">
        <v>1.5972222222222224E-2</v>
      </c>
      <c r="P243" s="259">
        <v>2.7083333333333334E-2</v>
      </c>
      <c r="Q243" s="259">
        <v>1.6666666666666666E-2</v>
      </c>
      <c r="R243" s="259">
        <v>1.8749999999999999E-2</v>
      </c>
      <c r="S243" s="259">
        <v>1.3888888888888888E-2</v>
      </c>
      <c r="T243" s="259">
        <v>3.6111111111111115E-2</v>
      </c>
      <c r="U243" s="259">
        <v>1.9444444444444445E-2</v>
      </c>
      <c r="V243" s="259">
        <v>1.6666666666666666E-2</v>
      </c>
      <c r="W243" s="259">
        <v>1.9444444444444445E-2</v>
      </c>
      <c r="X243" s="259">
        <v>1.8749999999999999E-2</v>
      </c>
      <c r="Y243" s="259">
        <v>2.4305555555555556E-2</v>
      </c>
      <c r="Z243" s="259">
        <v>1.0416666666666666E-2</v>
      </c>
      <c r="AA243" s="259">
        <v>1.3888888888888888E-2</v>
      </c>
      <c r="AB243" s="259">
        <v>1.9444444444444445E-2</v>
      </c>
      <c r="AC243" s="259">
        <v>2.7777777777777776E-2</v>
      </c>
      <c r="AD243" s="259">
        <v>1.1111111111111112E-2</v>
      </c>
      <c r="AE243" s="259">
        <v>2.5694444444444447E-2</v>
      </c>
      <c r="AF243" s="260"/>
      <c r="AG243" s="261">
        <f>AVERAGE(B243:AF243)</f>
        <v>1.8101851851851852E-2</v>
      </c>
    </row>
    <row r="244" spans="1:33" ht="23.25" x14ac:dyDescent="0.35">
      <c r="A244" s="253" t="s">
        <v>75</v>
      </c>
      <c r="B244" s="258">
        <v>2.7083333333333334E-2</v>
      </c>
      <c r="C244" s="259">
        <v>2.9166666666666664E-2</v>
      </c>
      <c r="D244" s="259">
        <v>4.027777777777778E-2</v>
      </c>
      <c r="E244" s="259">
        <v>2.1527777777777781E-2</v>
      </c>
      <c r="F244" s="259">
        <v>7.7083333333333337E-2</v>
      </c>
      <c r="G244" s="259">
        <v>4.7222222222222221E-2</v>
      </c>
      <c r="H244" s="259">
        <v>3.2638888888888891E-2</v>
      </c>
      <c r="I244" s="259">
        <v>4.1666666666666664E-2</v>
      </c>
      <c r="J244" s="259">
        <v>6.805555555555555E-2</v>
      </c>
      <c r="K244" s="259">
        <v>2.7083333333333334E-2</v>
      </c>
      <c r="L244" s="259">
        <v>2.4305555555555556E-2</v>
      </c>
      <c r="M244" s="259">
        <v>1.7361111111111112E-2</v>
      </c>
      <c r="N244" s="259">
        <v>2.9166666666666664E-2</v>
      </c>
      <c r="O244" s="259">
        <v>6.3194444444444442E-2</v>
      </c>
      <c r="P244" s="259">
        <v>4.9999999999999996E-2</v>
      </c>
      <c r="Q244" s="259">
        <v>3.6805555555555557E-2</v>
      </c>
      <c r="R244" s="259">
        <v>4.9999999999999996E-2</v>
      </c>
      <c r="S244" s="259">
        <v>4.5138888888888888E-2</v>
      </c>
      <c r="T244" s="259">
        <v>5.1388888888888894E-2</v>
      </c>
      <c r="U244" s="259">
        <v>4.6527777777777779E-2</v>
      </c>
      <c r="V244" s="259">
        <v>2.8472222222222222E-2</v>
      </c>
      <c r="W244" s="259">
        <v>4.5833333333333337E-2</v>
      </c>
      <c r="X244" s="259">
        <v>5.2083333333333336E-2</v>
      </c>
      <c r="Y244" s="259">
        <v>4.5138888888888888E-2</v>
      </c>
      <c r="Z244" s="259">
        <v>2.5694444444444447E-2</v>
      </c>
      <c r="AA244" s="259">
        <v>2.5694444444444447E-2</v>
      </c>
      <c r="AB244" s="259">
        <v>5.486111111111111E-2</v>
      </c>
      <c r="AC244" s="259">
        <v>6.1111111111111116E-2</v>
      </c>
      <c r="AD244" s="259">
        <v>7.1527777777777787E-2</v>
      </c>
      <c r="AE244" s="259">
        <v>6.3194444444444442E-2</v>
      </c>
      <c r="AF244" s="260"/>
      <c r="AG244" s="261">
        <f>AVERAGE(B244:AF244)</f>
        <v>4.3310185185185188E-2</v>
      </c>
    </row>
    <row r="245" spans="1:33" ht="24" thickBot="1" x14ac:dyDescent="0.4">
      <c r="A245" s="262" t="s">
        <v>76</v>
      </c>
      <c r="B245" s="263">
        <v>3.5416666666666666E-2</v>
      </c>
      <c r="C245" s="264">
        <v>2.9166666666666664E-2</v>
      </c>
      <c r="D245" s="264">
        <v>5.347222222222222E-2</v>
      </c>
      <c r="E245" s="264">
        <v>3.0555555555555555E-2</v>
      </c>
      <c r="F245" s="264">
        <v>4.9305555555555554E-2</v>
      </c>
      <c r="G245" s="264">
        <v>2.8472222222222222E-2</v>
      </c>
      <c r="H245" s="264">
        <v>5.486111111111111E-2</v>
      </c>
      <c r="I245" s="264">
        <v>5.6250000000000001E-2</v>
      </c>
      <c r="J245" s="264">
        <v>6.6666666666666666E-2</v>
      </c>
      <c r="K245" s="264">
        <v>3.7499999999999999E-2</v>
      </c>
      <c r="L245" s="264">
        <v>3.1944444444444449E-2</v>
      </c>
      <c r="M245" s="264">
        <v>3.5416666666666666E-2</v>
      </c>
      <c r="N245" s="264">
        <v>1.4583333333333332E-2</v>
      </c>
      <c r="O245" s="264">
        <v>4.027777777777778E-2</v>
      </c>
      <c r="P245" s="264">
        <v>3.6805555555555557E-2</v>
      </c>
      <c r="Q245" s="264">
        <v>3.7499999999999999E-2</v>
      </c>
      <c r="R245" s="264">
        <v>6.805555555555555E-2</v>
      </c>
      <c r="S245" s="264">
        <v>5.347222222222222E-2</v>
      </c>
      <c r="T245" s="264">
        <v>3.7499999999999999E-2</v>
      </c>
      <c r="U245" s="264">
        <v>1.7361111111111112E-2</v>
      </c>
      <c r="V245" s="264">
        <v>4.7222222222222221E-2</v>
      </c>
      <c r="W245" s="264">
        <v>4.5833333333333337E-2</v>
      </c>
      <c r="X245" s="264">
        <v>5.347222222222222E-2</v>
      </c>
      <c r="Y245" s="264">
        <v>6.6666666666666666E-2</v>
      </c>
      <c r="Z245" s="264">
        <v>5.347222222222222E-2</v>
      </c>
      <c r="AA245" s="264">
        <v>3.125E-2</v>
      </c>
      <c r="AB245" s="264">
        <v>4.3750000000000004E-2</v>
      </c>
      <c r="AC245" s="264">
        <v>4.3750000000000004E-2</v>
      </c>
      <c r="AD245" s="264">
        <v>2.6388888888888889E-2</v>
      </c>
      <c r="AE245" s="264">
        <v>8.4722222222222213E-2</v>
      </c>
      <c r="AF245" s="265"/>
      <c r="AG245" s="266">
        <f>AVERAGE(B245:AF245)</f>
        <v>4.3703703703703696E-2</v>
      </c>
    </row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9.5" customHeight="1" x14ac:dyDescent="0.25"/>
    <row r="272" ht="18.75" customHeight="1" x14ac:dyDescent="0.25"/>
    <row r="275" ht="18.75" customHeight="1" x14ac:dyDescent="0.25"/>
  </sheetData>
  <dataConsolidate/>
  <mergeCells count="6">
    <mergeCell ref="A240:AG240"/>
    <mergeCell ref="A1:AG1"/>
    <mergeCell ref="AI84:AI86"/>
    <mergeCell ref="AH211:AH222"/>
    <mergeCell ref="AH224:AH226"/>
    <mergeCell ref="AH227:AH230"/>
  </mergeCells>
  <conditionalFormatting sqref="B29:AF52">
    <cfRule type="cellIs" dxfId="20" priority="6" operator="lessThan">
      <formula>0</formula>
    </cfRule>
  </conditionalFormatting>
  <conditionalFormatting sqref="D54:D77">
    <cfRule type="cellIs" dxfId="19" priority="2" operator="lessThan">
      <formula>0</formula>
    </cfRule>
  </conditionalFormatting>
  <conditionalFormatting sqref="G54:G77">
    <cfRule type="cellIs" dxfId="18" priority="1" operator="lessThan">
      <formula>0</formula>
    </cfRule>
  </conditionalFormatting>
  <conditionalFormatting sqref="AH81">
    <cfRule type="cellIs" dxfId="17" priority="4" operator="equal">
      <formula>"*"</formula>
    </cfRule>
  </conditionalFormatting>
  <conditionalFormatting sqref="AH84 AH87">
    <cfRule type="cellIs" dxfId="16" priority="5" operator="equal">
      <formula>"*"</formula>
    </cfRule>
  </conditionalFormatting>
  <conditionalFormatting sqref="AH93">
    <cfRule type="cellIs" dxfId="15" priority="10" operator="equal">
      <formula>"*"</formula>
    </cfRule>
  </conditionalFormatting>
  <conditionalFormatting sqref="AH130">
    <cfRule type="cellIs" dxfId="14" priority="8" operator="equal">
      <formula>"*"</formula>
    </cfRule>
  </conditionalFormatting>
  <conditionalFormatting sqref="AH144:AH145">
    <cfRule type="cellIs" dxfId="13" priority="9" operator="equal">
      <formula>"*"</formula>
    </cfRule>
  </conditionalFormatting>
  <conditionalFormatting sqref="AH179">
    <cfRule type="cellIs" dxfId="12" priority="7" operator="equal">
      <formula>"*"</formula>
    </cfRule>
  </conditionalFormatting>
  <conditionalFormatting sqref="AH204">
    <cfRule type="cellIs" dxfId="1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D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76"/>
  <sheetViews>
    <sheetView zoomScale="80" zoomScaleNormal="80" workbookViewId="0">
      <pane xSplit="1" ySplit="3" topLeftCell="F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2"/>
    </row>
    <row r="2" spans="1:33" ht="21.75" thickBot="1" x14ac:dyDescent="0.3">
      <c r="A2" s="82" t="s">
        <v>136</v>
      </c>
      <c r="B2" s="106">
        <v>1</v>
      </c>
      <c r="C2" s="234">
        <f t="shared" ref="C2:AA2" si="0">+B2+1</f>
        <v>2</v>
      </c>
      <c r="D2" s="234">
        <f t="shared" si="0"/>
        <v>3</v>
      </c>
      <c r="E2" s="234">
        <f t="shared" si="0"/>
        <v>4</v>
      </c>
      <c r="F2" s="234">
        <f t="shared" si="0"/>
        <v>5</v>
      </c>
      <c r="G2" s="234">
        <f t="shared" si="0"/>
        <v>6</v>
      </c>
      <c r="H2" s="106">
        <f t="shared" si="0"/>
        <v>7</v>
      </c>
      <c r="I2" s="106">
        <f t="shared" si="0"/>
        <v>8</v>
      </c>
      <c r="J2" s="234">
        <f t="shared" si="0"/>
        <v>9</v>
      </c>
      <c r="K2" s="234">
        <f t="shared" si="0"/>
        <v>10</v>
      </c>
      <c r="L2" s="234">
        <f t="shared" si="0"/>
        <v>11</v>
      </c>
      <c r="M2" s="234">
        <f t="shared" si="0"/>
        <v>12</v>
      </c>
      <c r="N2" s="234">
        <f t="shared" si="0"/>
        <v>13</v>
      </c>
      <c r="O2" s="106">
        <f t="shared" si="0"/>
        <v>14</v>
      </c>
      <c r="P2" s="106">
        <f t="shared" si="0"/>
        <v>15</v>
      </c>
      <c r="Q2" s="234">
        <f t="shared" si="0"/>
        <v>16</v>
      </c>
      <c r="R2" s="234">
        <f t="shared" si="0"/>
        <v>17</v>
      </c>
      <c r="S2" s="234">
        <f t="shared" si="0"/>
        <v>18</v>
      </c>
      <c r="T2" s="234">
        <f t="shared" si="0"/>
        <v>19</v>
      </c>
      <c r="U2" s="234">
        <f t="shared" si="0"/>
        <v>20</v>
      </c>
      <c r="V2" s="106">
        <f t="shared" si="0"/>
        <v>21</v>
      </c>
      <c r="W2" s="106">
        <f t="shared" si="0"/>
        <v>22</v>
      </c>
      <c r="X2" s="234">
        <f t="shared" si="0"/>
        <v>23</v>
      </c>
      <c r="Y2" s="234">
        <f t="shared" si="0"/>
        <v>24</v>
      </c>
      <c r="Z2" s="106">
        <f t="shared" si="0"/>
        <v>25</v>
      </c>
      <c r="AA2" s="234">
        <f t="shared" si="0"/>
        <v>26</v>
      </c>
      <c r="AB2" s="234">
        <v>27</v>
      </c>
      <c r="AC2" s="106">
        <f>+AB2+1</f>
        <v>28</v>
      </c>
      <c r="AD2" s="106">
        <v>29</v>
      </c>
      <c r="AE2" s="234">
        <v>30</v>
      </c>
      <c r="AF2" s="234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200</v>
      </c>
      <c r="C3" s="135">
        <f t="shared" si="1"/>
        <v>191</v>
      </c>
      <c r="D3" s="135">
        <f t="shared" si="1"/>
        <v>160</v>
      </c>
      <c r="E3" s="135">
        <f t="shared" si="1"/>
        <v>156</v>
      </c>
      <c r="F3" s="135">
        <f t="shared" si="1"/>
        <v>156</v>
      </c>
      <c r="G3" s="135">
        <f t="shared" si="1"/>
        <v>165</v>
      </c>
      <c r="H3" s="135">
        <f t="shared" si="1"/>
        <v>210</v>
      </c>
      <c r="I3" s="135">
        <f t="shared" si="1"/>
        <v>206</v>
      </c>
      <c r="J3" s="135">
        <f t="shared" si="1"/>
        <v>177</v>
      </c>
      <c r="K3" s="135">
        <f t="shared" si="1"/>
        <v>163</v>
      </c>
      <c r="L3" s="135">
        <f t="shared" si="1"/>
        <v>114</v>
      </c>
      <c r="M3" s="135">
        <f t="shared" si="1"/>
        <v>143</v>
      </c>
      <c r="N3" s="135">
        <f t="shared" si="1"/>
        <v>139</v>
      </c>
      <c r="O3" s="135">
        <f t="shared" si="1"/>
        <v>192</v>
      </c>
      <c r="P3" s="135">
        <f t="shared" si="1"/>
        <v>181</v>
      </c>
      <c r="Q3" s="135">
        <f t="shared" si="1"/>
        <v>188</v>
      </c>
      <c r="R3" s="135">
        <f t="shared" si="1"/>
        <v>139</v>
      </c>
      <c r="S3" s="135">
        <f t="shared" si="1"/>
        <v>162</v>
      </c>
      <c r="T3" s="135">
        <f t="shared" si="1"/>
        <v>142</v>
      </c>
      <c r="U3" s="135">
        <f t="shared" si="1"/>
        <v>131</v>
      </c>
      <c r="V3" s="135">
        <f t="shared" si="1"/>
        <v>207</v>
      </c>
      <c r="W3" s="135">
        <f t="shared" si="1"/>
        <v>173</v>
      </c>
      <c r="X3" s="135">
        <f t="shared" si="1"/>
        <v>134</v>
      </c>
      <c r="Y3" s="135">
        <f t="shared" si="1"/>
        <v>96</v>
      </c>
      <c r="Z3" s="135">
        <f t="shared" si="1"/>
        <v>173</v>
      </c>
      <c r="AA3" s="135">
        <f t="shared" si="1"/>
        <v>176</v>
      </c>
      <c r="AB3" s="135">
        <f t="shared" si="1"/>
        <v>166</v>
      </c>
      <c r="AC3" s="135">
        <f t="shared" si="1"/>
        <v>244</v>
      </c>
      <c r="AD3" s="135">
        <f t="shared" si="1"/>
        <v>219</v>
      </c>
      <c r="AE3" s="135">
        <f t="shared" si="1"/>
        <v>180</v>
      </c>
      <c r="AF3" s="135">
        <f t="shared" si="1"/>
        <v>96</v>
      </c>
      <c r="AG3" s="187">
        <f>SUM(B3:AF3)</f>
        <v>5179</v>
      </c>
    </row>
    <row r="4" spans="1:33" ht="18.75" x14ac:dyDescent="0.25">
      <c r="A4" s="113" t="s">
        <v>54</v>
      </c>
      <c r="B4" s="114">
        <v>3</v>
      </c>
      <c r="C4" s="114"/>
      <c r="D4" s="114"/>
      <c r="E4" s="114"/>
      <c r="F4" s="114" t="s">
        <v>617</v>
      </c>
      <c r="G4" s="114"/>
      <c r="H4" s="114">
        <v>10</v>
      </c>
      <c r="I4" s="114">
        <v>5</v>
      </c>
      <c r="J4" s="114"/>
      <c r="K4" s="114"/>
      <c r="L4" s="114"/>
      <c r="M4" s="114"/>
      <c r="N4" s="114"/>
      <c r="O4" s="114">
        <v>4</v>
      </c>
      <c r="P4" s="114">
        <v>4</v>
      </c>
      <c r="Q4" s="114"/>
      <c r="R4" s="114"/>
      <c r="S4" s="114"/>
      <c r="T4" s="114"/>
      <c r="U4" s="114"/>
      <c r="V4" s="114">
        <v>8</v>
      </c>
      <c r="W4" s="114">
        <v>5</v>
      </c>
      <c r="X4" s="114"/>
      <c r="Y4" s="114"/>
      <c r="Z4" s="114">
        <v>2</v>
      </c>
      <c r="AA4" s="114"/>
      <c r="AB4" s="114"/>
      <c r="AC4" s="114">
        <v>6</v>
      </c>
      <c r="AD4" s="114">
        <v>3</v>
      </c>
      <c r="AE4" s="114"/>
      <c r="AF4" s="115"/>
      <c r="AG4" s="132">
        <f t="shared" ref="AG4:AG83" si="2">SUM(B4:AF4)</f>
        <v>50</v>
      </c>
    </row>
    <row r="5" spans="1:33" ht="18.75" x14ac:dyDescent="0.25">
      <c r="A5" s="41" t="s">
        <v>55</v>
      </c>
      <c r="B5" s="7">
        <v>15</v>
      </c>
      <c r="C5" s="7"/>
      <c r="D5" s="7"/>
      <c r="E5" s="7"/>
      <c r="F5" s="7"/>
      <c r="G5" s="7"/>
      <c r="H5" s="7">
        <v>8</v>
      </c>
      <c r="I5" s="7">
        <v>7</v>
      </c>
      <c r="J5" s="7"/>
      <c r="K5" s="7"/>
      <c r="L5" s="7"/>
      <c r="M5" s="7"/>
      <c r="N5" s="7"/>
      <c r="O5" s="7">
        <v>13</v>
      </c>
      <c r="P5" s="7">
        <v>8</v>
      </c>
      <c r="Q5" s="7"/>
      <c r="R5" s="7"/>
      <c r="S5" s="7"/>
      <c r="T5" s="7"/>
      <c r="U5" s="7"/>
      <c r="V5" s="7">
        <v>7</v>
      </c>
      <c r="W5" s="7">
        <v>20</v>
      </c>
      <c r="X5" s="7"/>
      <c r="Y5" s="7"/>
      <c r="Z5" s="7">
        <v>5</v>
      </c>
      <c r="AA5" s="7"/>
      <c r="AB5" s="7"/>
      <c r="AC5" s="7">
        <v>7</v>
      </c>
      <c r="AD5" s="7">
        <v>13</v>
      </c>
      <c r="AE5" s="7"/>
      <c r="AF5" s="8"/>
      <c r="AG5" s="4">
        <f t="shared" si="2"/>
        <v>103</v>
      </c>
    </row>
    <row r="6" spans="1:33" ht="18.75" x14ac:dyDescent="0.25">
      <c r="A6" s="41" t="s">
        <v>56</v>
      </c>
      <c r="B6" s="7">
        <v>6</v>
      </c>
      <c r="C6" s="7"/>
      <c r="D6" s="7"/>
      <c r="E6" s="7"/>
      <c r="F6" s="7"/>
      <c r="G6" s="7"/>
      <c r="H6" s="7">
        <v>8</v>
      </c>
      <c r="I6" s="7">
        <v>7</v>
      </c>
      <c r="J6" s="7"/>
      <c r="K6" s="7"/>
      <c r="L6" s="7"/>
      <c r="M6" s="7"/>
      <c r="N6" s="7"/>
      <c r="O6" s="7">
        <v>12</v>
      </c>
      <c r="P6" s="7">
        <v>4</v>
      </c>
      <c r="Q6" s="7"/>
      <c r="R6" s="7"/>
      <c r="S6" s="7"/>
      <c r="T6" s="7"/>
      <c r="U6" s="7"/>
      <c r="V6" s="7">
        <v>12</v>
      </c>
      <c r="W6" s="7">
        <v>16</v>
      </c>
      <c r="X6" s="7"/>
      <c r="Y6" s="7"/>
      <c r="Z6" s="7">
        <v>7</v>
      </c>
      <c r="AA6" s="7"/>
      <c r="AB6" s="7"/>
      <c r="AC6" s="7">
        <v>16</v>
      </c>
      <c r="AD6" s="7">
        <v>18</v>
      </c>
      <c r="AE6" s="7"/>
      <c r="AF6" s="8"/>
      <c r="AG6" s="4">
        <f t="shared" si="2"/>
        <v>106</v>
      </c>
    </row>
    <row r="7" spans="1:33" ht="18.75" x14ac:dyDescent="0.25">
      <c r="A7" s="41" t="s">
        <v>38</v>
      </c>
      <c r="B7" s="7">
        <v>22</v>
      </c>
      <c r="C7" s="7"/>
      <c r="D7" s="7">
        <v>1</v>
      </c>
      <c r="E7" s="7"/>
      <c r="F7" s="7"/>
      <c r="G7" s="7"/>
      <c r="H7" s="7">
        <v>10</v>
      </c>
      <c r="I7" s="7">
        <v>16</v>
      </c>
      <c r="J7" s="7"/>
      <c r="K7" s="7"/>
      <c r="L7" s="7"/>
      <c r="M7" s="7"/>
      <c r="N7" s="7"/>
      <c r="O7" s="7">
        <v>19</v>
      </c>
      <c r="P7" s="7">
        <v>10</v>
      </c>
      <c r="Q7" s="7"/>
      <c r="R7" s="7"/>
      <c r="S7" s="7"/>
      <c r="T7" s="7"/>
      <c r="U7" s="7"/>
      <c r="V7" s="7">
        <v>8</v>
      </c>
      <c r="W7" s="7">
        <v>8</v>
      </c>
      <c r="X7" s="7"/>
      <c r="Y7" s="7"/>
      <c r="Z7" s="7">
        <v>12</v>
      </c>
      <c r="AA7" s="7"/>
      <c r="AB7" s="7"/>
      <c r="AC7" s="7">
        <v>14</v>
      </c>
      <c r="AD7" s="7">
        <v>18</v>
      </c>
      <c r="AE7" s="7"/>
      <c r="AF7" s="8"/>
      <c r="AG7" s="4">
        <f t="shared" si="2"/>
        <v>138</v>
      </c>
    </row>
    <row r="8" spans="1:33" ht="18.75" x14ac:dyDescent="0.25">
      <c r="A8" s="41" t="s">
        <v>39</v>
      </c>
      <c r="B8" s="7">
        <v>13</v>
      </c>
      <c r="C8" s="7"/>
      <c r="D8" s="7"/>
      <c r="E8" s="7"/>
      <c r="F8" s="7"/>
      <c r="G8" s="7"/>
      <c r="H8" s="7">
        <v>14</v>
      </c>
      <c r="I8" s="7">
        <v>15</v>
      </c>
      <c r="J8" s="7"/>
      <c r="K8" s="7"/>
      <c r="L8" s="7"/>
      <c r="M8" s="7"/>
      <c r="N8" s="7"/>
      <c r="O8" s="7">
        <v>8</v>
      </c>
      <c r="P8" s="7">
        <v>8</v>
      </c>
      <c r="Q8" s="7"/>
      <c r="R8" s="7"/>
      <c r="S8" s="7"/>
      <c r="T8" s="7"/>
      <c r="U8" s="7"/>
      <c r="V8" s="7">
        <v>13</v>
      </c>
      <c r="W8" s="7">
        <v>9</v>
      </c>
      <c r="X8" s="7"/>
      <c r="Y8" s="7">
        <v>4</v>
      </c>
      <c r="Z8" s="7">
        <v>5</v>
      </c>
      <c r="AA8" s="7"/>
      <c r="AB8" s="7"/>
      <c r="AC8" s="7">
        <v>26</v>
      </c>
      <c r="AD8" s="7">
        <v>10</v>
      </c>
      <c r="AE8" s="7"/>
      <c r="AF8" s="8">
        <v>6</v>
      </c>
      <c r="AG8" s="4">
        <f t="shared" si="2"/>
        <v>131</v>
      </c>
    </row>
    <row r="9" spans="1:33" ht="18.75" x14ac:dyDescent="0.25">
      <c r="A9" s="41" t="s">
        <v>40</v>
      </c>
      <c r="B9" s="7">
        <v>16</v>
      </c>
      <c r="C9" s="7"/>
      <c r="D9" s="7"/>
      <c r="E9" s="7"/>
      <c r="F9" s="7"/>
      <c r="G9" s="7"/>
      <c r="H9" s="7">
        <v>10</v>
      </c>
      <c r="I9" s="7">
        <v>10</v>
      </c>
      <c r="J9" s="7"/>
      <c r="K9" s="7"/>
      <c r="L9" s="7"/>
      <c r="M9" s="7"/>
      <c r="N9" s="7"/>
      <c r="O9" s="7">
        <v>7</v>
      </c>
      <c r="P9" s="7">
        <v>11</v>
      </c>
      <c r="Q9" s="7"/>
      <c r="R9" s="7"/>
      <c r="S9" s="7"/>
      <c r="T9" s="7">
        <v>1</v>
      </c>
      <c r="U9" s="7"/>
      <c r="V9" s="7">
        <v>13</v>
      </c>
      <c r="W9" s="7">
        <v>11</v>
      </c>
      <c r="X9" s="7"/>
      <c r="Y9" s="7">
        <v>4</v>
      </c>
      <c r="Z9" s="7">
        <v>11</v>
      </c>
      <c r="AA9" s="7"/>
      <c r="AB9" s="7"/>
      <c r="AC9" s="7">
        <v>17</v>
      </c>
      <c r="AD9" s="7">
        <v>11</v>
      </c>
      <c r="AE9" s="7"/>
      <c r="AF9" s="8">
        <v>2</v>
      </c>
      <c r="AG9" s="4">
        <f t="shared" si="2"/>
        <v>124</v>
      </c>
    </row>
    <row r="10" spans="1:33" ht="18.75" x14ac:dyDescent="0.25">
      <c r="A10" s="41" t="s">
        <v>41</v>
      </c>
      <c r="B10" s="7">
        <v>6</v>
      </c>
      <c r="C10" s="7"/>
      <c r="D10" s="7"/>
      <c r="E10" s="7"/>
      <c r="F10" s="7"/>
      <c r="G10" s="7"/>
      <c r="H10" s="7">
        <v>9</v>
      </c>
      <c r="I10" s="7">
        <v>10</v>
      </c>
      <c r="J10" s="7"/>
      <c r="K10" s="7"/>
      <c r="L10" s="7"/>
      <c r="M10" s="7"/>
      <c r="N10" s="7"/>
      <c r="O10" s="7">
        <v>6</v>
      </c>
      <c r="P10" s="7">
        <v>12</v>
      </c>
      <c r="Q10" s="7"/>
      <c r="R10" s="7"/>
      <c r="S10" s="7"/>
      <c r="T10" s="7"/>
      <c r="U10" s="7"/>
      <c r="V10" s="7">
        <v>6</v>
      </c>
      <c r="W10" s="7">
        <v>14</v>
      </c>
      <c r="X10" s="7"/>
      <c r="Y10" s="7">
        <v>4</v>
      </c>
      <c r="Z10" s="7">
        <v>12</v>
      </c>
      <c r="AA10" s="7"/>
      <c r="AB10" s="7"/>
      <c r="AC10" s="7">
        <v>10</v>
      </c>
      <c r="AD10" s="7">
        <v>7</v>
      </c>
      <c r="AE10" s="7"/>
      <c r="AF10" s="8">
        <v>5</v>
      </c>
      <c r="AG10" s="4">
        <f t="shared" si="2"/>
        <v>101</v>
      </c>
    </row>
    <row r="11" spans="1:33" ht="18.75" x14ac:dyDescent="0.25">
      <c r="A11" s="41" t="s">
        <v>42</v>
      </c>
      <c r="B11" s="7">
        <v>11</v>
      </c>
      <c r="C11" s="7"/>
      <c r="D11" s="7"/>
      <c r="E11" s="7">
        <v>1</v>
      </c>
      <c r="F11" s="7"/>
      <c r="G11" s="7">
        <v>1</v>
      </c>
      <c r="H11" s="7">
        <v>12</v>
      </c>
      <c r="I11" s="7">
        <v>7</v>
      </c>
      <c r="J11" s="7"/>
      <c r="K11" s="7"/>
      <c r="L11" s="7"/>
      <c r="M11" s="7"/>
      <c r="N11" s="7"/>
      <c r="O11" s="7">
        <v>8</v>
      </c>
      <c r="P11" s="7">
        <v>9</v>
      </c>
      <c r="Q11" s="7"/>
      <c r="R11" s="7"/>
      <c r="S11" s="7"/>
      <c r="T11" s="7"/>
      <c r="U11" s="7"/>
      <c r="V11" s="7">
        <v>9</v>
      </c>
      <c r="W11" s="7">
        <v>9</v>
      </c>
      <c r="X11" s="7"/>
      <c r="Y11" s="7">
        <v>4</v>
      </c>
      <c r="Z11" s="7">
        <v>5</v>
      </c>
      <c r="AA11" s="7"/>
      <c r="AB11" s="7"/>
      <c r="AC11" s="7">
        <v>11</v>
      </c>
      <c r="AD11" s="7">
        <v>10</v>
      </c>
      <c r="AE11" s="7"/>
      <c r="AF11" s="8">
        <v>3</v>
      </c>
      <c r="AG11" s="4">
        <f t="shared" si="2"/>
        <v>100</v>
      </c>
    </row>
    <row r="12" spans="1:33" ht="18.75" x14ac:dyDescent="0.25">
      <c r="A12" s="41" t="s">
        <v>43</v>
      </c>
      <c r="B12" s="7">
        <v>15</v>
      </c>
      <c r="C12" s="7"/>
      <c r="D12" s="7">
        <v>1</v>
      </c>
      <c r="E12" s="7"/>
      <c r="F12" s="7">
        <v>1</v>
      </c>
      <c r="G12" s="7"/>
      <c r="H12" s="7">
        <v>20</v>
      </c>
      <c r="I12" s="7">
        <v>10</v>
      </c>
      <c r="J12" s="7"/>
      <c r="K12" s="7"/>
      <c r="L12" s="7"/>
      <c r="M12" s="7"/>
      <c r="N12" s="7"/>
      <c r="O12" s="7">
        <v>21</v>
      </c>
      <c r="P12" s="7">
        <v>14</v>
      </c>
      <c r="Q12" s="7"/>
      <c r="R12" s="7"/>
      <c r="S12" s="7"/>
      <c r="T12" s="7"/>
      <c r="U12" s="7"/>
      <c r="V12" s="7">
        <v>18</v>
      </c>
      <c r="W12" s="7">
        <v>12</v>
      </c>
      <c r="X12" s="7"/>
      <c r="Y12" s="7">
        <v>17</v>
      </c>
      <c r="Z12" s="7">
        <v>12</v>
      </c>
      <c r="AA12" s="7"/>
      <c r="AB12" s="7"/>
      <c r="AC12" s="7">
        <v>21</v>
      </c>
      <c r="AD12" s="7">
        <v>18</v>
      </c>
      <c r="AE12" s="7"/>
      <c r="AF12" s="8">
        <v>11</v>
      </c>
      <c r="AG12" s="4">
        <f t="shared" si="2"/>
        <v>191</v>
      </c>
    </row>
    <row r="13" spans="1:33" ht="18.75" x14ac:dyDescent="0.25">
      <c r="A13" s="41" t="s">
        <v>44</v>
      </c>
      <c r="B13" s="7">
        <v>8</v>
      </c>
      <c r="C13" s="7">
        <v>64</v>
      </c>
      <c r="D13" s="7">
        <v>56</v>
      </c>
      <c r="E13" s="7">
        <v>39</v>
      </c>
      <c r="F13" s="7">
        <v>47</v>
      </c>
      <c r="G13" s="7">
        <v>45</v>
      </c>
      <c r="H13" s="7">
        <v>20</v>
      </c>
      <c r="I13" s="7">
        <v>23</v>
      </c>
      <c r="J13" s="7">
        <v>69</v>
      </c>
      <c r="K13" s="7">
        <v>54</v>
      </c>
      <c r="L13" s="7">
        <v>39</v>
      </c>
      <c r="M13" s="7">
        <v>41</v>
      </c>
      <c r="N13" s="7">
        <v>46</v>
      </c>
      <c r="O13" s="7">
        <v>19</v>
      </c>
      <c r="P13" s="7">
        <v>14</v>
      </c>
      <c r="Q13" s="7">
        <v>62</v>
      </c>
      <c r="R13" s="7">
        <v>52</v>
      </c>
      <c r="S13" s="7">
        <v>46</v>
      </c>
      <c r="T13" s="7">
        <v>46</v>
      </c>
      <c r="U13" s="7">
        <v>32</v>
      </c>
      <c r="V13" s="7">
        <v>20</v>
      </c>
      <c r="W13" s="7">
        <v>12</v>
      </c>
      <c r="X13" s="7">
        <v>35</v>
      </c>
      <c r="Y13" s="7">
        <v>19</v>
      </c>
      <c r="Z13" s="7">
        <v>19</v>
      </c>
      <c r="AA13" s="7">
        <v>66</v>
      </c>
      <c r="AB13" s="7">
        <v>57</v>
      </c>
      <c r="AC13" s="7">
        <v>17</v>
      </c>
      <c r="AD13" s="7">
        <v>10</v>
      </c>
      <c r="AE13" s="7">
        <v>40</v>
      </c>
      <c r="AF13" s="8">
        <v>16</v>
      </c>
      <c r="AG13" s="4">
        <f t="shared" si="2"/>
        <v>1133</v>
      </c>
    </row>
    <row r="14" spans="1:33" ht="18.75" x14ac:dyDescent="0.25">
      <c r="A14" s="41" t="s">
        <v>45</v>
      </c>
      <c r="B14" s="7">
        <v>11</v>
      </c>
      <c r="C14" s="7">
        <v>20</v>
      </c>
      <c r="D14" s="7">
        <v>18</v>
      </c>
      <c r="E14" s="7">
        <v>19</v>
      </c>
      <c r="F14" s="7">
        <v>14</v>
      </c>
      <c r="G14" s="7">
        <v>15</v>
      </c>
      <c r="H14" s="7">
        <v>12</v>
      </c>
      <c r="I14" s="7">
        <v>15</v>
      </c>
      <c r="J14" s="7">
        <v>17</v>
      </c>
      <c r="K14" s="7">
        <v>14</v>
      </c>
      <c r="L14" s="7">
        <v>18</v>
      </c>
      <c r="M14" s="7">
        <v>20</v>
      </c>
      <c r="N14" s="7">
        <v>17</v>
      </c>
      <c r="O14" s="7">
        <v>9</v>
      </c>
      <c r="P14" s="7">
        <v>15</v>
      </c>
      <c r="Q14" s="7">
        <v>17</v>
      </c>
      <c r="R14" s="7">
        <v>13</v>
      </c>
      <c r="S14" s="7">
        <v>19</v>
      </c>
      <c r="T14" s="7">
        <v>21</v>
      </c>
      <c r="U14" s="7">
        <v>9</v>
      </c>
      <c r="V14" s="7">
        <v>13</v>
      </c>
      <c r="W14" s="7">
        <v>15</v>
      </c>
      <c r="X14" s="7">
        <v>21</v>
      </c>
      <c r="Y14" s="7">
        <v>7</v>
      </c>
      <c r="Z14" s="7">
        <v>14</v>
      </c>
      <c r="AA14" s="7">
        <v>19</v>
      </c>
      <c r="AB14" s="7">
        <v>25</v>
      </c>
      <c r="AC14" s="7">
        <v>18</v>
      </c>
      <c r="AD14" s="7">
        <v>14</v>
      </c>
      <c r="AE14" s="7">
        <v>24</v>
      </c>
      <c r="AF14" s="8">
        <v>10</v>
      </c>
      <c r="AG14" s="4">
        <f t="shared" si="2"/>
        <v>493</v>
      </c>
    </row>
    <row r="15" spans="1:33" ht="18.75" x14ac:dyDescent="0.25">
      <c r="A15" s="41" t="s">
        <v>46</v>
      </c>
      <c r="B15" s="7">
        <v>11</v>
      </c>
      <c r="C15" s="7">
        <v>20</v>
      </c>
      <c r="D15" s="7">
        <v>20</v>
      </c>
      <c r="E15" s="7">
        <v>16</v>
      </c>
      <c r="F15" s="7">
        <v>13</v>
      </c>
      <c r="G15" s="7">
        <v>13</v>
      </c>
      <c r="H15" s="7">
        <v>17</v>
      </c>
      <c r="I15" s="7">
        <v>11</v>
      </c>
      <c r="J15" s="7">
        <v>19</v>
      </c>
      <c r="K15" s="7">
        <v>22</v>
      </c>
      <c r="L15" s="7">
        <v>10</v>
      </c>
      <c r="M15" s="7">
        <v>15</v>
      </c>
      <c r="N15" s="7">
        <v>11</v>
      </c>
      <c r="O15" s="7">
        <v>14</v>
      </c>
      <c r="P15" s="7">
        <v>11</v>
      </c>
      <c r="Q15" s="7">
        <v>14</v>
      </c>
      <c r="R15" s="7">
        <v>15</v>
      </c>
      <c r="S15" s="7">
        <v>26</v>
      </c>
      <c r="T15" s="7">
        <v>12</v>
      </c>
      <c r="U15" s="7">
        <v>19</v>
      </c>
      <c r="V15" s="7">
        <v>19</v>
      </c>
      <c r="W15" s="7">
        <v>8</v>
      </c>
      <c r="X15" s="7">
        <v>13</v>
      </c>
      <c r="Y15" s="7">
        <v>4</v>
      </c>
      <c r="Z15" s="7">
        <v>13</v>
      </c>
      <c r="AA15" s="7">
        <v>13</v>
      </c>
      <c r="AB15" s="7">
        <v>13</v>
      </c>
      <c r="AC15" s="7">
        <v>9</v>
      </c>
      <c r="AD15" s="7">
        <v>11</v>
      </c>
      <c r="AE15" s="7">
        <v>12</v>
      </c>
      <c r="AF15" s="8">
        <v>5</v>
      </c>
      <c r="AG15" s="4">
        <f t="shared" si="2"/>
        <v>429</v>
      </c>
    </row>
    <row r="16" spans="1:33" ht="18.75" x14ac:dyDescent="0.25">
      <c r="A16" s="41" t="s">
        <v>47</v>
      </c>
      <c r="B16" s="7">
        <v>14</v>
      </c>
      <c r="C16" s="7">
        <v>19</v>
      </c>
      <c r="D16" s="7">
        <v>14</v>
      </c>
      <c r="E16" s="7">
        <v>12</v>
      </c>
      <c r="F16" s="7">
        <v>19</v>
      </c>
      <c r="G16" s="7">
        <v>22</v>
      </c>
      <c r="H16" s="7">
        <v>5</v>
      </c>
      <c r="I16" s="7">
        <v>19</v>
      </c>
      <c r="J16" s="7">
        <v>16</v>
      </c>
      <c r="K16" s="7">
        <v>15</v>
      </c>
      <c r="L16" s="7">
        <v>10</v>
      </c>
      <c r="M16" s="7">
        <v>9</v>
      </c>
      <c r="N16" s="7">
        <v>7</v>
      </c>
      <c r="O16" s="7">
        <v>11</v>
      </c>
      <c r="P16" s="7">
        <v>16</v>
      </c>
      <c r="Q16" s="7">
        <v>21</v>
      </c>
      <c r="R16" s="7">
        <v>13</v>
      </c>
      <c r="S16" s="7">
        <v>21</v>
      </c>
      <c r="T16" s="7">
        <v>15</v>
      </c>
      <c r="U16" s="7">
        <v>10</v>
      </c>
      <c r="V16" s="7">
        <v>11</v>
      </c>
      <c r="W16" s="7">
        <v>5</v>
      </c>
      <c r="X16" s="7">
        <v>15</v>
      </c>
      <c r="Y16" s="7">
        <v>4</v>
      </c>
      <c r="Z16" s="7">
        <v>11</v>
      </c>
      <c r="AA16" s="7">
        <v>29</v>
      </c>
      <c r="AB16" s="7">
        <v>11</v>
      </c>
      <c r="AC16" s="7">
        <v>8</v>
      </c>
      <c r="AD16" s="7">
        <v>16</v>
      </c>
      <c r="AE16" s="7">
        <v>20</v>
      </c>
      <c r="AF16" s="8">
        <v>6</v>
      </c>
      <c r="AG16" s="4">
        <f t="shared" si="2"/>
        <v>424</v>
      </c>
    </row>
    <row r="17" spans="1:33" ht="18.75" x14ac:dyDescent="0.25">
      <c r="A17" s="41" t="s">
        <v>48</v>
      </c>
      <c r="B17" s="7">
        <v>13</v>
      </c>
      <c r="C17" s="7">
        <v>22</v>
      </c>
      <c r="D17" s="7">
        <v>21</v>
      </c>
      <c r="E17" s="7">
        <v>19</v>
      </c>
      <c r="F17" s="7">
        <v>23</v>
      </c>
      <c r="G17" s="7">
        <v>17</v>
      </c>
      <c r="H17" s="7">
        <v>24</v>
      </c>
      <c r="I17" s="7">
        <v>12</v>
      </c>
      <c r="J17" s="7">
        <v>23</v>
      </c>
      <c r="K17" s="7">
        <v>14</v>
      </c>
      <c r="L17" s="7">
        <v>10</v>
      </c>
      <c r="M17" s="7">
        <v>13</v>
      </c>
      <c r="N17" s="7">
        <v>13</v>
      </c>
      <c r="O17" s="7">
        <v>13</v>
      </c>
      <c r="P17" s="7">
        <v>14</v>
      </c>
      <c r="Q17" s="7">
        <v>20</v>
      </c>
      <c r="R17" s="7">
        <v>8</v>
      </c>
      <c r="S17" s="7">
        <v>16</v>
      </c>
      <c r="T17" s="7">
        <v>15</v>
      </c>
      <c r="U17" s="7">
        <v>14</v>
      </c>
      <c r="V17" s="7">
        <v>9</v>
      </c>
      <c r="W17" s="7">
        <v>3</v>
      </c>
      <c r="X17" s="7">
        <v>14</v>
      </c>
      <c r="Y17" s="7">
        <v>8</v>
      </c>
      <c r="Z17" s="7">
        <v>11</v>
      </c>
      <c r="AA17" s="7">
        <v>11</v>
      </c>
      <c r="AB17" s="7">
        <v>18</v>
      </c>
      <c r="AC17" s="7">
        <v>23</v>
      </c>
      <c r="AD17" s="7">
        <v>15</v>
      </c>
      <c r="AE17" s="7">
        <v>24</v>
      </c>
      <c r="AF17" s="8">
        <v>6</v>
      </c>
      <c r="AG17" s="4">
        <f t="shared" si="2"/>
        <v>466</v>
      </c>
    </row>
    <row r="18" spans="1:33" ht="18.75" x14ac:dyDescent="0.25">
      <c r="A18" s="41" t="s">
        <v>49</v>
      </c>
      <c r="B18" s="7">
        <v>16</v>
      </c>
      <c r="C18" s="7">
        <v>18</v>
      </c>
      <c r="D18" s="7">
        <v>12</v>
      </c>
      <c r="E18" s="7">
        <v>21</v>
      </c>
      <c r="F18" s="7">
        <v>10</v>
      </c>
      <c r="G18" s="7">
        <v>16</v>
      </c>
      <c r="H18" s="7">
        <v>10</v>
      </c>
      <c r="I18" s="7">
        <v>13</v>
      </c>
      <c r="J18" s="7">
        <v>13</v>
      </c>
      <c r="K18" s="7">
        <v>15</v>
      </c>
      <c r="L18" s="7">
        <v>6</v>
      </c>
      <c r="M18" s="7">
        <v>10</v>
      </c>
      <c r="N18" s="7">
        <v>18</v>
      </c>
      <c r="O18" s="7">
        <v>10</v>
      </c>
      <c r="P18" s="7">
        <v>13</v>
      </c>
      <c r="Q18" s="7">
        <v>16</v>
      </c>
      <c r="R18" s="7">
        <v>13</v>
      </c>
      <c r="S18" s="7">
        <v>8</v>
      </c>
      <c r="T18" s="7">
        <v>10</v>
      </c>
      <c r="U18" s="7">
        <v>17</v>
      </c>
      <c r="V18" s="7">
        <v>15</v>
      </c>
      <c r="W18" s="7">
        <v>13</v>
      </c>
      <c r="X18" s="7">
        <v>16</v>
      </c>
      <c r="Y18" s="7">
        <v>6</v>
      </c>
      <c r="Z18" s="7">
        <v>11</v>
      </c>
      <c r="AA18" s="7">
        <v>13</v>
      </c>
      <c r="AB18" s="7">
        <v>15</v>
      </c>
      <c r="AC18" s="7">
        <v>17</v>
      </c>
      <c r="AD18" s="7">
        <v>19</v>
      </c>
      <c r="AE18" s="7">
        <v>21</v>
      </c>
      <c r="AF18" s="8">
        <v>7</v>
      </c>
      <c r="AG18" s="4">
        <f t="shared" si="2"/>
        <v>418</v>
      </c>
    </row>
    <row r="19" spans="1:33" ht="18.75" x14ac:dyDescent="0.25">
      <c r="A19" s="41" t="s">
        <v>50</v>
      </c>
      <c r="B19" s="7">
        <v>8</v>
      </c>
      <c r="C19" s="7">
        <v>14</v>
      </c>
      <c r="D19" s="7">
        <v>7</v>
      </c>
      <c r="E19" s="7">
        <v>16</v>
      </c>
      <c r="F19" s="7">
        <v>14</v>
      </c>
      <c r="G19" s="7">
        <v>14</v>
      </c>
      <c r="H19" s="7">
        <v>7</v>
      </c>
      <c r="I19" s="7">
        <v>8</v>
      </c>
      <c r="J19" s="7">
        <v>8</v>
      </c>
      <c r="K19" s="7">
        <v>16</v>
      </c>
      <c r="L19" s="7">
        <v>13</v>
      </c>
      <c r="M19" s="7">
        <v>12</v>
      </c>
      <c r="N19" s="7">
        <v>9</v>
      </c>
      <c r="O19" s="7">
        <v>9</v>
      </c>
      <c r="P19" s="7">
        <v>9</v>
      </c>
      <c r="Q19" s="7">
        <v>12</v>
      </c>
      <c r="R19" s="7">
        <v>5</v>
      </c>
      <c r="S19" s="7">
        <v>12</v>
      </c>
      <c r="T19" s="7">
        <v>9</v>
      </c>
      <c r="U19" s="7">
        <v>16</v>
      </c>
      <c r="V19" s="7">
        <v>7</v>
      </c>
      <c r="W19" s="7">
        <v>6</v>
      </c>
      <c r="X19" s="7">
        <v>7</v>
      </c>
      <c r="Y19" s="7">
        <v>1</v>
      </c>
      <c r="Z19" s="7">
        <v>12</v>
      </c>
      <c r="AA19" s="7">
        <v>8</v>
      </c>
      <c r="AB19" s="7">
        <v>12</v>
      </c>
      <c r="AC19" s="7">
        <v>6</v>
      </c>
      <c r="AD19" s="7">
        <v>14</v>
      </c>
      <c r="AE19" s="7">
        <v>21</v>
      </c>
      <c r="AF19" s="8">
        <v>5</v>
      </c>
      <c r="AG19" s="4">
        <f t="shared" si="2"/>
        <v>317</v>
      </c>
    </row>
    <row r="20" spans="1:33" ht="18.75" x14ac:dyDescent="0.25">
      <c r="A20" s="41" t="s">
        <v>33</v>
      </c>
      <c r="B20" s="7">
        <v>6</v>
      </c>
      <c r="C20" s="7">
        <v>6</v>
      </c>
      <c r="D20" s="7">
        <v>3</v>
      </c>
      <c r="E20" s="7">
        <v>3</v>
      </c>
      <c r="F20" s="7">
        <v>9</v>
      </c>
      <c r="G20" s="7">
        <v>2</v>
      </c>
      <c r="H20" s="7">
        <v>8</v>
      </c>
      <c r="I20" s="7">
        <v>9</v>
      </c>
      <c r="J20" s="7">
        <v>3</v>
      </c>
      <c r="K20" s="7">
        <v>8</v>
      </c>
      <c r="L20" s="7">
        <v>3</v>
      </c>
      <c r="M20" s="7">
        <v>9</v>
      </c>
      <c r="N20" s="7">
        <v>6</v>
      </c>
      <c r="O20" s="7">
        <v>5</v>
      </c>
      <c r="P20" s="7">
        <v>3</v>
      </c>
      <c r="Q20" s="7">
        <v>11</v>
      </c>
      <c r="R20" s="7">
        <v>10</v>
      </c>
      <c r="S20" s="7">
        <v>9</v>
      </c>
      <c r="T20" s="7">
        <v>6</v>
      </c>
      <c r="U20" s="7">
        <v>4</v>
      </c>
      <c r="V20" s="7">
        <v>10</v>
      </c>
      <c r="W20" s="7">
        <v>1</v>
      </c>
      <c r="X20" s="7">
        <v>6</v>
      </c>
      <c r="Y20" s="7">
        <v>1</v>
      </c>
      <c r="Z20" s="7">
        <v>4</v>
      </c>
      <c r="AA20" s="7">
        <v>3</v>
      </c>
      <c r="AB20" s="7">
        <v>3</v>
      </c>
      <c r="AC20" s="7">
        <v>5</v>
      </c>
      <c r="AD20" s="7">
        <v>6</v>
      </c>
      <c r="AE20" s="7">
        <v>7</v>
      </c>
      <c r="AF20" s="8">
        <v>5</v>
      </c>
      <c r="AG20" s="4">
        <f t="shared" si="2"/>
        <v>174</v>
      </c>
    </row>
    <row r="21" spans="1:33" ht="18.75" x14ac:dyDescent="0.25">
      <c r="A21" s="41" t="s">
        <v>34</v>
      </c>
      <c r="B21" s="7">
        <v>5</v>
      </c>
      <c r="C21" s="7">
        <v>4</v>
      </c>
      <c r="D21" s="7">
        <v>2</v>
      </c>
      <c r="E21" s="7">
        <v>5</v>
      </c>
      <c r="F21" s="7">
        <v>3</v>
      </c>
      <c r="G21" s="7">
        <v>5</v>
      </c>
      <c r="H21" s="7">
        <v>3</v>
      </c>
      <c r="I21" s="7">
        <v>2</v>
      </c>
      <c r="J21" s="7">
        <v>6</v>
      </c>
      <c r="K21" s="7">
        <v>3</v>
      </c>
      <c r="L21" s="7">
        <v>2</v>
      </c>
      <c r="M21" s="7">
        <v>8</v>
      </c>
      <c r="N21" s="7">
        <v>4</v>
      </c>
      <c r="O21" s="7">
        <v>1</v>
      </c>
      <c r="P21" s="7">
        <v>2</v>
      </c>
      <c r="Q21" s="7">
        <v>5</v>
      </c>
      <c r="R21" s="7">
        <v>4</v>
      </c>
      <c r="S21" s="7">
        <v>3</v>
      </c>
      <c r="T21" s="7">
        <v>3</v>
      </c>
      <c r="U21" s="7">
        <v>4</v>
      </c>
      <c r="V21" s="7">
        <v>5</v>
      </c>
      <c r="W21" s="7">
        <v>1</v>
      </c>
      <c r="X21" s="7">
        <v>1</v>
      </c>
      <c r="Y21" s="7">
        <v>4</v>
      </c>
      <c r="Z21" s="7">
        <v>1</v>
      </c>
      <c r="AA21" s="7">
        <v>4</v>
      </c>
      <c r="AB21" s="7">
        <v>2</v>
      </c>
      <c r="AC21" s="7">
        <v>4</v>
      </c>
      <c r="AD21" s="7">
        <v>1</v>
      </c>
      <c r="AE21" s="7">
        <v>5</v>
      </c>
      <c r="AF21" s="8">
        <v>3</v>
      </c>
      <c r="AG21" s="4">
        <f t="shared" si="2"/>
        <v>105</v>
      </c>
    </row>
    <row r="22" spans="1:33" ht="18.75" x14ac:dyDescent="0.25">
      <c r="A22" s="41" t="s">
        <v>35</v>
      </c>
      <c r="B22" s="7">
        <v>1</v>
      </c>
      <c r="C22" s="7">
        <v>2</v>
      </c>
      <c r="D22" s="7">
        <v>4</v>
      </c>
      <c r="E22" s="7">
        <v>1</v>
      </c>
      <c r="F22" s="7">
        <v>1</v>
      </c>
      <c r="G22" s="7">
        <v>7</v>
      </c>
      <c r="H22" s="7">
        <v>2</v>
      </c>
      <c r="I22" s="7">
        <v>1</v>
      </c>
      <c r="J22" s="7"/>
      <c r="K22" s="7"/>
      <c r="L22" s="7">
        <v>1</v>
      </c>
      <c r="M22" s="7">
        <v>2</v>
      </c>
      <c r="N22" s="7">
        <v>1</v>
      </c>
      <c r="O22" s="7">
        <v>2</v>
      </c>
      <c r="P22" s="7"/>
      <c r="Q22" s="7">
        <v>4</v>
      </c>
      <c r="R22" s="7">
        <v>1</v>
      </c>
      <c r="S22" s="7">
        <v>2</v>
      </c>
      <c r="T22" s="7"/>
      <c r="U22" s="7">
        <v>1</v>
      </c>
      <c r="V22" s="7">
        <v>1</v>
      </c>
      <c r="W22" s="7">
        <v>3</v>
      </c>
      <c r="X22" s="7">
        <v>2</v>
      </c>
      <c r="Y22" s="7">
        <v>2</v>
      </c>
      <c r="Z22" s="7">
        <v>3</v>
      </c>
      <c r="AA22" s="7">
        <v>1</v>
      </c>
      <c r="AB22" s="7">
        <v>4</v>
      </c>
      <c r="AC22" s="7">
        <v>3</v>
      </c>
      <c r="AD22" s="7">
        <v>1</v>
      </c>
      <c r="AE22" s="7">
        <v>1</v>
      </c>
      <c r="AF22" s="8">
        <v>1</v>
      </c>
      <c r="AG22" s="4">
        <f t="shared" si="2"/>
        <v>55</v>
      </c>
    </row>
    <row r="23" spans="1:33" ht="18.75" x14ac:dyDescent="0.25">
      <c r="A23" s="41" t="s">
        <v>36</v>
      </c>
      <c r="B23" s="7"/>
      <c r="C23" s="7"/>
      <c r="D23" s="7"/>
      <c r="E23" s="7">
        <v>1</v>
      </c>
      <c r="F23" s="7"/>
      <c r="G23" s="7">
        <v>1</v>
      </c>
      <c r="H23" s="7">
        <v>1</v>
      </c>
      <c r="I23" s="7">
        <v>2</v>
      </c>
      <c r="J23" s="7"/>
      <c r="K23" s="7"/>
      <c r="L23" s="7">
        <v>1</v>
      </c>
      <c r="M23" s="7">
        <v>1</v>
      </c>
      <c r="N23" s="7">
        <v>3</v>
      </c>
      <c r="O23" s="7"/>
      <c r="P23" s="7">
        <v>2</v>
      </c>
      <c r="Q23" s="7">
        <v>2</v>
      </c>
      <c r="R23" s="7">
        <v>3</v>
      </c>
      <c r="S23" s="7"/>
      <c r="T23" s="7">
        <v>1</v>
      </c>
      <c r="U23" s="7">
        <v>1</v>
      </c>
      <c r="V23" s="7">
        <v>1</v>
      </c>
      <c r="W23" s="7"/>
      <c r="X23" s="7">
        <v>1</v>
      </c>
      <c r="Y23" s="7">
        <v>3</v>
      </c>
      <c r="Z23" s="7"/>
      <c r="AA23" s="7">
        <v>4</v>
      </c>
      <c r="AB23" s="7">
        <v>1</v>
      </c>
      <c r="AC23" s="7">
        <v>2</v>
      </c>
      <c r="AD23" s="7"/>
      <c r="AE23" s="7">
        <v>1</v>
      </c>
      <c r="AF23" s="8"/>
      <c r="AG23" s="4">
        <f t="shared" si="2"/>
        <v>32</v>
      </c>
    </row>
    <row r="24" spans="1:33" ht="18.75" x14ac:dyDescent="0.25">
      <c r="A24" s="41" t="s">
        <v>51</v>
      </c>
      <c r="B24" s="7"/>
      <c r="C24" s="7"/>
      <c r="D24" s="7">
        <v>1</v>
      </c>
      <c r="E24" s="7">
        <v>2</v>
      </c>
      <c r="F24" s="7">
        <v>2</v>
      </c>
      <c r="G24" s="7"/>
      <c r="H24" s="7"/>
      <c r="I24" s="7">
        <v>2</v>
      </c>
      <c r="J24" s="7"/>
      <c r="K24" s="7"/>
      <c r="L24" s="7"/>
      <c r="M24" s="7">
        <v>1</v>
      </c>
      <c r="N24" s="7">
        <v>2</v>
      </c>
      <c r="O24" s="7">
        <v>1</v>
      </c>
      <c r="P24" s="7">
        <v>1</v>
      </c>
      <c r="Q24" s="7"/>
      <c r="R24" s="7"/>
      <c r="S24" s="7"/>
      <c r="T24" s="7"/>
      <c r="U24" s="7">
        <v>2</v>
      </c>
      <c r="V24" s="7"/>
      <c r="W24" s="7"/>
      <c r="X24" s="7">
        <v>1</v>
      </c>
      <c r="Y24" s="7">
        <v>2</v>
      </c>
      <c r="Z24" s="7">
        <v>2</v>
      </c>
      <c r="AA24" s="7">
        <v>1</v>
      </c>
      <c r="AB24" s="7">
        <v>1</v>
      </c>
      <c r="AC24" s="7">
        <v>1</v>
      </c>
      <c r="AD24" s="7">
        <v>2</v>
      </c>
      <c r="AE24" s="7">
        <v>1</v>
      </c>
      <c r="AF24" s="8">
        <v>2</v>
      </c>
      <c r="AG24" s="4">
        <f t="shared" si="2"/>
        <v>27</v>
      </c>
    </row>
    <row r="25" spans="1:33" ht="18.75" x14ac:dyDescent="0.25">
      <c r="A25" s="41" t="s">
        <v>52</v>
      </c>
      <c r="B25" s="7"/>
      <c r="C25" s="7">
        <v>1</v>
      </c>
      <c r="D25" s="7"/>
      <c r="E25" s="7">
        <v>1</v>
      </c>
      <c r="F25" s="7"/>
      <c r="G25" s="7">
        <v>2</v>
      </c>
      <c r="H25" s="7"/>
      <c r="I25" s="7">
        <v>2</v>
      </c>
      <c r="J25" s="7"/>
      <c r="K25" s="7">
        <v>2</v>
      </c>
      <c r="L25" s="7">
        <v>1</v>
      </c>
      <c r="M25" s="7">
        <v>2</v>
      </c>
      <c r="N25" s="7"/>
      <c r="O25" s="7"/>
      <c r="P25" s="7"/>
      <c r="Q25" s="7"/>
      <c r="R25" s="7">
        <v>1</v>
      </c>
      <c r="S25" s="7"/>
      <c r="T25" s="7">
        <v>1</v>
      </c>
      <c r="U25" s="7">
        <v>1</v>
      </c>
      <c r="V25" s="7"/>
      <c r="W25" s="7">
        <v>2</v>
      </c>
      <c r="X25" s="7">
        <v>1</v>
      </c>
      <c r="Y25" s="7">
        <v>2</v>
      </c>
      <c r="Z25" s="7">
        <v>1</v>
      </c>
      <c r="AA25" s="7">
        <v>1</v>
      </c>
      <c r="AB25" s="7">
        <v>1</v>
      </c>
      <c r="AC25" s="7"/>
      <c r="AD25" s="7">
        <v>2</v>
      </c>
      <c r="AE25" s="7">
        <v>1</v>
      </c>
      <c r="AF25" s="8"/>
      <c r="AG25" s="4">
        <f t="shared" si="2"/>
        <v>25</v>
      </c>
    </row>
    <row r="26" spans="1:33" ht="18.75" x14ac:dyDescent="0.25">
      <c r="A26" s="41" t="s">
        <v>37</v>
      </c>
      <c r="B26" s="7"/>
      <c r="C26" s="7">
        <v>1</v>
      </c>
      <c r="D26" s="7"/>
      <c r="E26" s="7"/>
      <c r="F26" s="7"/>
      <c r="G26" s="7">
        <v>1</v>
      </c>
      <c r="H26" s="7"/>
      <c r="I26" s="7"/>
      <c r="J26" s="7">
        <v>3</v>
      </c>
      <c r="K26" s="7"/>
      <c r="L26" s="7"/>
      <c r="M26" s="7"/>
      <c r="N26" s="7">
        <v>2</v>
      </c>
      <c r="O26" s="7"/>
      <c r="P26" s="7"/>
      <c r="Q26" s="7">
        <v>3</v>
      </c>
      <c r="R26" s="7">
        <v>1</v>
      </c>
      <c r="S26" s="7"/>
      <c r="T26" s="7">
        <v>2</v>
      </c>
      <c r="U26" s="7"/>
      <c r="V26" s="7"/>
      <c r="W26" s="7"/>
      <c r="X26" s="7">
        <v>1</v>
      </c>
      <c r="Y26" s="7"/>
      <c r="Z26" s="7"/>
      <c r="AA26" s="7">
        <v>3</v>
      </c>
      <c r="AB26" s="7">
        <v>1</v>
      </c>
      <c r="AC26" s="7">
        <v>2</v>
      </c>
      <c r="AD26" s="7"/>
      <c r="AE26" s="7">
        <v>1</v>
      </c>
      <c r="AF26" s="8">
        <v>2</v>
      </c>
      <c r="AG26" s="4">
        <f t="shared" si="2"/>
        <v>23</v>
      </c>
    </row>
    <row r="27" spans="1:33" ht="19.5" thickBot="1" x14ac:dyDescent="0.3">
      <c r="A27" s="81" t="s">
        <v>53</v>
      </c>
      <c r="B27" s="78"/>
      <c r="C27" s="78"/>
      <c r="D27" s="78"/>
      <c r="E27" s="78"/>
      <c r="F27" s="78"/>
      <c r="G27" s="78">
        <v>4</v>
      </c>
      <c r="H27" s="78"/>
      <c r="I27" s="78"/>
      <c r="J27" s="78"/>
      <c r="K27" s="78"/>
      <c r="L27" s="78"/>
      <c r="M27" s="78"/>
      <c r="N27" s="78"/>
      <c r="O27" s="78"/>
      <c r="P27" s="78">
        <v>1</v>
      </c>
      <c r="Q27" s="78">
        <v>1</v>
      </c>
      <c r="R27" s="78"/>
      <c r="S27" s="78"/>
      <c r="T27" s="78"/>
      <c r="U27" s="78">
        <v>1</v>
      </c>
      <c r="V27" s="78">
        <v>2</v>
      </c>
      <c r="W27" s="78"/>
      <c r="X27" s="78"/>
      <c r="Y27" s="78"/>
      <c r="Z27" s="78"/>
      <c r="AA27" s="78"/>
      <c r="AB27" s="78">
        <v>2</v>
      </c>
      <c r="AC27" s="78">
        <v>1</v>
      </c>
      <c r="AD27" s="78"/>
      <c r="AE27" s="78">
        <v>1</v>
      </c>
      <c r="AF27" s="83">
        <v>1</v>
      </c>
      <c r="AG27" s="4">
        <f t="shared" si="2"/>
        <v>14</v>
      </c>
    </row>
    <row r="28" spans="1:33" ht="18.75" x14ac:dyDescent="0.25">
      <c r="A28" s="79" t="s">
        <v>107</v>
      </c>
      <c r="B28" s="80">
        <f>SUM(B29:B52)</f>
        <v>182</v>
      </c>
      <c r="C28" s="80">
        <f t="shared" ref="C28:AF28" si="3">SUM(C29:C52)</f>
        <v>176</v>
      </c>
      <c r="D28" s="80">
        <f t="shared" si="3"/>
        <v>134</v>
      </c>
      <c r="E28" s="80">
        <f t="shared" si="3"/>
        <v>146</v>
      </c>
      <c r="F28" s="80">
        <f t="shared" si="3"/>
        <v>142</v>
      </c>
      <c r="G28" s="80">
        <f t="shared" si="3"/>
        <v>140</v>
      </c>
      <c r="H28" s="80">
        <f t="shared" si="3"/>
        <v>203</v>
      </c>
      <c r="I28" s="80">
        <f t="shared" si="3"/>
        <v>199</v>
      </c>
      <c r="J28" s="80">
        <f t="shared" si="3"/>
        <v>141</v>
      </c>
      <c r="K28" s="80">
        <f t="shared" si="3"/>
        <v>140</v>
      </c>
      <c r="L28" s="80">
        <f t="shared" si="3"/>
        <v>106</v>
      </c>
      <c r="M28" s="80">
        <f t="shared" si="3"/>
        <v>138</v>
      </c>
      <c r="N28" s="80">
        <f t="shared" si="3"/>
        <v>134</v>
      </c>
      <c r="O28" s="80">
        <f t="shared" si="3"/>
        <v>184</v>
      </c>
      <c r="P28" s="80">
        <f t="shared" si="3"/>
        <v>173</v>
      </c>
      <c r="Q28" s="80">
        <f t="shared" si="3"/>
        <v>167</v>
      </c>
      <c r="R28" s="80">
        <f t="shared" si="3"/>
        <v>131</v>
      </c>
      <c r="S28" s="80">
        <f t="shared" si="3"/>
        <v>143</v>
      </c>
      <c r="T28" s="80">
        <f t="shared" si="3"/>
        <v>136</v>
      </c>
      <c r="U28" s="80">
        <f t="shared" si="3"/>
        <v>110</v>
      </c>
      <c r="V28" s="80">
        <f t="shared" si="3"/>
        <v>195</v>
      </c>
      <c r="W28" s="80">
        <f t="shared" si="3"/>
        <v>171</v>
      </c>
      <c r="X28" s="80">
        <f t="shared" si="3"/>
        <v>131</v>
      </c>
      <c r="Y28" s="80">
        <f t="shared" si="3"/>
        <v>96</v>
      </c>
      <c r="Z28" s="80">
        <f t="shared" si="3"/>
        <v>171</v>
      </c>
      <c r="AA28" s="80">
        <f t="shared" si="3"/>
        <v>144</v>
      </c>
      <c r="AB28" s="80">
        <f t="shared" si="3"/>
        <v>152</v>
      </c>
      <c r="AC28" s="80">
        <f t="shared" si="3"/>
        <v>208</v>
      </c>
      <c r="AD28" s="80">
        <f t="shared" si="3"/>
        <v>210</v>
      </c>
      <c r="AE28" s="80">
        <f>SUM(AE29:AE52)</f>
        <v>171</v>
      </c>
      <c r="AF28" s="80">
        <f t="shared" si="3"/>
        <v>94</v>
      </c>
      <c r="AG28" s="150">
        <f t="shared" si="2"/>
        <v>4768</v>
      </c>
    </row>
    <row r="29" spans="1:33" ht="18.75" x14ac:dyDescent="0.25">
      <c r="A29" s="41" t="s">
        <v>54</v>
      </c>
      <c r="B29" s="7">
        <v>1</v>
      </c>
      <c r="C29" s="7"/>
      <c r="D29" s="7"/>
      <c r="E29" s="7"/>
      <c r="F29" s="7"/>
      <c r="G29" s="7">
        <v>2</v>
      </c>
      <c r="H29" s="7">
        <v>1</v>
      </c>
      <c r="I29" s="7">
        <v>2</v>
      </c>
      <c r="J29" s="7"/>
      <c r="K29" s="7"/>
      <c r="L29" s="7"/>
      <c r="M29" s="7"/>
      <c r="N29" s="7"/>
      <c r="O29" s="7">
        <v>3</v>
      </c>
      <c r="P29" s="7">
        <v>1</v>
      </c>
      <c r="Q29" s="7"/>
      <c r="R29" s="7"/>
      <c r="S29" s="7"/>
      <c r="T29" s="7"/>
      <c r="U29" s="7">
        <v>1</v>
      </c>
      <c r="V29" s="7">
        <v>3</v>
      </c>
      <c r="W29" s="7">
        <v>4</v>
      </c>
      <c r="X29" s="7"/>
      <c r="Y29" s="114"/>
      <c r="Z29" s="7">
        <v>1</v>
      </c>
      <c r="AA29" s="7"/>
      <c r="AB29" s="7"/>
      <c r="AC29" s="7">
        <v>4</v>
      </c>
      <c r="AD29" s="7">
        <v>1</v>
      </c>
      <c r="AE29" s="7"/>
      <c r="AF29" s="8"/>
      <c r="AG29" s="4">
        <f t="shared" si="2"/>
        <v>24</v>
      </c>
    </row>
    <row r="30" spans="1:33" ht="18.75" x14ac:dyDescent="0.25">
      <c r="A30" s="41" t="s">
        <v>55</v>
      </c>
      <c r="B30" s="7">
        <v>4</v>
      </c>
      <c r="C30" s="7"/>
      <c r="D30" s="7"/>
      <c r="E30" s="7"/>
      <c r="F30" s="7"/>
      <c r="G30" s="7"/>
      <c r="H30" s="7">
        <v>5</v>
      </c>
      <c r="I30" s="7">
        <v>5</v>
      </c>
      <c r="J30" s="7"/>
      <c r="K30" s="7"/>
      <c r="L30" s="7"/>
      <c r="M30" s="7"/>
      <c r="N30" s="7"/>
      <c r="O30" s="7">
        <v>7</v>
      </c>
      <c r="P30" s="7">
        <v>9</v>
      </c>
      <c r="Q30" s="7"/>
      <c r="R30" s="7"/>
      <c r="S30" s="7"/>
      <c r="T30" s="7"/>
      <c r="U30" s="7"/>
      <c r="V30" s="7">
        <v>4</v>
      </c>
      <c r="W30" s="7">
        <v>9</v>
      </c>
      <c r="X30" s="7"/>
      <c r="Y30" s="7"/>
      <c r="Z30" s="7">
        <v>3</v>
      </c>
      <c r="AA30" s="7"/>
      <c r="AB30" s="7"/>
      <c r="AC30" s="7">
        <v>5</v>
      </c>
      <c r="AD30" s="7">
        <v>5</v>
      </c>
      <c r="AE30" s="7"/>
      <c r="AF30" s="8"/>
      <c r="AG30" s="4">
        <f t="shared" si="2"/>
        <v>56</v>
      </c>
    </row>
    <row r="31" spans="1:33" ht="18.75" x14ac:dyDescent="0.25">
      <c r="A31" s="41" t="s">
        <v>56</v>
      </c>
      <c r="B31" s="7">
        <v>6</v>
      </c>
      <c r="C31" s="7"/>
      <c r="D31" s="7"/>
      <c r="E31" s="7"/>
      <c r="F31" s="7"/>
      <c r="G31" s="7"/>
      <c r="H31" s="7">
        <v>10</v>
      </c>
      <c r="I31" s="7">
        <v>8</v>
      </c>
      <c r="J31" s="7"/>
      <c r="K31" s="7"/>
      <c r="L31" s="7"/>
      <c r="M31" s="7"/>
      <c r="N31" s="7"/>
      <c r="O31" s="7">
        <v>10</v>
      </c>
      <c r="P31" s="7">
        <v>4</v>
      </c>
      <c r="Q31" s="7"/>
      <c r="R31" s="7"/>
      <c r="S31" s="7"/>
      <c r="T31" s="7"/>
      <c r="U31" s="7"/>
      <c r="V31" s="7">
        <v>12</v>
      </c>
      <c r="W31" s="7">
        <v>9</v>
      </c>
      <c r="X31" s="7"/>
      <c r="Y31" s="7"/>
      <c r="Z31" s="7">
        <v>7</v>
      </c>
      <c r="AA31" s="7"/>
      <c r="AB31" s="7"/>
      <c r="AC31" s="7">
        <v>13</v>
      </c>
      <c r="AD31" s="7">
        <v>14</v>
      </c>
      <c r="AE31" s="7"/>
      <c r="AF31" s="8"/>
      <c r="AG31" s="4">
        <f t="shared" si="2"/>
        <v>93</v>
      </c>
    </row>
    <row r="32" spans="1:33" ht="18.75" x14ac:dyDescent="0.25">
      <c r="A32" s="41" t="s">
        <v>38</v>
      </c>
      <c r="B32" s="7">
        <v>8</v>
      </c>
      <c r="C32" s="7"/>
      <c r="D32" s="7"/>
      <c r="E32" s="7"/>
      <c r="F32" s="7"/>
      <c r="G32" s="7"/>
      <c r="H32" s="7">
        <v>8</v>
      </c>
      <c r="I32" s="7">
        <v>11</v>
      </c>
      <c r="J32" s="7"/>
      <c r="K32" s="7"/>
      <c r="L32" s="7"/>
      <c r="M32" s="7"/>
      <c r="N32" s="7"/>
      <c r="O32" s="7">
        <v>7</v>
      </c>
      <c r="P32" s="7">
        <v>8</v>
      </c>
      <c r="Q32" s="7"/>
      <c r="R32" s="7"/>
      <c r="S32" s="7"/>
      <c r="T32" s="7"/>
      <c r="U32" s="7"/>
      <c r="V32" s="7">
        <v>13</v>
      </c>
      <c r="W32" s="7">
        <v>16</v>
      </c>
      <c r="X32" s="7"/>
      <c r="Y32" s="7"/>
      <c r="Z32" s="7">
        <v>9</v>
      </c>
      <c r="AA32" s="7"/>
      <c r="AB32" s="7"/>
      <c r="AC32" s="7">
        <v>11</v>
      </c>
      <c r="AD32" s="7">
        <v>14</v>
      </c>
      <c r="AE32" s="7"/>
      <c r="AF32" s="8"/>
      <c r="AG32" s="4">
        <f t="shared" si="2"/>
        <v>105</v>
      </c>
    </row>
    <row r="33" spans="1:33" ht="18.75" x14ac:dyDescent="0.25">
      <c r="A33" s="41" t="s">
        <v>39</v>
      </c>
      <c r="B33" s="7">
        <v>10</v>
      </c>
      <c r="C33" s="7"/>
      <c r="D33" s="7">
        <v>1</v>
      </c>
      <c r="E33" s="7"/>
      <c r="F33" s="7"/>
      <c r="G33" s="7"/>
      <c r="H33" s="7">
        <v>9</v>
      </c>
      <c r="I33" s="7">
        <v>7</v>
      </c>
      <c r="J33" s="7"/>
      <c r="K33" s="7"/>
      <c r="L33" s="7"/>
      <c r="M33" s="7"/>
      <c r="N33" s="7"/>
      <c r="O33" s="7">
        <v>8</v>
      </c>
      <c r="P33" s="7">
        <v>9</v>
      </c>
      <c r="Q33" s="7"/>
      <c r="R33" s="7"/>
      <c r="S33" s="7"/>
      <c r="T33" s="7"/>
      <c r="U33" s="7"/>
      <c r="V33" s="7">
        <v>10</v>
      </c>
      <c r="W33" s="7">
        <v>14</v>
      </c>
      <c r="X33" s="7"/>
      <c r="Y33" s="7">
        <v>4</v>
      </c>
      <c r="Z33" s="7">
        <v>8</v>
      </c>
      <c r="AA33" s="7"/>
      <c r="AB33" s="7"/>
      <c r="AC33" s="7">
        <v>14</v>
      </c>
      <c r="AD33" s="7">
        <v>6</v>
      </c>
      <c r="AE33" s="7"/>
      <c r="AF33" s="8">
        <v>3</v>
      </c>
      <c r="AG33" s="4">
        <f t="shared" si="2"/>
        <v>103</v>
      </c>
    </row>
    <row r="34" spans="1:33" ht="18.75" x14ac:dyDescent="0.25">
      <c r="A34" s="41" t="s">
        <v>40</v>
      </c>
      <c r="B34" s="7">
        <v>7</v>
      </c>
      <c r="C34" s="7"/>
      <c r="D34" s="7"/>
      <c r="E34" s="7"/>
      <c r="F34" s="7"/>
      <c r="G34" s="7"/>
      <c r="H34" s="7">
        <v>12</v>
      </c>
      <c r="I34" s="7">
        <v>9</v>
      </c>
      <c r="J34" s="7"/>
      <c r="K34" s="7"/>
      <c r="L34" s="7"/>
      <c r="M34" s="7"/>
      <c r="N34" s="7"/>
      <c r="O34" s="7">
        <v>10</v>
      </c>
      <c r="P34" s="7">
        <v>8</v>
      </c>
      <c r="Q34" s="7"/>
      <c r="R34" s="7"/>
      <c r="S34" s="7"/>
      <c r="T34" s="7">
        <v>1</v>
      </c>
      <c r="U34" s="7"/>
      <c r="V34" s="7">
        <v>9</v>
      </c>
      <c r="W34" s="7">
        <v>11</v>
      </c>
      <c r="X34" s="7"/>
      <c r="Y34" s="7">
        <v>4</v>
      </c>
      <c r="Z34" s="7">
        <v>11</v>
      </c>
      <c r="AA34" s="7"/>
      <c r="AB34" s="7"/>
      <c r="AC34" s="7">
        <v>10</v>
      </c>
      <c r="AD34" s="7">
        <v>7</v>
      </c>
      <c r="AE34" s="7"/>
      <c r="AF34" s="8">
        <v>5</v>
      </c>
      <c r="AG34" s="4">
        <f t="shared" si="2"/>
        <v>104</v>
      </c>
    </row>
    <row r="35" spans="1:33" ht="18.75" x14ac:dyDescent="0.25">
      <c r="A35" s="41" t="s">
        <v>41</v>
      </c>
      <c r="B35" s="7">
        <v>14</v>
      </c>
      <c r="C35" s="7"/>
      <c r="D35" s="7"/>
      <c r="E35" s="7"/>
      <c r="F35" s="7"/>
      <c r="G35" s="7"/>
      <c r="H35" s="7">
        <v>14</v>
      </c>
      <c r="I35" s="7">
        <v>17</v>
      </c>
      <c r="J35" s="7"/>
      <c r="K35" s="7"/>
      <c r="L35" s="7"/>
      <c r="M35" s="7"/>
      <c r="N35" s="7"/>
      <c r="O35" s="7">
        <v>9</v>
      </c>
      <c r="P35" s="7">
        <v>7</v>
      </c>
      <c r="Q35" s="7"/>
      <c r="R35" s="7"/>
      <c r="S35" s="7"/>
      <c r="T35" s="7"/>
      <c r="U35" s="7"/>
      <c r="V35" s="7">
        <v>10</v>
      </c>
      <c r="W35" s="7">
        <v>7</v>
      </c>
      <c r="X35" s="7"/>
      <c r="Y35" s="7">
        <v>4</v>
      </c>
      <c r="Z35" s="7">
        <v>11</v>
      </c>
      <c r="AA35" s="7"/>
      <c r="AB35" s="7"/>
      <c r="AC35" s="7">
        <v>15</v>
      </c>
      <c r="AD35" s="7">
        <v>11</v>
      </c>
      <c r="AE35" s="7"/>
      <c r="AF35" s="8">
        <v>5</v>
      </c>
      <c r="AG35" s="4">
        <f t="shared" si="2"/>
        <v>124</v>
      </c>
    </row>
    <row r="36" spans="1:33" ht="18.75" x14ac:dyDescent="0.25">
      <c r="A36" s="41" t="s">
        <v>42</v>
      </c>
      <c r="B36" s="7">
        <v>13</v>
      </c>
      <c r="C36" s="7"/>
      <c r="D36" s="7"/>
      <c r="E36" s="7">
        <v>1</v>
      </c>
      <c r="F36" s="7"/>
      <c r="G36" s="7">
        <v>1</v>
      </c>
      <c r="H36" s="7">
        <v>12</v>
      </c>
      <c r="I36" s="7">
        <v>10</v>
      </c>
      <c r="J36" s="7"/>
      <c r="K36" s="7"/>
      <c r="L36" s="7"/>
      <c r="M36" s="7"/>
      <c r="N36" s="7"/>
      <c r="O36" s="7">
        <v>10</v>
      </c>
      <c r="P36" s="7">
        <v>11</v>
      </c>
      <c r="Q36" s="7"/>
      <c r="R36" s="7"/>
      <c r="S36" s="7"/>
      <c r="T36" s="7"/>
      <c r="U36" s="7"/>
      <c r="V36" s="7">
        <v>9</v>
      </c>
      <c r="W36" s="7">
        <v>16</v>
      </c>
      <c r="X36" s="7"/>
      <c r="Y36" s="7">
        <v>4</v>
      </c>
      <c r="Z36" s="7">
        <v>9</v>
      </c>
      <c r="AA36" s="7"/>
      <c r="AB36" s="7"/>
      <c r="AC36" s="7">
        <v>11</v>
      </c>
      <c r="AD36" s="7">
        <v>19</v>
      </c>
      <c r="AE36" s="7"/>
      <c r="AF36" s="8">
        <v>3</v>
      </c>
      <c r="AG36" s="4">
        <f t="shared" si="2"/>
        <v>129</v>
      </c>
    </row>
    <row r="37" spans="1:33" ht="18.75" x14ac:dyDescent="0.25">
      <c r="A37" s="41" t="s">
        <v>43</v>
      </c>
      <c r="B37" s="7">
        <v>16</v>
      </c>
      <c r="C37" s="7"/>
      <c r="D37" s="7">
        <v>1</v>
      </c>
      <c r="E37" s="7"/>
      <c r="F37" s="7"/>
      <c r="G37" s="7"/>
      <c r="H37" s="7">
        <v>13</v>
      </c>
      <c r="I37" s="7">
        <v>10</v>
      </c>
      <c r="J37" s="7"/>
      <c r="K37" s="7"/>
      <c r="L37" s="7"/>
      <c r="M37" s="7"/>
      <c r="N37" s="7"/>
      <c r="O37" s="7">
        <v>10</v>
      </c>
      <c r="P37" s="7">
        <v>8</v>
      </c>
      <c r="Q37" s="7"/>
      <c r="R37" s="7"/>
      <c r="S37" s="7"/>
      <c r="T37" s="7"/>
      <c r="U37" s="7"/>
      <c r="V37" s="7">
        <v>16</v>
      </c>
      <c r="W37" s="7">
        <v>10</v>
      </c>
      <c r="X37" s="7"/>
      <c r="Y37" s="7">
        <v>17</v>
      </c>
      <c r="Z37" s="7">
        <v>9</v>
      </c>
      <c r="AA37" s="7"/>
      <c r="AB37" s="7"/>
      <c r="AC37" s="7">
        <v>12</v>
      </c>
      <c r="AD37" s="7">
        <v>13</v>
      </c>
      <c r="AE37" s="7"/>
      <c r="AF37" s="8">
        <v>5</v>
      </c>
      <c r="AG37" s="4">
        <f t="shared" si="2"/>
        <v>140</v>
      </c>
    </row>
    <row r="38" spans="1:33" ht="18.75" x14ac:dyDescent="0.25">
      <c r="A38" s="41" t="s">
        <v>44</v>
      </c>
      <c r="B38" s="7">
        <v>11</v>
      </c>
      <c r="C38" s="7">
        <v>9</v>
      </c>
      <c r="D38" s="7">
        <v>9</v>
      </c>
      <c r="E38" s="7">
        <v>2</v>
      </c>
      <c r="F38" s="7">
        <v>6</v>
      </c>
      <c r="G38" s="7">
        <v>7</v>
      </c>
      <c r="H38" s="7">
        <v>20</v>
      </c>
      <c r="I38" s="7">
        <v>13</v>
      </c>
      <c r="J38" s="7">
        <v>4</v>
      </c>
      <c r="K38" s="7">
        <v>3</v>
      </c>
      <c r="L38" s="7">
        <v>1</v>
      </c>
      <c r="M38" s="7">
        <v>6</v>
      </c>
      <c r="N38" s="7">
        <v>4</v>
      </c>
      <c r="O38" s="7">
        <v>16</v>
      </c>
      <c r="P38" s="7">
        <v>14</v>
      </c>
      <c r="Q38" s="7">
        <v>5</v>
      </c>
      <c r="R38" s="7">
        <v>9</v>
      </c>
      <c r="S38" s="7"/>
      <c r="T38" s="7">
        <v>5</v>
      </c>
      <c r="U38" s="7">
        <v>1</v>
      </c>
      <c r="V38" s="7">
        <v>16</v>
      </c>
      <c r="W38" s="7">
        <v>16</v>
      </c>
      <c r="X38" s="7">
        <v>9</v>
      </c>
      <c r="Y38" s="7">
        <v>19</v>
      </c>
      <c r="Z38" s="7">
        <v>18</v>
      </c>
      <c r="AA38" s="7">
        <v>7</v>
      </c>
      <c r="AB38" s="7">
        <v>7</v>
      </c>
      <c r="AC38" s="7">
        <v>20</v>
      </c>
      <c r="AD38" s="7">
        <v>11</v>
      </c>
      <c r="AE38" s="7">
        <v>14</v>
      </c>
      <c r="AF38" s="8">
        <v>18</v>
      </c>
      <c r="AG38" s="4">
        <f t="shared" si="2"/>
        <v>300</v>
      </c>
    </row>
    <row r="39" spans="1:33" ht="18.75" x14ac:dyDescent="0.25">
      <c r="A39" s="41" t="s">
        <v>45</v>
      </c>
      <c r="B39" s="7">
        <v>15</v>
      </c>
      <c r="C39" s="7">
        <v>20</v>
      </c>
      <c r="D39" s="7">
        <v>22</v>
      </c>
      <c r="E39" s="7">
        <v>20</v>
      </c>
      <c r="F39" s="7">
        <v>12</v>
      </c>
      <c r="G39" s="7">
        <v>7</v>
      </c>
      <c r="H39" s="7">
        <v>13</v>
      </c>
      <c r="I39" s="7">
        <v>17</v>
      </c>
      <c r="J39" s="7">
        <v>17</v>
      </c>
      <c r="K39" s="7">
        <v>13</v>
      </c>
      <c r="L39" s="7">
        <v>14</v>
      </c>
      <c r="M39" s="7">
        <v>15</v>
      </c>
      <c r="N39" s="7">
        <v>25</v>
      </c>
      <c r="O39" s="7">
        <v>18</v>
      </c>
      <c r="P39" s="7">
        <v>18</v>
      </c>
      <c r="Q39" s="7">
        <v>16</v>
      </c>
      <c r="R39" s="7">
        <v>16</v>
      </c>
      <c r="S39" s="7">
        <v>22</v>
      </c>
      <c r="T39" s="7">
        <v>15</v>
      </c>
      <c r="U39" s="7">
        <v>13</v>
      </c>
      <c r="V39" s="7">
        <v>12</v>
      </c>
      <c r="W39" s="7">
        <v>12</v>
      </c>
      <c r="X39" s="7">
        <v>18</v>
      </c>
      <c r="Y39" s="7">
        <v>7</v>
      </c>
      <c r="Z39" s="7">
        <v>14</v>
      </c>
      <c r="AA39" s="7">
        <v>10</v>
      </c>
      <c r="AB39" s="7">
        <v>17</v>
      </c>
      <c r="AC39" s="7">
        <v>15</v>
      </c>
      <c r="AD39" s="7">
        <v>16</v>
      </c>
      <c r="AE39" s="7">
        <v>24</v>
      </c>
      <c r="AF39" s="8">
        <v>12</v>
      </c>
      <c r="AG39" s="4">
        <f t="shared" si="2"/>
        <v>485</v>
      </c>
    </row>
    <row r="40" spans="1:33" ht="18.75" x14ac:dyDescent="0.25">
      <c r="A40" s="41" t="s">
        <v>46</v>
      </c>
      <c r="B40" s="7">
        <v>11</v>
      </c>
      <c r="C40" s="7">
        <v>21</v>
      </c>
      <c r="D40" s="7">
        <v>13</v>
      </c>
      <c r="E40" s="7">
        <v>30</v>
      </c>
      <c r="F40" s="7">
        <v>16</v>
      </c>
      <c r="G40" s="7">
        <v>20</v>
      </c>
      <c r="H40" s="7">
        <v>13</v>
      </c>
      <c r="I40" s="7">
        <v>11</v>
      </c>
      <c r="J40" s="7">
        <v>15</v>
      </c>
      <c r="K40" s="7">
        <v>23</v>
      </c>
      <c r="L40" s="7">
        <v>27</v>
      </c>
      <c r="M40" s="7">
        <v>25</v>
      </c>
      <c r="N40" s="7">
        <v>16</v>
      </c>
      <c r="O40" s="7">
        <v>13</v>
      </c>
      <c r="P40" s="7">
        <v>5</v>
      </c>
      <c r="Q40" s="7">
        <v>25</v>
      </c>
      <c r="R40" s="7">
        <v>18</v>
      </c>
      <c r="S40" s="7">
        <v>23</v>
      </c>
      <c r="T40" s="7">
        <v>25</v>
      </c>
      <c r="U40" s="7">
        <v>22</v>
      </c>
      <c r="V40" s="7">
        <v>14</v>
      </c>
      <c r="W40" s="7">
        <v>8</v>
      </c>
      <c r="X40" s="7">
        <v>26</v>
      </c>
      <c r="Y40" s="7">
        <v>4</v>
      </c>
      <c r="Z40" s="7">
        <v>13</v>
      </c>
      <c r="AA40" s="7">
        <v>17</v>
      </c>
      <c r="AB40" s="7">
        <v>27</v>
      </c>
      <c r="AC40" s="7">
        <v>6</v>
      </c>
      <c r="AD40" s="7">
        <v>11</v>
      </c>
      <c r="AE40" s="7">
        <v>23</v>
      </c>
      <c r="AF40" s="8">
        <v>6</v>
      </c>
      <c r="AG40" s="4">
        <f t="shared" si="2"/>
        <v>527</v>
      </c>
    </row>
    <row r="41" spans="1:33" ht="18.75" x14ac:dyDescent="0.25">
      <c r="A41" s="41" t="s">
        <v>47</v>
      </c>
      <c r="B41" s="7">
        <v>10</v>
      </c>
      <c r="C41" s="7">
        <v>32</v>
      </c>
      <c r="D41" s="7">
        <v>16</v>
      </c>
      <c r="E41" s="7">
        <v>15</v>
      </c>
      <c r="F41" s="7">
        <v>22</v>
      </c>
      <c r="G41" s="7">
        <v>15</v>
      </c>
      <c r="H41" s="7">
        <v>13</v>
      </c>
      <c r="I41" s="7">
        <v>13</v>
      </c>
      <c r="J41" s="7">
        <v>22</v>
      </c>
      <c r="K41" s="7">
        <v>20</v>
      </c>
      <c r="L41" s="7">
        <v>18</v>
      </c>
      <c r="M41" s="7">
        <v>27</v>
      </c>
      <c r="N41" s="7">
        <v>17</v>
      </c>
      <c r="O41" s="7">
        <v>13</v>
      </c>
      <c r="P41" s="7">
        <v>9</v>
      </c>
      <c r="Q41" s="7">
        <v>24</v>
      </c>
      <c r="R41" s="7">
        <v>20</v>
      </c>
      <c r="S41" s="7">
        <v>24</v>
      </c>
      <c r="T41" s="7">
        <v>24</v>
      </c>
      <c r="U41" s="7">
        <v>11</v>
      </c>
      <c r="V41" s="7">
        <v>11</v>
      </c>
      <c r="W41" s="7">
        <v>9</v>
      </c>
      <c r="X41" s="7">
        <v>18</v>
      </c>
      <c r="Y41" s="7">
        <v>4</v>
      </c>
      <c r="Z41" s="7">
        <v>11</v>
      </c>
      <c r="AA41" s="7">
        <v>21</v>
      </c>
      <c r="AB41" s="7">
        <v>15</v>
      </c>
      <c r="AC41" s="7">
        <v>14</v>
      </c>
      <c r="AD41" s="7">
        <v>11</v>
      </c>
      <c r="AE41" s="7">
        <v>18</v>
      </c>
      <c r="AF41" s="8">
        <v>4</v>
      </c>
      <c r="AG41" s="4">
        <f t="shared" si="2"/>
        <v>501</v>
      </c>
    </row>
    <row r="42" spans="1:33" ht="18.75" x14ac:dyDescent="0.25">
      <c r="A42" s="41" t="s">
        <v>48</v>
      </c>
      <c r="B42" s="7">
        <v>13</v>
      </c>
      <c r="C42" s="7">
        <v>30</v>
      </c>
      <c r="D42" s="7">
        <v>20</v>
      </c>
      <c r="E42" s="7">
        <v>19</v>
      </c>
      <c r="F42" s="7">
        <v>21</v>
      </c>
      <c r="G42" s="7">
        <v>11</v>
      </c>
      <c r="H42" s="7">
        <v>16</v>
      </c>
      <c r="I42" s="7">
        <v>15</v>
      </c>
      <c r="J42" s="7">
        <v>28</v>
      </c>
      <c r="K42" s="7">
        <v>18</v>
      </c>
      <c r="L42" s="7">
        <v>16</v>
      </c>
      <c r="M42" s="7">
        <v>10</v>
      </c>
      <c r="N42" s="7">
        <v>13</v>
      </c>
      <c r="O42" s="7">
        <v>11</v>
      </c>
      <c r="P42" s="7">
        <v>16</v>
      </c>
      <c r="Q42" s="7">
        <v>29</v>
      </c>
      <c r="R42" s="7">
        <v>10</v>
      </c>
      <c r="S42" s="7">
        <v>14</v>
      </c>
      <c r="T42" s="7">
        <v>19</v>
      </c>
      <c r="U42" s="7">
        <v>8</v>
      </c>
      <c r="V42" s="7">
        <v>11</v>
      </c>
      <c r="W42" s="7"/>
      <c r="X42" s="7">
        <v>17</v>
      </c>
      <c r="Y42" s="7">
        <v>8</v>
      </c>
      <c r="Z42" s="7">
        <v>10</v>
      </c>
      <c r="AA42" s="7">
        <v>22</v>
      </c>
      <c r="AB42" s="7">
        <v>16</v>
      </c>
      <c r="AC42" s="7">
        <v>10</v>
      </c>
      <c r="AD42" s="7">
        <v>14</v>
      </c>
      <c r="AE42" s="7">
        <v>22</v>
      </c>
      <c r="AF42" s="8">
        <v>8</v>
      </c>
      <c r="AG42" s="4">
        <f t="shared" si="2"/>
        <v>475</v>
      </c>
    </row>
    <row r="43" spans="1:33" ht="18.75" x14ac:dyDescent="0.25">
      <c r="A43" s="41" t="s">
        <v>49</v>
      </c>
      <c r="B43" s="7">
        <v>6</v>
      </c>
      <c r="C43" s="7">
        <v>21</v>
      </c>
      <c r="D43" s="7">
        <v>16</v>
      </c>
      <c r="E43" s="7">
        <v>20</v>
      </c>
      <c r="F43" s="7">
        <v>17</v>
      </c>
      <c r="G43" s="7">
        <v>18</v>
      </c>
      <c r="H43" s="7">
        <v>15</v>
      </c>
      <c r="I43" s="7">
        <v>11</v>
      </c>
      <c r="J43" s="7">
        <v>16</v>
      </c>
      <c r="K43" s="7">
        <v>24</v>
      </c>
      <c r="L43" s="7">
        <v>8</v>
      </c>
      <c r="M43" s="7">
        <v>16</v>
      </c>
      <c r="N43" s="7">
        <v>17</v>
      </c>
      <c r="O43" s="7">
        <v>11</v>
      </c>
      <c r="P43" s="7">
        <v>9</v>
      </c>
      <c r="Q43" s="7">
        <v>13</v>
      </c>
      <c r="R43" s="7">
        <v>17</v>
      </c>
      <c r="S43" s="7">
        <v>19</v>
      </c>
      <c r="T43" s="7">
        <v>22</v>
      </c>
      <c r="U43" s="7">
        <v>15</v>
      </c>
      <c r="V43" s="7">
        <v>6</v>
      </c>
      <c r="W43" s="7">
        <v>9</v>
      </c>
      <c r="X43" s="7">
        <v>8</v>
      </c>
      <c r="Y43" s="7">
        <v>6</v>
      </c>
      <c r="Z43" s="7">
        <v>15</v>
      </c>
      <c r="AA43" s="7">
        <v>17</v>
      </c>
      <c r="AB43" s="7">
        <v>19</v>
      </c>
      <c r="AC43" s="7">
        <v>9</v>
      </c>
      <c r="AD43" s="7">
        <v>9</v>
      </c>
      <c r="AE43" s="7">
        <v>21</v>
      </c>
      <c r="AF43" s="8">
        <v>6</v>
      </c>
      <c r="AG43" s="4">
        <f t="shared" si="2"/>
        <v>436</v>
      </c>
    </row>
    <row r="44" spans="1:33" ht="18.75" x14ac:dyDescent="0.25">
      <c r="A44" s="41" t="s">
        <v>50</v>
      </c>
      <c r="B44" s="7">
        <v>8</v>
      </c>
      <c r="C44" s="7">
        <v>17</v>
      </c>
      <c r="D44" s="7">
        <v>7</v>
      </c>
      <c r="E44" s="7">
        <v>14</v>
      </c>
      <c r="F44" s="7">
        <v>12</v>
      </c>
      <c r="G44" s="7">
        <v>11</v>
      </c>
      <c r="H44" s="7">
        <v>10</v>
      </c>
      <c r="I44" s="7">
        <v>11</v>
      </c>
      <c r="J44" s="7">
        <v>12</v>
      </c>
      <c r="K44" s="7">
        <v>17</v>
      </c>
      <c r="L44" s="7">
        <v>13</v>
      </c>
      <c r="M44" s="7">
        <v>12</v>
      </c>
      <c r="N44" s="7">
        <v>13</v>
      </c>
      <c r="O44" s="7">
        <v>10</v>
      </c>
      <c r="P44" s="7">
        <v>12</v>
      </c>
      <c r="Q44" s="7">
        <v>13</v>
      </c>
      <c r="R44" s="7">
        <v>16</v>
      </c>
      <c r="S44" s="7">
        <v>16</v>
      </c>
      <c r="T44" s="7">
        <v>10</v>
      </c>
      <c r="U44" s="7">
        <v>9</v>
      </c>
      <c r="V44" s="7">
        <v>13</v>
      </c>
      <c r="W44" s="7">
        <v>8</v>
      </c>
      <c r="X44" s="7">
        <v>13</v>
      </c>
      <c r="Y44" s="7">
        <v>1</v>
      </c>
      <c r="Z44" s="7">
        <v>9</v>
      </c>
      <c r="AA44" s="7">
        <v>18</v>
      </c>
      <c r="AB44" s="7">
        <v>14</v>
      </c>
      <c r="AC44" s="7">
        <v>5</v>
      </c>
      <c r="AD44" s="7">
        <v>12</v>
      </c>
      <c r="AE44" s="7">
        <v>16</v>
      </c>
      <c r="AF44" s="8">
        <v>5</v>
      </c>
      <c r="AG44" s="4">
        <f t="shared" si="2"/>
        <v>357</v>
      </c>
    </row>
    <row r="45" spans="1:33" ht="18.75" x14ac:dyDescent="0.25">
      <c r="A45" s="41" t="s">
        <v>33</v>
      </c>
      <c r="B45" s="7">
        <v>10</v>
      </c>
      <c r="C45" s="7">
        <v>5</v>
      </c>
      <c r="D45" s="7">
        <v>6</v>
      </c>
      <c r="E45" s="7">
        <v>10</v>
      </c>
      <c r="F45" s="7">
        <v>13</v>
      </c>
      <c r="G45" s="7">
        <v>13</v>
      </c>
      <c r="H45" s="7">
        <v>10</v>
      </c>
      <c r="I45" s="7">
        <v>17</v>
      </c>
      <c r="J45" s="7">
        <v>7</v>
      </c>
      <c r="K45" s="7">
        <v>6</v>
      </c>
      <c r="L45" s="7">
        <v>3</v>
      </c>
      <c r="M45" s="7">
        <v>12</v>
      </c>
      <c r="N45" s="7">
        <v>5</v>
      </c>
      <c r="O45" s="7">
        <v>12</v>
      </c>
      <c r="P45" s="7">
        <v>10</v>
      </c>
      <c r="Q45" s="7">
        <v>12</v>
      </c>
      <c r="R45" s="7">
        <v>10</v>
      </c>
      <c r="S45" s="7">
        <v>6</v>
      </c>
      <c r="T45" s="7">
        <v>7</v>
      </c>
      <c r="U45" s="7">
        <v>7</v>
      </c>
      <c r="V45" s="7">
        <v>7</v>
      </c>
      <c r="W45" s="7">
        <v>6</v>
      </c>
      <c r="X45" s="7">
        <v>9</v>
      </c>
      <c r="Y45" s="7">
        <v>1</v>
      </c>
      <c r="Z45" s="7">
        <v>6</v>
      </c>
      <c r="AA45" s="7">
        <v>7</v>
      </c>
      <c r="AB45" s="7">
        <v>7</v>
      </c>
      <c r="AC45" s="7">
        <v>8</v>
      </c>
      <c r="AD45" s="7">
        <v>14</v>
      </c>
      <c r="AE45" s="7">
        <v>5</v>
      </c>
      <c r="AF45" s="8">
        <v>4</v>
      </c>
      <c r="AG45" s="4">
        <f t="shared" si="2"/>
        <v>255</v>
      </c>
    </row>
    <row r="46" spans="1:33" ht="18.75" x14ac:dyDescent="0.25">
      <c r="A46" s="41" t="s">
        <v>34</v>
      </c>
      <c r="B46" s="7">
        <v>8</v>
      </c>
      <c r="C46" s="7">
        <v>8</v>
      </c>
      <c r="D46" s="7">
        <v>7</v>
      </c>
      <c r="E46" s="7">
        <v>9</v>
      </c>
      <c r="F46" s="7">
        <v>12</v>
      </c>
      <c r="G46" s="7">
        <v>9</v>
      </c>
      <c r="H46" s="7">
        <v>5</v>
      </c>
      <c r="I46" s="7">
        <v>6</v>
      </c>
      <c r="J46" s="7">
        <v>5</v>
      </c>
      <c r="K46" s="7">
        <v>10</v>
      </c>
      <c r="L46" s="7">
        <v>3</v>
      </c>
      <c r="M46" s="7">
        <v>6</v>
      </c>
      <c r="N46" s="7">
        <v>9</v>
      </c>
      <c r="O46" s="7">
        <v>3</v>
      </c>
      <c r="P46" s="7">
        <v>8</v>
      </c>
      <c r="Q46" s="7">
        <v>6</v>
      </c>
      <c r="R46" s="7">
        <v>7</v>
      </c>
      <c r="S46" s="7">
        <v>13</v>
      </c>
      <c r="T46" s="7">
        <v>4</v>
      </c>
      <c r="U46" s="7">
        <v>9</v>
      </c>
      <c r="V46" s="7">
        <v>4</v>
      </c>
      <c r="W46" s="7">
        <v>2</v>
      </c>
      <c r="X46" s="7">
        <v>6</v>
      </c>
      <c r="Y46" s="7">
        <v>4</v>
      </c>
      <c r="Z46" s="7">
        <v>1</v>
      </c>
      <c r="AA46" s="7">
        <v>9</v>
      </c>
      <c r="AB46" s="7">
        <v>13</v>
      </c>
      <c r="AC46" s="7">
        <v>6</v>
      </c>
      <c r="AD46" s="7">
        <v>10</v>
      </c>
      <c r="AE46" s="7">
        <v>6</v>
      </c>
      <c r="AF46" s="8">
        <v>4</v>
      </c>
      <c r="AG46" s="4">
        <f t="shared" si="2"/>
        <v>212</v>
      </c>
    </row>
    <row r="47" spans="1:33" ht="18.75" x14ac:dyDescent="0.25">
      <c r="A47" s="41" t="s">
        <v>35</v>
      </c>
      <c r="B47" s="7">
        <v>10</v>
      </c>
      <c r="C47" s="7">
        <v>8</v>
      </c>
      <c r="D47" s="7">
        <v>6</v>
      </c>
      <c r="E47" s="7">
        <v>2</v>
      </c>
      <c r="F47" s="7">
        <v>6</v>
      </c>
      <c r="G47" s="7">
        <v>7</v>
      </c>
      <c r="H47" s="7">
        <v>2</v>
      </c>
      <c r="I47" s="7"/>
      <c r="J47" s="7">
        <v>4</v>
      </c>
      <c r="K47" s="7">
        <v>4</v>
      </c>
      <c r="L47" s="7">
        <v>2</v>
      </c>
      <c r="M47" s="7">
        <v>4</v>
      </c>
      <c r="N47" s="7">
        <v>8</v>
      </c>
      <c r="O47" s="7">
        <v>1</v>
      </c>
      <c r="P47" s="7">
        <v>3</v>
      </c>
      <c r="Q47" s="7">
        <v>12</v>
      </c>
      <c r="R47" s="7">
        <v>3</v>
      </c>
      <c r="S47" s="7">
        <v>5</v>
      </c>
      <c r="T47" s="7"/>
      <c r="U47" s="7">
        <v>8</v>
      </c>
      <c r="V47" s="7">
        <v>4</v>
      </c>
      <c r="W47" s="7">
        <v>1</v>
      </c>
      <c r="X47" s="7">
        <v>2</v>
      </c>
      <c r="Y47" s="7">
        <v>2</v>
      </c>
      <c r="Z47" s="7">
        <v>1</v>
      </c>
      <c r="AA47" s="7">
        <v>7</v>
      </c>
      <c r="AB47" s="7">
        <v>9</v>
      </c>
      <c r="AC47" s="7">
        <v>6</v>
      </c>
      <c r="AD47" s="7">
        <v>6</v>
      </c>
      <c r="AE47" s="7">
        <v>7</v>
      </c>
      <c r="AF47" s="8">
        <v>1</v>
      </c>
      <c r="AG47" s="4">
        <f t="shared" si="2"/>
        <v>141</v>
      </c>
    </row>
    <row r="48" spans="1:33" ht="18.75" x14ac:dyDescent="0.25">
      <c r="A48" s="41" t="s">
        <v>36</v>
      </c>
      <c r="B48" s="7">
        <v>1</v>
      </c>
      <c r="C48" s="7">
        <v>3</v>
      </c>
      <c r="D48" s="7">
        <v>6</v>
      </c>
      <c r="E48" s="7">
        <v>1</v>
      </c>
      <c r="F48" s="7">
        <v>3</v>
      </c>
      <c r="G48" s="7">
        <v>7</v>
      </c>
      <c r="H48" s="7">
        <v>2</v>
      </c>
      <c r="I48" s="7">
        <v>2</v>
      </c>
      <c r="J48" s="7">
        <v>6</v>
      </c>
      <c r="K48" s="7"/>
      <c r="L48" s="7"/>
      <c r="M48" s="7">
        <v>2</v>
      </c>
      <c r="N48" s="7">
        <v>2</v>
      </c>
      <c r="O48" s="7">
        <v>1</v>
      </c>
      <c r="P48" s="7">
        <v>2</v>
      </c>
      <c r="Q48" s="7">
        <v>5</v>
      </c>
      <c r="R48" s="7">
        <v>3</v>
      </c>
      <c r="S48" s="7">
        <v>1</v>
      </c>
      <c r="T48" s="7">
        <v>1</v>
      </c>
      <c r="U48" s="7">
        <v>3</v>
      </c>
      <c r="V48" s="7">
        <v>5</v>
      </c>
      <c r="W48" s="7">
        <v>2</v>
      </c>
      <c r="X48" s="7">
        <v>2</v>
      </c>
      <c r="Y48" s="7">
        <v>3</v>
      </c>
      <c r="Z48" s="7">
        <v>2</v>
      </c>
      <c r="AA48" s="7">
        <v>4</v>
      </c>
      <c r="AB48" s="7">
        <v>3</v>
      </c>
      <c r="AC48" s="7">
        <v>2</v>
      </c>
      <c r="AD48" s="7">
        <v>2</v>
      </c>
      <c r="AE48" s="7">
        <v>8</v>
      </c>
      <c r="AF48" s="8"/>
      <c r="AG48" s="4">
        <f t="shared" si="2"/>
        <v>84</v>
      </c>
    </row>
    <row r="49" spans="1:33" ht="18.75" x14ac:dyDescent="0.25">
      <c r="A49" s="41" t="s">
        <v>51</v>
      </c>
      <c r="B49" s="7"/>
      <c r="C49" s="7"/>
      <c r="D49" s="7">
        <v>4</v>
      </c>
      <c r="E49" s="7">
        <v>1</v>
      </c>
      <c r="F49" s="7">
        <v>2</v>
      </c>
      <c r="G49" s="7">
        <v>7</v>
      </c>
      <c r="H49" s="7"/>
      <c r="I49" s="7">
        <v>3</v>
      </c>
      <c r="J49" s="7">
        <v>2</v>
      </c>
      <c r="K49" s="7"/>
      <c r="L49" s="7"/>
      <c r="M49" s="7"/>
      <c r="N49" s="7">
        <v>3</v>
      </c>
      <c r="O49" s="7"/>
      <c r="P49" s="7">
        <v>1</v>
      </c>
      <c r="Q49" s="7">
        <v>3</v>
      </c>
      <c r="R49" s="7"/>
      <c r="S49" s="7"/>
      <c r="T49" s="7"/>
      <c r="U49" s="7">
        <v>2</v>
      </c>
      <c r="V49" s="7">
        <v>5</v>
      </c>
      <c r="W49" s="7"/>
      <c r="X49" s="7"/>
      <c r="Y49" s="7">
        <v>2</v>
      </c>
      <c r="Z49" s="7"/>
      <c r="AA49" s="7">
        <v>1</v>
      </c>
      <c r="AB49" s="7">
        <v>1</v>
      </c>
      <c r="AC49" s="7">
        <v>4</v>
      </c>
      <c r="AD49" s="7">
        <v>2</v>
      </c>
      <c r="AE49" s="7">
        <v>4</v>
      </c>
      <c r="AF49" s="8">
        <v>2</v>
      </c>
      <c r="AG49" s="4">
        <f t="shared" si="2"/>
        <v>49</v>
      </c>
    </row>
    <row r="50" spans="1:33" ht="18.75" x14ac:dyDescent="0.25">
      <c r="A50" s="41" t="s">
        <v>52</v>
      </c>
      <c r="B50" s="7"/>
      <c r="C50" s="7">
        <v>1</v>
      </c>
      <c r="D50" s="7"/>
      <c r="E50" s="7">
        <v>2</v>
      </c>
      <c r="F50" s="7"/>
      <c r="G50" s="7">
        <v>2</v>
      </c>
      <c r="H50" s="7"/>
      <c r="I50" s="7">
        <v>1</v>
      </c>
      <c r="J50" s="7"/>
      <c r="K50" s="7"/>
      <c r="L50" s="7">
        <v>1</v>
      </c>
      <c r="M50" s="7">
        <v>2</v>
      </c>
      <c r="N50" s="7"/>
      <c r="O50" s="7">
        <v>1</v>
      </c>
      <c r="P50" s="7"/>
      <c r="Q50" s="7"/>
      <c r="R50" s="7"/>
      <c r="S50" s="7"/>
      <c r="T50" s="7">
        <v>1</v>
      </c>
      <c r="U50" s="7">
        <v>1</v>
      </c>
      <c r="V50" s="7"/>
      <c r="W50" s="7">
        <v>2</v>
      </c>
      <c r="X50" s="7">
        <v>2</v>
      </c>
      <c r="Y50" s="7">
        <v>2</v>
      </c>
      <c r="Z50" s="7">
        <v>3</v>
      </c>
      <c r="AA50" s="7">
        <v>1</v>
      </c>
      <c r="AB50" s="7">
        <v>1</v>
      </c>
      <c r="AC50" s="7">
        <v>5</v>
      </c>
      <c r="AD50" s="7">
        <v>2</v>
      </c>
      <c r="AE50" s="7"/>
      <c r="AF50" s="8"/>
      <c r="AG50" s="4">
        <f t="shared" si="2"/>
        <v>30</v>
      </c>
    </row>
    <row r="51" spans="1:33" ht="18.75" x14ac:dyDescent="0.25">
      <c r="A51" s="41" t="s">
        <v>37</v>
      </c>
      <c r="B51" s="7"/>
      <c r="C51" s="7">
        <v>1</v>
      </c>
      <c r="D51" s="7"/>
      <c r="E51" s="7"/>
      <c r="F51" s="7"/>
      <c r="G51" s="7">
        <v>1</v>
      </c>
      <c r="H51" s="7"/>
      <c r="I51" s="7"/>
      <c r="J51" s="7">
        <v>3</v>
      </c>
      <c r="K51" s="7">
        <v>2</v>
      </c>
      <c r="L51" s="7"/>
      <c r="M51" s="7">
        <v>1</v>
      </c>
      <c r="N51" s="7"/>
      <c r="O51" s="7"/>
      <c r="P51" s="7"/>
      <c r="Q51" s="7">
        <v>3</v>
      </c>
      <c r="R51" s="7">
        <v>2</v>
      </c>
      <c r="S51" s="7"/>
      <c r="T51" s="7">
        <v>2</v>
      </c>
      <c r="U51" s="7"/>
      <c r="V51" s="7"/>
      <c r="W51" s="7"/>
      <c r="X51" s="7"/>
      <c r="Y51" s="7"/>
      <c r="Z51" s="7"/>
      <c r="AA51" s="7">
        <v>3</v>
      </c>
      <c r="AB51" s="7"/>
      <c r="AC51" s="7">
        <v>2</v>
      </c>
      <c r="AD51" s="7"/>
      <c r="AE51" s="7">
        <v>2</v>
      </c>
      <c r="AF51" s="8">
        <v>2</v>
      </c>
      <c r="AG51" s="4">
        <f t="shared" si="2"/>
        <v>24</v>
      </c>
    </row>
    <row r="52" spans="1:33" ht="19.5" thickBot="1" x14ac:dyDescent="0.3">
      <c r="A52" s="77" t="s">
        <v>53</v>
      </c>
      <c r="B52" s="9"/>
      <c r="C52" s="9"/>
      <c r="D52" s="9"/>
      <c r="E52" s="9"/>
      <c r="F52" s="9"/>
      <c r="G52" s="9">
        <v>2</v>
      </c>
      <c r="H52" s="9"/>
      <c r="I52" s="9"/>
      <c r="J52" s="9"/>
      <c r="K52" s="9"/>
      <c r="L52" s="9"/>
      <c r="M52" s="9"/>
      <c r="N52" s="9">
        <v>2</v>
      </c>
      <c r="O52" s="9"/>
      <c r="P52" s="9">
        <v>1</v>
      </c>
      <c r="Q52" s="9">
        <v>1</v>
      </c>
      <c r="R52" s="9"/>
      <c r="S52" s="9"/>
      <c r="T52" s="9"/>
      <c r="U52" s="9"/>
      <c r="V52" s="9">
        <v>1</v>
      </c>
      <c r="W52" s="9"/>
      <c r="X52" s="9">
        <v>1</v>
      </c>
      <c r="Y52" s="78"/>
      <c r="Z52" s="9"/>
      <c r="AA52" s="9"/>
      <c r="AB52" s="9">
        <v>3</v>
      </c>
      <c r="AC52" s="9">
        <v>1</v>
      </c>
      <c r="AD52" s="9"/>
      <c r="AE52" s="9">
        <v>1</v>
      </c>
      <c r="AF52" s="10">
        <v>1</v>
      </c>
      <c r="AG52" s="108">
        <f t="shared" si="2"/>
        <v>14</v>
      </c>
    </row>
    <row r="53" spans="1:33" ht="19.5" thickBot="1" x14ac:dyDescent="0.3">
      <c r="A53" s="136" t="s">
        <v>108</v>
      </c>
      <c r="B53" s="135">
        <f t="shared" ref="B53:AF53" si="4">SUM(B54:B77)</f>
        <v>18</v>
      </c>
      <c r="C53" s="135">
        <f t="shared" si="4"/>
        <v>15</v>
      </c>
      <c r="D53" s="135">
        <f t="shared" si="4"/>
        <v>26</v>
      </c>
      <c r="E53" s="135">
        <f t="shared" si="4"/>
        <v>10</v>
      </c>
      <c r="F53" s="135">
        <f t="shared" si="4"/>
        <v>14</v>
      </c>
      <c r="G53" s="135">
        <f t="shared" si="4"/>
        <v>25</v>
      </c>
      <c r="H53" s="135">
        <f t="shared" si="4"/>
        <v>7</v>
      </c>
      <c r="I53" s="135">
        <f t="shared" si="4"/>
        <v>7</v>
      </c>
      <c r="J53" s="135">
        <f t="shared" si="4"/>
        <v>36</v>
      </c>
      <c r="K53" s="135">
        <f t="shared" si="4"/>
        <v>23</v>
      </c>
      <c r="L53" s="135">
        <f t="shared" si="4"/>
        <v>8</v>
      </c>
      <c r="M53" s="135">
        <f t="shared" si="4"/>
        <v>5</v>
      </c>
      <c r="N53" s="135">
        <f t="shared" si="4"/>
        <v>5</v>
      </c>
      <c r="O53" s="135">
        <f t="shared" si="4"/>
        <v>8</v>
      </c>
      <c r="P53" s="135">
        <f t="shared" si="4"/>
        <v>8</v>
      </c>
      <c r="Q53" s="135">
        <f t="shared" si="4"/>
        <v>21</v>
      </c>
      <c r="R53" s="135">
        <f t="shared" si="4"/>
        <v>8</v>
      </c>
      <c r="S53" s="135">
        <f t="shared" si="4"/>
        <v>19</v>
      </c>
      <c r="T53" s="135">
        <f t="shared" si="4"/>
        <v>6</v>
      </c>
      <c r="U53" s="135">
        <f t="shared" si="4"/>
        <v>21</v>
      </c>
      <c r="V53" s="135">
        <f t="shared" si="4"/>
        <v>12</v>
      </c>
      <c r="W53" s="135">
        <f t="shared" si="4"/>
        <v>2</v>
      </c>
      <c r="X53" s="135">
        <f t="shared" si="4"/>
        <v>3</v>
      </c>
      <c r="Y53" s="135">
        <f t="shared" si="4"/>
        <v>0</v>
      </c>
      <c r="Z53" s="135">
        <f t="shared" si="4"/>
        <v>2</v>
      </c>
      <c r="AA53" s="135">
        <f t="shared" si="4"/>
        <v>32</v>
      </c>
      <c r="AB53" s="135">
        <f t="shared" si="4"/>
        <v>14</v>
      </c>
      <c r="AC53" s="135">
        <f t="shared" si="4"/>
        <v>36</v>
      </c>
      <c r="AD53" s="135">
        <f t="shared" si="4"/>
        <v>9</v>
      </c>
      <c r="AE53" s="135">
        <f t="shared" si="4"/>
        <v>9</v>
      </c>
      <c r="AF53" s="135">
        <f t="shared" si="4"/>
        <v>2</v>
      </c>
      <c r="AG53" s="116">
        <f t="shared" si="2"/>
        <v>411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7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>
        <v>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>
        <v>1</v>
      </c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2</v>
      </c>
    </row>
    <row r="56" spans="1:33" ht="18.75" x14ac:dyDescent="0.25">
      <c r="A56" s="41" t="s">
        <v>56</v>
      </c>
      <c r="B56" s="7">
        <v>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>
        <v>1</v>
      </c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2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>
        <v>1</v>
      </c>
      <c r="Q57" s="7"/>
      <c r="R57" s="7"/>
      <c r="S57" s="7"/>
      <c r="T57" s="7"/>
      <c r="U57" s="7"/>
      <c r="V57" s="7">
        <v>1</v>
      </c>
      <c r="W57" s="7"/>
      <c r="X57" s="7"/>
      <c r="Y57" s="7"/>
      <c r="Z57" s="7"/>
      <c r="AA57" s="7"/>
      <c r="AB57" s="7"/>
      <c r="AC57" s="7"/>
      <c r="AD57" s="7">
        <v>1</v>
      </c>
      <c r="AE57" s="7"/>
      <c r="AF57" s="8"/>
      <c r="AG57" s="4">
        <f t="shared" si="2"/>
        <v>3</v>
      </c>
    </row>
    <row r="58" spans="1:33" ht="18.75" x14ac:dyDescent="0.25">
      <c r="A58" s="41" t="s">
        <v>39</v>
      </c>
      <c r="B58" s="7">
        <v>1</v>
      </c>
      <c r="C58" s="7"/>
      <c r="D58" s="7"/>
      <c r="E58" s="7"/>
      <c r="F58" s="7"/>
      <c r="G58" s="7"/>
      <c r="H58" s="7">
        <v>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3</v>
      </c>
    </row>
    <row r="59" spans="1:33" ht="18.75" x14ac:dyDescent="0.25">
      <c r="A59" s="41" t="s">
        <v>40</v>
      </c>
      <c r="B59" s="7">
        <v>2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>
        <v>1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3</v>
      </c>
    </row>
    <row r="60" spans="1:33" ht="18.75" x14ac:dyDescent="0.25">
      <c r="A60" s="41" t="s">
        <v>41</v>
      </c>
      <c r="B60" s="7">
        <v>1</v>
      </c>
      <c r="C60" s="7"/>
      <c r="D60" s="7"/>
      <c r="E60" s="7"/>
      <c r="F60" s="7"/>
      <c r="G60" s="7"/>
      <c r="H60" s="7"/>
      <c r="I60" s="7">
        <v>1</v>
      </c>
      <c r="J60" s="7"/>
      <c r="K60" s="7"/>
      <c r="L60" s="7"/>
      <c r="M60" s="7"/>
      <c r="N60" s="7"/>
      <c r="O60" s="7">
        <v>1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>
        <v>1</v>
      </c>
      <c r="AE60" s="7"/>
      <c r="AF60" s="8"/>
      <c r="AG60" s="4">
        <f t="shared" si="2"/>
        <v>4</v>
      </c>
    </row>
    <row r="61" spans="1:33" ht="18.75" x14ac:dyDescent="0.25">
      <c r="A61" s="41" t="s">
        <v>42</v>
      </c>
      <c r="B61" s="7">
        <v>11</v>
      </c>
      <c r="C61" s="7"/>
      <c r="D61" s="7"/>
      <c r="E61" s="7"/>
      <c r="F61" s="7"/>
      <c r="G61" s="7"/>
      <c r="H61" s="7"/>
      <c r="I61" s="7">
        <v>1</v>
      </c>
      <c r="J61" s="7"/>
      <c r="K61" s="7"/>
      <c r="L61" s="7"/>
      <c r="M61" s="7"/>
      <c r="N61" s="7"/>
      <c r="O61" s="7">
        <v>2</v>
      </c>
      <c r="P61" s="7">
        <v>1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>
        <v>1</v>
      </c>
      <c r="AD61" s="7"/>
      <c r="AE61" s="7"/>
      <c r="AF61" s="8"/>
      <c r="AG61" s="4">
        <f t="shared" si="2"/>
        <v>16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>
        <v>2</v>
      </c>
      <c r="AD62" s="7"/>
      <c r="AE62" s="7"/>
      <c r="AF62" s="8"/>
      <c r="AG62" s="4">
        <f t="shared" si="2"/>
        <v>3</v>
      </c>
    </row>
    <row r="63" spans="1:33" ht="18.75" x14ac:dyDescent="0.25">
      <c r="A63" s="41" t="s">
        <v>44</v>
      </c>
      <c r="B63" s="7"/>
      <c r="C63" s="7"/>
      <c r="D63" s="7"/>
      <c r="E63" s="7">
        <v>1</v>
      </c>
      <c r="F63" s="7"/>
      <c r="G63" s="7"/>
      <c r="H63" s="7">
        <v>1</v>
      </c>
      <c r="I63" s="7"/>
      <c r="J63" s="7"/>
      <c r="K63" s="7"/>
      <c r="L63" s="7">
        <v>1</v>
      </c>
      <c r="M63" s="7"/>
      <c r="N63" s="7"/>
      <c r="O63" s="7"/>
      <c r="P63" s="7"/>
      <c r="Q63" s="7"/>
      <c r="R63" s="7"/>
      <c r="S63" s="7"/>
      <c r="T63" s="7"/>
      <c r="U63" s="7"/>
      <c r="V63" s="7">
        <v>1</v>
      </c>
      <c r="W63" s="7"/>
      <c r="X63" s="7"/>
      <c r="Y63" s="7"/>
      <c r="Z63" s="7"/>
      <c r="AA63" s="7"/>
      <c r="AB63" s="7"/>
      <c r="AC63" s="7">
        <v>1</v>
      </c>
      <c r="AD63" s="7"/>
      <c r="AE63" s="7"/>
      <c r="AF63" s="8">
        <v>1</v>
      </c>
      <c r="AG63" s="4">
        <f t="shared" si="2"/>
        <v>6</v>
      </c>
    </row>
    <row r="64" spans="1:33" ht="18.75" x14ac:dyDescent="0.25">
      <c r="A64" s="41" t="s">
        <v>45</v>
      </c>
      <c r="B64" s="7"/>
      <c r="C64" s="7">
        <v>3</v>
      </c>
      <c r="D64" s="7">
        <v>1</v>
      </c>
      <c r="E64" s="7">
        <v>1</v>
      </c>
      <c r="F64" s="7"/>
      <c r="G64" s="7"/>
      <c r="H64" s="7"/>
      <c r="I64" s="7"/>
      <c r="J64" s="7"/>
      <c r="K64" s="7">
        <v>2</v>
      </c>
      <c r="L64" s="7">
        <v>3</v>
      </c>
      <c r="M64" s="7"/>
      <c r="N64" s="7">
        <v>3</v>
      </c>
      <c r="O64" s="7">
        <v>1</v>
      </c>
      <c r="P64" s="7">
        <v>1</v>
      </c>
      <c r="Q64" s="7">
        <v>1</v>
      </c>
      <c r="R64" s="7">
        <v>1</v>
      </c>
      <c r="S64" s="7">
        <v>3</v>
      </c>
      <c r="T64" s="7"/>
      <c r="U64" s="7">
        <v>1</v>
      </c>
      <c r="V64" s="7"/>
      <c r="W64" s="7"/>
      <c r="X64" s="7"/>
      <c r="Y64" s="7"/>
      <c r="Z64" s="7"/>
      <c r="AA64" s="7"/>
      <c r="AB64" s="7">
        <v>1</v>
      </c>
      <c r="AC64" s="7"/>
      <c r="AD64" s="7">
        <v>1</v>
      </c>
      <c r="AE64" s="7">
        <v>2</v>
      </c>
      <c r="AF64" s="8"/>
      <c r="AG64" s="4">
        <f t="shared" si="2"/>
        <v>25</v>
      </c>
    </row>
    <row r="65" spans="1:33" ht="18.75" x14ac:dyDescent="0.25">
      <c r="A65" s="41" t="s">
        <v>46</v>
      </c>
      <c r="B65" s="7"/>
      <c r="C65" s="7">
        <v>1</v>
      </c>
      <c r="D65" s="7">
        <v>1</v>
      </c>
      <c r="E65" s="7">
        <v>3</v>
      </c>
      <c r="F65" s="7">
        <v>2</v>
      </c>
      <c r="G65" s="7">
        <v>4</v>
      </c>
      <c r="H65" s="7"/>
      <c r="I65" s="7"/>
      <c r="J65" s="7">
        <v>2</v>
      </c>
      <c r="K65" s="7"/>
      <c r="L65" s="7">
        <v>2</v>
      </c>
      <c r="M65" s="7">
        <v>4</v>
      </c>
      <c r="N65" s="7">
        <v>2</v>
      </c>
      <c r="O65" s="7"/>
      <c r="P65" s="7"/>
      <c r="Q65" s="7">
        <v>2</v>
      </c>
      <c r="R65" s="7">
        <v>1</v>
      </c>
      <c r="S65" s="7">
        <v>1</v>
      </c>
      <c r="T65" s="7">
        <v>4</v>
      </c>
      <c r="U65" s="7">
        <v>5</v>
      </c>
      <c r="V65" s="7"/>
      <c r="W65" s="7"/>
      <c r="X65" s="7">
        <v>2</v>
      </c>
      <c r="Y65" s="7"/>
      <c r="Z65" s="7"/>
      <c r="AA65" s="7">
        <v>3</v>
      </c>
      <c r="AB65" s="7">
        <v>1</v>
      </c>
      <c r="AC65" s="7"/>
      <c r="AD65" s="7"/>
      <c r="AE65" s="7">
        <v>5</v>
      </c>
      <c r="AF65" s="8"/>
      <c r="AG65" s="4">
        <f t="shared" si="2"/>
        <v>45</v>
      </c>
    </row>
    <row r="66" spans="1:33" ht="18.75" x14ac:dyDescent="0.25">
      <c r="A66" s="41" t="s">
        <v>47</v>
      </c>
      <c r="B66" s="7"/>
      <c r="C66" s="7">
        <v>3</v>
      </c>
      <c r="D66" s="7">
        <v>9</v>
      </c>
      <c r="E66" s="7">
        <v>1</v>
      </c>
      <c r="F66" s="7">
        <v>2</v>
      </c>
      <c r="G66" s="7"/>
      <c r="H66" s="7">
        <v>1</v>
      </c>
      <c r="I66" s="7">
        <v>1</v>
      </c>
      <c r="J66" s="7">
        <v>9</v>
      </c>
      <c r="K66" s="7">
        <v>6</v>
      </c>
      <c r="L66" s="7">
        <v>1</v>
      </c>
      <c r="M66" s="7">
        <v>1</v>
      </c>
      <c r="N66" s="7"/>
      <c r="O66" s="7"/>
      <c r="P66" s="7">
        <v>1</v>
      </c>
      <c r="Q66" s="7">
        <v>4</v>
      </c>
      <c r="R66" s="7">
        <v>1</v>
      </c>
      <c r="S66" s="7">
        <v>3</v>
      </c>
      <c r="T66" s="7">
        <v>1</v>
      </c>
      <c r="U66" s="7">
        <v>2</v>
      </c>
      <c r="V66" s="7"/>
      <c r="W66" s="7"/>
      <c r="X66" s="7"/>
      <c r="Y66" s="7"/>
      <c r="Z66" s="7"/>
      <c r="AA66" s="7">
        <v>9</v>
      </c>
      <c r="AB66" s="7">
        <v>3</v>
      </c>
      <c r="AC66" s="7">
        <v>2</v>
      </c>
      <c r="AD66" s="7">
        <v>3</v>
      </c>
      <c r="AE66" s="7"/>
      <c r="AF66" s="8"/>
      <c r="AG66" s="4">
        <f t="shared" si="2"/>
        <v>63</v>
      </c>
    </row>
    <row r="67" spans="1:33" ht="18.75" x14ac:dyDescent="0.25">
      <c r="A67" s="41" t="s">
        <v>48</v>
      </c>
      <c r="B67" s="7"/>
      <c r="C67" s="7">
        <v>2</v>
      </c>
      <c r="D67" s="7">
        <v>1</v>
      </c>
      <c r="E67" s="7">
        <v>1</v>
      </c>
      <c r="F67" s="7">
        <v>7</v>
      </c>
      <c r="G67" s="7"/>
      <c r="H67" s="7"/>
      <c r="I67" s="7"/>
      <c r="J67" s="7">
        <v>8</v>
      </c>
      <c r="K67" s="7">
        <v>1</v>
      </c>
      <c r="L67" s="7">
        <v>1</v>
      </c>
      <c r="M67" s="7"/>
      <c r="N67" s="7"/>
      <c r="O67" s="7"/>
      <c r="P67" s="7"/>
      <c r="Q67" s="7">
        <v>7</v>
      </c>
      <c r="R67" s="7">
        <v>2</v>
      </c>
      <c r="S67" s="7">
        <v>1</v>
      </c>
      <c r="T67" s="7">
        <v>1</v>
      </c>
      <c r="U67" s="7"/>
      <c r="V67" s="7"/>
      <c r="W67" s="7"/>
      <c r="X67" s="7"/>
      <c r="Y67" s="7"/>
      <c r="Z67" s="7"/>
      <c r="AA67" s="7">
        <v>14</v>
      </c>
      <c r="AB67" s="7">
        <v>2</v>
      </c>
      <c r="AC67" s="7">
        <v>3</v>
      </c>
      <c r="AD67" s="7"/>
      <c r="AE67" s="7"/>
      <c r="AF67" s="8"/>
      <c r="AG67" s="4">
        <f t="shared" si="2"/>
        <v>51</v>
      </c>
    </row>
    <row r="68" spans="1:33" ht="18.75" x14ac:dyDescent="0.25">
      <c r="A68" s="41" t="s">
        <v>49</v>
      </c>
      <c r="B68" s="7"/>
      <c r="C68" s="7">
        <v>1</v>
      </c>
      <c r="D68" s="7">
        <v>2</v>
      </c>
      <c r="E68" s="7"/>
      <c r="F68" s="7">
        <v>2</v>
      </c>
      <c r="G68" s="7">
        <v>4</v>
      </c>
      <c r="H68" s="7">
        <v>1</v>
      </c>
      <c r="I68" s="7">
        <v>1</v>
      </c>
      <c r="J68" s="7">
        <v>4</v>
      </c>
      <c r="K68" s="7">
        <v>7</v>
      </c>
      <c r="L68" s="7"/>
      <c r="M68" s="7"/>
      <c r="N68" s="7"/>
      <c r="O68" s="7">
        <v>1</v>
      </c>
      <c r="P68" s="7"/>
      <c r="Q68" s="7"/>
      <c r="R68" s="7">
        <v>2</v>
      </c>
      <c r="S68" s="7">
        <v>4</v>
      </c>
      <c r="T68" s="7"/>
      <c r="U68" s="7"/>
      <c r="V68" s="7">
        <v>2</v>
      </c>
      <c r="W68" s="7"/>
      <c r="X68" s="7"/>
      <c r="Y68" s="7"/>
      <c r="Z68" s="7"/>
      <c r="AA68" s="7"/>
      <c r="AB68" s="7">
        <v>3</v>
      </c>
      <c r="AC68" s="7">
        <v>2</v>
      </c>
      <c r="AD68" s="7"/>
      <c r="AE68" s="7"/>
      <c r="AF68" s="8"/>
      <c r="AG68" s="4">
        <f t="shared" si="2"/>
        <v>36</v>
      </c>
    </row>
    <row r="69" spans="1:33" ht="18.75" x14ac:dyDescent="0.25">
      <c r="A69" s="41" t="s">
        <v>50</v>
      </c>
      <c r="B69" s="7">
        <v>1</v>
      </c>
      <c r="C69" s="7">
        <v>1</v>
      </c>
      <c r="D69" s="7"/>
      <c r="E69" s="7"/>
      <c r="F69" s="7"/>
      <c r="G69" s="7">
        <v>2</v>
      </c>
      <c r="H69" s="7"/>
      <c r="I69" s="7">
        <v>1</v>
      </c>
      <c r="J69" s="7">
        <v>1</v>
      </c>
      <c r="K69" s="7">
        <v>2</v>
      </c>
      <c r="L69" s="7"/>
      <c r="M69" s="7"/>
      <c r="N69" s="7"/>
      <c r="O69" s="7">
        <v>1</v>
      </c>
      <c r="P69" s="7">
        <v>2</v>
      </c>
      <c r="Q69" s="7">
        <v>1</v>
      </c>
      <c r="R69" s="7"/>
      <c r="S69" s="7"/>
      <c r="T69" s="7"/>
      <c r="U69" s="7"/>
      <c r="V69" s="7">
        <v>1</v>
      </c>
      <c r="W69" s="7"/>
      <c r="X69" s="7">
        <v>1</v>
      </c>
      <c r="Y69" s="7"/>
      <c r="Z69" s="7">
        <v>2</v>
      </c>
      <c r="AA69" s="7">
        <v>4</v>
      </c>
      <c r="AB69" s="7"/>
      <c r="AC69" s="7"/>
      <c r="AD69" s="7">
        <v>2</v>
      </c>
      <c r="AE69" s="7"/>
      <c r="AF69" s="8"/>
      <c r="AG69" s="4">
        <f t="shared" si="2"/>
        <v>22</v>
      </c>
    </row>
    <row r="70" spans="1:33" ht="18.75" x14ac:dyDescent="0.25">
      <c r="A70" s="41" t="s">
        <v>33</v>
      </c>
      <c r="B70" s="114"/>
      <c r="C70" s="114">
        <v>1</v>
      </c>
      <c r="D70" s="7">
        <v>2</v>
      </c>
      <c r="E70" s="114">
        <v>2</v>
      </c>
      <c r="F70" s="114"/>
      <c r="G70" s="7">
        <v>3</v>
      </c>
      <c r="H70" s="114"/>
      <c r="I70" s="7"/>
      <c r="J70" s="114">
        <v>3</v>
      </c>
      <c r="K70" s="114">
        <v>2</v>
      </c>
      <c r="L70" s="114"/>
      <c r="M70" s="114"/>
      <c r="N70" s="114"/>
      <c r="O70" s="114">
        <v>1</v>
      </c>
      <c r="P70" s="114"/>
      <c r="Q70" s="114"/>
      <c r="R70" s="114">
        <v>1</v>
      </c>
      <c r="S70" s="114">
        <v>2</v>
      </c>
      <c r="T70" s="114"/>
      <c r="U70" s="114"/>
      <c r="V70" s="7">
        <v>2</v>
      </c>
      <c r="W70" s="114"/>
      <c r="X70" s="114"/>
      <c r="Y70" s="114"/>
      <c r="Z70" s="114"/>
      <c r="AA70" s="114"/>
      <c r="AB70" s="114">
        <v>2</v>
      </c>
      <c r="AC70" s="114">
        <v>3</v>
      </c>
      <c r="AD70" s="114"/>
      <c r="AE70" s="114"/>
      <c r="AF70" s="115">
        <v>1</v>
      </c>
      <c r="AG70" s="4">
        <f t="shared" si="2"/>
        <v>25</v>
      </c>
    </row>
    <row r="71" spans="1:33" ht="18.75" x14ac:dyDescent="0.25">
      <c r="A71" s="41" t="s">
        <v>34</v>
      </c>
      <c r="B71" s="114">
        <v>1</v>
      </c>
      <c r="C71" s="114">
        <v>1</v>
      </c>
      <c r="D71" s="7">
        <v>1</v>
      </c>
      <c r="E71" s="114">
        <v>1</v>
      </c>
      <c r="F71" s="114"/>
      <c r="G71" s="7">
        <v>3</v>
      </c>
      <c r="H71" s="114">
        <v>1</v>
      </c>
      <c r="I71" s="7"/>
      <c r="J71" s="114"/>
      <c r="K71" s="114">
        <v>3</v>
      </c>
      <c r="L71" s="114"/>
      <c r="M71" s="114"/>
      <c r="N71" s="114"/>
      <c r="O71" s="114"/>
      <c r="P71" s="114">
        <v>1</v>
      </c>
      <c r="Q71" s="114"/>
      <c r="R71" s="114"/>
      <c r="S71" s="114">
        <v>5</v>
      </c>
      <c r="T71" s="114"/>
      <c r="U71" s="114">
        <v>2</v>
      </c>
      <c r="V71" s="7"/>
      <c r="W71" s="114"/>
      <c r="X71" s="114"/>
      <c r="Y71" s="114"/>
      <c r="Z71" s="114"/>
      <c r="AA71" s="114">
        <v>1</v>
      </c>
      <c r="AB71" s="114">
        <v>1</v>
      </c>
      <c r="AC71" s="114"/>
      <c r="AD71" s="114"/>
      <c r="AE71" s="114">
        <v>1</v>
      </c>
      <c r="AF71" s="115"/>
      <c r="AG71" s="4">
        <f t="shared" si="2"/>
        <v>22</v>
      </c>
    </row>
    <row r="72" spans="1:33" ht="18.75" x14ac:dyDescent="0.25">
      <c r="A72" s="41" t="s">
        <v>35</v>
      </c>
      <c r="B72" s="114"/>
      <c r="C72" s="114">
        <v>1</v>
      </c>
      <c r="D72" s="7"/>
      <c r="E72" s="114"/>
      <c r="F72" s="114">
        <v>1</v>
      </c>
      <c r="G72" s="7">
        <v>3</v>
      </c>
      <c r="H72" s="114"/>
      <c r="I72" s="7"/>
      <c r="J72" s="114">
        <v>5</v>
      </c>
      <c r="K72" s="114"/>
      <c r="L72" s="114"/>
      <c r="M72" s="114"/>
      <c r="N72" s="114"/>
      <c r="O72" s="114"/>
      <c r="P72" s="114">
        <v>1</v>
      </c>
      <c r="Q72" s="114">
        <v>4</v>
      </c>
      <c r="R72" s="114"/>
      <c r="S72" s="114"/>
      <c r="T72" s="114"/>
      <c r="U72" s="114">
        <v>10</v>
      </c>
      <c r="V72" s="7"/>
      <c r="W72" s="114"/>
      <c r="X72" s="114"/>
      <c r="Y72" s="114"/>
      <c r="Z72" s="114"/>
      <c r="AA72" s="114">
        <v>1</v>
      </c>
      <c r="AB72" s="114">
        <v>1</v>
      </c>
      <c r="AC72" s="114">
        <v>6</v>
      </c>
      <c r="AD72" s="114">
        <v>1</v>
      </c>
      <c r="AE72" s="114"/>
      <c r="AF72" s="115"/>
      <c r="AG72" s="4">
        <f t="shared" si="2"/>
        <v>34</v>
      </c>
    </row>
    <row r="73" spans="1:33" ht="18.75" x14ac:dyDescent="0.25">
      <c r="A73" s="41" t="s">
        <v>36</v>
      </c>
      <c r="B73" s="114"/>
      <c r="C73" s="114">
        <v>1</v>
      </c>
      <c r="D73" s="7">
        <v>9</v>
      </c>
      <c r="E73" s="114"/>
      <c r="F73" s="114"/>
      <c r="G73" s="7">
        <v>4</v>
      </c>
      <c r="H73" s="114"/>
      <c r="I73" s="7"/>
      <c r="J73" s="114">
        <v>4</v>
      </c>
      <c r="K73" s="114"/>
      <c r="L73" s="114"/>
      <c r="M73" s="114"/>
      <c r="N73" s="114"/>
      <c r="O73" s="114"/>
      <c r="P73" s="114"/>
      <c r="Q73" s="114">
        <v>1</v>
      </c>
      <c r="R73" s="114"/>
      <c r="S73" s="114"/>
      <c r="T73" s="114"/>
      <c r="U73" s="114">
        <v>1</v>
      </c>
      <c r="V73" s="7"/>
      <c r="W73" s="114"/>
      <c r="X73" s="114"/>
      <c r="Y73" s="114"/>
      <c r="Z73" s="114"/>
      <c r="AA73" s="114"/>
      <c r="AB73" s="114"/>
      <c r="AC73" s="114">
        <v>12</v>
      </c>
      <c r="AD73" s="114"/>
      <c r="AE73" s="114"/>
      <c r="AF73" s="115"/>
      <c r="AG73" s="4">
        <f t="shared" si="2"/>
        <v>32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>
        <v>2</v>
      </c>
      <c r="H74" s="114"/>
      <c r="I74" s="7"/>
      <c r="J74" s="114"/>
      <c r="K74" s="114"/>
      <c r="L74" s="114"/>
      <c r="M74" s="114"/>
      <c r="N74" s="114"/>
      <c r="O74" s="114"/>
      <c r="P74" s="114"/>
      <c r="Q74" s="114">
        <v>1</v>
      </c>
      <c r="R74" s="114"/>
      <c r="S74" s="114"/>
      <c r="T74" s="114"/>
      <c r="U74" s="114"/>
      <c r="V74" s="7">
        <v>5</v>
      </c>
      <c r="W74" s="114"/>
      <c r="X74" s="114"/>
      <c r="Y74" s="114"/>
      <c r="Z74" s="114"/>
      <c r="AA74" s="114"/>
      <c r="AB74" s="114"/>
      <c r="AC74" s="114"/>
      <c r="AD74" s="114"/>
      <c r="AE74" s="114">
        <v>1</v>
      </c>
      <c r="AF74" s="115"/>
      <c r="AG74" s="4">
        <f t="shared" si="2"/>
        <v>9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7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>
        <v>1</v>
      </c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7"/>
      <c r="W76" s="114"/>
      <c r="X76" s="114"/>
      <c r="Y76" s="114"/>
      <c r="Z76" s="114"/>
      <c r="AA76" s="114"/>
      <c r="AB76" s="114"/>
      <c r="AC76" s="114">
        <v>4</v>
      </c>
      <c r="AD76" s="114"/>
      <c r="AE76" s="114"/>
      <c r="AF76" s="115"/>
      <c r="AG76" s="4">
        <f t="shared" si="2"/>
        <v>5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9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200</v>
      </c>
      <c r="C78" s="185">
        <f t="shared" si="5"/>
        <v>191</v>
      </c>
      <c r="D78" s="185">
        <f t="shared" si="5"/>
        <v>160</v>
      </c>
      <c r="E78" s="184">
        <f t="shared" si="5"/>
        <v>156</v>
      </c>
      <c r="F78" s="184">
        <f t="shared" si="5"/>
        <v>156</v>
      </c>
      <c r="G78" s="184">
        <f t="shared" si="5"/>
        <v>165</v>
      </c>
      <c r="H78" s="184">
        <f t="shared" si="5"/>
        <v>210</v>
      </c>
      <c r="I78" s="184">
        <f t="shared" si="5"/>
        <v>206</v>
      </c>
      <c r="J78" s="184">
        <f t="shared" si="5"/>
        <v>177</v>
      </c>
      <c r="K78" s="184">
        <f t="shared" si="5"/>
        <v>163</v>
      </c>
      <c r="L78" s="184">
        <f t="shared" si="5"/>
        <v>114</v>
      </c>
      <c r="M78" s="184">
        <f t="shared" si="5"/>
        <v>143</v>
      </c>
      <c r="N78" s="184">
        <f t="shared" si="5"/>
        <v>139</v>
      </c>
      <c r="O78" s="184">
        <f>SUM(O79:O80)</f>
        <v>192</v>
      </c>
      <c r="P78" s="184">
        <f t="shared" si="5"/>
        <v>181</v>
      </c>
      <c r="Q78" s="184">
        <f t="shared" si="5"/>
        <v>188</v>
      </c>
      <c r="R78" s="184">
        <f t="shared" si="5"/>
        <v>139</v>
      </c>
      <c r="S78" s="184">
        <f t="shared" si="5"/>
        <v>162</v>
      </c>
      <c r="T78" s="184">
        <f t="shared" si="5"/>
        <v>142</v>
      </c>
      <c r="U78" s="184">
        <f t="shared" si="5"/>
        <v>131</v>
      </c>
      <c r="V78" s="184">
        <f t="shared" si="5"/>
        <v>207</v>
      </c>
      <c r="W78" s="184">
        <f t="shared" si="5"/>
        <v>173</v>
      </c>
      <c r="X78" s="184">
        <f t="shared" si="5"/>
        <v>134</v>
      </c>
      <c r="Y78" s="184">
        <f t="shared" si="5"/>
        <v>96</v>
      </c>
      <c r="Z78" s="184">
        <f t="shared" si="5"/>
        <v>173</v>
      </c>
      <c r="AA78" s="184">
        <f t="shared" si="5"/>
        <v>176</v>
      </c>
      <c r="AB78" s="184">
        <f t="shared" si="5"/>
        <v>166</v>
      </c>
      <c r="AC78" s="184">
        <f t="shared" si="5"/>
        <v>244</v>
      </c>
      <c r="AD78" s="184">
        <f t="shared" si="5"/>
        <v>219</v>
      </c>
      <c r="AE78" s="184">
        <f t="shared" si="5"/>
        <v>180</v>
      </c>
      <c r="AF78" s="186">
        <f t="shared" si="5"/>
        <v>96</v>
      </c>
      <c r="AG78" s="116">
        <f t="shared" si="2"/>
        <v>5179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200</v>
      </c>
      <c r="C79" s="114">
        <f t="shared" si="6"/>
        <v>191</v>
      </c>
      <c r="D79" s="114">
        <f t="shared" si="6"/>
        <v>160</v>
      </c>
      <c r="E79" s="114">
        <f t="shared" si="6"/>
        <v>156</v>
      </c>
      <c r="F79" s="114">
        <f t="shared" si="6"/>
        <v>155</v>
      </c>
      <c r="G79" s="114">
        <f t="shared" si="6"/>
        <v>164</v>
      </c>
      <c r="H79" s="114">
        <f t="shared" si="6"/>
        <v>109</v>
      </c>
      <c r="I79" s="114">
        <f t="shared" si="6"/>
        <v>206</v>
      </c>
      <c r="J79" s="114">
        <f t="shared" si="6"/>
        <v>177</v>
      </c>
      <c r="K79" s="114">
        <f t="shared" si="6"/>
        <v>163</v>
      </c>
      <c r="L79" s="114">
        <f t="shared" si="6"/>
        <v>114</v>
      </c>
      <c r="M79" s="114">
        <f t="shared" si="6"/>
        <v>143</v>
      </c>
      <c r="N79" s="114">
        <f t="shared" si="6"/>
        <v>139</v>
      </c>
      <c r="O79" s="114">
        <f t="shared" si="6"/>
        <v>94</v>
      </c>
      <c r="P79" s="114">
        <f t="shared" si="6"/>
        <v>181</v>
      </c>
      <c r="Q79" s="114">
        <f t="shared" si="6"/>
        <v>188</v>
      </c>
      <c r="R79" s="114">
        <f t="shared" si="6"/>
        <v>139</v>
      </c>
      <c r="S79" s="114">
        <f t="shared" si="6"/>
        <v>162</v>
      </c>
      <c r="T79" s="114">
        <f t="shared" si="6"/>
        <v>141</v>
      </c>
      <c r="U79" s="114">
        <f t="shared" si="6"/>
        <v>131</v>
      </c>
      <c r="V79" s="114">
        <f t="shared" si="6"/>
        <v>113</v>
      </c>
      <c r="W79" s="114">
        <f t="shared" si="6"/>
        <v>173</v>
      </c>
      <c r="X79" s="114">
        <f t="shared" si="6"/>
        <v>134</v>
      </c>
      <c r="Y79" s="114">
        <f t="shared" si="6"/>
        <v>63</v>
      </c>
      <c r="Z79" s="114">
        <f t="shared" si="6"/>
        <v>173</v>
      </c>
      <c r="AA79" s="114">
        <f t="shared" si="6"/>
        <v>176</v>
      </c>
      <c r="AB79" s="114">
        <f t="shared" si="6"/>
        <v>166</v>
      </c>
      <c r="AC79" s="114">
        <f t="shared" si="6"/>
        <v>116</v>
      </c>
      <c r="AD79" s="114">
        <f t="shared" si="6"/>
        <v>219</v>
      </c>
      <c r="AE79" s="114">
        <f t="shared" si="6"/>
        <v>180</v>
      </c>
      <c r="AF79" s="114">
        <f t="shared" si="6"/>
        <v>69</v>
      </c>
      <c r="AG79" s="132">
        <f t="shared" si="2"/>
        <v>4695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1</v>
      </c>
      <c r="G80" s="9">
        <f>SUM(G4:G12)</f>
        <v>1</v>
      </c>
      <c r="H80" s="9">
        <f>SUM(H4:H12)</f>
        <v>101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0</v>
      </c>
      <c r="O80" s="9">
        <f>SUM(O4:O12)</f>
        <v>98</v>
      </c>
      <c r="P80" s="11"/>
      <c r="Q80" s="11"/>
      <c r="R80" s="9">
        <f>SUM(R4:R12)</f>
        <v>0</v>
      </c>
      <c r="S80" s="9">
        <f>SUM(S4:S12)</f>
        <v>0</v>
      </c>
      <c r="T80" s="9">
        <f>SUM(T4:T12)</f>
        <v>1</v>
      </c>
      <c r="U80" s="9">
        <f>SUM(U4:U12)</f>
        <v>0</v>
      </c>
      <c r="V80" s="9">
        <f>SUM(V4:V12)</f>
        <v>94</v>
      </c>
      <c r="W80" s="11"/>
      <c r="X80" s="11"/>
      <c r="Y80" s="9">
        <f>SUM(Y4:Y12)</f>
        <v>33</v>
      </c>
      <c r="Z80" s="11"/>
      <c r="AA80" s="9">
        <f>SUM(AA4:AA12)</f>
        <v>0</v>
      </c>
      <c r="AB80" s="9">
        <f>SUM(AB4:AB12)</f>
        <v>0</v>
      </c>
      <c r="AC80" s="9">
        <f>SUM(AC4:AC12)</f>
        <v>128</v>
      </c>
      <c r="AD80" s="11"/>
      <c r="AE80" s="11"/>
      <c r="AF80" s="9">
        <f>SUM(AF4:AF12)</f>
        <v>27</v>
      </c>
      <c r="AG80" s="108">
        <f t="shared" si="2"/>
        <v>484</v>
      </c>
    </row>
    <row r="81" spans="1:35" ht="19.5" thickBot="1" x14ac:dyDescent="0.3">
      <c r="A81" s="183" t="s">
        <v>98</v>
      </c>
      <c r="B81" s="184">
        <f t="shared" ref="B81:AF81" si="7">SUM(B82:B83)</f>
        <v>18</v>
      </c>
      <c r="C81" s="184">
        <f t="shared" si="7"/>
        <v>15</v>
      </c>
      <c r="D81" s="184">
        <f t="shared" si="7"/>
        <v>26</v>
      </c>
      <c r="E81" s="184">
        <f t="shared" si="7"/>
        <v>10</v>
      </c>
      <c r="F81" s="184">
        <f t="shared" si="7"/>
        <v>14</v>
      </c>
      <c r="G81" s="184">
        <f t="shared" si="7"/>
        <v>25</v>
      </c>
      <c r="H81" s="184">
        <f t="shared" si="7"/>
        <v>7</v>
      </c>
      <c r="I81" s="184">
        <f t="shared" si="7"/>
        <v>7</v>
      </c>
      <c r="J81" s="184">
        <f t="shared" si="7"/>
        <v>36</v>
      </c>
      <c r="K81" s="184">
        <f t="shared" si="7"/>
        <v>23</v>
      </c>
      <c r="L81" s="184">
        <f t="shared" si="7"/>
        <v>8</v>
      </c>
      <c r="M81" s="184">
        <f t="shared" si="7"/>
        <v>5</v>
      </c>
      <c r="N81" s="184">
        <f t="shared" si="7"/>
        <v>5</v>
      </c>
      <c r="O81" s="184">
        <f t="shared" si="7"/>
        <v>8</v>
      </c>
      <c r="P81" s="184">
        <f t="shared" si="7"/>
        <v>8</v>
      </c>
      <c r="Q81" s="184">
        <f t="shared" si="7"/>
        <v>21</v>
      </c>
      <c r="R81" s="184">
        <f t="shared" si="7"/>
        <v>8</v>
      </c>
      <c r="S81" s="184">
        <f t="shared" si="7"/>
        <v>19</v>
      </c>
      <c r="T81" s="184">
        <f t="shared" si="7"/>
        <v>6</v>
      </c>
      <c r="U81" s="184">
        <f t="shared" si="7"/>
        <v>21</v>
      </c>
      <c r="V81" s="184">
        <f t="shared" si="7"/>
        <v>12</v>
      </c>
      <c r="W81" s="184">
        <f t="shared" si="7"/>
        <v>2</v>
      </c>
      <c r="X81" s="184">
        <f t="shared" si="7"/>
        <v>3</v>
      </c>
      <c r="Y81" s="184">
        <f t="shared" si="7"/>
        <v>0</v>
      </c>
      <c r="Z81" s="184">
        <f>SUM(Z82:Z83)</f>
        <v>2</v>
      </c>
      <c r="AA81" s="184">
        <f t="shared" si="7"/>
        <v>32</v>
      </c>
      <c r="AB81" s="184">
        <f t="shared" si="7"/>
        <v>14</v>
      </c>
      <c r="AC81" s="184">
        <f t="shared" si="7"/>
        <v>36</v>
      </c>
      <c r="AD81" s="184">
        <f t="shared" si="7"/>
        <v>9</v>
      </c>
      <c r="AE81" s="184">
        <f t="shared" si="7"/>
        <v>9</v>
      </c>
      <c r="AF81" s="184">
        <f t="shared" si="7"/>
        <v>2</v>
      </c>
      <c r="AG81" s="116">
        <f t="shared" si="2"/>
        <v>411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14">
        <f t="shared" ref="C82:AF82" si="8">SUM(C54:C62)</f>
        <v>0</v>
      </c>
      <c r="D82" s="114">
        <f t="shared" si="8"/>
        <v>0</v>
      </c>
      <c r="E82" s="114">
        <f t="shared" si="8"/>
        <v>0</v>
      </c>
      <c r="F82" s="114">
        <f t="shared" si="8"/>
        <v>0</v>
      </c>
      <c r="G82" s="114">
        <f t="shared" si="8"/>
        <v>0</v>
      </c>
      <c r="H82" s="182"/>
      <c r="I82" s="182"/>
      <c r="J82" s="114">
        <f t="shared" si="8"/>
        <v>0</v>
      </c>
      <c r="K82" s="114">
        <f t="shared" si="8"/>
        <v>0</v>
      </c>
      <c r="L82" s="114">
        <f t="shared" si="8"/>
        <v>0</v>
      </c>
      <c r="M82" s="114">
        <f t="shared" si="8"/>
        <v>0</v>
      </c>
      <c r="N82" s="114">
        <f t="shared" si="8"/>
        <v>0</v>
      </c>
      <c r="O82" s="182"/>
      <c r="P82" s="182"/>
      <c r="Q82" s="114">
        <f t="shared" si="8"/>
        <v>0</v>
      </c>
      <c r="R82" s="114">
        <f t="shared" si="8"/>
        <v>0</v>
      </c>
      <c r="S82" s="114">
        <f t="shared" si="8"/>
        <v>0</v>
      </c>
      <c r="T82" s="114">
        <f t="shared" si="8"/>
        <v>0</v>
      </c>
      <c r="U82" s="114">
        <f t="shared" si="8"/>
        <v>0</v>
      </c>
      <c r="V82" s="182"/>
      <c r="W82" s="182"/>
      <c r="X82" s="114">
        <f t="shared" si="8"/>
        <v>0</v>
      </c>
      <c r="Y82" s="114">
        <f t="shared" si="8"/>
        <v>0</v>
      </c>
      <c r="Z82" s="182"/>
      <c r="AA82" s="114">
        <f t="shared" si="8"/>
        <v>0</v>
      </c>
      <c r="AB82" s="114">
        <f t="shared" si="8"/>
        <v>0</v>
      </c>
      <c r="AC82" s="182"/>
      <c r="AD82" s="182"/>
      <c r="AE82" s="114">
        <f t="shared" si="8"/>
        <v>0</v>
      </c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18</v>
      </c>
      <c r="C83" s="9">
        <f t="shared" ref="C83" si="10">SUM(C54:C77)-C82</f>
        <v>15</v>
      </c>
      <c r="D83" s="9">
        <f t="shared" ref="D83:AF83" si="11">SUM(D54:D77)-D82</f>
        <v>26</v>
      </c>
      <c r="E83" s="9">
        <f t="shared" si="11"/>
        <v>10</v>
      </c>
      <c r="F83" s="9">
        <f t="shared" si="11"/>
        <v>14</v>
      </c>
      <c r="G83" s="9">
        <f t="shared" si="11"/>
        <v>25</v>
      </c>
      <c r="H83" s="9">
        <f t="shared" si="11"/>
        <v>7</v>
      </c>
      <c r="I83" s="9">
        <f t="shared" si="11"/>
        <v>7</v>
      </c>
      <c r="J83" s="9">
        <f t="shared" si="11"/>
        <v>36</v>
      </c>
      <c r="K83" s="9">
        <f t="shared" si="11"/>
        <v>23</v>
      </c>
      <c r="L83" s="9">
        <f t="shared" si="11"/>
        <v>8</v>
      </c>
      <c r="M83" s="9">
        <f t="shared" si="11"/>
        <v>5</v>
      </c>
      <c r="N83" s="9">
        <f t="shared" si="11"/>
        <v>5</v>
      </c>
      <c r="O83" s="9">
        <f t="shared" si="11"/>
        <v>8</v>
      </c>
      <c r="P83" s="9">
        <f t="shared" si="11"/>
        <v>8</v>
      </c>
      <c r="Q83" s="9">
        <f t="shared" si="11"/>
        <v>21</v>
      </c>
      <c r="R83" s="9">
        <f t="shared" si="11"/>
        <v>8</v>
      </c>
      <c r="S83" s="9">
        <f t="shared" si="11"/>
        <v>19</v>
      </c>
      <c r="T83" s="9">
        <f t="shared" si="11"/>
        <v>6</v>
      </c>
      <c r="U83" s="9">
        <f t="shared" si="11"/>
        <v>21</v>
      </c>
      <c r="V83" s="9">
        <f t="shared" si="11"/>
        <v>12</v>
      </c>
      <c r="W83" s="9">
        <f t="shared" si="11"/>
        <v>2</v>
      </c>
      <c r="X83" s="9">
        <f t="shared" si="11"/>
        <v>3</v>
      </c>
      <c r="Y83" s="9">
        <f t="shared" si="11"/>
        <v>0</v>
      </c>
      <c r="Z83" s="9">
        <f t="shared" si="11"/>
        <v>2</v>
      </c>
      <c r="AA83" s="9">
        <f t="shared" si="11"/>
        <v>32</v>
      </c>
      <c r="AB83" s="9">
        <f t="shared" si="11"/>
        <v>14</v>
      </c>
      <c r="AC83" s="9">
        <f t="shared" si="11"/>
        <v>36</v>
      </c>
      <c r="AD83" s="9">
        <f t="shared" si="11"/>
        <v>9</v>
      </c>
      <c r="AE83" s="9">
        <f t="shared" si="11"/>
        <v>9</v>
      </c>
      <c r="AF83" s="9">
        <f t="shared" si="11"/>
        <v>2</v>
      </c>
      <c r="AG83" s="4">
        <f t="shared" si="2"/>
        <v>411</v>
      </c>
    </row>
    <row r="84" spans="1:35" ht="19.5" thickBot="1" x14ac:dyDescent="0.3">
      <c r="A84" s="164" t="s">
        <v>146</v>
      </c>
      <c r="B84" s="165">
        <f>SUM(B85:B86)</f>
        <v>18</v>
      </c>
      <c r="C84" s="165">
        <f t="shared" ref="C84:AF84" si="12">SUM(C85:C86)</f>
        <v>15</v>
      </c>
      <c r="D84" s="165">
        <f t="shared" si="12"/>
        <v>26</v>
      </c>
      <c r="E84" s="165">
        <f t="shared" si="12"/>
        <v>10</v>
      </c>
      <c r="F84" s="165">
        <f t="shared" si="12"/>
        <v>14</v>
      </c>
      <c r="G84" s="165">
        <f t="shared" si="12"/>
        <v>25</v>
      </c>
      <c r="H84" s="165">
        <f t="shared" si="12"/>
        <v>7</v>
      </c>
      <c r="I84" s="165">
        <f t="shared" si="12"/>
        <v>7</v>
      </c>
      <c r="J84" s="165">
        <f t="shared" si="12"/>
        <v>36</v>
      </c>
      <c r="K84" s="165">
        <f t="shared" si="12"/>
        <v>23</v>
      </c>
      <c r="L84" s="165">
        <f t="shared" si="12"/>
        <v>8</v>
      </c>
      <c r="M84" s="165">
        <f t="shared" si="12"/>
        <v>5</v>
      </c>
      <c r="N84" s="165">
        <f t="shared" si="12"/>
        <v>5</v>
      </c>
      <c r="O84" s="165">
        <f t="shared" si="12"/>
        <v>8</v>
      </c>
      <c r="P84" s="165">
        <f t="shared" si="12"/>
        <v>8</v>
      </c>
      <c r="Q84" s="165">
        <f t="shared" si="12"/>
        <v>21</v>
      </c>
      <c r="R84" s="165">
        <f t="shared" si="12"/>
        <v>8</v>
      </c>
      <c r="S84" s="165">
        <f t="shared" si="12"/>
        <v>19</v>
      </c>
      <c r="T84" s="165">
        <f t="shared" si="12"/>
        <v>6</v>
      </c>
      <c r="U84" s="165">
        <f t="shared" si="12"/>
        <v>21</v>
      </c>
      <c r="V84" s="165">
        <f t="shared" si="12"/>
        <v>12</v>
      </c>
      <c r="W84" s="165">
        <f t="shared" si="12"/>
        <v>2</v>
      </c>
      <c r="X84" s="165">
        <f t="shared" si="12"/>
        <v>3</v>
      </c>
      <c r="Y84" s="165">
        <f t="shared" si="12"/>
        <v>0</v>
      </c>
      <c r="Z84" s="165">
        <f t="shared" si="12"/>
        <v>2</v>
      </c>
      <c r="AA84" s="165">
        <f t="shared" si="12"/>
        <v>32</v>
      </c>
      <c r="AB84" s="165">
        <f t="shared" si="12"/>
        <v>14</v>
      </c>
      <c r="AC84" s="165">
        <f t="shared" si="12"/>
        <v>36</v>
      </c>
      <c r="AD84" s="165">
        <f t="shared" si="12"/>
        <v>9</v>
      </c>
      <c r="AE84" s="165">
        <f t="shared" si="12"/>
        <v>9</v>
      </c>
      <c r="AF84" s="165">
        <f t="shared" si="12"/>
        <v>2</v>
      </c>
      <c r="AG84" s="171">
        <f t="shared" ref="AG84:AG126" si="13">SUM(B84:AF84)</f>
        <v>411</v>
      </c>
      <c r="AH84" s="180" t="str">
        <f>IF(AG84&lt;&gt;AG82+AG83,"*","")</f>
        <v/>
      </c>
      <c r="AI84" s="373" t="s">
        <v>1</v>
      </c>
    </row>
    <row r="85" spans="1:35" ht="18.75" x14ac:dyDescent="0.25">
      <c r="A85" s="72" t="s">
        <v>144</v>
      </c>
      <c r="B85" s="169">
        <v>5</v>
      </c>
      <c r="C85" s="169">
        <v>3</v>
      </c>
      <c r="D85" s="169">
        <v>0</v>
      </c>
      <c r="E85" s="169">
        <v>3</v>
      </c>
      <c r="F85" s="169">
        <v>3</v>
      </c>
      <c r="G85" s="169">
        <v>3</v>
      </c>
      <c r="H85" s="169">
        <v>0</v>
      </c>
      <c r="I85" s="169">
        <v>1</v>
      </c>
      <c r="J85" s="169">
        <v>13</v>
      </c>
      <c r="K85" s="169">
        <v>3</v>
      </c>
      <c r="L85" s="169">
        <v>2</v>
      </c>
      <c r="M85" s="169">
        <v>0</v>
      </c>
      <c r="N85" s="169">
        <v>1</v>
      </c>
      <c r="O85" s="169">
        <v>2</v>
      </c>
      <c r="P85" s="169">
        <v>5</v>
      </c>
      <c r="Q85" s="169">
        <v>1</v>
      </c>
      <c r="R85" s="169">
        <v>1</v>
      </c>
      <c r="S85" s="169">
        <v>3</v>
      </c>
      <c r="T85" s="169">
        <v>1</v>
      </c>
      <c r="U85" s="169">
        <v>4</v>
      </c>
      <c r="V85" s="169">
        <v>3</v>
      </c>
      <c r="W85" s="169">
        <v>0</v>
      </c>
      <c r="X85" s="169">
        <v>0</v>
      </c>
      <c r="Y85" s="169">
        <v>0</v>
      </c>
      <c r="Z85" s="169">
        <v>1</v>
      </c>
      <c r="AA85" s="169">
        <v>6</v>
      </c>
      <c r="AB85" s="169">
        <v>3</v>
      </c>
      <c r="AC85" s="169">
        <v>7</v>
      </c>
      <c r="AD85" s="169">
        <v>2</v>
      </c>
      <c r="AE85" s="169">
        <v>4</v>
      </c>
      <c r="AF85" s="170">
        <v>1</v>
      </c>
      <c r="AG85" s="168">
        <f t="shared" si="13"/>
        <v>81</v>
      </c>
      <c r="AI85" s="374"/>
    </row>
    <row r="86" spans="1:35" ht="19.5" thickBot="1" x14ac:dyDescent="0.3">
      <c r="A86" s="172" t="s">
        <v>145</v>
      </c>
      <c r="B86" s="173">
        <v>13</v>
      </c>
      <c r="C86" s="173">
        <v>12</v>
      </c>
      <c r="D86" s="173">
        <v>26</v>
      </c>
      <c r="E86" s="173">
        <v>7</v>
      </c>
      <c r="F86" s="173">
        <v>11</v>
      </c>
      <c r="G86" s="173">
        <v>22</v>
      </c>
      <c r="H86" s="173">
        <v>7</v>
      </c>
      <c r="I86" s="173">
        <v>6</v>
      </c>
      <c r="J86" s="173">
        <f>36-13</f>
        <v>23</v>
      </c>
      <c r="K86" s="173">
        <v>20</v>
      </c>
      <c r="L86" s="173">
        <v>6</v>
      </c>
      <c r="M86" s="173">
        <v>5</v>
      </c>
      <c r="N86" s="173">
        <v>4</v>
      </c>
      <c r="O86" s="173">
        <v>6</v>
      </c>
      <c r="P86" s="173">
        <v>3</v>
      </c>
      <c r="Q86" s="173">
        <v>20</v>
      </c>
      <c r="R86" s="173">
        <v>7</v>
      </c>
      <c r="S86" s="173">
        <v>16</v>
      </c>
      <c r="T86" s="173">
        <v>5</v>
      </c>
      <c r="U86" s="173">
        <v>17</v>
      </c>
      <c r="V86" s="173">
        <v>9</v>
      </c>
      <c r="W86" s="173">
        <v>2</v>
      </c>
      <c r="X86" s="173">
        <v>3</v>
      </c>
      <c r="Y86" s="173">
        <v>0</v>
      </c>
      <c r="Z86" s="173">
        <v>1</v>
      </c>
      <c r="AA86" s="173">
        <v>26</v>
      </c>
      <c r="AB86" s="173">
        <v>11</v>
      </c>
      <c r="AC86" s="173">
        <v>29</v>
      </c>
      <c r="AD86" s="173">
        <v>7</v>
      </c>
      <c r="AE86" s="173">
        <v>5</v>
      </c>
      <c r="AF86" s="174">
        <v>1</v>
      </c>
      <c r="AG86" s="176">
        <f t="shared" si="13"/>
        <v>330</v>
      </c>
      <c r="AI86" s="375"/>
    </row>
    <row r="87" spans="1:35" ht="19.5" thickBot="1" x14ac:dyDescent="0.3">
      <c r="A87" s="177" t="s">
        <v>147</v>
      </c>
      <c r="B87" s="178">
        <f>SUM(B88:B92)</f>
        <v>18</v>
      </c>
      <c r="C87" s="178">
        <f t="shared" ref="C87:AF87" si="14">SUM(C88:C92)</f>
        <v>15</v>
      </c>
      <c r="D87" s="178">
        <f t="shared" si="14"/>
        <v>26</v>
      </c>
      <c r="E87" s="178">
        <f t="shared" si="14"/>
        <v>10</v>
      </c>
      <c r="F87" s="178">
        <f t="shared" si="14"/>
        <v>14</v>
      </c>
      <c r="G87" s="178">
        <f t="shared" si="14"/>
        <v>25</v>
      </c>
      <c r="H87" s="178">
        <f t="shared" si="14"/>
        <v>7</v>
      </c>
      <c r="I87" s="178">
        <f t="shared" si="14"/>
        <v>7</v>
      </c>
      <c r="J87" s="178">
        <f t="shared" si="14"/>
        <v>36</v>
      </c>
      <c r="K87" s="178">
        <f t="shared" si="14"/>
        <v>23</v>
      </c>
      <c r="L87" s="178">
        <f t="shared" si="14"/>
        <v>8</v>
      </c>
      <c r="M87" s="178">
        <f t="shared" si="14"/>
        <v>5</v>
      </c>
      <c r="N87" s="178">
        <f t="shared" si="14"/>
        <v>5</v>
      </c>
      <c r="O87" s="178">
        <f t="shared" si="14"/>
        <v>8</v>
      </c>
      <c r="P87" s="178">
        <f t="shared" si="14"/>
        <v>8</v>
      </c>
      <c r="Q87" s="178">
        <f t="shared" si="14"/>
        <v>21</v>
      </c>
      <c r="R87" s="178">
        <f t="shared" si="14"/>
        <v>8</v>
      </c>
      <c r="S87" s="178">
        <f t="shared" si="14"/>
        <v>19</v>
      </c>
      <c r="T87" s="178">
        <f t="shared" si="14"/>
        <v>6</v>
      </c>
      <c r="U87" s="178">
        <f t="shared" si="14"/>
        <v>21</v>
      </c>
      <c r="V87" s="178">
        <f t="shared" si="14"/>
        <v>12</v>
      </c>
      <c r="W87" s="178">
        <f t="shared" si="14"/>
        <v>2</v>
      </c>
      <c r="X87" s="178">
        <f t="shared" si="14"/>
        <v>3</v>
      </c>
      <c r="Y87" s="178">
        <f t="shared" si="14"/>
        <v>0</v>
      </c>
      <c r="Z87" s="178">
        <f t="shared" si="14"/>
        <v>2</v>
      </c>
      <c r="AA87" s="178">
        <f t="shared" si="14"/>
        <v>32</v>
      </c>
      <c r="AB87" s="178">
        <f t="shared" si="14"/>
        <v>14</v>
      </c>
      <c r="AC87" s="178">
        <f t="shared" si="14"/>
        <v>36</v>
      </c>
      <c r="AD87" s="178">
        <f t="shared" si="14"/>
        <v>9</v>
      </c>
      <c r="AE87" s="178">
        <f t="shared" si="14"/>
        <v>9</v>
      </c>
      <c r="AF87" s="178">
        <f t="shared" si="14"/>
        <v>2</v>
      </c>
      <c r="AG87" s="179">
        <f t="shared" si="13"/>
        <v>411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2</v>
      </c>
      <c r="C88" s="166">
        <v>10</v>
      </c>
      <c r="D88" s="166">
        <v>4</v>
      </c>
      <c r="E88" s="166">
        <v>4</v>
      </c>
      <c r="F88" s="166">
        <v>4</v>
      </c>
      <c r="G88" s="166">
        <v>8</v>
      </c>
      <c r="H88" s="166">
        <v>2</v>
      </c>
      <c r="I88" s="166">
        <v>3</v>
      </c>
      <c r="J88" s="166">
        <v>11</v>
      </c>
      <c r="K88" s="166">
        <v>5</v>
      </c>
      <c r="L88" s="166">
        <v>2</v>
      </c>
      <c r="M88" s="166">
        <v>2</v>
      </c>
      <c r="N88" s="166">
        <v>5</v>
      </c>
      <c r="O88" s="166">
        <v>3</v>
      </c>
      <c r="P88" s="166">
        <v>2</v>
      </c>
      <c r="Q88" s="166">
        <v>8</v>
      </c>
      <c r="R88" s="166">
        <v>3</v>
      </c>
      <c r="S88" s="166">
        <v>10</v>
      </c>
      <c r="T88" s="166">
        <v>4</v>
      </c>
      <c r="U88" s="166">
        <v>3</v>
      </c>
      <c r="V88" s="166">
        <v>1</v>
      </c>
      <c r="W88" s="166">
        <v>1</v>
      </c>
      <c r="X88" s="166"/>
      <c r="Y88" s="166"/>
      <c r="Z88" s="166"/>
      <c r="AA88" s="166">
        <v>13</v>
      </c>
      <c r="AB88" s="166">
        <v>2</v>
      </c>
      <c r="AC88" s="166">
        <v>3</v>
      </c>
      <c r="AD88" s="166">
        <v>3</v>
      </c>
      <c r="AE88" s="166">
        <v>3</v>
      </c>
      <c r="AF88" s="167">
        <v>1</v>
      </c>
      <c r="AG88" s="132">
        <f t="shared" si="13"/>
        <v>122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>
        <v>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>
        <v>1</v>
      </c>
      <c r="T90" s="9"/>
      <c r="U90" s="9">
        <v>1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3</v>
      </c>
    </row>
    <row r="91" spans="1:35" ht="18.75" x14ac:dyDescent="0.25">
      <c r="A91" s="105" t="s">
        <v>75</v>
      </c>
      <c r="B91" s="9">
        <v>6</v>
      </c>
      <c r="C91" s="9">
        <v>3</v>
      </c>
      <c r="D91" s="9">
        <v>6</v>
      </c>
      <c r="E91" s="9">
        <v>5</v>
      </c>
      <c r="F91" s="9">
        <v>3</v>
      </c>
      <c r="G91" s="9">
        <v>16</v>
      </c>
      <c r="H91" s="9">
        <v>2</v>
      </c>
      <c r="I91" s="9">
        <v>2</v>
      </c>
      <c r="J91" s="9">
        <v>22</v>
      </c>
      <c r="K91" s="9">
        <v>3</v>
      </c>
      <c r="L91" s="9">
        <v>2</v>
      </c>
      <c r="M91" s="9">
        <v>1</v>
      </c>
      <c r="N91" s="9">
        <v>0</v>
      </c>
      <c r="O91" s="9">
        <v>0</v>
      </c>
      <c r="P91" s="9">
        <v>2</v>
      </c>
      <c r="Q91" s="9">
        <v>4</v>
      </c>
      <c r="R91" s="9">
        <v>0</v>
      </c>
      <c r="S91" s="9">
        <v>7</v>
      </c>
      <c r="T91" s="9"/>
      <c r="U91" s="9">
        <v>12</v>
      </c>
      <c r="V91" s="9">
        <v>7</v>
      </c>
      <c r="W91" s="9"/>
      <c r="X91" s="9">
        <v>2</v>
      </c>
      <c r="Y91" s="9"/>
      <c r="Z91" s="9">
        <v>1</v>
      </c>
      <c r="AA91" s="9">
        <v>8</v>
      </c>
      <c r="AB91" s="9">
        <v>5</v>
      </c>
      <c r="AC91" s="9">
        <v>17</v>
      </c>
      <c r="AD91" s="9">
        <v>4</v>
      </c>
      <c r="AE91" s="9">
        <v>3</v>
      </c>
      <c r="AF91" s="10">
        <v>1</v>
      </c>
      <c r="AG91" s="4">
        <f t="shared" si="13"/>
        <v>144</v>
      </c>
    </row>
    <row r="92" spans="1:35" ht="19.5" thickBot="1" x14ac:dyDescent="0.3">
      <c r="A92" s="105" t="s">
        <v>76</v>
      </c>
      <c r="B92" s="9">
        <v>9</v>
      </c>
      <c r="C92" s="9">
        <v>2</v>
      </c>
      <c r="D92" s="9">
        <v>16</v>
      </c>
      <c r="E92" s="9">
        <v>1</v>
      </c>
      <c r="F92" s="9">
        <v>7</v>
      </c>
      <c r="G92" s="9">
        <v>1</v>
      </c>
      <c r="H92" s="9">
        <v>3</v>
      </c>
      <c r="I92" s="9">
        <v>2</v>
      </c>
      <c r="J92" s="9">
        <v>3</v>
      </c>
      <c r="K92" s="9">
        <v>15</v>
      </c>
      <c r="L92" s="9">
        <v>4</v>
      </c>
      <c r="M92" s="9">
        <v>2</v>
      </c>
      <c r="N92" s="9">
        <v>0</v>
      </c>
      <c r="O92" s="9">
        <v>5</v>
      </c>
      <c r="P92" s="9">
        <v>4</v>
      </c>
      <c r="Q92" s="9">
        <v>9</v>
      </c>
      <c r="R92" s="9">
        <v>5</v>
      </c>
      <c r="S92" s="9">
        <v>1</v>
      </c>
      <c r="T92" s="9">
        <v>2</v>
      </c>
      <c r="U92" s="9">
        <v>5</v>
      </c>
      <c r="V92" s="9">
        <v>4</v>
      </c>
      <c r="W92" s="9">
        <v>1</v>
      </c>
      <c r="X92" s="9">
        <v>1</v>
      </c>
      <c r="Y92" s="9"/>
      <c r="Z92" s="9">
        <v>1</v>
      </c>
      <c r="AA92" s="9">
        <v>11</v>
      </c>
      <c r="AB92" s="9">
        <v>7</v>
      </c>
      <c r="AC92" s="9">
        <v>16</v>
      </c>
      <c r="AD92" s="9">
        <v>2</v>
      </c>
      <c r="AE92" s="9">
        <v>3</v>
      </c>
      <c r="AF92" s="10"/>
      <c r="AG92" s="4">
        <f t="shared" si="13"/>
        <v>142</v>
      </c>
    </row>
    <row r="93" spans="1:35" ht="18.75" x14ac:dyDescent="0.25">
      <c r="A93" s="73" t="s">
        <v>616</v>
      </c>
      <c r="B93" s="74">
        <f t="shared" ref="B93:AF93" si="15">+B94+B100</f>
        <v>182</v>
      </c>
      <c r="C93" s="74">
        <f t="shared" si="15"/>
        <v>176</v>
      </c>
      <c r="D93" s="74">
        <f t="shared" si="15"/>
        <v>134</v>
      </c>
      <c r="E93" s="74">
        <f t="shared" si="15"/>
        <v>146</v>
      </c>
      <c r="F93" s="74">
        <f t="shared" si="15"/>
        <v>142</v>
      </c>
      <c r="G93" s="74">
        <f t="shared" si="15"/>
        <v>140</v>
      </c>
      <c r="H93" s="74">
        <f t="shared" si="15"/>
        <v>203</v>
      </c>
      <c r="I93" s="74">
        <f t="shared" si="15"/>
        <v>199</v>
      </c>
      <c r="J93" s="74">
        <f t="shared" si="15"/>
        <v>141</v>
      </c>
      <c r="K93" s="74">
        <f t="shared" si="15"/>
        <v>140</v>
      </c>
      <c r="L93" s="74">
        <f t="shared" si="15"/>
        <v>106</v>
      </c>
      <c r="M93" s="74">
        <f t="shared" si="15"/>
        <v>138</v>
      </c>
      <c r="N93" s="74">
        <f t="shared" si="15"/>
        <v>134</v>
      </c>
      <c r="O93" s="74">
        <f t="shared" si="15"/>
        <v>184</v>
      </c>
      <c r="P93" s="74">
        <f t="shared" si="15"/>
        <v>173</v>
      </c>
      <c r="Q93" s="74">
        <f t="shared" si="15"/>
        <v>167</v>
      </c>
      <c r="R93" s="74">
        <f t="shared" si="15"/>
        <v>131</v>
      </c>
      <c r="S93" s="74">
        <f t="shared" si="15"/>
        <v>143</v>
      </c>
      <c r="T93" s="74">
        <f t="shared" si="15"/>
        <v>136</v>
      </c>
      <c r="U93" s="74">
        <f t="shared" si="15"/>
        <v>110</v>
      </c>
      <c r="V93" s="74">
        <f t="shared" si="15"/>
        <v>195</v>
      </c>
      <c r="W93" s="74">
        <f t="shared" si="15"/>
        <v>171</v>
      </c>
      <c r="X93" s="74">
        <f t="shared" si="15"/>
        <v>131</v>
      </c>
      <c r="Y93" s="74">
        <f t="shared" si="15"/>
        <v>96</v>
      </c>
      <c r="Z93" s="74">
        <f t="shared" si="15"/>
        <v>171</v>
      </c>
      <c r="AA93" s="74">
        <f t="shared" si="15"/>
        <v>144</v>
      </c>
      <c r="AB93" s="74">
        <f t="shared" si="15"/>
        <v>152</v>
      </c>
      <c r="AC93" s="74">
        <f t="shared" si="15"/>
        <v>208</v>
      </c>
      <c r="AD93" s="74">
        <f t="shared" si="15"/>
        <v>210</v>
      </c>
      <c r="AE93" s="74">
        <f t="shared" si="15"/>
        <v>171</v>
      </c>
      <c r="AF93" s="84">
        <f t="shared" si="15"/>
        <v>94</v>
      </c>
      <c r="AG93" s="150">
        <f t="shared" si="13"/>
        <v>4768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35</v>
      </c>
      <c r="C94" s="17">
        <f t="shared" si="16"/>
        <v>32</v>
      </c>
      <c r="D94" s="17">
        <f t="shared" si="16"/>
        <v>21</v>
      </c>
      <c r="E94" s="17">
        <f t="shared" si="16"/>
        <v>29</v>
      </c>
      <c r="F94" s="17">
        <f t="shared" si="16"/>
        <v>24</v>
      </c>
      <c r="G94" s="17">
        <f t="shared" si="16"/>
        <v>23</v>
      </c>
      <c r="H94" s="17">
        <f t="shared" si="16"/>
        <v>39</v>
      </c>
      <c r="I94" s="17">
        <f t="shared" si="16"/>
        <v>35</v>
      </c>
      <c r="J94" s="17">
        <f t="shared" si="16"/>
        <v>15</v>
      </c>
      <c r="K94" s="17">
        <f t="shared" si="16"/>
        <v>26</v>
      </c>
      <c r="L94" s="17">
        <f t="shared" si="16"/>
        <v>12</v>
      </c>
      <c r="M94" s="17">
        <f t="shared" si="16"/>
        <v>24</v>
      </c>
      <c r="N94" s="17">
        <f t="shared" si="16"/>
        <v>20</v>
      </c>
      <c r="O94" s="17">
        <f t="shared" si="16"/>
        <v>34</v>
      </c>
      <c r="P94" s="17">
        <f t="shared" si="16"/>
        <v>19</v>
      </c>
      <c r="Q94" s="17">
        <f t="shared" si="16"/>
        <v>28</v>
      </c>
      <c r="R94" s="17">
        <f t="shared" si="16"/>
        <v>22</v>
      </c>
      <c r="S94" s="17">
        <f t="shared" si="16"/>
        <v>26</v>
      </c>
      <c r="T94" s="17">
        <f t="shared" si="16"/>
        <v>20</v>
      </c>
      <c r="U94" s="17">
        <f t="shared" si="16"/>
        <v>15</v>
      </c>
      <c r="V94" s="17">
        <f t="shared" si="16"/>
        <v>31</v>
      </c>
      <c r="W94" s="17">
        <f t="shared" si="16"/>
        <v>33</v>
      </c>
      <c r="X94" s="17">
        <f t="shared" si="16"/>
        <v>22</v>
      </c>
      <c r="Y94" s="17">
        <f t="shared" si="16"/>
        <v>10</v>
      </c>
      <c r="Z94" s="17">
        <f t="shared" si="16"/>
        <v>25</v>
      </c>
      <c r="AA94" s="17">
        <f t="shared" si="16"/>
        <v>20</v>
      </c>
      <c r="AB94" s="17">
        <f t="shared" si="16"/>
        <v>20</v>
      </c>
      <c r="AC94" s="17">
        <f t="shared" si="16"/>
        <v>24</v>
      </c>
      <c r="AD94" s="17">
        <f t="shared" si="16"/>
        <v>34</v>
      </c>
      <c r="AE94" s="17">
        <f t="shared" si="16"/>
        <v>27</v>
      </c>
      <c r="AF94" s="18">
        <f t="shared" si="16"/>
        <v>14</v>
      </c>
      <c r="AG94" s="4">
        <f t="shared" si="13"/>
        <v>759</v>
      </c>
    </row>
    <row r="95" spans="1:35" ht="18.75" x14ac:dyDescent="0.25">
      <c r="A95" s="44" t="s">
        <v>81</v>
      </c>
      <c r="B95" s="7">
        <v>1</v>
      </c>
      <c r="C95" s="7">
        <v>2</v>
      </c>
      <c r="D95" s="7"/>
      <c r="E95" s="7">
        <v>2</v>
      </c>
      <c r="F95" s="7"/>
      <c r="G95" s="7">
        <v>1</v>
      </c>
      <c r="H95" s="7">
        <v>4</v>
      </c>
      <c r="I95" s="7">
        <v>1</v>
      </c>
      <c r="J95" s="7">
        <v>2</v>
      </c>
      <c r="K95" s="7">
        <v>2</v>
      </c>
      <c r="L95" s="7"/>
      <c r="M95" s="7">
        <v>1</v>
      </c>
      <c r="N95" s="7">
        <v>2</v>
      </c>
      <c r="O95" s="7">
        <v>1</v>
      </c>
      <c r="P95" s="7"/>
      <c r="Q95" s="7">
        <v>1</v>
      </c>
      <c r="R95" s="7">
        <v>2</v>
      </c>
      <c r="S95" s="7">
        <v>1</v>
      </c>
      <c r="T95" s="7"/>
      <c r="U95" s="7"/>
      <c r="V95" s="7"/>
      <c r="W95" s="7">
        <v>4</v>
      </c>
      <c r="X95" s="7">
        <v>2</v>
      </c>
      <c r="Y95" s="7"/>
      <c r="Z95" s="7">
        <v>2</v>
      </c>
      <c r="AA95" s="7">
        <v>1</v>
      </c>
      <c r="AB95" s="7"/>
      <c r="AC95" s="7">
        <v>2</v>
      </c>
      <c r="AD95" s="7"/>
      <c r="AE95" s="7"/>
      <c r="AF95" s="8">
        <v>1</v>
      </c>
      <c r="AG95" s="4">
        <f t="shared" si="13"/>
        <v>35</v>
      </c>
    </row>
    <row r="96" spans="1:35" ht="18.75" x14ac:dyDescent="0.25">
      <c r="A96" s="45" t="s">
        <v>82</v>
      </c>
      <c r="B96" s="7">
        <v>1</v>
      </c>
      <c r="C96" s="7">
        <v>2</v>
      </c>
      <c r="D96" s="7">
        <v>1</v>
      </c>
      <c r="E96" s="7">
        <v>2</v>
      </c>
      <c r="F96" s="7">
        <v>4</v>
      </c>
      <c r="G96" s="7"/>
      <c r="H96" s="7">
        <v>4</v>
      </c>
      <c r="I96" s="7">
        <v>4</v>
      </c>
      <c r="J96" s="7">
        <v>2</v>
      </c>
      <c r="K96" s="7">
        <v>1</v>
      </c>
      <c r="L96" s="7"/>
      <c r="M96" s="7">
        <v>4</v>
      </c>
      <c r="N96" s="7">
        <v>1</v>
      </c>
      <c r="O96" s="7">
        <v>2</v>
      </c>
      <c r="P96" s="7">
        <v>1</v>
      </c>
      <c r="Q96" s="7">
        <v>2</v>
      </c>
      <c r="R96" s="7">
        <v>1</v>
      </c>
      <c r="S96" s="141">
        <v>1</v>
      </c>
      <c r="T96" s="7">
        <v>1</v>
      </c>
      <c r="U96" s="7">
        <v>2</v>
      </c>
      <c r="V96" s="7">
        <v>3</v>
      </c>
      <c r="W96" s="7">
        <v>2</v>
      </c>
      <c r="X96" s="7">
        <v>3</v>
      </c>
      <c r="Y96" s="7"/>
      <c r="Z96" s="7">
        <v>1</v>
      </c>
      <c r="AA96" s="7">
        <v>3</v>
      </c>
      <c r="AB96" s="7">
        <v>2</v>
      </c>
      <c r="AC96" s="7"/>
      <c r="AD96" s="7"/>
      <c r="AE96" s="7">
        <v>1</v>
      </c>
      <c r="AF96" s="8">
        <v>2</v>
      </c>
      <c r="AG96" s="4">
        <f t="shared" si="13"/>
        <v>53</v>
      </c>
    </row>
    <row r="97" spans="1:33" ht="18.75" x14ac:dyDescent="0.25">
      <c r="A97" s="46" t="s">
        <v>70</v>
      </c>
      <c r="B97" s="7">
        <v>9</v>
      </c>
      <c r="C97" s="7">
        <v>3</v>
      </c>
      <c r="D97" s="7">
        <v>2</v>
      </c>
      <c r="E97" s="7">
        <v>11</v>
      </c>
      <c r="F97" s="7">
        <v>6</v>
      </c>
      <c r="G97" s="7">
        <v>8</v>
      </c>
      <c r="H97" s="7">
        <v>12</v>
      </c>
      <c r="I97" s="7">
        <v>6</v>
      </c>
      <c r="J97" s="7">
        <v>3</v>
      </c>
      <c r="K97" s="7">
        <v>7</v>
      </c>
      <c r="L97" s="7">
        <v>6</v>
      </c>
      <c r="M97" s="7">
        <v>8</v>
      </c>
      <c r="N97" s="7">
        <v>4</v>
      </c>
      <c r="O97" s="7">
        <v>10</v>
      </c>
      <c r="P97" s="7">
        <v>3</v>
      </c>
      <c r="Q97" s="7">
        <v>6</v>
      </c>
      <c r="R97" s="7">
        <v>8</v>
      </c>
      <c r="S97" s="7">
        <v>4</v>
      </c>
      <c r="T97" s="7">
        <v>5</v>
      </c>
      <c r="U97" s="7">
        <v>3</v>
      </c>
      <c r="V97" s="7">
        <v>11</v>
      </c>
      <c r="W97" s="7">
        <v>10</v>
      </c>
      <c r="X97" s="7">
        <v>7</v>
      </c>
      <c r="Y97" s="7">
        <v>1</v>
      </c>
      <c r="Z97" s="7">
        <v>9</v>
      </c>
      <c r="AA97" s="7">
        <v>7</v>
      </c>
      <c r="AB97" s="7">
        <v>5</v>
      </c>
      <c r="AC97" s="7">
        <v>9</v>
      </c>
      <c r="AD97" s="7">
        <v>8</v>
      </c>
      <c r="AE97" s="7">
        <v>4</v>
      </c>
      <c r="AF97" s="8">
        <v>1</v>
      </c>
      <c r="AG97" s="4">
        <f t="shared" si="13"/>
        <v>196</v>
      </c>
    </row>
    <row r="98" spans="1:33" ht="18.75" x14ac:dyDescent="0.25">
      <c r="A98" s="47" t="s">
        <v>6</v>
      </c>
      <c r="B98" s="7">
        <v>9</v>
      </c>
      <c r="C98" s="7">
        <v>12</v>
      </c>
      <c r="D98" s="7">
        <v>14</v>
      </c>
      <c r="E98" s="7">
        <v>9</v>
      </c>
      <c r="F98" s="7">
        <v>6</v>
      </c>
      <c r="G98" s="7">
        <v>8</v>
      </c>
      <c r="H98" s="7">
        <v>13</v>
      </c>
      <c r="I98" s="7">
        <v>14</v>
      </c>
      <c r="J98" s="7">
        <v>2</v>
      </c>
      <c r="K98" s="7">
        <v>10</v>
      </c>
      <c r="L98" s="7">
        <v>3</v>
      </c>
      <c r="M98" s="7">
        <v>6</v>
      </c>
      <c r="N98" s="7">
        <v>6</v>
      </c>
      <c r="O98" s="7">
        <v>12</v>
      </c>
      <c r="P98" s="7">
        <v>4</v>
      </c>
      <c r="Q98" s="7">
        <v>10</v>
      </c>
      <c r="R98" s="7">
        <v>5</v>
      </c>
      <c r="S98" s="7">
        <v>14</v>
      </c>
      <c r="T98" s="7">
        <v>9</v>
      </c>
      <c r="U98" s="7">
        <v>6</v>
      </c>
      <c r="V98" s="7">
        <v>9</v>
      </c>
      <c r="W98" s="7">
        <v>13</v>
      </c>
      <c r="X98" s="7">
        <v>6</v>
      </c>
      <c r="Y98" s="7">
        <v>5</v>
      </c>
      <c r="Z98" s="7">
        <v>6</v>
      </c>
      <c r="AA98" s="7">
        <v>5</v>
      </c>
      <c r="AB98" s="7">
        <v>6</v>
      </c>
      <c r="AC98" s="7">
        <v>7</v>
      </c>
      <c r="AD98" s="7">
        <v>13</v>
      </c>
      <c r="AE98" s="7">
        <v>13</v>
      </c>
      <c r="AF98" s="8">
        <v>8</v>
      </c>
      <c r="AG98" s="4">
        <f t="shared" si="13"/>
        <v>263</v>
      </c>
    </row>
    <row r="99" spans="1:33" ht="18.75" x14ac:dyDescent="0.25">
      <c r="A99" s="48" t="s">
        <v>7</v>
      </c>
      <c r="B99" s="7">
        <v>15</v>
      </c>
      <c r="C99" s="7">
        <v>13</v>
      </c>
      <c r="D99" s="7">
        <v>4</v>
      </c>
      <c r="E99" s="7">
        <v>5</v>
      </c>
      <c r="F99" s="7">
        <v>8</v>
      </c>
      <c r="G99" s="7">
        <v>6</v>
      </c>
      <c r="H99" s="7">
        <v>6</v>
      </c>
      <c r="I99" s="7">
        <v>10</v>
      </c>
      <c r="J99" s="7">
        <v>6</v>
      </c>
      <c r="K99" s="7">
        <v>6</v>
      </c>
      <c r="L99" s="7">
        <v>3</v>
      </c>
      <c r="M99" s="7">
        <v>5</v>
      </c>
      <c r="N99" s="7">
        <v>7</v>
      </c>
      <c r="O99" s="7">
        <v>9</v>
      </c>
      <c r="P99" s="7">
        <v>11</v>
      </c>
      <c r="Q99" s="7">
        <v>9</v>
      </c>
      <c r="R99" s="7">
        <v>6</v>
      </c>
      <c r="S99" s="7">
        <v>6</v>
      </c>
      <c r="T99" s="7">
        <v>5</v>
      </c>
      <c r="U99" s="7">
        <v>4</v>
      </c>
      <c r="V99" s="7">
        <v>8</v>
      </c>
      <c r="W99" s="7">
        <v>4</v>
      </c>
      <c r="X99" s="7">
        <v>4</v>
      </c>
      <c r="Y99" s="7">
        <v>4</v>
      </c>
      <c r="Z99" s="7">
        <v>7</v>
      </c>
      <c r="AA99" s="7">
        <v>4</v>
      </c>
      <c r="AB99" s="7">
        <v>7</v>
      </c>
      <c r="AC99" s="7">
        <v>6</v>
      </c>
      <c r="AD99" s="7">
        <v>13</v>
      </c>
      <c r="AE99" s="7">
        <v>9</v>
      </c>
      <c r="AF99" s="8">
        <v>2</v>
      </c>
      <c r="AG99" s="4">
        <f t="shared" si="13"/>
        <v>212</v>
      </c>
    </row>
    <row r="100" spans="1:33" ht="18.75" x14ac:dyDescent="0.25">
      <c r="A100" s="42" t="s">
        <v>66</v>
      </c>
      <c r="B100" s="17">
        <f t="shared" ref="B100:AF100" si="17">SUM(B101:B115)</f>
        <v>147</v>
      </c>
      <c r="C100" s="17">
        <f t="shared" si="17"/>
        <v>144</v>
      </c>
      <c r="D100" s="17">
        <f t="shared" si="17"/>
        <v>113</v>
      </c>
      <c r="E100" s="17">
        <f t="shared" si="17"/>
        <v>117</v>
      </c>
      <c r="F100" s="17">
        <f t="shared" si="17"/>
        <v>118</v>
      </c>
      <c r="G100" s="17">
        <f t="shared" si="17"/>
        <v>117</v>
      </c>
      <c r="H100" s="17">
        <f t="shared" si="17"/>
        <v>164</v>
      </c>
      <c r="I100" s="17">
        <f t="shared" si="17"/>
        <v>164</v>
      </c>
      <c r="J100" s="17">
        <f t="shared" si="17"/>
        <v>126</v>
      </c>
      <c r="K100" s="17">
        <f t="shared" si="17"/>
        <v>114</v>
      </c>
      <c r="L100" s="17">
        <f t="shared" si="17"/>
        <v>94</v>
      </c>
      <c r="M100" s="17">
        <f t="shared" si="17"/>
        <v>114</v>
      </c>
      <c r="N100" s="17">
        <f t="shared" si="17"/>
        <v>114</v>
      </c>
      <c r="O100" s="17">
        <f t="shared" si="17"/>
        <v>150</v>
      </c>
      <c r="P100" s="17">
        <f t="shared" si="17"/>
        <v>154</v>
      </c>
      <c r="Q100" s="17">
        <f t="shared" si="17"/>
        <v>139</v>
      </c>
      <c r="R100" s="17">
        <f t="shared" si="17"/>
        <v>109</v>
      </c>
      <c r="S100" s="17">
        <f t="shared" si="17"/>
        <v>117</v>
      </c>
      <c r="T100" s="17">
        <f t="shared" si="17"/>
        <v>116</v>
      </c>
      <c r="U100" s="17">
        <f t="shared" si="17"/>
        <v>95</v>
      </c>
      <c r="V100" s="17">
        <f t="shared" si="17"/>
        <v>164</v>
      </c>
      <c r="W100" s="17">
        <f t="shared" si="17"/>
        <v>138</v>
      </c>
      <c r="X100" s="17">
        <f t="shared" si="17"/>
        <v>109</v>
      </c>
      <c r="Y100" s="17">
        <f t="shared" si="17"/>
        <v>86</v>
      </c>
      <c r="Z100" s="17">
        <f t="shared" si="17"/>
        <v>146</v>
      </c>
      <c r="AA100" s="17">
        <f t="shared" si="17"/>
        <v>124</v>
      </c>
      <c r="AB100" s="17">
        <f t="shared" si="17"/>
        <v>132</v>
      </c>
      <c r="AC100" s="17">
        <f t="shared" si="17"/>
        <v>184</v>
      </c>
      <c r="AD100" s="17">
        <f t="shared" si="17"/>
        <v>176</v>
      </c>
      <c r="AE100" s="17">
        <f t="shared" si="17"/>
        <v>144</v>
      </c>
      <c r="AF100" s="18">
        <f t="shared" si="17"/>
        <v>80</v>
      </c>
      <c r="AG100" s="4">
        <f t="shared" si="13"/>
        <v>4009</v>
      </c>
    </row>
    <row r="101" spans="1:33" ht="18.75" x14ac:dyDescent="0.25">
      <c r="A101" s="48" t="s">
        <v>8</v>
      </c>
      <c r="B101" s="7">
        <v>7</v>
      </c>
      <c r="C101" s="7">
        <v>18</v>
      </c>
      <c r="D101" s="7">
        <v>9</v>
      </c>
      <c r="E101" s="7">
        <v>11</v>
      </c>
      <c r="F101" s="7">
        <v>10</v>
      </c>
      <c r="G101" s="7">
        <v>10</v>
      </c>
      <c r="H101" s="7">
        <v>9</v>
      </c>
      <c r="I101" s="7">
        <v>13</v>
      </c>
      <c r="J101" s="7">
        <v>6</v>
      </c>
      <c r="K101" s="7">
        <v>14</v>
      </c>
      <c r="L101" s="7">
        <v>1</v>
      </c>
      <c r="M101" s="7">
        <v>4</v>
      </c>
      <c r="N101" s="7">
        <v>12</v>
      </c>
      <c r="O101" s="7">
        <v>13</v>
      </c>
      <c r="P101" s="7">
        <v>10</v>
      </c>
      <c r="Q101" s="7">
        <v>9</v>
      </c>
      <c r="R101" s="7">
        <v>6</v>
      </c>
      <c r="S101" s="7">
        <v>12</v>
      </c>
      <c r="T101" s="7">
        <v>5</v>
      </c>
      <c r="U101" s="7">
        <v>8</v>
      </c>
      <c r="V101" s="7">
        <v>11</v>
      </c>
      <c r="W101" s="7">
        <v>10</v>
      </c>
      <c r="X101" s="7">
        <v>12</v>
      </c>
      <c r="Y101" s="7">
        <v>3</v>
      </c>
      <c r="Z101" s="7">
        <v>6</v>
      </c>
      <c r="AA101" s="7">
        <v>9</v>
      </c>
      <c r="AB101" s="7">
        <v>13</v>
      </c>
      <c r="AC101" s="7">
        <v>14</v>
      </c>
      <c r="AD101" s="7">
        <v>9</v>
      </c>
      <c r="AE101" s="7">
        <v>15</v>
      </c>
      <c r="AF101" s="8">
        <v>7</v>
      </c>
      <c r="AG101" s="4">
        <f t="shared" si="13"/>
        <v>296</v>
      </c>
    </row>
    <row r="102" spans="1:33" ht="18.75" x14ac:dyDescent="0.25">
      <c r="A102" s="48" t="s">
        <v>9</v>
      </c>
      <c r="B102" s="7">
        <v>12</v>
      </c>
      <c r="C102" s="7">
        <v>7</v>
      </c>
      <c r="D102" s="7">
        <v>15</v>
      </c>
      <c r="E102" s="7">
        <v>16</v>
      </c>
      <c r="F102" s="7">
        <v>14</v>
      </c>
      <c r="G102" s="7">
        <v>12</v>
      </c>
      <c r="H102" s="7">
        <v>19</v>
      </c>
      <c r="I102" s="7">
        <v>11</v>
      </c>
      <c r="J102" s="7">
        <v>17</v>
      </c>
      <c r="K102" s="7">
        <v>12</v>
      </c>
      <c r="L102" s="7">
        <v>23</v>
      </c>
      <c r="M102" s="7">
        <v>15</v>
      </c>
      <c r="N102" s="7">
        <v>15</v>
      </c>
      <c r="O102" s="7">
        <v>16</v>
      </c>
      <c r="P102" s="7">
        <v>14</v>
      </c>
      <c r="Q102" s="7">
        <v>15</v>
      </c>
      <c r="R102" s="7">
        <v>14</v>
      </c>
      <c r="S102" s="7">
        <v>8</v>
      </c>
      <c r="T102" s="7">
        <v>16</v>
      </c>
      <c r="U102" s="7">
        <v>6</v>
      </c>
      <c r="V102" s="7">
        <v>17</v>
      </c>
      <c r="W102" s="7">
        <v>15</v>
      </c>
      <c r="X102" s="7">
        <v>10</v>
      </c>
      <c r="Y102" s="7">
        <v>10</v>
      </c>
      <c r="Z102" s="7">
        <v>22</v>
      </c>
      <c r="AA102" s="7">
        <v>13</v>
      </c>
      <c r="AB102" s="7">
        <v>19</v>
      </c>
      <c r="AC102" s="7">
        <v>26</v>
      </c>
      <c r="AD102" s="7">
        <v>23</v>
      </c>
      <c r="AE102" s="7">
        <v>16</v>
      </c>
      <c r="AF102" s="8">
        <v>10</v>
      </c>
      <c r="AG102" s="4">
        <f t="shared" si="13"/>
        <v>458</v>
      </c>
    </row>
    <row r="103" spans="1:33" ht="18.75" x14ac:dyDescent="0.25">
      <c r="A103" s="49" t="s">
        <v>10</v>
      </c>
      <c r="B103" s="7">
        <v>8</v>
      </c>
      <c r="C103" s="7">
        <v>11</v>
      </c>
      <c r="D103" s="7">
        <v>8</v>
      </c>
      <c r="E103" s="7">
        <v>6</v>
      </c>
      <c r="F103" s="7">
        <v>14</v>
      </c>
      <c r="G103" s="7">
        <v>9</v>
      </c>
      <c r="H103" s="7">
        <v>21</v>
      </c>
      <c r="I103" s="7">
        <v>15</v>
      </c>
      <c r="J103" s="7">
        <v>10</v>
      </c>
      <c r="K103" s="7">
        <v>11</v>
      </c>
      <c r="L103" s="7">
        <v>9</v>
      </c>
      <c r="M103" s="7">
        <v>11</v>
      </c>
      <c r="N103" s="7">
        <v>10</v>
      </c>
      <c r="O103" s="7">
        <v>17</v>
      </c>
      <c r="P103" s="7">
        <v>11</v>
      </c>
      <c r="Q103" s="7">
        <v>18</v>
      </c>
      <c r="R103" s="7">
        <v>18</v>
      </c>
      <c r="S103" s="7">
        <v>17</v>
      </c>
      <c r="T103" s="7">
        <v>11</v>
      </c>
      <c r="U103" s="7">
        <v>14</v>
      </c>
      <c r="V103" s="7">
        <v>15</v>
      </c>
      <c r="W103" s="7">
        <v>17</v>
      </c>
      <c r="X103" s="7">
        <v>12</v>
      </c>
      <c r="Y103" s="7">
        <v>9</v>
      </c>
      <c r="Z103" s="7">
        <v>21</v>
      </c>
      <c r="AA103" s="7">
        <v>11</v>
      </c>
      <c r="AB103" s="7">
        <v>11</v>
      </c>
      <c r="AC103" s="7">
        <v>19</v>
      </c>
      <c r="AD103" s="7">
        <v>23</v>
      </c>
      <c r="AE103" s="7">
        <v>17</v>
      </c>
      <c r="AF103" s="8">
        <v>7</v>
      </c>
      <c r="AG103" s="4">
        <f t="shared" si="13"/>
        <v>411</v>
      </c>
    </row>
    <row r="104" spans="1:33" ht="18.75" x14ac:dyDescent="0.25">
      <c r="A104" s="49" t="s">
        <v>11</v>
      </c>
      <c r="B104" s="7">
        <v>14</v>
      </c>
      <c r="C104" s="7">
        <v>11</v>
      </c>
      <c r="D104" s="7">
        <v>10</v>
      </c>
      <c r="E104" s="7">
        <v>11</v>
      </c>
      <c r="F104" s="7">
        <v>11</v>
      </c>
      <c r="G104" s="7">
        <v>4</v>
      </c>
      <c r="H104" s="7">
        <v>9</v>
      </c>
      <c r="I104" s="7">
        <v>8</v>
      </c>
      <c r="J104" s="7">
        <v>5</v>
      </c>
      <c r="K104" s="7">
        <v>4</v>
      </c>
      <c r="L104" s="7">
        <v>5</v>
      </c>
      <c r="M104" s="7">
        <v>10</v>
      </c>
      <c r="N104" s="7">
        <v>5</v>
      </c>
      <c r="O104" s="7">
        <v>9</v>
      </c>
      <c r="P104" s="7">
        <v>18</v>
      </c>
      <c r="Q104" s="7">
        <v>9</v>
      </c>
      <c r="R104" s="7">
        <v>8</v>
      </c>
      <c r="S104" s="7">
        <v>12</v>
      </c>
      <c r="T104" s="7">
        <v>15</v>
      </c>
      <c r="U104" s="7">
        <v>8</v>
      </c>
      <c r="V104" s="7">
        <v>8</v>
      </c>
      <c r="W104" s="7">
        <v>9</v>
      </c>
      <c r="X104" s="7">
        <v>9</v>
      </c>
      <c r="Y104" s="7">
        <v>8</v>
      </c>
      <c r="Z104" s="7">
        <v>18</v>
      </c>
      <c r="AA104" s="7">
        <v>8</v>
      </c>
      <c r="AB104" s="7">
        <v>16</v>
      </c>
      <c r="AC104" s="7">
        <v>16</v>
      </c>
      <c r="AD104" s="7">
        <v>13</v>
      </c>
      <c r="AE104" s="7">
        <v>10</v>
      </c>
      <c r="AF104" s="8">
        <v>6</v>
      </c>
      <c r="AG104" s="4">
        <f t="shared" si="13"/>
        <v>307</v>
      </c>
    </row>
    <row r="105" spans="1:33" ht="18.75" x14ac:dyDescent="0.25">
      <c r="A105" s="49" t="s">
        <v>12</v>
      </c>
      <c r="B105" s="7">
        <v>11</v>
      </c>
      <c r="C105" s="7">
        <v>11</v>
      </c>
      <c r="D105" s="7">
        <v>5</v>
      </c>
      <c r="E105" s="7">
        <v>10</v>
      </c>
      <c r="F105" s="7">
        <v>8</v>
      </c>
      <c r="G105" s="7">
        <v>9</v>
      </c>
      <c r="H105" s="7">
        <v>15</v>
      </c>
      <c r="I105" s="7">
        <v>11</v>
      </c>
      <c r="J105" s="7">
        <v>7</v>
      </c>
      <c r="K105" s="7">
        <v>11</v>
      </c>
      <c r="L105" s="7">
        <v>9</v>
      </c>
      <c r="M105" s="7">
        <v>9</v>
      </c>
      <c r="N105" s="7">
        <v>11</v>
      </c>
      <c r="O105" s="7">
        <v>10</v>
      </c>
      <c r="P105" s="7">
        <v>9</v>
      </c>
      <c r="Q105" s="7">
        <v>4</v>
      </c>
      <c r="R105" s="7">
        <v>7</v>
      </c>
      <c r="S105" s="7">
        <v>5</v>
      </c>
      <c r="T105" s="7">
        <v>9</v>
      </c>
      <c r="U105" s="7">
        <v>4</v>
      </c>
      <c r="V105" s="7">
        <v>14</v>
      </c>
      <c r="W105" s="7">
        <v>13</v>
      </c>
      <c r="X105" s="7">
        <v>6</v>
      </c>
      <c r="Y105" s="7">
        <v>11</v>
      </c>
      <c r="Z105" s="7">
        <v>7</v>
      </c>
      <c r="AA105" s="7">
        <v>7</v>
      </c>
      <c r="AB105" s="7">
        <v>11</v>
      </c>
      <c r="AC105" s="7">
        <v>10</v>
      </c>
      <c r="AD105" s="7">
        <v>14</v>
      </c>
      <c r="AE105" s="7">
        <v>7</v>
      </c>
      <c r="AF105" s="8"/>
      <c r="AG105" s="4">
        <f t="shared" si="13"/>
        <v>275</v>
      </c>
    </row>
    <row r="106" spans="1:33" ht="18.75" x14ac:dyDescent="0.25">
      <c r="A106" s="49" t="s">
        <v>13</v>
      </c>
      <c r="B106" s="7">
        <v>9</v>
      </c>
      <c r="C106" s="7">
        <v>9</v>
      </c>
      <c r="D106" s="7">
        <v>5</v>
      </c>
      <c r="E106" s="7">
        <v>7</v>
      </c>
      <c r="F106" s="7">
        <v>4</v>
      </c>
      <c r="G106" s="7">
        <v>8</v>
      </c>
      <c r="H106" s="7">
        <v>5</v>
      </c>
      <c r="I106" s="7">
        <v>6</v>
      </c>
      <c r="J106" s="7">
        <v>10</v>
      </c>
      <c r="K106" s="7">
        <v>9</v>
      </c>
      <c r="L106" s="7">
        <v>5</v>
      </c>
      <c r="M106" s="7">
        <v>6</v>
      </c>
      <c r="N106" s="7">
        <v>8</v>
      </c>
      <c r="O106" s="7">
        <v>8</v>
      </c>
      <c r="P106" s="7">
        <v>10</v>
      </c>
      <c r="Q106" s="7">
        <v>6</v>
      </c>
      <c r="R106" s="7">
        <v>5</v>
      </c>
      <c r="S106" s="7">
        <v>11</v>
      </c>
      <c r="T106" s="7">
        <v>7</v>
      </c>
      <c r="U106" s="7">
        <v>7</v>
      </c>
      <c r="V106" s="7">
        <v>20</v>
      </c>
      <c r="W106" s="7">
        <v>5</v>
      </c>
      <c r="X106" s="7">
        <v>8</v>
      </c>
      <c r="Y106" s="7">
        <v>6</v>
      </c>
      <c r="Z106" s="7">
        <v>5</v>
      </c>
      <c r="AA106" s="7">
        <v>6</v>
      </c>
      <c r="AB106" s="7">
        <v>5</v>
      </c>
      <c r="AC106" s="7">
        <v>8</v>
      </c>
      <c r="AD106" s="7">
        <v>15</v>
      </c>
      <c r="AE106" s="7">
        <v>6</v>
      </c>
      <c r="AF106" s="8">
        <v>5</v>
      </c>
      <c r="AG106" s="4">
        <f t="shared" si="13"/>
        <v>234</v>
      </c>
    </row>
    <row r="107" spans="1:33" ht="18.75" x14ac:dyDescent="0.25">
      <c r="A107" s="49" t="s">
        <v>14</v>
      </c>
      <c r="B107" s="7">
        <v>22</v>
      </c>
      <c r="C107" s="7">
        <v>15</v>
      </c>
      <c r="D107" s="7">
        <v>12</v>
      </c>
      <c r="E107" s="7">
        <v>12</v>
      </c>
      <c r="F107" s="7">
        <v>6</v>
      </c>
      <c r="G107" s="7">
        <v>7</v>
      </c>
      <c r="H107" s="7">
        <v>17</v>
      </c>
      <c r="I107" s="7">
        <v>17</v>
      </c>
      <c r="J107" s="7">
        <v>11</v>
      </c>
      <c r="K107" s="7">
        <v>10</v>
      </c>
      <c r="L107" s="7">
        <v>6</v>
      </c>
      <c r="M107" s="7">
        <v>7</v>
      </c>
      <c r="N107" s="7">
        <v>6</v>
      </c>
      <c r="O107" s="7">
        <v>8</v>
      </c>
      <c r="P107" s="7">
        <v>15</v>
      </c>
      <c r="Q107" s="7">
        <v>12</v>
      </c>
      <c r="R107" s="7">
        <v>12</v>
      </c>
      <c r="S107" s="7">
        <v>12</v>
      </c>
      <c r="T107" s="7">
        <v>11</v>
      </c>
      <c r="U107" s="7">
        <v>9</v>
      </c>
      <c r="V107" s="7">
        <v>15</v>
      </c>
      <c r="W107" s="7">
        <v>10</v>
      </c>
      <c r="X107" s="7">
        <v>11</v>
      </c>
      <c r="Y107" s="7">
        <v>7</v>
      </c>
      <c r="Z107" s="7">
        <v>10</v>
      </c>
      <c r="AA107" s="7">
        <v>8</v>
      </c>
      <c r="AB107" s="7">
        <v>11</v>
      </c>
      <c r="AC107" s="7">
        <v>12</v>
      </c>
      <c r="AD107" s="7">
        <v>9</v>
      </c>
      <c r="AE107" s="7">
        <v>9</v>
      </c>
      <c r="AF107" s="8">
        <v>10</v>
      </c>
      <c r="AG107" s="4">
        <f t="shared" si="13"/>
        <v>339</v>
      </c>
    </row>
    <row r="108" spans="1:33" ht="18.75" x14ac:dyDescent="0.25">
      <c r="A108" s="49" t="s">
        <v>15</v>
      </c>
      <c r="B108" s="7">
        <v>16</v>
      </c>
      <c r="C108" s="7">
        <v>12</v>
      </c>
      <c r="D108" s="7">
        <v>11</v>
      </c>
      <c r="E108" s="7">
        <v>12</v>
      </c>
      <c r="F108" s="7">
        <v>7</v>
      </c>
      <c r="G108" s="7">
        <v>11</v>
      </c>
      <c r="H108" s="7">
        <v>11</v>
      </c>
      <c r="I108" s="7">
        <v>12</v>
      </c>
      <c r="J108" s="7">
        <v>9</v>
      </c>
      <c r="K108" s="7">
        <v>7</v>
      </c>
      <c r="L108" s="7">
        <v>11</v>
      </c>
      <c r="M108" s="7">
        <v>18</v>
      </c>
      <c r="N108" s="7">
        <v>12</v>
      </c>
      <c r="O108" s="7">
        <v>8</v>
      </c>
      <c r="P108" s="7">
        <v>15</v>
      </c>
      <c r="Q108" s="7">
        <v>22</v>
      </c>
      <c r="R108" s="7">
        <v>14</v>
      </c>
      <c r="S108" s="7">
        <v>9</v>
      </c>
      <c r="T108" s="7">
        <v>7</v>
      </c>
      <c r="U108" s="7">
        <v>5</v>
      </c>
      <c r="V108" s="7">
        <v>10</v>
      </c>
      <c r="W108" s="7">
        <v>15</v>
      </c>
      <c r="X108" s="7">
        <v>10</v>
      </c>
      <c r="Y108" s="7">
        <v>9</v>
      </c>
      <c r="Z108" s="7">
        <v>10</v>
      </c>
      <c r="AA108" s="7">
        <v>11</v>
      </c>
      <c r="AB108" s="7">
        <v>6</v>
      </c>
      <c r="AC108" s="7">
        <v>12</v>
      </c>
      <c r="AD108" s="7">
        <v>14</v>
      </c>
      <c r="AE108" s="7">
        <v>10</v>
      </c>
      <c r="AF108" s="8">
        <v>6</v>
      </c>
      <c r="AG108" s="4">
        <f t="shared" si="13"/>
        <v>342</v>
      </c>
    </row>
    <row r="109" spans="1:33" ht="18.75" x14ac:dyDescent="0.25">
      <c r="A109" s="49" t="s">
        <v>16</v>
      </c>
      <c r="B109" s="7">
        <v>12</v>
      </c>
      <c r="C109" s="7">
        <v>10</v>
      </c>
      <c r="D109" s="7">
        <v>7</v>
      </c>
      <c r="E109" s="7">
        <v>9</v>
      </c>
      <c r="F109" s="7">
        <v>10</v>
      </c>
      <c r="G109" s="7">
        <v>6</v>
      </c>
      <c r="H109" s="7">
        <v>19</v>
      </c>
      <c r="I109" s="7">
        <v>18</v>
      </c>
      <c r="J109" s="7">
        <v>9</v>
      </c>
      <c r="K109" s="7">
        <v>6</v>
      </c>
      <c r="L109" s="7">
        <v>9</v>
      </c>
      <c r="M109" s="7">
        <v>6</v>
      </c>
      <c r="N109" s="7">
        <v>7</v>
      </c>
      <c r="O109" s="7">
        <v>11</v>
      </c>
      <c r="P109" s="7">
        <v>12</v>
      </c>
      <c r="Q109" s="7">
        <v>9</v>
      </c>
      <c r="R109" s="7">
        <v>6</v>
      </c>
      <c r="S109" s="7">
        <v>8</v>
      </c>
      <c r="T109" s="7">
        <v>6</v>
      </c>
      <c r="U109" s="7">
        <v>6</v>
      </c>
      <c r="V109" s="7">
        <v>14</v>
      </c>
      <c r="W109" s="7">
        <v>13</v>
      </c>
      <c r="X109" s="7">
        <v>11</v>
      </c>
      <c r="Y109" s="7">
        <v>6</v>
      </c>
      <c r="Z109" s="7">
        <v>8</v>
      </c>
      <c r="AA109" s="7">
        <v>16</v>
      </c>
      <c r="AB109" s="7">
        <v>9</v>
      </c>
      <c r="AC109" s="7">
        <v>15</v>
      </c>
      <c r="AD109" s="7">
        <v>10</v>
      </c>
      <c r="AE109" s="7">
        <v>10</v>
      </c>
      <c r="AF109" s="8">
        <v>8</v>
      </c>
      <c r="AG109" s="4">
        <f t="shared" si="13"/>
        <v>306</v>
      </c>
    </row>
    <row r="110" spans="1:33" ht="18.75" x14ac:dyDescent="0.25">
      <c r="A110" s="49" t="s">
        <v>17</v>
      </c>
      <c r="B110" s="7">
        <v>12</v>
      </c>
      <c r="C110" s="7">
        <v>10</v>
      </c>
      <c r="D110" s="7">
        <v>10</v>
      </c>
      <c r="E110" s="7">
        <v>6</v>
      </c>
      <c r="F110" s="7">
        <v>6</v>
      </c>
      <c r="G110" s="7">
        <v>13</v>
      </c>
      <c r="H110" s="7">
        <v>11</v>
      </c>
      <c r="I110" s="7">
        <v>11</v>
      </c>
      <c r="J110" s="7">
        <v>9</v>
      </c>
      <c r="K110" s="7">
        <v>6</v>
      </c>
      <c r="L110" s="7">
        <v>7</v>
      </c>
      <c r="M110" s="7">
        <v>9</v>
      </c>
      <c r="N110" s="7">
        <v>12</v>
      </c>
      <c r="O110" s="7">
        <v>13</v>
      </c>
      <c r="P110" s="7">
        <v>10</v>
      </c>
      <c r="Q110" s="7">
        <v>7</v>
      </c>
      <c r="R110" s="7">
        <v>3</v>
      </c>
      <c r="S110" s="7">
        <v>6</v>
      </c>
      <c r="T110" s="7">
        <v>6</v>
      </c>
      <c r="U110" s="7">
        <v>9</v>
      </c>
      <c r="V110" s="7">
        <v>13</v>
      </c>
      <c r="W110" s="7">
        <v>9</v>
      </c>
      <c r="X110" s="7">
        <v>3</v>
      </c>
      <c r="Y110" s="7">
        <v>3</v>
      </c>
      <c r="Z110" s="7">
        <v>10</v>
      </c>
      <c r="AA110" s="7">
        <v>11</v>
      </c>
      <c r="AB110" s="7">
        <v>9</v>
      </c>
      <c r="AC110" s="7">
        <v>14</v>
      </c>
      <c r="AD110" s="7">
        <v>10</v>
      </c>
      <c r="AE110" s="7">
        <v>19</v>
      </c>
      <c r="AF110" s="8">
        <v>7</v>
      </c>
      <c r="AG110" s="4">
        <f t="shared" si="13"/>
        <v>284</v>
      </c>
    </row>
    <row r="111" spans="1:33" ht="18.75" x14ac:dyDescent="0.25">
      <c r="A111" s="49" t="s">
        <v>18</v>
      </c>
      <c r="B111" s="7">
        <v>4</v>
      </c>
      <c r="C111" s="7">
        <v>11</v>
      </c>
      <c r="D111" s="7">
        <v>7</v>
      </c>
      <c r="E111" s="7">
        <v>7</v>
      </c>
      <c r="F111" s="7">
        <v>7</v>
      </c>
      <c r="G111" s="7">
        <v>5</v>
      </c>
      <c r="H111" s="7">
        <v>10</v>
      </c>
      <c r="I111" s="7">
        <v>15</v>
      </c>
      <c r="J111" s="7">
        <v>11</v>
      </c>
      <c r="K111" s="7">
        <v>4</v>
      </c>
      <c r="L111" s="7">
        <v>2</v>
      </c>
      <c r="M111" s="7">
        <v>5</v>
      </c>
      <c r="N111" s="7">
        <v>5</v>
      </c>
      <c r="O111" s="7">
        <v>7</v>
      </c>
      <c r="P111" s="7">
        <v>5</v>
      </c>
      <c r="Q111" s="7">
        <v>5</v>
      </c>
      <c r="R111" s="7">
        <v>5</v>
      </c>
      <c r="S111" s="7">
        <v>5</v>
      </c>
      <c r="T111" s="7">
        <v>6</v>
      </c>
      <c r="U111" s="7">
        <v>5</v>
      </c>
      <c r="V111" s="7">
        <v>10</v>
      </c>
      <c r="W111" s="7">
        <v>9</v>
      </c>
      <c r="X111" s="7">
        <v>5</v>
      </c>
      <c r="Y111" s="7">
        <v>2</v>
      </c>
      <c r="Z111" s="7">
        <v>10</v>
      </c>
      <c r="AA111" s="7">
        <v>9</v>
      </c>
      <c r="AB111" s="7">
        <v>7</v>
      </c>
      <c r="AC111" s="7">
        <v>14</v>
      </c>
      <c r="AD111" s="7">
        <v>11</v>
      </c>
      <c r="AE111" s="7">
        <v>6</v>
      </c>
      <c r="AF111" s="8">
        <v>7</v>
      </c>
      <c r="AG111" s="4">
        <f t="shared" si="13"/>
        <v>221</v>
      </c>
    </row>
    <row r="112" spans="1:33" ht="18.75" x14ac:dyDescent="0.25">
      <c r="A112" s="49" t="s">
        <v>19</v>
      </c>
      <c r="B112" s="7">
        <v>5</v>
      </c>
      <c r="C112" s="7">
        <v>9</v>
      </c>
      <c r="D112" s="7">
        <v>7</v>
      </c>
      <c r="E112" s="7">
        <v>4</v>
      </c>
      <c r="F112" s="7">
        <v>8</v>
      </c>
      <c r="G112" s="7">
        <v>7</v>
      </c>
      <c r="H112" s="7">
        <v>5</v>
      </c>
      <c r="I112" s="7">
        <v>4</v>
      </c>
      <c r="J112" s="7">
        <v>9</v>
      </c>
      <c r="K112" s="7">
        <v>4</v>
      </c>
      <c r="L112" s="7">
        <v>1</v>
      </c>
      <c r="M112" s="7">
        <v>4</v>
      </c>
      <c r="N112" s="7">
        <v>3</v>
      </c>
      <c r="O112" s="7">
        <v>10</v>
      </c>
      <c r="P112" s="7">
        <v>7</v>
      </c>
      <c r="Q112" s="7">
        <v>7</v>
      </c>
      <c r="R112" s="7">
        <v>2</v>
      </c>
      <c r="S112" s="7">
        <v>2</v>
      </c>
      <c r="T112" s="7">
        <v>8</v>
      </c>
      <c r="U112" s="7">
        <v>1</v>
      </c>
      <c r="V112" s="7">
        <v>5</v>
      </c>
      <c r="W112" s="7">
        <v>3</v>
      </c>
      <c r="X112" s="7">
        <v>4</v>
      </c>
      <c r="Y112" s="7">
        <v>1</v>
      </c>
      <c r="Z112" s="7">
        <v>6</v>
      </c>
      <c r="AA112" s="7">
        <v>2</v>
      </c>
      <c r="AB112" s="7">
        <v>6</v>
      </c>
      <c r="AC112" s="7">
        <v>14</v>
      </c>
      <c r="AD112" s="7">
        <v>8</v>
      </c>
      <c r="AE112" s="7">
        <v>6</v>
      </c>
      <c r="AF112" s="8">
        <v>1</v>
      </c>
      <c r="AG112" s="4">
        <f>SUM(B112:AF112)</f>
        <v>163</v>
      </c>
    </row>
    <row r="113" spans="1:33" ht="18.75" x14ac:dyDescent="0.25">
      <c r="A113" s="49" t="s">
        <v>20</v>
      </c>
      <c r="B113" s="7">
        <v>9</v>
      </c>
      <c r="C113" s="7">
        <v>5</v>
      </c>
      <c r="D113" s="7">
        <v>4</v>
      </c>
      <c r="E113" s="7">
        <v>4</v>
      </c>
      <c r="F113" s="7">
        <v>8</v>
      </c>
      <c r="G113" s="7">
        <v>10</v>
      </c>
      <c r="H113" s="7">
        <v>8</v>
      </c>
      <c r="I113" s="7">
        <v>14</v>
      </c>
      <c r="J113" s="7">
        <v>7</v>
      </c>
      <c r="K113" s="7">
        <v>9</v>
      </c>
      <c r="L113" s="7">
        <v>3</v>
      </c>
      <c r="M113" s="7">
        <v>7</v>
      </c>
      <c r="N113" s="7">
        <v>4</v>
      </c>
      <c r="O113" s="7">
        <v>14</v>
      </c>
      <c r="P113" s="7">
        <v>9</v>
      </c>
      <c r="Q113" s="7">
        <v>9</v>
      </c>
      <c r="R113" s="7">
        <v>6</v>
      </c>
      <c r="S113" s="7">
        <v>4</v>
      </c>
      <c r="T113" s="7">
        <v>2</v>
      </c>
      <c r="U113" s="7">
        <v>2</v>
      </c>
      <c r="V113" s="7">
        <v>5</v>
      </c>
      <c r="W113" s="7">
        <v>6</v>
      </c>
      <c r="X113" s="7">
        <v>3</v>
      </c>
      <c r="Y113" s="7">
        <v>6</v>
      </c>
      <c r="Z113" s="7">
        <v>10</v>
      </c>
      <c r="AA113" s="7">
        <v>5</v>
      </c>
      <c r="AB113" s="7">
        <v>4</v>
      </c>
      <c r="AC113" s="7">
        <v>3</v>
      </c>
      <c r="AD113" s="7">
        <v>10</v>
      </c>
      <c r="AE113" s="7">
        <v>9</v>
      </c>
      <c r="AF113" s="8">
        <v>5</v>
      </c>
      <c r="AG113" s="4">
        <f t="shared" si="13"/>
        <v>204</v>
      </c>
    </row>
    <row r="114" spans="1:33" ht="18.75" x14ac:dyDescent="0.25">
      <c r="A114" s="49" t="s">
        <v>21</v>
      </c>
      <c r="B114" s="7">
        <v>6</v>
      </c>
      <c r="C114" s="7">
        <v>5</v>
      </c>
      <c r="D114" s="7">
        <v>3</v>
      </c>
      <c r="E114" s="7">
        <v>2</v>
      </c>
      <c r="F114" s="7">
        <v>5</v>
      </c>
      <c r="G114" s="7">
        <v>6</v>
      </c>
      <c r="H114" s="7">
        <v>5</v>
      </c>
      <c r="I114" s="7">
        <v>9</v>
      </c>
      <c r="J114" s="7">
        <v>6</v>
      </c>
      <c r="K114" s="7">
        <v>7</v>
      </c>
      <c r="L114" s="7">
        <v>3</v>
      </c>
      <c r="M114" s="7">
        <v>3</v>
      </c>
      <c r="N114" s="7">
        <v>4</v>
      </c>
      <c r="O114" s="7">
        <v>6</v>
      </c>
      <c r="P114" s="7">
        <v>9</v>
      </c>
      <c r="Q114" s="7">
        <v>7</v>
      </c>
      <c r="R114" s="7">
        <v>3</v>
      </c>
      <c r="S114" s="7">
        <v>6</v>
      </c>
      <c r="T114" s="7">
        <v>7</v>
      </c>
      <c r="U114" s="7">
        <v>9</v>
      </c>
      <c r="V114" s="7">
        <v>7</v>
      </c>
      <c r="W114" s="7">
        <v>4</v>
      </c>
      <c r="X114" s="7">
        <v>5</v>
      </c>
      <c r="Y114" s="7">
        <v>5</v>
      </c>
      <c r="Z114" s="7">
        <v>3</v>
      </c>
      <c r="AA114" s="7">
        <v>8</v>
      </c>
      <c r="AB114" s="7">
        <v>5</v>
      </c>
      <c r="AC114" s="7">
        <v>7</v>
      </c>
      <c r="AD114" s="7">
        <v>7</v>
      </c>
      <c r="AE114" s="7">
        <v>4</v>
      </c>
      <c r="AF114" s="8">
        <v>1</v>
      </c>
      <c r="AG114" s="4">
        <f t="shared" si="13"/>
        <v>167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>
        <v>2</v>
      </c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2</v>
      </c>
    </row>
    <row r="116" spans="1:33" ht="18.75" x14ac:dyDescent="0.25">
      <c r="A116" s="73" t="s">
        <v>61</v>
      </c>
      <c r="B116" s="74">
        <f t="shared" ref="B116:AF116" si="18">SUM(B117:B129)</f>
        <v>67</v>
      </c>
      <c r="C116" s="74">
        <f t="shared" si="18"/>
        <v>85</v>
      </c>
      <c r="D116" s="74">
        <f t="shared" si="18"/>
        <v>70</v>
      </c>
      <c r="E116" s="74">
        <f t="shared" si="18"/>
        <v>61</v>
      </c>
      <c r="F116" s="74">
        <f t="shared" si="18"/>
        <v>65</v>
      </c>
      <c r="G116" s="74">
        <f t="shared" si="18"/>
        <v>73</v>
      </c>
      <c r="H116" s="74">
        <f t="shared" si="18"/>
        <v>111</v>
      </c>
      <c r="I116" s="74">
        <f t="shared" si="18"/>
        <v>86</v>
      </c>
      <c r="J116" s="74">
        <f t="shared" si="18"/>
        <v>78</v>
      </c>
      <c r="K116" s="74">
        <f t="shared" si="18"/>
        <v>66</v>
      </c>
      <c r="L116" s="74">
        <f t="shared" si="18"/>
        <v>45</v>
      </c>
      <c r="M116" s="74">
        <f t="shared" si="18"/>
        <v>57</v>
      </c>
      <c r="N116" s="74">
        <f t="shared" si="18"/>
        <v>61</v>
      </c>
      <c r="O116" s="74">
        <f t="shared" si="18"/>
        <v>81</v>
      </c>
      <c r="P116" s="74">
        <f t="shared" si="18"/>
        <v>81</v>
      </c>
      <c r="Q116" s="74">
        <f t="shared" si="18"/>
        <v>81</v>
      </c>
      <c r="R116" s="74">
        <f t="shared" si="18"/>
        <v>60</v>
      </c>
      <c r="S116" s="74">
        <f t="shared" si="18"/>
        <v>75</v>
      </c>
      <c r="T116" s="74">
        <f t="shared" si="18"/>
        <v>65</v>
      </c>
      <c r="U116" s="74">
        <f t="shared" si="18"/>
        <v>60</v>
      </c>
      <c r="V116" s="74">
        <f t="shared" si="18"/>
        <v>103</v>
      </c>
      <c r="W116" s="74">
        <f t="shared" si="18"/>
        <v>76</v>
      </c>
      <c r="X116" s="74">
        <f t="shared" si="18"/>
        <v>53</v>
      </c>
      <c r="Y116" s="74">
        <f t="shared" si="18"/>
        <v>41</v>
      </c>
      <c r="Z116" s="74">
        <f t="shared" si="18"/>
        <v>78</v>
      </c>
      <c r="AA116" s="74">
        <f t="shared" si="18"/>
        <v>77</v>
      </c>
      <c r="AB116" s="74">
        <f t="shared" si="18"/>
        <v>71</v>
      </c>
      <c r="AC116" s="74">
        <f t="shared" si="18"/>
        <v>120</v>
      </c>
      <c r="AD116" s="74">
        <f t="shared" si="18"/>
        <v>88</v>
      </c>
      <c r="AE116" s="74">
        <f t="shared" si="18"/>
        <v>67</v>
      </c>
      <c r="AF116" s="84">
        <f t="shared" si="18"/>
        <v>39</v>
      </c>
      <c r="AG116" s="4">
        <f t="shared" si="13"/>
        <v>2241</v>
      </c>
    </row>
    <row r="117" spans="1:33" ht="18.75" x14ac:dyDescent="0.25">
      <c r="A117" s="43" t="s">
        <v>59</v>
      </c>
      <c r="B117" s="7">
        <v>44</v>
      </c>
      <c r="C117" s="7">
        <v>64</v>
      </c>
      <c r="D117" s="7">
        <v>58</v>
      </c>
      <c r="E117" s="7">
        <v>53</v>
      </c>
      <c r="F117" s="7">
        <v>43</v>
      </c>
      <c r="G117" s="7">
        <v>56</v>
      </c>
      <c r="H117" s="7">
        <v>85</v>
      </c>
      <c r="I117" s="7">
        <v>54</v>
      </c>
      <c r="J117" s="7">
        <v>60</v>
      </c>
      <c r="K117" s="7">
        <v>45</v>
      </c>
      <c r="L117" s="7">
        <v>32</v>
      </c>
      <c r="M117" s="7">
        <v>38</v>
      </c>
      <c r="N117" s="7">
        <v>45</v>
      </c>
      <c r="O117" s="7">
        <v>74</v>
      </c>
      <c r="P117" s="7">
        <v>60</v>
      </c>
      <c r="Q117" s="7">
        <v>63</v>
      </c>
      <c r="R117" s="7">
        <v>42</v>
      </c>
      <c r="S117" s="7">
        <v>60</v>
      </c>
      <c r="T117" s="7">
        <v>44</v>
      </c>
      <c r="U117" s="7">
        <v>45</v>
      </c>
      <c r="V117" s="7">
        <v>73</v>
      </c>
      <c r="W117" s="7">
        <v>47</v>
      </c>
      <c r="X117" s="7">
        <v>30</v>
      </c>
      <c r="Y117" s="7">
        <v>33</v>
      </c>
      <c r="Z117" s="7">
        <v>59</v>
      </c>
      <c r="AA117" s="7">
        <v>56</v>
      </c>
      <c r="AB117" s="7">
        <v>45</v>
      </c>
      <c r="AC117" s="7">
        <v>95</v>
      </c>
      <c r="AD117" s="7">
        <v>64</v>
      </c>
      <c r="AE117" s="7">
        <v>50</v>
      </c>
      <c r="AF117" s="8">
        <v>23</v>
      </c>
      <c r="AG117" s="4">
        <f t="shared" si="13"/>
        <v>1640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8+15</f>
        <v>23</v>
      </c>
      <c r="C129" s="13">
        <f>6+15</f>
        <v>21</v>
      </c>
      <c r="D129" s="13">
        <f>5+7</f>
        <v>12</v>
      </c>
      <c r="E129" s="13">
        <v>8</v>
      </c>
      <c r="F129" s="13">
        <f>12+10</f>
        <v>22</v>
      </c>
      <c r="G129" s="13">
        <f>12+5</f>
        <v>17</v>
      </c>
      <c r="H129" s="13">
        <f>13+13</f>
        <v>26</v>
      </c>
      <c r="I129" s="13">
        <f>17+15</f>
        <v>32</v>
      </c>
      <c r="J129" s="13">
        <f>16+2</f>
        <v>18</v>
      </c>
      <c r="K129" s="13">
        <f>11+10</f>
        <v>21</v>
      </c>
      <c r="L129" s="13">
        <f>10+3</f>
        <v>13</v>
      </c>
      <c r="M129" s="13">
        <f>13+6</f>
        <v>19</v>
      </c>
      <c r="N129" s="13">
        <f>1+8+7</f>
        <v>16</v>
      </c>
      <c r="O129" s="13">
        <v>7</v>
      </c>
      <c r="P129" s="13">
        <f>9+1+11</f>
        <v>21</v>
      </c>
      <c r="Q129" s="13">
        <f>8+10</f>
        <v>18</v>
      </c>
      <c r="R129" s="13">
        <f>11+7</f>
        <v>18</v>
      </c>
      <c r="S129" s="13">
        <f>7+8</f>
        <v>15</v>
      </c>
      <c r="T129" s="13">
        <f>12+9</f>
        <v>21</v>
      </c>
      <c r="U129" s="13">
        <f>11+4</f>
        <v>15</v>
      </c>
      <c r="V129" s="13">
        <f>19+11</f>
        <v>30</v>
      </c>
      <c r="W129" s="13">
        <f>15+14</f>
        <v>29</v>
      </c>
      <c r="X129" s="13">
        <f>14+9</f>
        <v>23</v>
      </c>
      <c r="Y129" s="13">
        <f>5+3</f>
        <v>8</v>
      </c>
      <c r="Z129" s="13">
        <f>7+12</f>
        <v>19</v>
      </c>
      <c r="AA129" s="13">
        <f>12+9</f>
        <v>21</v>
      </c>
      <c r="AB129" s="13">
        <f>16+10</f>
        <v>26</v>
      </c>
      <c r="AC129" s="13">
        <f>14+11</f>
        <v>25</v>
      </c>
      <c r="AD129" s="13">
        <f>12+12</f>
        <v>24</v>
      </c>
      <c r="AE129" s="13">
        <f>8+9</f>
        <v>17</v>
      </c>
      <c r="AF129" s="14">
        <f>10+6</f>
        <v>16</v>
      </c>
      <c r="AG129" s="4">
        <f t="shared" si="19"/>
        <v>601</v>
      </c>
    </row>
    <row r="130" spans="1:35" ht="18.75" x14ac:dyDescent="0.25">
      <c r="A130" s="73" t="s">
        <v>109</v>
      </c>
      <c r="B130" s="74">
        <f t="shared" ref="B130:AF130" si="20">SUM(B131:B143)</f>
        <v>182</v>
      </c>
      <c r="C130" s="74">
        <f t="shared" si="20"/>
        <v>176</v>
      </c>
      <c r="D130" s="74">
        <f t="shared" si="20"/>
        <v>134</v>
      </c>
      <c r="E130" s="74">
        <f t="shared" si="20"/>
        <v>146</v>
      </c>
      <c r="F130" s="74">
        <f t="shared" si="20"/>
        <v>142</v>
      </c>
      <c r="G130" s="74">
        <f t="shared" si="20"/>
        <v>140</v>
      </c>
      <c r="H130" s="74">
        <f t="shared" si="20"/>
        <v>203</v>
      </c>
      <c r="I130" s="74">
        <f t="shared" si="20"/>
        <v>199</v>
      </c>
      <c r="J130" s="74">
        <f t="shared" si="20"/>
        <v>141</v>
      </c>
      <c r="K130" s="74">
        <f t="shared" si="20"/>
        <v>140</v>
      </c>
      <c r="L130" s="74">
        <f t="shared" si="20"/>
        <v>106</v>
      </c>
      <c r="M130" s="74">
        <f t="shared" si="20"/>
        <v>138</v>
      </c>
      <c r="N130" s="74">
        <f t="shared" si="20"/>
        <v>134</v>
      </c>
      <c r="O130" s="74">
        <f t="shared" si="20"/>
        <v>184</v>
      </c>
      <c r="P130" s="74">
        <f t="shared" si="20"/>
        <v>173</v>
      </c>
      <c r="Q130" s="74">
        <f t="shared" si="20"/>
        <v>167</v>
      </c>
      <c r="R130" s="74">
        <f t="shared" si="20"/>
        <v>131</v>
      </c>
      <c r="S130" s="74">
        <f t="shared" si="20"/>
        <v>143</v>
      </c>
      <c r="T130" s="74">
        <f t="shared" si="20"/>
        <v>136</v>
      </c>
      <c r="U130" s="74">
        <f t="shared" si="20"/>
        <v>110</v>
      </c>
      <c r="V130" s="74">
        <f t="shared" si="20"/>
        <v>195</v>
      </c>
      <c r="W130" s="74">
        <f t="shared" si="20"/>
        <v>171</v>
      </c>
      <c r="X130" s="74">
        <f t="shared" si="20"/>
        <v>131</v>
      </c>
      <c r="Y130" s="74">
        <f t="shared" si="20"/>
        <v>96</v>
      </c>
      <c r="Z130" s="74">
        <f t="shared" si="20"/>
        <v>171</v>
      </c>
      <c r="AA130" s="74">
        <f t="shared" si="20"/>
        <v>144</v>
      </c>
      <c r="AB130" s="74">
        <f t="shared" si="20"/>
        <v>152</v>
      </c>
      <c r="AC130" s="74">
        <f t="shared" si="20"/>
        <v>208</v>
      </c>
      <c r="AD130" s="74">
        <f t="shared" si="20"/>
        <v>210</v>
      </c>
      <c r="AE130" s="74">
        <f t="shared" si="20"/>
        <v>171</v>
      </c>
      <c r="AF130" s="84">
        <f t="shared" si="20"/>
        <v>94</v>
      </c>
      <c r="AG130" s="150">
        <f t="shared" si="19"/>
        <v>4768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60</v>
      </c>
      <c r="C131" s="7">
        <v>61</v>
      </c>
      <c r="D131" s="7">
        <v>51</v>
      </c>
      <c r="E131" s="7">
        <v>50</v>
      </c>
      <c r="F131" s="7">
        <v>38</v>
      </c>
      <c r="G131" s="7">
        <v>45</v>
      </c>
      <c r="H131" s="7">
        <v>80</v>
      </c>
      <c r="I131" s="7">
        <v>53</v>
      </c>
      <c r="J131" s="7">
        <v>51</v>
      </c>
      <c r="K131" s="7">
        <v>37</v>
      </c>
      <c r="L131" s="7">
        <v>29</v>
      </c>
      <c r="M131" s="7">
        <v>34</v>
      </c>
      <c r="N131" s="7">
        <v>42</v>
      </c>
      <c r="O131" s="7">
        <v>70</v>
      </c>
      <c r="P131" s="7">
        <v>57</v>
      </c>
      <c r="Q131" s="7">
        <v>52</v>
      </c>
      <c r="R131" s="7">
        <v>41</v>
      </c>
      <c r="S131" s="7">
        <v>55</v>
      </c>
      <c r="T131" s="7">
        <v>40</v>
      </c>
      <c r="U131" s="7">
        <v>38</v>
      </c>
      <c r="V131" s="7">
        <v>70</v>
      </c>
      <c r="W131" s="7">
        <v>47</v>
      </c>
      <c r="X131" s="7">
        <v>30</v>
      </c>
      <c r="Y131" s="7">
        <v>33</v>
      </c>
      <c r="Z131" s="7">
        <v>58</v>
      </c>
      <c r="AA131" s="7">
        <v>46</v>
      </c>
      <c r="AB131" s="7">
        <v>39</v>
      </c>
      <c r="AC131" s="7">
        <v>84</v>
      </c>
      <c r="AD131" s="7">
        <v>60</v>
      </c>
      <c r="AE131" s="7">
        <v>46</v>
      </c>
      <c r="AF131" s="8">
        <v>23</v>
      </c>
      <c r="AG131" s="4">
        <f t="shared" si="19"/>
        <v>1520</v>
      </c>
    </row>
    <row r="132" spans="1:35" ht="18.75" x14ac:dyDescent="0.25">
      <c r="A132" s="43" t="s">
        <v>23</v>
      </c>
      <c r="B132" s="7">
        <v>9</v>
      </c>
      <c r="C132" s="7">
        <v>13</v>
      </c>
      <c r="D132" s="7">
        <v>7</v>
      </c>
      <c r="E132" s="7">
        <v>6</v>
      </c>
      <c r="F132" s="7">
        <v>10</v>
      </c>
      <c r="G132" s="7">
        <v>5</v>
      </c>
      <c r="H132" s="7">
        <v>5</v>
      </c>
      <c r="I132" s="7">
        <v>18</v>
      </c>
      <c r="J132" s="7">
        <v>6</v>
      </c>
      <c r="K132" s="7">
        <v>5</v>
      </c>
      <c r="L132" s="7">
        <v>4</v>
      </c>
      <c r="M132" s="7">
        <v>11</v>
      </c>
      <c r="N132" s="7">
        <v>10</v>
      </c>
      <c r="O132" s="7">
        <v>13</v>
      </c>
      <c r="P132" s="7">
        <v>10</v>
      </c>
      <c r="Q132" s="7">
        <v>7</v>
      </c>
      <c r="R132" s="7">
        <v>8</v>
      </c>
      <c r="S132" s="7">
        <v>11</v>
      </c>
      <c r="T132" s="7">
        <v>7</v>
      </c>
      <c r="U132" s="7">
        <v>9</v>
      </c>
      <c r="V132" s="7">
        <v>10</v>
      </c>
      <c r="W132" s="7">
        <v>8</v>
      </c>
      <c r="X132" s="7">
        <v>11</v>
      </c>
      <c r="Y132" s="7">
        <v>6</v>
      </c>
      <c r="Z132" s="7">
        <v>13</v>
      </c>
      <c r="AA132" s="7">
        <v>15</v>
      </c>
      <c r="AB132" s="7">
        <v>11</v>
      </c>
      <c r="AC132" s="7">
        <v>8</v>
      </c>
      <c r="AD132" s="7">
        <v>9</v>
      </c>
      <c r="AE132" s="7">
        <v>14</v>
      </c>
      <c r="AF132" s="8">
        <v>10</v>
      </c>
      <c r="AG132" s="4">
        <f t="shared" si="19"/>
        <v>289</v>
      </c>
    </row>
    <row r="133" spans="1:35" ht="18.75" x14ac:dyDescent="0.25">
      <c r="A133" s="43" t="s">
        <v>24</v>
      </c>
      <c r="B133" s="7">
        <v>10</v>
      </c>
      <c r="C133" s="7">
        <v>8</v>
      </c>
      <c r="D133" s="7">
        <v>10</v>
      </c>
      <c r="E133" s="7">
        <v>8</v>
      </c>
      <c r="F133" s="7">
        <v>3</v>
      </c>
      <c r="G133" s="7">
        <v>3</v>
      </c>
      <c r="H133" s="7">
        <v>15</v>
      </c>
      <c r="I133" s="7">
        <v>10</v>
      </c>
      <c r="J133" s="7">
        <v>5</v>
      </c>
      <c r="K133" s="7">
        <v>13</v>
      </c>
      <c r="L133" s="7">
        <v>12</v>
      </c>
      <c r="M133" s="7">
        <f>12</f>
        <v>12</v>
      </c>
      <c r="N133" s="7">
        <v>5</v>
      </c>
      <c r="O133" s="7">
        <v>8</v>
      </c>
      <c r="P133" s="7">
        <v>12</v>
      </c>
      <c r="Q133" s="7">
        <v>15</v>
      </c>
      <c r="R133" s="7">
        <v>5</v>
      </c>
      <c r="S133" s="7">
        <v>11</v>
      </c>
      <c r="T133" s="7">
        <v>5</v>
      </c>
      <c r="U133" s="7">
        <v>10</v>
      </c>
      <c r="V133" s="7">
        <v>10</v>
      </c>
      <c r="W133" s="7">
        <v>8</v>
      </c>
      <c r="X133" s="7">
        <v>8</v>
      </c>
      <c r="Y133" s="7">
        <v>9</v>
      </c>
      <c r="Z133" s="7">
        <v>15</v>
      </c>
      <c r="AA133" s="7">
        <v>10</v>
      </c>
      <c r="AB133" s="7">
        <v>11</v>
      </c>
      <c r="AC133" s="7">
        <v>20</v>
      </c>
      <c r="AD133" s="7">
        <v>13</v>
      </c>
      <c r="AE133" s="7">
        <v>18</v>
      </c>
      <c r="AF133" s="8">
        <v>7</v>
      </c>
      <c r="AG133" s="4">
        <f t="shared" si="19"/>
        <v>309</v>
      </c>
    </row>
    <row r="134" spans="1:35" ht="18.75" x14ac:dyDescent="0.25">
      <c r="A134" s="43" t="s">
        <v>25</v>
      </c>
      <c r="B134" s="7">
        <f>2+9+1</f>
        <v>12</v>
      </c>
      <c r="C134" s="7">
        <v>13</v>
      </c>
      <c r="D134" s="7">
        <v>8</v>
      </c>
      <c r="E134" s="7">
        <f>1+8</f>
        <v>9</v>
      </c>
      <c r="F134" s="7">
        <f>3+1</f>
        <v>4</v>
      </c>
      <c r="G134" s="7">
        <v>13</v>
      </c>
      <c r="H134" s="7">
        <v>7</v>
      </c>
      <c r="I134" s="7">
        <f>1+19</f>
        <v>20</v>
      </c>
      <c r="J134" s="7">
        <f>1+7</f>
        <v>8</v>
      </c>
      <c r="K134" s="7">
        <f>1+7</f>
        <v>8</v>
      </c>
      <c r="L134" s="7">
        <v>9</v>
      </c>
      <c r="M134" s="7">
        <f>3</f>
        <v>3</v>
      </c>
      <c r="N134" s="7">
        <f>2+12</f>
        <v>14</v>
      </c>
      <c r="O134" s="7">
        <f>10+1</f>
        <v>11</v>
      </c>
      <c r="P134" s="7">
        <v>9</v>
      </c>
      <c r="Q134" s="7">
        <v>13</v>
      </c>
      <c r="R134" s="7">
        <v>12</v>
      </c>
      <c r="S134" s="7">
        <v>8</v>
      </c>
      <c r="T134" s="7">
        <v>10</v>
      </c>
      <c r="U134" s="7">
        <v>4</v>
      </c>
      <c r="V134" s="7">
        <v>8</v>
      </c>
      <c r="W134" s="7">
        <v>11</v>
      </c>
      <c r="X134" s="7">
        <f>1+12</f>
        <v>13</v>
      </c>
      <c r="Y134" s="7">
        <v>7</v>
      </c>
      <c r="Z134" s="7">
        <f>1+11</f>
        <v>12</v>
      </c>
      <c r="AA134" s="7">
        <v>3</v>
      </c>
      <c r="AB134" s="7">
        <f>1+10</f>
        <v>11</v>
      </c>
      <c r="AC134" s="7">
        <v>12</v>
      </c>
      <c r="AD134" s="7">
        <v>11</v>
      </c>
      <c r="AE134" s="7">
        <v>11</v>
      </c>
      <c r="AF134" s="8">
        <f>1+4</f>
        <v>5</v>
      </c>
      <c r="AG134" s="4">
        <f t="shared" ref="AG134:AG147" si="21">SUM(B134:AF134)</f>
        <v>299</v>
      </c>
    </row>
    <row r="135" spans="1:35" ht="18.75" x14ac:dyDescent="0.25">
      <c r="A135" s="43" t="s">
        <v>26</v>
      </c>
      <c r="B135" s="7">
        <v>9</v>
      </c>
      <c r="C135" s="7">
        <v>9</v>
      </c>
      <c r="D135" s="7">
        <v>14</v>
      </c>
      <c r="E135" s="7">
        <v>13</v>
      </c>
      <c r="F135" s="7">
        <v>14</v>
      </c>
      <c r="G135" s="7">
        <v>11</v>
      </c>
      <c r="H135" s="7">
        <v>14</v>
      </c>
      <c r="I135" s="7">
        <v>10</v>
      </c>
      <c r="J135" s="7">
        <v>12</v>
      </c>
      <c r="K135" s="7">
        <v>6</v>
      </c>
      <c r="L135" s="7">
        <v>8</v>
      </c>
      <c r="M135" s="7">
        <v>10</v>
      </c>
      <c r="N135" s="7">
        <v>5</v>
      </c>
      <c r="O135" s="7">
        <v>10</v>
      </c>
      <c r="P135" s="7">
        <v>9</v>
      </c>
      <c r="Q135" s="7">
        <v>12</v>
      </c>
      <c r="R135" s="7">
        <v>9</v>
      </c>
      <c r="S135" s="7">
        <v>7</v>
      </c>
      <c r="T135" s="7">
        <v>10</v>
      </c>
      <c r="U135" s="7">
        <v>5</v>
      </c>
      <c r="V135" s="7">
        <v>16</v>
      </c>
      <c r="W135" s="7">
        <v>15</v>
      </c>
      <c r="X135" s="7">
        <v>7</v>
      </c>
      <c r="Y135" s="7">
        <v>6</v>
      </c>
      <c r="Z135" s="7">
        <v>7</v>
      </c>
      <c r="AA135" s="7">
        <v>9</v>
      </c>
      <c r="AB135" s="7">
        <v>9</v>
      </c>
      <c r="AC135" s="7">
        <v>13</v>
      </c>
      <c r="AD135" s="7">
        <v>15</v>
      </c>
      <c r="AE135" s="7">
        <v>10</v>
      </c>
      <c r="AF135" s="8">
        <v>2</v>
      </c>
      <c r="AG135" s="4">
        <f t="shared" si="21"/>
        <v>306</v>
      </c>
    </row>
    <row r="136" spans="1:35" ht="18.75" x14ac:dyDescent="0.25">
      <c r="A136" s="43" t="s">
        <v>27</v>
      </c>
      <c r="B136" s="7">
        <v>39</v>
      </c>
      <c r="C136" s="7">
        <v>28</v>
      </c>
      <c r="D136" s="7">
        <v>22</v>
      </c>
      <c r="E136" s="7">
        <v>27</v>
      </c>
      <c r="F136" s="7">
        <v>24</v>
      </c>
      <c r="G136" s="7">
        <v>20</v>
      </c>
      <c r="H136" s="7">
        <v>36</v>
      </c>
      <c r="I136" s="7">
        <v>32</v>
      </c>
      <c r="J136" s="7">
        <v>21</v>
      </c>
      <c r="K136" s="7">
        <v>26</v>
      </c>
      <c r="L136" s="7">
        <v>13</v>
      </c>
      <c r="M136" s="7">
        <v>23</v>
      </c>
      <c r="N136" s="7">
        <v>27</v>
      </c>
      <c r="O136" s="7">
        <v>40</v>
      </c>
      <c r="P136" s="7">
        <v>34</v>
      </c>
      <c r="Q136" s="7">
        <v>34</v>
      </c>
      <c r="R136" s="7">
        <v>25</v>
      </c>
      <c r="S136" s="7">
        <v>16</v>
      </c>
      <c r="T136" s="7">
        <v>21</v>
      </c>
      <c r="U136" s="7">
        <v>13</v>
      </c>
      <c r="V136" s="7">
        <v>26</v>
      </c>
      <c r="W136" s="7">
        <v>35</v>
      </c>
      <c r="X136" s="7">
        <v>25</v>
      </c>
      <c r="Y136" s="7">
        <v>17</v>
      </c>
      <c r="Z136" s="7">
        <v>33</v>
      </c>
      <c r="AA136" s="7">
        <v>27</v>
      </c>
      <c r="AB136" s="7">
        <v>23</v>
      </c>
      <c r="AC136" s="7">
        <v>31</v>
      </c>
      <c r="AD136" s="7">
        <v>54</v>
      </c>
      <c r="AE136" s="7">
        <v>26</v>
      </c>
      <c r="AF136" s="8">
        <v>19</v>
      </c>
      <c r="AG136" s="4">
        <f t="shared" si="21"/>
        <v>837</v>
      </c>
    </row>
    <row r="137" spans="1:35" ht="18.75" x14ac:dyDescent="0.25">
      <c r="A137" s="43" t="s">
        <v>28</v>
      </c>
      <c r="B137" s="7">
        <v>8</v>
      </c>
      <c r="C137" s="7">
        <f>5+2</f>
        <v>7</v>
      </c>
      <c r="D137" s="7">
        <f>6+1</f>
        <v>7</v>
      </c>
      <c r="E137" s="7">
        <f>3+1</f>
        <v>4</v>
      </c>
      <c r="F137" s="7">
        <f>8+2</f>
        <v>10</v>
      </c>
      <c r="G137" s="7">
        <f>11+1</f>
        <v>12</v>
      </c>
      <c r="H137" s="7">
        <f>6+1</f>
        <v>7</v>
      </c>
      <c r="I137" s="7">
        <f>11+1</f>
        <v>12</v>
      </c>
      <c r="J137" s="7">
        <v>9</v>
      </c>
      <c r="K137" s="7">
        <v>9</v>
      </c>
      <c r="L137" s="7">
        <v>4</v>
      </c>
      <c r="M137" s="7">
        <v>5</v>
      </c>
      <c r="N137" s="7">
        <v>5</v>
      </c>
      <c r="O137" s="7">
        <v>2</v>
      </c>
      <c r="P137" s="7">
        <v>5</v>
      </c>
      <c r="Q137" s="7">
        <v>8</v>
      </c>
      <c r="R137" s="7">
        <v>2</v>
      </c>
      <c r="S137" s="7">
        <f>3+1</f>
        <v>4</v>
      </c>
      <c r="T137" s="7">
        <v>8</v>
      </c>
      <c r="U137" s="7">
        <f>5+2</f>
        <v>7</v>
      </c>
      <c r="V137" s="7">
        <v>10</v>
      </c>
      <c r="W137" s="7">
        <v>6</v>
      </c>
      <c r="X137" s="7">
        <v>3</v>
      </c>
      <c r="Y137" s="7">
        <v>2</v>
      </c>
      <c r="Z137" s="7">
        <f>6+2</f>
        <v>8</v>
      </c>
      <c r="AA137" s="7">
        <f>6+1</f>
        <v>7</v>
      </c>
      <c r="AB137" s="7">
        <f>5+1</f>
        <v>6</v>
      </c>
      <c r="AC137" s="7">
        <f>6+1</f>
        <v>7</v>
      </c>
      <c r="AD137" s="7">
        <f>6+3</f>
        <v>9</v>
      </c>
      <c r="AE137" s="7">
        <v>6</v>
      </c>
      <c r="AF137" s="8">
        <v>6</v>
      </c>
      <c r="AG137" s="4">
        <f t="shared" si="21"/>
        <v>205</v>
      </c>
    </row>
    <row r="138" spans="1:35" ht="18.75" x14ac:dyDescent="0.25">
      <c r="A138" s="43" t="s">
        <v>29</v>
      </c>
      <c r="B138" s="7">
        <v>6</v>
      </c>
      <c r="C138" s="7">
        <v>7</v>
      </c>
      <c r="D138" s="7">
        <v>3</v>
      </c>
      <c r="E138" s="7">
        <v>8</v>
      </c>
      <c r="F138" s="7">
        <v>8</v>
      </c>
      <c r="G138" s="7">
        <v>6</v>
      </c>
      <c r="H138" s="7">
        <v>5</v>
      </c>
      <c r="I138" s="7">
        <v>9</v>
      </c>
      <c r="J138" s="7">
        <v>2</v>
      </c>
      <c r="K138" s="7">
        <v>7</v>
      </c>
      <c r="L138" s="7">
        <v>8</v>
      </c>
      <c r="M138" s="7">
        <f>6</f>
        <v>6</v>
      </c>
      <c r="N138" s="7">
        <v>3</v>
      </c>
      <c r="O138" s="7">
        <v>4</v>
      </c>
      <c r="P138" s="7">
        <v>6</v>
      </c>
      <c r="Q138" s="7">
        <v>4</v>
      </c>
      <c r="R138" s="7">
        <v>7</v>
      </c>
      <c r="S138" s="7">
        <v>11</v>
      </c>
      <c r="T138" s="7">
        <v>8</v>
      </c>
      <c r="U138" s="7">
        <v>1</v>
      </c>
      <c r="V138" s="7">
        <v>7</v>
      </c>
      <c r="W138" s="7">
        <v>7</v>
      </c>
      <c r="X138" s="7">
        <v>2</v>
      </c>
      <c r="Y138" s="7"/>
      <c r="Z138" s="7">
        <f>1</f>
        <v>1</v>
      </c>
      <c r="AA138" s="7">
        <v>1</v>
      </c>
      <c r="AB138" s="7">
        <v>8</v>
      </c>
      <c r="AC138" s="7">
        <v>4</v>
      </c>
      <c r="AD138" s="7">
        <v>11</v>
      </c>
      <c r="AE138" s="7">
        <v>11</v>
      </c>
      <c r="AF138" s="8">
        <v>5</v>
      </c>
      <c r="AG138" s="4">
        <f t="shared" si="21"/>
        <v>176</v>
      </c>
    </row>
    <row r="139" spans="1:35" ht="18.75" x14ac:dyDescent="0.25">
      <c r="A139" s="41" t="s">
        <v>30</v>
      </c>
      <c r="B139" s="7">
        <f>1+1</f>
        <v>2</v>
      </c>
      <c r="C139" s="7">
        <v>2</v>
      </c>
      <c r="D139" s="7">
        <v>1</v>
      </c>
      <c r="E139" s="7">
        <f>1+1</f>
        <v>2</v>
      </c>
      <c r="F139" s="7">
        <v>1</v>
      </c>
      <c r="G139" s="7">
        <f>1+1</f>
        <v>2</v>
      </c>
      <c r="H139" s="7">
        <v>2</v>
      </c>
      <c r="I139" s="7">
        <v>2</v>
      </c>
      <c r="J139" s="7">
        <f>4+1</f>
        <v>5</v>
      </c>
      <c r="K139" s="7">
        <v>3</v>
      </c>
      <c r="L139" s="7">
        <v>4</v>
      </c>
      <c r="M139" s="7">
        <f>1</f>
        <v>1</v>
      </c>
      <c r="N139" s="7"/>
      <c r="O139" s="7">
        <v>2</v>
      </c>
      <c r="P139" s="7">
        <v>1</v>
      </c>
      <c r="Q139" s="7">
        <v>1</v>
      </c>
      <c r="R139" s="7">
        <v>1</v>
      </c>
      <c r="S139" s="7">
        <v>2</v>
      </c>
      <c r="T139" s="7">
        <f>1+1</f>
        <v>2</v>
      </c>
      <c r="U139" s="7">
        <f>2+2</f>
        <v>4</v>
      </c>
      <c r="V139" s="7">
        <f>3+1</f>
        <v>4</v>
      </c>
      <c r="W139" s="7">
        <v>1</v>
      </c>
      <c r="X139" s="7">
        <v>1</v>
      </c>
      <c r="Y139" s="7">
        <v>2</v>
      </c>
      <c r="Z139" s="7">
        <f>1+1</f>
        <v>2</v>
      </c>
      <c r="AA139" s="7">
        <v>2</v>
      </c>
      <c r="AB139" s="7">
        <f>1+2</f>
        <v>3</v>
      </c>
      <c r="AC139" s="7">
        <f>1+1</f>
        <v>2</v>
      </c>
      <c r="AD139" s="7">
        <f>1+2</f>
        <v>3</v>
      </c>
      <c r="AE139" s="7">
        <f>2+2</f>
        <v>4</v>
      </c>
      <c r="AF139" s="8"/>
      <c r="AG139" s="4">
        <f t="shared" si="21"/>
        <v>64</v>
      </c>
    </row>
    <row r="140" spans="1:35" ht="18.75" x14ac:dyDescent="0.25">
      <c r="A140" s="41" t="s">
        <v>31</v>
      </c>
      <c r="B140" s="7"/>
      <c r="C140" s="7">
        <v>1</v>
      </c>
      <c r="D140" s="7">
        <v>2</v>
      </c>
      <c r="E140" s="7">
        <v>1</v>
      </c>
      <c r="F140" s="7">
        <v>3</v>
      </c>
      <c r="G140" s="7"/>
      <c r="H140" s="7">
        <v>2</v>
      </c>
      <c r="I140" s="7"/>
      <c r="J140" s="7">
        <v>3</v>
      </c>
      <c r="K140" s="7"/>
      <c r="L140" s="7"/>
      <c r="M140" s="7">
        <v>4</v>
      </c>
      <c r="N140" s="7">
        <v>2</v>
      </c>
      <c r="O140" s="7">
        <v>1</v>
      </c>
      <c r="P140" s="7">
        <v>2</v>
      </c>
      <c r="Q140" s="7">
        <v>2</v>
      </c>
      <c r="R140" s="7">
        <v>3</v>
      </c>
      <c r="S140" s="7"/>
      <c r="T140" s="7">
        <v>1</v>
      </c>
      <c r="U140" s="7"/>
      <c r="V140" s="7">
        <v>1</v>
      </c>
      <c r="W140" s="7">
        <v>4</v>
      </c>
      <c r="X140" s="7">
        <v>2</v>
      </c>
      <c r="Y140" s="7">
        <v>1</v>
      </c>
      <c r="Z140" s="7"/>
      <c r="AA140" s="7"/>
      <c r="AB140" s="7">
        <v>4</v>
      </c>
      <c r="AC140" s="7">
        <v>3</v>
      </c>
      <c r="AD140" s="7">
        <v>2</v>
      </c>
      <c r="AE140" s="7">
        <v>1</v>
      </c>
      <c r="AF140" s="8"/>
      <c r="AG140" s="4">
        <f t="shared" si="21"/>
        <v>45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>
        <v>1</v>
      </c>
      <c r="H141" s="7">
        <v>1</v>
      </c>
      <c r="I141" s="7"/>
      <c r="J141" s="7">
        <v>1</v>
      </c>
      <c r="K141" s="7"/>
      <c r="L141" s="7"/>
      <c r="M141" s="7"/>
      <c r="N141" s="7"/>
      <c r="O141" s="7">
        <v>2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5</v>
      </c>
    </row>
    <row r="142" spans="1:35" ht="18.75" x14ac:dyDescent="0.25">
      <c r="A142" s="43" t="s">
        <v>60</v>
      </c>
      <c r="B142" s="7">
        <f>1+1+2</f>
        <v>4</v>
      </c>
      <c r="C142" s="7">
        <f>1+1+1+6</f>
        <v>9</v>
      </c>
      <c r="D142" s="7">
        <f>1+1+1</f>
        <v>3</v>
      </c>
      <c r="E142" s="7">
        <f>1+1+6</f>
        <v>8</v>
      </c>
      <c r="F142" s="7">
        <f>2+1+1+3</f>
        <v>7</v>
      </c>
      <c r="G142" s="7">
        <f>2+1+5</f>
        <v>8</v>
      </c>
      <c r="H142" s="7">
        <f>1+3</f>
        <v>4</v>
      </c>
      <c r="I142" s="7">
        <f>2+1</f>
        <v>3</v>
      </c>
      <c r="J142" s="7">
        <f>1+3</f>
        <v>4</v>
      </c>
      <c r="K142" s="7">
        <f>2+1+1+2+1+1+1</f>
        <v>9</v>
      </c>
      <c r="L142" s="7">
        <f>1+1+1</f>
        <v>3</v>
      </c>
      <c r="M142" s="7">
        <f>3+2+2+3</f>
        <v>10</v>
      </c>
      <c r="N142" s="7">
        <f>1+4</f>
        <v>5</v>
      </c>
      <c r="O142" s="7">
        <f>1+2</f>
        <v>3</v>
      </c>
      <c r="P142" s="7">
        <f>3+1+3</f>
        <v>7</v>
      </c>
      <c r="Q142" s="7">
        <f>1+1</f>
        <v>2</v>
      </c>
      <c r="R142" s="7">
        <f>2+1</f>
        <v>3</v>
      </c>
      <c r="S142" s="7">
        <f>6+1+1+1+1</f>
        <v>10</v>
      </c>
      <c r="T142" s="7">
        <f>1+1+1</f>
        <v>3</v>
      </c>
      <c r="U142" s="7">
        <f>1+1+2+1+1+1</f>
        <v>7</v>
      </c>
      <c r="V142" s="7">
        <f>3+1+1</f>
        <v>5</v>
      </c>
      <c r="W142" s="7">
        <f>1+1</f>
        <v>2</v>
      </c>
      <c r="X142" s="7">
        <f>2+1+1+1+1</f>
        <v>6</v>
      </c>
      <c r="Y142" s="7">
        <f>2+1+2</f>
        <v>5</v>
      </c>
      <c r="Z142" s="7">
        <f>1+1+1</f>
        <v>3</v>
      </c>
      <c r="AA142" s="7">
        <f>2+2+5</f>
        <v>9</v>
      </c>
      <c r="AB142" s="7">
        <f>1</f>
        <v>1</v>
      </c>
      <c r="AC142" s="7">
        <f>1+2+1+1</f>
        <v>5</v>
      </c>
      <c r="AD142" s="7">
        <f>1+1</f>
        <v>2</v>
      </c>
      <c r="AE142" s="7">
        <f>2+1+5</f>
        <v>8</v>
      </c>
      <c r="AF142" s="8">
        <f>1+1+1</f>
        <v>3</v>
      </c>
      <c r="AG142" s="4">
        <f t="shared" si="21"/>
        <v>161</v>
      </c>
    </row>
    <row r="143" spans="1:35" ht="19.5" thickBot="1" x14ac:dyDescent="0.3">
      <c r="A143" s="75" t="s">
        <v>86</v>
      </c>
      <c r="B143" s="13">
        <f>8+15</f>
        <v>23</v>
      </c>
      <c r="C143" s="13">
        <f>6+12</f>
        <v>18</v>
      </c>
      <c r="D143" s="13">
        <f>2+4</f>
        <v>6</v>
      </c>
      <c r="E143" s="13">
        <f>7+3</f>
        <v>10</v>
      </c>
      <c r="F143" s="13">
        <f>11+9</f>
        <v>20</v>
      </c>
      <c r="G143" s="13">
        <f>9+5</f>
        <v>14</v>
      </c>
      <c r="H143" s="13">
        <f>12+13</f>
        <v>25</v>
      </c>
      <c r="I143" s="13">
        <f>16+14</f>
        <v>30</v>
      </c>
      <c r="J143" s="13">
        <f>13+1</f>
        <v>14</v>
      </c>
      <c r="K143" s="13">
        <f>9+8</f>
        <v>17</v>
      </c>
      <c r="L143" s="13">
        <f>10+2</f>
        <v>12</v>
      </c>
      <c r="M143" s="13">
        <f>13+6</f>
        <v>19</v>
      </c>
      <c r="N143" s="13">
        <f>1+8+7</f>
        <v>16</v>
      </c>
      <c r="O143" s="13">
        <f>5+13</f>
        <v>18</v>
      </c>
      <c r="P143" s="13">
        <f>9+12</f>
        <v>21</v>
      </c>
      <c r="Q143" s="13">
        <f>7+10</f>
        <v>17</v>
      </c>
      <c r="R143" s="13">
        <f>8+7</f>
        <v>15</v>
      </c>
      <c r="S143" s="13">
        <v>8</v>
      </c>
      <c r="T143" s="13">
        <f>12+9</f>
        <v>21</v>
      </c>
      <c r="U143" s="13">
        <f>8+4</f>
        <v>12</v>
      </c>
      <c r="V143" s="13">
        <f>17+11</f>
        <v>28</v>
      </c>
      <c r="W143" s="13">
        <f>13+14</f>
        <v>27</v>
      </c>
      <c r="X143" s="13">
        <f>14+9</f>
        <v>23</v>
      </c>
      <c r="Y143" s="13">
        <f>5+3</f>
        <v>8</v>
      </c>
      <c r="Z143" s="13">
        <f>7+12</f>
        <v>19</v>
      </c>
      <c r="AA143" s="13">
        <f>8+7</f>
        <v>15</v>
      </c>
      <c r="AB143" s="13">
        <f>16+10</f>
        <v>26</v>
      </c>
      <c r="AC143" s="13">
        <f>9+10</f>
        <v>19</v>
      </c>
      <c r="AD143" s="13">
        <f>10+11</f>
        <v>21</v>
      </c>
      <c r="AE143" s="13">
        <f>8+8</f>
        <v>16</v>
      </c>
      <c r="AF143" s="14">
        <f>9+5</f>
        <v>14</v>
      </c>
      <c r="AG143" s="108">
        <f t="shared" si="21"/>
        <v>552</v>
      </c>
    </row>
    <row r="144" spans="1:35" ht="19.5" thickBot="1" x14ac:dyDescent="0.3">
      <c r="A144" s="164" t="s">
        <v>89</v>
      </c>
      <c r="B144" s="165">
        <f t="shared" ref="B144:AD144" si="22">+B146+B156+B158+B167</f>
        <v>182</v>
      </c>
      <c r="C144" s="165">
        <f t="shared" si="22"/>
        <v>176</v>
      </c>
      <c r="D144" s="165">
        <f t="shared" si="22"/>
        <v>134</v>
      </c>
      <c r="E144" s="165">
        <f t="shared" si="22"/>
        <v>146</v>
      </c>
      <c r="F144" s="165">
        <f t="shared" si="22"/>
        <v>142</v>
      </c>
      <c r="G144" s="165">
        <f t="shared" si="22"/>
        <v>140</v>
      </c>
      <c r="H144" s="165">
        <f t="shared" si="22"/>
        <v>203</v>
      </c>
      <c r="I144" s="165">
        <f t="shared" si="22"/>
        <v>199</v>
      </c>
      <c r="J144" s="165">
        <f t="shared" si="22"/>
        <v>141</v>
      </c>
      <c r="K144" s="165">
        <f t="shared" si="22"/>
        <v>140</v>
      </c>
      <c r="L144" s="165">
        <f t="shared" si="22"/>
        <v>106</v>
      </c>
      <c r="M144" s="165">
        <f t="shared" si="22"/>
        <v>138</v>
      </c>
      <c r="N144" s="165">
        <f t="shared" si="22"/>
        <v>134</v>
      </c>
      <c r="O144" s="165">
        <f t="shared" si="22"/>
        <v>184</v>
      </c>
      <c r="P144" s="165">
        <f t="shared" si="22"/>
        <v>173</v>
      </c>
      <c r="Q144" s="165">
        <f t="shared" si="22"/>
        <v>167</v>
      </c>
      <c r="R144" s="165">
        <f t="shared" si="22"/>
        <v>131</v>
      </c>
      <c r="S144" s="165">
        <f t="shared" si="22"/>
        <v>143</v>
      </c>
      <c r="T144" s="165">
        <f t="shared" si="22"/>
        <v>136</v>
      </c>
      <c r="U144" s="165">
        <f t="shared" si="22"/>
        <v>110</v>
      </c>
      <c r="V144" s="165">
        <f t="shared" si="22"/>
        <v>195</v>
      </c>
      <c r="W144" s="165">
        <f t="shared" si="22"/>
        <v>171</v>
      </c>
      <c r="X144" s="165">
        <f t="shared" si="22"/>
        <v>131</v>
      </c>
      <c r="Y144" s="165">
        <f t="shared" si="22"/>
        <v>96</v>
      </c>
      <c r="Z144" s="165">
        <f t="shared" si="22"/>
        <v>171</v>
      </c>
      <c r="AA144" s="165">
        <f t="shared" si="22"/>
        <v>144</v>
      </c>
      <c r="AB144" s="165">
        <f t="shared" si="22"/>
        <v>152</v>
      </c>
      <c r="AC144" s="165">
        <f t="shared" si="22"/>
        <v>208</v>
      </c>
      <c r="AD144" s="165">
        <f t="shared" si="22"/>
        <v>210</v>
      </c>
      <c r="AE144" s="165">
        <f>+AE146+AE156+AE158+AE167</f>
        <v>171</v>
      </c>
      <c r="AF144" s="165">
        <f t="shared" ref="AF144" si="23">+AF146+AF156+AF158+AF167</f>
        <v>94</v>
      </c>
      <c r="AG144" s="116">
        <f t="shared" si="21"/>
        <v>4768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18</v>
      </c>
      <c r="C145" s="161">
        <f t="shared" si="24"/>
        <v>15</v>
      </c>
      <c r="D145" s="161">
        <f t="shared" si="24"/>
        <v>26</v>
      </c>
      <c r="E145" s="161">
        <f t="shared" si="24"/>
        <v>10</v>
      </c>
      <c r="F145" s="161">
        <f t="shared" si="24"/>
        <v>14</v>
      </c>
      <c r="G145" s="161">
        <f t="shared" si="24"/>
        <v>25</v>
      </c>
      <c r="H145" s="161">
        <f t="shared" si="24"/>
        <v>7</v>
      </c>
      <c r="I145" s="161">
        <f t="shared" si="24"/>
        <v>7</v>
      </c>
      <c r="J145" s="161">
        <f t="shared" si="24"/>
        <v>36</v>
      </c>
      <c r="K145" s="161">
        <f t="shared" si="24"/>
        <v>23</v>
      </c>
      <c r="L145" s="161">
        <f t="shared" si="24"/>
        <v>8</v>
      </c>
      <c r="M145" s="161">
        <f t="shared" si="24"/>
        <v>5</v>
      </c>
      <c r="N145" s="161">
        <f t="shared" si="24"/>
        <v>5</v>
      </c>
      <c r="O145" s="161">
        <f t="shared" si="24"/>
        <v>8</v>
      </c>
      <c r="P145" s="161">
        <f t="shared" si="24"/>
        <v>8</v>
      </c>
      <c r="Q145" s="161">
        <f t="shared" si="24"/>
        <v>21</v>
      </c>
      <c r="R145" s="161">
        <f t="shared" si="24"/>
        <v>8</v>
      </c>
      <c r="S145" s="161">
        <f t="shared" si="24"/>
        <v>19</v>
      </c>
      <c r="T145" s="161">
        <f t="shared" si="24"/>
        <v>6</v>
      </c>
      <c r="U145" s="161">
        <f t="shared" si="24"/>
        <v>21</v>
      </c>
      <c r="V145" s="161">
        <f t="shared" si="24"/>
        <v>12</v>
      </c>
      <c r="W145" s="161">
        <f t="shared" si="24"/>
        <v>2</v>
      </c>
      <c r="X145" s="161">
        <f t="shared" si="24"/>
        <v>3</v>
      </c>
      <c r="Y145" s="161">
        <f t="shared" si="24"/>
        <v>0</v>
      </c>
      <c r="Z145" s="161">
        <f t="shared" si="24"/>
        <v>2</v>
      </c>
      <c r="AA145" s="161">
        <f t="shared" si="24"/>
        <v>32</v>
      </c>
      <c r="AB145" s="161">
        <f t="shared" si="24"/>
        <v>14</v>
      </c>
      <c r="AC145" s="161">
        <f t="shared" si="24"/>
        <v>36</v>
      </c>
      <c r="AD145" s="161">
        <f t="shared" si="24"/>
        <v>9</v>
      </c>
      <c r="AE145" s="161">
        <f>+AE149+AE155+AE157+AE172</f>
        <v>9</v>
      </c>
      <c r="AF145" s="162">
        <f t="shared" ref="AF145" si="25">+AF149+AF155+AF157+AF172</f>
        <v>2</v>
      </c>
      <c r="AG145" s="163">
        <f t="shared" si="21"/>
        <v>411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1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1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24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>
        <v>1</v>
      </c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1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180</v>
      </c>
      <c r="C156" s="56">
        <v>176</v>
      </c>
      <c r="D156" s="56">
        <v>134</v>
      </c>
      <c r="E156" s="56">
        <v>146</v>
      </c>
      <c r="F156" s="56">
        <v>140</v>
      </c>
      <c r="G156" s="56">
        <v>135</v>
      </c>
      <c r="H156" s="56">
        <v>203</v>
      </c>
      <c r="I156" s="56">
        <v>196</v>
      </c>
      <c r="J156" s="56">
        <v>141</v>
      </c>
      <c r="K156" s="56">
        <v>139</v>
      </c>
      <c r="L156" s="56">
        <v>106</v>
      </c>
      <c r="M156" s="56">
        <v>136</v>
      </c>
      <c r="N156" s="56">
        <v>133</v>
      </c>
      <c r="O156" s="56">
        <v>184</v>
      </c>
      <c r="P156" s="56">
        <v>173</v>
      </c>
      <c r="Q156" s="56">
        <v>167</v>
      </c>
      <c r="R156" s="56">
        <v>131</v>
      </c>
      <c r="S156" s="56">
        <v>142</v>
      </c>
      <c r="T156" s="56">
        <v>136</v>
      </c>
      <c r="U156" s="56">
        <v>109</v>
      </c>
      <c r="V156" s="56">
        <v>195</v>
      </c>
      <c r="W156" s="56">
        <v>170</v>
      </c>
      <c r="X156" s="56">
        <v>131</v>
      </c>
      <c r="Y156" s="56">
        <v>96</v>
      </c>
      <c r="Z156" s="56">
        <v>170</v>
      </c>
      <c r="AA156" s="56">
        <v>143</v>
      </c>
      <c r="AB156" s="56">
        <v>149</v>
      </c>
      <c r="AC156" s="56">
        <v>208</v>
      </c>
      <c r="AD156" s="56">
        <v>209</v>
      </c>
      <c r="AE156" s="56">
        <v>171</v>
      </c>
      <c r="AF156" s="85">
        <v>94</v>
      </c>
      <c r="AG156" s="95">
        <f t="shared" si="28"/>
        <v>4743</v>
      </c>
      <c r="AH156" s="2" t="s">
        <v>84</v>
      </c>
    </row>
    <row r="157" spans="1:34" ht="19.5" thickBot="1" x14ac:dyDescent="0.3">
      <c r="A157" s="75" t="s">
        <v>1</v>
      </c>
      <c r="B157" s="13">
        <v>18</v>
      </c>
      <c r="C157" s="13">
        <v>15</v>
      </c>
      <c r="D157" s="13">
        <v>26</v>
      </c>
      <c r="E157" s="13">
        <v>10</v>
      </c>
      <c r="F157" s="13">
        <v>14</v>
      </c>
      <c r="G157" s="13">
        <v>24</v>
      </c>
      <c r="H157" s="13">
        <v>7</v>
      </c>
      <c r="I157" s="13">
        <v>7</v>
      </c>
      <c r="J157" s="13">
        <v>36</v>
      </c>
      <c r="K157" s="13">
        <v>23</v>
      </c>
      <c r="L157" s="13">
        <v>8</v>
      </c>
      <c r="M157" s="13">
        <v>5</v>
      </c>
      <c r="N157" s="13">
        <v>5</v>
      </c>
      <c r="O157" s="13">
        <v>8</v>
      </c>
      <c r="P157" s="13">
        <v>8</v>
      </c>
      <c r="Q157" s="13">
        <v>21</v>
      </c>
      <c r="R157" s="13">
        <v>8</v>
      </c>
      <c r="S157" s="13">
        <v>19</v>
      </c>
      <c r="T157" s="13">
        <v>6</v>
      </c>
      <c r="U157" s="13">
        <v>21</v>
      </c>
      <c r="V157" s="13">
        <v>12</v>
      </c>
      <c r="W157" s="13">
        <v>2</v>
      </c>
      <c r="X157" s="13">
        <v>3</v>
      </c>
      <c r="Y157" s="13">
        <v>0</v>
      </c>
      <c r="Z157" s="13">
        <v>2</v>
      </c>
      <c r="AA157" s="13">
        <v>32</v>
      </c>
      <c r="AB157" s="13">
        <v>14</v>
      </c>
      <c r="AC157" s="13">
        <v>36</v>
      </c>
      <c r="AD157" s="13">
        <v>9</v>
      </c>
      <c r="AE157" s="13">
        <v>9</v>
      </c>
      <c r="AF157" s="14">
        <v>2</v>
      </c>
      <c r="AG157" s="157">
        <f t="shared" si="28"/>
        <v>410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2</v>
      </c>
      <c r="C158" s="122">
        <f t="shared" si="29"/>
        <v>0</v>
      </c>
      <c r="D158" s="122">
        <f t="shared" si="29"/>
        <v>0</v>
      </c>
      <c r="E158" s="122">
        <f t="shared" si="29"/>
        <v>0</v>
      </c>
      <c r="F158" s="122">
        <f t="shared" si="29"/>
        <v>1</v>
      </c>
      <c r="G158" s="122">
        <f t="shared" si="29"/>
        <v>4</v>
      </c>
      <c r="H158" s="122">
        <f t="shared" si="29"/>
        <v>0</v>
      </c>
      <c r="I158" s="122">
        <f t="shared" si="29"/>
        <v>3</v>
      </c>
      <c r="J158" s="122">
        <f t="shared" si="29"/>
        <v>0</v>
      </c>
      <c r="K158" s="122">
        <f t="shared" si="29"/>
        <v>1</v>
      </c>
      <c r="L158" s="122">
        <f t="shared" si="29"/>
        <v>0</v>
      </c>
      <c r="M158" s="122">
        <f t="shared" si="29"/>
        <v>2</v>
      </c>
      <c r="N158" s="122">
        <f t="shared" si="29"/>
        <v>0</v>
      </c>
      <c r="O158" s="122">
        <f t="shared" si="29"/>
        <v>0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1</v>
      </c>
      <c r="T158" s="122">
        <f t="shared" si="29"/>
        <v>0</v>
      </c>
      <c r="U158" s="122">
        <f t="shared" si="29"/>
        <v>1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0</v>
      </c>
      <c r="Z158" s="122">
        <f t="shared" si="29"/>
        <v>0</v>
      </c>
      <c r="AA158" s="122">
        <f t="shared" si="29"/>
        <v>0</v>
      </c>
      <c r="AB158" s="122">
        <f t="shared" si="29"/>
        <v>1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16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>
        <v>1</v>
      </c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1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>
        <v>2</v>
      </c>
      <c r="H160" s="29"/>
      <c r="I160" s="29"/>
      <c r="J160" s="29"/>
      <c r="K160" s="29"/>
      <c r="L160" s="29"/>
      <c r="M160" s="29">
        <v>1</v>
      </c>
      <c r="N160" s="29"/>
      <c r="O160" s="29"/>
      <c r="P160" s="29"/>
      <c r="Q160" s="29"/>
      <c r="R160" s="29"/>
      <c r="S160" s="29">
        <v>1</v>
      </c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4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0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>
        <v>1</v>
      </c>
      <c r="G162" s="29">
        <v>1</v>
      </c>
      <c r="H162" s="29"/>
      <c r="I162" s="29">
        <v>1</v>
      </c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>
        <v>1</v>
      </c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>
        <v>2</v>
      </c>
      <c r="C165" s="29"/>
      <c r="D165" s="29"/>
      <c r="E165" s="29"/>
      <c r="F165" s="29"/>
      <c r="G165" s="29">
        <v>1</v>
      </c>
      <c r="H165" s="29"/>
      <c r="I165" s="29">
        <v>2</v>
      </c>
      <c r="J165" s="29"/>
      <c r="K165" s="29">
        <v>1</v>
      </c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>
        <v>1</v>
      </c>
      <c r="AC165" s="29"/>
      <c r="AD165" s="29"/>
      <c r="AE165" s="29"/>
      <c r="AF165" s="21"/>
      <c r="AG165" s="4">
        <f t="shared" si="28"/>
        <v>7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1</v>
      </c>
      <c r="G167" s="56">
        <f t="shared" si="30"/>
        <v>1</v>
      </c>
      <c r="H167" s="56">
        <f t="shared" si="30"/>
        <v>0</v>
      </c>
      <c r="I167" s="56">
        <f t="shared" si="30"/>
        <v>0</v>
      </c>
      <c r="J167" s="56">
        <f t="shared" si="30"/>
        <v>0</v>
      </c>
      <c r="K167" s="56">
        <f t="shared" si="30"/>
        <v>0</v>
      </c>
      <c r="L167" s="56">
        <f t="shared" si="30"/>
        <v>0</v>
      </c>
      <c r="M167" s="56">
        <f t="shared" si="30"/>
        <v>0</v>
      </c>
      <c r="N167" s="56">
        <f t="shared" si="30"/>
        <v>1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1</v>
      </c>
      <c r="AA167" s="56">
        <f t="shared" si="30"/>
        <v>1</v>
      </c>
      <c r="AB167" s="56">
        <f t="shared" si="30"/>
        <v>2</v>
      </c>
      <c r="AC167" s="56">
        <f t="shared" si="30"/>
        <v>0</v>
      </c>
      <c r="AD167" s="56">
        <f t="shared" si="30"/>
        <v>1</v>
      </c>
      <c r="AE167" s="56">
        <f t="shared" si="30"/>
        <v>0</v>
      </c>
      <c r="AF167" s="85">
        <f t="shared" si="30"/>
        <v>0</v>
      </c>
      <c r="AG167" s="95">
        <f t="shared" si="28"/>
        <v>8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>
        <v>1</v>
      </c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>
        <v>2</v>
      </c>
      <c r="AC168" s="29"/>
      <c r="AD168" s="29"/>
      <c r="AE168" s="29"/>
      <c r="AF168" s="21"/>
      <c r="AG168" s="4">
        <f t="shared" si="28"/>
        <v>3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>
        <v>1</v>
      </c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1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>
        <v>1</v>
      </c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>
        <v>1</v>
      </c>
      <c r="AA171" s="30">
        <v>1</v>
      </c>
      <c r="AB171" s="30"/>
      <c r="AC171" s="30"/>
      <c r="AD171" s="30">
        <v>1</v>
      </c>
      <c r="AE171" s="30"/>
      <c r="AF171" s="22"/>
      <c r="AG171" s="28">
        <f t="shared" si="28"/>
        <v>4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>
        <v>1</v>
      </c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1</v>
      </c>
    </row>
    <row r="173" spans="1:34" ht="18.75" x14ac:dyDescent="0.25">
      <c r="A173" s="68" t="s">
        <v>2</v>
      </c>
      <c r="B173" s="15">
        <v>1</v>
      </c>
      <c r="C173" s="15">
        <v>0</v>
      </c>
      <c r="D173" s="15">
        <v>1</v>
      </c>
      <c r="E173" s="15">
        <v>1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2</v>
      </c>
      <c r="Q173" s="15">
        <v>0</v>
      </c>
      <c r="R173" s="15">
        <v>1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23">
        <v>0</v>
      </c>
      <c r="AG173" s="5">
        <f t="shared" si="28"/>
        <v>7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8</v>
      </c>
      <c r="C174" s="16">
        <f t="shared" ref="C174:AF174" si="31">SUM(C175:C176)</f>
        <v>5</v>
      </c>
      <c r="D174" s="16">
        <f t="shared" si="31"/>
        <v>4</v>
      </c>
      <c r="E174" s="16">
        <f t="shared" si="31"/>
        <v>9</v>
      </c>
      <c r="F174" s="16">
        <f t="shared" si="31"/>
        <v>5</v>
      </c>
      <c r="G174" s="16">
        <f t="shared" si="31"/>
        <v>3</v>
      </c>
      <c r="H174" s="16">
        <f t="shared" si="31"/>
        <v>1</v>
      </c>
      <c r="I174" s="16">
        <f t="shared" si="31"/>
        <v>8</v>
      </c>
      <c r="J174" s="16">
        <f t="shared" si="31"/>
        <v>7</v>
      </c>
      <c r="K174" s="16">
        <f t="shared" si="31"/>
        <v>6</v>
      </c>
      <c r="L174" s="16">
        <f t="shared" si="31"/>
        <v>4</v>
      </c>
      <c r="M174" s="16">
        <f t="shared" si="31"/>
        <v>6</v>
      </c>
      <c r="N174" s="16">
        <f t="shared" si="31"/>
        <v>3</v>
      </c>
      <c r="O174" s="16">
        <f t="shared" si="31"/>
        <v>3</v>
      </c>
      <c r="P174" s="16">
        <f t="shared" si="31"/>
        <v>4</v>
      </c>
      <c r="Q174" s="16">
        <f t="shared" si="31"/>
        <v>2</v>
      </c>
      <c r="R174" s="16">
        <f t="shared" si="31"/>
        <v>1</v>
      </c>
      <c r="S174" s="16">
        <f t="shared" si="31"/>
        <v>9</v>
      </c>
      <c r="T174" s="16">
        <f t="shared" si="31"/>
        <v>6</v>
      </c>
      <c r="U174" s="16">
        <f t="shared" si="31"/>
        <v>1</v>
      </c>
      <c r="V174" s="16">
        <f t="shared" si="31"/>
        <v>1</v>
      </c>
      <c r="W174" s="16">
        <f t="shared" si="31"/>
        <v>8</v>
      </c>
      <c r="X174" s="16">
        <f t="shared" si="31"/>
        <v>3</v>
      </c>
      <c r="Y174" s="16">
        <f t="shared" si="31"/>
        <v>3</v>
      </c>
      <c r="Z174" s="16">
        <f t="shared" si="31"/>
        <v>6</v>
      </c>
      <c r="AA174" s="16">
        <f t="shared" si="31"/>
        <v>6</v>
      </c>
      <c r="AB174" s="16">
        <f t="shared" si="31"/>
        <v>5</v>
      </c>
      <c r="AC174" s="16">
        <f t="shared" si="31"/>
        <v>6</v>
      </c>
      <c r="AD174" s="16">
        <f t="shared" si="31"/>
        <v>10</v>
      </c>
      <c r="AE174" s="16">
        <f t="shared" si="31"/>
        <v>2</v>
      </c>
      <c r="AF174" s="24">
        <f t="shared" si="31"/>
        <v>6</v>
      </c>
      <c r="AG174" s="6">
        <f t="shared" si="28"/>
        <v>151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1</v>
      </c>
      <c r="D175" s="15">
        <v>0</v>
      </c>
      <c r="E175" s="15">
        <v>3</v>
      </c>
      <c r="F175" s="15">
        <v>0</v>
      </c>
      <c r="G175" s="15">
        <v>0</v>
      </c>
      <c r="H175" s="15">
        <v>1</v>
      </c>
      <c r="I175" s="15">
        <v>0</v>
      </c>
      <c r="J175" s="15">
        <v>1</v>
      </c>
      <c r="K175" s="15">
        <v>0</v>
      </c>
      <c r="L175" s="15">
        <v>1</v>
      </c>
      <c r="M175" s="15">
        <v>2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0</v>
      </c>
      <c r="U175" s="15">
        <v>0</v>
      </c>
      <c r="V175" s="15">
        <v>0</v>
      </c>
      <c r="W175" s="15">
        <v>1</v>
      </c>
      <c r="X175" s="15">
        <v>0</v>
      </c>
      <c r="Y175" s="15">
        <v>1</v>
      </c>
      <c r="Z175" s="15">
        <v>2</v>
      </c>
      <c r="AA175" s="15">
        <v>0</v>
      </c>
      <c r="AB175" s="15">
        <v>2</v>
      </c>
      <c r="AC175" s="15">
        <v>0</v>
      </c>
      <c r="AD175" s="15">
        <v>1</v>
      </c>
      <c r="AE175" s="15">
        <v>1</v>
      </c>
      <c r="AF175" s="23">
        <v>3</v>
      </c>
      <c r="AG175" s="5">
        <f t="shared" si="28"/>
        <v>22</v>
      </c>
      <c r="AH175" s="2" t="s">
        <v>138</v>
      </c>
    </row>
    <row r="176" spans="1:34" ht="19.5" thickBot="1" x14ac:dyDescent="0.3">
      <c r="A176" s="104" t="s">
        <v>119</v>
      </c>
      <c r="B176" s="101">
        <v>7</v>
      </c>
      <c r="C176" s="101">
        <v>4</v>
      </c>
      <c r="D176" s="101">
        <v>4</v>
      </c>
      <c r="E176" s="101">
        <v>6</v>
      </c>
      <c r="F176" s="101">
        <v>5</v>
      </c>
      <c r="G176" s="101">
        <v>3</v>
      </c>
      <c r="H176" s="101">
        <v>0</v>
      </c>
      <c r="I176" s="101">
        <v>8</v>
      </c>
      <c r="J176" s="101">
        <v>6</v>
      </c>
      <c r="K176" s="101">
        <v>6</v>
      </c>
      <c r="L176" s="101">
        <v>3</v>
      </c>
      <c r="M176" s="101">
        <v>4</v>
      </c>
      <c r="N176" s="101">
        <v>3</v>
      </c>
      <c r="O176" s="101">
        <v>3</v>
      </c>
      <c r="P176" s="101">
        <v>4</v>
      </c>
      <c r="Q176" s="101">
        <v>2</v>
      </c>
      <c r="R176" s="101">
        <v>1</v>
      </c>
      <c r="S176" s="101">
        <v>8</v>
      </c>
      <c r="T176" s="101">
        <v>6</v>
      </c>
      <c r="U176" s="101">
        <v>1</v>
      </c>
      <c r="V176" s="101">
        <v>1</v>
      </c>
      <c r="W176" s="101">
        <v>7</v>
      </c>
      <c r="X176" s="101">
        <v>3</v>
      </c>
      <c r="Y176" s="101">
        <v>2</v>
      </c>
      <c r="Z176" s="101">
        <v>4</v>
      </c>
      <c r="AA176" s="101">
        <v>6</v>
      </c>
      <c r="AB176" s="101">
        <v>3</v>
      </c>
      <c r="AC176" s="101">
        <v>6</v>
      </c>
      <c r="AD176" s="101">
        <v>9</v>
      </c>
      <c r="AE176" s="101">
        <v>1</v>
      </c>
      <c r="AF176" s="102">
        <v>3</v>
      </c>
      <c r="AG176" s="103">
        <f t="shared" si="28"/>
        <v>129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SUM(B180:B204)</f>
        <v>22</v>
      </c>
      <c r="C179" s="220">
        <f t="shared" si="32"/>
        <v>17</v>
      </c>
      <c r="D179" s="220">
        <f t="shared" si="32"/>
        <v>19</v>
      </c>
      <c r="E179" s="220">
        <f t="shared" si="32"/>
        <v>17</v>
      </c>
      <c r="F179" s="220">
        <f t="shared" si="32"/>
        <v>19</v>
      </c>
      <c r="G179" s="220">
        <f t="shared" si="32"/>
        <v>19</v>
      </c>
      <c r="H179" s="220">
        <f t="shared" si="32"/>
        <v>15</v>
      </c>
      <c r="I179" s="220">
        <f t="shared" si="32"/>
        <v>29</v>
      </c>
      <c r="J179" s="220">
        <f t="shared" si="32"/>
        <v>15</v>
      </c>
      <c r="K179" s="220">
        <f t="shared" si="32"/>
        <v>15</v>
      </c>
      <c r="L179" s="220">
        <f t="shared" si="32"/>
        <v>5</v>
      </c>
      <c r="M179" s="220">
        <f t="shared" si="32"/>
        <v>20</v>
      </c>
      <c r="N179" s="220">
        <f t="shared" si="32"/>
        <v>25</v>
      </c>
      <c r="O179" s="220">
        <f t="shared" si="32"/>
        <v>8</v>
      </c>
      <c r="P179" s="220">
        <f t="shared" si="32"/>
        <v>7</v>
      </c>
      <c r="Q179" s="220">
        <f t="shared" si="32"/>
        <v>20</v>
      </c>
      <c r="R179" s="220">
        <f t="shared" si="32"/>
        <v>13</v>
      </c>
      <c r="S179" s="220">
        <f t="shared" si="32"/>
        <v>19</v>
      </c>
      <c r="T179" s="220">
        <f t="shared" si="32"/>
        <v>14</v>
      </c>
      <c r="U179" s="220">
        <f t="shared" si="32"/>
        <v>22</v>
      </c>
      <c r="V179" s="220">
        <f t="shared" si="32"/>
        <v>25</v>
      </c>
      <c r="W179" s="220">
        <f t="shared" si="32"/>
        <v>4</v>
      </c>
      <c r="X179" s="220">
        <f t="shared" si="32"/>
        <v>21</v>
      </c>
      <c r="Y179" s="220">
        <f t="shared" si="32"/>
        <v>13</v>
      </c>
      <c r="Z179" s="220">
        <f t="shared" si="32"/>
        <v>13</v>
      </c>
      <c r="AA179" s="220">
        <f t="shared" si="32"/>
        <v>7</v>
      </c>
      <c r="AB179" s="220">
        <f t="shared" si="32"/>
        <v>22</v>
      </c>
      <c r="AC179" s="220">
        <f t="shared" si="32"/>
        <v>14</v>
      </c>
      <c r="AD179" s="220">
        <f t="shared" si="32"/>
        <v>32</v>
      </c>
      <c r="AE179" s="220">
        <f t="shared" si="32"/>
        <v>27</v>
      </c>
      <c r="AF179" s="221">
        <f t="shared" si="32"/>
        <v>14</v>
      </c>
      <c r="AG179" s="156">
        <f t="shared" si="28"/>
        <v>532</v>
      </c>
      <c r="AH179" s="38"/>
    </row>
    <row r="180" spans="1:34" ht="18.75" x14ac:dyDescent="0.25">
      <c r="A180" s="109" t="s">
        <v>4</v>
      </c>
      <c r="B180" s="216">
        <v>3</v>
      </c>
      <c r="C180" s="216">
        <v>6</v>
      </c>
      <c r="D180" s="216">
        <v>5</v>
      </c>
      <c r="E180" s="216">
        <v>6</v>
      </c>
      <c r="F180" s="216">
        <v>7</v>
      </c>
      <c r="G180" s="216">
        <v>4</v>
      </c>
      <c r="H180" s="216">
        <v>5</v>
      </c>
      <c r="I180" s="216">
        <v>13</v>
      </c>
      <c r="J180" s="216">
        <v>1</v>
      </c>
      <c r="K180" s="216">
        <v>6</v>
      </c>
      <c r="L180" s="216">
        <v>4</v>
      </c>
      <c r="M180" s="216">
        <v>4</v>
      </c>
      <c r="N180" s="217">
        <v>13</v>
      </c>
      <c r="O180" s="217">
        <v>2</v>
      </c>
      <c r="P180" s="217">
        <v>6</v>
      </c>
      <c r="Q180" s="217">
        <v>6</v>
      </c>
      <c r="R180" s="217">
        <v>1</v>
      </c>
      <c r="S180" s="217">
        <v>11</v>
      </c>
      <c r="T180" s="217">
        <v>3</v>
      </c>
      <c r="U180" s="217">
        <v>12</v>
      </c>
      <c r="V180" s="217">
        <v>9</v>
      </c>
      <c r="W180" s="217">
        <v>3</v>
      </c>
      <c r="X180" s="217">
        <v>11</v>
      </c>
      <c r="Y180" s="217">
        <v>2</v>
      </c>
      <c r="Z180" s="217">
        <v>3</v>
      </c>
      <c r="AA180" s="217">
        <v>2</v>
      </c>
      <c r="AB180" s="217">
        <v>9</v>
      </c>
      <c r="AC180" s="217">
        <v>5</v>
      </c>
      <c r="AD180" s="217">
        <v>12</v>
      </c>
      <c r="AE180" s="217">
        <v>5</v>
      </c>
      <c r="AF180" s="218">
        <v>1</v>
      </c>
      <c r="AG180" s="31">
        <f t="shared" si="28"/>
        <v>180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>
        <v>1</v>
      </c>
      <c r="AC181" s="17"/>
      <c r="AD181" s="17"/>
      <c r="AE181" s="17"/>
      <c r="AF181" s="18"/>
      <c r="AG181" s="4">
        <f t="shared" si="28"/>
        <v>1</v>
      </c>
    </row>
    <row r="182" spans="1:34" ht="18.75" x14ac:dyDescent="0.25">
      <c r="A182" s="109" t="s">
        <v>123</v>
      </c>
      <c r="B182" s="147">
        <v>9</v>
      </c>
      <c r="C182" s="147">
        <v>10</v>
      </c>
      <c r="D182" s="147">
        <v>12</v>
      </c>
      <c r="E182" s="147">
        <v>9</v>
      </c>
      <c r="F182" s="147">
        <v>4</v>
      </c>
      <c r="G182" s="147">
        <v>13</v>
      </c>
      <c r="H182" s="147">
        <v>4</v>
      </c>
      <c r="I182" s="147">
        <v>13</v>
      </c>
      <c r="J182" s="147">
        <v>12</v>
      </c>
      <c r="K182" s="147">
        <v>7</v>
      </c>
      <c r="L182" s="147">
        <v>1</v>
      </c>
      <c r="M182" s="147">
        <v>5</v>
      </c>
      <c r="N182" s="17">
        <v>12</v>
      </c>
      <c r="O182" s="17">
        <v>1</v>
      </c>
      <c r="P182" s="17"/>
      <c r="Q182" s="17">
        <v>12</v>
      </c>
      <c r="R182" s="17">
        <v>9</v>
      </c>
      <c r="S182" s="17">
        <v>3</v>
      </c>
      <c r="T182" s="17">
        <v>6</v>
      </c>
      <c r="U182" s="17">
        <v>8</v>
      </c>
      <c r="V182" s="17">
        <v>15</v>
      </c>
      <c r="W182" s="17"/>
      <c r="X182" s="17">
        <v>4</v>
      </c>
      <c r="Y182" s="17">
        <v>10</v>
      </c>
      <c r="Z182" s="17">
        <v>2</v>
      </c>
      <c r="AA182" s="17">
        <v>2</v>
      </c>
      <c r="AB182" s="17">
        <v>11</v>
      </c>
      <c r="AC182" s="17">
        <v>5</v>
      </c>
      <c r="AD182" s="17">
        <v>10</v>
      </c>
      <c r="AE182" s="17">
        <v>18</v>
      </c>
      <c r="AF182" s="18">
        <v>11</v>
      </c>
      <c r="AG182" s="4">
        <f t="shared" si="28"/>
        <v>238</v>
      </c>
    </row>
    <row r="183" spans="1:34" ht="18.75" x14ac:dyDescent="0.25">
      <c r="A183" s="109" t="s">
        <v>615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>
        <v>2</v>
      </c>
      <c r="T183" s="17"/>
      <c r="U183" s="17">
        <v>1</v>
      </c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3</v>
      </c>
    </row>
    <row r="184" spans="1:34" ht="18.75" x14ac:dyDescent="0.25">
      <c r="A184" s="109" t="s">
        <v>165</v>
      </c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>
        <v>1</v>
      </c>
      <c r="AF184" s="18"/>
      <c r="AG184" s="4">
        <f t="shared" si="28"/>
        <v>1</v>
      </c>
    </row>
    <row r="185" spans="1:34" ht="18.75" x14ac:dyDescent="0.25">
      <c r="A185" s="109" t="s">
        <v>141</v>
      </c>
      <c r="B185" s="147"/>
      <c r="C185" s="147"/>
      <c r="D185" s="147"/>
      <c r="E185" s="147"/>
      <c r="F185" s="147">
        <v>2</v>
      </c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>
        <v>1</v>
      </c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3</v>
      </c>
    </row>
    <row r="186" spans="1:34" ht="18.75" x14ac:dyDescent="0.25">
      <c r="A186" s="109" t="s">
        <v>614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>
        <v>1</v>
      </c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1</v>
      </c>
    </row>
    <row r="187" spans="1:34" ht="18.75" x14ac:dyDescent="0.25">
      <c r="A187" s="248" t="s">
        <v>618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>
        <v>1</v>
      </c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1</v>
      </c>
    </row>
    <row r="188" spans="1:34" ht="18.75" x14ac:dyDescent="0.25">
      <c r="A188" s="109" t="s">
        <v>139</v>
      </c>
      <c r="B188" s="147">
        <v>7</v>
      </c>
      <c r="C188" s="147"/>
      <c r="D188" s="147"/>
      <c r="E188" s="147"/>
      <c r="F188" s="147">
        <v>5</v>
      </c>
      <c r="G188" s="147"/>
      <c r="H188" s="147">
        <v>1</v>
      </c>
      <c r="I188" s="147"/>
      <c r="J188" s="147"/>
      <c r="K188" s="147"/>
      <c r="L188" s="147"/>
      <c r="M188" s="147">
        <v>7</v>
      </c>
      <c r="N188" s="17"/>
      <c r="O188" s="17">
        <v>3</v>
      </c>
      <c r="P188" s="17"/>
      <c r="Q188" s="17"/>
      <c r="R188" s="17"/>
      <c r="S188" s="17"/>
      <c r="T188" s="17">
        <v>3</v>
      </c>
      <c r="U188" s="17"/>
      <c r="V188" s="17"/>
      <c r="W188" s="17"/>
      <c r="X188" s="17"/>
      <c r="Y188" s="17"/>
      <c r="Z188" s="17">
        <v>7</v>
      </c>
      <c r="AA188" s="17"/>
      <c r="AB188" s="17"/>
      <c r="AC188" s="17">
        <v>1</v>
      </c>
      <c r="AD188" s="17">
        <v>5</v>
      </c>
      <c r="AE188" s="17"/>
      <c r="AF188" s="18"/>
      <c r="AG188" s="4">
        <f t="shared" si="28"/>
        <v>39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>
        <v>1</v>
      </c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1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43" t="s">
        <v>5</v>
      </c>
      <c r="B193" s="244">
        <v>1</v>
      </c>
      <c r="C193" s="244"/>
      <c r="D193" s="244"/>
      <c r="E193" s="244"/>
      <c r="F193" s="244"/>
      <c r="G193" s="244">
        <v>1</v>
      </c>
      <c r="H193" s="244">
        <v>2</v>
      </c>
      <c r="I193" s="244">
        <v>1</v>
      </c>
      <c r="J193" s="244"/>
      <c r="K193" s="244"/>
      <c r="L193" s="244"/>
      <c r="M193" s="244">
        <v>2</v>
      </c>
      <c r="N193" s="245"/>
      <c r="O193" s="245"/>
      <c r="P193" s="245"/>
      <c r="Q193" s="245"/>
      <c r="R193" s="245">
        <v>1</v>
      </c>
      <c r="S193" s="245"/>
      <c r="T193" s="245"/>
      <c r="U193" s="245"/>
      <c r="V193" s="245"/>
      <c r="W193" s="245">
        <v>1</v>
      </c>
      <c r="X193" s="245">
        <v>2</v>
      </c>
      <c r="Y193" s="245"/>
      <c r="Z193" s="245"/>
      <c r="AA193" s="245">
        <v>3</v>
      </c>
      <c r="AB193" s="245">
        <v>1</v>
      </c>
      <c r="AC193" s="245"/>
      <c r="AD193" s="245">
        <v>2</v>
      </c>
      <c r="AE193" s="245"/>
      <c r="AF193" s="246">
        <v>2</v>
      </c>
      <c r="AG193" s="247">
        <f t="shared" si="28"/>
        <v>19</v>
      </c>
    </row>
    <row r="194" spans="1:34" ht="18.75" x14ac:dyDescent="0.25">
      <c r="A194" s="111" t="s">
        <v>175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172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174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>
        <v>1</v>
      </c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1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>
        <v>1</v>
      </c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1</v>
      </c>
    </row>
    <row r="198" spans="1:34" ht="18.75" x14ac:dyDescent="0.25">
      <c r="A198" s="111" t="s">
        <v>143</v>
      </c>
      <c r="B198" s="147">
        <v>1</v>
      </c>
      <c r="C198" s="147" t="s">
        <v>171</v>
      </c>
      <c r="D198" s="147"/>
      <c r="E198" s="147">
        <v>1</v>
      </c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>
        <v>1</v>
      </c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3</v>
      </c>
    </row>
    <row r="199" spans="1:34" ht="18.75" x14ac:dyDescent="0.25">
      <c r="A199" s="110" t="s">
        <v>124</v>
      </c>
      <c r="B199" s="147"/>
      <c r="C199" s="147">
        <v>1</v>
      </c>
      <c r="D199" s="147">
        <v>2</v>
      </c>
      <c r="E199" s="147">
        <v>1</v>
      </c>
      <c r="F199" s="147">
        <v>1</v>
      </c>
      <c r="G199" s="147">
        <v>1</v>
      </c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>
        <v>1</v>
      </c>
      <c r="AF199" s="18"/>
      <c r="AG199" s="4">
        <f t="shared" si="28"/>
        <v>7</v>
      </c>
    </row>
    <row r="200" spans="1:34" ht="18.75" x14ac:dyDescent="0.25">
      <c r="A200" s="110" t="s">
        <v>167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125</v>
      </c>
      <c r="B201" s="147"/>
      <c r="C201" s="147"/>
      <c r="D201" s="147"/>
      <c r="E201" s="147"/>
      <c r="F201" s="147"/>
      <c r="G201" s="147"/>
      <c r="H201" s="147"/>
      <c r="I201" s="147"/>
      <c r="J201" s="147">
        <v>1</v>
      </c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>
        <v>1</v>
      </c>
      <c r="V201" s="17"/>
      <c r="W201" s="17"/>
      <c r="X201" s="17"/>
      <c r="Y201" s="17"/>
      <c r="Z201" s="17"/>
      <c r="AA201" s="17"/>
      <c r="AB201" s="17"/>
      <c r="AC201" s="17">
        <v>1</v>
      </c>
      <c r="AD201" s="17"/>
      <c r="AE201" s="17">
        <v>1</v>
      </c>
      <c r="AF201" s="18"/>
      <c r="AG201" s="4">
        <f t="shared" si="28"/>
        <v>4</v>
      </c>
    </row>
    <row r="202" spans="1:34" ht="18.75" x14ac:dyDescent="0.25">
      <c r="A202" s="110" t="s">
        <v>126</v>
      </c>
      <c r="B202" s="202"/>
      <c r="C202" s="202"/>
      <c r="D202" s="202"/>
      <c r="E202" s="202"/>
      <c r="F202" s="202"/>
      <c r="G202" s="202"/>
      <c r="H202" s="202">
        <v>3</v>
      </c>
      <c r="I202" s="202">
        <v>2</v>
      </c>
      <c r="J202" s="202">
        <v>1</v>
      </c>
      <c r="K202" s="202">
        <v>1</v>
      </c>
      <c r="L202" s="202"/>
      <c r="M202" s="202">
        <v>1</v>
      </c>
      <c r="N202" s="203"/>
      <c r="O202" s="203">
        <v>2</v>
      </c>
      <c r="P202" s="203"/>
      <c r="Q202" s="203">
        <v>1</v>
      </c>
      <c r="R202" s="203">
        <v>1</v>
      </c>
      <c r="S202" s="203">
        <v>3</v>
      </c>
      <c r="T202" s="203"/>
      <c r="U202" s="203"/>
      <c r="V202" s="203">
        <v>1</v>
      </c>
      <c r="W202" s="203"/>
      <c r="X202" s="203">
        <v>2</v>
      </c>
      <c r="Y202" s="203"/>
      <c r="Z202" s="203">
        <v>1</v>
      </c>
      <c r="AA202" s="203"/>
      <c r="AB202" s="203"/>
      <c r="AC202" s="203"/>
      <c r="AD202" s="203">
        <v>2</v>
      </c>
      <c r="AE202" s="203"/>
      <c r="AF202" s="204"/>
      <c r="AG202" s="4">
        <f t="shared" si="28"/>
        <v>21</v>
      </c>
    </row>
    <row r="203" spans="1:34" ht="18.75" x14ac:dyDescent="0.25">
      <c r="A203" s="112" t="s">
        <v>170</v>
      </c>
      <c r="B203" s="202">
        <v>1</v>
      </c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>
        <v>1</v>
      </c>
      <c r="R203" s="203"/>
      <c r="S203" s="203"/>
      <c r="T203" s="203"/>
      <c r="U203" s="203"/>
      <c r="V203" s="203"/>
      <c r="W203" s="203"/>
      <c r="X203" s="203">
        <v>1</v>
      </c>
      <c r="Y203" s="203">
        <v>1</v>
      </c>
      <c r="Z203" s="203"/>
      <c r="AA203" s="203"/>
      <c r="AB203" s="203"/>
      <c r="AC203" s="203">
        <v>2</v>
      </c>
      <c r="AD203" s="203">
        <v>1</v>
      </c>
      <c r="AE203" s="203">
        <v>1</v>
      </c>
      <c r="AF203" s="204"/>
      <c r="AG203" s="4">
        <f t="shared" si="28"/>
        <v>8</v>
      </c>
    </row>
    <row r="204" spans="1:34" ht="19.5" thickBot="1" x14ac:dyDescent="0.3">
      <c r="A204" s="235" t="s">
        <v>166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28">
        <f t="shared" si="28"/>
        <v>0</v>
      </c>
    </row>
    <row r="205" spans="1:34" ht="19.5" thickBot="1" x14ac:dyDescent="0.3">
      <c r="A205" s="215" t="s">
        <v>83</v>
      </c>
      <c r="B205" s="209">
        <f>SUM(B206:B210)</f>
        <v>182</v>
      </c>
      <c r="C205" s="210">
        <f t="shared" ref="C205:AF205" si="33">SUM(C206:C210)</f>
        <v>176</v>
      </c>
      <c r="D205" s="210">
        <f t="shared" si="33"/>
        <v>134</v>
      </c>
      <c r="E205" s="210">
        <f t="shared" si="33"/>
        <v>146</v>
      </c>
      <c r="F205" s="210">
        <f t="shared" si="33"/>
        <v>142</v>
      </c>
      <c r="G205" s="210">
        <f t="shared" si="33"/>
        <v>140</v>
      </c>
      <c r="H205" s="210">
        <f t="shared" si="33"/>
        <v>203</v>
      </c>
      <c r="I205" s="210">
        <f t="shared" si="33"/>
        <v>199</v>
      </c>
      <c r="J205" s="210">
        <f t="shared" si="33"/>
        <v>141</v>
      </c>
      <c r="K205" s="210">
        <f t="shared" si="33"/>
        <v>140</v>
      </c>
      <c r="L205" s="210">
        <f t="shared" si="33"/>
        <v>106</v>
      </c>
      <c r="M205" s="210">
        <f t="shared" si="33"/>
        <v>138</v>
      </c>
      <c r="N205" s="211">
        <f t="shared" si="33"/>
        <v>134</v>
      </c>
      <c r="O205" s="211">
        <f t="shared" si="33"/>
        <v>184</v>
      </c>
      <c r="P205" s="211">
        <f t="shared" si="33"/>
        <v>173</v>
      </c>
      <c r="Q205" s="211">
        <f t="shared" si="33"/>
        <v>167</v>
      </c>
      <c r="R205" s="211">
        <f t="shared" si="33"/>
        <v>131</v>
      </c>
      <c r="S205" s="211">
        <f t="shared" si="33"/>
        <v>143</v>
      </c>
      <c r="T205" s="211">
        <f t="shared" si="33"/>
        <v>136</v>
      </c>
      <c r="U205" s="211">
        <f t="shared" si="33"/>
        <v>110</v>
      </c>
      <c r="V205" s="211">
        <f t="shared" si="33"/>
        <v>195</v>
      </c>
      <c r="W205" s="211">
        <f t="shared" si="33"/>
        <v>171</v>
      </c>
      <c r="X205" s="211">
        <f t="shared" si="33"/>
        <v>131</v>
      </c>
      <c r="Y205" s="211">
        <f t="shared" si="33"/>
        <v>96</v>
      </c>
      <c r="Z205" s="211">
        <f t="shared" si="33"/>
        <v>171</v>
      </c>
      <c r="AA205" s="211">
        <f t="shared" si="33"/>
        <v>144</v>
      </c>
      <c r="AB205" s="211">
        <f t="shared" si="33"/>
        <v>152</v>
      </c>
      <c r="AC205" s="211">
        <f t="shared" si="33"/>
        <v>208</v>
      </c>
      <c r="AD205" s="211">
        <f t="shared" si="33"/>
        <v>210</v>
      </c>
      <c r="AE205" s="211">
        <f t="shared" si="33"/>
        <v>171</v>
      </c>
      <c r="AF205" s="212">
        <f t="shared" si="33"/>
        <v>94</v>
      </c>
      <c r="AG205" s="213">
        <f t="shared" si="28"/>
        <v>4768</v>
      </c>
      <c r="AH205" s="180" t="str">
        <f>IF(AG205&lt;&gt;AG93,"X","")</f>
        <v/>
      </c>
    </row>
    <row r="206" spans="1:34" ht="18.75" x14ac:dyDescent="0.25">
      <c r="A206" s="214" t="s">
        <v>72</v>
      </c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  <c r="AA206" s="206"/>
      <c r="AB206" s="206"/>
      <c r="AC206" s="206"/>
      <c r="AD206" s="206"/>
      <c r="AE206" s="206"/>
      <c r="AF206" s="207"/>
      <c r="AG206" s="208">
        <f t="shared" si="28"/>
        <v>0</v>
      </c>
    </row>
    <row r="207" spans="1:34" ht="18.75" x14ac:dyDescent="0.25">
      <c r="A207" s="52" t="s">
        <v>73</v>
      </c>
      <c r="B207" s="148"/>
      <c r="C207" s="148"/>
      <c r="D207" s="148">
        <v>3</v>
      </c>
      <c r="E207" s="148">
        <v>3</v>
      </c>
      <c r="F207" s="148">
        <v>1</v>
      </c>
      <c r="G207" s="148">
        <v>1</v>
      </c>
      <c r="H207" s="148">
        <v>2</v>
      </c>
      <c r="I207" s="148">
        <v>2</v>
      </c>
      <c r="J207" s="148"/>
      <c r="K207" s="148">
        <v>1</v>
      </c>
      <c r="L207" s="148">
        <v>1</v>
      </c>
      <c r="M207" s="148"/>
      <c r="N207" s="33"/>
      <c r="O207" s="33">
        <v>3</v>
      </c>
      <c r="P207" s="33">
        <v>1</v>
      </c>
      <c r="Q207" s="33"/>
      <c r="R207" s="33">
        <v>1</v>
      </c>
      <c r="S207" s="33"/>
      <c r="T207" s="33">
        <v>2</v>
      </c>
      <c r="U207" s="33"/>
      <c r="V207" s="33"/>
      <c r="W207" s="33">
        <v>4</v>
      </c>
      <c r="X207" s="33">
        <v>1</v>
      </c>
      <c r="Y207" s="33"/>
      <c r="Z207" s="33"/>
      <c r="AA207" s="33">
        <v>2</v>
      </c>
      <c r="AB207" s="33">
        <v>1</v>
      </c>
      <c r="AC207" s="33">
        <v>4</v>
      </c>
      <c r="AD207" s="33"/>
      <c r="AE207" s="33">
        <v>1</v>
      </c>
      <c r="AF207" s="88">
        <v>3</v>
      </c>
      <c r="AG207" s="97">
        <f t="shared" si="28"/>
        <v>37</v>
      </c>
    </row>
    <row r="208" spans="1:34" ht="18.75" x14ac:dyDescent="0.25">
      <c r="A208" s="52" t="s">
        <v>74</v>
      </c>
      <c r="B208" s="148">
        <v>11</v>
      </c>
      <c r="C208" s="148">
        <v>14</v>
      </c>
      <c r="D208" s="148">
        <v>12</v>
      </c>
      <c r="E208" s="148">
        <v>13</v>
      </c>
      <c r="F208" s="148">
        <v>18</v>
      </c>
      <c r="G208" s="148">
        <v>16</v>
      </c>
      <c r="H208" s="148">
        <v>15</v>
      </c>
      <c r="I208" s="148">
        <v>26</v>
      </c>
      <c r="J208" s="148">
        <v>6</v>
      </c>
      <c r="K208" s="148">
        <v>18</v>
      </c>
      <c r="L208" s="148">
        <v>8</v>
      </c>
      <c r="M208" s="148">
        <v>21</v>
      </c>
      <c r="N208" s="33">
        <v>19</v>
      </c>
      <c r="O208" s="33">
        <v>12</v>
      </c>
      <c r="P208" s="33">
        <v>16</v>
      </c>
      <c r="Q208" s="33">
        <v>17</v>
      </c>
      <c r="R208" s="33">
        <v>14</v>
      </c>
      <c r="S208" s="33">
        <v>17</v>
      </c>
      <c r="T208" s="33">
        <v>6</v>
      </c>
      <c r="U208" s="33">
        <v>16</v>
      </c>
      <c r="V208" s="33">
        <v>19</v>
      </c>
      <c r="W208" s="33">
        <v>16</v>
      </c>
      <c r="X208" s="33">
        <v>19</v>
      </c>
      <c r="Y208" s="33">
        <v>7</v>
      </c>
      <c r="Z208" s="33">
        <v>3</v>
      </c>
      <c r="AA208" s="33">
        <v>17</v>
      </c>
      <c r="AB208" s="33">
        <v>18</v>
      </c>
      <c r="AC208" s="33">
        <v>24</v>
      </c>
      <c r="AD208" s="33">
        <v>21</v>
      </c>
      <c r="AE208" s="33">
        <v>14</v>
      </c>
      <c r="AF208" s="88">
        <v>11</v>
      </c>
      <c r="AG208" s="97">
        <f t="shared" si="28"/>
        <v>464</v>
      </c>
    </row>
    <row r="209" spans="1:34" ht="18.75" x14ac:dyDescent="0.25">
      <c r="A209" s="52" t="s">
        <v>75</v>
      </c>
      <c r="B209" s="148">
        <v>100</v>
      </c>
      <c r="C209" s="148">
        <v>151</v>
      </c>
      <c r="D209" s="148">
        <v>98</v>
      </c>
      <c r="E209" s="148">
        <v>119</v>
      </c>
      <c r="F209" s="148">
        <v>111</v>
      </c>
      <c r="G209" s="148">
        <v>111</v>
      </c>
      <c r="H209" s="148">
        <v>121</v>
      </c>
      <c r="I209" s="148">
        <v>143</v>
      </c>
      <c r="J209" s="148">
        <v>126</v>
      </c>
      <c r="K209" s="148">
        <v>95</v>
      </c>
      <c r="L209" s="148">
        <v>76</v>
      </c>
      <c r="M209" s="148">
        <v>98</v>
      </c>
      <c r="N209" s="33">
        <v>77</v>
      </c>
      <c r="O209" s="33">
        <v>102</v>
      </c>
      <c r="P209" s="33">
        <v>95</v>
      </c>
      <c r="Q209" s="33">
        <v>135</v>
      </c>
      <c r="R209" s="33">
        <v>89</v>
      </c>
      <c r="S209" s="33">
        <v>118</v>
      </c>
      <c r="T209" s="33">
        <v>109</v>
      </c>
      <c r="U209" s="33">
        <v>67</v>
      </c>
      <c r="V209" s="33">
        <v>119</v>
      </c>
      <c r="W209" s="33">
        <v>89</v>
      </c>
      <c r="X209" s="33">
        <v>88</v>
      </c>
      <c r="Y209" s="33">
        <v>56</v>
      </c>
      <c r="Z209" s="33">
        <v>93</v>
      </c>
      <c r="AA209" s="33">
        <v>117</v>
      </c>
      <c r="AB209" s="33">
        <v>105</v>
      </c>
      <c r="AC209" s="33">
        <v>128</v>
      </c>
      <c r="AD209" s="33">
        <v>132</v>
      </c>
      <c r="AE209" s="33">
        <v>137</v>
      </c>
      <c r="AF209" s="88">
        <v>54</v>
      </c>
      <c r="AG209" s="97">
        <f t="shared" si="28"/>
        <v>3259</v>
      </c>
    </row>
    <row r="210" spans="1:34" ht="19.5" thickBot="1" x14ac:dyDescent="0.3">
      <c r="A210" s="63" t="s">
        <v>76</v>
      </c>
      <c r="B210" s="149">
        <v>71</v>
      </c>
      <c r="C210" s="149">
        <v>11</v>
      </c>
      <c r="D210" s="149">
        <v>21</v>
      </c>
      <c r="E210" s="149">
        <v>11</v>
      </c>
      <c r="F210" s="149">
        <v>12</v>
      </c>
      <c r="G210" s="149">
        <v>12</v>
      </c>
      <c r="H210" s="149">
        <v>65</v>
      </c>
      <c r="I210" s="149">
        <v>28</v>
      </c>
      <c r="J210" s="149">
        <v>9</v>
      </c>
      <c r="K210" s="149">
        <v>26</v>
      </c>
      <c r="L210" s="149">
        <v>21</v>
      </c>
      <c r="M210" s="149">
        <v>19</v>
      </c>
      <c r="N210" s="34">
        <v>38</v>
      </c>
      <c r="O210" s="34">
        <v>67</v>
      </c>
      <c r="P210" s="34">
        <v>61</v>
      </c>
      <c r="Q210" s="34">
        <v>15</v>
      </c>
      <c r="R210" s="34">
        <v>27</v>
      </c>
      <c r="S210" s="34">
        <v>8</v>
      </c>
      <c r="T210" s="34">
        <v>19</v>
      </c>
      <c r="U210" s="34">
        <v>27</v>
      </c>
      <c r="V210" s="34">
        <v>57</v>
      </c>
      <c r="W210" s="34">
        <v>62</v>
      </c>
      <c r="X210" s="34">
        <v>23</v>
      </c>
      <c r="Y210" s="34">
        <v>33</v>
      </c>
      <c r="Z210" s="34">
        <v>75</v>
      </c>
      <c r="AA210" s="34">
        <v>8</v>
      </c>
      <c r="AB210" s="34">
        <v>28</v>
      </c>
      <c r="AC210" s="34">
        <v>52</v>
      </c>
      <c r="AD210" s="34">
        <v>57</v>
      </c>
      <c r="AE210" s="34">
        <v>19</v>
      </c>
      <c r="AF210" s="89">
        <v>26</v>
      </c>
      <c r="AG210" s="35">
        <f t="shared" si="28"/>
        <v>1008</v>
      </c>
    </row>
    <row r="211" spans="1:34" ht="19.5" thickBot="1" x14ac:dyDescent="0.3">
      <c r="A211" s="60" t="s">
        <v>64</v>
      </c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90"/>
      <c r="AG211" s="98"/>
    </row>
    <row r="212" spans="1:34" ht="18.75" x14ac:dyDescent="0.25">
      <c r="A212" s="43" t="s">
        <v>77</v>
      </c>
      <c r="B212" s="19">
        <v>5.5555555555555558E-3</v>
      </c>
      <c r="C212" s="19">
        <v>2.7777777777777776E-2</v>
      </c>
      <c r="D212" s="19">
        <v>1.4583333333333332E-2</v>
      </c>
      <c r="E212" s="19">
        <v>1.6666666666666666E-2</v>
      </c>
      <c r="F212" s="19">
        <v>2.4999999999999998E-2</v>
      </c>
      <c r="G212" s="19">
        <v>2.7777777777777776E-2</v>
      </c>
      <c r="H212" s="19">
        <v>5.5555555555555558E-3</v>
      </c>
      <c r="I212" s="19">
        <v>6.9444444444444441E-3</v>
      </c>
      <c r="J212" s="19">
        <v>3.6111111111111115E-2</v>
      </c>
      <c r="K212" s="19">
        <v>1.5972222222222224E-2</v>
      </c>
      <c r="L212" s="19">
        <v>1.4583333333333332E-2</v>
      </c>
      <c r="M212" s="19">
        <v>1.3888888888888888E-2</v>
      </c>
      <c r="N212" s="19">
        <v>1.5972222222222224E-2</v>
      </c>
      <c r="O212" s="19">
        <v>1.0416666666666666E-2</v>
      </c>
      <c r="P212" s="19">
        <v>6.2499999999999995E-3</v>
      </c>
      <c r="Q212" s="19">
        <v>2.1527777777777781E-2</v>
      </c>
      <c r="R212" s="19">
        <v>1.5277777777777777E-2</v>
      </c>
      <c r="S212" s="19">
        <v>2.7777777777777776E-2</v>
      </c>
      <c r="T212" s="19">
        <v>2.2916666666666669E-2</v>
      </c>
      <c r="U212" s="19">
        <v>8.3333333333333332E-3</v>
      </c>
      <c r="V212" s="19">
        <v>4.8611111111111112E-3</v>
      </c>
      <c r="W212" s="19">
        <v>6.2499999999999995E-3</v>
      </c>
      <c r="X212" s="19">
        <v>8.3333333333333332E-3</v>
      </c>
      <c r="Y212" s="19">
        <v>4.1666666666666666E-3</v>
      </c>
      <c r="Z212" s="19">
        <v>4.1666666666666666E-3</v>
      </c>
      <c r="AA212" s="19">
        <v>3.2638888888888891E-2</v>
      </c>
      <c r="AB212" s="19">
        <v>1.5277777777777777E-2</v>
      </c>
      <c r="AC212" s="19">
        <v>1.0416666666666666E-2</v>
      </c>
      <c r="AD212" s="19">
        <v>4.8611111111111112E-3</v>
      </c>
      <c r="AE212" s="19">
        <v>9.0277777777777787E-3</v>
      </c>
      <c r="AF212" s="25">
        <v>4.1666666666666666E-3</v>
      </c>
      <c r="AG212" s="99">
        <f t="shared" si="28"/>
        <v>0.44305555555555559</v>
      </c>
      <c r="AH212" s="376" t="s">
        <v>85</v>
      </c>
    </row>
    <row r="213" spans="1:34" ht="18.75" x14ac:dyDescent="0.25">
      <c r="A213" s="53" t="s">
        <v>110</v>
      </c>
      <c r="B213" s="39">
        <v>3.472222222222222E-3</v>
      </c>
      <c r="C213" s="39">
        <v>2.9861111111111113E-2</v>
      </c>
      <c r="D213" s="39">
        <v>2.361111111111111E-2</v>
      </c>
      <c r="E213" s="39">
        <v>2.9861111111111113E-2</v>
      </c>
      <c r="F213" s="39">
        <v>3.7499999999999999E-2</v>
      </c>
      <c r="G213" s="39">
        <v>4.3055555555555562E-2</v>
      </c>
      <c r="H213" s="39">
        <v>1.1805555555555555E-2</v>
      </c>
      <c r="I213" s="39">
        <v>9.0277777777777787E-3</v>
      </c>
      <c r="J213" s="39">
        <v>3.888888888888889E-2</v>
      </c>
      <c r="K213" s="39">
        <v>2.0833333333333332E-2</v>
      </c>
      <c r="L213" s="39">
        <v>1.8749999999999999E-2</v>
      </c>
      <c r="M213" s="39">
        <v>2.4305555555555556E-2</v>
      </c>
      <c r="N213" s="39">
        <v>3.3333333333333333E-2</v>
      </c>
      <c r="O213" s="39">
        <v>2.1527777777777781E-2</v>
      </c>
      <c r="P213" s="39">
        <v>6.2499999999999995E-3</v>
      </c>
      <c r="Q213" s="39">
        <v>2.9166666666666664E-2</v>
      </c>
      <c r="R213" s="39">
        <v>2.5694444444444447E-2</v>
      </c>
      <c r="S213" s="39">
        <v>3.6805555555555557E-2</v>
      </c>
      <c r="T213" s="39">
        <v>3.3333333333333333E-2</v>
      </c>
      <c r="U213" s="39">
        <v>1.6666666666666666E-2</v>
      </c>
      <c r="V213" s="39">
        <v>4.8611111111111112E-3</v>
      </c>
      <c r="W213" s="39">
        <v>3.472222222222222E-3</v>
      </c>
      <c r="X213" s="39">
        <v>1.1805555555555555E-2</v>
      </c>
      <c r="Y213" s="39">
        <v>4.8611111111111112E-3</v>
      </c>
      <c r="Z213" s="39">
        <v>4.1666666666666666E-3</v>
      </c>
      <c r="AA213" s="39">
        <v>4.5833333333333337E-2</v>
      </c>
      <c r="AB213" s="39">
        <v>2.9861111111111113E-2</v>
      </c>
      <c r="AC213" s="39">
        <v>1.4583333333333332E-2</v>
      </c>
      <c r="AD213" s="39">
        <v>2.7777777777777779E-3</v>
      </c>
      <c r="AE213" s="39">
        <v>1.6666666666666666E-2</v>
      </c>
      <c r="AF213" s="91">
        <v>2.7777777777777779E-3</v>
      </c>
      <c r="AG213" s="100">
        <f t="shared" si="28"/>
        <v>0.63541666666666652</v>
      </c>
      <c r="AH213" s="377"/>
    </row>
    <row r="214" spans="1:34" ht="18.75" x14ac:dyDescent="0.25">
      <c r="A214" s="53" t="s">
        <v>111</v>
      </c>
      <c r="B214" s="39">
        <v>2.0833333333333333E-3</v>
      </c>
      <c r="C214" s="39">
        <v>4.5138888888888888E-2</v>
      </c>
      <c r="D214" s="39">
        <v>2.013888888888889E-2</v>
      </c>
      <c r="E214" s="39">
        <v>3.7499999999999999E-2</v>
      </c>
      <c r="F214" s="39">
        <v>5.0694444444444452E-2</v>
      </c>
      <c r="G214" s="39">
        <v>5.6250000000000001E-2</v>
      </c>
      <c r="H214" s="39">
        <v>8.3333333333333332E-3</v>
      </c>
      <c r="I214" s="39">
        <v>7.6388888888888886E-3</v>
      </c>
      <c r="J214" s="39">
        <v>6.7361111111111108E-2</v>
      </c>
      <c r="K214" s="39">
        <v>2.361111111111111E-2</v>
      </c>
      <c r="L214" s="39">
        <v>2.361111111111111E-2</v>
      </c>
      <c r="M214" s="39">
        <v>2.2916666666666669E-2</v>
      </c>
      <c r="N214" s="39">
        <v>2.013888888888889E-2</v>
      </c>
      <c r="O214" s="39">
        <v>1.8055555555555557E-2</v>
      </c>
      <c r="P214" s="39">
        <v>6.9444444444444441E-3</v>
      </c>
      <c r="Q214" s="39">
        <v>4.4444444444444446E-2</v>
      </c>
      <c r="R214" s="39">
        <v>2.7083333333333334E-2</v>
      </c>
      <c r="S214" s="39">
        <v>3.6805555555555557E-2</v>
      </c>
      <c r="T214" s="39">
        <v>4.6527777777777779E-2</v>
      </c>
      <c r="U214" s="39">
        <v>8.3333333333333332E-3</v>
      </c>
      <c r="V214" s="39">
        <v>4.8611111111111112E-3</v>
      </c>
      <c r="W214" s="39">
        <v>3.472222222222222E-3</v>
      </c>
      <c r="X214" s="39">
        <v>7.6388888888888886E-3</v>
      </c>
      <c r="Y214" s="39">
        <v>3.472222222222222E-3</v>
      </c>
      <c r="Z214" s="39">
        <v>2.7777777777777779E-3</v>
      </c>
      <c r="AA214" s="39">
        <v>5.8333333333333327E-2</v>
      </c>
      <c r="AB214" s="39">
        <v>1.4583333333333332E-2</v>
      </c>
      <c r="AC214" s="39">
        <v>1.4583333333333332E-2</v>
      </c>
      <c r="AD214" s="39">
        <v>3.472222222222222E-3</v>
      </c>
      <c r="AE214" s="39">
        <v>1.5277777777777777E-2</v>
      </c>
      <c r="AF214" s="91">
        <v>3.472222222222222E-3</v>
      </c>
      <c r="AG214" s="100">
        <f t="shared" si="28"/>
        <v>0.70555555555555527</v>
      </c>
      <c r="AH214" s="377"/>
    </row>
    <row r="215" spans="1:34" ht="18.75" x14ac:dyDescent="0.25">
      <c r="A215" s="53" t="s">
        <v>112</v>
      </c>
      <c r="B215" s="39">
        <v>4.8611111111111112E-3</v>
      </c>
      <c r="C215" s="39">
        <v>4.7222222222222221E-2</v>
      </c>
      <c r="D215" s="39">
        <v>6.2499999999999995E-3</v>
      </c>
      <c r="E215" s="39">
        <v>1.2499999999999999E-2</v>
      </c>
      <c r="F215" s="39">
        <v>3.4722222222222224E-2</v>
      </c>
      <c r="G215" s="39">
        <v>3.4027777777777775E-2</v>
      </c>
      <c r="H215" s="39">
        <v>5.5555555555555558E-3</v>
      </c>
      <c r="I215" s="39">
        <v>1.5277777777777777E-2</v>
      </c>
      <c r="J215" s="39">
        <v>5.2083333333333336E-2</v>
      </c>
      <c r="K215" s="39">
        <v>1.3194444444444444E-2</v>
      </c>
      <c r="L215" s="39">
        <v>1.6666666666666666E-2</v>
      </c>
      <c r="M215" s="39">
        <v>2.013888888888889E-2</v>
      </c>
      <c r="N215" s="39">
        <v>4.1666666666666666E-3</v>
      </c>
      <c r="O215" s="39">
        <v>8.3333333333333332E-3</v>
      </c>
      <c r="P215" s="39">
        <v>3.472222222222222E-3</v>
      </c>
      <c r="Q215" s="39">
        <v>2.6388888888888889E-2</v>
      </c>
      <c r="R215" s="39">
        <v>6.9444444444444441E-3</v>
      </c>
      <c r="S215" s="39">
        <v>2.7083333333333334E-2</v>
      </c>
      <c r="T215" s="39">
        <v>3.125E-2</v>
      </c>
      <c r="U215" s="39">
        <v>4.1666666666666666E-3</v>
      </c>
      <c r="V215" s="39">
        <v>6.9444444444444441E-3</v>
      </c>
      <c r="W215" s="39">
        <v>2.7777777777777779E-3</v>
      </c>
      <c r="X215" s="39">
        <v>6.2499999999999995E-3</v>
      </c>
      <c r="Y215" s="39">
        <v>2.7777777777777779E-3</v>
      </c>
      <c r="Z215" s="39">
        <v>4.1666666666666666E-3</v>
      </c>
      <c r="AA215" s="39">
        <v>4.0972222222222222E-2</v>
      </c>
      <c r="AB215" s="39">
        <v>9.0277777777777787E-3</v>
      </c>
      <c r="AC215" s="39">
        <v>1.3194444444444444E-2</v>
      </c>
      <c r="AD215" s="39">
        <v>3.472222222222222E-3</v>
      </c>
      <c r="AE215" s="39">
        <v>9.7222222222222224E-3</v>
      </c>
      <c r="AF215" s="91">
        <v>4.1666666666666666E-3</v>
      </c>
      <c r="AG215" s="100">
        <f t="shared" si="28"/>
        <v>0.47777777777777775</v>
      </c>
      <c r="AH215" s="377"/>
    </row>
    <row r="216" spans="1:34" ht="18.75" x14ac:dyDescent="0.25">
      <c r="A216" s="53" t="s">
        <v>113</v>
      </c>
      <c r="B216" s="39">
        <v>2.0833333333333333E-3</v>
      </c>
      <c r="C216" s="39">
        <v>3.3333333333333333E-2</v>
      </c>
      <c r="D216" s="39">
        <v>6.2499999999999995E-3</v>
      </c>
      <c r="E216" s="39">
        <v>6.2499999999999995E-3</v>
      </c>
      <c r="F216" s="39">
        <v>1.5277777777777777E-2</v>
      </c>
      <c r="G216" s="39">
        <v>2.013888888888889E-2</v>
      </c>
      <c r="H216" s="39">
        <v>6.9444444444444441E-3</v>
      </c>
      <c r="I216" s="39">
        <v>4.8611111111111112E-3</v>
      </c>
      <c r="J216" s="39">
        <v>3.0555555555555555E-2</v>
      </c>
      <c r="K216" s="39">
        <v>1.9444444444444445E-2</v>
      </c>
      <c r="L216" s="39">
        <v>1.4583333333333332E-2</v>
      </c>
      <c r="M216" s="39">
        <v>9.7222222222222224E-3</v>
      </c>
      <c r="N216" s="39">
        <v>2.0833333333333333E-3</v>
      </c>
      <c r="O216" s="39">
        <v>4.8611111111111112E-3</v>
      </c>
      <c r="P216" s="39">
        <v>4.1666666666666666E-3</v>
      </c>
      <c r="Q216" s="39">
        <v>2.7777777777777776E-2</v>
      </c>
      <c r="R216" s="39">
        <v>7.6388888888888886E-3</v>
      </c>
      <c r="S216" s="39">
        <v>3.5416666666666666E-2</v>
      </c>
      <c r="T216" s="39">
        <v>1.9444444444444445E-2</v>
      </c>
      <c r="U216" s="39">
        <v>6.9444444444444441E-3</v>
      </c>
      <c r="V216" s="39">
        <v>8.3333333333333332E-3</v>
      </c>
      <c r="W216" s="39">
        <v>2.0833333333333333E-3</v>
      </c>
      <c r="X216" s="39">
        <v>7.6388888888888886E-3</v>
      </c>
      <c r="Y216" s="39">
        <v>2.0833333333333333E-3</v>
      </c>
      <c r="Z216" s="39">
        <v>4.8611111111111112E-3</v>
      </c>
      <c r="AA216" s="39">
        <v>2.9861111111111113E-2</v>
      </c>
      <c r="AB216" s="39">
        <v>5.5555555555555558E-3</v>
      </c>
      <c r="AC216" s="39">
        <v>8.3333333333333332E-3</v>
      </c>
      <c r="AD216" s="39">
        <v>3.472222222222222E-3</v>
      </c>
      <c r="AE216" s="39">
        <v>4.1666666666666666E-3</v>
      </c>
      <c r="AF216" s="91">
        <v>2.7777777777777779E-3</v>
      </c>
      <c r="AG216" s="100">
        <f t="shared" si="28"/>
        <v>0.35694444444444434</v>
      </c>
      <c r="AH216" s="377"/>
    </row>
    <row r="217" spans="1:34" ht="18.75" x14ac:dyDescent="0.25">
      <c r="A217" s="53" t="s">
        <v>114</v>
      </c>
      <c r="B217" s="39">
        <v>5.5555555555555558E-3</v>
      </c>
      <c r="C217" s="39">
        <v>2.013888888888889E-2</v>
      </c>
      <c r="D217" s="39">
        <v>1.3194444444444444E-2</v>
      </c>
      <c r="E217" s="39">
        <v>6.9444444444444441E-3</v>
      </c>
      <c r="F217" s="39">
        <v>1.6666666666666666E-2</v>
      </c>
      <c r="G217" s="39">
        <v>2.2222222222222223E-2</v>
      </c>
      <c r="H217" s="39">
        <v>6.2499999999999995E-3</v>
      </c>
      <c r="I217" s="39">
        <v>1.1805555555555555E-2</v>
      </c>
      <c r="J217" s="39">
        <v>2.361111111111111E-2</v>
      </c>
      <c r="K217" s="39">
        <v>1.6666666666666666E-2</v>
      </c>
      <c r="L217" s="39">
        <v>6.2499999999999995E-3</v>
      </c>
      <c r="M217" s="39">
        <v>6.2499999999999995E-3</v>
      </c>
      <c r="N217" s="39">
        <v>3.472222222222222E-3</v>
      </c>
      <c r="O217" s="39">
        <v>5.5555555555555558E-3</v>
      </c>
      <c r="P217" s="39">
        <v>4.1666666666666666E-3</v>
      </c>
      <c r="Q217" s="39">
        <v>1.5277777777777777E-2</v>
      </c>
      <c r="R217" s="39">
        <v>4.8611111111111112E-3</v>
      </c>
      <c r="S217" s="39">
        <v>2.1527777777777781E-2</v>
      </c>
      <c r="T217" s="39">
        <v>2.7777777777777779E-3</v>
      </c>
      <c r="U217" s="39">
        <v>7.6388888888888886E-3</v>
      </c>
      <c r="V217" s="39">
        <v>5.5555555555555558E-3</v>
      </c>
      <c r="W217" s="39">
        <v>4.1666666666666666E-3</v>
      </c>
      <c r="X217" s="39">
        <v>6.2499999999999995E-3</v>
      </c>
      <c r="Y217" s="39">
        <v>2.0833333333333333E-3</v>
      </c>
      <c r="Z217" s="39">
        <v>4.8611111111111112E-3</v>
      </c>
      <c r="AA217" s="39">
        <v>1.8055555555555557E-2</v>
      </c>
      <c r="AB217" s="39">
        <v>5.5555555555555558E-3</v>
      </c>
      <c r="AC217" s="39">
        <v>1.3194444444444444E-2</v>
      </c>
      <c r="AD217" s="39">
        <v>5.5555555555555558E-3</v>
      </c>
      <c r="AE217" s="39">
        <v>4.8611111111111112E-3</v>
      </c>
      <c r="AF217" s="91">
        <v>1.3888888888888889E-3</v>
      </c>
      <c r="AG217" s="100">
        <f t="shared" ref="AG217:AG219" si="34">SUM(B217:AF217)</f>
        <v>0.29236111111111113</v>
      </c>
      <c r="AH217" s="377"/>
    </row>
    <row r="218" spans="1:34" ht="18.75" x14ac:dyDescent="0.25">
      <c r="A218" s="53" t="s">
        <v>115</v>
      </c>
      <c r="B218" s="39">
        <v>1.5972222222222224E-2</v>
      </c>
      <c r="C218" s="39">
        <v>1.5277777777777777E-2</v>
      </c>
      <c r="D218" s="39">
        <v>6.2499999999999995E-3</v>
      </c>
      <c r="E218" s="39">
        <v>7.6388888888888886E-3</v>
      </c>
      <c r="F218" s="39">
        <v>1.0416666666666666E-2</v>
      </c>
      <c r="G218" s="39">
        <v>1.1111111111111112E-2</v>
      </c>
      <c r="H218" s="39">
        <v>8.3333333333333332E-3</v>
      </c>
      <c r="I218" s="39">
        <v>1.7361111111111112E-2</v>
      </c>
      <c r="J218" s="39">
        <v>3.3333333333333333E-2</v>
      </c>
      <c r="K218" s="39">
        <v>1.0416666666666666E-2</v>
      </c>
      <c r="L218" s="39">
        <v>6.2499999999999995E-3</v>
      </c>
      <c r="M218" s="39">
        <v>4.1666666666666666E-3</v>
      </c>
      <c r="N218" s="39">
        <v>6.9444444444444441E-3</v>
      </c>
      <c r="O218" s="39">
        <v>6.2499999999999995E-3</v>
      </c>
      <c r="P218" s="39">
        <v>1.3194444444444444E-2</v>
      </c>
      <c r="Q218" s="39">
        <v>3.472222222222222E-3</v>
      </c>
      <c r="R218" s="39">
        <v>4.1666666666666666E-3</v>
      </c>
      <c r="S218" s="39">
        <v>5.5555555555555558E-3</v>
      </c>
      <c r="T218" s="39">
        <v>5.5555555555555558E-3</v>
      </c>
      <c r="U218" s="39">
        <v>4.8611111111111112E-3</v>
      </c>
      <c r="V218" s="39">
        <v>8.3333333333333332E-3</v>
      </c>
      <c r="W218" s="39">
        <v>5.5555555555555558E-3</v>
      </c>
      <c r="X218" s="39">
        <v>1.1111111111111112E-2</v>
      </c>
      <c r="Y218" s="39">
        <v>3.472222222222222E-3</v>
      </c>
      <c r="Z218" s="39">
        <v>2.7777777777777779E-3</v>
      </c>
      <c r="AA218" s="39">
        <v>1.7361111111111112E-2</v>
      </c>
      <c r="AB218" s="39">
        <v>6.9444444444444441E-3</v>
      </c>
      <c r="AC218" s="39">
        <v>1.4583333333333332E-2</v>
      </c>
      <c r="AD218" s="39">
        <v>3.472222222222222E-3</v>
      </c>
      <c r="AE218" s="39">
        <v>4.1666666666666666E-3</v>
      </c>
      <c r="AF218" s="91">
        <v>3.472222222222222E-3</v>
      </c>
      <c r="AG218" s="100">
        <f t="shared" si="34"/>
        <v>0.27777777777777773</v>
      </c>
      <c r="AH218" s="377"/>
    </row>
    <row r="219" spans="1:34" ht="18.75" x14ac:dyDescent="0.25">
      <c r="A219" s="53" t="s">
        <v>116</v>
      </c>
      <c r="B219" s="39">
        <v>3.472222222222222E-3</v>
      </c>
      <c r="C219" s="39">
        <v>1.3888888888888888E-2</v>
      </c>
      <c r="D219" s="39">
        <v>9.0277777777777787E-3</v>
      </c>
      <c r="E219" s="39">
        <v>9.7222222222222224E-3</v>
      </c>
      <c r="F219" s="39">
        <v>1.6666666666666666E-2</v>
      </c>
      <c r="G219" s="39">
        <v>6.2499999999999995E-3</v>
      </c>
      <c r="H219" s="39">
        <v>6.2499999999999995E-3</v>
      </c>
      <c r="I219" s="39">
        <v>2.7777777777777779E-3</v>
      </c>
      <c r="J219" s="39">
        <v>9.7222222222222224E-3</v>
      </c>
      <c r="K219" s="39">
        <v>4.8611111111111112E-3</v>
      </c>
      <c r="L219" s="39">
        <v>4.1666666666666666E-3</v>
      </c>
      <c r="M219" s="39">
        <v>2.7777777777777779E-3</v>
      </c>
      <c r="N219" s="39">
        <v>2.0833333333333333E-3</v>
      </c>
      <c r="O219" s="39">
        <v>5.5555555555555558E-3</v>
      </c>
      <c r="P219" s="39">
        <v>4.1666666666666666E-3</v>
      </c>
      <c r="Q219" s="39">
        <v>5.5555555555555558E-3</v>
      </c>
      <c r="R219" s="39">
        <v>4.8611111111111112E-3</v>
      </c>
      <c r="S219" s="39">
        <v>5.5555555555555558E-3</v>
      </c>
      <c r="T219" s="39">
        <v>3.472222222222222E-3</v>
      </c>
      <c r="U219" s="39">
        <v>6.9444444444444441E-3</v>
      </c>
      <c r="V219" s="39">
        <v>2.7777777777777779E-3</v>
      </c>
      <c r="W219" s="39">
        <v>1.3888888888888888E-2</v>
      </c>
      <c r="X219" s="39">
        <v>5.5555555555555558E-3</v>
      </c>
      <c r="Y219" s="39">
        <v>2.0833333333333333E-3</v>
      </c>
      <c r="Z219" s="39">
        <v>3.472222222222222E-3</v>
      </c>
      <c r="AA219" s="39">
        <v>4.8611111111111112E-3</v>
      </c>
      <c r="AB219" s="39">
        <v>4.8611111111111112E-3</v>
      </c>
      <c r="AC219" s="39">
        <v>2.361111111111111E-2</v>
      </c>
      <c r="AD219" s="39">
        <v>4.1666666666666666E-3</v>
      </c>
      <c r="AE219" s="39">
        <v>1.0416666666666666E-2</v>
      </c>
      <c r="AF219" s="91">
        <v>8.3333333333333332E-3</v>
      </c>
      <c r="AG219" s="100">
        <f t="shared" si="34"/>
        <v>0.21180555555555555</v>
      </c>
      <c r="AH219" s="377"/>
    </row>
    <row r="220" spans="1:34" ht="18.75" x14ac:dyDescent="0.25">
      <c r="A220" s="53" t="s">
        <v>117</v>
      </c>
      <c r="B220" s="39">
        <v>5.5555555555555558E-3</v>
      </c>
      <c r="C220" s="39">
        <v>4.8611111111111112E-3</v>
      </c>
      <c r="D220" s="39">
        <v>3.472222222222222E-3</v>
      </c>
      <c r="E220" s="39">
        <v>6.2499999999999995E-3</v>
      </c>
      <c r="F220" s="39">
        <v>1.0416666666666666E-2</v>
      </c>
      <c r="G220" s="39">
        <v>6.9444444444444441E-3</v>
      </c>
      <c r="H220" s="39">
        <v>2.7777777777777779E-3</v>
      </c>
      <c r="I220" s="39">
        <v>5.5555555555555558E-3</v>
      </c>
      <c r="J220" s="39">
        <v>2.5694444444444447E-2</v>
      </c>
      <c r="K220" s="39">
        <v>1.0416666666666666E-2</v>
      </c>
      <c r="L220" s="39">
        <v>1.5972222222222224E-2</v>
      </c>
      <c r="M220" s="39">
        <v>3.472222222222222E-3</v>
      </c>
      <c r="N220" s="39">
        <v>1.3888888888888888E-2</v>
      </c>
      <c r="O220" s="39">
        <v>6.2499999999999995E-3</v>
      </c>
      <c r="P220" s="39">
        <v>2.0833333333333332E-2</v>
      </c>
      <c r="Q220" s="39">
        <v>9.0277777777777787E-3</v>
      </c>
      <c r="R220" s="39">
        <v>5.5555555555555558E-3</v>
      </c>
      <c r="S220" s="39">
        <v>1.3194444444444444E-2</v>
      </c>
      <c r="T220" s="39">
        <v>2.0833333333333333E-3</v>
      </c>
      <c r="U220" s="39">
        <v>4.1666666666666666E-3</v>
      </c>
      <c r="V220" s="39">
        <v>1.3888888888888889E-3</v>
      </c>
      <c r="W220" s="39">
        <v>1.3888888888888889E-3</v>
      </c>
      <c r="X220" s="39">
        <v>2.0833333333333333E-3</v>
      </c>
      <c r="Y220" s="39">
        <v>2.7777777777777779E-3</v>
      </c>
      <c r="Z220" s="39">
        <v>6.9444444444444447E-4</v>
      </c>
      <c r="AA220" s="39">
        <v>5.5555555555555558E-3</v>
      </c>
      <c r="AB220" s="39">
        <v>1.3888888888888889E-3</v>
      </c>
      <c r="AC220" s="39">
        <v>2.0833333333333333E-3</v>
      </c>
      <c r="AD220" s="39">
        <v>1.3888888888888889E-3</v>
      </c>
      <c r="AE220" s="39">
        <v>1.3888888888888889E-3</v>
      </c>
      <c r="AF220" s="91">
        <v>2.0833333333333333E-3</v>
      </c>
      <c r="AG220" s="100">
        <f t="shared" si="28"/>
        <v>0.1986111111111111</v>
      </c>
      <c r="AH220" s="377"/>
    </row>
    <row r="221" spans="1:34" ht="18.75" x14ac:dyDescent="0.25">
      <c r="A221" s="43" t="s">
        <v>150</v>
      </c>
      <c r="B221" s="19">
        <v>2.9861111111111113E-2</v>
      </c>
      <c r="C221" s="19">
        <v>2.6388888888888889E-2</v>
      </c>
      <c r="D221" s="19">
        <v>5.347222222222222E-2</v>
      </c>
      <c r="E221" s="19">
        <v>1.3888888888888888E-2</v>
      </c>
      <c r="F221" s="19">
        <v>2.7777777777777776E-2</v>
      </c>
      <c r="G221" s="19">
        <v>4.8611111111111112E-2</v>
      </c>
      <c r="H221" s="19">
        <v>1.8055555555555557E-2</v>
      </c>
      <c r="I221" s="19">
        <v>1.6666666666666666E-2</v>
      </c>
      <c r="J221" s="19">
        <v>4.9999999999999996E-2</v>
      </c>
      <c r="K221" s="19">
        <v>3.8194444444444441E-2</v>
      </c>
      <c r="L221" s="19">
        <v>1.6666666666666666E-2</v>
      </c>
      <c r="M221" s="19">
        <v>1.4583333333333332E-2</v>
      </c>
      <c r="N221" s="19">
        <v>2.6388888888888889E-2</v>
      </c>
      <c r="O221" s="19">
        <v>2.4305555555555556E-2</v>
      </c>
      <c r="P221" s="19">
        <v>2.2916666666666669E-2</v>
      </c>
      <c r="Q221" s="19">
        <v>3.7499999999999999E-2</v>
      </c>
      <c r="R221" s="19">
        <v>3.0555555555555555E-2</v>
      </c>
      <c r="S221" s="19">
        <v>2.8472222222222222E-2</v>
      </c>
      <c r="T221" s="19">
        <v>1.4583333333333332E-2</v>
      </c>
      <c r="U221" s="19">
        <v>4.2361111111111106E-2</v>
      </c>
      <c r="V221" s="19">
        <v>2.7777777777777776E-2</v>
      </c>
      <c r="W221" s="19">
        <v>1.1111111111111112E-2</v>
      </c>
      <c r="X221" s="19">
        <v>1.8055555555555557E-2</v>
      </c>
      <c r="Y221" s="19">
        <v>9.0277777777777787E-3</v>
      </c>
      <c r="Z221" s="19">
        <v>4.1666666666666666E-3</v>
      </c>
      <c r="AA221" s="19">
        <v>3.8194444444444441E-2</v>
      </c>
      <c r="AB221" s="19">
        <v>5.0694444444444452E-2</v>
      </c>
      <c r="AC221" s="19">
        <v>4.9305555555555554E-2</v>
      </c>
      <c r="AD221" s="19">
        <v>3.4722222222222224E-2</v>
      </c>
      <c r="AE221" s="19">
        <v>1.8055555555555557E-2</v>
      </c>
      <c r="AF221" s="25">
        <v>1.3888888888888889E-3</v>
      </c>
      <c r="AG221" s="99">
        <f t="shared" si="28"/>
        <v>0.84375</v>
      </c>
      <c r="AH221" s="377"/>
    </row>
    <row r="222" spans="1:34" ht="18.75" x14ac:dyDescent="0.25">
      <c r="A222" s="43" t="s">
        <v>78</v>
      </c>
      <c r="B222" s="19">
        <v>4.5138888888888888E-2</v>
      </c>
      <c r="C222" s="19">
        <v>3.6111111111111115E-2</v>
      </c>
      <c r="D222" s="19">
        <v>6.7361111111111108E-2</v>
      </c>
      <c r="E222" s="19">
        <v>2.361111111111111E-2</v>
      </c>
      <c r="F222" s="19">
        <v>3.9583333333333331E-2</v>
      </c>
      <c r="G222" s="19">
        <v>6.1805555555555558E-2</v>
      </c>
      <c r="H222" s="19">
        <v>3.0555555555555555E-2</v>
      </c>
      <c r="I222" s="19">
        <v>2.7083333333333334E-2</v>
      </c>
      <c r="J222" s="19">
        <v>5.9027777777777783E-2</v>
      </c>
      <c r="K222" s="19">
        <v>5.0694444444444452E-2</v>
      </c>
      <c r="L222" s="19">
        <v>2.6388888888888889E-2</v>
      </c>
      <c r="M222" s="19">
        <v>2.361111111111111E-2</v>
      </c>
      <c r="N222" s="19">
        <v>3.8194444444444441E-2</v>
      </c>
      <c r="O222" s="19">
        <v>3.5416666666666666E-2</v>
      </c>
      <c r="P222" s="19">
        <v>3.4722222222222224E-2</v>
      </c>
      <c r="Q222" s="19">
        <v>4.9305555555555554E-2</v>
      </c>
      <c r="R222" s="19">
        <v>4.3055555555555562E-2</v>
      </c>
      <c r="S222" s="19">
        <v>3.9583333333333331E-2</v>
      </c>
      <c r="T222" s="19">
        <v>2.361111111111111E-2</v>
      </c>
      <c r="U222" s="19">
        <v>5.6944444444444443E-2</v>
      </c>
      <c r="V222" s="19">
        <v>3.9583333333333331E-2</v>
      </c>
      <c r="W222" s="19">
        <v>1.8749999999999999E-2</v>
      </c>
      <c r="X222" s="19">
        <v>2.8472222222222222E-2</v>
      </c>
      <c r="Y222" s="19">
        <v>1.6666666666666666E-2</v>
      </c>
      <c r="Z222" s="19">
        <v>8.3333333333333332E-3</v>
      </c>
      <c r="AA222" s="19">
        <v>4.7222222222222221E-2</v>
      </c>
      <c r="AB222" s="19">
        <v>5.9722222222222225E-2</v>
      </c>
      <c r="AC222" s="19">
        <v>6.0416666666666667E-2</v>
      </c>
      <c r="AD222" s="19">
        <v>4.7916666666666663E-2</v>
      </c>
      <c r="AE222" s="19">
        <v>2.7083333333333334E-2</v>
      </c>
      <c r="AF222" s="25">
        <v>4.8611111111111112E-3</v>
      </c>
      <c r="AG222" s="99">
        <f t="shared" si="28"/>
        <v>1.1708333333333334</v>
      </c>
      <c r="AH222" s="377"/>
    </row>
    <row r="223" spans="1:34" ht="19.5" thickBot="1" x14ac:dyDescent="0.3">
      <c r="A223" s="43" t="s">
        <v>79</v>
      </c>
      <c r="B223" s="19">
        <v>3.2638888888888891E-2</v>
      </c>
      <c r="C223" s="19">
        <v>3.5416666666666666E-2</v>
      </c>
      <c r="D223" s="19">
        <v>4.1666666666666664E-2</v>
      </c>
      <c r="E223" s="19">
        <v>3.125E-2</v>
      </c>
      <c r="F223" s="19">
        <v>3.888888888888889E-2</v>
      </c>
      <c r="G223" s="19">
        <v>4.9305555555555554E-2</v>
      </c>
      <c r="H223" s="19">
        <v>3.2638888888888891E-2</v>
      </c>
      <c r="I223" s="19">
        <v>2.9861111111111113E-2</v>
      </c>
      <c r="J223" s="19">
        <v>4.3055555555555562E-2</v>
      </c>
      <c r="K223" s="19">
        <v>3.1944444444444449E-2</v>
      </c>
      <c r="L223" s="19">
        <v>3.3333333333333333E-2</v>
      </c>
      <c r="M223" s="19">
        <v>2.7083333333333334E-2</v>
      </c>
      <c r="N223" s="19">
        <v>3.125E-2</v>
      </c>
      <c r="O223" s="19">
        <v>3.2638888888888891E-2</v>
      </c>
      <c r="P223" s="19">
        <v>3.4027777777777775E-2</v>
      </c>
      <c r="Q223" s="19">
        <v>3.9583333333333331E-2</v>
      </c>
      <c r="R223" s="19">
        <v>3.4027777777777775E-2</v>
      </c>
      <c r="S223" s="19">
        <v>3.0555555555555555E-2</v>
      </c>
      <c r="T223" s="19">
        <v>2.8472222222222222E-2</v>
      </c>
      <c r="U223" s="19">
        <v>3.1944444444444449E-2</v>
      </c>
      <c r="V223" s="19">
        <v>2.9166666666666664E-2</v>
      </c>
      <c r="W223" s="19">
        <v>3.1944444444444449E-2</v>
      </c>
      <c r="X223" s="19">
        <v>4.2361111111111106E-2</v>
      </c>
      <c r="Y223" s="19">
        <v>2.9861111111111113E-2</v>
      </c>
      <c r="Z223" s="19">
        <v>1.7361111111111112E-2</v>
      </c>
      <c r="AA223" s="19">
        <v>3.3333333333333333E-2</v>
      </c>
      <c r="AB223" s="19">
        <v>3.6111111111111115E-2</v>
      </c>
      <c r="AC223" s="19">
        <v>3.8194444444444441E-2</v>
      </c>
      <c r="AD223" s="19">
        <v>3.6805555555555557E-2</v>
      </c>
      <c r="AE223" s="19">
        <v>3.8194444444444441E-2</v>
      </c>
      <c r="AF223" s="25">
        <v>2.4305555555555556E-2</v>
      </c>
      <c r="AG223" s="99">
        <f t="shared" si="28"/>
        <v>1.0472222222222223</v>
      </c>
      <c r="AH223" s="378"/>
    </row>
    <row r="224" spans="1:34" ht="24" thickBot="1" x14ac:dyDescent="0.3">
      <c r="A224" s="62" t="s">
        <v>118</v>
      </c>
      <c r="B224" s="20">
        <f>+B212+B221+B222+B223</f>
        <v>0.11319444444444443</v>
      </c>
      <c r="C224" s="20">
        <f t="shared" ref="C224:AF224" si="35">+C212+C221+C222+C223</f>
        <v>0.12569444444444444</v>
      </c>
      <c r="D224" s="20">
        <f t="shared" si="35"/>
        <v>0.17708333333333331</v>
      </c>
      <c r="E224" s="20">
        <f t="shared" si="35"/>
        <v>8.5416666666666669E-2</v>
      </c>
      <c r="F224" s="20">
        <f t="shared" si="35"/>
        <v>0.13124999999999998</v>
      </c>
      <c r="G224" s="20">
        <f t="shared" si="35"/>
        <v>0.1875</v>
      </c>
      <c r="H224" s="20">
        <f t="shared" si="35"/>
        <v>8.6805555555555552E-2</v>
      </c>
      <c r="I224" s="20">
        <f t="shared" si="35"/>
        <v>8.0555555555555561E-2</v>
      </c>
      <c r="J224" s="20">
        <f t="shared" si="35"/>
        <v>0.18819444444444447</v>
      </c>
      <c r="K224" s="20">
        <f t="shared" si="35"/>
        <v>0.13680555555555557</v>
      </c>
      <c r="L224" s="20">
        <f t="shared" si="35"/>
        <v>9.0972222222222232E-2</v>
      </c>
      <c r="M224" s="20">
        <f t="shared" si="35"/>
        <v>7.9166666666666663E-2</v>
      </c>
      <c r="N224" s="20">
        <f t="shared" si="35"/>
        <v>0.11180555555555555</v>
      </c>
      <c r="O224" s="20">
        <f t="shared" si="35"/>
        <v>0.10277777777777777</v>
      </c>
      <c r="P224" s="20">
        <f t="shared" si="35"/>
        <v>9.7916666666666652E-2</v>
      </c>
      <c r="Q224" s="20">
        <f t="shared" si="35"/>
        <v>0.14791666666666667</v>
      </c>
      <c r="R224" s="20">
        <f t="shared" si="35"/>
        <v>0.12291666666666667</v>
      </c>
      <c r="S224" s="20">
        <f t="shared" si="35"/>
        <v>0.12638888888888888</v>
      </c>
      <c r="T224" s="20">
        <f t="shared" si="35"/>
        <v>8.9583333333333334E-2</v>
      </c>
      <c r="U224" s="20">
        <f t="shared" si="35"/>
        <v>0.13958333333333334</v>
      </c>
      <c r="V224" s="20">
        <f t="shared" si="35"/>
        <v>0.10138888888888888</v>
      </c>
      <c r="W224" s="20">
        <f t="shared" si="35"/>
        <v>6.8055555555555564E-2</v>
      </c>
      <c r="X224" s="20">
        <f t="shared" si="35"/>
        <v>9.722222222222221E-2</v>
      </c>
      <c r="Y224" s="20">
        <f t="shared" si="35"/>
        <v>5.9722222222222225E-2</v>
      </c>
      <c r="Z224" s="20">
        <f t="shared" si="35"/>
        <v>3.4027777777777782E-2</v>
      </c>
      <c r="AA224" s="20">
        <f t="shared" si="35"/>
        <v>0.15138888888888888</v>
      </c>
      <c r="AB224" s="20">
        <f t="shared" si="35"/>
        <v>0.16180555555555556</v>
      </c>
      <c r="AC224" s="20">
        <f t="shared" si="35"/>
        <v>0.15833333333333333</v>
      </c>
      <c r="AD224" s="20">
        <f t="shared" si="35"/>
        <v>0.12430555555555556</v>
      </c>
      <c r="AE224" s="20">
        <f t="shared" si="35"/>
        <v>9.2361111111111116E-2</v>
      </c>
      <c r="AF224" s="20">
        <f t="shared" si="35"/>
        <v>3.4722222222222224E-2</v>
      </c>
      <c r="AG224" s="99">
        <f t="shared" si="28"/>
        <v>3.5048611111111114</v>
      </c>
      <c r="AH224" s="36"/>
    </row>
    <row r="225" spans="1:34" ht="18.75" x14ac:dyDescent="0.25">
      <c r="A225" s="57" t="s">
        <v>90</v>
      </c>
      <c r="B225" s="27">
        <v>18</v>
      </c>
      <c r="C225" s="27">
        <v>26</v>
      </c>
      <c r="D225" s="27">
        <v>36</v>
      </c>
      <c r="E225" s="27">
        <v>35</v>
      </c>
      <c r="F225" s="27">
        <v>30</v>
      </c>
      <c r="G225" s="27">
        <v>13</v>
      </c>
      <c r="H225" s="27">
        <v>13</v>
      </c>
      <c r="I225" s="27">
        <v>14</v>
      </c>
      <c r="J225" s="27">
        <v>42</v>
      </c>
      <c r="K225" s="27">
        <v>32</v>
      </c>
      <c r="L225" s="27">
        <v>28</v>
      </c>
      <c r="M225" s="27">
        <v>43</v>
      </c>
      <c r="N225" s="27">
        <v>20</v>
      </c>
      <c r="O225" s="27">
        <v>19</v>
      </c>
      <c r="P225" s="27">
        <v>15</v>
      </c>
      <c r="Q225" s="27">
        <v>35</v>
      </c>
      <c r="R225" s="27">
        <v>31</v>
      </c>
      <c r="S225" s="27">
        <v>22</v>
      </c>
      <c r="T225" s="27">
        <v>30</v>
      </c>
      <c r="U225" s="27">
        <v>23</v>
      </c>
      <c r="V225" s="27">
        <v>10</v>
      </c>
      <c r="W225" s="27">
        <v>11</v>
      </c>
      <c r="X225" s="27">
        <v>34</v>
      </c>
      <c r="Y225" s="27">
        <v>15</v>
      </c>
      <c r="Z225" s="27">
        <v>7</v>
      </c>
      <c r="AA225" s="27">
        <v>32</v>
      </c>
      <c r="AB225" s="27">
        <v>15</v>
      </c>
      <c r="AC225" s="27">
        <v>19</v>
      </c>
      <c r="AD225" s="27">
        <v>17</v>
      </c>
      <c r="AE225" s="27">
        <v>28</v>
      </c>
      <c r="AF225" s="92">
        <v>15</v>
      </c>
      <c r="AG225" s="31">
        <f t="shared" ref="AG225:AG238" si="36">SUM(B225:AF225)</f>
        <v>728</v>
      </c>
      <c r="AH225" s="379" t="s">
        <v>96</v>
      </c>
    </row>
    <row r="226" spans="1:34" ht="18.75" x14ac:dyDescent="0.25">
      <c r="A226" s="54" t="s">
        <v>91</v>
      </c>
      <c r="B226" s="40">
        <v>0.33333333333333331</v>
      </c>
      <c r="C226" s="40">
        <v>0.33333333333333331</v>
      </c>
      <c r="D226" s="40">
        <v>0.33333333333333331</v>
      </c>
      <c r="E226" s="40">
        <v>0.33333333333333331</v>
      </c>
      <c r="F226" s="40">
        <v>0.33333333333333331</v>
      </c>
      <c r="G226" s="40"/>
      <c r="H226" s="40"/>
      <c r="I226" s="40">
        <v>0.33333333333333331</v>
      </c>
      <c r="J226" s="40">
        <v>0.33333333333333331</v>
      </c>
      <c r="K226" s="40">
        <v>0.33333333333333331</v>
      </c>
      <c r="L226" s="40">
        <v>0.33333333333333331</v>
      </c>
      <c r="M226" s="40">
        <v>0.33333333333333331</v>
      </c>
      <c r="N226" s="40"/>
      <c r="O226" s="40"/>
      <c r="P226" s="40">
        <v>0.33333333333333331</v>
      </c>
      <c r="Q226" s="40">
        <v>0.33333333333333331</v>
      </c>
      <c r="R226" s="40">
        <v>0.33333333333333331</v>
      </c>
      <c r="S226" s="40">
        <v>0.33333333333333331</v>
      </c>
      <c r="T226" s="40">
        <v>0.33333333333333331</v>
      </c>
      <c r="U226" s="40"/>
      <c r="V226" s="40"/>
      <c r="W226" s="40">
        <v>0.33333333333333331</v>
      </c>
      <c r="X226" s="40">
        <v>0.33333333333333331</v>
      </c>
      <c r="Y226" s="40"/>
      <c r="Z226" s="40"/>
      <c r="AA226" s="40">
        <v>0.33333333333333331</v>
      </c>
      <c r="AB226" s="40"/>
      <c r="AC226" s="40"/>
      <c r="AD226" s="40">
        <v>0.33333333333333331</v>
      </c>
      <c r="AE226" s="40">
        <v>0.33333333333333331</v>
      </c>
      <c r="AF226" s="93"/>
      <c r="AG226" s="99">
        <f t="shared" si="36"/>
        <v>6.6666666666666643</v>
      </c>
      <c r="AH226" s="380"/>
    </row>
    <row r="227" spans="1:34" ht="19.5" thickBot="1" x14ac:dyDescent="0.3">
      <c r="A227" s="58" t="s">
        <v>97</v>
      </c>
      <c r="B227" s="59">
        <v>0</v>
      </c>
      <c r="C227" s="59">
        <v>0</v>
      </c>
      <c r="D227" s="59">
        <v>0</v>
      </c>
      <c r="E227" s="59">
        <v>0</v>
      </c>
      <c r="F227" s="59">
        <v>0</v>
      </c>
      <c r="G227" s="59">
        <v>0</v>
      </c>
      <c r="H227" s="59">
        <v>0</v>
      </c>
      <c r="I227" s="59">
        <v>0</v>
      </c>
      <c r="J227" s="59">
        <v>0</v>
      </c>
      <c r="K227" s="59">
        <v>0</v>
      </c>
      <c r="L227" s="59">
        <v>0</v>
      </c>
      <c r="M227" s="59">
        <v>0</v>
      </c>
      <c r="N227" s="59">
        <v>0</v>
      </c>
      <c r="O227" s="59">
        <v>0</v>
      </c>
      <c r="P227" s="59">
        <v>0</v>
      </c>
      <c r="Q227" s="59">
        <v>0</v>
      </c>
      <c r="R227" s="59">
        <v>0</v>
      </c>
      <c r="S227" s="59">
        <v>0</v>
      </c>
      <c r="T227" s="59">
        <v>0</v>
      </c>
      <c r="U227" s="59">
        <v>0</v>
      </c>
      <c r="V227" s="59">
        <v>0</v>
      </c>
      <c r="W227" s="59">
        <v>0</v>
      </c>
      <c r="X227" s="59">
        <v>0</v>
      </c>
      <c r="Y227" s="59">
        <v>0</v>
      </c>
      <c r="Z227" s="59">
        <v>0</v>
      </c>
      <c r="AA227" s="59">
        <v>0</v>
      </c>
      <c r="AB227" s="59">
        <v>0</v>
      </c>
      <c r="AC227" s="59">
        <v>0</v>
      </c>
      <c r="AD227" s="59">
        <v>0</v>
      </c>
      <c r="AE227" s="59">
        <v>0</v>
      </c>
      <c r="AF227" s="94">
        <v>0</v>
      </c>
      <c r="AG227" s="28">
        <f t="shared" si="36"/>
        <v>0</v>
      </c>
      <c r="AH227" s="381"/>
    </row>
    <row r="228" spans="1:34" ht="18.75" x14ac:dyDescent="0.25">
      <c r="A228" s="55" t="s">
        <v>92</v>
      </c>
      <c r="B228" s="118">
        <f>SUM(B229:B231)</f>
        <v>7</v>
      </c>
      <c r="C228" s="118">
        <f t="shared" ref="C228:AF228" si="37">SUM(C229:C231)</f>
        <v>6</v>
      </c>
      <c r="D228" s="118">
        <f t="shared" si="37"/>
        <v>6</v>
      </c>
      <c r="E228" s="118">
        <f t="shared" si="37"/>
        <v>8</v>
      </c>
      <c r="F228" s="118">
        <f t="shared" si="37"/>
        <v>4</v>
      </c>
      <c r="G228" s="118">
        <f t="shared" si="37"/>
        <v>4</v>
      </c>
      <c r="H228" s="118">
        <f t="shared" si="37"/>
        <v>1</v>
      </c>
      <c r="I228" s="118">
        <f t="shared" si="37"/>
        <v>5</v>
      </c>
      <c r="J228" s="118">
        <f t="shared" si="37"/>
        <v>5</v>
      </c>
      <c r="K228" s="118">
        <f t="shared" si="37"/>
        <v>8</v>
      </c>
      <c r="L228" s="118">
        <f t="shared" si="37"/>
        <v>0</v>
      </c>
      <c r="M228" s="118">
        <f t="shared" si="37"/>
        <v>6</v>
      </c>
      <c r="N228" s="118">
        <f t="shared" si="37"/>
        <v>3</v>
      </c>
      <c r="O228" s="118">
        <f t="shared" si="37"/>
        <v>1</v>
      </c>
      <c r="P228" s="118">
        <f t="shared" si="37"/>
        <v>0</v>
      </c>
      <c r="Q228" s="118">
        <f t="shared" si="37"/>
        <v>2</v>
      </c>
      <c r="R228" s="118">
        <f t="shared" si="37"/>
        <v>1</v>
      </c>
      <c r="S228" s="118">
        <f t="shared" si="37"/>
        <v>4</v>
      </c>
      <c r="T228" s="118">
        <f t="shared" si="37"/>
        <v>5</v>
      </c>
      <c r="U228" s="118">
        <f t="shared" si="37"/>
        <v>5</v>
      </c>
      <c r="V228" s="118">
        <f t="shared" si="37"/>
        <v>0</v>
      </c>
      <c r="W228" s="118">
        <f t="shared" si="37"/>
        <v>6</v>
      </c>
      <c r="X228" s="118">
        <f t="shared" si="37"/>
        <v>2</v>
      </c>
      <c r="Y228" s="118">
        <f t="shared" si="37"/>
        <v>0</v>
      </c>
      <c r="Z228" s="118">
        <f t="shared" si="37"/>
        <v>3</v>
      </c>
      <c r="AA228" s="118">
        <f t="shared" si="37"/>
        <v>4</v>
      </c>
      <c r="AB228" s="118">
        <f t="shared" si="37"/>
        <v>4</v>
      </c>
      <c r="AC228" s="118">
        <f t="shared" si="37"/>
        <v>6</v>
      </c>
      <c r="AD228" s="118">
        <f t="shared" si="37"/>
        <v>7</v>
      </c>
      <c r="AE228" s="118">
        <f t="shared" si="37"/>
        <v>4</v>
      </c>
      <c r="AF228" s="118">
        <f t="shared" si="37"/>
        <v>4</v>
      </c>
      <c r="AG228" s="95">
        <f t="shared" si="36"/>
        <v>121</v>
      </c>
      <c r="AH228" s="379" t="s">
        <v>93</v>
      </c>
    </row>
    <row r="229" spans="1:34" ht="18.75" x14ac:dyDescent="0.25">
      <c r="A229" s="139" t="s">
        <v>94</v>
      </c>
      <c r="B229" s="140">
        <v>3</v>
      </c>
      <c r="C229" s="140">
        <v>1</v>
      </c>
      <c r="D229" s="140">
        <v>1</v>
      </c>
      <c r="E229" s="140">
        <v>4</v>
      </c>
      <c r="F229" s="140">
        <v>1</v>
      </c>
      <c r="G229" s="140">
        <v>2</v>
      </c>
      <c r="H229" s="140">
        <v>0</v>
      </c>
      <c r="I229" s="140">
        <v>2</v>
      </c>
      <c r="J229" s="140">
        <v>0</v>
      </c>
      <c r="K229" s="140">
        <v>1</v>
      </c>
      <c r="L229" s="140">
        <v>0</v>
      </c>
      <c r="M229" s="140">
        <v>1</v>
      </c>
      <c r="N229" s="145">
        <v>0</v>
      </c>
      <c r="O229" s="140">
        <v>0</v>
      </c>
      <c r="P229" s="140">
        <v>0</v>
      </c>
      <c r="Q229" s="140">
        <v>1</v>
      </c>
      <c r="R229" s="140">
        <v>0</v>
      </c>
      <c r="S229" s="140">
        <v>1</v>
      </c>
      <c r="T229" s="140">
        <v>2</v>
      </c>
      <c r="U229" s="140">
        <v>1</v>
      </c>
      <c r="V229" s="140">
        <v>0</v>
      </c>
      <c r="W229" s="140">
        <v>2</v>
      </c>
      <c r="X229" s="140">
        <v>0</v>
      </c>
      <c r="Y229" s="140">
        <v>0</v>
      </c>
      <c r="Z229" s="142">
        <v>0</v>
      </c>
      <c r="AA229" s="140">
        <v>0</v>
      </c>
      <c r="AB229" s="140">
        <v>0</v>
      </c>
      <c r="AC229" s="140">
        <v>0</v>
      </c>
      <c r="AD229" s="140">
        <v>1</v>
      </c>
      <c r="AE229" s="140">
        <v>0</v>
      </c>
      <c r="AF229" s="144">
        <v>0</v>
      </c>
      <c r="AG229" s="143">
        <f t="shared" si="36"/>
        <v>24</v>
      </c>
      <c r="AH229" s="380"/>
    </row>
    <row r="230" spans="1:34" ht="18.75" x14ac:dyDescent="0.25">
      <c r="A230" s="139" t="s">
        <v>95</v>
      </c>
      <c r="B230" s="140">
        <v>4</v>
      </c>
      <c r="C230" s="140">
        <v>5</v>
      </c>
      <c r="D230" s="140">
        <v>5</v>
      </c>
      <c r="E230" s="140">
        <v>4</v>
      </c>
      <c r="F230" s="140">
        <v>3</v>
      </c>
      <c r="G230" s="140">
        <v>2</v>
      </c>
      <c r="H230" s="140">
        <v>1</v>
      </c>
      <c r="I230" s="140">
        <v>3</v>
      </c>
      <c r="J230" s="140">
        <v>5</v>
      </c>
      <c r="K230" s="140">
        <v>7</v>
      </c>
      <c r="L230" s="140">
        <v>0</v>
      </c>
      <c r="M230" s="140">
        <v>5</v>
      </c>
      <c r="N230" s="145">
        <v>3</v>
      </c>
      <c r="O230" s="140">
        <v>1</v>
      </c>
      <c r="P230" s="140">
        <v>0</v>
      </c>
      <c r="Q230" s="140">
        <v>1</v>
      </c>
      <c r="R230" s="140">
        <v>1</v>
      </c>
      <c r="S230" s="140">
        <v>3</v>
      </c>
      <c r="T230" s="140">
        <v>3</v>
      </c>
      <c r="U230" s="140">
        <v>4</v>
      </c>
      <c r="V230" s="140">
        <v>0</v>
      </c>
      <c r="W230" s="140">
        <v>4</v>
      </c>
      <c r="X230" s="140">
        <v>2</v>
      </c>
      <c r="Y230" s="140">
        <v>0</v>
      </c>
      <c r="Z230" s="142">
        <v>3</v>
      </c>
      <c r="AA230" s="140">
        <v>4</v>
      </c>
      <c r="AB230" s="140">
        <v>4</v>
      </c>
      <c r="AC230" s="140">
        <v>6</v>
      </c>
      <c r="AD230" s="140">
        <v>6</v>
      </c>
      <c r="AE230" s="140">
        <v>4</v>
      </c>
      <c r="AF230" s="144">
        <v>4</v>
      </c>
      <c r="AG230" s="143">
        <f t="shared" si="36"/>
        <v>97</v>
      </c>
      <c r="AH230" s="380"/>
    </row>
    <row r="231" spans="1:34" ht="19.5" thickBot="1" x14ac:dyDescent="0.3">
      <c r="A231" s="190" t="s">
        <v>106</v>
      </c>
      <c r="B231" s="191"/>
      <c r="C231" s="191"/>
      <c r="D231" s="191"/>
      <c r="E231" s="191"/>
      <c r="F231" s="191"/>
      <c r="G231" s="191"/>
      <c r="H231" s="191"/>
      <c r="I231" s="191"/>
      <c r="J231" s="191"/>
      <c r="K231" s="192"/>
      <c r="L231" s="192"/>
      <c r="M231" s="192"/>
      <c r="N231" s="193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5"/>
      <c r="AG231" s="108">
        <f t="shared" si="36"/>
        <v>0</v>
      </c>
      <c r="AH231" s="381"/>
    </row>
    <row r="232" spans="1:34" ht="24" hidden="1" thickBot="1" x14ac:dyDescent="0.3">
      <c r="A232" s="198" t="s">
        <v>148</v>
      </c>
      <c r="B232" s="199">
        <f>SUM(B233:B238)</f>
        <v>0</v>
      </c>
      <c r="C232" s="199">
        <f t="shared" ref="C232:AF232" si="38">SUM(C233:C238)</f>
        <v>0</v>
      </c>
      <c r="D232" s="199">
        <f t="shared" si="38"/>
        <v>0</v>
      </c>
      <c r="E232" s="199">
        <f t="shared" si="38"/>
        <v>0</v>
      </c>
      <c r="F232" s="199">
        <f t="shared" si="38"/>
        <v>0</v>
      </c>
      <c r="G232" s="199">
        <f t="shared" si="38"/>
        <v>0</v>
      </c>
      <c r="H232" s="199">
        <f t="shared" si="38"/>
        <v>0</v>
      </c>
      <c r="I232" s="199">
        <f t="shared" si="38"/>
        <v>0</v>
      </c>
      <c r="J232" s="199">
        <f t="shared" si="38"/>
        <v>0</v>
      </c>
      <c r="K232" s="199">
        <f t="shared" si="38"/>
        <v>0</v>
      </c>
      <c r="L232" s="199">
        <f t="shared" si="38"/>
        <v>0</v>
      </c>
      <c r="M232" s="199">
        <f t="shared" si="38"/>
        <v>0</v>
      </c>
      <c r="N232" s="199">
        <f t="shared" si="38"/>
        <v>0</v>
      </c>
      <c r="O232" s="199">
        <f t="shared" si="38"/>
        <v>0</v>
      </c>
      <c r="P232" s="199">
        <f t="shared" si="38"/>
        <v>0</v>
      </c>
      <c r="Q232" s="199">
        <f t="shared" si="38"/>
        <v>0</v>
      </c>
      <c r="R232" s="199">
        <f t="shared" si="38"/>
        <v>0</v>
      </c>
      <c r="S232" s="199">
        <f t="shared" si="38"/>
        <v>0</v>
      </c>
      <c r="T232" s="199">
        <f t="shared" si="38"/>
        <v>0</v>
      </c>
      <c r="U232" s="199">
        <f t="shared" si="38"/>
        <v>0</v>
      </c>
      <c r="V232" s="199">
        <f t="shared" si="38"/>
        <v>0</v>
      </c>
      <c r="W232" s="199">
        <f t="shared" si="38"/>
        <v>0</v>
      </c>
      <c r="X232" s="199">
        <f t="shared" si="38"/>
        <v>0</v>
      </c>
      <c r="Y232" s="199">
        <f t="shared" si="38"/>
        <v>0</v>
      </c>
      <c r="Z232" s="199">
        <f t="shared" si="38"/>
        <v>0</v>
      </c>
      <c r="AA232" s="199">
        <f t="shared" si="38"/>
        <v>0</v>
      </c>
      <c r="AB232" s="199">
        <f t="shared" si="38"/>
        <v>0</v>
      </c>
      <c r="AC232" s="199">
        <f t="shared" si="38"/>
        <v>0</v>
      </c>
      <c r="AD232" s="199">
        <f t="shared" si="38"/>
        <v>0</v>
      </c>
      <c r="AE232" s="199">
        <f t="shared" si="38"/>
        <v>0</v>
      </c>
      <c r="AF232" s="200">
        <f t="shared" si="38"/>
        <v>0</v>
      </c>
      <c r="AG232" s="201">
        <f t="shared" si="36"/>
        <v>0</v>
      </c>
    </row>
    <row r="233" spans="1:34" ht="38.25" hidden="1" customHeight="1" x14ac:dyDescent="0.25">
      <c r="A233" s="231" t="s">
        <v>159</v>
      </c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96"/>
      <c r="AG233" s="197">
        <f t="shared" si="36"/>
        <v>0</v>
      </c>
    </row>
    <row r="234" spans="1:34" ht="40.5" hidden="1" customHeight="1" x14ac:dyDescent="0.25">
      <c r="A234" s="231" t="s">
        <v>160</v>
      </c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96"/>
      <c r="AG234" s="197"/>
    </row>
    <row r="235" spans="1:34" ht="40.5" hidden="1" customHeight="1" x14ac:dyDescent="0.25">
      <c r="A235" s="231" t="s">
        <v>161</v>
      </c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96"/>
      <c r="AG235" s="197"/>
    </row>
    <row r="236" spans="1:34" ht="40.5" hidden="1" customHeight="1" x14ac:dyDescent="0.25">
      <c r="A236" s="231" t="s">
        <v>162</v>
      </c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  <c r="AD236" s="189"/>
      <c r="AE236" s="189"/>
      <c r="AF236" s="196"/>
      <c r="AG236" s="197"/>
    </row>
    <row r="237" spans="1:34" ht="40.5" hidden="1" customHeight="1" x14ac:dyDescent="0.25">
      <c r="A237" s="232" t="s">
        <v>163</v>
      </c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88"/>
      <c r="AG237" s="138">
        <f t="shared" si="36"/>
        <v>0</v>
      </c>
    </row>
    <row r="238" spans="1:34" ht="39.75" hidden="1" customHeight="1" thickBot="1" x14ac:dyDescent="0.3">
      <c r="A238" s="233" t="s">
        <v>164</v>
      </c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  <c r="AF238" s="223"/>
      <c r="AG238" s="224">
        <f t="shared" si="36"/>
        <v>0</v>
      </c>
    </row>
    <row r="239" spans="1:34" ht="21.75" x14ac:dyDescent="0.25">
      <c r="A239" s="285" t="s">
        <v>151</v>
      </c>
      <c r="B239" s="280">
        <v>6.805555555555555E-2</v>
      </c>
      <c r="C239" s="280">
        <v>6.3194444444444442E-2</v>
      </c>
      <c r="D239" s="251">
        <v>9.5833333333333326E-2</v>
      </c>
      <c r="E239" s="251">
        <v>4.7222222222222221E-2</v>
      </c>
      <c r="F239" s="251">
        <v>6.805555555555555E-2</v>
      </c>
      <c r="G239" s="251">
        <v>9.930555555555555E-2</v>
      </c>
      <c r="H239" s="251">
        <v>5.347222222222222E-2</v>
      </c>
      <c r="I239" s="251">
        <v>4.7222222222222221E-2</v>
      </c>
      <c r="J239" s="251">
        <v>9.375E-2</v>
      </c>
      <c r="K239" s="251">
        <v>7.4305555555555555E-2</v>
      </c>
      <c r="L239" s="251">
        <v>5.2777777777777778E-2</v>
      </c>
      <c r="M239" s="251">
        <v>4.3750000000000004E-2</v>
      </c>
      <c r="N239" s="251">
        <v>6.1111111111111116E-2</v>
      </c>
      <c r="O239" s="251">
        <v>5.9722222222222225E-2</v>
      </c>
      <c r="P239" s="251">
        <v>6.3194444444444442E-2</v>
      </c>
      <c r="Q239" s="251">
        <v>8.0555555555555561E-2</v>
      </c>
      <c r="R239" s="251">
        <v>6.7361111111111108E-2</v>
      </c>
      <c r="S239" s="251">
        <v>6.1805555555555558E-2</v>
      </c>
      <c r="T239" s="251">
        <v>4.3750000000000004E-2</v>
      </c>
      <c r="U239" s="251">
        <v>7.7777777777777779E-2</v>
      </c>
      <c r="V239" s="251">
        <v>5.9722222222222225E-2</v>
      </c>
      <c r="W239" s="251">
        <v>4.5138888888888888E-2</v>
      </c>
      <c r="X239" s="251">
        <v>6.3194444444444442E-2</v>
      </c>
      <c r="Y239" s="251">
        <v>4.1666666666666664E-2</v>
      </c>
      <c r="Z239" s="251">
        <v>2.4305555555555556E-2</v>
      </c>
      <c r="AA239" s="251">
        <v>7.2222222222222229E-2</v>
      </c>
      <c r="AB239" s="251">
        <v>8.819444444444445E-2</v>
      </c>
      <c r="AC239" s="251">
        <v>8.9583333333333334E-2</v>
      </c>
      <c r="AD239" s="251">
        <v>7.3611111111111113E-2</v>
      </c>
      <c r="AE239" s="251">
        <v>5.9027777777777783E-2</v>
      </c>
      <c r="AF239" s="251">
        <v>2.7777777777777776E-2</v>
      </c>
      <c r="AG239" s="286">
        <f t="shared" ref="AG239:AG240" si="39">SUM(B239:AF239)</f>
        <v>1.9666666666666663</v>
      </c>
    </row>
    <row r="240" spans="1:34" ht="22.5" thickBot="1" x14ac:dyDescent="0.3">
      <c r="A240" s="287" t="s">
        <v>152</v>
      </c>
      <c r="B240" s="281">
        <v>7.4999999999999997E-2</v>
      </c>
      <c r="C240" s="281">
        <v>6.1805555555555558E-2</v>
      </c>
      <c r="D240" s="252">
        <v>0.11875000000000001</v>
      </c>
      <c r="E240" s="252">
        <v>3.7499999999999999E-2</v>
      </c>
      <c r="F240" s="252">
        <v>6.6666666666666666E-2</v>
      </c>
      <c r="G240" s="252">
        <v>0.10972222222222222</v>
      </c>
      <c r="H240" s="252">
        <v>4.7916666666666663E-2</v>
      </c>
      <c r="I240" s="252">
        <v>4.3055555555555562E-2</v>
      </c>
      <c r="J240" s="252">
        <v>0.10694444444444444</v>
      </c>
      <c r="K240" s="252">
        <v>8.8888888888888892E-2</v>
      </c>
      <c r="L240" s="252">
        <v>4.3055555555555562E-2</v>
      </c>
      <c r="M240" s="252">
        <v>3.7499999999999999E-2</v>
      </c>
      <c r="N240" s="252">
        <v>6.458333333333334E-2</v>
      </c>
      <c r="O240" s="252">
        <v>5.9027777777777783E-2</v>
      </c>
      <c r="P240" s="252">
        <v>5.7638888888888885E-2</v>
      </c>
      <c r="Q240" s="252">
        <v>8.6805555555555566E-2</v>
      </c>
      <c r="R240" s="252">
        <v>7.2916666666666671E-2</v>
      </c>
      <c r="S240" s="252">
        <v>6.805555555555555E-2</v>
      </c>
      <c r="T240" s="252">
        <v>3.8194444444444441E-2</v>
      </c>
      <c r="U240" s="252">
        <v>9.8611111111111108E-2</v>
      </c>
      <c r="V240" s="252">
        <v>6.7361111111111108E-2</v>
      </c>
      <c r="W240" s="252">
        <v>2.8472222222222222E-2</v>
      </c>
      <c r="X240" s="252">
        <v>4.6527777777777779E-2</v>
      </c>
      <c r="Y240" s="252">
        <v>2.5694444444444447E-2</v>
      </c>
      <c r="Z240" s="252">
        <v>1.1805555555555555E-2</v>
      </c>
      <c r="AA240" s="252">
        <v>8.4027777777777771E-2</v>
      </c>
      <c r="AB240" s="252">
        <v>0.10972222222222222</v>
      </c>
      <c r="AC240" s="252">
        <v>0.10902777777777778</v>
      </c>
      <c r="AD240" s="252">
        <v>8.2638888888888887E-2</v>
      </c>
      <c r="AE240" s="252">
        <v>4.4444444444444446E-2</v>
      </c>
      <c r="AF240" s="252">
        <v>6.9444444444444441E-3</v>
      </c>
      <c r="AG240" s="288">
        <f t="shared" si="39"/>
        <v>1.9993055555555559</v>
      </c>
    </row>
    <row r="241" spans="1:33" ht="15.75" thickBot="1" x14ac:dyDescent="0.3">
      <c r="A241" s="385" t="s">
        <v>619</v>
      </c>
      <c r="B241" s="386"/>
      <c r="C241" s="386"/>
      <c r="D241" s="386"/>
      <c r="E241" s="386"/>
      <c r="F241" s="386"/>
      <c r="G241" s="386"/>
      <c r="H241" s="386"/>
      <c r="I241" s="386"/>
      <c r="J241" s="386"/>
      <c r="K241" s="386"/>
      <c r="L241" s="386"/>
      <c r="M241" s="386"/>
      <c r="N241" s="386"/>
      <c r="O241" s="386"/>
      <c r="P241" s="386"/>
      <c r="Q241" s="386"/>
      <c r="R241" s="386"/>
      <c r="S241" s="386"/>
      <c r="T241" s="386"/>
      <c r="U241" s="386"/>
      <c r="V241" s="386"/>
      <c r="W241" s="386"/>
      <c r="X241" s="386"/>
      <c r="Y241" s="386"/>
      <c r="Z241" s="386"/>
      <c r="AA241" s="386"/>
      <c r="AB241" s="386"/>
      <c r="AC241" s="386"/>
      <c r="AD241" s="386"/>
      <c r="AE241" s="386"/>
      <c r="AF241" s="386"/>
      <c r="AG241" s="387"/>
    </row>
    <row r="242" spans="1:33" ht="23.25" x14ac:dyDescent="0.35">
      <c r="A242" s="289" t="s">
        <v>72</v>
      </c>
      <c r="B242" s="290">
        <v>0</v>
      </c>
      <c r="C242" s="291">
        <v>0</v>
      </c>
      <c r="D242" s="292">
        <v>0</v>
      </c>
      <c r="E242" s="292">
        <v>0</v>
      </c>
      <c r="F242" s="292">
        <v>0</v>
      </c>
      <c r="G242" s="292">
        <v>0</v>
      </c>
      <c r="H242" s="292">
        <v>0</v>
      </c>
      <c r="I242" s="292">
        <v>0</v>
      </c>
      <c r="J242" s="292">
        <v>0</v>
      </c>
      <c r="K242" s="292">
        <v>0</v>
      </c>
      <c r="L242" s="292">
        <v>0</v>
      </c>
      <c r="M242" s="292">
        <v>0</v>
      </c>
      <c r="N242" s="292">
        <v>0</v>
      </c>
      <c r="O242" s="292">
        <v>0</v>
      </c>
      <c r="P242" s="292">
        <v>0</v>
      </c>
      <c r="Q242" s="292">
        <v>0</v>
      </c>
      <c r="R242" s="292">
        <v>0</v>
      </c>
      <c r="S242" s="292">
        <v>0</v>
      </c>
      <c r="T242" s="292">
        <v>0</v>
      </c>
      <c r="U242" s="292">
        <v>0</v>
      </c>
      <c r="V242" s="292">
        <v>0</v>
      </c>
      <c r="W242" s="292">
        <v>0</v>
      </c>
      <c r="X242" s="292">
        <v>0</v>
      </c>
      <c r="Y242" s="292">
        <v>0</v>
      </c>
      <c r="Z242" s="292">
        <v>0</v>
      </c>
      <c r="AA242" s="292">
        <v>0</v>
      </c>
      <c r="AB242" s="292">
        <v>0</v>
      </c>
      <c r="AC242" s="292">
        <v>0</v>
      </c>
      <c r="AD242" s="292">
        <v>0</v>
      </c>
      <c r="AE242" s="292">
        <v>0</v>
      </c>
      <c r="AF242" s="293">
        <v>0</v>
      </c>
      <c r="AG242" s="294">
        <f>AVERAGE(B242:AF242)</f>
        <v>0</v>
      </c>
    </row>
    <row r="243" spans="1:33" ht="23.25" x14ac:dyDescent="0.35">
      <c r="A243" s="289" t="s">
        <v>73</v>
      </c>
      <c r="B243" s="295">
        <v>0</v>
      </c>
      <c r="C243" s="296">
        <v>0</v>
      </c>
      <c r="D243" s="297">
        <v>6.2499999999999995E-3</v>
      </c>
      <c r="E243" s="297">
        <v>4.1666666666666666E-3</v>
      </c>
      <c r="F243" s="297">
        <v>2.2916666666666669E-2</v>
      </c>
      <c r="G243" s="297">
        <v>1.1111111111111112E-2</v>
      </c>
      <c r="H243" s="297">
        <v>2.013888888888889E-2</v>
      </c>
      <c r="I243" s="297">
        <v>1.5972222222222224E-2</v>
      </c>
      <c r="J243" s="297">
        <v>0</v>
      </c>
      <c r="K243" s="297">
        <v>1.3888888888888888E-2</v>
      </c>
      <c r="L243" s="297">
        <v>7.6388888888888886E-3</v>
      </c>
      <c r="M243" s="297">
        <v>0</v>
      </c>
      <c r="N243" s="297">
        <v>0</v>
      </c>
      <c r="O243" s="297">
        <v>1.4583333333333332E-2</v>
      </c>
      <c r="P243" s="297">
        <v>1.5972222222222224E-2</v>
      </c>
      <c r="Q243" s="297">
        <v>0</v>
      </c>
      <c r="R243" s="297">
        <v>8.3333333333333332E-3</v>
      </c>
      <c r="S243" s="297">
        <v>0</v>
      </c>
      <c r="T243" s="297">
        <v>1.3888888888888889E-3</v>
      </c>
      <c r="U243" s="297">
        <v>0</v>
      </c>
      <c r="V243" s="297">
        <v>0</v>
      </c>
      <c r="W243" s="297">
        <v>6.9444444444444441E-3</v>
      </c>
      <c r="X243" s="297">
        <v>9.7222222222222224E-3</v>
      </c>
      <c r="Y243" s="297">
        <v>0</v>
      </c>
      <c r="Z243" s="297">
        <v>0</v>
      </c>
      <c r="AA243" s="297">
        <v>1.2499999999999999E-2</v>
      </c>
      <c r="AB243" s="297">
        <v>1.8749999999999999E-2</v>
      </c>
      <c r="AC243" s="297">
        <v>1.0416666666666666E-2</v>
      </c>
      <c r="AD243" s="297">
        <v>0</v>
      </c>
      <c r="AE243" s="297">
        <v>3.3333333333333333E-2</v>
      </c>
      <c r="AF243" s="298">
        <v>1.1111111111111112E-2</v>
      </c>
      <c r="AG243" s="299">
        <f>AVERAGE(B243:AF243)</f>
        <v>7.9077060931899631E-3</v>
      </c>
    </row>
    <row r="244" spans="1:33" ht="23.25" x14ac:dyDescent="0.35">
      <c r="A244" s="289" t="s">
        <v>74</v>
      </c>
      <c r="B244" s="295">
        <v>2.1527777777777781E-2</v>
      </c>
      <c r="C244" s="296">
        <v>1.5277777777777777E-2</v>
      </c>
      <c r="D244" s="297">
        <v>2.4999999999999998E-2</v>
      </c>
      <c r="E244" s="297">
        <v>1.3888888888888888E-2</v>
      </c>
      <c r="F244" s="297">
        <v>1.5972222222222224E-2</v>
      </c>
      <c r="G244" s="297">
        <v>1.9444444444444445E-2</v>
      </c>
      <c r="H244" s="297">
        <v>1.0416666666666666E-2</v>
      </c>
      <c r="I244" s="297">
        <v>2.0833333333333332E-2</v>
      </c>
      <c r="J244" s="297">
        <v>1.4583333333333332E-2</v>
      </c>
      <c r="K244" s="297">
        <v>1.8055555555555557E-2</v>
      </c>
      <c r="L244" s="297">
        <v>1.1111111111111112E-2</v>
      </c>
      <c r="M244" s="297">
        <v>1.1805555555555555E-2</v>
      </c>
      <c r="N244" s="297">
        <v>2.013888888888889E-2</v>
      </c>
      <c r="O244" s="297">
        <v>1.5972222222222224E-2</v>
      </c>
      <c r="P244" s="297">
        <v>1.3888888888888888E-2</v>
      </c>
      <c r="Q244" s="297">
        <v>1.5972222222222224E-2</v>
      </c>
      <c r="R244" s="297">
        <v>1.5972222222222224E-2</v>
      </c>
      <c r="S244" s="297">
        <v>2.7777777777777776E-2</v>
      </c>
      <c r="T244" s="297">
        <v>1.0416666666666666E-2</v>
      </c>
      <c r="U244" s="297">
        <v>2.4305555555555556E-2</v>
      </c>
      <c r="V244" s="297">
        <v>2.0833333333333332E-2</v>
      </c>
      <c r="W244" s="297">
        <v>1.0416666666666666E-2</v>
      </c>
      <c r="X244" s="297">
        <v>1.3194444444444444E-2</v>
      </c>
      <c r="Y244" s="297">
        <v>6.9444444444444441E-3</v>
      </c>
      <c r="Z244" s="297">
        <v>8.3333333333333332E-3</v>
      </c>
      <c r="AA244" s="297">
        <v>1.3194444444444444E-2</v>
      </c>
      <c r="AB244" s="297">
        <v>1.7361111111111112E-2</v>
      </c>
      <c r="AC244" s="297">
        <v>2.2916666666666669E-2</v>
      </c>
      <c r="AD244" s="297">
        <v>1.5972222222222224E-2</v>
      </c>
      <c r="AE244" s="297">
        <v>1.5277777777777777E-2</v>
      </c>
      <c r="AF244" s="298">
        <v>6.2499999999999995E-3</v>
      </c>
      <c r="AG244" s="299">
        <f>AVERAGE(B244:AF244)</f>
        <v>1.5905017921146958E-2</v>
      </c>
    </row>
    <row r="245" spans="1:33" ht="23.25" x14ac:dyDescent="0.35">
      <c r="A245" s="289" t="s">
        <v>75</v>
      </c>
      <c r="B245" s="295">
        <v>4.1666666666666664E-2</v>
      </c>
      <c r="C245" s="296">
        <v>3.6111111111111115E-2</v>
      </c>
      <c r="D245" s="297">
        <v>6.9444444444444434E-2</v>
      </c>
      <c r="E245" s="297">
        <v>2.4999999999999998E-2</v>
      </c>
      <c r="F245" s="297">
        <v>4.3055555555555562E-2</v>
      </c>
      <c r="G245" s="297">
        <v>6.8749999999999992E-2</v>
      </c>
      <c r="H245" s="297">
        <v>2.9166666666666664E-2</v>
      </c>
      <c r="I245" s="297">
        <v>2.9166666666666664E-2</v>
      </c>
      <c r="J245" s="297">
        <v>5.8333333333333327E-2</v>
      </c>
      <c r="K245" s="297">
        <v>5.0694444444444452E-2</v>
      </c>
      <c r="L245" s="297">
        <v>3.1944444444444449E-2</v>
      </c>
      <c r="M245" s="297">
        <v>2.6388888888888889E-2</v>
      </c>
      <c r="N245" s="297">
        <v>3.7499999999999999E-2</v>
      </c>
      <c r="O245" s="297">
        <v>3.4027777777777775E-2</v>
      </c>
      <c r="P245" s="297">
        <v>3.4027777777777775E-2</v>
      </c>
      <c r="Q245" s="297">
        <v>5.1388888888888894E-2</v>
      </c>
      <c r="R245" s="297">
        <v>4.2361111111111106E-2</v>
      </c>
      <c r="S245" s="297">
        <v>4.027777777777778E-2</v>
      </c>
      <c r="T245" s="297">
        <v>2.0833333333333332E-2</v>
      </c>
      <c r="U245" s="297">
        <v>5.9027777777777783E-2</v>
      </c>
      <c r="V245" s="297">
        <v>3.7499999999999999E-2</v>
      </c>
      <c r="W245" s="297">
        <v>1.6666666666666666E-2</v>
      </c>
      <c r="X245" s="297">
        <v>2.9166666666666664E-2</v>
      </c>
      <c r="Y245" s="297">
        <v>1.4583333333333332E-2</v>
      </c>
      <c r="Z245" s="297">
        <v>7.6388888888888886E-3</v>
      </c>
      <c r="AA245" s="297">
        <v>4.9999999999999996E-2</v>
      </c>
      <c r="AB245" s="297">
        <v>7.013888888888889E-2</v>
      </c>
      <c r="AC245" s="297">
        <v>6.5972222222222224E-2</v>
      </c>
      <c r="AD245" s="297">
        <v>4.7222222222222221E-2</v>
      </c>
      <c r="AE245" s="297">
        <v>2.6388888888888889E-2</v>
      </c>
      <c r="AF245" s="298">
        <v>5.5555555555555558E-3</v>
      </c>
      <c r="AG245" s="299">
        <f>AVERAGE(B245:AF245)</f>
        <v>3.870967741935484E-2</v>
      </c>
    </row>
    <row r="246" spans="1:33" ht="24" thickBot="1" x14ac:dyDescent="0.4">
      <c r="A246" s="300" t="s">
        <v>76</v>
      </c>
      <c r="B246" s="301">
        <v>5.347222222222222E-2</v>
      </c>
      <c r="C246" s="302">
        <v>6.3888888888888884E-2</v>
      </c>
      <c r="D246" s="303">
        <v>8.819444444444445E-2</v>
      </c>
      <c r="E246" s="303">
        <v>2.5694444444444447E-2</v>
      </c>
      <c r="F246" s="303">
        <v>4.3055555555555562E-2</v>
      </c>
      <c r="G246" s="303">
        <v>5.4166666666666669E-2</v>
      </c>
      <c r="H246" s="303">
        <v>3.8194444444444441E-2</v>
      </c>
      <c r="I246" s="303">
        <v>2.2916666666666669E-2</v>
      </c>
      <c r="J246" s="303">
        <v>9.7222222222222224E-2</v>
      </c>
      <c r="K246" s="303">
        <v>7.5694444444444439E-2</v>
      </c>
      <c r="L246" s="303">
        <v>1.1805555555555555E-2</v>
      </c>
      <c r="M246" s="303">
        <v>2.1527777777777781E-2</v>
      </c>
      <c r="N246" s="303">
        <v>4.7916666666666663E-2</v>
      </c>
      <c r="O246" s="303">
        <v>4.027777777777778E-2</v>
      </c>
      <c r="P246" s="303">
        <v>4.0972222222222222E-2</v>
      </c>
      <c r="Q246" s="303">
        <v>6.8749999999999992E-2</v>
      </c>
      <c r="R246" s="303">
        <v>5.9722222222222225E-2</v>
      </c>
      <c r="S246" s="303">
        <v>4.9305555555555554E-2</v>
      </c>
      <c r="T246" s="303">
        <v>4.7916666666666663E-2</v>
      </c>
      <c r="U246" s="303">
        <v>7.013888888888889E-2</v>
      </c>
      <c r="V246" s="303">
        <v>4.9999999999999996E-2</v>
      </c>
      <c r="W246" s="303">
        <v>2.361111111111111E-2</v>
      </c>
      <c r="X246" s="303">
        <v>3.888888888888889E-2</v>
      </c>
      <c r="Y246" s="303">
        <v>2.361111111111111E-2</v>
      </c>
      <c r="Z246" s="303">
        <v>9.0277777777777787E-3</v>
      </c>
      <c r="AA246" s="303">
        <v>8.1944444444444445E-2</v>
      </c>
      <c r="AB246" s="303">
        <v>4.8611111111111112E-2</v>
      </c>
      <c r="AC246" s="303">
        <v>6.8749999999999992E-2</v>
      </c>
      <c r="AD246" s="303">
        <v>6.1111111111111116E-2</v>
      </c>
      <c r="AE246" s="303">
        <v>3.8194444444444441E-2</v>
      </c>
      <c r="AF246" s="304">
        <v>4.1666666666666666E-3</v>
      </c>
      <c r="AG246" s="305">
        <f>AVERAGE(B246:AF246)</f>
        <v>4.7379032258064516E-2</v>
      </c>
    </row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9.5" customHeight="1" x14ac:dyDescent="0.25"/>
    <row r="273" ht="18.75" customHeight="1" x14ac:dyDescent="0.25"/>
    <row r="276" ht="18.75" customHeight="1" x14ac:dyDescent="0.25"/>
  </sheetData>
  <dataConsolidate/>
  <mergeCells count="6">
    <mergeCell ref="A241:AG241"/>
    <mergeCell ref="A1:AG1"/>
    <mergeCell ref="AI84:AI86"/>
    <mergeCell ref="AH212:AH223"/>
    <mergeCell ref="AH225:AH227"/>
    <mergeCell ref="AH228:AH231"/>
  </mergeCells>
  <conditionalFormatting sqref="B29:X52 Z29:AF52">
    <cfRule type="cellIs" dxfId="10" priority="7" operator="lessThan">
      <formula>0</formula>
    </cfRule>
  </conditionalFormatting>
  <conditionalFormatting sqref="D54:D77">
    <cfRule type="cellIs" dxfId="9" priority="3" operator="lessThan">
      <formula>0</formula>
    </cfRule>
  </conditionalFormatting>
  <conditionalFormatting sqref="G54:G77">
    <cfRule type="cellIs" dxfId="8" priority="2" operator="lessThan">
      <formula>0</formula>
    </cfRule>
  </conditionalFormatting>
  <conditionalFormatting sqref="V54:V77">
    <cfRule type="cellIs" dxfId="7" priority="1" operator="lessThan">
      <formula>0</formula>
    </cfRule>
  </conditionalFormatting>
  <conditionalFormatting sqref="AH81">
    <cfRule type="cellIs" dxfId="6" priority="5" operator="equal">
      <formula>"*"</formula>
    </cfRule>
  </conditionalFormatting>
  <conditionalFormatting sqref="AH84 AH87">
    <cfRule type="cellIs" dxfId="5" priority="6" operator="equal">
      <formula>"*"</formula>
    </cfRule>
  </conditionalFormatting>
  <conditionalFormatting sqref="AH93">
    <cfRule type="cellIs" dxfId="4" priority="11" operator="equal">
      <formula>"*"</formula>
    </cfRule>
  </conditionalFormatting>
  <conditionalFormatting sqref="AH130">
    <cfRule type="cellIs" dxfId="3" priority="9" operator="equal">
      <formula>"*"</formula>
    </cfRule>
  </conditionalFormatting>
  <conditionalFormatting sqref="AH144:AH145">
    <cfRule type="cellIs" dxfId="2" priority="10" operator="equal">
      <formula>"*"</formula>
    </cfRule>
  </conditionalFormatting>
  <conditionalFormatting sqref="AH179">
    <cfRule type="cellIs" dxfId="1" priority="8" operator="equal">
      <formula>"*"</formula>
    </cfRule>
  </conditionalFormatting>
  <conditionalFormatting sqref="AH205">
    <cfRule type="cellIs" dxfId="0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E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detalle CIE10</vt:lpstr>
      <vt:lpstr>FORMATO</vt:lpstr>
      <vt:lpstr>CONSOLIDADO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Salazar D. (CVP)</dc:creator>
  <cp:lastModifiedBy>Rodrigo Villalobosr</cp:lastModifiedBy>
  <dcterms:created xsi:type="dcterms:W3CDTF">2017-04-06T19:03:30Z</dcterms:created>
  <dcterms:modified xsi:type="dcterms:W3CDTF">2026-03-20T18:30:20Z</dcterms:modified>
</cp:coreProperties>
</file>