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4538348-k\Desktop\DASHBOARD (html)\SAR\sar\"/>
    </mc:Choice>
  </mc:AlternateContent>
  <xr:revisionPtr revIDLastSave="0" documentId="13_ncr:1_{241E91EA-ECF5-4765-882F-DA6D22254A0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SOLIDADO_SAR" sheetId="23" r:id="rId1"/>
    <sheet name="FORMATO" sheetId="29" r:id="rId2"/>
    <sheet name="ENERO" sheetId="21" r:id="rId3"/>
    <sheet name="FEBRERO" sheetId="22" r:id="rId4"/>
    <sheet name="MARZO" sheetId="24" r:id="rId5"/>
    <sheet name="ABRIL" sheetId="25" r:id="rId6"/>
    <sheet name="MAYO" sheetId="26" r:id="rId7"/>
    <sheet name="JUNIO" sheetId="27" r:id="rId8"/>
    <sheet name="JULIO" sheetId="30" r:id="rId9"/>
    <sheet name="AGOSTO" sheetId="31" r:id="rId10"/>
    <sheet name="SEPTIEMBRE" sheetId="32" r:id="rId11"/>
    <sheet name="OCTUBRE" sheetId="33" r:id="rId12"/>
    <sheet name="NOVIEMBRE" sheetId="34" r:id="rId13"/>
    <sheet name="DICIEMBRE" sheetId="35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0" i="23" l="1"/>
  <c r="M179" i="23"/>
  <c r="M178" i="23"/>
  <c r="M177" i="23"/>
  <c r="M176" i="23"/>
  <c r="M175" i="23"/>
  <c r="M174" i="23"/>
  <c r="M173" i="23"/>
  <c r="M172" i="23"/>
  <c r="M171" i="23"/>
  <c r="M170" i="23"/>
  <c r="M169" i="23"/>
  <c r="M168" i="23"/>
  <c r="M167" i="23"/>
  <c r="M166" i="23"/>
  <c r="M165" i="23"/>
  <c r="M164" i="23"/>
  <c r="M163" i="23"/>
  <c r="M162" i="23"/>
  <c r="M161" i="23"/>
  <c r="M160" i="23"/>
  <c r="M159" i="23"/>
  <c r="M158" i="23"/>
  <c r="M157" i="23"/>
  <c r="M156" i="23"/>
  <c r="M155" i="23"/>
  <c r="M154" i="23"/>
  <c r="M153" i="23"/>
  <c r="M152" i="23"/>
  <c r="M151" i="23"/>
  <c r="M150" i="23"/>
  <c r="M149" i="23"/>
  <c r="M148" i="23"/>
  <c r="M147" i="23"/>
  <c r="M146" i="23"/>
  <c r="M145" i="23"/>
  <c r="M144" i="23"/>
  <c r="M143" i="23"/>
  <c r="M142" i="23"/>
  <c r="M141" i="23"/>
  <c r="M140" i="23"/>
  <c r="M139" i="23"/>
  <c r="M138" i="23"/>
  <c r="M137" i="23"/>
  <c r="M136" i="23"/>
  <c r="M135" i="23"/>
  <c r="M134" i="23"/>
  <c r="M133" i="23"/>
  <c r="M132" i="23"/>
  <c r="M131" i="23"/>
  <c r="M130" i="23"/>
  <c r="M129" i="23"/>
  <c r="M128" i="23"/>
  <c r="M127" i="23"/>
  <c r="M126" i="23"/>
  <c r="M125" i="23"/>
  <c r="M124" i="23"/>
  <c r="M123" i="23"/>
  <c r="M122" i="23"/>
  <c r="M121" i="23"/>
  <c r="M120" i="23"/>
  <c r="M119" i="23"/>
  <c r="M118" i="23"/>
  <c r="M117" i="23"/>
  <c r="M116" i="23"/>
  <c r="M115" i="23"/>
  <c r="M114" i="23"/>
  <c r="M113" i="23"/>
  <c r="M112" i="23"/>
  <c r="M111" i="23"/>
  <c r="M110" i="23"/>
  <c r="M109" i="23"/>
  <c r="M108" i="23"/>
  <c r="M107" i="23"/>
  <c r="M106" i="23"/>
  <c r="M105" i="23"/>
  <c r="M104" i="23"/>
  <c r="M103" i="23"/>
  <c r="M102" i="23"/>
  <c r="M101" i="23"/>
  <c r="M100" i="23"/>
  <c r="M99" i="23"/>
  <c r="M98" i="23"/>
  <c r="M97" i="23"/>
  <c r="M96" i="23"/>
  <c r="M95" i="23"/>
  <c r="M94" i="23"/>
  <c r="M93" i="23"/>
  <c r="M92" i="23"/>
  <c r="M91" i="23"/>
  <c r="M90" i="23"/>
  <c r="M89" i="23"/>
  <c r="M88" i="23"/>
  <c r="M87" i="23"/>
  <c r="M86" i="23"/>
  <c r="M85" i="23"/>
  <c r="M84" i="23"/>
  <c r="M83" i="23"/>
  <c r="M82" i="23"/>
  <c r="M81" i="23"/>
  <c r="M80" i="23"/>
  <c r="M79" i="23"/>
  <c r="M78" i="23"/>
  <c r="M77" i="23"/>
  <c r="M76" i="23"/>
  <c r="M75" i="23"/>
  <c r="M74" i="23"/>
  <c r="M73" i="23"/>
  <c r="M72" i="23"/>
  <c r="M71" i="23"/>
  <c r="M70" i="23"/>
  <c r="M69" i="23"/>
  <c r="M68" i="23"/>
  <c r="M67" i="23"/>
  <c r="M66" i="23"/>
  <c r="M65" i="23"/>
  <c r="M64" i="23"/>
  <c r="M63" i="23"/>
  <c r="M62" i="23"/>
  <c r="M61" i="23"/>
  <c r="M60" i="23"/>
  <c r="M59" i="23"/>
  <c r="M58" i="23"/>
  <c r="M57" i="23"/>
  <c r="M56" i="23"/>
  <c r="M55" i="23"/>
  <c r="M54" i="23"/>
  <c r="M53" i="23"/>
  <c r="M52" i="23"/>
  <c r="M51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L180" i="23"/>
  <c r="L179" i="23"/>
  <c r="L178" i="23"/>
  <c r="L177" i="23"/>
  <c r="L176" i="23"/>
  <c r="L175" i="23"/>
  <c r="L174" i="23"/>
  <c r="L173" i="23"/>
  <c r="L172" i="23"/>
  <c r="L171" i="23"/>
  <c r="L170" i="23"/>
  <c r="L169" i="23"/>
  <c r="L168" i="23"/>
  <c r="L167" i="23"/>
  <c r="L166" i="23"/>
  <c r="L165" i="23"/>
  <c r="L164" i="23"/>
  <c r="L163" i="23"/>
  <c r="L162" i="23"/>
  <c r="L161" i="23"/>
  <c r="L160" i="23"/>
  <c r="L159" i="23"/>
  <c r="L158" i="23"/>
  <c r="L157" i="23"/>
  <c r="L156" i="23"/>
  <c r="L155" i="23"/>
  <c r="L154" i="23"/>
  <c r="L153" i="23"/>
  <c r="L152" i="23"/>
  <c r="L151" i="23"/>
  <c r="L150" i="23"/>
  <c r="L149" i="23"/>
  <c r="L148" i="23"/>
  <c r="L147" i="23"/>
  <c r="L146" i="23"/>
  <c r="L145" i="23"/>
  <c r="L144" i="23"/>
  <c r="L143" i="23"/>
  <c r="L142" i="23"/>
  <c r="L141" i="23"/>
  <c r="L140" i="23"/>
  <c r="L139" i="23"/>
  <c r="L138" i="23"/>
  <c r="L137" i="23"/>
  <c r="L136" i="23"/>
  <c r="L135" i="23"/>
  <c r="L134" i="23"/>
  <c r="L133" i="23"/>
  <c r="L132" i="23"/>
  <c r="L131" i="23"/>
  <c r="L130" i="23"/>
  <c r="L129" i="23"/>
  <c r="L128" i="23"/>
  <c r="L127" i="23"/>
  <c r="L126" i="23"/>
  <c r="L125" i="23"/>
  <c r="L124" i="23"/>
  <c r="L123" i="23"/>
  <c r="L122" i="23"/>
  <c r="L121" i="23"/>
  <c r="L120" i="23"/>
  <c r="L119" i="23"/>
  <c r="L118" i="23"/>
  <c r="L117" i="23"/>
  <c r="L116" i="23"/>
  <c r="L115" i="23"/>
  <c r="L114" i="23"/>
  <c r="L113" i="23"/>
  <c r="L112" i="23"/>
  <c r="L111" i="23"/>
  <c r="L110" i="23"/>
  <c r="L109" i="23"/>
  <c r="L108" i="23"/>
  <c r="L107" i="23"/>
  <c r="L106" i="23"/>
  <c r="L105" i="23"/>
  <c r="L104" i="23"/>
  <c r="L103" i="23"/>
  <c r="L102" i="23"/>
  <c r="L101" i="23"/>
  <c r="L100" i="23"/>
  <c r="L99" i="23"/>
  <c r="L98" i="23"/>
  <c r="L97" i="23"/>
  <c r="L96" i="23"/>
  <c r="L95" i="23"/>
  <c r="L94" i="23"/>
  <c r="L93" i="23"/>
  <c r="L92" i="23"/>
  <c r="L91" i="23"/>
  <c r="L90" i="23"/>
  <c r="L89" i="23"/>
  <c r="L88" i="23"/>
  <c r="L87" i="23"/>
  <c r="L86" i="23"/>
  <c r="L85" i="23"/>
  <c r="L84" i="23"/>
  <c r="L83" i="23"/>
  <c r="L82" i="23"/>
  <c r="L81" i="23"/>
  <c r="L80" i="23"/>
  <c r="L79" i="23"/>
  <c r="L78" i="23"/>
  <c r="L77" i="23"/>
  <c r="L76" i="23"/>
  <c r="L75" i="23"/>
  <c r="L74" i="23"/>
  <c r="L73" i="23"/>
  <c r="L72" i="23"/>
  <c r="L71" i="23"/>
  <c r="L70" i="23"/>
  <c r="L69" i="23"/>
  <c r="L68" i="23"/>
  <c r="L67" i="23"/>
  <c r="L66" i="23"/>
  <c r="L65" i="23"/>
  <c r="L64" i="23"/>
  <c r="L63" i="23"/>
  <c r="L62" i="23"/>
  <c r="L61" i="23"/>
  <c r="L60" i="23"/>
  <c r="L59" i="23"/>
  <c r="L58" i="23"/>
  <c r="L57" i="23"/>
  <c r="L56" i="23"/>
  <c r="L55" i="23"/>
  <c r="L54" i="23"/>
  <c r="L53" i="23"/>
  <c r="L52" i="23"/>
  <c r="L51" i="23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L26" i="23"/>
  <c r="L25" i="23"/>
  <c r="L24" i="23"/>
  <c r="L23" i="23"/>
  <c r="L22" i="23"/>
  <c r="L21" i="23"/>
  <c r="L20" i="23"/>
  <c r="L19" i="23"/>
  <c r="L18" i="23"/>
  <c r="L17" i="23"/>
  <c r="L16" i="23"/>
  <c r="L15" i="23"/>
  <c r="L14" i="23"/>
  <c r="L13" i="23"/>
  <c r="L12" i="23"/>
  <c r="L11" i="23"/>
  <c r="L10" i="23"/>
  <c r="L9" i="23"/>
  <c r="L8" i="23"/>
  <c r="L7" i="23"/>
  <c r="L6" i="23"/>
  <c r="L5" i="23"/>
  <c r="L4" i="23"/>
  <c r="L3" i="23"/>
  <c r="K180" i="23"/>
  <c r="K179" i="23"/>
  <c r="K178" i="23"/>
  <c r="K177" i="23"/>
  <c r="K176" i="23"/>
  <c r="K175" i="23"/>
  <c r="K174" i="23"/>
  <c r="K173" i="23"/>
  <c r="K172" i="23"/>
  <c r="K171" i="23"/>
  <c r="K170" i="23"/>
  <c r="K169" i="23"/>
  <c r="K168" i="23"/>
  <c r="K167" i="23"/>
  <c r="K166" i="23"/>
  <c r="K165" i="23"/>
  <c r="K164" i="23"/>
  <c r="K163" i="23"/>
  <c r="K162" i="23"/>
  <c r="K161" i="23"/>
  <c r="K160" i="23"/>
  <c r="K159" i="23"/>
  <c r="K158" i="23"/>
  <c r="K157" i="23"/>
  <c r="K156" i="23"/>
  <c r="K155" i="23"/>
  <c r="K154" i="23"/>
  <c r="K153" i="23"/>
  <c r="K152" i="23"/>
  <c r="K151" i="23"/>
  <c r="K150" i="23"/>
  <c r="K149" i="23"/>
  <c r="K148" i="23"/>
  <c r="K147" i="23"/>
  <c r="K146" i="23"/>
  <c r="K145" i="23"/>
  <c r="K144" i="23"/>
  <c r="K143" i="23"/>
  <c r="K142" i="23"/>
  <c r="K141" i="23"/>
  <c r="K140" i="23"/>
  <c r="K139" i="23"/>
  <c r="K138" i="23"/>
  <c r="K137" i="23"/>
  <c r="K136" i="23"/>
  <c r="K135" i="23"/>
  <c r="K134" i="23"/>
  <c r="K133" i="23"/>
  <c r="K132" i="23"/>
  <c r="K131" i="23"/>
  <c r="K130" i="23"/>
  <c r="K129" i="23"/>
  <c r="K128" i="23"/>
  <c r="K127" i="23"/>
  <c r="K126" i="23"/>
  <c r="K125" i="23"/>
  <c r="K124" i="23"/>
  <c r="K123" i="23"/>
  <c r="K122" i="23"/>
  <c r="K121" i="23"/>
  <c r="K120" i="23"/>
  <c r="K119" i="23"/>
  <c r="K118" i="23"/>
  <c r="K117" i="23"/>
  <c r="K116" i="23"/>
  <c r="K115" i="23"/>
  <c r="K114" i="23"/>
  <c r="K113" i="23"/>
  <c r="K112" i="23"/>
  <c r="K111" i="23"/>
  <c r="K110" i="23"/>
  <c r="K109" i="23"/>
  <c r="K108" i="23"/>
  <c r="K107" i="23"/>
  <c r="K106" i="23"/>
  <c r="K105" i="23"/>
  <c r="K104" i="23"/>
  <c r="K103" i="23"/>
  <c r="K102" i="23"/>
  <c r="K101" i="23"/>
  <c r="K100" i="23"/>
  <c r="K99" i="23"/>
  <c r="K98" i="23"/>
  <c r="K97" i="23"/>
  <c r="K96" i="23"/>
  <c r="K95" i="23"/>
  <c r="K94" i="23"/>
  <c r="K93" i="23"/>
  <c r="K92" i="23"/>
  <c r="K91" i="23"/>
  <c r="K90" i="23"/>
  <c r="K89" i="23"/>
  <c r="K88" i="23"/>
  <c r="K87" i="23"/>
  <c r="K86" i="23"/>
  <c r="K85" i="23"/>
  <c r="K84" i="23"/>
  <c r="K83" i="23"/>
  <c r="K82" i="23"/>
  <c r="K81" i="23"/>
  <c r="K80" i="23"/>
  <c r="K79" i="23"/>
  <c r="K78" i="23"/>
  <c r="K77" i="23"/>
  <c r="K76" i="23"/>
  <c r="K75" i="23"/>
  <c r="K74" i="23"/>
  <c r="K73" i="23"/>
  <c r="K72" i="23"/>
  <c r="K71" i="23"/>
  <c r="K70" i="23"/>
  <c r="K69" i="23"/>
  <c r="K68" i="23"/>
  <c r="K67" i="23"/>
  <c r="K66" i="23"/>
  <c r="K65" i="23"/>
  <c r="K64" i="23"/>
  <c r="K63" i="23"/>
  <c r="K62" i="23"/>
  <c r="K61" i="23"/>
  <c r="K60" i="23"/>
  <c r="K59" i="23"/>
  <c r="K58" i="23"/>
  <c r="K57" i="23"/>
  <c r="K56" i="23"/>
  <c r="K55" i="23"/>
  <c r="K54" i="23"/>
  <c r="K53" i="23"/>
  <c r="K52" i="23"/>
  <c r="K51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K27" i="23"/>
  <c r="K26" i="23"/>
  <c r="K25" i="23"/>
  <c r="K24" i="23"/>
  <c r="K23" i="23"/>
  <c r="K22" i="23"/>
  <c r="K21" i="23"/>
  <c r="K20" i="23"/>
  <c r="K19" i="23"/>
  <c r="K18" i="23"/>
  <c r="K17" i="23"/>
  <c r="K16" i="23"/>
  <c r="K15" i="23"/>
  <c r="K14" i="23"/>
  <c r="K13" i="23"/>
  <c r="K12" i="23"/>
  <c r="K11" i="23"/>
  <c r="K10" i="23"/>
  <c r="K9" i="23"/>
  <c r="K8" i="23"/>
  <c r="K7" i="23"/>
  <c r="K6" i="23"/>
  <c r="K5" i="23"/>
  <c r="K4" i="23"/>
  <c r="K3" i="23"/>
  <c r="J180" i="23"/>
  <c r="J179" i="23"/>
  <c r="J178" i="23"/>
  <c r="J177" i="23"/>
  <c r="J176" i="23"/>
  <c r="J175" i="23"/>
  <c r="J174" i="23"/>
  <c r="J173" i="23"/>
  <c r="J172" i="23"/>
  <c r="J171" i="23"/>
  <c r="J170" i="23"/>
  <c r="J169" i="23"/>
  <c r="J168" i="23"/>
  <c r="J167" i="23"/>
  <c r="J166" i="23"/>
  <c r="J165" i="23"/>
  <c r="J164" i="23"/>
  <c r="J163" i="23"/>
  <c r="J162" i="23"/>
  <c r="J161" i="23"/>
  <c r="J160" i="23"/>
  <c r="J159" i="23"/>
  <c r="J158" i="23"/>
  <c r="J157" i="23"/>
  <c r="J156" i="23"/>
  <c r="J155" i="23"/>
  <c r="J154" i="23"/>
  <c r="J153" i="23"/>
  <c r="J152" i="23"/>
  <c r="J151" i="23"/>
  <c r="J150" i="23"/>
  <c r="J149" i="23"/>
  <c r="J148" i="23"/>
  <c r="J147" i="23"/>
  <c r="J146" i="23"/>
  <c r="J145" i="23"/>
  <c r="J144" i="23"/>
  <c r="J143" i="23"/>
  <c r="J142" i="23"/>
  <c r="J141" i="23"/>
  <c r="J140" i="23"/>
  <c r="J139" i="23"/>
  <c r="J138" i="23"/>
  <c r="J137" i="23"/>
  <c r="J136" i="23"/>
  <c r="J135" i="23"/>
  <c r="J134" i="23"/>
  <c r="J133" i="23"/>
  <c r="J132" i="23"/>
  <c r="J131" i="23"/>
  <c r="J130" i="23"/>
  <c r="J129" i="23"/>
  <c r="J128" i="23"/>
  <c r="J127" i="23"/>
  <c r="J126" i="23"/>
  <c r="J125" i="23"/>
  <c r="J124" i="23"/>
  <c r="J123" i="23"/>
  <c r="J122" i="23"/>
  <c r="J121" i="23"/>
  <c r="J120" i="23"/>
  <c r="J119" i="23"/>
  <c r="J118" i="23"/>
  <c r="J117" i="23"/>
  <c r="J116" i="23"/>
  <c r="J115" i="23"/>
  <c r="J114" i="23"/>
  <c r="J113" i="23"/>
  <c r="J112" i="23"/>
  <c r="J111" i="23"/>
  <c r="J110" i="23"/>
  <c r="J109" i="23"/>
  <c r="J108" i="23"/>
  <c r="J107" i="23"/>
  <c r="J106" i="23"/>
  <c r="J105" i="23"/>
  <c r="J104" i="23"/>
  <c r="J103" i="23"/>
  <c r="J102" i="23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I180" i="23"/>
  <c r="I179" i="23"/>
  <c r="I178" i="23"/>
  <c r="I177" i="23"/>
  <c r="I176" i="23"/>
  <c r="I175" i="23"/>
  <c r="I174" i="23"/>
  <c r="I173" i="23"/>
  <c r="I172" i="23"/>
  <c r="I171" i="23"/>
  <c r="I170" i="23"/>
  <c r="I169" i="23"/>
  <c r="I168" i="23"/>
  <c r="I167" i="23"/>
  <c r="I166" i="23"/>
  <c r="I165" i="23"/>
  <c r="I164" i="23"/>
  <c r="I163" i="23"/>
  <c r="I162" i="23"/>
  <c r="I161" i="23"/>
  <c r="I160" i="23"/>
  <c r="I159" i="23"/>
  <c r="I158" i="23"/>
  <c r="I157" i="23"/>
  <c r="I156" i="23"/>
  <c r="I155" i="23"/>
  <c r="I154" i="23"/>
  <c r="I153" i="23"/>
  <c r="I152" i="23"/>
  <c r="I151" i="23"/>
  <c r="I150" i="23"/>
  <c r="I149" i="23"/>
  <c r="I148" i="23"/>
  <c r="I147" i="23"/>
  <c r="I146" i="23"/>
  <c r="I145" i="23"/>
  <c r="I144" i="23"/>
  <c r="I143" i="23"/>
  <c r="I142" i="23"/>
  <c r="I141" i="23"/>
  <c r="I140" i="23"/>
  <c r="I139" i="23"/>
  <c r="I138" i="23"/>
  <c r="I137" i="23"/>
  <c r="I136" i="23"/>
  <c r="I135" i="23"/>
  <c r="I134" i="23"/>
  <c r="I133" i="23"/>
  <c r="I132" i="23"/>
  <c r="I131" i="23"/>
  <c r="I130" i="23"/>
  <c r="I129" i="23"/>
  <c r="I128" i="23"/>
  <c r="I127" i="23"/>
  <c r="I126" i="23"/>
  <c r="I125" i="23"/>
  <c r="I124" i="23"/>
  <c r="I123" i="23"/>
  <c r="I122" i="23"/>
  <c r="I121" i="23"/>
  <c r="I120" i="23"/>
  <c r="I119" i="23"/>
  <c r="I118" i="23"/>
  <c r="I117" i="23"/>
  <c r="I116" i="23"/>
  <c r="I115" i="23"/>
  <c r="I114" i="23"/>
  <c r="I113" i="23"/>
  <c r="I112" i="23"/>
  <c r="I111" i="23"/>
  <c r="I110" i="23"/>
  <c r="I109" i="23"/>
  <c r="I108" i="23"/>
  <c r="I107" i="23"/>
  <c r="I106" i="23"/>
  <c r="I105" i="23"/>
  <c r="I104" i="23"/>
  <c r="I103" i="23"/>
  <c r="I102" i="23"/>
  <c r="I101" i="23"/>
  <c r="I100" i="23"/>
  <c r="I99" i="23"/>
  <c r="I98" i="23"/>
  <c r="I97" i="23"/>
  <c r="I96" i="23"/>
  <c r="I95" i="23"/>
  <c r="I94" i="23"/>
  <c r="I93" i="23"/>
  <c r="I92" i="23"/>
  <c r="I91" i="23"/>
  <c r="I90" i="23"/>
  <c r="I89" i="23"/>
  <c r="I88" i="23"/>
  <c r="I87" i="23"/>
  <c r="I86" i="23"/>
  <c r="I85" i="23"/>
  <c r="I84" i="23"/>
  <c r="I83" i="23"/>
  <c r="I82" i="23"/>
  <c r="I81" i="23"/>
  <c r="I80" i="23"/>
  <c r="I79" i="23"/>
  <c r="I78" i="23"/>
  <c r="I77" i="23"/>
  <c r="I76" i="23"/>
  <c r="I75" i="23"/>
  <c r="I74" i="23"/>
  <c r="I73" i="23"/>
  <c r="I72" i="23"/>
  <c r="I71" i="23"/>
  <c r="I70" i="23"/>
  <c r="I69" i="23"/>
  <c r="I68" i="23"/>
  <c r="I67" i="23"/>
  <c r="I66" i="23"/>
  <c r="I65" i="23"/>
  <c r="I64" i="23"/>
  <c r="I63" i="23"/>
  <c r="I62" i="23"/>
  <c r="I61" i="23"/>
  <c r="I60" i="23"/>
  <c r="I59" i="23"/>
  <c r="I58" i="23"/>
  <c r="I57" i="23"/>
  <c r="I56" i="23"/>
  <c r="I55" i="23"/>
  <c r="I54" i="23"/>
  <c r="I53" i="23"/>
  <c r="I52" i="23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13" i="23"/>
  <c r="I12" i="23"/>
  <c r="I11" i="23"/>
  <c r="I10" i="23"/>
  <c r="I9" i="23"/>
  <c r="I8" i="23"/>
  <c r="I7" i="23"/>
  <c r="I6" i="23"/>
  <c r="I5" i="23"/>
  <c r="I4" i="23"/>
  <c r="I3" i="23"/>
  <c r="H180" i="23"/>
  <c r="H179" i="23"/>
  <c r="H178" i="23"/>
  <c r="H177" i="23"/>
  <c r="H176" i="23"/>
  <c r="H175" i="23"/>
  <c r="H174" i="23"/>
  <c r="H173" i="23"/>
  <c r="H172" i="23"/>
  <c r="H171" i="23"/>
  <c r="H170" i="23"/>
  <c r="H169" i="23"/>
  <c r="H168" i="23"/>
  <c r="H167" i="23"/>
  <c r="H166" i="23"/>
  <c r="H165" i="23"/>
  <c r="H164" i="23"/>
  <c r="H163" i="23"/>
  <c r="H162" i="23"/>
  <c r="H161" i="23"/>
  <c r="H160" i="23"/>
  <c r="H159" i="23"/>
  <c r="H158" i="23"/>
  <c r="H157" i="23"/>
  <c r="H156" i="23"/>
  <c r="H155" i="23"/>
  <c r="H154" i="23"/>
  <c r="H153" i="23"/>
  <c r="H152" i="23"/>
  <c r="H151" i="23"/>
  <c r="H150" i="23"/>
  <c r="H149" i="23"/>
  <c r="H148" i="23"/>
  <c r="H147" i="23"/>
  <c r="H146" i="23"/>
  <c r="H145" i="23"/>
  <c r="H144" i="23"/>
  <c r="H143" i="23"/>
  <c r="H142" i="23"/>
  <c r="H141" i="23"/>
  <c r="H140" i="23"/>
  <c r="H139" i="23"/>
  <c r="H138" i="23"/>
  <c r="H137" i="23"/>
  <c r="H136" i="23"/>
  <c r="H135" i="23"/>
  <c r="H134" i="23"/>
  <c r="H133" i="23"/>
  <c r="H132" i="23"/>
  <c r="H131" i="23"/>
  <c r="H130" i="23"/>
  <c r="H129" i="23"/>
  <c r="H128" i="23"/>
  <c r="H127" i="23"/>
  <c r="H126" i="23"/>
  <c r="H125" i="23"/>
  <c r="H124" i="23"/>
  <c r="H123" i="23"/>
  <c r="H122" i="23"/>
  <c r="H121" i="23"/>
  <c r="H120" i="23"/>
  <c r="H119" i="23"/>
  <c r="H118" i="23"/>
  <c r="H117" i="23"/>
  <c r="H116" i="23"/>
  <c r="H115" i="23"/>
  <c r="H114" i="23"/>
  <c r="H113" i="23"/>
  <c r="H112" i="23"/>
  <c r="H111" i="23"/>
  <c r="H110" i="23"/>
  <c r="H109" i="23"/>
  <c r="H108" i="23"/>
  <c r="H107" i="23"/>
  <c r="H106" i="23"/>
  <c r="H105" i="23"/>
  <c r="H104" i="23"/>
  <c r="H103" i="23"/>
  <c r="H102" i="23"/>
  <c r="H101" i="23"/>
  <c r="H100" i="23"/>
  <c r="H99" i="23"/>
  <c r="H98" i="23"/>
  <c r="H97" i="23"/>
  <c r="H96" i="23"/>
  <c r="H95" i="23"/>
  <c r="H94" i="23"/>
  <c r="H93" i="23"/>
  <c r="H92" i="23"/>
  <c r="H91" i="23"/>
  <c r="H90" i="23"/>
  <c r="H89" i="23"/>
  <c r="H88" i="23"/>
  <c r="H87" i="23"/>
  <c r="H86" i="23"/>
  <c r="H85" i="23"/>
  <c r="H84" i="23"/>
  <c r="H83" i="23"/>
  <c r="H82" i="23"/>
  <c r="H81" i="23"/>
  <c r="H80" i="23"/>
  <c r="H79" i="23"/>
  <c r="H78" i="23"/>
  <c r="H77" i="23"/>
  <c r="H76" i="23"/>
  <c r="H75" i="23"/>
  <c r="H74" i="23"/>
  <c r="H73" i="23"/>
  <c r="H72" i="23"/>
  <c r="H71" i="23"/>
  <c r="H70" i="23"/>
  <c r="H69" i="23"/>
  <c r="H68" i="23"/>
  <c r="H67" i="23"/>
  <c r="H66" i="23"/>
  <c r="H65" i="23"/>
  <c r="H64" i="23"/>
  <c r="H63" i="23"/>
  <c r="H62" i="23"/>
  <c r="H61" i="23"/>
  <c r="H60" i="23"/>
  <c r="H59" i="23"/>
  <c r="H58" i="23"/>
  <c r="H57" i="23"/>
  <c r="H56" i="23"/>
  <c r="H55" i="23"/>
  <c r="H54" i="23"/>
  <c r="H53" i="23"/>
  <c r="H52" i="23"/>
  <c r="H51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H26" i="23"/>
  <c r="H25" i="23"/>
  <c r="H24" i="23"/>
  <c r="H23" i="23"/>
  <c r="H22" i="23"/>
  <c r="H21" i="23"/>
  <c r="H20" i="23"/>
  <c r="H19" i="23"/>
  <c r="H18" i="23"/>
  <c r="H17" i="23"/>
  <c r="H16" i="23"/>
  <c r="H15" i="23"/>
  <c r="H14" i="23"/>
  <c r="H13" i="23"/>
  <c r="H12" i="23"/>
  <c r="H11" i="23"/>
  <c r="H10" i="23"/>
  <c r="H9" i="23"/>
  <c r="H8" i="23"/>
  <c r="H7" i="23"/>
  <c r="H6" i="23"/>
  <c r="H5" i="23"/>
  <c r="H4" i="23"/>
  <c r="H3" i="23"/>
  <c r="AG180" i="35"/>
  <c r="AG179" i="35"/>
  <c r="AG178" i="35"/>
  <c r="AG177" i="35"/>
  <c r="AG176" i="35"/>
  <c r="AG175" i="35"/>
  <c r="AG174" i="35"/>
  <c r="AG173" i="35"/>
  <c r="AG172" i="35"/>
  <c r="AF171" i="35"/>
  <c r="AE171" i="35"/>
  <c r="AD171" i="35"/>
  <c r="AC171" i="35"/>
  <c r="AB171" i="35"/>
  <c r="AA171" i="35"/>
  <c r="Z171" i="35"/>
  <c r="Y171" i="35"/>
  <c r="X171" i="35"/>
  <c r="W171" i="35"/>
  <c r="V171" i="35"/>
  <c r="U171" i="35"/>
  <c r="T171" i="35"/>
  <c r="S171" i="35"/>
  <c r="R171" i="35"/>
  <c r="Q171" i="35"/>
  <c r="P171" i="35"/>
  <c r="O171" i="35"/>
  <c r="N171" i="35"/>
  <c r="M171" i="35"/>
  <c r="L171" i="35"/>
  <c r="K171" i="35"/>
  <c r="J171" i="35"/>
  <c r="I171" i="35"/>
  <c r="H171" i="35"/>
  <c r="G171" i="35"/>
  <c r="F171" i="35"/>
  <c r="E171" i="35"/>
  <c r="D171" i="35"/>
  <c r="C171" i="35"/>
  <c r="B171" i="35"/>
  <c r="AG170" i="35"/>
  <c r="AG169" i="35"/>
  <c r="AG168" i="35"/>
  <c r="AG167" i="35"/>
  <c r="AG166" i="35"/>
  <c r="AG165" i="35"/>
  <c r="AG164" i="35"/>
  <c r="AG163" i="35"/>
  <c r="AG162" i="35"/>
  <c r="AG161" i="35"/>
  <c r="AG160" i="35"/>
  <c r="AG159" i="35"/>
  <c r="AG158" i="35"/>
  <c r="AG157" i="35"/>
  <c r="AG156" i="35"/>
  <c r="AG155" i="35"/>
  <c r="AG154" i="35"/>
  <c r="AG153" i="35"/>
  <c r="AG152" i="35"/>
  <c r="AG151" i="35"/>
  <c r="AG150" i="35"/>
  <c r="AG149" i="35"/>
  <c r="AG148" i="35"/>
  <c r="AG147" i="35"/>
  <c r="AG146" i="35"/>
  <c r="AG145" i="35"/>
  <c r="AF144" i="35"/>
  <c r="AE144" i="35"/>
  <c r="AD144" i="35"/>
  <c r="AC144" i="35"/>
  <c r="AB144" i="35"/>
  <c r="AA144" i="35"/>
  <c r="Z144" i="35"/>
  <c r="Y144" i="35"/>
  <c r="X144" i="35"/>
  <c r="W144" i="35"/>
  <c r="V144" i="35"/>
  <c r="U144" i="35"/>
  <c r="T144" i="35"/>
  <c r="S144" i="35"/>
  <c r="R144" i="35"/>
  <c r="Q144" i="35"/>
  <c r="P144" i="35"/>
  <c r="O144" i="35"/>
  <c r="N144" i="35"/>
  <c r="M144" i="35"/>
  <c r="L144" i="35"/>
  <c r="K144" i="35"/>
  <c r="J144" i="35"/>
  <c r="I144" i="35"/>
  <c r="H144" i="35"/>
  <c r="G144" i="35"/>
  <c r="F144" i="35"/>
  <c r="E144" i="35"/>
  <c r="D144" i="35"/>
  <c r="C144" i="35"/>
  <c r="B144" i="35"/>
  <c r="AG143" i="35"/>
  <c r="AG142" i="35"/>
  <c r="AG141" i="35"/>
  <c r="AG140" i="35"/>
  <c r="AF139" i="35"/>
  <c r="AE139" i="35"/>
  <c r="AD139" i="35"/>
  <c r="AC139" i="35"/>
  <c r="AB139" i="35"/>
  <c r="AA139" i="35"/>
  <c r="Z139" i="35"/>
  <c r="Y139" i="35"/>
  <c r="X139" i="35"/>
  <c r="W139" i="35"/>
  <c r="V139" i="35"/>
  <c r="U139" i="35"/>
  <c r="T139" i="35"/>
  <c r="S139" i="35"/>
  <c r="R139" i="35"/>
  <c r="Q139" i="35"/>
  <c r="P139" i="35"/>
  <c r="O139" i="35"/>
  <c r="N139" i="35"/>
  <c r="M139" i="35"/>
  <c r="L139" i="35"/>
  <c r="K139" i="35"/>
  <c r="J139" i="35"/>
  <c r="I139" i="35"/>
  <c r="H139" i="35"/>
  <c r="G139" i="35"/>
  <c r="F139" i="35"/>
  <c r="E139" i="35"/>
  <c r="D139" i="35"/>
  <c r="C139" i="35"/>
  <c r="B139" i="35"/>
  <c r="AG138" i="35"/>
  <c r="AG137" i="35"/>
  <c r="AG136" i="35"/>
  <c r="AF135" i="35"/>
  <c r="AE135" i="35"/>
  <c r="AD135" i="35"/>
  <c r="AC135" i="35"/>
  <c r="AB135" i="35"/>
  <c r="AA135" i="35"/>
  <c r="Z135" i="35"/>
  <c r="Y135" i="35"/>
  <c r="X135" i="35"/>
  <c r="W135" i="35"/>
  <c r="V135" i="35"/>
  <c r="U135" i="35"/>
  <c r="T135" i="35"/>
  <c r="S135" i="35"/>
  <c r="R135" i="35"/>
  <c r="Q135" i="35"/>
  <c r="P135" i="35"/>
  <c r="O135" i="35"/>
  <c r="N135" i="35"/>
  <c r="M135" i="35"/>
  <c r="L135" i="35"/>
  <c r="K135" i="35"/>
  <c r="J135" i="35"/>
  <c r="I135" i="35"/>
  <c r="H135" i="35"/>
  <c r="G135" i="35"/>
  <c r="F135" i="35"/>
  <c r="E135" i="35"/>
  <c r="D135" i="35"/>
  <c r="C135" i="35"/>
  <c r="B135" i="35"/>
  <c r="AG132" i="35"/>
  <c r="AG131" i="35"/>
  <c r="AG130" i="35"/>
  <c r="AG129" i="35"/>
  <c r="AG128" i="35"/>
  <c r="AG127" i="35"/>
  <c r="AG126" i="35"/>
  <c r="AG125" i="35"/>
  <c r="AG124" i="35"/>
  <c r="AG123" i="35"/>
  <c r="AG122" i="35"/>
  <c r="AG121" i="35"/>
  <c r="AG120" i="35"/>
  <c r="AF119" i="35"/>
  <c r="AE119" i="35"/>
  <c r="AD119" i="35"/>
  <c r="AC119" i="35"/>
  <c r="AB119" i="35"/>
  <c r="AA119" i="35"/>
  <c r="Z119" i="35"/>
  <c r="Y119" i="35"/>
  <c r="X119" i="35"/>
  <c r="W119" i="35"/>
  <c r="V119" i="35"/>
  <c r="U119" i="35"/>
  <c r="T119" i="35"/>
  <c r="S119" i="35"/>
  <c r="R119" i="35"/>
  <c r="Q119" i="35"/>
  <c r="P119" i="35"/>
  <c r="O119" i="35"/>
  <c r="N119" i="35"/>
  <c r="M119" i="35"/>
  <c r="L119" i="35"/>
  <c r="K119" i="35"/>
  <c r="J119" i="35"/>
  <c r="I119" i="35"/>
  <c r="H119" i="35"/>
  <c r="G119" i="35"/>
  <c r="F119" i="35"/>
  <c r="E119" i="35"/>
  <c r="D119" i="35"/>
  <c r="C119" i="35"/>
  <c r="B119" i="35"/>
  <c r="AG118" i="35"/>
  <c r="AG117" i="35"/>
  <c r="AF116" i="35"/>
  <c r="AE116" i="35"/>
  <c r="AD116" i="35"/>
  <c r="AC116" i="35"/>
  <c r="AB116" i="35"/>
  <c r="AA116" i="35"/>
  <c r="Z116" i="35"/>
  <c r="Y116" i="35"/>
  <c r="X116" i="35"/>
  <c r="W116" i="35"/>
  <c r="V116" i="35"/>
  <c r="U116" i="35"/>
  <c r="T116" i="35"/>
  <c r="S116" i="35"/>
  <c r="R116" i="35"/>
  <c r="Q116" i="35"/>
  <c r="P116" i="35"/>
  <c r="O116" i="35"/>
  <c r="N116" i="35"/>
  <c r="M116" i="35"/>
  <c r="L116" i="35"/>
  <c r="K116" i="35"/>
  <c r="J116" i="35"/>
  <c r="I116" i="35"/>
  <c r="H116" i="35"/>
  <c r="G116" i="35"/>
  <c r="F116" i="35"/>
  <c r="E116" i="35"/>
  <c r="D116" i="35"/>
  <c r="C116" i="35"/>
  <c r="B116" i="35"/>
  <c r="AG115" i="35"/>
  <c r="AG114" i="35"/>
  <c r="AG113" i="35"/>
  <c r="AG112" i="35"/>
  <c r="AG111" i="35"/>
  <c r="AG110" i="35"/>
  <c r="AG109" i="35"/>
  <c r="AG108" i="35"/>
  <c r="AG107" i="35"/>
  <c r="AG106" i="35"/>
  <c r="AG105" i="35"/>
  <c r="AG104" i="35"/>
  <c r="AG103" i="35"/>
  <c r="AG102" i="35"/>
  <c r="AG101" i="35"/>
  <c r="AF100" i="35"/>
  <c r="AE100" i="35"/>
  <c r="AD100" i="35"/>
  <c r="AC100" i="35"/>
  <c r="AB100" i="35"/>
  <c r="AA100" i="35"/>
  <c r="Z100" i="35"/>
  <c r="Y100" i="35"/>
  <c r="X100" i="35"/>
  <c r="W100" i="35"/>
  <c r="V100" i="35"/>
  <c r="U100" i="35"/>
  <c r="T100" i="35"/>
  <c r="S100" i="35"/>
  <c r="R100" i="35"/>
  <c r="Q100" i="35"/>
  <c r="P100" i="35"/>
  <c r="O100" i="35"/>
  <c r="N100" i="35"/>
  <c r="M100" i="35"/>
  <c r="L100" i="35"/>
  <c r="K100" i="35"/>
  <c r="J100" i="35"/>
  <c r="I100" i="35"/>
  <c r="H100" i="35"/>
  <c r="G100" i="35"/>
  <c r="F100" i="35"/>
  <c r="E100" i="35"/>
  <c r="D100" i="35"/>
  <c r="C100" i="35"/>
  <c r="B100" i="35"/>
  <c r="AG99" i="35"/>
  <c r="AG98" i="35"/>
  <c r="AG97" i="35"/>
  <c r="AG96" i="35"/>
  <c r="AG95" i="35"/>
  <c r="AF94" i="35"/>
  <c r="AE94" i="35"/>
  <c r="AE93" i="35" s="1"/>
  <c r="AD94" i="35"/>
  <c r="AC94" i="35"/>
  <c r="AB94" i="35"/>
  <c r="AA94" i="35"/>
  <c r="AA93" i="35" s="1"/>
  <c r="Z94" i="35"/>
  <c r="Y94" i="35"/>
  <c r="X94" i="35"/>
  <c r="W94" i="35"/>
  <c r="V94" i="35"/>
  <c r="V93" i="35" s="1"/>
  <c r="U94" i="35"/>
  <c r="T94" i="35"/>
  <c r="S94" i="35"/>
  <c r="R94" i="35"/>
  <c r="R93" i="35" s="1"/>
  <c r="Q94" i="35"/>
  <c r="P94" i="35"/>
  <c r="P93" i="35" s="1"/>
  <c r="O94" i="35"/>
  <c r="N94" i="35"/>
  <c r="M94" i="35"/>
  <c r="L94" i="35"/>
  <c r="K94" i="35"/>
  <c r="J94" i="35"/>
  <c r="J93" i="35" s="1"/>
  <c r="I94" i="35"/>
  <c r="H94" i="35"/>
  <c r="G94" i="35"/>
  <c r="F94" i="35"/>
  <c r="E94" i="35"/>
  <c r="D94" i="35"/>
  <c r="D93" i="35" s="1"/>
  <c r="C94" i="35"/>
  <c r="C93" i="35" s="1"/>
  <c r="B94" i="35"/>
  <c r="AG92" i="35"/>
  <c r="AG91" i="35"/>
  <c r="AG90" i="35"/>
  <c r="AG89" i="35"/>
  <c r="AG88" i="35"/>
  <c r="AF87" i="35"/>
  <c r="AE87" i="35"/>
  <c r="AD87" i="35"/>
  <c r="AC87" i="35"/>
  <c r="AB87" i="35"/>
  <c r="AA87" i="35"/>
  <c r="Z87" i="35"/>
  <c r="Y87" i="35"/>
  <c r="X87" i="35"/>
  <c r="W87" i="35"/>
  <c r="V87" i="35"/>
  <c r="U87" i="35"/>
  <c r="T87" i="35"/>
  <c r="S87" i="35"/>
  <c r="R87" i="35"/>
  <c r="Q87" i="35"/>
  <c r="P87" i="35"/>
  <c r="O87" i="35"/>
  <c r="N87" i="35"/>
  <c r="M87" i="35"/>
  <c r="L87" i="35"/>
  <c r="K87" i="35"/>
  <c r="J87" i="35"/>
  <c r="I87" i="35"/>
  <c r="H87" i="35"/>
  <c r="G87" i="35"/>
  <c r="F87" i="35"/>
  <c r="E87" i="35"/>
  <c r="D87" i="35"/>
  <c r="C87" i="35"/>
  <c r="B87" i="35"/>
  <c r="AG86" i="35"/>
  <c r="AG85" i="35"/>
  <c r="AF84" i="35"/>
  <c r="AE84" i="35"/>
  <c r="AD84" i="35"/>
  <c r="AC84" i="35"/>
  <c r="AB84" i="35"/>
  <c r="AA84" i="35"/>
  <c r="Z84" i="35"/>
  <c r="Y84" i="35"/>
  <c r="X84" i="35"/>
  <c r="W84" i="35"/>
  <c r="V84" i="35"/>
  <c r="U84" i="35"/>
  <c r="T84" i="35"/>
  <c r="S84" i="35"/>
  <c r="R84" i="35"/>
  <c r="Q84" i="35"/>
  <c r="P84" i="35"/>
  <c r="O84" i="35"/>
  <c r="N84" i="35"/>
  <c r="M84" i="35"/>
  <c r="L84" i="35"/>
  <c r="K84" i="35"/>
  <c r="J84" i="35"/>
  <c r="I84" i="35"/>
  <c r="H84" i="35"/>
  <c r="G84" i="35"/>
  <c r="F84" i="35"/>
  <c r="E84" i="35"/>
  <c r="D84" i="35"/>
  <c r="C84" i="35"/>
  <c r="B84" i="35"/>
  <c r="AF82" i="35"/>
  <c r="AE82" i="35"/>
  <c r="AE83" i="35" s="1"/>
  <c r="AE81" i="35" s="1"/>
  <c r="AD82" i="35"/>
  <c r="AD83" i="35" s="1"/>
  <c r="AC82" i="35"/>
  <c r="AC83" i="35" s="1"/>
  <c r="AC81" i="35" s="1"/>
  <c r="AB82" i="35"/>
  <c r="AA82" i="35"/>
  <c r="AA83" i="35" s="1"/>
  <c r="AA81" i="35" s="1"/>
  <c r="Z82" i="35"/>
  <c r="Z83" i="35" s="1"/>
  <c r="Y82" i="35"/>
  <c r="Y83" i="35" s="1"/>
  <c r="Y81" i="35" s="1"/>
  <c r="X82" i="35"/>
  <c r="W82" i="35"/>
  <c r="W83" i="35" s="1"/>
  <c r="W81" i="35" s="1"/>
  <c r="V82" i="35"/>
  <c r="V83" i="35" s="1"/>
  <c r="U82" i="35"/>
  <c r="U83" i="35" s="1"/>
  <c r="U81" i="35" s="1"/>
  <c r="T82" i="35"/>
  <c r="S82" i="35"/>
  <c r="S83" i="35" s="1"/>
  <c r="S81" i="35" s="1"/>
  <c r="R82" i="35"/>
  <c r="R83" i="35" s="1"/>
  <c r="Q82" i="35"/>
  <c r="Q83" i="35" s="1"/>
  <c r="Q81" i="35" s="1"/>
  <c r="P82" i="35"/>
  <c r="O82" i="35"/>
  <c r="O83" i="35" s="1"/>
  <c r="O81" i="35" s="1"/>
  <c r="N82" i="35"/>
  <c r="N83" i="35" s="1"/>
  <c r="M82" i="35"/>
  <c r="M83" i="35" s="1"/>
  <c r="M81" i="35" s="1"/>
  <c r="L82" i="35"/>
  <c r="K82" i="35"/>
  <c r="K83" i="35" s="1"/>
  <c r="K81" i="35" s="1"/>
  <c r="J82" i="35"/>
  <c r="J83" i="35" s="1"/>
  <c r="I82" i="35"/>
  <c r="I83" i="35" s="1"/>
  <c r="I81" i="35" s="1"/>
  <c r="H82" i="35"/>
  <c r="G82" i="35"/>
  <c r="G83" i="35" s="1"/>
  <c r="G81" i="35" s="1"/>
  <c r="F82" i="35"/>
  <c r="F83" i="35" s="1"/>
  <c r="E82" i="35"/>
  <c r="E83" i="35" s="1"/>
  <c r="E81" i="35" s="1"/>
  <c r="D82" i="35"/>
  <c r="C82" i="35"/>
  <c r="C83" i="35" s="1"/>
  <c r="C81" i="35" s="1"/>
  <c r="B82" i="35"/>
  <c r="B83" i="35" s="1"/>
  <c r="AG80" i="35"/>
  <c r="AF79" i="35"/>
  <c r="AF78" i="35" s="1"/>
  <c r="AE79" i="35"/>
  <c r="AE78" i="35" s="1"/>
  <c r="AD79" i="35"/>
  <c r="AD78" i="35" s="1"/>
  <c r="AC79" i="35"/>
  <c r="AC78" i="35" s="1"/>
  <c r="AB79" i="35"/>
  <c r="AB78" i="35" s="1"/>
  <c r="AA79" i="35"/>
  <c r="AA78" i="35" s="1"/>
  <c r="Z79" i="35"/>
  <c r="Z78" i="35" s="1"/>
  <c r="Y79" i="35"/>
  <c r="Y78" i="35" s="1"/>
  <c r="X79" i="35"/>
  <c r="X78" i="35" s="1"/>
  <c r="W79" i="35"/>
  <c r="W78" i="35" s="1"/>
  <c r="V79" i="35"/>
  <c r="V78" i="35" s="1"/>
  <c r="U79" i="35"/>
  <c r="U78" i="35" s="1"/>
  <c r="T79" i="35"/>
  <c r="T78" i="35" s="1"/>
  <c r="S79" i="35"/>
  <c r="S78" i="35" s="1"/>
  <c r="R79" i="35"/>
  <c r="R78" i="35" s="1"/>
  <c r="Q79" i="35"/>
  <c r="Q78" i="35" s="1"/>
  <c r="P79" i="35"/>
  <c r="O79" i="35"/>
  <c r="O78" i="35" s="1"/>
  <c r="N79" i="35"/>
  <c r="N78" i="35" s="1"/>
  <c r="M79" i="35"/>
  <c r="M78" i="35" s="1"/>
  <c r="L79" i="35"/>
  <c r="L78" i="35" s="1"/>
  <c r="K79" i="35"/>
  <c r="K78" i="35" s="1"/>
  <c r="J79" i="35"/>
  <c r="J78" i="35" s="1"/>
  <c r="I79" i="35"/>
  <c r="I78" i="35" s="1"/>
  <c r="H79" i="35"/>
  <c r="H78" i="35" s="1"/>
  <c r="G79" i="35"/>
  <c r="G78" i="35" s="1"/>
  <c r="F79" i="35"/>
  <c r="F78" i="35" s="1"/>
  <c r="E79" i="35"/>
  <c r="E78" i="35" s="1"/>
  <c r="D79" i="35"/>
  <c r="D78" i="35" s="1"/>
  <c r="C79" i="35"/>
  <c r="C78" i="35" s="1"/>
  <c r="B79" i="35"/>
  <c r="P78" i="35"/>
  <c r="AG77" i="35"/>
  <c r="AG76" i="35"/>
  <c r="AG75" i="35"/>
  <c r="AG74" i="35"/>
  <c r="AG73" i="35"/>
  <c r="AG72" i="35"/>
  <c r="AG71" i="35"/>
  <c r="AG70" i="35"/>
  <c r="AG69" i="35"/>
  <c r="AG68" i="35"/>
  <c r="AG67" i="35"/>
  <c r="AG66" i="35"/>
  <c r="AG65" i="35"/>
  <c r="AG64" i="35"/>
  <c r="AG63" i="35"/>
  <c r="AG62" i="35"/>
  <c r="AG61" i="35"/>
  <c r="AG60" i="35"/>
  <c r="AG59" i="35"/>
  <c r="AG58" i="35"/>
  <c r="AG57" i="35"/>
  <c r="AG56" i="35"/>
  <c r="AG55" i="35"/>
  <c r="AG54" i="35"/>
  <c r="AF53" i="35"/>
  <c r="AF134" i="35" s="1"/>
  <c r="AE53" i="35"/>
  <c r="AE134" i="35" s="1"/>
  <c r="AD53" i="35"/>
  <c r="AD134" i="35" s="1"/>
  <c r="AC53" i="35"/>
  <c r="AC134" i="35" s="1"/>
  <c r="AB53" i="35"/>
  <c r="AB134" i="35" s="1"/>
  <c r="AA53" i="35"/>
  <c r="AA134" i="35" s="1"/>
  <c r="Z53" i="35"/>
  <c r="Z134" i="35" s="1"/>
  <c r="Y53" i="35"/>
  <c r="Y134" i="35" s="1"/>
  <c r="X53" i="35"/>
  <c r="X134" i="35" s="1"/>
  <c r="W53" i="35"/>
  <c r="W134" i="35" s="1"/>
  <c r="V53" i="35"/>
  <c r="V134" i="35" s="1"/>
  <c r="U53" i="35"/>
  <c r="U134" i="35" s="1"/>
  <c r="T53" i="35"/>
  <c r="T134" i="35" s="1"/>
  <c r="S53" i="35"/>
  <c r="S134" i="35" s="1"/>
  <c r="R53" i="35"/>
  <c r="R134" i="35" s="1"/>
  <c r="Q53" i="35"/>
  <c r="Q134" i="35" s="1"/>
  <c r="P53" i="35"/>
  <c r="P134" i="35" s="1"/>
  <c r="O53" i="35"/>
  <c r="O134" i="35" s="1"/>
  <c r="N53" i="35"/>
  <c r="N134" i="35" s="1"/>
  <c r="M53" i="35"/>
  <c r="M134" i="35" s="1"/>
  <c r="L53" i="35"/>
  <c r="L134" i="35" s="1"/>
  <c r="K53" i="35"/>
  <c r="K134" i="35" s="1"/>
  <c r="J53" i="35"/>
  <c r="J134" i="35" s="1"/>
  <c r="I53" i="35"/>
  <c r="I134" i="35" s="1"/>
  <c r="H53" i="35"/>
  <c r="H134" i="35" s="1"/>
  <c r="G53" i="35"/>
  <c r="G134" i="35" s="1"/>
  <c r="F53" i="35"/>
  <c r="F134" i="35" s="1"/>
  <c r="E53" i="35"/>
  <c r="E134" i="35" s="1"/>
  <c r="D53" i="35"/>
  <c r="D134" i="35" s="1"/>
  <c r="C53" i="35"/>
  <c r="C134" i="35" s="1"/>
  <c r="B53" i="35"/>
  <c r="AG52" i="35"/>
  <c r="AG51" i="35"/>
  <c r="AG50" i="35"/>
  <c r="AG49" i="35"/>
  <c r="AG48" i="35"/>
  <c r="AG47" i="35"/>
  <c r="AG46" i="35"/>
  <c r="AG45" i="35"/>
  <c r="AG44" i="35"/>
  <c r="AG43" i="35"/>
  <c r="AG42" i="35"/>
  <c r="AG41" i="35"/>
  <c r="AG40" i="35"/>
  <c r="AG39" i="35"/>
  <c r="AG38" i="35"/>
  <c r="AG37" i="35"/>
  <c r="AG36" i="35"/>
  <c r="AG35" i="35"/>
  <c r="AG34" i="35"/>
  <c r="AG33" i="35"/>
  <c r="AG32" i="35"/>
  <c r="AG31" i="35"/>
  <c r="AG30" i="35"/>
  <c r="AG29" i="35"/>
  <c r="AF28" i="35"/>
  <c r="AF133" i="35" s="1"/>
  <c r="AE28" i="35"/>
  <c r="AE133" i="35" s="1"/>
  <c r="AD28" i="35"/>
  <c r="AD133" i="35" s="1"/>
  <c r="AC28" i="35"/>
  <c r="AC133" i="35" s="1"/>
  <c r="AB28" i="35"/>
  <c r="AB133" i="35" s="1"/>
  <c r="AA28" i="35"/>
  <c r="AA133" i="35" s="1"/>
  <c r="Z28" i="35"/>
  <c r="Z133" i="35" s="1"/>
  <c r="Y28" i="35"/>
  <c r="Y133" i="35" s="1"/>
  <c r="X28" i="35"/>
  <c r="X133" i="35" s="1"/>
  <c r="W28" i="35"/>
  <c r="W133" i="35" s="1"/>
  <c r="V28" i="35"/>
  <c r="V133" i="35" s="1"/>
  <c r="U28" i="35"/>
  <c r="U133" i="35" s="1"/>
  <c r="T28" i="35"/>
  <c r="T133" i="35" s="1"/>
  <c r="S28" i="35"/>
  <c r="S133" i="35" s="1"/>
  <c r="R28" i="35"/>
  <c r="R133" i="35" s="1"/>
  <c r="Q28" i="35"/>
  <c r="Q133" i="35" s="1"/>
  <c r="P28" i="35"/>
  <c r="P133" i="35" s="1"/>
  <c r="O28" i="35"/>
  <c r="O133" i="35" s="1"/>
  <c r="N28" i="35"/>
  <c r="N133" i="35" s="1"/>
  <c r="M28" i="35"/>
  <c r="M133" i="35" s="1"/>
  <c r="L28" i="35"/>
  <c r="L133" i="35" s="1"/>
  <c r="K28" i="35"/>
  <c r="K133" i="35" s="1"/>
  <c r="J28" i="35"/>
  <c r="J133" i="35" s="1"/>
  <c r="I28" i="35"/>
  <c r="I133" i="35" s="1"/>
  <c r="H28" i="35"/>
  <c r="H133" i="35" s="1"/>
  <c r="G28" i="35"/>
  <c r="G133" i="35" s="1"/>
  <c r="F28" i="35"/>
  <c r="F133" i="35" s="1"/>
  <c r="E28" i="35"/>
  <c r="E133" i="35" s="1"/>
  <c r="D28" i="35"/>
  <c r="D133" i="35" s="1"/>
  <c r="C28" i="35"/>
  <c r="C133" i="35" s="1"/>
  <c r="B28" i="35"/>
  <c r="AG27" i="35"/>
  <c r="AG26" i="35"/>
  <c r="AG25" i="35"/>
  <c r="AG24" i="35"/>
  <c r="AG23" i="35"/>
  <c r="AG22" i="35"/>
  <c r="AG21" i="35"/>
  <c r="AG20" i="35"/>
  <c r="AG19" i="35"/>
  <c r="AG18" i="35"/>
  <c r="AG17" i="35"/>
  <c r="AG16" i="35"/>
  <c r="AG15" i="35"/>
  <c r="AG14" i="35"/>
  <c r="AG13" i="35"/>
  <c r="AG12" i="35"/>
  <c r="AG11" i="35"/>
  <c r="AG10" i="35"/>
  <c r="AG9" i="35"/>
  <c r="AG8" i="35"/>
  <c r="AG7" i="35"/>
  <c r="AG6" i="35"/>
  <c r="AG5" i="35"/>
  <c r="AG4" i="35"/>
  <c r="AF3" i="35"/>
  <c r="AE3" i="35"/>
  <c r="AD3" i="35"/>
  <c r="AC3" i="35"/>
  <c r="AB3" i="35"/>
  <c r="AA3" i="35"/>
  <c r="Z3" i="35"/>
  <c r="Y3" i="35"/>
  <c r="X3" i="35"/>
  <c r="W3" i="35"/>
  <c r="V3" i="35"/>
  <c r="U3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C3" i="35"/>
  <c r="B3" i="35"/>
  <c r="C2" i="35"/>
  <c r="D2" i="35" s="1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180" i="34"/>
  <c r="AG179" i="34"/>
  <c r="AG178" i="34"/>
  <c r="AG177" i="34"/>
  <c r="AG176" i="34"/>
  <c r="AG175" i="34"/>
  <c r="AG174" i="34"/>
  <c r="AG173" i="34"/>
  <c r="AG172" i="34"/>
  <c r="AF171" i="34"/>
  <c r="AE171" i="34"/>
  <c r="AD171" i="34"/>
  <c r="AC171" i="34"/>
  <c r="AB171" i="34"/>
  <c r="AA171" i="34"/>
  <c r="Z171" i="34"/>
  <c r="Y171" i="34"/>
  <c r="X171" i="34"/>
  <c r="W171" i="34"/>
  <c r="V171" i="34"/>
  <c r="U171" i="34"/>
  <c r="T171" i="34"/>
  <c r="S171" i="34"/>
  <c r="R171" i="34"/>
  <c r="Q171" i="34"/>
  <c r="P171" i="34"/>
  <c r="O171" i="34"/>
  <c r="N171" i="34"/>
  <c r="M171" i="34"/>
  <c r="L171" i="34"/>
  <c r="K171" i="34"/>
  <c r="J171" i="34"/>
  <c r="I171" i="34"/>
  <c r="H171" i="34"/>
  <c r="G171" i="34"/>
  <c r="F171" i="34"/>
  <c r="E171" i="34"/>
  <c r="D171" i="34"/>
  <c r="C171" i="34"/>
  <c r="B171" i="34"/>
  <c r="AG170" i="34"/>
  <c r="AG169" i="34"/>
  <c r="AG168" i="34"/>
  <c r="AG167" i="34"/>
  <c r="AG166" i="34"/>
  <c r="AG165" i="34"/>
  <c r="AG164" i="34"/>
  <c r="AG163" i="34"/>
  <c r="AG162" i="34"/>
  <c r="AG161" i="34"/>
  <c r="AG160" i="34"/>
  <c r="AG159" i="34"/>
  <c r="AG158" i="34"/>
  <c r="AG157" i="34"/>
  <c r="AG156" i="34"/>
  <c r="AG155" i="34"/>
  <c r="AG154" i="34"/>
  <c r="AG153" i="34"/>
  <c r="AG152" i="34"/>
  <c r="AG151" i="34"/>
  <c r="AG150" i="34"/>
  <c r="AG149" i="34"/>
  <c r="AG148" i="34"/>
  <c r="AG147" i="34"/>
  <c r="AG146" i="34"/>
  <c r="AG145" i="34"/>
  <c r="AF144" i="34"/>
  <c r="AE144" i="34"/>
  <c r="AD144" i="34"/>
  <c r="AC144" i="34"/>
  <c r="AB144" i="34"/>
  <c r="AA144" i="34"/>
  <c r="Z144" i="34"/>
  <c r="Y144" i="34"/>
  <c r="X144" i="34"/>
  <c r="W144" i="34"/>
  <c r="V144" i="34"/>
  <c r="U144" i="34"/>
  <c r="T144" i="34"/>
  <c r="S144" i="34"/>
  <c r="R144" i="34"/>
  <c r="Q144" i="34"/>
  <c r="P144" i="34"/>
  <c r="O144" i="34"/>
  <c r="N144" i="34"/>
  <c r="M144" i="34"/>
  <c r="L144" i="34"/>
  <c r="K144" i="34"/>
  <c r="J144" i="34"/>
  <c r="I144" i="34"/>
  <c r="H144" i="34"/>
  <c r="G144" i="34"/>
  <c r="F144" i="34"/>
  <c r="E144" i="34"/>
  <c r="D144" i="34"/>
  <c r="C144" i="34"/>
  <c r="B144" i="34"/>
  <c r="AG143" i="34"/>
  <c r="AG142" i="34"/>
  <c r="AG141" i="34"/>
  <c r="AG140" i="34"/>
  <c r="AF139" i="34"/>
  <c r="AE139" i="34"/>
  <c r="AD139" i="34"/>
  <c r="AC139" i="34"/>
  <c r="AB139" i="34"/>
  <c r="AA139" i="34"/>
  <c r="Z139" i="34"/>
  <c r="Y139" i="34"/>
  <c r="X139" i="34"/>
  <c r="W139" i="34"/>
  <c r="V139" i="34"/>
  <c r="U139" i="34"/>
  <c r="T139" i="34"/>
  <c r="S139" i="34"/>
  <c r="R139" i="34"/>
  <c r="Q139" i="34"/>
  <c r="P139" i="34"/>
  <c r="O139" i="34"/>
  <c r="N139" i="34"/>
  <c r="M139" i="34"/>
  <c r="L139" i="34"/>
  <c r="K139" i="34"/>
  <c r="J139" i="34"/>
  <c r="I139" i="34"/>
  <c r="H139" i="34"/>
  <c r="G139" i="34"/>
  <c r="F139" i="34"/>
  <c r="E139" i="34"/>
  <c r="D139" i="34"/>
  <c r="C139" i="34"/>
  <c r="B139" i="34"/>
  <c r="AG138" i="34"/>
  <c r="AG137" i="34"/>
  <c r="AG136" i="34"/>
  <c r="AF135" i="34"/>
  <c r="AE135" i="34"/>
  <c r="AD135" i="34"/>
  <c r="AC135" i="34"/>
  <c r="AB135" i="34"/>
  <c r="AA135" i="34"/>
  <c r="Z135" i="34"/>
  <c r="Y135" i="34"/>
  <c r="X135" i="34"/>
  <c r="W135" i="34"/>
  <c r="V135" i="34"/>
  <c r="U135" i="34"/>
  <c r="T135" i="34"/>
  <c r="S135" i="34"/>
  <c r="R135" i="34"/>
  <c r="Q135" i="34"/>
  <c r="P135" i="34"/>
  <c r="O135" i="34"/>
  <c r="N135" i="34"/>
  <c r="M135" i="34"/>
  <c r="L135" i="34"/>
  <c r="K135" i="34"/>
  <c r="J135" i="34"/>
  <c r="I135" i="34"/>
  <c r="H135" i="34"/>
  <c r="G135" i="34"/>
  <c r="F135" i="34"/>
  <c r="E135" i="34"/>
  <c r="D135" i="34"/>
  <c r="C135" i="34"/>
  <c r="B135" i="34"/>
  <c r="AG132" i="34"/>
  <c r="AG131" i="34"/>
  <c r="AG130" i="34"/>
  <c r="AG129" i="34"/>
  <c r="AG128" i="34"/>
  <c r="AG127" i="34"/>
  <c r="AG126" i="34"/>
  <c r="AG125" i="34"/>
  <c r="AG124" i="34"/>
  <c r="AG123" i="34"/>
  <c r="AG122" i="34"/>
  <c r="AG121" i="34"/>
  <c r="AG120" i="34"/>
  <c r="AF119" i="34"/>
  <c r="AE119" i="34"/>
  <c r="AD119" i="34"/>
  <c r="AC119" i="34"/>
  <c r="AB119" i="34"/>
  <c r="AA119" i="34"/>
  <c r="Z119" i="34"/>
  <c r="Y119" i="34"/>
  <c r="X119" i="34"/>
  <c r="W119" i="34"/>
  <c r="V119" i="34"/>
  <c r="U119" i="34"/>
  <c r="T119" i="34"/>
  <c r="S119" i="34"/>
  <c r="R119" i="34"/>
  <c r="Q119" i="34"/>
  <c r="P119" i="34"/>
  <c r="O119" i="34"/>
  <c r="N119" i="34"/>
  <c r="M119" i="34"/>
  <c r="L119" i="34"/>
  <c r="K119" i="34"/>
  <c r="J119" i="34"/>
  <c r="I119" i="34"/>
  <c r="H119" i="34"/>
  <c r="G119" i="34"/>
  <c r="F119" i="34"/>
  <c r="E119" i="34"/>
  <c r="D119" i="34"/>
  <c r="C119" i="34"/>
  <c r="B119" i="34"/>
  <c r="AG118" i="34"/>
  <c r="AG117" i="34"/>
  <c r="AF116" i="34"/>
  <c r="AE116" i="34"/>
  <c r="AD116" i="34"/>
  <c r="AC116" i="34"/>
  <c r="AB116" i="34"/>
  <c r="AA116" i="34"/>
  <c r="Z116" i="34"/>
  <c r="Y116" i="34"/>
  <c r="X116" i="34"/>
  <c r="W116" i="34"/>
  <c r="V116" i="34"/>
  <c r="U116" i="34"/>
  <c r="T116" i="34"/>
  <c r="S116" i="34"/>
  <c r="R116" i="34"/>
  <c r="Q116" i="34"/>
  <c r="P116" i="34"/>
  <c r="O116" i="34"/>
  <c r="N116" i="34"/>
  <c r="M116" i="34"/>
  <c r="L116" i="34"/>
  <c r="K116" i="34"/>
  <c r="J116" i="34"/>
  <c r="I116" i="34"/>
  <c r="H116" i="34"/>
  <c r="G116" i="34"/>
  <c r="F116" i="34"/>
  <c r="E116" i="34"/>
  <c r="D116" i="34"/>
  <c r="C116" i="34"/>
  <c r="B116" i="34"/>
  <c r="AG115" i="34"/>
  <c r="AG114" i="34"/>
  <c r="AG113" i="34"/>
  <c r="AG112" i="34"/>
  <c r="AG111" i="34"/>
  <c r="AG110" i="34"/>
  <c r="AG109" i="34"/>
  <c r="AG108" i="34"/>
  <c r="AG107" i="34"/>
  <c r="AG106" i="34"/>
  <c r="AG105" i="34"/>
  <c r="AG104" i="34"/>
  <c r="AG103" i="34"/>
  <c r="AG102" i="34"/>
  <c r="AG101" i="34"/>
  <c r="AF100" i="34"/>
  <c r="AE100" i="34"/>
  <c r="AD100" i="34"/>
  <c r="AC100" i="34"/>
  <c r="AB100" i="34"/>
  <c r="AA100" i="34"/>
  <c r="AA93" i="34" s="1"/>
  <c r="Z100" i="34"/>
  <c r="Y100" i="34"/>
  <c r="X100" i="34"/>
  <c r="W100" i="34"/>
  <c r="V100" i="34"/>
  <c r="U100" i="34"/>
  <c r="U93" i="34" s="1"/>
  <c r="T100" i="34"/>
  <c r="S100" i="34"/>
  <c r="R100" i="34"/>
  <c r="Q100" i="34"/>
  <c r="P100" i="34"/>
  <c r="O100" i="34"/>
  <c r="N100" i="34"/>
  <c r="M100" i="34"/>
  <c r="M93" i="34" s="1"/>
  <c r="L100" i="34"/>
  <c r="K100" i="34"/>
  <c r="J100" i="34"/>
  <c r="I100" i="34"/>
  <c r="H100" i="34"/>
  <c r="G100" i="34"/>
  <c r="F100" i="34"/>
  <c r="E100" i="34"/>
  <c r="D100" i="34"/>
  <c r="C100" i="34"/>
  <c r="B100" i="34"/>
  <c r="AG99" i="34"/>
  <c r="AG98" i="34"/>
  <c r="AG97" i="34"/>
  <c r="AG96" i="34"/>
  <c r="AG95" i="34"/>
  <c r="AF94" i="34"/>
  <c r="AF93" i="34" s="1"/>
  <c r="AE94" i="34"/>
  <c r="AD94" i="34"/>
  <c r="AC94" i="34"/>
  <c r="AB94" i="34"/>
  <c r="AB93" i="34" s="1"/>
  <c r="AA94" i="34"/>
  <c r="Z94" i="34"/>
  <c r="Z93" i="34" s="1"/>
  <c r="Y94" i="34"/>
  <c r="Y93" i="34" s="1"/>
  <c r="X94" i="34"/>
  <c r="W94" i="34"/>
  <c r="V94" i="34"/>
  <c r="V93" i="34" s="1"/>
  <c r="U94" i="34"/>
  <c r="T94" i="34"/>
  <c r="T93" i="34" s="1"/>
  <c r="S94" i="34"/>
  <c r="R94" i="34"/>
  <c r="R93" i="34" s="1"/>
  <c r="Q94" i="34"/>
  <c r="P94" i="34"/>
  <c r="O94" i="34"/>
  <c r="N94" i="34"/>
  <c r="N93" i="34" s="1"/>
  <c r="M94" i="34"/>
  <c r="L94" i="34"/>
  <c r="L93" i="34" s="1"/>
  <c r="K94" i="34"/>
  <c r="K93" i="34" s="1"/>
  <c r="J94" i="34"/>
  <c r="J93" i="34" s="1"/>
  <c r="I94" i="34"/>
  <c r="I93" i="34" s="1"/>
  <c r="H94" i="34"/>
  <c r="G94" i="34"/>
  <c r="F94" i="34"/>
  <c r="F93" i="34" s="1"/>
  <c r="E94" i="34"/>
  <c r="D94" i="34"/>
  <c r="D93" i="34" s="1"/>
  <c r="C94" i="34"/>
  <c r="C93" i="34" s="1"/>
  <c r="B94" i="34"/>
  <c r="B93" i="34" s="1"/>
  <c r="O93" i="34"/>
  <c r="AG92" i="34"/>
  <c r="AG91" i="34"/>
  <c r="AG90" i="34"/>
  <c r="AG89" i="34"/>
  <c r="AG88" i="34"/>
  <c r="AF87" i="34"/>
  <c r="AE87" i="34"/>
  <c r="AD87" i="34"/>
  <c r="AC87" i="34"/>
  <c r="AB87" i="34"/>
  <c r="AA87" i="34"/>
  <c r="Z87" i="34"/>
  <c r="Y87" i="34"/>
  <c r="X87" i="34"/>
  <c r="W87" i="34"/>
  <c r="V87" i="34"/>
  <c r="U87" i="34"/>
  <c r="T87" i="34"/>
  <c r="S87" i="34"/>
  <c r="R87" i="34"/>
  <c r="Q87" i="34"/>
  <c r="P87" i="34"/>
  <c r="O87" i="34"/>
  <c r="N87" i="34"/>
  <c r="M87" i="34"/>
  <c r="L87" i="34"/>
  <c r="K87" i="34"/>
  <c r="J87" i="34"/>
  <c r="I87" i="34"/>
  <c r="H87" i="34"/>
  <c r="G87" i="34"/>
  <c r="F87" i="34"/>
  <c r="E87" i="34"/>
  <c r="D87" i="34"/>
  <c r="C87" i="34"/>
  <c r="B87" i="34"/>
  <c r="AG86" i="34"/>
  <c r="AG85" i="34"/>
  <c r="AF84" i="34"/>
  <c r="AE84" i="34"/>
  <c r="AD84" i="34"/>
  <c r="AC84" i="34"/>
  <c r="AB84" i="34"/>
  <c r="AA84" i="34"/>
  <c r="Z84" i="34"/>
  <c r="Y84" i="34"/>
  <c r="X84" i="34"/>
  <c r="W84" i="34"/>
  <c r="V84" i="34"/>
  <c r="U84" i="34"/>
  <c r="T84" i="34"/>
  <c r="S84" i="34"/>
  <c r="R84" i="34"/>
  <c r="Q84" i="34"/>
  <c r="P84" i="34"/>
  <c r="O84" i="34"/>
  <c r="N84" i="34"/>
  <c r="M84" i="34"/>
  <c r="L84" i="34"/>
  <c r="K84" i="34"/>
  <c r="J84" i="34"/>
  <c r="I84" i="34"/>
  <c r="H84" i="34"/>
  <c r="G84" i="34"/>
  <c r="F84" i="34"/>
  <c r="E84" i="34"/>
  <c r="D84" i="34"/>
  <c r="C84" i="34"/>
  <c r="B84" i="34"/>
  <c r="G83" i="34"/>
  <c r="G81" i="34" s="1"/>
  <c r="AF82" i="34"/>
  <c r="AF83" i="34" s="1"/>
  <c r="AE82" i="34"/>
  <c r="AE83" i="34" s="1"/>
  <c r="AE81" i="34" s="1"/>
  <c r="AD82" i="34"/>
  <c r="AD83" i="34" s="1"/>
  <c r="AC82" i="34"/>
  <c r="AC83" i="34" s="1"/>
  <c r="AC81" i="34" s="1"/>
  <c r="AB82" i="34"/>
  <c r="AA82" i="34"/>
  <c r="AA83" i="34" s="1"/>
  <c r="AA81" i="34" s="1"/>
  <c r="Z82" i="34"/>
  <c r="Z83" i="34" s="1"/>
  <c r="Z81" i="34" s="1"/>
  <c r="Y82" i="34"/>
  <c r="Y83" i="34" s="1"/>
  <c r="Y81" i="34" s="1"/>
  <c r="X82" i="34"/>
  <c r="X83" i="34" s="1"/>
  <c r="X81" i="34" s="1"/>
  <c r="W82" i="34"/>
  <c r="W83" i="34" s="1"/>
  <c r="W81" i="34" s="1"/>
  <c r="V82" i="34"/>
  <c r="V83" i="34" s="1"/>
  <c r="U82" i="34"/>
  <c r="U83" i="34" s="1"/>
  <c r="U81" i="34" s="1"/>
  <c r="T82" i="34"/>
  <c r="T83" i="34" s="1"/>
  <c r="S82" i="34"/>
  <c r="R82" i="34"/>
  <c r="R83" i="34" s="1"/>
  <c r="Q82" i="34"/>
  <c r="Q83" i="34" s="1"/>
  <c r="Q81" i="34" s="1"/>
  <c r="P82" i="34"/>
  <c r="O82" i="34"/>
  <c r="O83" i="34" s="1"/>
  <c r="O81" i="34" s="1"/>
  <c r="N82" i="34"/>
  <c r="N83" i="34" s="1"/>
  <c r="M82" i="34"/>
  <c r="M83" i="34" s="1"/>
  <c r="M81" i="34" s="1"/>
  <c r="L82" i="34"/>
  <c r="L83" i="34" s="1"/>
  <c r="L81" i="34" s="1"/>
  <c r="K82" i="34"/>
  <c r="K83" i="34" s="1"/>
  <c r="K81" i="34" s="1"/>
  <c r="J82" i="34"/>
  <c r="J83" i="34" s="1"/>
  <c r="I82" i="34"/>
  <c r="I83" i="34" s="1"/>
  <c r="I81" i="34" s="1"/>
  <c r="H82" i="34"/>
  <c r="H83" i="34" s="1"/>
  <c r="G82" i="34"/>
  <c r="F82" i="34"/>
  <c r="F83" i="34" s="1"/>
  <c r="E82" i="34"/>
  <c r="E83" i="34" s="1"/>
  <c r="E81" i="34" s="1"/>
  <c r="D82" i="34"/>
  <c r="C82" i="34"/>
  <c r="C83" i="34" s="1"/>
  <c r="B82" i="34"/>
  <c r="AG80" i="34"/>
  <c r="AF79" i="34"/>
  <c r="AF78" i="34" s="1"/>
  <c r="AE79" i="34"/>
  <c r="AE78" i="34" s="1"/>
  <c r="AD79" i="34"/>
  <c r="AD78" i="34" s="1"/>
  <c r="AC79" i="34"/>
  <c r="AC78" i="34" s="1"/>
  <c r="AB79" i="34"/>
  <c r="AB78" i="34" s="1"/>
  <c r="AA79" i="34"/>
  <c r="AA78" i="34" s="1"/>
  <c r="Z79" i="34"/>
  <c r="Z78" i="34" s="1"/>
  <c r="Y79" i="34"/>
  <c r="Y78" i="34" s="1"/>
  <c r="X79" i="34"/>
  <c r="X78" i="34" s="1"/>
  <c r="W79" i="34"/>
  <c r="W78" i="34" s="1"/>
  <c r="V79" i="34"/>
  <c r="V78" i="34" s="1"/>
  <c r="U79" i="34"/>
  <c r="U78" i="34" s="1"/>
  <c r="T79" i="34"/>
  <c r="T78" i="34" s="1"/>
  <c r="S79" i="34"/>
  <c r="S78" i="34" s="1"/>
  <c r="R79" i="34"/>
  <c r="Q79" i="34"/>
  <c r="P79" i="34"/>
  <c r="P78" i="34" s="1"/>
  <c r="O79" i="34"/>
  <c r="N79" i="34"/>
  <c r="N78" i="34" s="1"/>
  <c r="M79" i="34"/>
  <c r="M78" i="34" s="1"/>
  <c r="L79" i="34"/>
  <c r="L78" i="34" s="1"/>
  <c r="K79" i="34"/>
  <c r="K78" i="34" s="1"/>
  <c r="J79" i="34"/>
  <c r="J78" i="34" s="1"/>
  <c r="I79" i="34"/>
  <c r="I78" i="34" s="1"/>
  <c r="H79" i="34"/>
  <c r="H78" i="34" s="1"/>
  <c r="G79" i="34"/>
  <c r="G78" i="34" s="1"/>
  <c r="F79" i="34"/>
  <c r="F78" i="34" s="1"/>
  <c r="E79" i="34"/>
  <c r="E78" i="34" s="1"/>
  <c r="D79" i="34"/>
  <c r="D78" i="34" s="1"/>
  <c r="C79" i="34"/>
  <c r="C78" i="34" s="1"/>
  <c r="B79" i="34"/>
  <c r="R78" i="34"/>
  <c r="Q78" i="34"/>
  <c r="O78" i="34"/>
  <c r="AG77" i="34"/>
  <c r="AG76" i="34"/>
  <c r="AG75" i="34"/>
  <c r="AG74" i="34"/>
  <c r="AG73" i="34"/>
  <c r="AG72" i="34"/>
  <c r="AG71" i="34"/>
  <c r="AG70" i="34"/>
  <c r="AG69" i="34"/>
  <c r="AG68" i="34"/>
  <c r="AG67" i="34"/>
  <c r="AG66" i="34"/>
  <c r="AG65" i="34"/>
  <c r="AG64" i="34"/>
  <c r="AG63" i="34"/>
  <c r="AG62" i="34"/>
  <c r="AG61" i="34"/>
  <c r="AG60" i="34"/>
  <c r="AG59" i="34"/>
  <c r="AG58" i="34"/>
  <c r="AG57" i="34"/>
  <c r="AG56" i="34"/>
  <c r="AG55" i="34"/>
  <c r="AG54" i="34"/>
  <c r="AF53" i="34"/>
  <c r="AF134" i="34" s="1"/>
  <c r="AE53" i="34"/>
  <c r="AE134" i="34" s="1"/>
  <c r="AD53" i="34"/>
  <c r="AD134" i="34" s="1"/>
  <c r="AC53" i="34"/>
  <c r="AC134" i="34" s="1"/>
  <c r="AB53" i="34"/>
  <c r="AB134" i="34" s="1"/>
  <c r="AA53" i="34"/>
  <c r="AA134" i="34" s="1"/>
  <c r="Z53" i="34"/>
  <c r="Z134" i="34" s="1"/>
  <c r="Y53" i="34"/>
  <c r="Y134" i="34" s="1"/>
  <c r="X53" i="34"/>
  <c r="X134" i="34" s="1"/>
  <c r="W53" i="34"/>
  <c r="W134" i="34" s="1"/>
  <c r="V53" i="34"/>
  <c r="V134" i="34" s="1"/>
  <c r="U53" i="34"/>
  <c r="U134" i="34" s="1"/>
  <c r="T53" i="34"/>
  <c r="T134" i="34" s="1"/>
  <c r="S53" i="34"/>
  <c r="S134" i="34" s="1"/>
  <c r="R53" i="34"/>
  <c r="R134" i="34" s="1"/>
  <c r="Q53" i="34"/>
  <c r="Q134" i="34" s="1"/>
  <c r="P53" i="34"/>
  <c r="P134" i="34" s="1"/>
  <c r="O53" i="34"/>
  <c r="O134" i="34" s="1"/>
  <c r="N53" i="34"/>
  <c r="N134" i="34" s="1"/>
  <c r="M53" i="34"/>
  <c r="M134" i="34" s="1"/>
  <c r="L53" i="34"/>
  <c r="L134" i="34" s="1"/>
  <c r="K53" i="34"/>
  <c r="K134" i="34" s="1"/>
  <c r="J53" i="34"/>
  <c r="J134" i="34" s="1"/>
  <c r="I53" i="34"/>
  <c r="I134" i="34" s="1"/>
  <c r="H53" i="34"/>
  <c r="H134" i="34" s="1"/>
  <c r="G53" i="34"/>
  <c r="G134" i="34" s="1"/>
  <c r="F53" i="34"/>
  <c r="F134" i="34" s="1"/>
  <c r="E53" i="34"/>
  <c r="E134" i="34" s="1"/>
  <c r="D53" i="34"/>
  <c r="D134" i="34" s="1"/>
  <c r="C53" i="34"/>
  <c r="C134" i="34" s="1"/>
  <c r="B53" i="34"/>
  <c r="AG52" i="34"/>
  <c r="AG51" i="34"/>
  <c r="AG50" i="34"/>
  <c r="AG49" i="34"/>
  <c r="AG48" i="34"/>
  <c r="AG47" i="34"/>
  <c r="AG46" i="34"/>
  <c r="AG45" i="34"/>
  <c r="AG44" i="34"/>
  <c r="AG43" i="34"/>
  <c r="AG42" i="34"/>
  <c r="AG41" i="34"/>
  <c r="AG40" i="34"/>
  <c r="AG39" i="34"/>
  <c r="AG38" i="34"/>
  <c r="AG37" i="34"/>
  <c r="AG36" i="34"/>
  <c r="AG35" i="34"/>
  <c r="AG34" i="34"/>
  <c r="AG33" i="34"/>
  <c r="AG32" i="34"/>
  <c r="AG31" i="34"/>
  <c r="AG30" i="34"/>
  <c r="AG29" i="34"/>
  <c r="AF28" i="34"/>
  <c r="AF133" i="34" s="1"/>
  <c r="AE28" i="34"/>
  <c r="AE133" i="34" s="1"/>
  <c r="AD28" i="34"/>
  <c r="AD133" i="34" s="1"/>
  <c r="AC28" i="34"/>
  <c r="AC133" i="34" s="1"/>
  <c r="AB28" i="34"/>
  <c r="AB133" i="34" s="1"/>
  <c r="AA28" i="34"/>
  <c r="AA133" i="34" s="1"/>
  <c r="Z28" i="34"/>
  <c r="Z133" i="34" s="1"/>
  <c r="Y28" i="34"/>
  <c r="Y133" i="34" s="1"/>
  <c r="X28" i="34"/>
  <c r="X133" i="34" s="1"/>
  <c r="W28" i="34"/>
  <c r="W133" i="34" s="1"/>
  <c r="V28" i="34"/>
  <c r="V133" i="34" s="1"/>
  <c r="U28" i="34"/>
  <c r="U133" i="34" s="1"/>
  <c r="T28" i="34"/>
  <c r="T133" i="34" s="1"/>
  <c r="S28" i="34"/>
  <c r="S133" i="34" s="1"/>
  <c r="R28" i="34"/>
  <c r="R133" i="34" s="1"/>
  <c r="Q28" i="34"/>
  <c r="Q133" i="34" s="1"/>
  <c r="P28" i="34"/>
  <c r="P133" i="34" s="1"/>
  <c r="O28" i="34"/>
  <c r="O133" i="34" s="1"/>
  <c r="N28" i="34"/>
  <c r="N133" i="34" s="1"/>
  <c r="M28" i="34"/>
  <c r="M133" i="34" s="1"/>
  <c r="L28" i="34"/>
  <c r="L133" i="34" s="1"/>
  <c r="K28" i="34"/>
  <c r="K133" i="34" s="1"/>
  <c r="J28" i="34"/>
  <c r="J133" i="34" s="1"/>
  <c r="I28" i="34"/>
  <c r="I133" i="34" s="1"/>
  <c r="H28" i="34"/>
  <c r="H133" i="34" s="1"/>
  <c r="G28" i="34"/>
  <c r="G133" i="34" s="1"/>
  <c r="F28" i="34"/>
  <c r="F133" i="34" s="1"/>
  <c r="E28" i="34"/>
  <c r="E133" i="34" s="1"/>
  <c r="D28" i="34"/>
  <c r="D133" i="34" s="1"/>
  <c r="C28" i="34"/>
  <c r="C133" i="34" s="1"/>
  <c r="B28" i="34"/>
  <c r="AG27" i="34"/>
  <c r="AG26" i="34"/>
  <c r="AG25" i="34"/>
  <c r="AG24" i="34"/>
  <c r="AG23" i="34"/>
  <c r="AG22" i="34"/>
  <c r="AG21" i="34"/>
  <c r="AG20" i="34"/>
  <c r="AG19" i="34"/>
  <c r="AG18" i="34"/>
  <c r="AG17" i="34"/>
  <c r="AG16" i="34"/>
  <c r="AG15" i="34"/>
  <c r="AG14" i="34"/>
  <c r="AG13" i="34"/>
  <c r="AG12" i="34"/>
  <c r="AG11" i="34"/>
  <c r="AG10" i="34"/>
  <c r="AG9" i="34"/>
  <c r="AG8" i="34"/>
  <c r="AG7" i="34"/>
  <c r="AG6" i="34"/>
  <c r="AG5" i="34"/>
  <c r="AG4" i="34"/>
  <c r="AF3" i="34"/>
  <c r="AE3" i="34"/>
  <c r="AD3" i="34"/>
  <c r="AC3" i="34"/>
  <c r="AB3" i="34"/>
  <c r="AA3" i="34"/>
  <c r="Z3" i="34"/>
  <c r="Y3" i="34"/>
  <c r="X3" i="34"/>
  <c r="W3" i="34"/>
  <c r="V3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F3" i="34"/>
  <c r="E3" i="34"/>
  <c r="D3" i="34"/>
  <c r="C3" i="34"/>
  <c r="B3" i="34"/>
  <c r="C2" i="34"/>
  <c r="D2" i="34" s="1"/>
  <c r="E2" i="34" s="1"/>
  <c r="F2" i="34" s="1"/>
  <c r="G2" i="34" s="1"/>
  <c r="H2" i="34" s="1"/>
  <c r="I2" i="34" s="1"/>
  <c r="J2" i="34" s="1"/>
  <c r="K2" i="34" s="1"/>
  <c r="L2" i="34" s="1"/>
  <c r="M2" i="34" s="1"/>
  <c r="N2" i="34" s="1"/>
  <c r="O2" i="34" s="1"/>
  <c r="P2" i="34" s="1"/>
  <c r="Q2" i="34" s="1"/>
  <c r="R2" i="34" s="1"/>
  <c r="S2" i="34" s="1"/>
  <c r="T2" i="34" s="1"/>
  <c r="U2" i="34" s="1"/>
  <c r="V2" i="34" s="1"/>
  <c r="W2" i="34" s="1"/>
  <c r="X2" i="34" s="1"/>
  <c r="Y2" i="34" s="1"/>
  <c r="Z2" i="34" s="1"/>
  <c r="AA2" i="34" s="1"/>
  <c r="AB2" i="34" s="1"/>
  <c r="AC2" i="34" s="1"/>
  <c r="AD2" i="34" s="1"/>
  <c r="AE2" i="34" s="1"/>
  <c r="AF2" i="34" s="1"/>
  <c r="AG180" i="33"/>
  <c r="AG179" i="33"/>
  <c r="AG178" i="33"/>
  <c r="AG177" i="33"/>
  <c r="AG176" i="33"/>
  <c r="AG175" i="33"/>
  <c r="AG174" i="33"/>
  <c r="AG173" i="33"/>
  <c r="AG172" i="33"/>
  <c r="AF171" i="33"/>
  <c r="AE171" i="33"/>
  <c r="AD171" i="33"/>
  <c r="AC171" i="33"/>
  <c r="AB171" i="33"/>
  <c r="AA171" i="33"/>
  <c r="Z171" i="33"/>
  <c r="Y171" i="33"/>
  <c r="X171" i="33"/>
  <c r="W171" i="33"/>
  <c r="V171" i="33"/>
  <c r="U171" i="33"/>
  <c r="T171" i="33"/>
  <c r="S171" i="33"/>
  <c r="R171" i="33"/>
  <c r="Q171" i="33"/>
  <c r="P171" i="33"/>
  <c r="O171" i="33"/>
  <c r="N171" i="33"/>
  <c r="M171" i="33"/>
  <c r="L171" i="33"/>
  <c r="K171" i="33"/>
  <c r="J171" i="33"/>
  <c r="I171" i="33"/>
  <c r="H171" i="33"/>
  <c r="G171" i="33"/>
  <c r="F171" i="33"/>
  <c r="E171" i="33"/>
  <c r="D171" i="33"/>
  <c r="C171" i="33"/>
  <c r="B171" i="33"/>
  <c r="AG170" i="33"/>
  <c r="AG169" i="33"/>
  <c r="AG168" i="33"/>
  <c r="AG167" i="33"/>
  <c r="AG166" i="33"/>
  <c r="AG165" i="33"/>
  <c r="AG164" i="33"/>
  <c r="AG163" i="33"/>
  <c r="AG162" i="33"/>
  <c r="AG161" i="33"/>
  <c r="AG160" i="33"/>
  <c r="AG159" i="33"/>
  <c r="AG158" i="33"/>
  <c r="AG157" i="33"/>
  <c r="AG156" i="33"/>
  <c r="AG155" i="33"/>
  <c r="AG154" i="33"/>
  <c r="AG153" i="33"/>
  <c r="AG152" i="33"/>
  <c r="AG151" i="33"/>
  <c r="AG150" i="33"/>
  <c r="AG149" i="33"/>
  <c r="AG148" i="33"/>
  <c r="AG147" i="33"/>
  <c r="AG146" i="33"/>
  <c r="AG145" i="33"/>
  <c r="AF144" i="33"/>
  <c r="AE144" i="33"/>
  <c r="AD144" i="33"/>
  <c r="AC144" i="33"/>
  <c r="AB144" i="33"/>
  <c r="AA144" i="33"/>
  <c r="Z144" i="33"/>
  <c r="Y144" i="33"/>
  <c r="X144" i="33"/>
  <c r="W144" i="33"/>
  <c r="V144" i="33"/>
  <c r="U144" i="33"/>
  <c r="T144" i="33"/>
  <c r="S144" i="33"/>
  <c r="R144" i="33"/>
  <c r="Q144" i="33"/>
  <c r="P144" i="33"/>
  <c r="O144" i="33"/>
  <c r="N144" i="33"/>
  <c r="M144" i="33"/>
  <c r="L144" i="33"/>
  <c r="K144" i="33"/>
  <c r="J144" i="33"/>
  <c r="I144" i="33"/>
  <c r="H144" i="33"/>
  <c r="G144" i="33"/>
  <c r="F144" i="33"/>
  <c r="E144" i="33"/>
  <c r="D144" i="33"/>
  <c r="C144" i="33"/>
  <c r="B144" i="33"/>
  <c r="AG143" i="33"/>
  <c r="AG142" i="33"/>
  <c r="AG141" i="33"/>
  <c r="AG140" i="33"/>
  <c r="AF139" i="33"/>
  <c r="AE139" i="33"/>
  <c r="AD139" i="33"/>
  <c r="AC139" i="33"/>
  <c r="AB139" i="33"/>
  <c r="AA139" i="33"/>
  <c r="Z139" i="33"/>
  <c r="Y139" i="33"/>
  <c r="X139" i="33"/>
  <c r="W139" i="33"/>
  <c r="V139" i="33"/>
  <c r="U139" i="33"/>
  <c r="T139" i="33"/>
  <c r="S139" i="33"/>
  <c r="R139" i="33"/>
  <c r="Q139" i="33"/>
  <c r="P139" i="33"/>
  <c r="O139" i="33"/>
  <c r="N139" i="33"/>
  <c r="M139" i="33"/>
  <c r="L139" i="33"/>
  <c r="K139" i="33"/>
  <c r="J139" i="33"/>
  <c r="I139" i="33"/>
  <c r="H139" i="33"/>
  <c r="G139" i="33"/>
  <c r="F139" i="33"/>
  <c r="E139" i="33"/>
  <c r="D139" i="33"/>
  <c r="C139" i="33"/>
  <c r="B139" i="33"/>
  <c r="AG138" i="33"/>
  <c r="AG137" i="33"/>
  <c r="AG136" i="33"/>
  <c r="AF135" i="33"/>
  <c r="AE135" i="33"/>
  <c r="AD135" i="33"/>
  <c r="AC135" i="33"/>
  <c r="AB135" i="33"/>
  <c r="AA135" i="33"/>
  <c r="Z135" i="33"/>
  <c r="Y135" i="33"/>
  <c r="X135" i="33"/>
  <c r="W135" i="33"/>
  <c r="V135" i="33"/>
  <c r="U135" i="33"/>
  <c r="T135" i="33"/>
  <c r="S135" i="33"/>
  <c r="R135" i="33"/>
  <c r="Q135" i="33"/>
  <c r="P135" i="33"/>
  <c r="O135" i="33"/>
  <c r="N135" i="33"/>
  <c r="M135" i="33"/>
  <c r="L135" i="33"/>
  <c r="K135" i="33"/>
  <c r="J135" i="33"/>
  <c r="I135" i="33"/>
  <c r="H135" i="33"/>
  <c r="G135" i="33"/>
  <c r="F135" i="33"/>
  <c r="E135" i="33"/>
  <c r="D135" i="33"/>
  <c r="C135" i="33"/>
  <c r="B135" i="33"/>
  <c r="AG132" i="33"/>
  <c r="AG131" i="33"/>
  <c r="AG130" i="33"/>
  <c r="AG129" i="33"/>
  <c r="AG128" i="33"/>
  <c r="AG127" i="33"/>
  <c r="AG126" i="33"/>
  <c r="AG125" i="33"/>
  <c r="AG124" i="33"/>
  <c r="AG123" i="33"/>
  <c r="AG122" i="33"/>
  <c r="AG121" i="33"/>
  <c r="AG120" i="33"/>
  <c r="AF119" i="33"/>
  <c r="AE119" i="33"/>
  <c r="AD119" i="33"/>
  <c r="AC119" i="33"/>
  <c r="AB119" i="33"/>
  <c r="AA119" i="33"/>
  <c r="Z119" i="33"/>
  <c r="Y119" i="33"/>
  <c r="X119" i="33"/>
  <c r="W119" i="33"/>
  <c r="V119" i="33"/>
  <c r="U119" i="33"/>
  <c r="T119" i="33"/>
  <c r="S119" i="33"/>
  <c r="R119" i="33"/>
  <c r="Q119" i="33"/>
  <c r="P119" i="33"/>
  <c r="O119" i="33"/>
  <c r="N119" i="33"/>
  <c r="M119" i="33"/>
  <c r="L119" i="33"/>
  <c r="K119" i="33"/>
  <c r="J119" i="33"/>
  <c r="I119" i="33"/>
  <c r="H119" i="33"/>
  <c r="G119" i="33"/>
  <c r="F119" i="33"/>
  <c r="E119" i="33"/>
  <c r="D119" i="33"/>
  <c r="C119" i="33"/>
  <c r="B119" i="33"/>
  <c r="AG118" i="33"/>
  <c r="AG117" i="33"/>
  <c r="AF116" i="33"/>
  <c r="AE116" i="33"/>
  <c r="AD116" i="33"/>
  <c r="AC116" i="33"/>
  <c r="AB116" i="33"/>
  <c r="AA116" i="33"/>
  <c r="Z116" i="33"/>
  <c r="Y116" i="33"/>
  <c r="X116" i="33"/>
  <c r="W116" i="33"/>
  <c r="V116" i="33"/>
  <c r="U116" i="33"/>
  <c r="T116" i="33"/>
  <c r="S116" i="33"/>
  <c r="R116" i="33"/>
  <c r="Q116" i="33"/>
  <c r="P116" i="33"/>
  <c r="O116" i="33"/>
  <c r="N116" i="33"/>
  <c r="M116" i="33"/>
  <c r="L116" i="33"/>
  <c r="K116" i="33"/>
  <c r="J116" i="33"/>
  <c r="I116" i="33"/>
  <c r="H116" i="33"/>
  <c r="G116" i="33"/>
  <c r="F116" i="33"/>
  <c r="E116" i="33"/>
  <c r="D116" i="33"/>
  <c r="C116" i="33"/>
  <c r="B116" i="33"/>
  <c r="AG115" i="33"/>
  <c r="AG114" i="33"/>
  <c r="AG113" i="33"/>
  <c r="AG112" i="33"/>
  <c r="AG111" i="33"/>
  <c r="AG110" i="33"/>
  <c r="AG109" i="33"/>
  <c r="AG108" i="33"/>
  <c r="AG107" i="33"/>
  <c r="AG106" i="33"/>
  <c r="AG105" i="33"/>
  <c r="AG104" i="33"/>
  <c r="AG103" i="33"/>
  <c r="AG102" i="33"/>
  <c r="AG101" i="33"/>
  <c r="AF100" i="33"/>
  <c r="AE100" i="33"/>
  <c r="AD100" i="33"/>
  <c r="AC100" i="33"/>
  <c r="AB100" i="33"/>
  <c r="AA100" i="33"/>
  <c r="Z100" i="33"/>
  <c r="Y100" i="33"/>
  <c r="X100" i="33"/>
  <c r="W100" i="33"/>
  <c r="V100" i="33"/>
  <c r="U100" i="33"/>
  <c r="T100" i="33"/>
  <c r="S100" i="33"/>
  <c r="R100" i="33"/>
  <c r="Q100" i="33"/>
  <c r="P100" i="33"/>
  <c r="O100" i="33"/>
  <c r="N100" i="33"/>
  <c r="M100" i="33"/>
  <c r="L100" i="33"/>
  <c r="L93" i="33" s="1"/>
  <c r="K100" i="33"/>
  <c r="K93" i="33" s="1"/>
  <c r="J100" i="33"/>
  <c r="I100" i="33"/>
  <c r="H100" i="33"/>
  <c r="G100" i="33"/>
  <c r="F100" i="33"/>
  <c r="E100" i="33"/>
  <c r="D100" i="33"/>
  <c r="C100" i="33"/>
  <c r="B100" i="33"/>
  <c r="AG99" i="33"/>
  <c r="AG98" i="33"/>
  <c r="AG97" i="33"/>
  <c r="AG96" i="33"/>
  <c r="AG95" i="33"/>
  <c r="AF94" i="33"/>
  <c r="AF93" i="33" s="1"/>
  <c r="AE94" i="33"/>
  <c r="AD94" i="33"/>
  <c r="AD93" i="33" s="1"/>
  <c r="AC94" i="33"/>
  <c r="AB94" i="33"/>
  <c r="AB93" i="33" s="1"/>
  <c r="AA94" i="33"/>
  <c r="AA93" i="33" s="1"/>
  <c r="Z94" i="33"/>
  <c r="Z93" i="33" s="1"/>
  <c r="Y94" i="33"/>
  <c r="X94" i="33"/>
  <c r="W94" i="33"/>
  <c r="W93" i="33" s="1"/>
  <c r="V94" i="33"/>
  <c r="V93" i="33" s="1"/>
  <c r="U94" i="33"/>
  <c r="U93" i="33" s="1"/>
  <c r="T94" i="33"/>
  <c r="T93" i="33" s="1"/>
  <c r="S94" i="33"/>
  <c r="R94" i="33"/>
  <c r="Q94" i="33"/>
  <c r="P94" i="33"/>
  <c r="P93" i="33" s="1"/>
  <c r="O94" i="33"/>
  <c r="O93" i="33" s="1"/>
  <c r="N94" i="33"/>
  <c r="N93" i="33" s="1"/>
  <c r="M94" i="33"/>
  <c r="L94" i="33"/>
  <c r="K94" i="33"/>
  <c r="J94" i="33"/>
  <c r="J93" i="33" s="1"/>
  <c r="I94" i="33"/>
  <c r="I93" i="33" s="1"/>
  <c r="H94" i="33"/>
  <c r="H93" i="33" s="1"/>
  <c r="G94" i="33"/>
  <c r="F94" i="33"/>
  <c r="F93" i="33" s="1"/>
  <c r="E94" i="33"/>
  <c r="D94" i="33"/>
  <c r="C94" i="33"/>
  <c r="B94" i="33"/>
  <c r="X93" i="33"/>
  <c r="AG92" i="33"/>
  <c r="AG91" i="33"/>
  <c r="AG90" i="33"/>
  <c r="AG89" i="33"/>
  <c r="AG88" i="33"/>
  <c r="AF87" i="33"/>
  <c r="AE87" i="33"/>
  <c r="AD87" i="33"/>
  <c r="AC87" i="33"/>
  <c r="AB87" i="33"/>
  <c r="AA87" i="33"/>
  <c r="Z87" i="33"/>
  <c r="Y87" i="33"/>
  <c r="X87" i="33"/>
  <c r="W87" i="33"/>
  <c r="V87" i="33"/>
  <c r="U87" i="33"/>
  <c r="T87" i="33"/>
  <c r="S87" i="33"/>
  <c r="R87" i="33"/>
  <c r="Q87" i="33"/>
  <c r="P87" i="33"/>
  <c r="O87" i="33"/>
  <c r="N87" i="33"/>
  <c r="M87" i="33"/>
  <c r="L87" i="33"/>
  <c r="K87" i="33"/>
  <c r="J87" i="33"/>
  <c r="I87" i="33"/>
  <c r="H87" i="33"/>
  <c r="G87" i="33"/>
  <c r="F87" i="33"/>
  <c r="E87" i="33"/>
  <c r="D87" i="33"/>
  <c r="C87" i="33"/>
  <c r="B87" i="33"/>
  <c r="AG86" i="33"/>
  <c r="AG85" i="33"/>
  <c r="AF84" i="33"/>
  <c r="AE84" i="33"/>
  <c r="AD84" i="33"/>
  <c r="AC84" i="33"/>
  <c r="AB84" i="33"/>
  <c r="AA84" i="33"/>
  <c r="Z84" i="33"/>
  <c r="Y84" i="33"/>
  <c r="X84" i="33"/>
  <c r="W84" i="33"/>
  <c r="V84" i="33"/>
  <c r="U84" i="33"/>
  <c r="T84" i="33"/>
  <c r="S84" i="33"/>
  <c r="R84" i="33"/>
  <c r="Q84" i="33"/>
  <c r="P84" i="33"/>
  <c r="O84" i="33"/>
  <c r="N84" i="33"/>
  <c r="M84" i="33"/>
  <c r="L84" i="33"/>
  <c r="K84" i="33"/>
  <c r="J84" i="33"/>
  <c r="I84" i="33"/>
  <c r="H84" i="33"/>
  <c r="G84" i="33"/>
  <c r="F84" i="33"/>
  <c r="E84" i="33"/>
  <c r="D84" i="33"/>
  <c r="C84" i="33"/>
  <c r="B84" i="33"/>
  <c r="M83" i="33"/>
  <c r="M81" i="33" s="1"/>
  <c r="B83" i="33"/>
  <c r="B81" i="33" s="1"/>
  <c r="AF82" i="33"/>
  <c r="AF83" i="33" s="1"/>
  <c r="AE82" i="33"/>
  <c r="AE83" i="33" s="1"/>
  <c r="AE81" i="33" s="1"/>
  <c r="AD82" i="33"/>
  <c r="AD83" i="33" s="1"/>
  <c r="AC82" i="33"/>
  <c r="AC83" i="33" s="1"/>
  <c r="AC81" i="33" s="1"/>
  <c r="AB82" i="33"/>
  <c r="AA82" i="33"/>
  <c r="Z82" i="33"/>
  <c r="Z83" i="33" s="1"/>
  <c r="Z81" i="33" s="1"/>
  <c r="Y82" i="33"/>
  <c r="Y83" i="33" s="1"/>
  <c r="Y81" i="33" s="1"/>
  <c r="X82" i="33"/>
  <c r="X83" i="33" s="1"/>
  <c r="W82" i="33"/>
  <c r="W83" i="33" s="1"/>
  <c r="V82" i="33"/>
  <c r="U82" i="33"/>
  <c r="U83" i="33" s="1"/>
  <c r="U81" i="33" s="1"/>
  <c r="T82" i="33"/>
  <c r="T83" i="33" s="1"/>
  <c r="S82" i="33"/>
  <c r="S83" i="33" s="1"/>
  <c r="S81" i="33" s="1"/>
  <c r="R82" i="33"/>
  <c r="R83" i="33" s="1"/>
  <c r="Q82" i="33"/>
  <c r="Q83" i="33" s="1"/>
  <c r="Q81" i="33" s="1"/>
  <c r="P82" i="33"/>
  <c r="O82" i="33"/>
  <c r="O83" i="33" s="1"/>
  <c r="O81" i="33" s="1"/>
  <c r="N82" i="33"/>
  <c r="N83" i="33" s="1"/>
  <c r="N81" i="33" s="1"/>
  <c r="M82" i="33"/>
  <c r="L82" i="33"/>
  <c r="L83" i="33" s="1"/>
  <c r="K82" i="33"/>
  <c r="K83" i="33" s="1"/>
  <c r="J82" i="33"/>
  <c r="I82" i="33"/>
  <c r="I83" i="33" s="1"/>
  <c r="I81" i="33" s="1"/>
  <c r="H82" i="33"/>
  <c r="H83" i="33" s="1"/>
  <c r="G82" i="33"/>
  <c r="G83" i="33" s="1"/>
  <c r="G81" i="33" s="1"/>
  <c r="F82" i="33"/>
  <c r="F83" i="33" s="1"/>
  <c r="E82" i="33"/>
  <c r="E83" i="33" s="1"/>
  <c r="E81" i="33" s="1"/>
  <c r="D82" i="33"/>
  <c r="C82" i="33"/>
  <c r="C83" i="33" s="1"/>
  <c r="C81" i="33" s="1"/>
  <c r="B82" i="33"/>
  <c r="AG80" i="33"/>
  <c r="AF79" i="33"/>
  <c r="AF78" i="33" s="1"/>
  <c r="AE79" i="33"/>
  <c r="AE78" i="33" s="1"/>
  <c r="AD79" i="33"/>
  <c r="AD78" i="33" s="1"/>
  <c r="AC79" i="33"/>
  <c r="AC78" i="33" s="1"/>
  <c r="AB79" i="33"/>
  <c r="AB78" i="33" s="1"/>
  <c r="AA79" i="33"/>
  <c r="AA78" i="33" s="1"/>
  <c r="Z79" i="33"/>
  <c r="Z78" i="33" s="1"/>
  <c r="Y79" i="33"/>
  <c r="Y78" i="33" s="1"/>
  <c r="X79" i="33"/>
  <c r="X78" i="33" s="1"/>
  <c r="W79" i="33"/>
  <c r="W78" i="33" s="1"/>
  <c r="V79" i="33"/>
  <c r="V78" i="33" s="1"/>
  <c r="U79" i="33"/>
  <c r="T79" i="33"/>
  <c r="S79" i="33"/>
  <c r="S78" i="33" s="1"/>
  <c r="R79" i="33"/>
  <c r="Q79" i="33"/>
  <c r="Q78" i="33" s="1"/>
  <c r="P79" i="33"/>
  <c r="P78" i="33" s="1"/>
  <c r="O79" i="33"/>
  <c r="O78" i="33" s="1"/>
  <c r="N79" i="33"/>
  <c r="N78" i="33" s="1"/>
  <c r="M79" i="33"/>
  <c r="M78" i="33" s="1"/>
  <c r="L79" i="33"/>
  <c r="L78" i="33" s="1"/>
  <c r="K79" i="33"/>
  <c r="K78" i="33" s="1"/>
  <c r="J79" i="33"/>
  <c r="J78" i="33" s="1"/>
  <c r="I79" i="33"/>
  <c r="I78" i="33" s="1"/>
  <c r="H79" i="33"/>
  <c r="G79" i="33"/>
  <c r="G78" i="33" s="1"/>
  <c r="F79" i="33"/>
  <c r="F78" i="33" s="1"/>
  <c r="E79" i="33"/>
  <c r="E78" i="33" s="1"/>
  <c r="D79" i="33"/>
  <c r="D78" i="33" s="1"/>
  <c r="C79" i="33"/>
  <c r="C78" i="33" s="1"/>
  <c r="B79" i="33"/>
  <c r="U78" i="33"/>
  <c r="T78" i="33"/>
  <c r="R78" i="33"/>
  <c r="H78" i="33"/>
  <c r="AG77" i="33"/>
  <c r="AG76" i="33"/>
  <c r="AG75" i="33"/>
  <c r="AG74" i="33"/>
  <c r="AG73" i="33"/>
  <c r="AG72" i="33"/>
  <c r="AG71" i="33"/>
  <c r="AG70" i="33"/>
  <c r="AG69" i="33"/>
  <c r="AG68" i="33"/>
  <c r="AG67" i="33"/>
  <c r="AG66" i="33"/>
  <c r="AG65" i="33"/>
  <c r="AG64" i="33"/>
  <c r="AG63" i="33"/>
  <c r="AG62" i="33"/>
  <c r="AG61" i="33"/>
  <c r="AG60" i="33"/>
  <c r="AG59" i="33"/>
  <c r="AG58" i="33"/>
  <c r="AG57" i="33"/>
  <c r="AG56" i="33"/>
  <c r="AG55" i="33"/>
  <c r="AG54" i="33"/>
  <c r="AF53" i="33"/>
  <c r="AF134" i="33" s="1"/>
  <c r="AE53" i="33"/>
  <c r="AE134" i="33" s="1"/>
  <c r="AD53" i="33"/>
  <c r="AD134" i="33" s="1"/>
  <c r="AC53" i="33"/>
  <c r="AC134" i="33" s="1"/>
  <c r="AB53" i="33"/>
  <c r="AB134" i="33" s="1"/>
  <c r="AA53" i="33"/>
  <c r="AA134" i="33" s="1"/>
  <c r="Z53" i="33"/>
  <c r="Z134" i="33" s="1"/>
  <c r="Y53" i="33"/>
  <c r="Y134" i="33" s="1"/>
  <c r="X53" i="33"/>
  <c r="X134" i="33" s="1"/>
  <c r="W53" i="33"/>
  <c r="W134" i="33" s="1"/>
  <c r="V53" i="33"/>
  <c r="V134" i="33" s="1"/>
  <c r="U53" i="33"/>
  <c r="U134" i="33" s="1"/>
  <c r="T53" i="33"/>
  <c r="T134" i="33" s="1"/>
  <c r="S53" i="33"/>
  <c r="S134" i="33" s="1"/>
  <c r="R53" i="33"/>
  <c r="R134" i="33" s="1"/>
  <c r="Q53" i="33"/>
  <c r="Q134" i="33" s="1"/>
  <c r="P53" i="33"/>
  <c r="P134" i="33" s="1"/>
  <c r="O53" i="33"/>
  <c r="O134" i="33" s="1"/>
  <c r="N53" i="33"/>
  <c r="N134" i="33" s="1"/>
  <c r="M53" i="33"/>
  <c r="M134" i="33" s="1"/>
  <c r="L53" i="33"/>
  <c r="L134" i="33" s="1"/>
  <c r="K53" i="33"/>
  <c r="K134" i="33" s="1"/>
  <c r="J53" i="33"/>
  <c r="J134" i="33" s="1"/>
  <c r="I53" i="33"/>
  <c r="I134" i="33" s="1"/>
  <c r="H53" i="33"/>
  <c r="H134" i="33" s="1"/>
  <c r="G53" i="33"/>
  <c r="G134" i="33" s="1"/>
  <c r="F53" i="33"/>
  <c r="F134" i="33" s="1"/>
  <c r="E53" i="33"/>
  <c r="E134" i="33" s="1"/>
  <c r="D53" i="33"/>
  <c r="D134" i="33" s="1"/>
  <c r="C53" i="33"/>
  <c r="C134" i="33" s="1"/>
  <c r="B53" i="33"/>
  <c r="AG52" i="33"/>
  <c r="AG51" i="33"/>
  <c r="AG50" i="33"/>
  <c r="AG49" i="33"/>
  <c r="AG48" i="33"/>
  <c r="AG47" i="33"/>
  <c r="AG46" i="33"/>
  <c r="AG45" i="33"/>
  <c r="AG44" i="33"/>
  <c r="AG43" i="33"/>
  <c r="AG42" i="33"/>
  <c r="AG41" i="33"/>
  <c r="AG40" i="33"/>
  <c r="AG39" i="33"/>
  <c r="AG38" i="33"/>
  <c r="AG37" i="33"/>
  <c r="AG36" i="33"/>
  <c r="AG35" i="33"/>
  <c r="AG34" i="33"/>
  <c r="AG33" i="33"/>
  <c r="AG32" i="33"/>
  <c r="AG31" i="33"/>
  <c r="AG30" i="33"/>
  <c r="AG29" i="33"/>
  <c r="AF28" i="33"/>
  <c r="AF133" i="33" s="1"/>
  <c r="AE28" i="33"/>
  <c r="AE133" i="33" s="1"/>
  <c r="AD28" i="33"/>
  <c r="AD133" i="33" s="1"/>
  <c r="AC28" i="33"/>
  <c r="AC133" i="33" s="1"/>
  <c r="AB28" i="33"/>
  <c r="AB133" i="33" s="1"/>
  <c r="AA28" i="33"/>
  <c r="AA133" i="33" s="1"/>
  <c r="Z28" i="33"/>
  <c r="Z133" i="33" s="1"/>
  <c r="Y28" i="33"/>
  <c r="Y133" i="33" s="1"/>
  <c r="X28" i="33"/>
  <c r="X133" i="33" s="1"/>
  <c r="W28" i="33"/>
  <c r="W133" i="33" s="1"/>
  <c r="V28" i="33"/>
  <c r="V133" i="33" s="1"/>
  <c r="U28" i="33"/>
  <c r="U133" i="33" s="1"/>
  <c r="T28" i="33"/>
  <c r="T133" i="33" s="1"/>
  <c r="S28" i="33"/>
  <c r="S133" i="33" s="1"/>
  <c r="R28" i="33"/>
  <c r="R133" i="33" s="1"/>
  <c r="Q28" i="33"/>
  <c r="Q133" i="33" s="1"/>
  <c r="P28" i="33"/>
  <c r="P133" i="33" s="1"/>
  <c r="O28" i="33"/>
  <c r="O133" i="33" s="1"/>
  <c r="N28" i="33"/>
  <c r="N133" i="33" s="1"/>
  <c r="M28" i="33"/>
  <c r="M133" i="33" s="1"/>
  <c r="L28" i="33"/>
  <c r="L133" i="33" s="1"/>
  <c r="K28" i="33"/>
  <c r="K133" i="33" s="1"/>
  <c r="J28" i="33"/>
  <c r="J133" i="33" s="1"/>
  <c r="I28" i="33"/>
  <c r="I133" i="33" s="1"/>
  <c r="H28" i="33"/>
  <c r="H133" i="33" s="1"/>
  <c r="G28" i="33"/>
  <c r="G133" i="33" s="1"/>
  <c r="F28" i="33"/>
  <c r="F133" i="33" s="1"/>
  <c r="E28" i="33"/>
  <c r="E133" i="33" s="1"/>
  <c r="D28" i="33"/>
  <c r="D133" i="33" s="1"/>
  <c r="C28" i="33"/>
  <c r="C133" i="33" s="1"/>
  <c r="B28" i="33"/>
  <c r="AG27" i="33"/>
  <c r="AG26" i="33"/>
  <c r="AG25" i="33"/>
  <c r="AG24" i="33"/>
  <c r="AG23" i="33"/>
  <c r="AG22" i="33"/>
  <c r="AG21" i="33"/>
  <c r="AG20" i="33"/>
  <c r="AG19" i="33"/>
  <c r="AG18" i="33"/>
  <c r="AG17" i="33"/>
  <c r="AG16" i="33"/>
  <c r="AG15" i="33"/>
  <c r="AG14" i="33"/>
  <c r="AG13" i="33"/>
  <c r="AG12" i="33"/>
  <c r="AG11" i="33"/>
  <c r="AG10" i="33"/>
  <c r="AG9" i="33"/>
  <c r="AG8" i="33"/>
  <c r="AG7" i="33"/>
  <c r="AG6" i="33"/>
  <c r="AG5" i="33"/>
  <c r="AG4" i="33"/>
  <c r="AF3" i="33"/>
  <c r="AE3" i="33"/>
  <c r="AD3" i="33"/>
  <c r="AC3" i="33"/>
  <c r="AB3" i="33"/>
  <c r="AA3" i="33"/>
  <c r="Z3" i="33"/>
  <c r="Y3" i="33"/>
  <c r="X3" i="33"/>
  <c r="W3" i="33"/>
  <c r="V3" i="33"/>
  <c r="U3" i="33"/>
  <c r="T3" i="33"/>
  <c r="S3" i="33"/>
  <c r="R3" i="33"/>
  <c r="Q3" i="33"/>
  <c r="P3" i="33"/>
  <c r="O3" i="33"/>
  <c r="N3" i="33"/>
  <c r="M3" i="33"/>
  <c r="L3" i="33"/>
  <c r="K3" i="33"/>
  <c r="J3" i="33"/>
  <c r="I3" i="33"/>
  <c r="H3" i="33"/>
  <c r="G3" i="33"/>
  <c r="F3" i="33"/>
  <c r="E3" i="33"/>
  <c r="D3" i="33"/>
  <c r="C3" i="33"/>
  <c r="B3" i="33"/>
  <c r="C2" i="33"/>
  <c r="D2" i="33" s="1"/>
  <c r="E2" i="33" s="1"/>
  <c r="F2" i="33" s="1"/>
  <c r="G2" i="33" s="1"/>
  <c r="H2" i="33" s="1"/>
  <c r="I2" i="33" s="1"/>
  <c r="J2" i="33" s="1"/>
  <c r="K2" i="33" s="1"/>
  <c r="L2" i="33" s="1"/>
  <c r="M2" i="33" s="1"/>
  <c r="N2" i="33" s="1"/>
  <c r="O2" i="33" s="1"/>
  <c r="P2" i="33" s="1"/>
  <c r="Q2" i="33" s="1"/>
  <c r="R2" i="33" s="1"/>
  <c r="S2" i="33" s="1"/>
  <c r="T2" i="33" s="1"/>
  <c r="U2" i="33" s="1"/>
  <c r="V2" i="33" s="1"/>
  <c r="W2" i="33" s="1"/>
  <c r="X2" i="33" s="1"/>
  <c r="Y2" i="33" s="1"/>
  <c r="Z2" i="33" s="1"/>
  <c r="AA2" i="33" s="1"/>
  <c r="AB2" i="33" s="1"/>
  <c r="AC2" i="33" s="1"/>
  <c r="AD2" i="33" s="1"/>
  <c r="AE2" i="33" s="1"/>
  <c r="AF2" i="33" s="1"/>
  <c r="AG180" i="32"/>
  <c r="AG179" i="32"/>
  <c r="AG178" i="32"/>
  <c r="AG177" i="32"/>
  <c r="AG176" i="32"/>
  <c r="AG175" i="32"/>
  <c r="AG174" i="32"/>
  <c r="AG173" i="32"/>
  <c r="AG172" i="32"/>
  <c r="AF171" i="32"/>
  <c r="AE171" i="32"/>
  <c r="AD171" i="32"/>
  <c r="AC171" i="32"/>
  <c r="AB171" i="32"/>
  <c r="AA171" i="32"/>
  <c r="Z171" i="32"/>
  <c r="Y171" i="32"/>
  <c r="X171" i="32"/>
  <c r="W171" i="32"/>
  <c r="V171" i="32"/>
  <c r="U171" i="32"/>
  <c r="T171" i="32"/>
  <c r="S171" i="32"/>
  <c r="R171" i="32"/>
  <c r="Q171" i="32"/>
  <c r="P171" i="32"/>
  <c r="O171" i="32"/>
  <c r="N171" i="32"/>
  <c r="M171" i="32"/>
  <c r="L171" i="32"/>
  <c r="K171" i="32"/>
  <c r="J171" i="32"/>
  <c r="I171" i="32"/>
  <c r="H171" i="32"/>
  <c r="G171" i="32"/>
  <c r="F171" i="32"/>
  <c r="E171" i="32"/>
  <c r="D171" i="32"/>
  <c r="C171" i="32"/>
  <c r="B171" i="32"/>
  <c r="AG170" i="32"/>
  <c r="AG169" i="32"/>
  <c r="AG168" i="32"/>
  <c r="AG167" i="32"/>
  <c r="AG166" i="32"/>
  <c r="AG165" i="32"/>
  <c r="AG164" i="32"/>
  <c r="AG163" i="32"/>
  <c r="AG162" i="32"/>
  <c r="AG161" i="32"/>
  <c r="AG160" i="32"/>
  <c r="AG159" i="32"/>
  <c r="AG158" i="32"/>
  <c r="AG157" i="32"/>
  <c r="AG156" i="32"/>
  <c r="AG155" i="32"/>
  <c r="AG154" i="32"/>
  <c r="AG153" i="32"/>
  <c r="AG152" i="32"/>
  <c r="AG151" i="32"/>
  <c r="AG150" i="32"/>
  <c r="AG149" i="32"/>
  <c r="AG148" i="32"/>
  <c r="AG147" i="32"/>
  <c r="AG146" i="32"/>
  <c r="AG145" i="32"/>
  <c r="AF144" i="32"/>
  <c r="AE144" i="32"/>
  <c r="AD144" i="32"/>
  <c r="AC144" i="32"/>
  <c r="AB144" i="32"/>
  <c r="AA144" i="32"/>
  <c r="Z144" i="32"/>
  <c r="Y144" i="32"/>
  <c r="X144" i="32"/>
  <c r="W144" i="32"/>
  <c r="V144" i="32"/>
  <c r="U144" i="32"/>
  <c r="T144" i="32"/>
  <c r="S144" i="32"/>
  <c r="R144" i="32"/>
  <c r="Q144" i="32"/>
  <c r="P144" i="32"/>
  <c r="O144" i="32"/>
  <c r="N144" i="32"/>
  <c r="M144" i="32"/>
  <c r="L144" i="32"/>
  <c r="K144" i="32"/>
  <c r="J144" i="32"/>
  <c r="I144" i="32"/>
  <c r="H144" i="32"/>
  <c r="G144" i="32"/>
  <c r="F144" i="32"/>
  <c r="E144" i="32"/>
  <c r="D144" i="32"/>
  <c r="C144" i="32"/>
  <c r="B144" i="32"/>
  <c r="AG143" i="32"/>
  <c r="AG142" i="32"/>
  <c r="AG141" i="32"/>
  <c r="AG140" i="32"/>
  <c r="AF139" i="32"/>
  <c r="AE139" i="32"/>
  <c r="AD139" i="32"/>
  <c r="AC139" i="32"/>
  <c r="AB139" i="32"/>
  <c r="AA139" i="32"/>
  <c r="Z139" i="32"/>
  <c r="Y139" i="32"/>
  <c r="X139" i="32"/>
  <c r="W139" i="32"/>
  <c r="V139" i="32"/>
  <c r="U139" i="32"/>
  <c r="T139" i="32"/>
  <c r="S139" i="32"/>
  <c r="R139" i="32"/>
  <c r="Q139" i="32"/>
  <c r="P139" i="32"/>
  <c r="O139" i="32"/>
  <c r="N139" i="32"/>
  <c r="M139" i="32"/>
  <c r="L139" i="32"/>
  <c r="K139" i="32"/>
  <c r="J139" i="32"/>
  <c r="I139" i="32"/>
  <c r="H139" i="32"/>
  <c r="G139" i="32"/>
  <c r="F139" i="32"/>
  <c r="E139" i="32"/>
  <c r="D139" i="32"/>
  <c r="C139" i="32"/>
  <c r="B139" i="32"/>
  <c r="AG138" i="32"/>
  <c r="AG137" i="32"/>
  <c r="AG136" i="32"/>
  <c r="AF135" i="32"/>
  <c r="AE135" i="32"/>
  <c r="AD135" i="32"/>
  <c r="AC135" i="32"/>
  <c r="AB135" i="32"/>
  <c r="AA135" i="32"/>
  <c r="Z135" i="32"/>
  <c r="Y135" i="32"/>
  <c r="X135" i="32"/>
  <c r="W135" i="32"/>
  <c r="V135" i="32"/>
  <c r="U135" i="32"/>
  <c r="T135" i="32"/>
  <c r="S135" i="32"/>
  <c r="R135" i="32"/>
  <c r="Q135" i="32"/>
  <c r="P135" i="32"/>
  <c r="O135" i="32"/>
  <c r="N135" i="32"/>
  <c r="M135" i="32"/>
  <c r="L135" i="32"/>
  <c r="K135" i="32"/>
  <c r="J135" i="32"/>
  <c r="I135" i="32"/>
  <c r="H135" i="32"/>
  <c r="G135" i="32"/>
  <c r="F135" i="32"/>
  <c r="E135" i="32"/>
  <c r="D135" i="32"/>
  <c r="C135" i="32"/>
  <c r="B135" i="32"/>
  <c r="M134" i="32"/>
  <c r="AG132" i="32"/>
  <c r="AG131" i="32"/>
  <c r="AG130" i="32"/>
  <c r="AG129" i="32"/>
  <c r="AG128" i="32"/>
  <c r="AG127" i="32"/>
  <c r="AG126" i="32"/>
  <c r="AG125" i="32"/>
  <c r="AG124" i="32"/>
  <c r="AG123" i="32"/>
  <c r="AG122" i="32"/>
  <c r="AG121" i="32"/>
  <c r="AG120" i="32"/>
  <c r="AF119" i="32"/>
  <c r="AE119" i="32"/>
  <c r="AD119" i="32"/>
  <c r="AC119" i="32"/>
  <c r="AB119" i="32"/>
  <c r="AA119" i="32"/>
  <c r="Z119" i="32"/>
  <c r="Y119" i="32"/>
  <c r="X119" i="32"/>
  <c r="W119" i="32"/>
  <c r="V119" i="32"/>
  <c r="U119" i="32"/>
  <c r="T119" i="32"/>
  <c r="S119" i="32"/>
  <c r="R119" i="32"/>
  <c r="Q119" i="32"/>
  <c r="P119" i="32"/>
  <c r="O119" i="32"/>
  <c r="N119" i="32"/>
  <c r="M119" i="32"/>
  <c r="L119" i="32"/>
  <c r="K119" i="32"/>
  <c r="J119" i="32"/>
  <c r="I119" i="32"/>
  <c r="H119" i="32"/>
  <c r="G119" i="32"/>
  <c r="F119" i="32"/>
  <c r="E119" i="32"/>
  <c r="D119" i="32"/>
  <c r="C119" i="32"/>
  <c r="B119" i="32"/>
  <c r="AG118" i="32"/>
  <c r="AG117" i="32"/>
  <c r="AF116" i="32"/>
  <c r="AE116" i="32"/>
  <c r="AD116" i="32"/>
  <c r="AC116" i="32"/>
  <c r="AB116" i="32"/>
  <c r="AA116" i="32"/>
  <c r="Z116" i="32"/>
  <c r="Y116" i="32"/>
  <c r="X116" i="32"/>
  <c r="W116" i="32"/>
  <c r="V116" i="32"/>
  <c r="U116" i="32"/>
  <c r="T116" i="32"/>
  <c r="S116" i="32"/>
  <c r="R116" i="32"/>
  <c r="Q116" i="32"/>
  <c r="P116" i="32"/>
  <c r="O116" i="32"/>
  <c r="N116" i="32"/>
  <c r="M116" i="32"/>
  <c r="L116" i="32"/>
  <c r="K116" i="32"/>
  <c r="J116" i="32"/>
  <c r="I116" i="32"/>
  <c r="H116" i="32"/>
  <c r="G116" i="32"/>
  <c r="F116" i="32"/>
  <c r="E116" i="32"/>
  <c r="D116" i="32"/>
  <c r="C116" i="32"/>
  <c r="B116" i="32"/>
  <c r="AG115" i="32"/>
  <c r="AG114" i="32"/>
  <c r="AG113" i="32"/>
  <c r="AG112" i="32"/>
  <c r="AG111" i="32"/>
  <c r="AG110" i="32"/>
  <c r="AG109" i="32"/>
  <c r="AG108" i="32"/>
  <c r="AG107" i="32"/>
  <c r="AG106" i="32"/>
  <c r="AG105" i="32"/>
  <c r="AG104" i="32"/>
  <c r="AG103" i="32"/>
  <c r="AG102" i="32"/>
  <c r="AG101" i="32"/>
  <c r="AF100" i="32"/>
  <c r="AE100" i="32"/>
  <c r="AD100" i="32"/>
  <c r="AC100" i="32"/>
  <c r="AB100" i="32"/>
  <c r="AA100" i="32"/>
  <c r="Z100" i="32"/>
  <c r="Y100" i="32"/>
  <c r="X100" i="32"/>
  <c r="W100" i="32"/>
  <c r="V100" i="32"/>
  <c r="U100" i="32"/>
  <c r="T100" i="32"/>
  <c r="S100" i="32"/>
  <c r="R100" i="32"/>
  <c r="Q100" i="32"/>
  <c r="P100" i="32"/>
  <c r="O100" i="32"/>
  <c r="O93" i="32" s="1"/>
  <c r="N100" i="32"/>
  <c r="M100" i="32"/>
  <c r="L100" i="32"/>
  <c r="K100" i="32"/>
  <c r="J100" i="32"/>
  <c r="I100" i="32"/>
  <c r="H100" i="32"/>
  <c r="G100" i="32"/>
  <c r="F100" i="32"/>
  <c r="E100" i="32"/>
  <c r="D100" i="32"/>
  <c r="C100" i="32"/>
  <c r="B100" i="32"/>
  <c r="AG99" i="32"/>
  <c r="AG98" i="32"/>
  <c r="AG97" i="32"/>
  <c r="AG96" i="32"/>
  <c r="AG95" i="32"/>
  <c r="AF94" i="32"/>
  <c r="AF93" i="32" s="1"/>
  <c r="AE94" i="32"/>
  <c r="AD94" i="32"/>
  <c r="AC94" i="32"/>
  <c r="AB94" i="32"/>
  <c r="AB93" i="32" s="1"/>
  <c r="AA94" i="32"/>
  <c r="AA93" i="32" s="1"/>
  <c r="Z94" i="32"/>
  <c r="Y94" i="32"/>
  <c r="X94" i="32"/>
  <c r="W94" i="32"/>
  <c r="W93" i="32" s="1"/>
  <c r="V94" i="32"/>
  <c r="U94" i="32"/>
  <c r="U93" i="32" s="1"/>
  <c r="T94" i="32"/>
  <c r="T93" i="32" s="1"/>
  <c r="S94" i="32"/>
  <c r="R94" i="32"/>
  <c r="R93" i="32" s="1"/>
  <c r="Q94" i="32"/>
  <c r="P94" i="32"/>
  <c r="O94" i="32"/>
  <c r="N94" i="32"/>
  <c r="M94" i="32"/>
  <c r="M93" i="32" s="1"/>
  <c r="L94" i="32"/>
  <c r="K94" i="32"/>
  <c r="K93" i="32" s="1"/>
  <c r="J94" i="32"/>
  <c r="I94" i="32"/>
  <c r="H94" i="32"/>
  <c r="H93" i="32" s="1"/>
  <c r="G94" i="32"/>
  <c r="F94" i="32"/>
  <c r="F93" i="32" s="1"/>
  <c r="E94" i="32"/>
  <c r="D94" i="32"/>
  <c r="D93" i="32" s="1"/>
  <c r="C94" i="32"/>
  <c r="B94" i="32"/>
  <c r="B93" i="32" s="1"/>
  <c r="AG92" i="32"/>
  <c r="AG91" i="32"/>
  <c r="AG90" i="32"/>
  <c r="AG89" i="32"/>
  <c r="AG88" i="32"/>
  <c r="AF87" i="32"/>
  <c r="AE87" i="32"/>
  <c r="AD87" i="32"/>
  <c r="AC87" i="32"/>
  <c r="AB87" i="32"/>
  <c r="AA87" i="32"/>
  <c r="Z87" i="32"/>
  <c r="Y87" i="32"/>
  <c r="X87" i="32"/>
  <c r="W87" i="32"/>
  <c r="V87" i="32"/>
  <c r="U87" i="32"/>
  <c r="T87" i="32"/>
  <c r="S87" i="32"/>
  <c r="R87" i="32"/>
  <c r="Q87" i="32"/>
  <c r="P87" i="32"/>
  <c r="O87" i="32"/>
  <c r="N87" i="32"/>
  <c r="M87" i="32"/>
  <c r="L87" i="32"/>
  <c r="K87" i="32"/>
  <c r="J87" i="32"/>
  <c r="I87" i="32"/>
  <c r="H87" i="32"/>
  <c r="G87" i="32"/>
  <c r="F87" i="32"/>
  <c r="E87" i="32"/>
  <c r="D87" i="32"/>
  <c r="C87" i="32"/>
  <c r="B87" i="32"/>
  <c r="AG86" i="32"/>
  <c r="AG85" i="32"/>
  <c r="AF84" i="32"/>
  <c r="AE84" i="32"/>
  <c r="AD84" i="32"/>
  <c r="AC84" i="32"/>
  <c r="AB84" i="32"/>
  <c r="AA84" i="32"/>
  <c r="Z84" i="32"/>
  <c r="Y84" i="32"/>
  <c r="X84" i="32"/>
  <c r="W84" i="32"/>
  <c r="V84" i="32"/>
  <c r="U84" i="32"/>
  <c r="T84" i="32"/>
  <c r="S84" i="32"/>
  <c r="R84" i="32"/>
  <c r="Q84" i="32"/>
  <c r="P84" i="32"/>
  <c r="O84" i="32"/>
  <c r="N84" i="32"/>
  <c r="M84" i="32"/>
  <c r="L84" i="32"/>
  <c r="K84" i="32"/>
  <c r="J84" i="32"/>
  <c r="I84" i="32"/>
  <c r="H84" i="32"/>
  <c r="G84" i="32"/>
  <c r="F84" i="32"/>
  <c r="E84" i="32"/>
  <c r="D84" i="32"/>
  <c r="C84" i="32"/>
  <c r="B84" i="32"/>
  <c r="AF82" i="32"/>
  <c r="AF83" i="32" s="1"/>
  <c r="AE82" i="32"/>
  <c r="AE83" i="32" s="1"/>
  <c r="AE81" i="32" s="1"/>
  <c r="AD82" i="32"/>
  <c r="AD83" i="32" s="1"/>
  <c r="AD81" i="32" s="1"/>
  <c r="AC82" i="32"/>
  <c r="AC83" i="32" s="1"/>
  <c r="AC81" i="32" s="1"/>
  <c r="AB82" i="32"/>
  <c r="AA82" i="32"/>
  <c r="Z82" i="32"/>
  <c r="Z83" i="32" s="1"/>
  <c r="Y82" i="32"/>
  <c r="Y83" i="32" s="1"/>
  <c r="X82" i="32"/>
  <c r="X83" i="32" s="1"/>
  <c r="X81" i="32" s="1"/>
  <c r="W82" i="32"/>
  <c r="W83" i="32" s="1"/>
  <c r="W81" i="32" s="1"/>
  <c r="V82" i="32"/>
  <c r="V83" i="32" s="1"/>
  <c r="U82" i="32"/>
  <c r="T82" i="32"/>
  <c r="T83" i="32" s="1"/>
  <c r="S82" i="32"/>
  <c r="S83" i="32" s="1"/>
  <c r="S81" i="32" s="1"/>
  <c r="R82" i="32"/>
  <c r="R83" i="32" s="1"/>
  <c r="R81" i="32" s="1"/>
  <c r="Q82" i="32"/>
  <c r="Q83" i="32" s="1"/>
  <c r="Q81" i="32" s="1"/>
  <c r="P82" i="32"/>
  <c r="O82" i="32"/>
  <c r="N82" i="32"/>
  <c r="N83" i="32" s="1"/>
  <c r="M82" i="32"/>
  <c r="L82" i="32"/>
  <c r="L83" i="32" s="1"/>
  <c r="L81" i="32" s="1"/>
  <c r="K82" i="32"/>
  <c r="K83" i="32" s="1"/>
  <c r="K81" i="32" s="1"/>
  <c r="J82" i="32"/>
  <c r="J83" i="32" s="1"/>
  <c r="I82" i="32"/>
  <c r="H82" i="32"/>
  <c r="H83" i="32" s="1"/>
  <c r="G82" i="32"/>
  <c r="G83" i="32" s="1"/>
  <c r="G81" i="32" s="1"/>
  <c r="F82" i="32"/>
  <c r="F83" i="32" s="1"/>
  <c r="F81" i="32" s="1"/>
  <c r="E82" i="32"/>
  <c r="E83" i="32" s="1"/>
  <c r="E81" i="32" s="1"/>
  <c r="D82" i="32"/>
  <c r="C82" i="32"/>
  <c r="B82" i="32"/>
  <c r="AG80" i="32"/>
  <c r="AF79" i="32"/>
  <c r="AE79" i="32"/>
  <c r="AE78" i="32" s="1"/>
  <c r="AD79" i="32"/>
  <c r="AD78" i="32" s="1"/>
  <c r="AC79" i="32"/>
  <c r="AC78" i="32" s="1"/>
  <c r="AB79" i="32"/>
  <c r="AB78" i="32" s="1"/>
  <c r="AA79" i="32"/>
  <c r="AA78" i="32" s="1"/>
  <c r="Z79" i="32"/>
  <c r="Z78" i="32" s="1"/>
  <c r="Y79" i="32"/>
  <c r="Y78" i="32" s="1"/>
  <c r="X79" i="32"/>
  <c r="X78" i="32" s="1"/>
  <c r="W79" i="32"/>
  <c r="W78" i="32" s="1"/>
  <c r="V79" i="32"/>
  <c r="V78" i="32" s="1"/>
  <c r="U79" i="32"/>
  <c r="U78" i="32" s="1"/>
  <c r="T79" i="32"/>
  <c r="T78" i="32" s="1"/>
  <c r="S79" i="32"/>
  <c r="S78" i="32" s="1"/>
  <c r="R79" i="32"/>
  <c r="R78" i="32" s="1"/>
  <c r="Q79" i="32"/>
  <c r="Q78" i="32" s="1"/>
  <c r="P79" i="32"/>
  <c r="P78" i="32" s="1"/>
  <c r="O79" i="32"/>
  <c r="O78" i="32" s="1"/>
  <c r="N79" i="32"/>
  <c r="N78" i="32" s="1"/>
  <c r="M79" i="32"/>
  <c r="M78" i="32" s="1"/>
  <c r="L79" i="32"/>
  <c r="L78" i="32" s="1"/>
  <c r="K79" i="32"/>
  <c r="K78" i="32" s="1"/>
  <c r="J79" i="32"/>
  <c r="J78" i="32" s="1"/>
  <c r="I79" i="32"/>
  <c r="I78" i="32" s="1"/>
  <c r="H79" i="32"/>
  <c r="H78" i="32" s="1"/>
  <c r="G79" i="32"/>
  <c r="G78" i="32" s="1"/>
  <c r="F79" i="32"/>
  <c r="F78" i="32" s="1"/>
  <c r="E79" i="32"/>
  <c r="E78" i="32" s="1"/>
  <c r="D79" i="32"/>
  <c r="D78" i="32" s="1"/>
  <c r="C79" i="32"/>
  <c r="C78" i="32" s="1"/>
  <c r="B79" i="32"/>
  <c r="AF78" i="32"/>
  <c r="AG77" i="32"/>
  <c r="AG76" i="32"/>
  <c r="AG75" i="32"/>
  <c r="AG74" i="32"/>
  <c r="AG73" i="32"/>
  <c r="AG72" i="32"/>
  <c r="AG71" i="32"/>
  <c r="AG70" i="32"/>
  <c r="AG69" i="32"/>
  <c r="AG68" i="32"/>
  <c r="AG67" i="32"/>
  <c r="AG66" i="32"/>
  <c r="AG65" i="32"/>
  <c r="AG64" i="32"/>
  <c r="AG63" i="32"/>
  <c r="AG62" i="32"/>
  <c r="AG61" i="32"/>
  <c r="AG60" i="32"/>
  <c r="AG59" i="32"/>
  <c r="AG58" i="32"/>
  <c r="AG57" i="32"/>
  <c r="AG56" i="32"/>
  <c r="AG55" i="32"/>
  <c r="AG54" i="32"/>
  <c r="AF53" i="32"/>
  <c r="AF134" i="32" s="1"/>
  <c r="AE53" i="32"/>
  <c r="AE134" i="32" s="1"/>
  <c r="AD53" i="32"/>
  <c r="AD134" i="32" s="1"/>
  <c r="AC53" i="32"/>
  <c r="AC134" i="32" s="1"/>
  <c r="AB53" i="32"/>
  <c r="AB134" i="32" s="1"/>
  <c r="AA53" i="32"/>
  <c r="AA134" i="32" s="1"/>
  <c r="Z53" i="32"/>
  <c r="Z134" i="32" s="1"/>
  <c r="Y53" i="32"/>
  <c r="Y134" i="32" s="1"/>
  <c r="X53" i="32"/>
  <c r="X134" i="32" s="1"/>
  <c r="W53" i="32"/>
  <c r="W134" i="32" s="1"/>
  <c r="V53" i="32"/>
  <c r="V134" i="32" s="1"/>
  <c r="U53" i="32"/>
  <c r="U134" i="32" s="1"/>
  <c r="T53" i="32"/>
  <c r="T134" i="32" s="1"/>
  <c r="S53" i="32"/>
  <c r="S134" i="32" s="1"/>
  <c r="R53" i="32"/>
  <c r="R134" i="32" s="1"/>
  <c r="Q53" i="32"/>
  <c r="Q134" i="32" s="1"/>
  <c r="P53" i="32"/>
  <c r="P134" i="32" s="1"/>
  <c r="O53" i="32"/>
  <c r="O134" i="32" s="1"/>
  <c r="N53" i="32"/>
  <c r="N134" i="32" s="1"/>
  <c r="M53" i="32"/>
  <c r="L53" i="32"/>
  <c r="L134" i="32" s="1"/>
  <c r="K53" i="32"/>
  <c r="K134" i="32" s="1"/>
  <c r="J53" i="32"/>
  <c r="J134" i="32" s="1"/>
  <c r="I53" i="32"/>
  <c r="I134" i="32" s="1"/>
  <c r="H53" i="32"/>
  <c r="H134" i="32" s="1"/>
  <c r="G53" i="32"/>
  <c r="G134" i="32" s="1"/>
  <c r="F53" i="32"/>
  <c r="F134" i="32" s="1"/>
  <c r="E53" i="32"/>
  <c r="E134" i="32" s="1"/>
  <c r="D53" i="32"/>
  <c r="D134" i="32" s="1"/>
  <c r="C53" i="32"/>
  <c r="C134" i="32" s="1"/>
  <c r="B53" i="32"/>
  <c r="AG52" i="32"/>
  <c r="AG51" i="32"/>
  <c r="AG50" i="32"/>
  <c r="AG49" i="32"/>
  <c r="AG48" i="32"/>
  <c r="AG47" i="32"/>
  <c r="AG46" i="32"/>
  <c r="AG45" i="32"/>
  <c r="AG44" i="32"/>
  <c r="AG43" i="32"/>
  <c r="AG42" i="32"/>
  <c r="AG41" i="32"/>
  <c r="AG40" i="32"/>
  <c r="AG39" i="32"/>
  <c r="AG38" i="32"/>
  <c r="AG37" i="32"/>
  <c r="AG36" i="32"/>
  <c r="AG35" i="32"/>
  <c r="AG34" i="32"/>
  <c r="AG33" i="32"/>
  <c r="AG32" i="32"/>
  <c r="AG31" i="32"/>
  <c r="AG30" i="32"/>
  <c r="AG29" i="32"/>
  <c r="AF28" i="32"/>
  <c r="AF133" i="32" s="1"/>
  <c r="AE28" i="32"/>
  <c r="AE133" i="32" s="1"/>
  <c r="AD28" i="32"/>
  <c r="AD133" i="32" s="1"/>
  <c r="AC28" i="32"/>
  <c r="AC133" i="32" s="1"/>
  <c r="AB28" i="32"/>
  <c r="AB133" i="32" s="1"/>
  <c r="AA28" i="32"/>
  <c r="AA133" i="32" s="1"/>
  <c r="Z28" i="32"/>
  <c r="Z133" i="32" s="1"/>
  <c r="Y28" i="32"/>
  <c r="Y133" i="32" s="1"/>
  <c r="X28" i="32"/>
  <c r="X133" i="32" s="1"/>
  <c r="W28" i="32"/>
  <c r="W133" i="32" s="1"/>
  <c r="V28" i="32"/>
  <c r="V133" i="32" s="1"/>
  <c r="U28" i="32"/>
  <c r="U133" i="32" s="1"/>
  <c r="T28" i="32"/>
  <c r="T133" i="32" s="1"/>
  <c r="S28" i="32"/>
  <c r="S133" i="32" s="1"/>
  <c r="R28" i="32"/>
  <c r="R133" i="32" s="1"/>
  <c r="Q28" i="32"/>
  <c r="Q133" i="32" s="1"/>
  <c r="P28" i="32"/>
  <c r="P133" i="32" s="1"/>
  <c r="O28" i="32"/>
  <c r="O133" i="32" s="1"/>
  <c r="N28" i="32"/>
  <c r="N133" i="32" s="1"/>
  <c r="M28" i="32"/>
  <c r="M133" i="32" s="1"/>
  <c r="L28" i="32"/>
  <c r="L133" i="32" s="1"/>
  <c r="K28" i="32"/>
  <c r="K133" i="32" s="1"/>
  <c r="J28" i="32"/>
  <c r="J133" i="32" s="1"/>
  <c r="I28" i="32"/>
  <c r="I133" i="32" s="1"/>
  <c r="H28" i="32"/>
  <c r="H133" i="32" s="1"/>
  <c r="G28" i="32"/>
  <c r="G133" i="32" s="1"/>
  <c r="F28" i="32"/>
  <c r="F133" i="32" s="1"/>
  <c r="E28" i="32"/>
  <c r="E133" i="32" s="1"/>
  <c r="D28" i="32"/>
  <c r="D133" i="32" s="1"/>
  <c r="C28" i="32"/>
  <c r="C133" i="32" s="1"/>
  <c r="B28" i="32"/>
  <c r="AG27" i="32"/>
  <c r="AG26" i="32"/>
  <c r="AG25" i="32"/>
  <c r="AG24" i="32"/>
  <c r="AG23" i="32"/>
  <c r="AG22" i="32"/>
  <c r="AG21" i="32"/>
  <c r="AG20" i="32"/>
  <c r="AG19" i="32"/>
  <c r="AG18" i="32"/>
  <c r="AG17" i="32"/>
  <c r="AG16" i="32"/>
  <c r="AG15" i="32"/>
  <c r="AG14" i="32"/>
  <c r="AG13" i="32"/>
  <c r="AG12" i="32"/>
  <c r="AG11" i="32"/>
  <c r="AG10" i="32"/>
  <c r="AG9" i="32"/>
  <c r="AG8" i="32"/>
  <c r="AG7" i="32"/>
  <c r="AG6" i="32"/>
  <c r="AG5" i="32"/>
  <c r="AG4" i="32"/>
  <c r="AF3" i="32"/>
  <c r="AE3" i="32"/>
  <c r="AD3" i="32"/>
  <c r="AC3" i="32"/>
  <c r="AB3" i="32"/>
  <c r="AA3" i="32"/>
  <c r="Z3" i="32"/>
  <c r="Y3" i="32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C3" i="32"/>
  <c r="B3" i="32"/>
  <c r="C2" i="32"/>
  <c r="D2" i="32" s="1"/>
  <c r="E2" i="32" s="1"/>
  <c r="F2" i="32" s="1"/>
  <c r="G2" i="32" s="1"/>
  <c r="H2" i="32" s="1"/>
  <c r="I2" i="32" s="1"/>
  <c r="J2" i="32" s="1"/>
  <c r="K2" i="32" s="1"/>
  <c r="L2" i="32" s="1"/>
  <c r="M2" i="32" s="1"/>
  <c r="N2" i="32" s="1"/>
  <c r="O2" i="32" s="1"/>
  <c r="P2" i="32" s="1"/>
  <c r="Q2" i="32" s="1"/>
  <c r="R2" i="32" s="1"/>
  <c r="S2" i="32" s="1"/>
  <c r="T2" i="32" s="1"/>
  <c r="U2" i="32" s="1"/>
  <c r="V2" i="32" s="1"/>
  <c r="W2" i="32" s="1"/>
  <c r="X2" i="32" s="1"/>
  <c r="Y2" i="32" s="1"/>
  <c r="Z2" i="32" s="1"/>
  <c r="AA2" i="32" s="1"/>
  <c r="AB2" i="32" s="1"/>
  <c r="AC2" i="32" s="1"/>
  <c r="AD2" i="32" s="1"/>
  <c r="AE2" i="32" s="1"/>
  <c r="AF2" i="32" s="1"/>
  <c r="AG180" i="31"/>
  <c r="AG179" i="31"/>
  <c r="AG178" i="31"/>
  <c r="AG177" i="31"/>
  <c r="AG176" i="31"/>
  <c r="AG175" i="31"/>
  <c r="AG174" i="31"/>
  <c r="AG173" i="31"/>
  <c r="AG172" i="31"/>
  <c r="AF171" i="31"/>
  <c r="AE171" i="31"/>
  <c r="AD171" i="31"/>
  <c r="AC171" i="31"/>
  <c r="AB171" i="31"/>
  <c r="AA171" i="31"/>
  <c r="Z171" i="31"/>
  <c r="Y171" i="31"/>
  <c r="X171" i="31"/>
  <c r="W171" i="31"/>
  <c r="V171" i="31"/>
  <c r="U171" i="31"/>
  <c r="T171" i="31"/>
  <c r="S171" i="31"/>
  <c r="R171" i="31"/>
  <c r="Q171" i="31"/>
  <c r="P171" i="31"/>
  <c r="O171" i="31"/>
  <c r="N171" i="31"/>
  <c r="M171" i="31"/>
  <c r="L171" i="31"/>
  <c r="K171" i="31"/>
  <c r="J171" i="31"/>
  <c r="I171" i="31"/>
  <c r="H171" i="31"/>
  <c r="G171" i="31"/>
  <c r="F171" i="31"/>
  <c r="E171" i="31"/>
  <c r="D171" i="31"/>
  <c r="C171" i="31"/>
  <c r="B171" i="31"/>
  <c r="AG170" i="31"/>
  <c r="AG169" i="31"/>
  <c r="AG168" i="31"/>
  <c r="AG167" i="31"/>
  <c r="AG166" i="31"/>
  <c r="AG165" i="31"/>
  <c r="AG164" i="31"/>
  <c r="AG163" i="31"/>
  <c r="AG162" i="31"/>
  <c r="AG161" i="31"/>
  <c r="AG160" i="31"/>
  <c r="AG159" i="31"/>
  <c r="AG158" i="31"/>
  <c r="AG157" i="31"/>
  <c r="AG156" i="31"/>
  <c r="AG155" i="31"/>
  <c r="AG154" i="31"/>
  <c r="AG153" i="31"/>
  <c r="AG152" i="31"/>
  <c r="AG151" i="31"/>
  <c r="AG150" i="31"/>
  <c r="AG149" i="31"/>
  <c r="AG148" i="31"/>
  <c r="AG147" i="31"/>
  <c r="AG146" i="31"/>
  <c r="AG145" i="31"/>
  <c r="AF144" i="31"/>
  <c r="AE144" i="31"/>
  <c r="AD144" i="31"/>
  <c r="AC144" i="31"/>
  <c r="AB144" i="31"/>
  <c r="AA144" i="31"/>
  <c r="Z144" i="31"/>
  <c r="Y144" i="31"/>
  <c r="X144" i="31"/>
  <c r="W144" i="31"/>
  <c r="V144" i="31"/>
  <c r="U144" i="31"/>
  <c r="T144" i="31"/>
  <c r="S144" i="31"/>
  <c r="R144" i="31"/>
  <c r="Q144" i="31"/>
  <c r="P144" i="31"/>
  <c r="O144" i="31"/>
  <c r="N144" i="31"/>
  <c r="M144" i="31"/>
  <c r="L144" i="31"/>
  <c r="K144" i="31"/>
  <c r="J144" i="31"/>
  <c r="I144" i="31"/>
  <c r="H144" i="31"/>
  <c r="G144" i="31"/>
  <c r="F144" i="31"/>
  <c r="E144" i="31"/>
  <c r="D144" i="31"/>
  <c r="C144" i="31"/>
  <c r="B144" i="31"/>
  <c r="AG143" i="31"/>
  <c r="AG142" i="31"/>
  <c r="AG141" i="31"/>
  <c r="AG140" i="31"/>
  <c r="AF139" i="31"/>
  <c r="AE139" i="31"/>
  <c r="AD139" i="31"/>
  <c r="AC139" i="31"/>
  <c r="AB139" i="31"/>
  <c r="AA139" i="31"/>
  <c r="Z139" i="31"/>
  <c r="Y139" i="31"/>
  <c r="X139" i="31"/>
  <c r="W139" i="31"/>
  <c r="V139" i="31"/>
  <c r="U139" i="31"/>
  <c r="T139" i="31"/>
  <c r="S139" i="31"/>
  <c r="R139" i="31"/>
  <c r="Q139" i="31"/>
  <c r="P139" i="31"/>
  <c r="O139" i="31"/>
  <c r="N139" i="31"/>
  <c r="M139" i="31"/>
  <c r="L139" i="31"/>
  <c r="K139" i="31"/>
  <c r="J139" i="31"/>
  <c r="I139" i="31"/>
  <c r="H139" i="31"/>
  <c r="G139" i="31"/>
  <c r="F139" i="31"/>
  <c r="E139" i="31"/>
  <c r="D139" i="31"/>
  <c r="C139" i="31"/>
  <c r="B139" i="31"/>
  <c r="AG138" i="31"/>
  <c r="AG137" i="31"/>
  <c r="AG136" i="31"/>
  <c r="AF135" i="31"/>
  <c r="AE135" i="31"/>
  <c r="AD135" i="31"/>
  <c r="AC135" i="31"/>
  <c r="AB135" i="31"/>
  <c r="AA135" i="31"/>
  <c r="Z135" i="31"/>
  <c r="Y135" i="31"/>
  <c r="X135" i="31"/>
  <c r="W135" i="31"/>
  <c r="V135" i="31"/>
  <c r="U135" i="31"/>
  <c r="T135" i="31"/>
  <c r="S135" i="31"/>
  <c r="R135" i="31"/>
  <c r="Q135" i="31"/>
  <c r="P135" i="31"/>
  <c r="O135" i="31"/>
  <c r="N135" i="31"/>
  <c r="M135" i="31"/>
  <c r="L135" i="31"/>
  <c r="K135" i="31"/>
  <c r="J135" i="31"/>
  <c r="I135" i="31"/>
  <c r="H135" i="31"/>
  <c r="G135" i="31"/>
  <c r="F135" i="31"/>
  <c r="E135" i="31"/>
  <c r="D135" i="31"/>
  <c r="C135" i="31"/>
  <c r="B135" i="31"/>
  <c r="Y134" i="31"/>
  <c r="AG132" i="31"/>
  <c r="AG131" i="31"/>
  <c r="AG130" i="31"/>
  <c r="AG129" i="31"/>
  <c r="AG128" i="31"/>
  <c r="AG127" i="31"/>
  <c r="AG126" i="31"/>
  <c r="AG125" i="31"/>
  <c r="AG124" i="31"/>
  <c r="AG123" i="31"/>
  <c r="AG122" i="31"/>
  <c r="AG121" i="31"/>
  <c r="AG120" i="31"/>
  <c r="AF119" i="31"/>
  <c r="AE119" i="31"/>
  <c r="AD119" i="31"/>
  <c r="AC119" i="31"/>
  <c r="AB119" i="31"/>
  <c r="AA119" i="31"/>
  <c r="Z119" i="31"/>
  <c r="Y119" i="31"/>
  <c r="X119" i="31"/>
  <c r="W119" i="31"/>
  <c r="V119" i="31"/>
  <c r="U119" i="31"/>
  <c r="T119" i="31"/>
  <c r="S119" i="31"/>
  <c r="R119" i="31"/>
  <c r="Q119" i="31"/>
  <c r="P119" i="31"/>
  <c r="O119" i="31"/>
  <c r="N119" i="31"/>
  <c r="M119" i="31"/>
  <c r="L119" i="31"/>
  <c r="K119" i="31"/>
  <c r="J119" i="31"/>
  <c r="I119" i="31"/>
  <c r="H119" i="31"/>
  <c r="G119" i="31"/>
  <c r="F119" i="31"/>
  <c r="E119" i="31"/>
  <c r="D119" i="31"/>
  <c r="C119" i="31"/>
  <c r="B119" i="31"/>
  <c r="AG118" i="31"/>
  <c r="AG117" i="31"/>
  <c r="AF116" i="31"/>
  <c r="AE116" i="31"/>
  <c r="AD116" i="31"/>
  <c r="AC116" i="31"/>
  <c r="AB116" i="31"/>
  <c r="AA116" i="31"/>
  <c r="Z116" i="31"/>
  <c r="Y116" i="31"/>
  <c r="X116" i="31"/>
  <c r="W116" i="31"/>
  <c r="V116" i="31"/>
  <c r="U116" i="31"/>
  <c r="T116" i="31"/>
  <c r="S116" i="31"/>
  <c r="R116" i="31"/>
  <c r="Q116" i="31"/>
  <c r="P116" i="31"/>
  <c r="O116" i="31"/>
  <c r="N116" i="31"/>
  <c r="M116" i="31"/>
  <c r="L116" i="31"/>
  <c r="K116" i="31"/>
  <c r="J116" i="31"/>
  <c r="I116" i="31"/>
  <c r="H116" i="31"/>
  <c r="G116" i="31"/>
  <c r="F116" i="31"/>
  <c r="E116" i="31"/>
  <c r="D116" i="31"/>
  <c r="C116" i="31"/>
  <c r="B116" i="31"/>
  <c r="AG115" i="31"/>
  <c r="AG114" i="31"/>
  <c r="AG113" i="31"/>
  <c r="AG112" i="31"/>
  <c r="AG111" i="31"/>
  <c r="AG110" i="31"/>
  <c r="AG109" i="31"/>
  <c r="AG108" i="31"/>
  <c r="AG107" i="31"/>
  <c r="AG106" i="31"/>
  <c r="AG105" i="31"/>
  <c r="AG104" i="31"/>
  <c r="AG103" i="31"/>
  <c r="AG102" i="31"/>
  <c r="AG101" i="31"/>
  <c r="AF100" i="31"/>
  <c r="AE100" i="31"/>
  <c r="AD100" i="31"/>
  <c r="AC100" i="31"/>
  <c r="AB100" i="31"/>
  <c r="AA100" i="31"/>
  <c r="Z100" i="31"/>
  <c r="Y100" i="31"/>
  <c r="X100" i="31"/>
  <c r="W100" i="31"/>
  <c r="V100" i="31"/>
  <c r="U100" i="31"/>
  <c r="T100" i="31"/>
  <c r="S100" i="31"/>
  <c r="R100" i="31"/>
  <c r="Q100" i="31"/>
  <c r="P100" i="31"/>
  <c r="O100" i="31"/>
  <c r="N100" i="31"/>
  <c r="M100" i="31"/>
  <c r="L100" i="31"/>
  <c r="K100" i="31"/>
  <c r="J100" i="31"/>
  <c r="I100" i="31"/>
  <c r="H100" i="31"/>
  <c r="G100" i="31"/>
  <c r="F100" i="31"/>
  <c r="E100" i="31"/>
  <c r="D100" i="31"/>
  <c r="C100" i="31"/>
  <c r="B100" i="31"/>
  <c r="AG99" i="31"/>
  <c r="AG98" i="31"/>
  <c r="AG97" i="31"/>
  <c r="AG96" i="31"/>
  <c r="AG95" i="31"/>
  <c r="AF94" i="31"/>
  <c r="AE94" i="31"/>
  <c r="AD94" i="31"/>
  <c r="AD93" i="31" s="1"/>
  <c r="AC94" i="31"/>
  <c r="AB94" i="31"/>
  <c r="AB93" i="31" s="1"/>
  <c r="AA94" i="31"/>
  <c r="AA93" i="31" s="1"/>
  <c r="Z94" i="31"/>
  <c r="Z93" i="31" s="1"/>
  <c r="Y94" i="31"/>
  <c r="X94" i="31"/>
  <c r="X93" i="31" s="1"/>
  <c r="W94" i="31"/>
  <c r="W93" i="31" s="1"/>
  <c r="V94" i="31"/>
  <c r="V93" i="31" s="1"/>
  <c r="U94" i="31"/>
  <c r="T94" i="31"/>
  <c r="T93" i="31" s="1"/>
  <c r="S94" i="31"/>
  <c r="S93" i="31" s="1"/>
  <c r="R94" i="31"/>
  <c r="R93" i="31" s="1"/>
  <c r="Q94" i="31"/>
  <c r="P94" i="31"/>
  <c r="O94" i="31"/>
  <c r="O93" i="31" s="1"/>
  <c r="N94" i="31"/>
  <c r="M94" i="31"/>
  <c r="L94" i="31"/>
  <c r="L93" i="31" s="1"/>
  <c r="K94" i="31"/>
  <c r="J94" i="31"/>
  <c r="J93" i="31" s="1"/>
  <c r="I94" i="31"/>
  <c r="H94" i="31"/>
  <c r="G94" i="31"/>
  <c r="F94" i="31"/>
  <c r="E94" i="31"/>
  <c r="D94" i="31"/>
  <c r="C94" i="31"/>
  <c r="C93" i="31" s="1"/>
  <c r="B94" i="31"/>
  <c r="AF93" i="31"/>
  <c r="AE93" i="31"/>
  <c r="AG92" i="31"/>
  <c r="AG91" i="31"/>
  <c r="AG90" i="31"/>
  <c r="AG89" i="31"/>
  <c r="AG88" i="31"/>
  <c r="AF87" i="31"/>
  <c r="AE87" i="31"/>
  <c r="AD87" i="31"/>
  <c r="AC87" i="31"/>
  <c r="AB87" i="31"/>
  <c r="AA87" i="31"/>
  <c r="Z87" i="31"/>
  <c r="Y87" i="31"/>
  <c r="X87" i="31"/>
  <c r="W87" i="31"/>
  <c r="V87" i="31"/>
  <c r="U87" i="31"/>
  <c r="T87" i="31"/>
  <c r="S87" i="31"/>
  <c r="R87" i="31"/>
  <c r="Q87" i="31"/>
  <c r="P87" i="31"/>
  <c r="O87" i="31"/>
  <c r="N87" i="31"/>
  <c r="M87" i="31"/>
  <c r="L87" i="31"/>
  <c r="K87" i="31"/>
  <c r="J87" i="31"/>
  <c r="I87" i="31"/>
  <c r="H87" i="31"/>
  <c r="G87" i="31"/>
  <c r="F87" i="31"/>
  <c r="E87" i="31"/>
  <c r="D87" i="31"/>
  <c r="C87" i="31"/>
  <c r="B87" i="31"/>
  <c r="AG86" i="31"/>
  <c r="AG85" i="31"/>
  <c r="AF84" i="31"/>
  <c r="AE84" i="31"/>
  <c r="AD84" i="31"/>
  <c r="AC84" i="31"/>
  <c r="AB84" i="31"/>
  <c r="AA84" i="31"/>
  <c r="Z84" i="31"/>
  <c r="Y84" i="31"/>
  <c r="X84" i="31"/>
  <c r="W84" i="31"/>
  <c r="V84" i="31"/>
  <c r="U84" i="31"/>
  <c r="T84" i="31"/>
  <c r="S84" i="31"/>
  <c r="R84" i="31"/>
  <c r="Q84" i="31"/>
  <c r="P84" i="31"/>
  <c r="O84" i="31"/>
  <c r="N84" i="31"/>
  <c r="M84" i="31"/>
  <c r="L84" i="31"/>
  <c r="K84" i="31"/>
  <c r="J84" i="31"/>
  <c r="I84" i="31"/>
  <c r="H84" i="31"/>
  <c r="G84" i="31"/>
  <c r="F84" i="31"/>
  <c r="E84" i="31"/>
  <c r="D84" i="31"/>
  <c r="C84" i="31"/>
  <c r="B84" i="31"/>
  <c r="AF82" i="31"/>
  <c r="AF83" i="31" s="1"/>
  <c r="AE82" i="31"/>
  <c r="AE83" i="31" s="1"/>
  <c r="AE81" i="31" s="1"/>
  <c r="AD82" i="31"/>
  <c r="AD83" i="31" s="1"/>
  <c r="AD81" i="31" s="1"/>
  <c r="AC82" i="31"/>
  <c r="AC83" i="31" s="1"/>
  <c r="AC81" i="31" s="1"/>
  <c r="AB82" i="31"/>
  <c r="AA82" i="31"/>
  <c r="AA83" i="31" s="1"/>
  <c r="AA81" i="31" s="1"/>
  <c r="Z82" i="31"/>
  <c r="Z83" i="31" s="1"/>
  <c r="Z81" i="31" s="1"/>
  <c r="Y82" i="31"/>
  <c r="Y83" i="31" s="1"/>
  <c r="Y81" i="31" s="1"/>
  <c r="X82" i="31"/>
  <c r="X83" i="31" s="1"/>
  <c r="W82" i="31"/>
  <c r="W83" i="31" s="1"/>
  <c r="W81" i="31" s="1"/>
  <c r="V82" i="31"/>
  <c r="V83" i="31" s="1"/>
  <c r="V81" i="31" s="1"/>
  <c r="U82" i="31"/>
  <c r="U83" i="31" s="1"/>
  <c r="U81" i="31" s="1"/>
  <c r="T82" i="31"/>
  <c r="S82" i="31"/>
  <c r="S83" i="31" s="1"/>
  <c r="S81" i="31" s="1"/>
  <c r="R82" i="31"/>
  <c r="R83" i="31" s="1"/>
  <c r="R81" i="31" s="1"/>
  <c r="Q82" i="31"/>
  <c r="Q83" i="31" s="1"/>
  <c r="Q81" i="31" s="1"/>
  <c r="P82" i="31"/>
  <c r="P83" i="31" s="1"/>
  <c r="O82" i="31"/>
  <c r="O83" i="31" s="1"/>
  <c r="O81" i="31" s="1"/>
  <c r="N82" i="31"/>
  <c r="N83" i="31" s="1"/>
  <c r="N81" i="31" s="1"/>
  <c r="M82" i="31"/>
  <c r="M83" i="31" s="1"/>
  <c r="M81" i="31" s="1"/>
  <c r="L82" i="31"/>
  <c r="K82" i="31"/>
  <c r="K83" i="31" s="1"/>
  <c r="K81" i="31" s="1"/>
  <c r="J82" i="31"/>
  <c r="J83" i="31" s="1"/>
  <c r="J81" i="31" s="1"/>
  <c r="I82" i="31"/>
  <c r="I83" i="31" s="1"/>
  <c r="I81" i="31" s="1"/>
  <c r="H82" i="31"/>
  <c r="H83" i="31" s="1"/>
  <c r="G82" i="31"/>
  <c r="G83" i="31" s="1"/>
  <c r="G81" i="31" s="1"/>
  <c r="F82" i="31"/>
  <c r="F83" i="31" s="1"/>
  <c r="F81" i="31" s="1"/>
  <c r="E82" i="31"/>
  <c r="E83" i="31" s="1"/>
  <c r="E81" i="31" s="1"/>
  <c r="D82" i="31"/>
  <c r="C82" i="31"/>
  <c r="C83" i="31" s="1"/>
  <c r="C81" i="31" s="1"/>
  <c r="B82" i="31"/>
  <c r="B83" i="31" s="1"/>
  <c r="AG80" i="31"/>
  <c r="AF79" i="31"/>
  <c r="AF78" i="31" s="1"/>
  <c r="AE79" i="31"/>
  <c r="AE78" i="31" s="1"/>
  <c r="AD79" i="31"/>
  <c r="AD78" i="31" s="1"/>
  <c r="AC79" i="31"/>
  <c r="AC78" i="31" s="1"/>
  <c r="AB79" i="31"/>
  <c r="AB78" i="31" s="1"/>
  <c r="AA79" i="31"/>
  <c r="AA78" i="31" s="1"/>
  <c r="Z79" i="31"/>
  <c r="Z78" i="31" s="1"/>
  <c r="Y79" i="31"/>
  <c r="Y78" i="31" s="1"/>
  <c r="X79" i="31"/>
  <c r="X78" i="31" s="1"/>
  <c r="W79" i="31"/>
  <c r="W78" i="31" s="1"/>
  <c r="V79" i="31"/>
  <c r="V78" i="31" s="1"/>
  <c r="U79" i="31"/>
  <c r="U78" i="31" s="1"/>
  <c r="T79" i="31"/>
  <c r="T78" i="31" s="1"/>
  <c r="S79" i="31"/>
  <c r="S78" i="31" s="1"/>
  <c r="R79" i="31"/>
  <c r="R78" i="31" s="1"/>
  <c r="Q79" i="31"/>
  <c r="Q78" i="31" s="1"/>
  <c r="P79" i="31"/>
  <c r="P78" i="31" s="1"/>
  <c r="O79" i="31"/>
  <c r="O78" i="31" s="1"/>
  <c r="N79" i="31"/>
  <c r="M79" i="31"/>
  <c r="M78" i="31" s="1"/>
  <c r="L79" i="31"/>
  <c r="L78" i="31" s="1"/>
  <c r="K79" i="31"/>
  <c r="K78" i="31" s="1"/>
  <c r="J79" i="31"/>
  <c r="J78" i="31" s="1"/>
  <c r="I79" i="31"/>
  <c r="I78" i="31" s="1"/>
  <c r="H79" i="31"/>
  <c r="H78" i="31" s="1"/>
  <c r="G79" i="31"/>
  <c r="G78" i="31" s="1"/>
  <c r="F79" i="31"/>
  <c r="F78" i="31" s="1"/>
  <c r="E79" i="31"/>
  <c r="E78" i="31" s="1"/>
  <c r="D79" i="31"/>
  <c r="D78" i="31" s="1"/>
  <c r="C79" i="31"/>
  <c r="C78" i="31" s="1"/>
  <c r="B79" i="31"/>
  <c r="N78" i="31"/>
  <c r="AG77" i="31"/>
  <c r="AG76" i="31"/>
  <c r="AG75" i="31"/>
  <c r="AG74" i="31"/>
  <c r="AG73" i="31"/>
  <c r="AG72" i="31"/>
  <c r="AG71" i="31"/>
  <c r="AG70" i="31"/>
  <c r="AG69" i="31"/>
  <c r="AG68" i="31"/>
  <c r="AG67" i="31"/>
  <c r="AG66" i="31"/>
  <c r="AG65" i="31"/>
  <c r="AG64" i="31"/>
  <c r="AG63" i="31"/>
  <c r="AG62" i="31"/>
  <c r="AG61" i="31"/>
  <c r="AG60" i="31"/>
  <c r="AG59" i="31"/>
  <c r="AG58" i="31"/>
  <c r="AG57" i="31"/>
  <c r="AG56" i="31"/>
  <c r="AG55" i="31"/>
  <c r="AG54" i="31"/>
  <c r="AF53" i="31"/>
  <c r="AF134" i="31" s="1"/>
  <c r="AE53" i="31"/>
  <c r="AE134" i="31" s="1"/>
  <c r="AD53" i="31"/>
  <c r="AD134" i="31" s="1"/>
  <c r="AC53" i="31"/>
  <c r="AC134" i="31" s="1"/>
  <c r="AB53" i="31"/>
  <c r="AB134" i="31" s="1"/>
  <c r="AA53" i="31"/>
  <c r="AA134" i="31" s="1"/>
  <c r="Z53" i="31"/>
  <c r="Z134" i="31" s="1"/>
  <c r="Y53" i="31"/>
  <c r="X53" i="31"/>
  <c r="X134" i="31" s="1"/>
  <c r="W53" i="31"/>
  <c r="W134" i="31" s="1"/>
  <c r="V53" i="31"/>
  <c r="V134" i="31" s="1"/>
  <c r="U53" i="31"/>
  <c r="U134" i="31" s="1"/>
  <c r="T53" i="31"/>
  <c r="T134" i="31" s="1"/>
  <c r="S53" i="31"/>
  <c r="S134" i="31" s="1"/>
  <c r="R53" i="31"/>
  <c r="R134" i="31" s="1"/>
  <c r="Q53" i="31"/>
  <c r="Q134" i="31" s="1"/>
  <c r="P53" i="31"/>
  <c r="P134" i="31" s="1"/>
  <c r="O53" i="31"/>
  <c r="O134" i="31" s="1"/>
  <c r="N53" i="31"/>
  <c r="N134" i="31" s="1"/>
  <c r="M53" i="31"/>
  <c r="M134" i="31" s="1"/>
  <c r="L53" i="31"/>
  <c r="L134" i="31" s="1"/>
  <c r="K53" i="31"/>
  <c r="K134" i="31" s="1"/>
  <c r="J53" i="31"/>
  <c r="J134" i="31" s="1"/>
  <c r="I53" i="31"/>
  <c r="I134" i="31" s="1"/>
  <c r="H53" i="31"/>
  <c r="H134" i="31" s="1"/>
  <c r="G53" i="31"/>
  <c r="G134" i="31" s="1"/>
  <c r="F53" i="31"/>
  <c r="F134" i="31" s="1"/>
  <c r="E53" i="31"/>
  <c r="E134" i="31" s="1"/>
  <c r="D53" i="31"/>
  <c r="D134" i="31" s="1"/>
  <c r="C53" i="31"/>
  <c r="C134" i="31" s="1"/>
  <c r="B53" i="31"/>
  <c r="B134" i="31" s="1"/>
  <c r="AG52" i="31"/>
  <c r="AG51" i="31"/>
  <c r="AG50" i="31"/>
  <c r="AG49" i="31"/>
  <c r="AG48" i="31"/>
  <c r="AG47" i="31"/>
  <c r="AG46" i="31"/>
  <c r="AG45" i="31"/>
  <c r="AG44" i="31"/>
  <c r="AG43" i="31"/>
  <c r="AG42" i="31"/>
  <c r="AG41" i="31"/>
  <c r="AG40" i="31"/>
  <c r="AG39" i="31"/>
  <c r="AG38" i="31"/>
  <c r="AG37" i="31"/>
  <c r="AG36" i="31"/>
  <c r="AG35" i="31"/>
  <c r="AG34" i="31"/>
  <c r="AG33" i="31"/>
  <c r="AG32" i="31"/>
  <c r="AG31" i="31"/>
  <c r="AG30" i="31"/>
  <c r="AG29" i="31"/>
  <c r="AF28" i="31"/>
  <c r="AF133" i="31" s="1"/>
  <c r="AE28" i="31"/>
  <c r="AE133" i="31" s="1"/>
  <c r="AD28" i="31"/>
  <c r="AD133" i="31" s="1"/>
  <c r="AC28" i="31"/>
  <c r="AC133" i="31" s="1"/>
  <c r="AB28" i="31"/>
  <c r="AB133" i="31" s="1"/>
  <c r="AA28" i="31"/>
  <c r="AA133" i="31" s="1"/>
  <c r="Z28" i="31"/>
  <c r="Z133" i="31" s="1"/>
  <c r="Y28" i="31"/>
  <c r="Y133" i="31" s="1"/>
  <c r="X28" i="31"/>
  <c r="X133" i="31" s="1"/>
  <c r="W28" i="31"/>
  <c r="W133" i="31" s="1"/>
  <c r="V28" i="31"/>
  <c r="V133" i="31" s="1"/>
  <c r="U28" i="31"/>
  <c r="U133" i="31" s="1"/>
  <c r="T28" i="31"/>
  <c r="T133" i="31" s="1"/>
  <c r="S28" i="31"/>
  <c r="S133" i="31" s="1"/>
  <c r="R28" i="31"/>
  <c r="R133" i="31" s="1"/>
  <c r="Q28" i="31"/>
  <c r="Q133" i="31" s="1"/>
  <c r="P28" i="31"/>
  <c r="P133" i="31" s="1"/>
  <c r="O28" i="31"/>
  <c r="O133" i="31" s="1"/>
  <c r="N28" i="31"/>
  <c r="N133" i="31" s="1"/>
  <c r="M28" i="31"/>
  <c r="M133" i="31" s="1"/>
  <c r="L28" i="31"/>
  <c r="L133" i="31" s="1"/>
  <c r="K28" i="31"/>
  <c r="K133" i="31" s="1"/>
  <c r="J28" i="31"/>
  <c r="J133" i="31" s="1"/>
  <c r="I28" i="31"/>
  <c r="I133" i="31" s="1"/>
  <c r="H28" i="31"/>
  <c r="H133" i="31" s="1"/>
  <c r="G28" i="31"/>
  <c r="G133" i="31" s="1"/>
  <c r="F28" i="31"/>
  <c r="F133" i="31" s="1"/>
  <c r="E28" i="31"/>
  <c r="E133" i="31" s="1"/>
  <c r="D28" i="31"/>
  <c r="D133" i="31" s="1"/>
  <c r="C28" i="31"/>
  <c r="C133" i="31" s="1"/>
  <c r="B28" i="31"/>
  <c r="B133" i="31" s="1"/>
  <c r="AG27" i="31"/>
  <c r="AG26" i="31"/>
  <c r="AG25" i="31"/>
  <c r="AG24" i="31"/>
  <c r="AG23" i="31"/>
  <c r="AG22" i="31"/>
  <c r="AG21" i="31"/>
  <c r="AG20" i="31"/>
  <c r="AG19" i="31"/>
  <c r="AG18" i="31"/>
  <c r="AG17" i="31"/>
  <c r="AG16" i="31"/>
  <c r="AG15" i="31"/>
  <c r="AG14" i="31"/>
  <c r="AG13" i="31"/>
  <c r="AG12" i="31"/>
  <c r="AG11" i="31"/>
  <c r="AG10" i="31"/>
  <c r="AG9" i="31"/>
  <c r="AG8" i="31"/>
  <c r="AG7" i="31"/>
  <c r="AG6" i="31"/>
  <c r="AG5" i="31"/>
  <c r="AG4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E3" i="31"/>
  <c r="D3" i="31"/>
  <c r="C3" i="31"/>
  <c r="B3" i="31"/>
  <c r="C2" i="31"/>
  <c r="D2" i="31" s="1"/>
  <c r="E2" i="31" s="1"/>
  <c r="F2" i="31" s="1"/>
  <c r="G2" i="31" s="1"/>
  <c r="H2" i="31" s="1"/>
  <c r="I2" i="31" s="1"/>
  <c r="J2" i="31" s="1"/>
  <c r="K2" i="31" s="1"/>
  <c r="L2" i="31" s="1"/>
  <c r="M2" i="31" s="1"/>
  <c r="N2" i="31" s="1"/>
  <c r="O2" i="31" s="1"/>
  <c r="P2" i="31" s="1"/>
  <c r="Q2" i="31" s="1"/>
  <c r="R2" i="31" s="1"/>
  <c r="S2" i="31" s="1"/>
  <c r="T2" i="31" s="1"/>
  <c r="U2" i="31" s="1"/>
  <c r="V2" i="31" s="1"/>
  <c r="W2" i="31" s="1"/>
  <c r="X2" i="31" s="1"/>
  <c r="Y2" i="31" s="1"/>
  <c r="Z2" i="31" s="1"/>
  <c r="AA2" i="31" s="1"/>
  <c r="AB2" i="31" s="1"/>
  <c r="AC2" i="31" s="1"/>
  <c r="AD2" i="31" s="1"/>
  <c r="AE2" i="31" s="1"/>
  <c r="AF2" i="31" s="1"/>
  <c r="G178" i="23"/>
  <c r="G177" i="23"/>
  <c r="G174" i="23"/>
  <c r="G173" i="23"/>
  <c r="G166" i="23"/>
  <c r="G150" i="23"/>
  <c r="G149" i="23"/>
  <c r="G142" i="23"/>
  <c r="G141" i="23"/>
  <c r="G138" i="23"/>
  <c r="G137" i="23"/>
  <c r="G130" i="23"/>
  <c r="G126" i="23"/>
  <c r="G118" i="23"/>
  <c r="G117" i="23"/>
  <c r="G114" i="23"/>
  <c r="G106" i="23"/>
  <c r="G105" i="23"/>
  <c r="G102" i="23"/>
  <c r="G101" i="23"/>
  <c r="G97" i="23"/>
  <c r="G90" i="23"/>
  <c r="G89" i="23"/>
  <c r="G85" i="23"/>
  <c r="G77" i="23"/>
  <c r="G66" i="23"/>
  <c r="G49" i="23"/>
  <c r="G46" i="23"/>
  <c r="G45" i="23"/>
  <c r="G42" i="23"/>
  <c r="G41" i="23"/>
  <c r="G37" i="23"/>
  <c r="G34" i="23"/>
  <c r="G33" i="23"/>
  <c r="G30" i="23"/>
  <c r="G29" i="23"/>
  <c r="G18" i="23"/>
  <c r="G17" i="23"/>
  <c r="G6" i="23"/>
  <c r="G5" i="23"/>
  <c r="F176" i="23"/>
  <c r="F175" i="23"/>
  <c r="F172" i="23"/>
  <c r="F167" i="23"/>
  <c r="F163" i="23"/>
  <c r="F160" i="23"/>
  <c r="F159" i="23"/>
  <c r="F155" i="23"/>
  <c r="F151" i="23"/>
  <c r="F148" i="23"/>
  <c r="F147" i="23"/>
  <c r="F140" i="23"/>
  <c r="F131" i="23"/>
  <c r="F128" i="23"/>
  <c r="F127" i="23"/>
  <c r="F124" i="23"/>
  <c r="F123" i="23"/>
  <c r="F115" i="23"/>
  <c r="F112" i="23"/>
  <c r="F111" i="23"/>
  <c r="F107" i="23"/>
  <c r="F104" i="23"/>
  <c r="F103" i="23"/>
  <c r="F99" i="23"/>
  <c r="F92" i="23"/>
  <c r="F91" i="23"/>
  <c r="F88" i="23"/>
  <c r="F80" i="23"/>
  <c r="F76" i="23"/>
  <c r="F64" i="23"/>
  <c r="F56" i="23"/>
  <c r="F55" i="23"/>
  <c r="F52" i="23"/>
  <c r="F51" i="23"/>
  <c r="F47" i="23"/>
  <c r="F44" i="23"/>
  <c r="F43" i="23"/>
  <c r="F40" i="23"/>
  <c r="F39" i="23"/>
  <c r="F35" i="23"/>
  <c r="F32" i="23"/>
  <c r="F31" i="23"/>
  <c r="F20" i="23"/>
  <c r="F19" i="23"/>
  <c r="F16" i="23"/>
  <c r="F4" i="23"/>
  <c r="E170" i="23"/>
  <c r="E169" i="23"/>
  <c r="E165" i="23"/>
  <c r="E162" i="23"/>
  <c r="E161" i="23"/>
  <c r="E158" i="23"/>
  <c r="E157" i="23"/>
  <c r="E153" i="23"/>
  <c r="E150" i="23"/>
  <c r="E149" i="23"/>
  <c r="E146" i="23"/>
  <c r="E145" i="23"/>
  <c r="E138" i="23"/>
  <c r="E137" i="23"/>
  <c r="E129" i="23"/>
  <c r="E126" i="23"/>
  <c r="E125" i="23"/>
  <c r="E122" i="23"/>
  <c r="E121" i="23"/>
  <c r="E114" i="23"/>
  <c r="E113" i="23"/>
  <c r="E110" i="23"/>
  <c r="E109" i="23"/>
  <c r="E105" i="23"/>
  <c r="E102" i="23"/>
  <c r="E101" i="23"/>
  <c r="E98" i="23"/>
  <c r="E90" i="23"/>
  <c r="E89" i="23"/>
  <c r="E86" i="23"/>
  <c r="E77" i="23"/>
  <c r="E73" i="23"/>
  <c r="E69" i="23"/>
  <c r="E66" i="23"/>
  <c r="E65" i="23"/>
  <c r="E61" i="23"/>
  <c r="E57" i="23"/>
  <c r="E50" i="23"/>
  <c r="E49" i="23"/>
  <c r="E42" i="23"/>
  <c r="E41" i="23"/>
  <c r="E38" i="23"/>
  <c r="E37" i="23"/>
  <c r="E30" i="23"/>
  <c r="E25" i="23"/>
  <c r="E21" i="23"/>
  <c r="E17" i="23"/>
  <c r="E13" i="23"/>
  <c r="E9" i="23"/>
  <c r="E6" i="23"/>
  <c r="E5" i="23"/>
  <c r="AG180" i="30"/>
  <c r="AG179" i="30"/>
  <c r="AG178" i="30"/>
  <c r="AG177" i="30"/>
  <c r="AG176" i="30"/>
  <c r="AG175" i="30"/>
  <c r="AG174" i="30"/>
  <c r="AG173" i="30"/>
  <c r="AG172" i="30"/>
  <c r="AF171" i="30"/>
  <c r="AE171" i="30"/>
  <c r="AD171" i="30"/>
  <c r="AC171" i="30"/>
  <c r="AB171" i="30"/>
  <c r="AA171" i="30"/>
  <c r="Z171" i="30"/>
  <c r="Y171" i="30"/>
  <c r="X171" i="30"/>
  <c r="W171" i="30"/>
  <c r="V171" i="30"/>
  <c r="U171" i="30"/>
  <c r="T171" i="30"/>
  <c r="S171" i="30"/>
  <c r="R171" i="30"/>
  <c r="Q171" i="30"/>
  <c r="P171" i="30"/>
  <c r="O171" i="30"/>
  <c r="N171" i="30"/>
  <c r="M171" i="30"/>
  <c r="L171" i="30"/>
  <c r="K171" i="30"/>
  <c r="J171" i="30"/>
  <c r="I171" i="30"/>
  <c r="H171" i="30"/>
  <c r="G171" i="30"/>
  <c r="F171" i="30"/>
  <c r="E171" i="30"/>
  <c r="D171" i="30"/>
  <c r="C171" i="30"/>
  <c r="B171" i="30"/>
  <c r="AG170" i="30"/>
  <c r="AG169" i="30"/>
  <c r="AG168" i="30"/>
  <c r="AG167" i="30"/>
  <c r="AG166" i="30"/>
  <c r="AG165" i="30"/>
  <c r="AG164" i="30"/>
  <c r="AG163" i="30"/>
  <c r="AG162" i="30"/>
  <c r="AG161" i="30"/>
  <c r="AG160" i="30"/>
  <c r="AG159" i="30"/>
  <c r="AG158" i="30"/>
  <c r="AG157" i="30"/>
  <c r="AG156" i="30"/>
  <c r="AG155" i="30"/>
  <c r="AG154" i="30"/>
  <c r="AG153" i="30"/>
  <c r="AG152" i="30"/>
  <c r="AG151" i="30"/>
  <c r="AG150" i="30"/>
  <c r="AG149" i="30"/>
  <c r="AG148" i="30"/>
  <c r="AG147" i="30"/>
  <c r="AG146" i="30"/>
  <c r="AG145" i="30"/>
  <c r="AF144" i="30"/>
  <c r="AE144" i="30"/>
  <c r="AD144" i="30"/>
  <c r="AC144" i="30"/>
  <c r="AB144" i="30"/>
  <c r="AA144" i="30"/>
  <c r="Z144" i="30"/>
  <c r="Y144" i="30"/>
  <c r="X144" i="30"/>
  <c r="W144" i="30"/>
  <c r="V144" i="30"/>
  <c r="U144" i="30"/>
  <c r="T144" i="30"/>
  <c r="S144" i="30"/>
  <c r="R144" i="30"/>
  <c r="Q144" i="30"/>
  <c r="P144" i="30"/>
  <c r="O144" i="30"/>
  <c r="N144" i="30"/>
  <c r="M144" i="30"/>
  <c r="L144" i="30"/>
  <c r="K144" i="30"/>
  <c r="J144" i="30"/>
  <c r="I144" i="30"/>
  <c r="H144" i="30"/>
  <c r="G144" i="30"/>
  <c r="F144" i="30"/>
  <c r="E144" i="30"/>
  <c r="D144" i="30"/>
  <c r="C144" i="30"/>
  <c r="B144" i="30"/>
  <c r="AG143" i="30"/>
  <c r="AG142" i="30"/>
  <c r="AG141" i="30"/>
  <c r="AG140" i="30"/>
  <c r="AF139" i="30"/>
  <c r="AE139" i="30"/>
  <c r="AD139" i="30"/>
  <c r="AC139" i="30"/>
  <c r="AB139" i="30"/>
  <c r="AA139" i="30"/>
  <c r="Z139" i="30"/>
  <c r="Y139" i="30"/>
  <c r="X139" i="30"/>
  <c r="W139" i="30"/>
  <c r="V139" i="30"/>
  <c r="U139" i="30"/>
  <c r="T139" i="30"/>
  <c r="S139" i="30"/>
  <c r="R139" i="30"/>
  <c r="Q139" i="30"/>
  <c r="P139" i="30"/>
  <c r="O139" i="30"/>
  <c r="N139" i="30"/>
  <c r="M139" i="30"/>
  <c r="L139" i="30"/>
  <c r="K139" i="30"/>
  <c r="J139" i="30"/>
  <c r="I139" i="30"/>
  <c r="H139" i="30"/>
  <c r="G139" i="30"/>
  <c r="F139" i="30"/>
  <c r="E139" i="30"/>
  <c r="D139" i="30"/>
  <c r="C139" i="30"/>
  <c r="B139" i="30"/>
  <c r="AG138" i="30"/>
  <c r="AG137" i="30"/>
  <c r="AG136" i="30"/>
  <c r="AF135" i="30"/>
  <c r="AE135" i="30"/>
  <c r="AD135" i="30"/>
  <c r="AC135" i="30"/>
  <c r="AB135" i="30"/>
  <c r="AA135" i="30"/>
  <c r="Z135" i="30"/>
  <c r="Y135" i="30"/>
  <c r="X135" i="30"/>
  <c r="W135" i="30"/>
  <c r="V135" i="30"/>
  <c r="U135" i="30"/>
  <c r="T135" i="30"/>
  <c r="S135" i="30"/>
  <c r="R135" i="30"/>
  <c r="Q135" i="30"/>
  <c r="P135" i="30"/>
  <c r="O135" i="30"/>
  <c r="N135" i="30"/>
  <c r="M135" i="30"/>
  <c r="L135" i="30"/>
  <c r="K135" i="30"/>
  <c r="J135" i="30"/>
  <c r="I135" i="30"/>
  <c r="H135" i="30"/>
  <c r="G135" i="30"/>
  <c r="F135" i="30"/>
  <c r="E135" i="30"/>
  <c r="D135" i="30"/>
  <c r="C135" i="30"/>
  <c r="B135" i="30"/>
  <c r="AG132" i="30"/>
  <c r="AG131" i="30"/>
  <c r="AG130" i="30"/>
  <c r="AG129" i="30"/>
  <c r="AG128" i="30"/>
  <c r="AG127" i="30"/>
  <c r="AG126" i="30"/>
  <c r="AG125" i="30"/>
  <c r="AG124" i="30"/>
  <c r="AG123" i="30"/>
  <c r="AG122" i="30"/>
  <c r="AG121" i="30"/>
  <c r="AG120" i="30"/>
  <c r="AF119" i="30"/>
  <c r="AE119" i="30"/>
  <c r="AD119" i="30"/>
  <c r="AC119" i="30"/>
  <c r="AB119" i="30"/>
  <c r="AA119" i="30"/>
  <c r="Z119" i="30"/>
  <c r="Y119" i="30"/>
  <c r="X119" i="30"/>
  <c r="W119" i="30"/>
  <c r="V119" i="30"/>
  <c r="U119" i="30"/>
  <c r="T119" i="30"/>
  <c r="S119" i="30"/>
  <c r="R119" i="30"/>
  <c r="Q119" i="30"/>
  <c r="P119" i="30"/>
  <c r="O119" i="30"/>
  <c r="N119" i="30"/>
  <c r="M119" i="30"/>
  <c r="L119" i="30"/>
  <c r="K119" i="30"/>
  <c r="J119" i="30"/>
  <c r="I119" i="30"/>
  <c r="H119" i="30"/>
  <c r="G119" i="30"/>
  <c r="F119" i="30"/>
  <c r="E119" i="30"/>
  <c r="D119" i="30"/>
  <c r="C119" i="30"/>
  <c r="B119" i="30"/>
  <c r="AG118" i="30"/>
  <c r="AG117" i="30"/>
  <c r="AF116" i="30"/>
  <c r="AE116" i="30"/>
  <c r="AD116" i="30"/>
  <c r="AC116" i="30"/>
  <c r="AB116" i="30"/>
  <c r="AA116" i="30"/>
  <c r="Z116" i="30"/>
  <c r="Y116" i="30"/>
  <c r="X116" i="30"/>
  <c r="W116" i="30"/>
  <c r="V116" i="30"/>
  <c r="U116" i="30"/>
  <c r="T116" i="30"/>
  <c r="S116" i="30"/>
  <c r="R116" i="30"/>
  <c r="Q116" i="30"/>
  <c r="P116" i="30"/>
  <c r="O116" i="30"/>
  <c r="N116" i="30"/>
  <c r="M116" i="30"/>
  <c r="L116" i="30"/>
  <c r="K116" i="30"/>
  <c r="J116" i="30"/>
  <c r="I116" i="30"/>
  <c r="H116" i="30"/>
  <c r="G116" i="30"/>
  <c r="F116" i="30"/>
  <c r="E116" i="30"/>
  <c r="D116" i="30"/>
  <c r="C116" i="30"/>
  <c r="B116" i="30"/>
  <c r="AG115" i="30"/>
  <c r="AG114" i="30"/>
  <c r="AG113" i="30"/>
  <c r="AG112" i="30"/>
  <c r="AG111" i="30"/>
  <c r="AG110" i="30"/>
  <c r="AG109" i="30"/>
  <c r="AG108" i="30"/>
  <c r="AG107" i="30"/>
  <c r="AG106" i="30"/>
  <c r="AG105" i="30"/>
  <c r="AG104" i="30"/>
  <c r="AG103" i="30"/>
  <c r="AG102" i="30"/>
  <c r="AG101" i="30"/>
  <c r="AF100" i="30"/>
  <c r="AE100" i="30"/>
  <c r="AD100" i="30"/>
  <c r="AC100" i="30"/>
  <c r="AB100" i="30"/>
  <c r="AA100" i="30"/>
  <c r="Z100" i="30"/>
  <c r="Y100" i="30"/>
  <c r="X100" i="30"/>
  <c r="W100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I100" i="30"/>
  <c r="H100" i="30"/>
  <c r="G100" i="30"/>
  <c r="F100" i="30"/>
  <c r="E100" i="30"/>
  <c r="D100" i="30"/>
  <c r="C100" i="30"/>
  <c r="B100" i="30"/>
  <c r="AG99" i="30"/>
  <c r="AG98" i="30"/>
  <c r="AG97" i="30"/>
  <c r="AG96" i="30"/>
  <c r="AG95" i="30"/>
  <c r="AF94" i="30"/>
  <c r="AE94" i="30"/>
  <c r="AD94" i="30"/>
  <c r="AD93" i="30" s="1"/>
  <c r="AC94" i="30"/>
  <c r="AB94" i="30"/>
  <c r="AA94" i="30"/>
  <c r="Z94" i="30"/>
  <c r="Y94" i="30"/>
  <c r="X94" i="30"/>
  <c r="W94" i="30"/>
  <c r="V94" i="30"/>
  <c r="U94" i="30"/>
  <c r="T94" i="30"/>
  <c r="S94" i="30"/>
  <c r="R94" i="30"/>
  <c r="Q94" i="30"/>
  <c r="P94" i="30"/>
  <c r="O94" i="30"/>
  <c r="N94" i="30"/>
  <c r="M94" i="30"/>
  <c r="L94" i="30"/>
  <c r="K94" i="30"/>
  <c r="J94" i="30"/>
  <c r="I94" i="30"/>
  <c r="I93" i="30" s="1"/>
  <c r="H94" i="30"/>
  <c r="H93" i="30" s="1"/>
  <c r="G94" i="30"/>
  <c r="F94" i="30"/>
  <c r="E94" i="30"/>
  <c r="D94" i="30"/>
  <c r="C94" i="30"/>
  <c r="C93" i="30" s="1"/>
  <c r="B94" i="30"/>
  <c r="AG92" i="30"/>
  <c r="AG91" i="30"/>
  <c r="AG90" i="30"/>
  <c r="AG89" i="30"/>
  <c r="AG88" i="30"/>
  <c r="AF87" i="30"/>
  <c r="AE87" i="30"/>
  <c r="AD87" i="30"/>
  <c r="AC87" i="30"/>
  <c r="AB87" i="30"/>
  <c r="AA87" i="30"/>
  <c r="Z87" i="30"/>
  <c r="Y87" i="30"/>
  <c r="X87" i="30"/>
  <c r="W87" i="30"/>
  <c r="V87" i="30"/>
  <c r="U87" i="30"/>
  <c r="T87" i="30"/>
  <c r="S87" i="30"/>
  <c r="R87" i="30"/>
  <c r="Q87" i="30"/>
  <c r="P87" i="30"/>
  <c r="O87" i="30"/>
  <c r="N87" i="30"/>
  <c r="M87" i="30"/>
  <c r="L87" i="30"/>
  <c r="K87" i="30"/>
  <c r="J87" i="30"/>
  <c r="I87" i="30"/>
  <c r="H87" i="30"/>
  <c r="G87" i="30"/>
  <c r="F87" i="30"/>
  <c r="E87" i="30"/>
  <c r="D87" i="30"/>
  <c r="C87" i="30"/>
  <c r="B87" i="30"/>
  <c r="AG86" i="30"/>
  <c r="AG85" i="30"/>
  <c r="AF84" i="30"/>
  <c r="AE84" i="30"/>
  <c r="AD84" i="30"/>
  <c r="AC84" i="30"/>
  <c r="AB84" i="30"/>
  <c r="AA84" i="30"/>
  <c r="Z84" i="30"/>
  <c r="Y84" i="30"/>
  <c r="X84" i="30"/>
  <c r="W84" i="30"/>
  <c r="V84" i="30"/>
  <c r="U84" i="30"/>
  <c r="T84" i="30"/>
  <c r="S84" i="30"/>
  <c r="R84" i="30"/>
  <c r="Q84" i="30"/>
  <c r="P84" i="30"/>
  <c r="O84" i="30"/>
  <c r="N84" i="30"/>
  <c r="M84" i="30"/>
  <c r="L84" i="30"/>
  <c r="K84" i="30"/>
  <c r="J84" i="30"/>
  <c r="I84" i="30"/>
  <c r="H84" i="30"/>
  <c r="G84" i="30"/>
  <c r="F84" i="30"/>
  <c r="E84" i="30"/>
  <c r="D84" i="30"/>
  <c r="C84" i="30"/>
  <c r="B84" i="30"/>
  <c r="AF82" i="30"/>
  <c r="AF83" i="30" s="1"/>
  <c r="AF81" i="30" s="1"/>
  <c r="AE82" i="30"/>
  <c r="AE83" i="30" s="1"/>
  <c r="AD82" i="30"/>
  <c r="AD83" i="30" s="1"/>
  <c r="AD81" i="30" s="1"/>
  <c r="AC82" i="30"/>
  <c r="AC83" i="30" s="1"/>
  <c r="AC81" i="30" s="1"/>
  <c r="AB82" i="30"/>
  <c r="AA82" i="30"/>
  <c r="AA83" i="30" s="1"/>
  <c r="Z82" i="30"/>
  <c r="Z83" i="30" s="1"/>
  <c r="Z81" i="30" s="1"/>
  <c r="Y82" i="30"/>
  <c r="Y83" i="30" s="1"/>
  <c r="X82" i="30"/>
  <c r="X83" i="30" s="1"/>
  <c r="X81" i="30" s="1"/>
  <c r="W82" i="30"/>
  <c r="W83" i="30" s="1"/>
  <c r="V82" i="30"/>
  <c r="V83" i="30" s="1"/>
  <c r="V81" i="30" s="1"/>
  <c r="U82" i="30"/>
  <c r="U83" i="30" s="1"/>
  <c r="U81" i="30" s="1"/>
  <c r="T82" i="30"/>
  <c r="S82" i="30"/>
  <c r="S83" i="30" s="1"/>
  <c r="R82" i="30"/>
  <c r="R83" i="30" s="1"/>
  <c r="R81" i="30" s="1"/>
  <c r="Q82" i="30"/>
  <c r="Q83" i="30" s="1"/>
  <c r="P82" i="30"/>
  <c r="P83" i="30" s="1"/>
  <c r="P81" i="30" s="1"/>
  <c r="O82" i="30"/>
  <c r="O83" i="30" s="1"/>
  <c r="N82" i="30"/>
  <c r="N83" i="30" s="1"/>
  <c r="N81" i="30" s="1"/>
  <c r="M82" i="30"/>
  <c r="M83" i="30" s="1"/>
  <c r="M81" i="30" s="1"/>
  <c r="L82" i="30"/>
  <c r="K82" i="30"/>
  <c r="K83" i="30" s="1"/>
  <c r="J82" i="30"/>
  <c r="J83" i="30" s="1"/>
  <c r="J81" i="30" s="1"/>
  <c r="I82" i="30"/>
  <c r="I83" i="30" s="1"/>
  <c r="H82" i="30"/>
  <c r="H83" i="30" s="1"/>
  <c r="H81" i="30" s="1"/>
  <c r="G82" i="30"/>
  <c r="G83" i="30" s="1"/>
  <c r="F82" i="30"/>
  <c r="F83" i="30" s="1"/>
  <c r="F81" i="30" s="1"/>
  <c r="E82" i="30"/>
  <c r="E83" i="30" s="1"/>
  <c r="E81" i="30" s="1"/>
  <c r="D82" i="30"/>
  <c r="C82" i="30"/>
  <c r="C83" i="30" s="1"/>
  <c r="B82" i="30"/>
  <c r="B83" i="30" s="1"/>
  <c r="AG80" i="30"/>
  <c r="AF79" i="30"/>
  <c r="AF78" i="30" s="1"/>
  <c r="AE79" i="30"/>
  <c r="AE78" i="30" s="1"/>
  <c r="AD79" i="30"/>
  <c r="AD78" i="30" s="1"/>
  <c r="AC79" i="30"/>
  <c r="AC78" i="30" s="1"/>
  <c r="AB79" i="30"/>
  <c r="AB78" i="30" s="1"/>
  <c r="AA79" i="30"/>
  <c r="AA78" i="30" s="1"/>
  <c r="Z79" i="30"/>
  <c r="Z78" i="30" s="1"/>
  <c r="Y79" i="30"/>
  <c r="Y78" i="30" s="1"/>
  <c r="X79" i="30"/>
  <c r="X78" i="30" s="1"/>
  <c r="W79" i="30"/>
  <c r="W78" i="30" s="1"/>
  <c r="V79" i="30"/>
  <c r="V78" i="30" s="1"/>
  <c r="U79" i="30"/>
  <c r="U78" i="30" s="1"/>
  <c r="T79" i="30"/>
  <c r="T78" i="30" s="1"/>
  <c r="S79" i="30"/>
  <c r="S78" i="30" s="1"/>
  <c r="R79" i="30"/>
  <c r="R78" i="30" s="1"/>
  <c r="Q79" i="30"/>
  <c r="Q78" i="30" s="1"/>
  <c r="P79" i="30"/>
  <c r="P78" i="30" s="1"/>
  <c r="O79" i="30"/>
  <c r="O78" i="30" s="1"/>
  <c r="N79" i="30"/>
  <c r="N78" i="30" s="1"/>
  <c r="M79" i="30"/>
  <c r="M78" i="30" s="1"/>
  <c r="L79" i="30"/>
  <c r="L78" i="30" s="1"/>
  <c r="K79" i="30"/>
  <c r="K78" i="30" s="1"/>
  <c r="J79" i="30"/>
  <c r="J78" i="30" s="1"/>
  <c r="I79" i="30"/>
  <c r="I78" i="30" s="1"/>
  <c r="H79" i="30"/>
  <c r="H78" i="30" s="1"/>
  <c r="G79" i="30"/>
  <c r="G78" i="30" s="1"/>
  <c r="F79" i="30"/>
  <c r="F78" i="30" s="1"/>
  <c r="E79" i="30"/>
  <c r="E78" i="30" s="1"/>
  <c r="D79" i="30"/>
  <c r="D78" i="30" s="1"/>
  <c r="C79" i="30"/>
  <c r="C78" i="30" s="1"/>
  <c r="B79" i="30"/>
  <c r="AG77" i="30"/>
  <c r="AG76" i="30"/>
  <c r="AG75" i="30"/>
  <c r="AG74" i="30"/>
  <c r="AG73" i="30"/>
  <c r="AG72" i="30"/>
  <c r="AG71" i="30"/>
  <c r="AG70" i="30"/>
  <c r="AG69" i="30"/>
  <c r="AG68" i="30"/>
  <c r="AG67" i="30"/>
  <c r="AG66" i="30"/>
  <c r="AG65" i="30"/>
  <c r="AG64" i="30"/>
  <c r="AG63" i="30"/>
  <c r="AG62" i="30"/>
  <c r="AG61" i="30"/>
  <c r="AG60" i="30"/>
  <c r="AG59" i="30"/>
  <c r="AG58" i="30"/>
  <c r="AG57" i="30"/>
  <c r="AG56" i="30"/>
  <c r="AG55" i="30"/>
  <c r="AG54" i="30"/>
  <c r="AF53" i="30"/>
  <c r="AF134" i="30" s="1"/>
  <c r="AE53" i="30"/>
  <c r="AE134" i="30" s="1"/>
  <c r="AD53" i="30"/>
  <c r="AD134" i="30" s="1"/>
  <c r="AC53" i="30"/>
  <c r="AC134" i="30" s="1"/>
  <c r="AB53" i="30"/>
  <c r="AB134" i="30" s="1"/>
  <c r="AA53" i="30"/>
  <c r="AA134" i="30" s="1"/>
  <c r="Z53" i="30"/>
  <c r="Z134" i="30" s="1"/>
  <c r="Y53" i="30"/>
  <c r="Y134" i="30" s="1"/>
  <c r="X53" i="30"/>
  <c r="X134" i="30" s="1"/>
  <c r="W53" i="30"/>
  <c r="W134" i="30" s="1"/>
  <c r="V53" i="30"/>
  <c r="V134" i="30" s="1"/>
  <c r="U53" i="30"/>
  <c r="U134" i="30" s="1"/>
  <c r="T53" i="30"/>
  <c r="T134" i="30" s="1"/>
  <c r="S53" i="30"/>
  <c r="S134" i="30" s="1"/>
  <c r="R53" i="30"/>
  <c r="R134" i="30" s="1"/>
  <c r="Q53" i="30"/>
  <c r="Q134" i="30" s="1"/>
  <c r="P53" i="30"/>
  <c r="P134" i="30" s="1"/>
  <c r="O53" i="30"/>
  <c r="O134" i="30" s="1"/>
  <c r="N53" i="30"/>
  <c r="N134" i="30" s="1"/>
  <c r="M53" i="30"/>
  <c r="M134" i="30" s="1"/>
  <c r="L53" i="30"/>
  <c r="L134" i="30" s="1"/>
  <c r="K53" i="30"/>
  <c r="K134" i="30" s="1"/>
  <c r="J53" i="30"/>
  <c r="J134" i="30" s="1"/>
  <c r="I53" i="30"/>
  <c r="I134" i="30" s="1"/>
  <c r="H53" i="30"/>
  <c r="H134" i="30" s="1"/>
  <c r="G53" i="30"/>
  <c r="G134" i="30" s="1"/>
  <c r="F53" i="30"/>
  <c r="F134" i="30" s="1"/>
  <c r="E53" i="30"/>
  <c r="E134" i="30" s="1"/>
  <c r="D53" i="30"/>
  <c r="D134" i="30" s="1"/>
  <c r="C53" i="30"/>
  <c r="C134" i="30" s="1"/>
  <c r="B53" i="30"/>
  <c r="B134" i="30" s="1"/>
  <c r="AG52" i="30"/>
  <c r="AG51" i="30"/>
  <c r="AG50" i="30"/>
  <c r="AG49" i="30"/>
  <c r="AG48" i="30"/>
  <c r="AG47" i="30"/>
  <c r="AG46" i="30"/>
  <c r="AG45" i="30"/>
  <c r="AG44" i="30"/>
  <c r="AG43" i="30"/>
  <c r="AG42" i="30"/>
  <c r="AG41" i="30"/>
  <c r="AG40" i="30"/>
  <c r="AG39" i="30"/>
  <c r="AG38" i="30"/>
  <c r="AG37" i="30"/>
  <c r="AG36" i="30"/>
  <c r="AG35" i="30"/>
  <c r="AG34" i="30"/>
  <c r="AG33" i="30"/>
  <c r="AG32" i="30"/>
  <c r="AG31" i="30"/>
  <c r="AG30" i="30"/>
  <c r="AG29" i="30"/>
  <c r="AF28" i="30"/>
  <c r="AF133" i="30" s="1"/>
  <c r="AE28" i="30"/>
  <c r="AE133" i="30" s="1"/>
  <c r="AD28" i="30"/>
  <c r="AD133" i="30" s="1"/>
  <c r="AC28" i="30"/>
  <c r="AC133" i="30" s="1"/>
  <c r="AB28" i="30"/>
  <c r="AB133" i="30" s="1"/>
  <c r="AA28" i="30"/>
  <c r="AA133" i="30" s="1"/>
  <c r="Z28" i="30"/>
  <c r="Z133" i="30" s="1"/>
  <c r="Y28" i="30"/>
  <c r="Y133" i="30" s="1"/>
  <c r="X28" i="30"/>
  <c r="X133" i="30" s="1"/>
  <c r="W28" i="30"/>
  <c r="W133" i="30" s="1"/>
  <c r="V28" i="30"/>
  <c r="V133" i="30" s="1"/>
  <c r="U28" i="30"/>
  <c r="U133" i="30" s="1"/>
  <c r="T28" i="30"/>
  <c r="T133" i="30" s="1"/>
  <c r="S28" i="30"/>
  <c r="S133" i="30" s="1"/>
  <c r="R28" i="30"/>
  <c r="R133" i="30" s="1"/>
  <c r="Q28" i="30"/>
  <c r="Q133" i="30" s="1"/>
  <c r="P28" i="30"/>
  <c r="P133" i="30" s="1"/>
  <c r="O28" i="30"/>
  <c r="O133" i="30" s="1"/>
  <c r="N28" i="30"/>
  <c r="N133" i="30" s="1"/>
  <c r="M28" i="30"/>
  <c r="M133" i="30" s="1"/>
  <c r="L28" i="30"/>
  <c r="L133" i="30" s="1"/>
  <c r="K28" i="30"/>
  <c r="K133" i="30" s="1"/>
  <c r="J28" i="30"/>
  <c r="J133" i="30" s="1"/>
  <c r="I28" i="30"/>
  <c r="I133" i="30" s="1"/>
  <c r="H28" i="30"/>
  <c r="H133" i="30" s="1"/>
  <c r="G28" i="30"/>
  <c r="G133" i="30" s="1"/>
  <c r="F28" i="30"/>
  <c r="F133" i="30" s="1"/>
  <c r="E28" i="30"/>
  <c r="E133" i="30" s="1"/>
  <c r="D28" i="30"/>
  <c r="D133" i="30" s="1"/>
  <c r="C28" i="30"/>
  <c r="C133" i="30" s="1"/>
  <c r="B28" i="30"/>
  <c r="B133" i="30" s="1"/>
  <c r="AG27" i="30"/>
  <c r="AG26" i="30"/>
  <c r="AG25" i="30"/>
  <c r="AG24" i="30"/>
  <c r="AG23" i="30"/>
  <c r="AG22" i="30"/>
  <c r="AG21" i="30"/>
  <c r="AG20" i="30"/>
  <c r="AG19" i="30"/>
  <c r="AG18" i="30"/>
  <c r="AG17" i="30"/>
  <c r="AG16" i="30"/>
  <c r="AG15" i="30"/>
  <c r="AG14" i="30"/>
  <c r="AG13" i="30"/>
  <c r="AG12" i="30"/>
  <c r="AG11" i="30"/>
  <c r="AG10" i="30"/>
  <c r="AG9" i="30"/>
  <c r="AG8" i="30"/>
  <c r="AG7" i="30"/>
  <c r="AG6" i="30"/>
  <c r="AG5" i="30"/>
  <c r="AG4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E3" i="30"/>
  <c r="D3" i="30"/>
  <c r="C3" i="30"/>
  <c r="B3" i="30"/>
  <c r="E2" i="30"/>
  <c r="F2" i="30" s="1"/>
  <c r="G2" i="30" s="1"/>
  <c r="H2" i="30" s="1"/>
  <c r="I2" i="30" s="1"/>
  <c r="J2" i="30" s="1"/>
  <c r="K2" i="30" s="1"/>
  <c r="L2" i="30" s="1"/>
  <c r="M2" i="30" s="1"/>
  <c r="N2" i="30" s="1"/>
  <c r="O2" i="30" s="1"/>
  <c r="P2" i="30" s="1"/>
  <c r="Q2" i="30" s="1"/>
  <c r="R2" i="30" s="1"/>
  <c r="S2" i="30" s="1"/>
  <c r="T2" i="30" s="1"/>
  <c r="U2" i="30" s="1"/>
  <c r="V2" i="30" s="1"/>
  <c r="W2" i="30" s="1"/>
  <c r="X2" i="30" s="1"/>
  <c r="Y2" i="30" s="1"/>
  <c r="Z2" i="30" s="1"/>
  <c r="AA2" i="30" s="1"/>
  <c r="AB2" i="30" s="1"/>
  <c r="AC2" i="30" s="1"/>
  <c r="AD2" i="30" s="1"/>
  <c r="AE2" i="30" s="1"/>
  <c r="AF2" i="30" s="1"/>
  <c r="C2" i="30"/>
  <c r="D2" i="30" s="1"/>
  <c r="AG180" i="29"/>
  <c r="AG179" i="29"/>
  <c r="AG178" i="29"/>
  <c r="AG177" i="29"/>
  <c r="AG176" i="29"/>
  <c r="AG175" i="29"/>
  <c r="AG174" i="29"/>
  <c r="AG173" i="29"/>
  <c r="AG172" i="29"/>
  <c r="AF171" i="29"/>
  <c r="AE171" i="29"/>
  <c r="AD171" i="29"/>
  <c r="AC171" i="29"/>
  <c r="AB171" i="29"/>
  <c r="AA171" i="29"/>
  <c r="Z171" i="29"/>
  <c r="Y171" i="29"/>
  <c r="X171" i="29"/>
  <c r="W171" i="29"/>
  <c r="V171" i="29"/>
  <c r="U171" i="29"/>
  <c r="T171" i="29"/>
  <c r="S171" i="29"/>
  <c r="R171" i="29"/>
  <c r="Q171" i="29"/>
  <c r="P171" i="29"/>
  <c r="O171" i="29"/>
  <c r="N171" i="29"/>
  <c r="M171" i="29"/>
  <c r="L171" i="29"/>
  <c r="K171" i="29"/>
  <c r="J171" i="29"/>
  <c r="I171" i="29"/>
  <c r="H171" i="29"/>
  <c r="G171" i="29"/>
  <c r="F171" i="29"/>
  <c r="E171" i="29"/>
  <c r="D171" i="29"/>
  <c r="C171" i="29"/>
  <c r="B171" i="29"/>
  <c r="AG170" i="29"/>
  <c r="AG169" i="29"/>
  <c r="AG168" i="29"/>
  <c r="AG167" i="29"/>
  <c r="AG166" i="29"/>
  <c r="AG165" i="29"/>
  <c r="AG164" i="29"/>
  <c r="AG163" i="29"/>
  <c r="AG162" i="29"/>
  <c r="AG161" i="29"/>
  <c r="AG160" i="29"/>
  <c r="AG159" i="29"/>
  <c r="AG158" i="29"/>
  <c r="AG157" i="29"/>
  <c r="AG156" i="29"/>
  <c r="AG155" i="29"/>
  <c r="AG154" i="29"/>
  <c r="AG153" i="29"/>
  <c r="AG152" i="29"/>
  <c r="AG151" i="29"/>
  <c r="AG150" i="29"/>
  <c r="AG149" i="29"/>
  <c r="AG148" i="29"/>
  <c r="AG147" i="29"/>
  <c r="AG146" i="29"/>
  <c r="AG145" i="29"/>
  <c r="AF144" i="29"/>
  <c r="AE144" i="29"/>
  <c r="AD144" i="29"/>
  <c r="AC144" i="29"/>
  <c r="AB144" i="29"/>
  <c r="AA144" i="29"/>
  <c r="Z144" i="29"/>
  <c r="Y144" i="29"/>
  <c r="X144" i="29"/>
  <c r="W144" i="29"/>
  <c r="V144" i="29"/>
  <c r="U144" i="29"/>
  <c r="T144" i="29"/>
  <c r="S144" i="29"/>
  <c r="R144" i="29"/>
  <c r="Q144" i="29"/>
  <c r="P144" i="29"/>
  <c r="O144" i="29"/>
  <c r="N144" i="29"/>
  <c r="M144" i="29"/>
  <c r="L144" i="29"/>
  <c r="K144" i="29"/>
  <c r="J144" i="29"/>
  <c r="I144" i="29"/>
  <c r="H144" i="29"/>
  <c r="G144" i="29"/>
  <c r="F144" i="29"/>
  <c r="E144" i="29"/>
  <c r="D144" i="29"/>
  <c r="C144" i="29"/>
  <c r="B144" i="29"/>
  <c r="AG143" i="29"/>
  <c r="AG142" i="29"/>
  <c r="AG141" i="29"/>
  <c r="AG140" i="29"/>
  <c r="AF139" i="29"/>
  <c r="AE139" i="29"/>
  <c r="AD139" i="29"/>
  <c r="AC139" i="29"/>
  <c r="AB139" i="29"/>
  <c r="AA139" i="29"/>
  <c r="Z139" i="29"/>
  <c r="Y139" i="29"/>
  <c r="X139" i="29"/>
  <c r="W139" i="29"/>
  <c r="V139" i="29"/>
  <c r="U139" i="29"/>
  <c r="T139" i="29"/>
  <c r="S139" i="29"/>
  <c r="R139" i="29"/>
  <c r="Q139" i="29"/>
  <c r="P139" i="29"/>
  <c r="O139" i="29"/>
  <c r="N139" i="29"/>
  <c r="M139" i="29"/>
  <c r="L139" i="29"/>
  <c r="K139" i="29"/>
  <c r="J139" i="29"/>
  <c r="I139" i="29"/>
  <c r="H139" i="29"/>
  <c r="G139" i="29"/>
  <c r="F139" i="29"/>
  <c r="E139" i="29"/>
  <c r="D139" i="29"/>
  <c r="C139" i="29"/>
  <c r="B139" i="29"/>
  <c r="AG138" i="29"/>
  <c r="AG137" i="29"/>
  <c r="AG136" i="29"/>
  <c r="AF135" i="29"/>
  <c r="AE135" i="29"/>
  <c r="AD135" i="29"/>
  <c r="AC135" i="29"/>
  <c r="AB135" i="29"/>
  <c r="AA135" i="29"/>
  <c r="Z135" i="29"/>
  <c r="Y135" i="29"/>
  <c r="X135" i="29"/>
  <c r="W135" i="29"/>
  <c r="V135" i="29"/>
  <c r="U135" i="29"/>
  <c r="T135" i="29"/>
  <c r="S135" i="29"/>
  <c r="R135" i="29"/>
  <c r="Q135" i="29"/>
  <c r="P135" i="29"/>
  <c r="O135" i="29"/>
  <c r="N135" i="29"/>
  <c r="M135" i="29"/>
  <c r="L135" i="29"/>
  <c r="K135" i="29"/>
  <c r="J135" i="29"/>
  <c r="I135" i="29"/>
  <c r="H135" i="29"/>
  <c r="G135" i="29"/>
  <c r="F135" i="29"/>
  <c r="E135" i="29"/>
  <c r="D135" i="29"/>
  <c r="C135" i="29"/>
  <c r="B135" i="29"/>
  <c r="AG135" i="29" s="1"/>
  <c r="AG132" i="29"/>
  <c r="AG131" i="29"/>
  <c r="AG130" i="29"/>
  <c r="AG129" i="29"/>
  <c r="AG128" i="29"/>
  <c r="AG127" i="29"/>
  <c r="AG126" i="29"/>
  <c r="AG125" i="29"/>
  <c r="AG124" i="29"/>
  <c r="AG123" i="29"/>
  <c r="AG122" i="29"/>
  <c r="AG121" i="29"/>
  <c r="AG120" i="29"/>
  <c r="AF119" i="29"/>
  <c r="AE119" i="29"/>
  <c r="AD119" i="29"/>
  <c r="AC119" i="29"/>
  <c r="AB119" i="29"/>
  <c r="AA119" i="29"/>
  <c r="Z119" i="29"/>
  <c r="Y119" i="29"/>
  <c r="X119" i="29"/>
  <c r="W119" i="29"/>
  <c r="V119" i="29"/>
  <c r="U119" i="29"/>
  <c r="T119" i="29"/>
  <c r="S119" i="29"/>
  <c r="R119" i="29"/>
  <c r="Q119" i="29"/>
  <c r="P119" i="29"/>
  <c r="O119" i="29"/>
  <c r="N119" i="29"/>
  <c r="M119" i="29"/>
  <c r="L119" i="29"/>
  <c r="K119" i="29"/>
  <c r="J119" i="29"/>
  <c r="I119" i="29"/>
  <c r="H119" i="29"/>
  <c r="G119" i="29"/>
  <c r="F119" i="29"/>
  <c r="E119" i="29"/>
  <c r="D119" i="29"/>
  <c r="C119" i="29"/>
  <c r="B119" i="29"/>
  <c r="AG119" i="29" s="1"/>
  <c r="AG118" i="29"/>
  <c r="AG117" i="29"/>
  <c r="AF116" i="29"/>
  <c r="AE116" i="29"/>
  <c r="AD116" i="29"/>
  <c r="AC116" i="29"/>
  <c r="AB116" i="29"/>
  <c r="AA116" i="29"/>
  <c r="Z116" i="29"/>
  <c r="Y116" i="29"/>
  <c r="X116" i="29"/>
  <c r="W116" i="29"/>
  <c r="V116" i="29"/>
  <c r="U116" i="29"/>
  <c r="T116" i="29"/>
  <c r="S116" i="29"/>
  <c r="R116" i="29"/>
  <c r="Q116" i="29"/>
  <c r="P116" i="29"/>
  <c r="O116" i="29"/>
  <c r="N116" i="29"/>
  <c r="M116" i="29"/>
  <c r="L116" i="29"/>
  <c r="K116" i="29"/>
  <c r="J116" i="29"/>
  <c r="I116" i="29"/>
  <c r="H116" i="29"/>
  <c r="G116" i="29"/>
  <c r="F116" i="29"/>
  <c r="E116" i="29"/>
  <c r="D116" i="29"/>
  <c r="C116" i="29"/>
  <c r="B116" i="29"/>
  <c r="AG115" i="29"/>
  <c r="AG114" i="29"/>
  <c r="AG113" i="29"/>
  <c r="AG112" i="29"/>
  <c r="AG111" i="29"/>
  <c r="AG110" i="29"/>
  <c r="AG109" i="29"/>
  <c r="AG108" i="29"/>
  <c r="AG107" i="29"/>
  <c r="AG106" i="29"/>
  <c r="AG105" i="29"/>
  <c r="AG104" i="29"/>
  <c r="AG103" i="29"/>
  <c r="AG102" i="29"/>
  <c r="AG101" i="29"/>
  <c r="AF100" i="29"/>
  <c r="AE100" i="29"/>
  <c r="AD100" i="29"/>
  <c r="AC100" i="29"/>
  <c r="AB100" i="29"/>
  <c r="AA100" i="29"/>
  <c r="Z100" i="29"/>
  <c r="Y100" i="29"/>
  <c r="X100" i="29"/>
  <c r="W100" i="29"/>
  <c r="V100" i="29"/>
  <c r="U100" i="29"/>
  <c r="T100" i="29"/>
  <c r="S100" i="29"/>
  <c r="R100" i="29"/>
  <c r="Q100" i="29"/>
  <c r="P100" i="29"/>
  <c r="O100" i="29"/>
  <c r="N100" i="29"/>
  <c r="M100" i="29"/>
  <c r="L100" i="29"/>
  <c r="K100" i="29"/>
  <c r="J100" i="29"/>
  <c r="I100" i="29"/>
  <c r="H100" i="29"/>
  <c r="G100" i="29"/>
  <c r="F100" i="29"/>
  <c r="E100" i="29"/>
  <c r="D100" i="29"/>
  <c r="C100" i="29"/>
  <c r="B100" i="29"/>
  <c r="AG99" i="29"/>
  <c r="AG98" i="29"/>
  <c r="AG97" i="29"/>
  <c r="AG96" i="29"/>
  <c r="AG95" i="29"/>
  <c r="AF94" i="29"/>
  <c r="AE94" i="29"/>
  <c r="AD94" i="29"/>
  <c r="AC94" i="29"/>
  <c r="AB94" i="29"/>
  <c r="AA94" i="29"/>
  <c r="AA93" i="29" s="1"/>
  <c r="Z94" i="29"/>
  <c r="Z93" i="29" s="1"/>
  <c r="Y94" i="29"/>
  <c r="X94" i="29"/>
  <c r="W94" i="29"/>
  <c r="V94" i="29"/>
  <c r="U94" i="29"/>
  <c r="T94" i="29"/>
  <c r="S94" i="29"/>
  <c r="R94" i="29"/>
  <c r="R93" i="29" s="1"/>
  <c r="Q94" i="29"/>
  <c r="P94" i="29"/>
  <c r="O94" i="29"/>
  <c r="N94" i="29"/>
  <c r="M94" i="29"/>
  <c r="L94" i="29"/>
  <c r="L93" i="29" s="1"/>
  <c r="K94" i="29"/>
  <c r="J94" i="29"/>
  <c r="J93" i="29" s="1"/>
  <c r="I94" i="29"/>
  <c r="I93" i="29" s="1"/>
  <c r="H94" i="29"/>
  <c r="G94" i="29"/>
  <c r="F94" i="29"/>
  <c r="E94" i="29"/>
  <c r="D94" i="29"/>
  <c r="C94" i="29"/>
  <c r="C93" i="29" s="1"/>
  <c r="B94" i="29"/>
  <c r="AF93" i="29"/>
  <c r="AB93" i="29"/>
  <c r="Y93" i="29"/>
  <c r="X93" i="29"/>
  <c r="T93" i="29"/>
  <c r="S93" i="29"/>
  <c r="Q93" i="29"/>
  <c r="P93" i="29"/>
  <c r="K93" i="29"/>
  <c r="H93" i="29"/>
  <c r="D93" i="29"/>
  <c r="AG92" i="29"/>
  <c r="AG91" i="29"/>
  <c r="AG90" i="29"/>
  <c r="AG89" i="29"/>
  <c r="AG88" i="29"/>
  <c r="AF87" i="29"/>
  <c r="AE87" i="29"/>
  <c r="AD87" i="29"/>
  <c r="AC87" i="29"/>
  <c r="AB87" i="29"/>
  <c r="AA87" i="29"/>
  <c r="Z87" i="29"/>
  <c r="Y87" i="29"/>
  <c r="X87" i="29"/>
  <c r="W87" i="29"/>
  <c r="V87" i="29"/>
  <c r="U87" i="29"/>
  <c r="T87" i="29"/>
  <c r="S87" i="29"/>
  <c r="R87" i="29"/>
  <c r="Q87" i="29"/>
  <c r="P87" i="29"/>
  <c r="O87" i="29"/>
  <c r="N87" i="29"/>
  <c r="M87" i="29"/>
  <c r="L87" i="29"/>
  <c r="K87" i="29"/>
  <c r="J87" i="29"/>
  <c r="I87" i="29"/>
  <c r="H87" i="29"/>
  <c r="G87" i="29"/>
  <c r="F87" i="29"/>
  <c r="E87" i="29"/>
  <c r="D87" i="29"/>
  <c r="C87" i="29"/>
  <c r="B87" i="29"/>
  <c r="AG86" i="29"/>
  <c r="AG85" i="29"/>
  <c r="AF84" i="29"/>
  <c r="AE84" i="29"/>
  <c r="AD84" i="29"/>
  <c r="AC84" i="29"/>
  <c r="AB84" i="29"/>
  <c r="AA84" i="29"/>
  <c r="Z84" i="29"/>
  <c r="Y84" i="29"/>
  <c r="X84" i="29"/>
  <c r="W84" i="29"/>
  <c r="V84" i="29"/>
  <c r="U84" i="29"/>
  <c r="T84" i="29"/>
  <c r="S84" i="29"/>
  <c r="R84" i="29"/>
  <c r="Q84" i="29"/>
  <c r="P84" i="29"/>
  <c r="O84" i="29"/>
  <c r="N84" i="29"/>
  <c r="M84" i="29"/>
  <c r="L84" i="29"/>
  <c r="K84" i="29"/>
  <c r="J84" i="29"/>
  <c r="I84" i="29"/>
  <c r="H84" i="29"/>
  <c r="G84" i="29"/>
  <c r="F84" i="29"/>
  <c r="E84" i="29"/>
  <c r="D84" i="29"/>
  <c r="C84" i="29"/>
  <c r="B84" i="29"/>
  <c r="AF82" i="29"/>
  <c r="AF83" i="29" s="1"/>
  <c r="AF81" i="29" s="1"/>
  <c r="AE82" i="29"/>
  <c r="AE83" i="29" s="1"/>
  <c r="AE81" i="29" s="1"/>
  <c r="AD82" i="29"/>
  <c r="AD83" i="29" s="1"/>
  <c r="AD81" i="29" s="1"/>
  <c r="AC82" i="29"/>
  <c r="AC83" i="29" s="1"/>
  <c r="AC81" i="29" s="1"/>
  <c r="AB82" i="29"/>
  <c r="AA82" i="29"/>
  <c r="AA83" i="29" s="1"/>
  <c r="AA81" i="29" s="1"/>
  <c r="Z82" i="29"/>
  <c r="Z83" i="29" s="1"/>
  <c r="Z81" i="29" s="1"/>
  <c r="Y82" i="29"/>
  <c r="Y83" i="29" s="1"/>
  <c r="Y81" i="29" s="1"/>
  <c r="X82" i="29"/>
  <c r="X83" i="29" s="1"/>
  <c r="X81" i="29" s="1"/>
  <c r="W82" i="29"/>
  <c r="W83" i="29" s="1"/>
  <c r="W81" i="29" s="1"/>
  <c r="V82" i="29"/>
  <c r="V83" i="29" s="1"/>
  <c r="V81" i="29" s="1"/>
  <c r="U82" i="29"/>
  <c r="U83" i="29" s="1"/>
  <c r="U81" i="29" s="1"/>
  <c r="T82" i="29"/>
  <c r="S82" i="29"/>
  <c r="S83" i="29" s="1"/>
  <c r="S81" i="29" s="1"/>
  <c r="R82" i="29"/>
  <c r="R83" i="29" s="1"/>
  <c r="R81" i="29" s="1"/>
  <c r="Q82" i="29"/>
  <c r="Q83" i="29" s="1"/>
  <c r="Q81" i="29" s="1"/>
  <c r="P82" i="29"/>
  <c r="P83" i="29" s="1"/>
  <c r="P81" i="29" s="1"/>
  <c r="O82" i="29"/>
  <c r="O83" i="29" s="1"/>
  <c r="O81" i="29" s="1"/>
  <c r="N82" i="29"/>
  <c r="N83" i="29" s="1"/>
  <c r="N81" i="29" s="1"/>
  <c r="M82" i="29"/>
  <c r="M83" i="29" s="1"/>
  <c r="M81" i="29" s="1"/>
  <c r="L82" i="29"/>
  <c r="K82" i="29"/>
  <c r="K83" i="29" s="1"/>
  <c r="K81" i="29" s="1"/>
  <c r="J82" i="29"/>
  <c r="J83" i="29" s="1"/>
  <c r="J81" i="29" s="1"/>
  <c r="I82" i="29"/>
  <c r="I83" i="29" s="1"/>
  <c r="I81" i="29" s="1"/>
  <c r="H82" i="29"/>
  <c r="H83" i="29" s="1"/>
  <c r="H81" i="29" s="1"/>
  <c r="G82" i="29"/>
  <c r="G83" i="29" s="1"/>
  <c r="G81" i="29" s="1"/>
  <c r="F82" i="29"/>
  <c r="F83" i="29" s="1"/>
  <c r="F81" i="29" s="1"/>
  <c r="E82" i="29"/>
  <c r="E83" i="29" s="1"/>
  <c r="E81" i="29" s="1"/>
  <c r="D82" i="29"/>
  <c r="C82" i="29"/>
  <c r="C83" i="29" s="1"/>
  <c r="C81" i="29" s="1"/>
  <c r="B82" i="29"/>
  <c r="B83" i="29" s="1"/>
  <c r="AG80" i="29"/>
  <c r="AF79" i="29"/>
  <c r="AF78" i="29" s="1"/>
  <c r="AE79" i="29"/>
  <c r="AD79" i="29"/>
  <c r="AC79" i="29"/>
  <c r="AB79" i="29"/>
  <c r="AA79" i="29"/>
  <c r="Z79" i="29"/>
  <c r="Y79" i="29"/>
  <c r="Y78" i="29" s="1"/>
  <c r="X79" i="29"/>
  <c r="X78" i="29" s="1"/>
  <c r="W79" i="29"/>
  <c r="V79" i="29"/>
  <c r="U79" i="29"/>
  <c r="U78" i="29" s="1"/>
  <c r="T79" i="29"/>
  <c r="T78" i="29" s="1"/>
  <c r="S79" i="29"/>
  <c r="R79" i="29"/>
  <c r="Q79" i="29"/>
  <c r="P79" i="29"/>
  <c r="O79" i="29"/>
  <c r="N79" i="29"/>
  <c r="M79" i="29"/>
  <c r="M78" i="29" s="1"/>
  <c r="L79" i="29"/>
  <c r="L78" i="29" s="1"/>
  <c r="K79" i="29"/>
  <c r="J79" i="29"/>
  <c r="I79" i="29"/>
  <c r="I78" i="29" s="1"/>
  <c r="H79" i="29"/>
  <c r="G79" i="29"/>
  <c r="F79" i="29"/>
  <c r="F78" i="29" s="1"/>
  <c r="E79" i="29"/>
  <c r="D79" i="29"/>
  <c r="D78" i="29" s="1"/>
  <c r="C79" i="29"/>
  <c r="B79" i="29"/>
  <c r="AE78" i="29"/>
  <c r="AD78" i="29"/>
  <c r="AC78" i="29"/>
  <c r="AB78" i="29"/>
  <c r="AA78" i="29"/>
  <c r="Z78" i="29"/>
  <c r="W78" i="29"/>
  <c r="V78" i="29"/>
  <c r="S78" i="29"/>
  <c r="R78" i="29"/>
  <c r="Q78" i="29"/>
  <c r="P78" i="29"/>
  <c r="O78" i="29"/>
  <c r="N78" i="29"/>
  <c r="K78" i="29"/>
  <c r="J78" i="29"/>
  <c r="H78" i="29"/>
  <c r="G78" i="29"/>
  <c r="E78" i="29"/>
  <c r="C78" i="29"/>
  <c r="B78" i="29"/>
  <c r="AG77" i="29"/>
  <c r="AG76" i="29"/>
  <c r="AG75" i="29"/>
  <c r="AG74" i="29"/>
  <c r="AG73" i="29"/>
  <c r="AG72" i="29"/>
  <c r="AG71" i="29"/>
  <c r="AG70" i="29"/>
  <c r="AG69" i="29"/>
  <c r="AG68" i="29"/>
  <c r="AG67" i="29"/>
  <c r="AG66" i="29"/>
  <c r="AG65" i="29"/>
  <c r="AG64" i="29"/>
  <c r="AG63" i="29"/>
  <c r="AG62" i="29"/>
  <c r="AG61" i="29"/>
  <c r="AG60" i="29"/>
  <c r="AG59" i="29"/>
  <c r="AG58" i="29"/>
  <c r="AG57" i="29"/>
  <c r="AG56" i="29"/>
  <c r="AG55" i="29"/>
  <c r="AG54" i="29"/>
  <c r="AF53" i="29"/>
  <c r="AF134" i="29" s="1"/>
  <c r="AE53" i="29"/>
  <c r="AE134" i="29" s="1"/>
  <c r="AD53" i="29"/>
  <c r="AD134" i="29" s="1"/>
  <c r="AC53" i="29"/>
  <c r="AC134" i="29" s="1"/>
  <c r="AB53" i="29"/>
  <c r="AB134" i="29" s="1"/>
  <c r="AA53" i="29"/>
  <c r="AA134" i="29" s="1"/>
  <c r="Z53" i="29"/>
  <c r="Z134" i="29" s="1"/>
  <c r="Y53" i="29"/>
  <c r="Y134" i="29" s="1"/>
  <c r="X53" i="29"/>
  <c r="X134" i="29" s="1"/>
  <c r="W53" i="29"/>
  <c r="W134" i="29" s="1"/>
  <c r="V53" i="29"/>
  <c r="V134" i="29" s="1"/>
  <c r="U53" i="29"/>
  <c r="U134" i="29" s="1"/>
  <c r="T53" i="29"/>
  <c r="T134" i="29" s="1"/>
  <c r="S53" i="29"/>
  <c r="S134" i="29" s="1"/>
  <c r="R53" i="29"/>
  <c r="R134" i="29" s="1"/>
  <c r="Q53" i="29"/>
  <c r="Q134" i="29" s="1"/>
  <c r="P53" i="29"/>
  <c r="P134" i="29" s="1"/>
  <c r="O53" i="29"/>
  <c r="O134" i="29" s="1"/>
  <c r="N53" i="29"/>
  <c r="N134" i="29" s="1"/>
  <c r="M53" i="29"/>
  <c r="M134" i="29" s="1"/>
  <c r="L53" i="29"/>
  <c r="L134" i="29" s="1"/>
  <c r="K53" i="29"/>
  <c r="K134" i="29" s="1"/>
  <c r="J53" i="29"/>
  <c r="J134" i="29" s="1"/>
  <c r="I53" i="29"/>
  <c r="I134" i="29" s="1"/>
  <c r="H53" i="29"/>
  <c r="H134" i="29" s="1"/>
  <c r="G53" i="29"/>
  <c r="G134" i="29" s="1"/>
  <c r="F53" i="29"/>
  <c r="F134" i="29" s="1"/>
  <c r="E53" i="29"/>
  <c r="E134" i="29" s="1"/>
  <c r="D53" i="29"/>
  <c r="D134" i="29" s="1"/>
  <c r="C53" i="29"/>
  <c r="C134" i="29" s="1"/>
  <c r="B53" i="29"/>
  <c r="B134" i="29" s="1"/>
  <c r="AG52" i="29"/>
  <c r="AG51" i="29"/>
  <c r="AG50" i="29"/>
  <c r="AG49" i="29"/>
  <c r="AG48" i="29"/>
  <c r="AG47" i="29"/>
  <c r="AG46" i="29"/>
  <c r="AG45" i="29"/>
  <c r="AG44" i="29"/>
  <c r="AG43" i="29"/>
  <c r="AG42" i="29"/>
  <c r="AG41" i="29"/>
  <c r="AG40" i="29"/>
  <c r="AG39" i="29"/>
  <c r="AG38" i="29"/>
  <c r="AG37" i="29"/>
  <c r="AG36" i="29"/>
  <c r="AG35" i="29"/>
  <c r="AG34" i="29"/>
  <c r="AG33" i="29"/>
  <c r="AG32" i="29"/>
  <c r="AG31" i="29"/>
  <c r="AG30" i="29"/>
  <c r="AG29" i="29"/>
  <c r="AF28" i="29"/>
  <c r="AF133" i="29" s="1"/>
  <c r="AE28" i="29"/>
  <c r="AE133" i="29" s="1"/>
  <c r="AD28" i="29"/>
  <c r="AD133" i="29" s="1"/>
  <c r="AC28" i="29"/>
  <c r="AC133" i="29" s="1"/>
  <c r="AB28" i="29"/>
  <c r="AB133" i="29" s="1"/>
  <c r="AA28" i="29"/>
  <c r="AA133" i="29" s="1"/>
  <c r="Z28" i="29"/>
  <c r="Z133" i="29" s="1"/>
  <c r="Y28" i="29"/>
  <c r="Y133" i="29" s="1"/>
  <c r="X28" i="29"/>
  <c r="X133" i="29" s="1"/>
  <c r="W28" i="29"/>
  <c r="W133" i="29" s="1"/>
  <c r="V28" i="29"/>
  <c r="V133" i="29" s="1"/>
  <c r="U28" i="29"/>
  <c r="U133" i="29" s="1"/>
  <c r="T28" i="29"/>
  <c r="T133" i="29" s="1"/>
  <c r="S28" i="29"/>
  <c r="S133" i="29" s="1"/>
  <c r="R28" i="29"/>
  <c r="R133" i="29" s="1"/>
  <c r="Q28" i="29"/>
  <c r="Q133" i="29" s="1"/>
  <c r="P28" i="29"/>
  <c r="P133" i="29" s="1"/>
  <c r="O28" i="29"/>
  <c r="O133" i="29" s="1"/>
  <c r="N28" i="29"/>
  <c r="N133" i="29" s="1"/>
  <c r="M28" i="29"/>
  <c r="M133" i="29" s="1"/>
  <c r="L28" i="29"/>
  <c r="L133" i="29" s="1"/>
  <c r="K28" i="29"/>
  <c r="K133" i="29" s="1"/>
  <c r="J28" i="29"/>
  <c r="J133" i="29" s="1"/>
  <c r="I28" i="29"/>
  <c r="I133" i="29" s="1"/>
  <c r="H28" i="29"/>
  <c r="H133" i="29" s="1"/>
  <c r="G28" i="29"/>
  <c r="G133" i="29" s="1"/>
  <c r="F28" i="29"/>
  <c r="F133" i="29" s="1"/>
  <c r="E28" i="29"/>
  <c r="E133" i="29" s="1"/>
  <c r="D28" i="29"/>
  <c r="D133" i="29" s="1"/>
  <c r="C28" i="29"/>
  <c r="C133" i="29" s="1"/>
  <c r="B28" i="29"/>
  <c r="B133" i="29" s="1"/>
  <c r="AG27" i="29"/>
  <c r="AG26" i="29"/>
  <c r="AG25" i="29"/>
  <c r="AG24" i="29"/>
  <c r="AG23" i="29"/>
  <c r="AG22" i="29"/>
  <c r="AG21" i="29"/>
  <c r="AG20" i="29"/>
  <c r="AG19" i="29"/>
  <c r="AG18" i="29"/>
  <c r="AG17" i="29"/>
  <c r="AG16" i="29"/>
  <c r="AG15" i="29"/>
  <c r="AG14" i="29"/>
  <c r="AG13" i="29"/>
  <c r="AG12" i="29"/>
  <c r="AG11" i="29"/>
  <c r="AG10" i="29"/>
  <c r="AG9" i="29"/>
  <c r="AG8" i="29"/>
  <c r="AG7" i="29"/>
  <c r="AG6" i="29"/>
  <c r="AG5" i="29"/>
  <c r="AG4" i="29"/>
  <c r="AF3" i="29"/>
  <c r="AE3" i="29"/>
  <c r="AD3" i="29"/>
  <c r="AC3" i="29"/>
  <c r="AB3" i="29"/>
  <c r="AA3" i="29"/>
  <c r="Z3" i="29"/>
  <c r="Y3" i="29"/>
  <c r="X3" i="29"/>
  <c r="W3" i="29"/>
  <c r="V3" i="29"/>
  <c r="U3" i="29"/>
  <c r="T3" i="29"/>
  <c r="S3" i="29"/>
  <c r="R3" i="29"/>
  <c r="Q3" i="29"/>
  <c r="P3" i="29"/>
  <c r="O3" i="29"/>
  <c r="N3" i="29"/>
  <c r="M3" i="29"/>
  <c r="L3" i="29"/>
  <c r="K3" i="29"/>
  <c r="J3" i="29"/>
  <c r="I3" i="29"/>
  <c r="H3" i="29"/>
  <c r="G3" i="29"/>
  <c r="F3" i="29"/>
  <c r="E3" i="29"/>
  <c r="D3" i="29"/>
  <c r="C3" i="29"/>
  <c r="B3" i="29"/>
  <c r="C2" i="29"/>
  <c r="D2" i="29" s="1"/>
  <c r="E2" i="29" s="1"/>
  <c r="F2" i="29" s="1"/>
  <c r="G2" i="29" s="1"/>
  <c r="H2" i="29" s="1"/>
  <c r="I2" i="29" s="1"/>
  <c r="J2" i="29" s="1"/>
  <c r="K2" i="29" s="1"/>
  <c r="L2" i="29" s="1"/>
  <c r="M2" i="29" s="1"/>
  <c r="N2" i="29" s="1"/>
  <c r="O2" i="29" s="1"/>
  <c r="P2" i="29" s="1"/>
  <c r="Q2" i="29" s="1"/>
  <c r="R2" i="29" s="1"/>
  <c r="S2" i="29" s="1"/>
  <c r="T2" i="29" s="1"/>
  <c r="U2" i="29" s="1"/>
  <c r="V2" i="29" s="1"/>
  <c r="W2" i="29" s="1"/>
  <c r="X2" i="29" s="1"/>
  <c r="Y2" i="29" s="1"/>
  <c r="Z2" i="29" s="1"/>
  <c r="AA2" i="29" s="1"/>
  <c r="AB2" i="29" s="1"/>
  <c r="AC2" i="29" s="1"/>
  <c r="AD2" i="29" s="1"/>
  <c r="AE2" i="29" s="1"/>
  <c r="AF2" i="29" s="1"/>
  <c r="AG180" i="27"/>
  <c r="G180" i="23" s="1"/>
  <c r="AG179" i="27"/>
  <c r="G179" i="23" s="1"/>
  <c r="AG178" i="27"/>
  <c r="AG177" i="27"/>
  <c r="AG176" i="27"/>
  <c r="G176" i="23" s="1"/>
  <c r="AG175" i="27"/>
  <c r="G175" i="23" s="1"/>
  <c r="AG174" i="27"/>
  <c r="AG173" i="27"/>
  <c r="AG172" i="27"/>
  <c r="G172" i="23" s="1"/>
  <c r="AF171" i="27"/>
  <c r="AE171" i="27"/>
  <c r="AD171" i="27"/>
  <c r="AC171" i="27"/>
  <c r="AB171" i="27"/>
  <c r="AA171" i="27"/>
  <c r="Z171" i="27"/>
  <c r="Y171" i="27"/>
  <c r="X171" i="27"/>
  <c r="W171" i="27"/>
  <c r="V171" i="27"/>
  <c r="U171" i="27"/>
  <c r="T171" i="27"/>
  <c r="S171" i="27"/>
  <c r="R171" i="27"/>
  <c r="Q171" i="27"/>
  <c r="P171" i="27"/>
  <c r="O171" i="27"/>
  <c r="N171" i="27"/>
  <c r="M171" i="27"/>
  <c r="L171" i="27"/>
  <c r="K171" i="27"/>
  <c r="J171" i="27"/>
  <c r="I171" i="27"/>
  <c r="H171" i="27"/>
  <c r="G171" i="27"/>
  <c r="F171" i="27"/>
  <c r="E171" i="27"/>
  <c r="D171" i="27"/>
  <c r="C171" i="27"/>
  <c r="B171" i="27"/>
  <c r="AG170" i="27"/>
  <c r="G170" i="23" s="1"/>
  <c r="AG169" i="27"/>
  <c r="G169" i="23" s="1"/>
  <c r="AG168" i="27"/>
  <c r="G168" i="23" s="1"/>
  <c r="AG167" i="27"/>
  <c r="G167" i="23" s="1"/>
  <c r="AG166" i="27"/>
  <c r="AG165" i="27"/>
  <c r="G165" i="23" s="1"/>
  <c r="AG164" i="27"/>
  <c r="G164" i="23" s="1"/>
  <c r="AG163" i="27"/>
  <c r="G163" i="23" s="1"/>
  <c r="AG162" i="27"/>
  <c r="G162" i="23" s="1"/>
  <c r="AG161" i="27"/>
  <c r="G161" i="23" s="1"/>
  <c r="AG160" i="27"/>
  <c r="G160" i="23" s="1"/>
  <c r="AG159" i="27"/>
  <c r="G159" i="23" s="1"/>
  <c r="AG158" i="27"/>
  <c r="G158" i="23" s="1"/>
  <c r="AG157" i="27"/>
  <c r="G157" i="23" s="1"/>
  <c r="AG156" i="27"/>
  <c r="G156" i="23" s="1"/>
  <c r="AG155" i="27"/>
  <c r="G155" i="23" s="1"/>
  <c r="AG154" i="27"/>
  <c r="G154" i="23" s="1"/>
  <c r="AG153" i="27"/>
  <c r="G153" i="23" s="1"/>
  <c r="AG152" i="27"/>
  <c r="G152" i="23" s="1"/>
  <c r="AG151" i="27"/>
  <c r="G151" i="23" s="1"/>
  <c r="AG150" i="27"/>
  <c r="AG149" i="27"/>
  <c r="AG148" i="27"/>
  <c r="G148" i="23" s="1"/>
  <c r="AG147" i="27"/>
  <c r="G147" i="23" s="1"/>
  <c r="AG146" i="27"/>
  <c r="G146" i="23" s="1"/>
  <c r="AG145" i="27"/>
  <c r="G145" i="23" s="1"/>
  <c r="AF144" i="27"/>
  <c r="AE144" i="27"/>
  <c r="AD144" i="27"/>
  <c r="AC144" i="27"/>
  <c r="AB144" i="27"/>
  <c r="AA144" i="27"/>
  <c r="Z144" i="27"/>
  <c r="Y144" i="27"/>
  <c r="X144" i="27"/>
  <c r="W144" i="27"/>
  <c r="V144" i="27"/>
  <c r="U144" i="27"/>
  <c r="T144" i="27"/>
  <c r="S144" i="27"/>
  <c r="R144" i="27"/>
  <c r="Q144" i="27"/>
  <c r="P144" i="27"/>
  <c r="O144" i="27"/>
  <c r="N144" i="27"/>
  <c r="M144" i="27"/>
  <c r="L144" i="27"/>
  <c r="K144" i="27"/>
  <c r="J144" i="27"/>
  <c r="I144" i="27"/>
  <c r="H144" i="27"/>
  <c r="G144" i="27"/>
  <c r="F144" i="27"/>
  <c r="E144" i="27"/>
  <c r="D144" i="27"/>
  <c r="C144" i="27"/>
  <c r="B144" i="27"/>
  <c r="AG143" i="27"/>
  <c r="G143" i="23" s="1"/>
  <c r="AG142" i="27"/>
  <c r="AG141" i="27"/>
  <c r="AG140" i="27"/>
  <c r="G140" i="23" s="1"/>
  <c r="AF139" i="27"/>
  <c r="AE139" i="27"/>
  <c r="AD139" i="27"/>
  <c r="AC139" i="27"/>
  <c r="AB139" i="27"/>
  <c r="AA139" i="27"/>
  <c r="Z139" i="27"/>
  <c r="Y139" i="27"/>
  <c r="X139" i="27"/>
  <c r="W139" i="27"/>
  <c r="V139" i="27"/>
  <c r="U139" i="27"/>
  <c r="T139" i="27"/>
  <c r="S139" i="27"/>
  <c r="R139" i="27"/>
  <c r="Q139" i="27"/>
  <c r="P139" i="27"/>
  <c r="O139" i="27"/>
  <c r="N139" i="27"/>
  <c r="M139" i="27"/>
  <c r="L139" i="27"/>
  <c r="K139" i="27"/>
  <c r="J139" i="27"/>
  <c r="I139" i="27"/>
  <c r="H139" i="27"/>
  <c r="G139" i="27"/>
  <c r="F139" i="27"/>
  <c r="E139" i="27"/>
  <c r="D139" i="27"/>
  <c r="C139" i="27"/>
  <c r="B139" i="27"/>
  <c r="AG138" i="27"/>
  <c r="AG137" i="27"/>
  <c r="AG136" i="27"/>
  <c r="G136" i="23" s="1"/>
  <c r="AF135" i="27"/>
  <c r="AE135" i="27"/>
  <c r="AD135" i="27"/>
  <c r="AC135" i="27"/>
  <c r="AB135" i="27"/>
  <c r="AA135" i="27"/>
  <c r="Z135" i="27"/>
  <c r="Y135" i="27"/>
  <c r="X135" i="27"/>
  <c r="W135" i="27"/>
  <c r="V135" i="27"/>
  <c r="U135" i="27"/>
  <c r="T135" i="27"/>
  <c r="S135" i="27"/>
  <c r="R135" i="27"/>
  <c r="Q135" i="27"/>
  <c r="P135" i="27"/>
  <c r="O135" i="27"/>
  <c r="N135" i="27"/>
  <c r="M135" i="27"/>
  <c r="L135" i="27"/>
  <c r="K135" i="27"/>
  <c r="J135" i="27"/>
  <c r="I135" i="27"/>
  <c r="H135" i="27"/>
  <c r="G135" i="27"/>
  <c r="F135" i="27"/>
  <c r="E135" i="27"/>
  <c r="D135" i="27"/>
  <c r="C135" i="27"/>
  <c r="B135" i="27"/>
  <c r="AG132" i="27"/>
  <c r="G132" i="23" s="1"/>
  <c r="AG131" i="27"/>
  <c r="G131" i="23" s="1"/>
  <c r="AG130" i="27"/>
  <c r="AG129" i="27"/>
  <c r="G129" i="23" s="1"/>
  <c r="AG128" i="27"/>
  <c r="G128" i="23" s="1"/>
  <c r="AG127" i="27"/>
  <c r="G127" i="23" s="1"/>
  <c r="AG126" i="27"/>
  <c r="AG125" i="27"/>
  <c r="G125" i="23" s="1"/>
  <c r="AG124" i="27"/>
  <c r="G124" i="23" s="1"/>
  <c r="AG123" i="27"/>
  <c r="G123" i="23" s="1"/>
  <c r="AG122" i="27"/>
  <c r="G122" i="23" s="1"/>
  <c r="AG121" i="27"/>
  <c r="G121" i="23" s="1"/>
  <c r="AG120" i="27"/>
  <c r="G120" i="23" s="1"/>
  <c r="AF119" i="27"/>
  <c r="AE119" i="27"/>
  <c r="AD119" i="27"/>
  <c r="AC119" i="27"/>
  <c r="AB119" i="27"/>
  <c r="AA119" i="27"/>
  <c r="Z119" i="27"/>
  <c r="Y119" i="27"/>
  <c r="X119" i="27"/>
  <c r="W119" i="27"/>
  <c r="V119" i="27"/>
  <c r="U119" i="27"/>
  <c r="T119" i="27"/>
  <c r="S119" i="27"/>
  <c r="R119" i="27"/>
  <c r="Q119" i="27"/>
  <c r="P119" i="27"/>
  <c r="O119" i="27"/>
  <c r="N119" i="27"/>
  <c r="M119" i="27"/>
  <c r="L119" i="27"/>
  <c r="K119" i="27"/>
  <c r="J119" i="27"/>
  <c r="I119" i="27"/>
  <c r="H119" i="27"/>
  <c r="G119" i="27"/>
  <c r="F119" i="27"/>
  <c r="E119" i="27"/>
  <c r="D119" i="27"/>
  <c r="C119" i="27"/>
  <c r="B119" i="27"/>
  <c r="AG118" i="27"/>
  <c r="AG117" i="27"/>
  <c r="AF116" i="27"/>
  <c r="AE116" i="27"/>
  <c r="AD116" i="27"/>
  <c r="AC116" i="27"/>
  <c r="AB116" i="27"/>
  <c r="AA116" i="27"/>
  <c r="Z116" i="27"/>
  <c r="Y116" i="27"/>
  <c r="X116" i="27"/>
  <c r="W116" i="27"/>
  <c r="V116" i="27"/>
  <c r="U116" i="27"/>
  <c r="T116" i="27"/>
  <c r="S116" i="27"/>
  <c r="R116" i="27"/>
  <c r="Q116" i="27"/>
  <c r="P116" i="27"/>
  <c r="O116" i="27"/>
  <c r="N116" i="27"/>
  <c r="M116" i="27"/>
  <c r="L116" i="27"/>
  <c r="K116" i="27"/>
  <c r="J116" i="27"/>
  <c r="I116" i="27"/>
  <c r="H116" i="27"/>
  <c r="G116" i="27"/>
  <c r="F116" i="27"/>
  <c r="E116" i="27"/>
  <c r="D116" i="27"/>
  <c r="C116" i="27"/>
  <c r="B116" i="27"/>
  <c r="AG115" i="27"/>
  <c r="G115" i="23" s="1"/>
  <c r="AG114" i="27"/>
  <c r="AG113" i="27"/>
  <c r="G113" i="23" s="1"/>
  <c r="AG112" i="27"/>
  <c r="G112" i="23" s="1"/>
  <c r="AG111" i="27"/>
  <c r="G111" i="23" s="1"/>
  <c r="AG110" i="27"/>
  <c r="G110" i="23" s="1"/>
  <c r="AG109" i="27"/>
  <c r="G109" i="23" s="1"/>
  <c r="AG108" i="27"/>
  <c r="G108" i="23" s="1"/>
  <c r="AG107" i="27"/>
  <c r="G107" i="23" s="1"/>
  <c r="AG106" i="27"/>
  <c r="AG105" i="27"/>
  <c r="AG104" i="27"/>
  <c r="G104" i="23" s="1"/>
  <c r="AG103" i="27"/>
  <c r="G103" i="23" s="1"/>
  <c r="AG102" i="27"/>
  <c r="AG101" i="27"/>
  <c r="AF100" i="27"/>
  <c r="AE100" i="27"/>
  <c r="AD100" i="27"/>
  <c r="AC100" i="27"/>
  <c r="AB100" i="27"/>
  <c r="AA100" i="27"/>
  <c r="Z100" i="27"/>
  <c r="Y100" i="27"/>
  <c r="X100" i="27"/>
  <c r="W100" i="27"/>
  <c r="V100" i="27"/>
  <c r="U100" i="27"/>
  <c r="T100" i="27"/>
  <c r="S100" i="27"/>
  <c r="R100" i="27"/>
  <c r="Q100" i="27"/>
  <c r="P100" i="27"/>
  <c r="O100" i="27"/>
  <c r="N100" i="27"/>
  <c r="M100" i="27"/>
  <c r="L100" i="27"/>
  <c r="K100" i="27"/>
  <c r="J100" i="27"/>
  <c r="I100" i="27"/>
  <c r="H100" i="27"/>
  <c r="G100" i="27"/>
  <c r="F100" i="27"/>
  <c r="E100" i="27"/>
  <c r="D100" i="27"/>
  <c r="C100" i="27"/>
  <c r="B100" i="27"/>
  <c r="AG99" i="27"/>
  <c r="G99" i="23" s="1"/>
  <c r="AG98" i="27"/>
  <c r="G98" i="23" s="1"/>
  <c r="AG97" i="27"/>
  <c r="AG96" i="27"/>
  <c r="G96" i="23" s="1"/>
  <c r="AG95" i="27"/>
  <c r="G95" i="23" s="1"/>
  <c r="AF94" i="27"/>
  <c r="AE94" i="27"/>
  <c r="AD94" i="27"/>
  <c r="AC94" i="27"/>
  <c r="AB94" i="27"/>
  <c r="AA94" i="27"/>
  <c r="Z94" i="27"/>
  <c r="Y94" i="27"/>
  <c r="X94" i="27"/>
  <c r="W94" i="27"/>
  <c r="V94" i="27"/>
  <c r="U94" i="27"/>
  <c r="T94" i="27"/>
  <c r="S94" i="27"/>
  <c r="R94" i="27"/>
  <c r="Q94" i="27"/>
  <c r="P94" i="27"/>
  <c r="O94" i="27"/>
  <c r="N94" i="27"/>
  <c r="M94" i="27"/>
  <c r="L94" i="27"/>
  <c r="K94" i="27"/>
  <c r="J94" i="27"/>
  <c r="I94" i="27"/>
  <c r="H94" i="27"/>
  <c r="G94" i="27"/>
  <c r="F94" i="27"/>
  <c r="E94" i="27"/>
  <c r="D94" i="27"/>
  <c r="C94" i="27"/>
  <c r="B94" i="27"/>
  <c r="AG92" i="27"/>
  <c r="G92" i="23" s="1"/>
  <c r="AG91" i="27"/>
  <c r="G91" i="23" s="1"/>
  <c r="AG90" i="27"/>
  <c r="AG89" i="27"/>
  <c r="AG88" i="27"/>
  <c r="G88" i="23" s="1"/>
  <c r="AF87" i="27"/>
  <c r="AE87" i="27"/>
  <c r="AD87" i="27"/>
  <c r="AC87" i="27"/>
  <c r="AB87" i="27"/>
  <c r="AA87" i="27"/>
  <c r="Z87" i="27"/>
  <c r="Y87" i="27"/>
  <c r="X87" i="27"/>
  <c r="W87" i="27"/>
  <c r="V87" i="27"/>
  <c r="U87" i="27"/>
  <c r="T87" i="27"/>
  <c r="S87" i="27"/>
  <c r="R87" i="27"/>
  <c r="Q87" i="27"/>
  <c r="P87" i="27"/>
  <c r="O87" i="27"/>
  <c r="N87" i="27"/>
  <c r="M87" i="27"/>
  <c r="L87" i="27"/>
  <c r="K87" i="27"/>
  <c r="J87" i="27"/>
  <c r="I87" i="27"/>
  <c r="H87" i="27"/>
  <c r="G87" i="27"/>
  <c r="F87" i="27"/>
  <c r="E87" i="27"/>
  <c r="D87" i="27"/>
  <c r="C87" i="27"/>
  <c r="B87" i="27"/>
  <c r="AG86" i="27"/>
  <c r="G86" i="23" s="1"/>
  <c r="AG85" i="27"/>
  <c r="AF84" i="27"/>
  <c r="AE84" i="27"/>
  <c r="AD84" i="27"/>
  <c r="AC84" i="27"/>
  <c r="AB84" i="27"/>
  <c r="AA84" i="27"/>
  <c r="Z84" i="27"/>
  <c r="Y84" i="27"/>
  <c r="X84" i="27"/>
  <c r="W84" i="27"/>
  <c r="V84" i="27"/>
  <c r="U84" i="27"/>
  <c r="T84" i="27"/>
  <c r="S84" i="27"/>
  <c r="R84" i="27"/>
  <c r="Q84" i="27"/>
  <c r="P84" i="27"/>
  <c r="O84" i="27"/>
  <c r="N84" i="27"/>
  <c r="M84" i="27"/>
  <c r="L84" i="27"/>
  <c r="K84" i="27"/>
  <c r="J84" i="27"/>
  <c r="I84" i="27"/>
  <c r="H84" i="27"/>
  <c r="G84" i="27"/>
  <c r="F84" i="27"/>
  <c r="E84" i="27"/>
  <c r="D84" i="27"/>
  <c r="C84" i="27"/>
  <c r="B84" i="27"/>
  <c r="AF82" i="27"/>
  <c r="AF83" i="27" s="1"/>
  <c r="AF81" i="27" s="1"/>
  <c r="AE82" i="27"/>
  <c r="AE83" i="27" s="1"/>
  <c r="AE81" i="27" s="1"/>
  <c r="AD82" i="27"/>
  <c r="AD83" i="27" s="1"/>
  <c r="AC82" i="27"/>
  <c r="AC83" i="27" s="1"/>
  <c r="AC81" i="27" s="1"/>
  <c r="AB82" i="27"/>
  <c r="AB83" i="27" s="1"/>
  <c r="AB81" i="27" s="1"/>
  <c r="AA82" i="27"/>
  <c r="AA83" i="27" s="1"/>
  <c r="AA81" i="27" s="1"/>
  <c r="Z82" i="27"/>
  <c r="Z83" i="27" s="1"/>
  <c r="Z81" i="27" s="1"/>
  <c r="Y82" i="27"/>
  <c r="X82" i="27"/>
  <c r="X83" i="27" s="1"/>
  <c r="X81" i="27" s="1"/>
  <c r="W82" i="27"/>
  <c r="W83" i="27" s="1"/>
  <c r="W81" i="27" s="1"/>
  <c r="V82" i="27"/>
  <c r="V83" i="27" s="1"/>
  <c r="U82" i="27"/>
  <c r="U83" i="27" s="1"/>
  <c r="U81" i="27" s="1"/>
  <c r="T82" i="27"/>
  <c r="T83" i="27" s="1"/>
  <c r="T81" i="27" s="1"/>
  <c r="S82" i="27"/>
  <c r="S83" i="27" s="1"/>
  <c r="S81" i="27" s="1"/>
  <c r="R82" i="27"/>
  <c r="R83" i="27" s="1"/>
  <c r="R81" i="27" s="1"/>
  <c r="Q82" i="27"/>
  <c r="P82" i="27"/>
  <c r="P83" i="27" s="1"/>
  <c r="P81" i="27" s="1"/>
  <c r="O82" i="27"/>
  <c r="O83" i="27" s="1"/>
  <c r="O81" i="27" s="1"/>
  <c r="N82" i="27"/>
  <c r="N83" i="27" s="1"/>
  <c r="M82" i="27"/>
  <c r="M83" i="27" s="1"/>
  <c r="M81" i="27" s="1"/>
  <c r="L82" i="27"/>
  <c r="L83" i="27" s="1"/>
  <c r="L81" i="27" s="1"/>
  <c r="K82" i="27"/>
  <c r="K83" i="27" s="1"/>
  <c r="K81" i="27" s="1"/>
  <c r="J82" i="27"/>
  <c r="J83" i="27" s="1"/>
  <c r="J81" i="27" s="1"/>
  <c r="I82" i="27"/>
  <c r="H82" i="27"/>
  <c r="H83" i="27" s="1"/>
  <c r="H81" i="27" s="1"/>
  <c r="G82" i="27"/>
  <c r="G83" i="27" s="1"/>
  <c r="G81" i="27" s="1"/>
  <c r="F82" i="27"/>
  <c r="F83" i="27" s="1"/>
  <c r="E82" i="27"/>
  <c r="E83" i="27" s="1"/>
  <c r="E81" i="27" s="1"/>
  <c r="D82" i="27"/>
  <c r="D83" i="27" s="1"/>
  <c r="D81" i="27" s="1"/>
  <c r="C82" i="27"/>
  <c r="C83" i="27" s="1"/>
  <c r="C81" i="27" s="1"/>
  <c r="B82" i="27"/>
  <c r="B83" i="27" s="1"/>
  <c r="AG80" i="27"/>
  <c r="G80" i="23" s="1"/>
  <c r="AF79" i="27"/>
  <c r="AF78" i="27" s="1"/>
  <c r="AE79" i="27"/>
  <c r="AE78" i="27" s="1"/>
  <c r="AD79" i="27"/>
  <c r="AD78" i="27" s="1"/>
  <c r="AC79" i="27"/>
  <c r="AC78" i="27" s="1"/>
  <c r="AB79" i="27"/>
  <c r="AB78" i="27" s="1"/>
  <c r="AA79" i="27"/>
  <c r="AA78" i="27" s="1"/>
  <c r="Z79" i="27"/>
  <c r="Z78" i="27" s="1"/>
  <c r="Y79" i="27"/>
  <c r="Y78" i="27" s="1"/>
  <c r="X79" i="27"/>
  <c r="X78" i="27" s="1"/>
  <c r="W79" i="27"/>
  <c r="W78" i="27" s="1"/>
  <c r="V79" i="27"/>
  <c r="V78" i="27" s="1"/>
  <c r="U79" i="27"/>
  <c r="U78" i="27" s="1"/>
  <c r="T79" i="27"/>
  <c r="T78" i="27" s="1"/>
  <c r="S79" i="27"/>
  <c r="S78" i="27" s="1"/>
  <c r="R79" i="27"/>
  <c r="R78" i="27" s="1"/>
  <c r="Q79" i="27"/>
  <c r="Q78" i="27" s="1"/>
  <c r="P79" i="27"/>
  <c r="P78" i="27" s="1"/>
  <c r="O79" i="27"/>
  <c r="O78" i="27" s="1"/>
  <c r="N79" i="27"/>
  <c r="N78" i="27" s="1"/>
  <c r="M79" i="27"/>
  <c r="M78" i="27" s="1"/>
  <c r="L79" i="27"/>
  <c r="L78" i="27" s="1"/>
  <c r="K79" i="27"/>
  <c r="K78" i="27" s="1"/>
  <c r="J79" i="27"/>
  <c r="J78" i="27" s="1"/>
  <c r="I79" i="27"/>
  <c r="I78" i="27" s="1"/>
  <c r="H79" i="27"/>
  <c r="H78" i="27" s="1"/>
  <c r="G79" i="27"/>
  <c r="G78" i="27" s="1"/>
  <c r="F79" i="27"/>
  <c r="F78" i="27" s="1"/>
  <c r="E79" i="27"/>
  <c r="E78" i="27" s="1"/>
  <c r="D79" i="27"/>
  <c r="D78" i="27" s="1"/>
  <c r="C79" i="27"/>
  <c r="B79" i="27"/>
  <c r="B78" i="27" s="1"/>
  <c r="AG77" i="27"/>
  <c r="AG76" i="27"/>
  <c r="G76" i="23" s="1"/>
  <c r="AG75" i="27"/>
  <c r="G75" i="23" s="1"/>
  <c r="AG74" i="27"/>
  <c r="G74" i="23" s="1"/>
  <c r="AG73" i="27"/>
  <c r="G73" i="23" s="1"/>
  <c r="AG72" i="27"/>
  <c r="G72" i="23" s="1"/>
  <c r="AG71" i="27"/>
  <c r="G71" i="23" s="1"/>
  <c r="AG70" i="27"/>
  <c r="G70" i="23" s="1"/>
  <c r="AG69" i="27"/>
  <c r="G69" i="23" s="1"/>
  <c r="AG68" i="27"/>
  <c r="G68" i="23" s="1"/>
  <c r="AG67" i="27"/>
  <c r="G67" i="23" s="1"/>
  <c r="AG66" i="27"/>
  <c r="AG65" i="27"/>
  <c r="G65" i="23" s="1"/>
  <c r="AG64" i="27"/>
  <c r="G64" i="23" s="1"/>
  <c r="AG63" i="27"/>
  <c r="G63" i="23" s="1"/>
  <c r="AG62" i="27"/>
  <c r="G62" i="23" s="1"/>
  <c r="AG61" i="27"/>
  <c r="G61" i="23" s="1"/>
  <c r="AG60" i="27"/>
  <c r="G60" i="23" s="1"/>
  <c r="AG59" i="27"/>
  <c r="G59" i="23" s="1"/>
  <c r="AG58" i="27"/>
  <c r="G58" i="23" s="1"/>
  <c r="AG57" i="27"/>
  <c r="G57" i="23" s="1"/>
  <c r="AG56" i="27"/>
  <c r="G56" i="23" s="1"/>
  <c r="AG55" i="27"/>
  <c r="G55" i="23" s="1"/>
  <c r="AG54" i="27"/>
  <c r="G54" i="23" s="1"/>
  <c r="AF53" i="27"/>
  <c r="AF134" i="27" s="1"/>
  <c r="AE53" i="27"/>
  <c r="AE134" i="27" s="1"/>
  <c r="AD53" i="27"/>
  <c r="AD134" i="27" s="1"/>
  <c r="AC53" i="27"/>
  <c r="AC134" i="27" s="1"/>
  <c r="AB53" i="27"/>
  <c r="AB134" i="27" s="1"/>
  <c r="AA53" i="27"/>
  <c r="AA134" i="27" s="1"/>
  <c r="Z53" i="27"/>
  <c r="Z134" i="27" s="1"/>
  <c r="Y53" i="27"/>
  <c r="Y134" i="27" s="1"/>
  <c r="X53" i="27"/>
  <c r="X134" i="27" s="1"/>
  <c r="W53" i="27"/>
  <c r="W134" i="27" s="1"/>
  <c r="V53" i="27"/>
  <c r="V134" i="27" s="1"/>
  <c r="U53" i="27"/>
  <c r="U134" i="27" s="1"/>
  <c r="T53" i="27"/>
  <c r="T134" i="27" s="1"/>
  <c r="S53" i="27"/>
  <c r="S134" i="27" s="1"/>
  <c r="R53" i="27"/>
  <c r="R134" i="27" s="1"/>
  <c r="Q53" i="27"/>
  <c r="Q134" i="27" s="1"/>
  <c r="P53" i="27"/>
  <c r="P134" i="27" s="1"/>
  <c r="O53" i="27"/>
  <c r="O134" i="27" s="1"/>
  <c r="N53" i="27"/>
  <c r="N134" i="27" s="1"/>
  <c r="M53" i="27"/>
  <c r="M134" i="27" s="1"/>
  <c r="L53" i="27"/>
  <c r="L134" i="27" s="1"/>
  <c r="K53" i="27"/>
  <c r="K134" i="27" s="1"/>
  <c r="J53" i="27"/>
  <c r="J134" i="27" s="1"/>
  <c r="I53" i="27"/>
  <c r="I134" i="27" s="1"/>
  <c r="H53" i="27"/>
  <c r="H134" i="27" s="1"/>
  <c r="G53" i="27"/>
  <c r="G134" i="27" s="1"/>
  <c r="F53" i="27"/>
  <c r="F134" i="27" s="1"/>
  <c r="E53" i="27"/>
  <c r="E134" i="27" s="1"/>
  <c r="D53" i="27"/>
  <c r="D134" i="27" s="1"/>
  <c r="C53" i="27"/>
  <c r="C134" i="27" s="1"/>
  <c r="B53" i="27"/>
  <c r="B134" i="27" s="1"/>
  <c r="AG52" i="27"/>
  <c r="G52" i="23" s="1"/>
  <c r="AG51" i="27"/>
  <c r="G51" i="23" s="1"/>
  <c r="AG50" i="27"/>
  <c r="G50" i="23" s="1"/>
  <c r="AG49" i="27"/>
  <c r="AG48" i="27"/>
  <c r="G48" i="23" s="1"/>
  <c r="AG47" i="27"/>
  <c r="G47" i="23" s="1"/>
  <c r="AG46" i="27"/>
  <c r="AG45" i="27"/>
  <c r="AG44" i="27"/>
  <c r="G44" i="23" s="1"/>
  <c r="AG43" i="27"/>
  <c r="G43" i="23" s="1"/>
  <c r="AG42" i="27"/>
  <c r="AG41" i="27"/>
  <c r="AG40" i="27"/>
  <c r="G40" i="23" s="1"/>
  <c r="AG39" i="27"/>
  <c r="G39" i="23" s="1"/>
  <c r="AG38" i="27"/>
  <c r="G38" i="23" s="1"/>
  <c r="AG37" i="27"/>
  <c r="AG36" i="27"/>
  <c r="G36" i="23" s="1"/>
  <c r="AG35" i="27"/>
  <c r="G35" i="23" s="1"/>
  <c r="AG34" i="27"/>
  <c r="AG33" i="27"/>
  <c r="AG32" i="27"/>
  <c r="G32" i="23" s="1"/>
  <c r="AG31" i="27"/>
  <c r="G31" i="23" s="1"/>
  <c r="AG30" i="27"/>
  <c r="AG29" i="27"/>
  <c r="AF28" i="27"/>
  <c r="AF133" i="27" s="1"/>
  <c r="AE28" i="27"/>
  <c r="AE133" i="27" s="1"/>
  <c r="AD28" i="27"/>
  <c r="AD133" i="27" s="1"/>
  <c r="AC28" i="27"/>
  <c r="AC133" i="27" s="1"/>
  <c r="AB28" i="27"/>
  <c r="AB133" i="27" s="1"/>
  <c r="AA28" i="27"/>
  <c r="AA133" i="27" s="1"/>
  <c r="Z28" i="27"/>
  <c r="Z133" i="27" s="1"/>
  <c r="Y28" i="27"/>
  <c r="Y133" i="27" s="1"/>
  <c r="X28" i="27"/>
  <c r="X133" i="27" s="1"/>
  <c r="W28" i="27"/>
  <c r="W133" i="27" s="1"/>
  <c r="V28" i="27"/>
  <c r="V133" i="27" s="1"/>
  <c r="U28" i="27"/>
  <c r="U133" i="27" s="1"/>
  <c r="T28" i="27"/>
  <c r="T133" i="27" s="1"/>
  <c r="S28" i="27"/>
  <c r="S133" i="27" s="1"/>
  <c r="R28" i="27"/>
  <c r="R133" i="27" s="1"/>
  <c r="Q28" i="27"/>
  <c r="Q133" i="27" s="1"/>
  <c r="P28" i="27"/>
  <c r="P133" i="27" s="1"/>
  <c r="O28" i="27"/>
  <c r="O133" i="27" s="1"/>
  <c r="N28" i="27"/>
  <c r="N133" i="27" s="1"/>
  <c r="M28" i="27"/>
  <c r="M133" i="27" s="1"/>
  <c r="L28" i="27"/>
  <c r="L133" i="27" s="1"/>
  <c r="K28" i="27"/>
  <c r="K133" i="27" s="1"/>
  <c r="J28" i="27"/>
  <c r="J133" i="27" s="1"/>
  <c r="I28" i="27"/>
  <c r="I133" i="27" s="1"/>
  <c r="H28" i="27"/>
  <c r="H133" i="27" s="1"/>
  <c r="G28" i="27"/>
  <c r="G133" i="27" s="1"/>
  <c r="F28" i="27"/>
  <c r="F133" i="27" s="1"/>
  <c r="E28" i="27"/>
  <c r="E133" i="27" s="1"/>
  <c r="D28" i="27"/>
  <c r="D133" i="27" s="1"/>
  <c r="C28" i="27"/>
  <c r="C133" i="27" s="1"/>
  <c r="B28" i="27"/>
  <c r="B133" i="27" s="1"/>
  <c r="AG27" i="27"/>
  <c r="G27" i="23" s="1"/>
  <c r="AG26" i="27"/>
  <c r="G26" i="23" s="1"/>
  <c r="AG25" i="27"/>
  <c r="G25" i="23" s="1"/>
  <c r="AG24" i="27"/>
  <c r="G24" i="23" s="1"/>
  <c r="AG23" i="27"/>
  <c r="G23" i="23" s="1"/>
  <c r="AG22" i="27"/>
  <c r="G22" i="23" s="1"/>
  <c r="AG21" i="27"/>
  <c r="G21" i="23" s="1"/>
  <c r="AG20" i="27"/>
  <c r="G20" i="23" s="1"/>
  <c r="AG19" i="27"/>
  <c r="G19" i="23" s="1"/>
  <c r="AG18" i="27"/>
  <c r="AG17" i="27"/>
  <c r="AG16" i="27"/>
  <c r="G16" i="23" s="1"/>
  <c r="AG15" i="27"/>
  <c r="G15" i="23" s="1"/>
  <c r="AG14" i="27"/>
  <c r="G14" i="23" s="1"/>
  <c r="AG13" i="27"/>
  <c r="G13" i="23" s="1"/>
  <c r="AG12" i="27"/>
  <c r="G12" i="23" s="1"/>
  <c r="AG11" i="27"/>
  <c r="G11" i="23" s="1"/>
  <c r="AG10" i="27"/>
  <c r="G10" i="23" s="1"/>
  <c r="AG9" i="27"/>
  <c r="G9" i="23" s="1"/>
  <c r="AG8" i="27"/>
  <c r="G8" i="23" s="1"/>
  <c r="AG7" i="27"/>
  <c r="G7" i="23" s="1"/>
  <c r="AG6" i="27"/>
  <c r="AG5" i="27"/>
  <c r="AG4" i="27"/>
  <c r="G4" i="23" s="1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E3" i="27"/>
  <c r="D3" i="27"/>
  <c r="C3" i="27"/>
  <c r="B3" i="27"/>
  <c r="C2" i="27"/>
  <c r="D2" i="27" s="1"/>
  <c r="E2" i="27" s="1"/>
  <c r="F2" i="27" s="1"/>
  <c r="G2" i="27" s="1"/>
  <c r="H2" i="27" s="1"/>
  <c r="I2" i="27" s="1"/>
  <c r="J2" i="27" s="1"/>
  <c r="K2" i="27" s="1"/>
  <c r="L2" i="27" s="1"/>
  <c r="M2" i="27" s="1"/>
  <c r="N2" i="27" s="1"/>
  <c r="O2" i="27" s="1"/>
  <c r="P2" i="27" s="1"/>
  <c r="Q2" i="27" s="1"/>
  <c r="R2" i="27" s="1"/>
  <c r="S2" i="27" s="1"/>
  <c r="T2" i="27" s="1"/>
  <c r="U2" i="27" s="1"/>
  <c r="V2" i="27" s="1"/>
  <c r="W2" i="27" s="1"/>
  <c r="X2" i="27" s="1"/>
  <c r="Y2" i="27" s="1"/>
  <c r="Z2" i="27" s="1"/>
  <c r="AA2" i="27" s="1"/>
  <c r="AB2" i="27" s="1"/>
  <c r="AC2" i="27" s="1"/>
  <c r="AD2" i="27" s="1"/>
  <c r="AE2" i="27" s="1"/>
  <c r="AF2" i="27" s="1"/>
  <c r="AG180" i="26"/>
  <c r="F180" i="23" s="1"/>
  <c r="AG179" i="26"/>
  <c r="F179" i="23" s="1"/>
  <c r="AG178" i="26"/>
  <c r="F178" i="23" s="1"/>
  <c r="AG177" i="26"/>
  <c r="F177" i="23" s="1"/>
  <c r="AG176" i="26"/>
  <c r="AG175" i="26"/>
  <c r="AG174" i="26"/>
  <c r="F174" i="23" s="1"/>
  <c r="AG173" i="26"/>
  <c r="F173" i="23" s="1"/>
  <c r="AG172" i="26"/>
  <c r="AF171" i="26"/>
  <c r="AE171" i="26"/>
  <c r="AD171" i="26"/>
  <c r="AC171" i="26"/>
  <c r="AB171" i="26"/>
  <c r="AA171" i="26"/>
  <c r="Z171" i="26"/>
  <c r="Y171" i="26"/>
  <c r="X171" i="26"/>
  <c r="W171" i="26"/>
  <c r="V171" i="26"/>
  <c r="U171" i="26"/>
  <c r="T171" i="26"/>
  <c r="S171" i="26"/>
  <c r="R171" i="26"/>
  <c r="Q171" i="26"/>
  <c r="P171" i="26"/>
  <c r="O171" i="26"/>
  <c r="N171" i="26"/>
  <c r="M171" i="26"/>
  <c r="L171" i="26"/>
  <c r="K171" i="26"/>
  <c r="J171" i="26"/>
  <c r="I171" i="26"/>
  <c r="H171" i="26"/>
  <c r="G171" i="26"/>
  <c r="F171" i="26"/>
  <c r="E171" i="26"/>
  <c r="D171" i="26"/>
  <c r="C171" i="26"/>
  <c r="B171" i="26"/>
  <c r="AG170" i="26"/>
  <c r="F170" i="23" s="1"/>
  <c r="AG169" i="26"/>
  <c r="F169" i="23" s="1"/>
  <c r="AG168" i="26"/>
  <c r="F168" i="23" s="1"/>
  <c r="AG167" i="26"/>
  <c r="AG166" i="26"/>
  <c r="F166" i="23" s="1"/>
  <c r="AG165" i="26"/>
  <c r="F165" i="23" s="1"/>
  <c r="AG164" i="26"/>
  <c r="F164" i="23" s="1"/>
  <c r="AG163" i="26"/>
  <c r="AG162" i="26"/>
  <c r="F162" i="23" s="1"/>
  <c r="AG161" i="26"/>
  <c r="F161" i="23" s="1"/>
  <c r="AG160" i="26"/>
  <c r="AG159" i="26"/>
  <c r="AG158" i="26"/>
  <c r="F158" i="23" s="1"/>
  <c r="AG157" i="26"/>
  <c r="F157" i="23" s="1"/>
  <c r="AG156" i="26"/>
  <c r="F156" i="23" s="1"/>
  <c r="AG155" i="26"/>
  <c r="AG154" i="26"/>
  <c r="F154" i="23" s="1"/>
  <c r="AG153" i="26"/>
  <c r="F153" i="23" s="1"/>
  <c r="AG152" i="26"/>
  <c r="F152" i="23" s="1"/>
  <c r="AG151" i="26"/>
  <c r="AG150" i="26"/>
  <c r="F150" i="23" s="1"/>
  <c r="AG149" i="26"/>
  <c r="F149" i="23" s="1"/>
  <c r="AG148" i="26"/>
  <c r="AG147" i="26"/>
  <c r="AG146" i="26"/>
  <c r="F146" i="23" s="1"/>
  <c r="AG145" i="26"/>
  <c r="F145" i="23" s="1"/>
  <c r="AF144" i="26"/>
  <c r="AE144" i="26"/>
  <c r="AD144" i="26"/>
  <c r="AC144" i="26"/>
  <c r="AB144" i="26"/>
  <c r="AA144" i="26"/>
  <c r="Z144" i="26"/>
  <c r="Y144" i="26"/>
  <c r="X144" i="26"/>
  <c r="W144" i="26"/>
  <c r="V144" i="26"/>
  <c r="U144" i="26"/>
  <c r="T144" i="26"/>
  <c r="S144" i="26"/>
  <c r="R144" i="26"/>
  <c r="Q144" i="26"/>
  <c r="P144" i="26"/>
  <c r="O144" i="26"/>
  <c r="N144" i="26"/>
  <c r="M144" i="26"/>
  <c r="L144" i="26"/>
  <c r="K144" i="26"/>
  <c r="J144" i="26"/>
  <c r="I144" i="26"/>
  <c r="H144" i="26"/>
  <c r="G144" i="26"/>
  <c r="F144" i="26"/>
  <c r="E144" i="26"/>
  <c r="D144" i="26"/>
  <c r="C144" i="26"/>
  <c r="B144" i="26"/>
  <c r="AG143" i="26"/>
  <c r="F143" i="23" s="1"/>
  <c r="AG142" i="26"/>
  <c r="F142" i="23" s="1"/>
  <c r="AG141" i="26"/>
  <c r="F141" i="23" s="1"/>
  <c r="AG140" i="26"/>
  <c r="AF139" i="26"/>
  <c r="AE139" i="26"/>
  <c r="AD139" i="26"/>
  <c r="AC139" i="26"/>
  <c r="AB139" i="26"/>
  <c r="AA139" i="26"/>
  <c r="Z139" i="26"/>
  <c r="Y139" i="26"/>
  <c r="X139" i="26"/>
  <c r="W139" i="26"/>
  <c r="V139" i="26"/>
  <c r="U139" i="26"/>
  <c r="T139" i="26"/>
  <c r="S139" i="26"/>
  <c r="R139" i="26"/>
  <c r="Q139" i="26"/>
  <c r="P139" i="26"/>
  <c r="O139" i="26"/>
  <c r="N139" i="26"/>
  <c r="M139" i="26"/>
  <c r="L139" i="26"/>
  <c r="K139" i="26"/>
  <c r="J139" i="26"/>
  <c r="I139" i="26"/>
  <c r="H139" i="26"/>
  <c r="G139" i="26"/>
  <c r="F139" i="26"/>
  <c r="E139" i="26"/>
  <c r="D139" i="26"/>
  <c r="C139" i="26"/>
  <c r="B139" i="26"/>
  <c r="AG138" i="26"/>
  <c r="F138" i="23" s="1"/>
  <c r="AG137" i="26"/>
  <c r="F137" i="23" s="1"/>
  <c r="AG136" i="26"/>
  <c r="F136" i="23" s="1"/>
  <c r="AF135" i="26"/>
  <c r="AE135" i="26"/>
  <c r="AD135" i="26"/>
  <c r="AC135" i="26"/>
  <c r="AB135" i="26"/>
  <c r="AA135" i="26"/>
  <c r="Z135" i="26"/>
  <c r="Y135" i="26"/>
  <c r="X135" i="26"/>
  <c r="W135" i="26"/>
  <c r="V135" i="26"/>
  <c r="U135" i="26"/>
  <c r="T135" i="26"/>
  <c r="S135" i="26"/>
  <c r="R135" i="26"/>
  <c r="Q135" i="26"/>
  <c r="P135" i="26"/>
  <c r="O135" i="26"/>
  <c r="N135" i="26"/>
  <c r="M135" i="26"/>
  <c r="L135" i="26"/>
  <c r="K135" i="26"/>
  <c r="J135" i="26"/>
  <c r="I135" i="26"/>
  <c r="H135" i="26"/>
  <c r="G135" i="26"/>
  <c r="F135" i="26"/>
  <c r="E135" i="26"/>
  <c r="D135" i="26"/>
  <c r="C135" i="26"/>
  <c r="B135" i="26"/>
  <c r="AF134" i="26"/>
  <c r="AG132" i="26"/>
  <c r="F132" i="23" s="1"/>
  <c r="AG131" i="26"/>
  <c r="AG130" i="26"/>
  <c r="F130" i="23" s="1"/>
  <c r="AG129" i="26"/>
  <c r="F129" i="23" s="1"/>
  <c r="AG128" i="26"/>
  <c r="AG127" i="26"/>
  <c r="AG126" i="26"/>
  <c r="F126" i="23" s="1"/>
  <c r="AG125" i="26"/>
  <c r="F125" i="23" s="1"/>
  <c r="AG124" i="26"/>
  <c r="AG123" i="26"/>
  <c r="AG122" i="26"/>
  <c r="F122" i="23" s="1"/>
  <c r="AG121" i="26"/>
  <c r="F121" i="23" s="1"/>
  <c r="AG120" i="26"/>
  <c r="F120" i="23" s="1"/>
  <c r="AF119" i="26"/>
  <c r="AE119" i="26"/>
  <c r="AD119" i="26"/>
  <c r="AC119" i="26"/>
  <c r="AB119" i="26"/>
  <c r="AA119" i="26"/>
  <c r="Z119" i="26"/>
  <c r="Y119" i="26"/>
  <c r="X119" i="26"/>
  <c r="W119" i="26"/>
  <c r="V119" i="26"/>
  <c r="U119" i="26"/>
  <c r="T119" i="26"/>
  <c r="S119" i="26"/>
  <c r="R119" i="26"/>
  <c r="Q119" i="26"/>
  <c r="P119" i="26"/>
  <c r="O119" i="26"/>
  <c r="N119" i="26"/>
  <c r="M119" i="26"/>
  <c r="L119" i="26"/>
  <c r="K119" i="26"/>
  <c r="J119" i="26"/>
  <c r="I119" i="26"/>
  <c r="H119" i="26"/>
  <c r="G119" i="26"/>
  <c r="F119" i="26"/>
  <c r="E119" i="26"/>
  <c r="D119" i="26"/>
  <c r="C119" i="26"/>
  <c r="B119" i="26"/>
  <c r="AG118" i="26"/>
  <c r="F118" i="23" s="1"/>
  <c r="AG117" i="26"/>
  <c r="F117" i="23" s="1"/>
  <c r="AF116" i="26"/>
  <c r="AE116" i="26"/>
  <c r="AD116" i="26"/>
  <c r="AC116" i="26"/>
  <c r="AB116" i="26"/>
  <c r="AA116" i="26"/>
  <c r="Z116" i="26"/>
  <c r="Y116" i="26"/>
  <c r="X116" i="26"/>
  <c r="W116" i="26"/>
  <c r="V116" i="26"/>
  <c r="U116" i="26"/>
  <c r="T116" i="26"/>
  <c r="S116" i="26"/>
  <c r="R116" i="26"/>
  <c r="Q116" i="26"/>
  <c r="P116" i="26"/>
  <c r="O116" i="26"/>
  <c r="N116" i="26"/>
  <c r="M116" i="26"/>
  <c r="L116" i="26"/>
  <c r="K116" i="26"/>
  <c r="J116" i="26"/>
  <c r="I116" i="26"/>
  <c r="H116" i="26"/>
  <c r="G116" i="26"/>
  <c r="F116" i="26"/>
  <c r="E116" i="26"/>
  <c r="D116" i="26"/>
  <c r="C116" i="26"/>
  <c r="B116" i="26"/>
  <c r="AG115" i="26"/>
  <c r="AG114" i="26"/>
  <c r="F114" i="23" s="1"/>
  <c r="AG113" i="26"/>
  <c r="F113" i="23" s="1"/>
  <c r="AG112" i="26"/>
  <c r="AG111" i="26"/>
  <c r="AG110" i="26"/>
  <c r="F110" i="23" s="1"/>
  <c r="AG109" i="26"/>
  <c r="F109" i="23" s="1"/>
  <c r="AG108" i="26"/>
  <c r="F108" i="23" s="1"/>
  <c r="AG107" i="26"/>
  <c r="AG106" i="26"/>
  <c r="F106" i="23" s="1"/>
  <c r="AG105" i="26"/>
  <c r="F105" i="23" s="1"/>
  <c r="AG104" i="26"/>
  <c r="AG103" i="26"/>
  <c r="AG102" i="26"/>
  <c r="F102" i="23" s="1"/>
  <c r="AG101" i="26"/>
  <c r="F101" i="23" s="1"/>
  <c r="AF100" i="26"/>
  <c r="AE100" i="26"/>
  <c r="AD100" i="26"/>
  <c r="AC100" i="26"/>
  <c r="AB100" i="26"/>
  <c r="AA100" i="26"/>
  <c r="Z100" i="26"/>
  <c r="Y100" i="26"/>
  <c r="X100" i="26"/>
  <c r="W100" i="26"/>
  <c r="V100" i="26"/>
  <c r="U100" i="26"/>
  <c r="T100" i="26"/>
  <c r="S100" i="26"/>
  <c r="R100" i="26"/>
  <c r="Q100" i="26"/>
  <c r="P100" i="26"/>
  <c r="O100" i="26"/>
  <c r="N100" i="26"/>
  <c r="M100" i="26"/>
  <c r="L100" i="26"/>
  <c r="K100" i="26"/>
  <c r="J100" i="26"/>
  <c r="I100" i="26"/>
  <c r="H100" i="26"/>
  <c r="G100" i="26"/>
  <c r="F100" i="26"/>
  <c r="E100" i="26"/>
  <c r="D100" i="26"/>
  <c r="C100" i="26"/>
  <c r="B100" i="26"/>
  <c r="AG99" i="26"/>
  <c r="AG98" i="26"/>
  <c r="F98" i="23" s="1"/>
  <c r="AG97" i="26"/>
  <c r="F97" i="23" s="1"/>
  <c r="AG96" i="26"/>
  <c r="F96" i="23" s="1"/>
  <c r="AG95" i="26"/>
  <c r="F95" i="23" s="1"/>
  <c r="AF94" i="26"/>
  <c r="AE94" i="26"/>
  <c r="AD94" i="26"/>
  <c r="AC94" i="26"/>
  <c r="AB94" i="26"/>
  <c r="AA94" i="26"/>
  <c r="Z94" i="26"/>
  <c r="Y94" i="26"/>
  <c r="X94" i="26"/>
  <c r="W94" i="26"/>
  <c r="V94" i="26"/>
  <c r="U94" i="26"/>
  <c r="T94" i="26"/>
  <c r="S94" i="26"/>
  <c r="S93" i="26" s="1"/>
  <c r="R94" i="26"/>
  <c r="Q94" i="26"/>
  <c r="P94" i="26"/>
  <c r="O94" i="26"/>
  <c r="N94" i="26"/>
  <c r="M94" i="26"/>
  <c r="L94" i="26"/>
  <c r="K94" i="26"/>
  <c r="J94" i="26"/>
  <c r="I94" i="26"/>
  <c r="H94" i="26"/>
  <c r="G94" i="26"/>
  <c r="F94" i="26"/>
  <c r="F93" i="26" s="1"/>
  <c r="E94" i="26"/>
  <c r="D94" i="26"/>
  <c r="C94" i="26"/>
  <c r="B94" i="26"/>
  <c r="AA93" i="26"/>
  <c r="AG92" i="26"/>
  <c r="AG91" i="26"/>
  <c r="AG90" i="26"/>
  <c r="F90" i="23" s="1"/>
  <c r="AG89" i="26"/>
  <c r="F89" i="23" s="1"/>
  <c r="AG88" i="26"/>
  <c r="AF87" i="26"/>
  <c r="AE87" i="26"/>
  <c r="AD87" i="26"/>
  <c r="AC87" i="26"/>
  <c r="AB87" i="26"/>
  <c r="AA87" i="26"/>
  <c r="Z87" i="26"/>
  <c r="Y87" i="26"/>
  <c r="X87" i="26"/>
  <c r="W87" i="26"/>
  <c r="V87" i="26"/>
  <c r="U87" i="26"/>
  <c r="T87" i="26"/>
  <c r="S87" i="26"/>
  <c r="R87" i="26"/>
  <c r="Q87" i="26"/>
  <c r="P87" i="26"/>
  <c r="O87" i="26"/>
  <c r="N87" i="26"/>
  <c r="M87" i="26"/>
  <c r="L87" i="26"/>
  <c r="K87" i="26"/>
  <c r="J87" i="26"/>
  <c r="I87" i="26"/>
  <c r="H87" i="26"/>
  <c r="G87" i="26"/>
  <c r="F87" i="26"/>
  <c r="E87" i="26"/>
  <c r="D87" i="26"/>
  <c r="C87" i="26"/>
  <c r="B87" i="26"/>
  <c r="AG86" i="26"/>
  <c r="F86" i="23" s="1"/>
  <c r="AG85" i="26"/>
  <c r="F85" i="23" s="1"/>
  <c r="AF84" i="26"/>
  <c r="AE84" i="26"/>
  <c r="AD84" i="26"/>
  <c r="AC84" i="26"/>
  <c r="AB84" i="26"/>
  <c r="AA84" i="26"/>
  <c r="Z84" i="26"/>
  <c r="Y84" i="26"/>
  <c r="X84" i="26"/>
  <c r="W84" i="26"/>
  <c r="V84" i="26"/>
  <c r="U84" i="26"/>
  <c r="T84" i="26"/>
  <c r="S84" i="26"/>
  <c r="R84" i="26"/>
  <c r="Q84" i="26"/>
  <c r="P84" i="26"/>
  <c r="O84" i="26"/>
  <c r="N84" i="26"/>
  <c r="M84" i="26"/>
  <c r="L84" i="26"/>
  <c r="K84" i="26"/>
  <c r="J84" i="26"/>
  <c r="I84" i="26"/>
  <c r="H84" i="26"/>
  <c r="G84" i="26"/>
  <c r="F84" i="26"/>
  <c r="E84" i="26"/>
  <c r="D84" i="26"/>
  <c r="C84" i="26"/>
  <c r="B84" i="26"/>
  <c r="AF82" i="26"/>
  <c r="AF83" i="26" s="1"/>
  <c r="AF81" i="26" s="1"/>
  <c r="AE82" i="26"/>
  <c r="AE83" i="26" s="1"/>
  <c r="AD82" i="26"/>
  <c r="AD83" i="26" s="1"/>
  <c r="AD81" i="26" s="1"/>
  <c r="AC82" i="26"/>
  <c r="AC83" i="26" s="1"/>
  <c r="AC81" i="26" s="1"/>
  <c r="AB82" i="26"/>
  <c r="AA82" i="26"/>
  <c r="AA83" i="26" s="1"/>
  <c r="Z82" i="26"/>
  <c r="Z83" i="26" s="1"/>
  <c r="Z81" i="26" s="1"/>
  <c r="Y82" i="26"/>
  <c r="Y83" i="26" s="1"/>
  <c r="Y81" i="26" s="1"/>
  <c r="X82" i="26"/>
  <c r="X83" i="26" s="1"/>
  <c r="X81" i="26" s="1"/>
  <c r="W82" i="26"/>
  <c r="W83" i="26" s="1"/>
  <c r="V82" i="26"/>
  <c r="V83" i="26" s="1"/>
  <c r="V81" i="26" s="1"/>
  <c r="U82" i="26"/>
  <c r="U83" i="26" s="1"/>
  <c r="U81" i="26" s="1"/>
  <c r="T82" i="26"/>
  <c r="S82" i="26"/>
  <c r="S83" i="26" s="1"/>
  <c r="R82" i="26"/>
  <c r="R83" i="26" s="1"/>
  <c r="R81" i="26" s="1"/>
  <c r="Q82" i="26"/>
  <c r="Q83" i="26" s="1"/>
  <c r="Q81" i="26" s="1"/>
  <c r="P82" i="26"/>
  <c r="P83" i="26" s="1"/>
  <c r="P81" i="26" s="1"/>
  <c r="O82" i="26"/>
  <c r="O83" i="26" s="1"/>
  <c r="N82" i="26"/>
  <c r="N83" i="26" s="1"/>
  <c r="N81" i="26" s="1"/>
  <c r="M82" i="26"/>
  <c r="M83" i="26" s="1"/>
  <c r="M81" i="26" s="1"/>
  <c r="L82" i="26"/>
  <c r="K82" i="26"/>
  <c r="K83" i="26" s="1"/>
  <c r="J82" i="26"/>
  <c r="J83" i="26" s="1"/>
  <c r="J81" i="26" s="1"/>
  <c r="I82" i="26"/>
  <c r="I83" i="26" s="1"/>
  <c r="I81" i="26" s="1"/>
  <c r="H82" i="26"/>
  <c r="H83" i="26" s="1"/>
  <c r="H81" i="26" s="1"/>
  <c r="G82" i="26"/>
  <c r="G83" i="26" s="1"/>
  <c r="F82" i="26"/>
  <c r="F83" i="26" s="1"/>
  <c r="F81" i="26" s="1"/>
  <c r="E82" i="26"/>
  <c r="E83" i="26" s="1"/>
  <c r="E81" i="26" s="1"/>
  <c r="D82" i="26"/>
  <c r="C82" i="26"/>
  <c r="C83" i="26" s="1"/>
  <c r="B82" i="26"/>
  <c r="B83" i="26" s="1"/>
  <c r="AG80" i="26"/>
  <c r="AF79" i="26"/>
  <c r="AE79" i="26"/>
  <c r="AE78" i="26" s="1"/>
  <c r="AD79" i="26"/>
  <c r="AD78" i="26" s="1"/>
  <c r="AC79" i="26"/>
  <c r="AC78" i="26" s="1"/>
  <c r="AB79" i="26"/>
  <c r="AB78" i="26" s="1"/>
  <c r="AA79" i="26"/>
  <c r="AA78" i="26" s="1"/>
  <c r="Z79" i="26"/>
  <c r="Z78" i="26" s="1"/>
  <c r="Y79" i="26"/>
  <c r="Y78" i="26" s="1"/>
  <c r="X79" i="26"/>
  <c r="X78" i="26" s="1"/>
  <c r="W79" i="26"/>
  <c r="W78" i="26" s="1"/>
  <c r="V79" i="26"/>
  <c r="V78" i="26" s="1"/>
  <c r="U79" i="26"/>
  <c r="U78" i="26" s="1"/>
  <c r="T79" i="26"/>
  <c r="T78" i="26" s="1"/>
  <c r="S79" i="26"/>
  <c r="S78" i="26" s="1"/>
  <c r="R79" i="26"/>
  <c r="R78" i="26" s="1"/>
  <c r="Q79" i="26"/>
  <c r="Q78" i="26" s="1"/>
  <c r="P79" i="26"/>
  <c r="P78" i="26" s="1"/>
  <c r="O79" i="26"/>
  <c r="O78" i="26" s="1"/>
  <c r="N79" i="26"/>
  <c r="N78" i="26" s="1"/>
  <c r="M79" i="26"/>
  <c r="M78" i="26" s="1"/>
  <c r="L79" i="26"/>
  <c r="L78" i="26" s="1"/>
  <c r="K79" i="26"/>
  <c r="K78" i="26" s="1"/>
  <c r="J79" i="26"/>
  <c r="J78" i="26" s="1"/>
  <c r="I79" i="26"/>
  <c r="I78" i="26" s="1"/>
  <c r="H79" i="26"/>
  <c r="H78" i="26" s="1"/>
  <c r="G79" i="26"/>
  <c r="G78" i="26" s="1"/>
  <c r="F79" i="26"/>
  <c r="F78" i="26" s="1"/>
  <c r="E79" i="26"/>
  <c r="E78" i="26" s="1"/>
  <c r="D79" i="26"/>
  <c r="D78" i="26" s="1"/>
  <c r="C79" i="26"/>
  <c r="C78" i="26" s="1"/>
  <c r="B79" i="26"/>
  <c r="B78" i="26" s="1"/>
  <c r="AF78" i="26"/>
  <c r="AG77" i="26"/>
  <c r="F77" i="23" s="1"/>
  <c r="AG76" i="26"/>
  <c r="AG75" i="26"/>
  <c r="F75" i="23" s="1"/>
  <c r="AG74" i="26"/>
  <c r="F74" i="23" s="1"/>
  <c r="AG73" i="26"/>
  <c r="F73" i="23" s="1"/>
  <c r="AG72" i="26"/>
  <c r="F72" i="23" s="1"/>
  <c r="AG71" i="26"/>
  <c r="F71" i="23" s="1"/>
  <c r="AG70" i="26"/>
  <c r="F70" i="23" s="1"/>
  <c r="AG69" i="26"/>
  <c r="F69" i="23" s="1"/>
  <c r="AG68" i="26"/>
  <c r="F68" i="23" s="1"/>
  <c r="AG67" i="26"/>
  <c r="F67" i="23" s="1"/>
  <c r="AG66" i="26"/>
  <c r="F66" i="23" s="1"/>
  <c r="AG65" i="26"/>
  <c r="F65" i="23" s="1"/>
  <c r="AG64" i="26"/>
  <c r="AG63" i="26"/>
  <c r="F63" i="23" s="1"/>
  <c r="AG62" i="26"/>
  <c r="F62" i="23" s="1"/>
  <c r="AG61" i="26"/>
  <c r="F61" i="23" s="1"/>
  <c r="AG60" i="26"/>
  <c r="F60" i="23" s="1"/>
  <c r="AG59" i="26"/>
  <c r="F59" i="23" s="1"/>
  <c r="AG58" i="26"/>
  <c r="F58" i="23" s="1"/>
  <c r="AG57" i="26"/>
  <c r="F57" i="23" s="1"/>
  <c r="AG56" i="26"/>
  <c r="AG55" i="26"/>
  <c r="AG54" i="26"/>
  <c r="F54" i="23" s="1"/>
  <c r="AF53" i="26"/>
  <c r="AE53" i="26"/>
  <c r="AE134" i="26" s="1"/>
  <c r="AD53" i="26"/>
  <c r="AD134" i="26" s="1"/>
  <c r="AC53" i="26"/>
  <c r="AC134" i="26" s="1"/>
  <c r="AB53" i="26"/>
  <c r="AB134" i="26" s="1"/>
  <c r="AA53" i="26"/>
  <c r="AA134" i="26" s="1"/>
  <c r="Z53" i="26"/>
  <c r="Z134" i="26" s="1"/>
  <c r="Y53" i="26"/>
  <c r="Y134" i="26" s="1"/>
  <c r="X53" i="26"/>
  <c r="X134" i="26" s="1"/>
  <c r="W53" i="26"/>
  <c r="W134" i="26" s="1"/>
  <c r="V53" i="26"/>
  <c r="V134" i="26" s="1"/>
  <c r="U53" i="26"/>
  <c r="U134" i="26" s="1"/>
  <c r="T53" i="26"/>
  <c r="T134" i="26" s="1"/>
  <c r="S53" i="26"/>
  <c r="S134" i="26" s="1"/>
  <c r="R53" i="26"/>
  <c r="R134" i="26" s="1"/>
  <c r="Q53" i="26"/>
  <c r="Q134" i="26" s="1"/>
  <c r="P53" i="26"/>
  <c r="P134" i="26" s="1"/>
  <c r="O53" i="26"/>
  <c r="O134" i="26" s="1"/>
  <c r="N53" i="26"/>
  <c r="N134" i="26" s="1"/>
  <c r="M53" i="26"/>
  <c r="M134" i="26" s="1"/>
  <c r="L53" i="26"/>
  <c r="L134" i="26" s="1"/>
  <c r="K53" i="26"/>
  <c r="K134" i="26" s="1"/>
  <c r="J53" i="26"/>
  <c r="J134" i="26" s="1"/>
  <c r="I53" i="26"/>
  <c r="I134" i="26" s="1"/>
  <c r="H53" i="26"/>
  <c r="H134" i="26" s="1"/>
  <c r="G53" i="26"/>
  <c r="G134" i="26" s="1"/>
  <c r="F53" i="26"/>
  <c r="F134" i="26" s="1"/>
  <c r="E53" i="26"/>
  <c r="D53" i="26"/>
  <c r="D134" i="26" s="1"/>
  <c r="C53" i="26"/>
  <c r="C134" i="26" s="1"/>
  <c r="B53" i="26"/>
  <c r="B134" i="26" s="1"/>
  <c r="AG52" i="26"/>
  <c r="AG51" i="26"/>
  <c r="AG50" i="26"/>
  <c r="F50" i="23" s="1"/>
  <c r="AG49" i="26"/>
  <c r="F49" i="23" s="1"/>
  <c r="AG48" i="26"/>
  <c r="F48" i="23" s="1"/>
  <c r="AG47" i="26"/>
  <c r="AG46" i="26"/>
  <c r="F46" i="23" s="1"/>
  <c r="AG45" i="26"/>
  <c r="F45" i="23" s="1"/>
  <c r="AG44" i="26"/>
  <c r="AG43" i="26"/>
  <c r="AG42" i="26"/>
  <c r="F42" i="23" s="1"/>
  <c r="AG41" i="26"/>
  <c r="F41" i="23" s="1"/>
  <c r="AG40" i="26"/>
  <c r="AG39" i="26"/>
  <c r="AG38" i="26"/>
  <c r="F38" i="23" s="1"/>
  <c r="AG37" i="26"/>
  <c r="F37" i="23" s="1"/>
  <c r="AG36" i="26"/>
  <c r="F36" i="23" s="1"/>
  <c r="AG35" i="26"/>
  <c r="AG34" i="26"/>
  <c r="F34" i="23" s="1"/>
  <c r="AG33" i="26"/>
  <c r="F33" i="23" s="1"/>
  <c r="AG32" i="26"/>
  <c r="AG31" i="26"/>
  <c r="AG30" i="26"/>
  <c r="F30" i="23" s="1"/>
  <c r="AG29" i="26"/>
  <c r="F29" i="23" s="1"/>
  <c r="AF28" i="26"/>
  <c r="AF133" i="26" s="1"/>
  <c r="AE28" i="26"/>
  <c r="AE133" i="26" s="1"/>
  <c r="AD28" i="26"/>
  <c r="AD133" i="26" s="1"/>
  <c r="AC28" i="26"/>
  <c r="AC133" i="26" s="1"/>
  <c r="AB28" i="26"/>
  <c r="AB133" i="26" s="1"/>
  <c r="AA28" i="26"/>
  <c r="AA133" i="26" s="1"/>
  <c r="Z28" i="26"/>
  <c r="Z133" i="26" s="1"/>
  <c r="Y28" i="26"/>
  <c r="Y133" i="26" s="1"/>
  <c r="X28" i="26"/>
  <c r="X133" i="26" s="1"/>
  <c r="W28" i="26"/>
  <c r="W133" i="26" s="1"/>
  <c r="V28" i="26"/>
  <c r="V133" i="26" s="1"/>
  <c r="U28" i="26"/>
  <c r="U133" i="26" s="1"/>
  <c r="T28" i="26"/>
  <c r="T133" i="26" s="1"/>
  <c r="S28" i="26"/>
  <c r="S133" i="26" s="1"/>
  <c r="R28" i="26"/>
  <c r="R133" i="26" s="1"/>
  <c r="Q28" i="26"/>
  <c r="Q133" i="26" s="1"/>
  <c r="P28" i="26"/>
  <c r="P133" i="26" s="1"/>
  <c r="O28" i="26"/>
  <c r="O133" i="26" s="1"/>
  <c r="N28" i="26"/>
  <c r="N133" i="26" s="1"/>
  <c r="M28" i="26"/>
  <c r="M133" i="26" s="1"/>
  <c r="L28" i="26"/>
  <c r="L133" i="26" s="1"/>
  <c r="K28" i="26"/>
  <c r="K133" i="26" s="1"/>
  <c r="J28" i="26"/>
  <c r="J133" i="26" s="1"/>
  <c r="I28" i="26"/>
  <c r="I133" i="26" s="1"/>
  <c r="H28" i="26"/>
  <c r="H133" i="26" s="1"/>
  <c r="G28" i="26"/>
  <c r="G133" i="26" s="1"/>
  <c r="F28" i="26"/>
  <c r="F133" i="26" s="1"/>
  <c r="E28" i="26"/>
  <c r="E133" i="26" s="1"/>
  <c r="D28" i="26"/>
  <c r="D133" i="26" s="1"/>
  <c r="C28" i="26"/>
  <c r="C133" i="26" s="1"/>
  <c r="B28" i="26"/>
  <c r="B133" i="26" s="1"/>
  <c r="AG27" i="26"/>
  <c r="F27" i="23" s="1"/>
  <c r="AG26" i="26"/>
  <c r="F26" i="23" s="1"/>
  <c r="AG25" i="26"/>
  <c r="F25" i="23" s="1"/>
  <c r="AG24" i="26"/>
  <c r="F24" i="23" s="1"/>
  <c r="AG23" i="26"/>
  <c r="F23" i="23" s="1"/>
  <c r="AG22" i="26"/>
  <c r="F22" i="23" s="1"/>
  <c r="AG21" i="26"/>
  <c r="F21" i="23" s="1"/>
  <c r="AG20" i="26"/>
  <c r="AG19" i="26"/>
  <c r="AG18" i="26"/>
  <c r="F18" i="23" s="1"/>
  <c r="AG17" i="26"/>
  <c r="F17" i="23" s="1"/>
  <c r="AG16" i="26"/>
  <c r="AG15" i="26"/>
  <c r="F15" i="23" s="1"/>
  <c r="AG14" i="26"/>
  <c r="F14" i="23" s="1"/>
  <c r="AG13" i="26"/>
  <c r="F13" i="23" s="1"/>
  <c r="AG12" i="26"/>
  <c r="F12" i="23" s="1"/>
  <c r="AG11" i="26"/>
  <c r="F11" i="23" s="1"/>
  <c r="AG10" i="26"/>
  <c r="F10" i="23" s="1"/>
  <c r="AG9" i="26"/>
  <c r="F9" i="23" s="1"/>
  <c r="AG8" i="26"/>
  <c r="F8" i="23" s="1"/>
  <c r="AG7" i="26"/>
  <c r="F7" i="23" s="1"/>
  <c r="AG6" i="26"/>
  <c r="F6" i="23" s="1"/>
  <c r="AG5" i="26"/>
  <c r="F5" i="23" s="1"/>
  <c r="AG4" i="26"/>
  <c r="AF3" i="26"/>
  <c r="AE3" i="26"/>
  <c r="AD3" i="26"/>
  <c r="AC3" i="26"/>
  <c r="AB3" i="26"/>
  <c r="AA3" i="26"/>
  <c r="Z3" i="26"/>
  <c r="Y3" i="26"/>
  <c r="X3" i="26"/>
  <c r="W3" i="26"/>
  <c r="V3" i="26"/>
  <c r="U3" i="26"/>
  <c r="T3" i="26"/>
  <c r="S3" i="26"/>
  <c r="R3" i="26"/>
  <c r="Q3" i="26"/>
  <c r="P3" i="26"/>
  <c r="O3" i="26"/>
  <c r="N3" i="26"/>
  <c r="M3" i="26"/>
  <c r="L3" i="26"/>
  <c r="K3" i="26"/>
  <c r="J3" i="26"/>
  <c r="I3" i="26"/>
  <c r="H3" i="26"/>
  <c r="G3" i="26"/>
  <c r="F3" i="26"/>
  <c r="E3" i="26"/>
  <c r="D3" i="26"/>
  <c r="C3" i="26"/>
  <c r="B3" i="26"/>
  <c r="C2" i="26"/>
  <c r="D2" i="26" s="1"/>
  <c r="E2" i="26" s="1"/>
  <c r="F2" i="26" s="1"/>
  <c r="G2" i="26" s="1"/>
  <c r="H2" i="26" s="1"/>
  <c r="I2" i="26" s="1"/>
  <c r="J2" i="26" s="1"/>
  <c r="K2" i="26" s="1"/>
  <c r="L2" i="26" s="1"/>
  <c r="M2" i="26" s="1"/>
  <c r="N2" i="26" s="1"/>
  <c r="O2" i="26" s="1"/>
  <c r="P2" i="26" s="1"/>
  <c r="Q2" i="26" s="1"/>
  <c r="R2" i="26" s="1"/>
  <c r="S2" i="26" s="1"/>
  <c r="T2" i="26" s="1"/>
  <c r="U2" i="26" s="1"/>
  <c r="V2" i="26" s="1"/>
  <c r="W2" i="26" s="1"/>
  <c r="X2" i="26" s="1"/>
  <c r="Y2" i="26" s="1"/>
  <c r="Z2" i="26" s="1"/>
  <c r="AA2" i="26" s="1"/>
  <c r="AB2" i="26" s="1"/>
  <c r="AC2" i="26" s="1"/>
  <c r="AD2" i="26" s="1"/>
  <c r="AE2" i="26" s="1"/>
  <c r="AF2" i="26" s="1"/>
  <c r="AG180" i="25"/>
  <c r="E180" i="23" s="1"/>
  <c r="AG179" i="25"/>
  <c r="E179" i="23" s="1"/>
  <c r="AG178" i="25"/>
  <c r="E178" i="23" s="1"/>
  <c r="AG177" i="25"/>
  <c r="E177" i="23" s="1"/>
  <c r="AG176" i="25"/>
  <c r="E176" i="23" s="1"/>
  <c r="AG175" i="25"/>
  <c r="E175" i="23" s="1"/>
  <c r="AG174" i="25"/>
  <c r="E174" i="23" s="1"/>
  <c r="AG173" i="25"/>
  <c r="E173" i="23" s="1"/>
  <c r="AG172" i="25"/>
  <c r="E172" i="23" s="1"/>
  <c r="AF171" i="25"/>
  <c r="AE171" i="25"/>
  <c r="AD171" i="25"/>
  <c r="AC171" i="25"/>
  <c r="AB171" i="25"/>
  <c r="AA171" i="25"/>
  <c r="Z171" i="25"/>
  <c r="Y171" i="25"/>
  <c r="X171" i="25"/>
  <c r="W171" i="25"/>
  <c r="V171" i="25"/>
  <c r="U171" i="25"/>
  <c r="T171" i="25"/>
  <c r="S171" i="25"/>
  <c r="R171" i="25"/>
  <c r="Q171" i="25"/>
  <c r="P171" i="25"/>
  <c r="O171" i="25"/>
  <c r="N171" i="25"/>
  <c r="M171" i="25"/>
  <c r="L171" i="25"/>
  <c r="K171" i="25"/>
  <c r="J171" i="25"/>
  <c r="I171" i="25"/>
  <c r="H171" i="25"/>
  <c r="G171" i="25"/>
  <c r="F171" i="25"/>
  <c r="E171" i="25"/>
  <c r="D171" i="25"/>
  <c r="C171" i="25"/>
  <c r="B171" i="25"/>
  <c r="AG170" i="25"/>
  <c r="AG169" i="25"/>
  <c r="AG168" i="25"/>
  <c r="E168" i="23" s="1"/>
  <c r="AG167" i="25"/>
  <c r="E167" i="23" s="1"/>
  <c r="AG166" i="25"/>
  <c r="E166" i="23" s="1"/>
  <c r="AG165" i="25"/>
  <c r="AG164" i="25"/>
  <c r="E164" i="23" s="1"/>
  <c r="AG163" i="25"/>
  <c r="E163" i="23" s="1"/>
  <c r="AG162" i="25"/>
  <c r="AG161" i="25"/>
  <c r="AG160" i="25"/>
  <c r="E160" i="23" s="1"/>
  <c r="AG159" i="25"/>
  <c r="E159" i="23" s="1"/>
  <c r="AG158" i="25"/>
  <c r="AG157" i="25"/>
  <c r="AG156" i="25"/>
  <c r="E156" i="23" s="1"/>
  <c r="AG155" i="25"/>
  <c r="E155" i="23" s="1"/>
  <c r="AG154" i="25"/>
  <c r="E154" i="23" s="1"/>
  <c r="AG153" i="25"/>
  <c r="AG152" i="25"/>
  <c r="E152" i="23" s="1"/>
  <c r="AG151" i="25"/>
  <c r="E151" i="23" s="1"/>
  <c r="AG150" i="25"/>
  <c r="AG149" i="25"/>
  <c r="AG148" i="25"/>
  <c r="E148" i="23" s="1"/>
  <c r="AG147" i="25"/>
  <c r="E147" i="23" s="1"/>
  <c r="AG146" i="25"/>
  <c r="AG145" i="25"/>
  <c r="AF144" i="25"/>
  <c r="AE144" i="25"/>
  <c r="AD144" i="25"/>
  <c r="AC144" i="25"/>
  <c r="AB144" i="25"/>
  <c r="AA144" i="25"/>
  <c r="Z144" i="25"/>
  <c r="Y144" i="25"/>
  <c r="X144" i="25"/>
  <c r="W144" i="25"/>
  <c r="V144" i="25"/>
  <c r="U144" i="25"/>
  <c r="T144" i="25"/>
  <c r="S144" i="25"/>
  <c r="R144" i="25"/>
  <c r="Q144" i="25"/>
  <c r="P144" i="25"/>
  <c r="O144" i="25"/>
  <c r="N144" i="25"/>
  <c r="M144" i="25"/>
  <c r="L144" i="25"/>
  <c r="K144" i="25"/>
  <c r="J144" i="25"/>
  <c r="I144" i="25"/>
  <c r="H144" i="25"/>
  <c r="G144" i="25"/>
  <c r="F144" i="25"/>
  <c r="E144" i="25"/>
  <c r="D144" i="25"/>
  <c r="C144" i="25"/>
  <c r="B144" i="25"/>
  <c r="AG143" i="25"/>
  <c r="E143" i="23" s="1"/>
  <c r="AG142" i="25"/>
  <c r="E142" i="23" s="1"/>
  <c r="AG141" i="25"/>
  <c r="E141" i="23" s="1"/>
  <c r="AG140" i="25"/>
  <c r="E140" i="23" s="1"/>
  <c r="AF139" i="25"/>
  <c r="AE139" i="25"/>
  <c r="AD139" i="25"/>
  <c r="AC139" i="25"/>
  <c r="AB139" i="25"/>
  <c r="AA139" i="25"/>
  <c r="Z139" i="25"/>
  <c r="Y139" i="25"/>
  <c r="X139" i="25"/>
  <c r="W139" i="25"/>
  <c r="V139" i="25"/>
  <c r="U139" i="25"/>
  <c r="T139" i="25"/>
  <c r="S139" i="25"/>
  <c r="R139" i="25"/>
  <c r="Q139" i="25"/>
  <c r="P139" i="25"/>
  <c r="O139" i="25"/>
  <c r="N139" i="25"/>
  <c r="M139" i="25"/>
  <c r="L139" i="25"/>
  <c r="K139" i="25"/>
  <c r="J139" i="25"/>
  <c r="I139" i="25"/>
  <c r="H139" i="25"/>
  <c r="G139" i="25"/>
  <c r="F139" i="25"/>
  <c r="E139" i="25"/>
  <c r="D139" i="25"/>
  <c r="C139" i="25"/>
  <c r="B139" i="25"/>
  <c r="AG138" i="25"/>
  <c r="AG137" i="25"/>
  <c r="AG136" i="25"/>
  <c r="E136" i="23" s="1"/>
  <c r="AF135" i="25"/>
  <c r="AE135" i="25"/>
  <c r="AD135" i="25"/>
  <c r="AC135" i="25"/>
  <c r="AB135" i="25"/>
  <c r="AA135" i="25"/>
  <c r="Z135" i="25"/>
  <c r="Y135" i="25"/>
  <c r="X135" i="25"/>
  <c r="W135" i="25"/>
  <c r="V135" i="25"/>
  <c r="U135" i="25"/>
  <c r="T135" i="25"/>
  <c r="S135" i="25"/>
  <c r="R135" i="25"/>
  <c r="Q135" i="25"/>
  <c r="P135" i="25"/>
  <c r="O135" i="25"/>
  <c r="N135" i="25"/>
  <c r="M135" i="25"/>
  <c r="L135" i="25"/>
  <c r="K135" i="25"/>
  <c r="J135" i="25"/>
  <c r="I135" i="25"/>
  <c r="H135" i="25"/>
  <c r="G135" i="25"/>
  <c r="F135" i="25"/>
  <c r="E135" i="25"/>
  <c r="D135" i="25"/>
  <c r="C135" i="25"/>
  <c r="B135" i="25"/>
  <c r="AG132" i="25"/>
  <c r="E132" i="23" s="1"/>
  <c r="AG131" i="25"/>
  <c r="E131" i="23" s="1"/>
  <c r="AG130" i="25"/>
  <c r="E130" i="23" s="1"/>
  <c r="AG129" i="25"/>
  <c r="AG128" i="25"/>
  <c r="E128" i="23" s="1"/>
  <c r="AG127" i="25"/>
  <c r="E127" i="23" s="1"/>
  <c r="AG126" i="25"/>
  <c r="AG125" i="25"/>
  <c r="AG124" i="25"/>
  <c r="E124" i="23" s="1"/>
  <c r="AG123" i="25"/>
  <c r="E123" i="23" s="1"/>
  <c r="AG122" i="25"/>
  <c r="AG121" i="25"/>
  <c r="AG120" i="25"/>
  <c r="E120" i="23" s="1"/>
  <c r="AF119" i="25"/>
  <c r="AE119" i="25"/>
  <c r="AD119" i="25"/>
  <c r="AC119" i="25"/>
  <c r="AB119" i="25"/>
  <c r="AA119" i="25"/>
  <c r="Z119" i="25"/>
  <c r="Y119" i="25"/>
  <c r="X119" i="25"/>
  <c r="W119" i="25"/>
  <c r="V119" i="25"/>
  <c r="U119" i="25"/>
  <c r="T119" i="25"/>
  <c r="S119" i="25"/>
  <c r="R119" i="25"/>
  <c r="Q119" i="25"/>
  <c r="P119" i="25"/>
  <c r="O119" i="25"/>
  <c r="N119" i="25"/>
  <c r="M119" i="25"/>
  <c r="L119" i="25"/>
  <c r="K119" i="25"/>
  <c r="J119" i="25"/>
  <c r="I119" i="25"/>
  <c r="H119" i="25"/>
  <c r="G119" i="25"/>
  <c r="F119" i="25"/>
  <c r="E119" i="25"/>
  <c r="D119" i="25"/>
  <c r="C119" i="25"/>
  <c r="B119" i="25"/>
  <c r="AG118" i="25"/>
  <c r="E118" i="23" s="1"/>
  <c r="AG117" i="25"/>
  <c r="E117" i="23" s="1"/>
  <c r="AF116" i="25"/>
  <c r="AE116" i="25"/>
  <c r="AD116" i="25"/>
  <c r="AC116" i="25"/>
  <c r="AB116" i="25"/>
  <c r="AA116" i="25"/>
  <c r="Z116" i="25"/>
  <c r="Y116" i="25"/>
  <c r="X116" i="25"/>
  <c r="W116" i="25"/>
  <c r="V116" i="25"/>
  <c r="U116" i="25"/>
  <c r="T116" i="25"/>
  <c r="S116" i="25"/>
  <c r="R116" i="25"/>
  <c r="Q116" i="25"/>
  <c r="P116" i="25"/>
  <c r="O116" i="25"/>
  <c r="N116" i="25"/>
  <c r="M116" i="25"/>
  <c r="L116" i="25"/>
  <c r="K116" i="25"/>
  <c r="J116" i="25"/>
  <c r="I116" i="25"/>
  <c r="H116" i="25"/>
  <c r="G116" i="25"/>
  <c r="F116" i="25"/>
  <c r="E116" i="25"/>
  <c r="D116" i="25"/>
  <c r="C116" i="25"/>
  <c r="B116" i="25"/>
  <c r="AG115" i="25"/>
  <c r="E115" i="23" s="1"/>
  <c r="AG114" i="25"/>
  <c r="AG113" i="25"/>
  <c r="AG112" i="25"/>
  <c r="E112" i="23" s="1"/>
  <c r="AG111" i="25"/>
  <c r="E111" i="23" s="1"/>
  <c r="AG110" i="25"/>
  <c r="AG109" i="25"/>
  <c r="AG108" i="25"/>
  <c r="E108" i="23" s="1"/>
  <c r="AG107" i="25"/>
  <c r="E107" i="23" s="1"/>
  <c r="AG106" i="25"/>
  <c r="E106" i="23" s="1"/>
  <c r="AG105" i="25"/>
  <c r="AG104" i="25"/>
  <c r="E104" i="23" s="1"/>
  <c r="AG103" i="25"/>
  <c r="E103" i="23" s="1"/>
  <c r="AG102" i="25"/>
  <c r="AG101" i="25"/>
  <c r="AF100" i="25"/>
  <c r="AE100" i="25"/>
  <c r="AD100" i="25"/>
  <c r="AC100" i="25"/>
  <c r="AB100" i="25"/>
  <c r="AA100" i="25"/>
  <c r="Z100" i="25"/>
  <c r="Y100" i="25"/>
  <c r="X100" i="25"/>
  <c r="W100" i="25"/>
  <c r="V100" i="25"/>
  <c r="U100" i="25"/>
  <c r="T100" i="25"/>
  <c r="S100" i="25"/>
  <c r="R100" i="25"/>
  <c r="Q100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D100" i="25"/>
  <c r="C100" i="25"/>
  <c r="B100" i="25"/>
  <c r="AG99" i="25"/>
  <c r="E99" i="23" s="1"/>
  <c r="AG98" i="25"/>
  <c r="AG97" i="25"/>
  <c r="E97" i="23" s="1"/>
  <c r="AG96" i="25"/>
  <c r="E96" i="23" s="1"/>
  <c r="AG95" i="25"/>
  <c r="E95" i="23" s="1"/>
  <c r="AF94" i="25"/>
  <c r="AE94" i="25"/>
  <c r="AE93" i="25" s="1"/>
  <c r="AD94" i="25"/>
  <c r="AC94" i="25"/>
  <c r="AB94" i="25"/>
  <c r="AA94" i="25"/>
  <c r="AA93" i="25" s="1"/>
  <c r="Z94" i="25"/>
  <c r="Y94" i="25"/>
  <c r="X94" i="25"/>
  <c r="W94" i="25"/>
  <c r="W93" i="25" s="1"/>
  <c r="V94" i="25"/>
  <c r="U94" i="25"/>
  <c r="T94" i="25"/>
  <c r="S94" i="25"/>
  <c r="R94" i="25"/>
  <c r="Q94" i="25"/>
  <c r="Q93" i="25" s="1"/>
  <c r="P94" i="25"/>
  <c r="O94" i="25"/>
  <c r="N94" i="25"/>
  <c r="M94" i="25"/>
  <c r="L94" i="25"/>
  <c r="K94" i="25"/>
  <c r="K93" i="25" s="1"/>
  <c r="J94" i="25"/>
  <c r="I94" i="25"/>
  <c r="H94" i="25"/>
  <c r="G94" i="25"/>
  <c r="F94" i="25"/>
  <c r="E94" i="25"/>
  <c r="D94" i="25"/>
  <c r="C94" i="25"/>
  <c r="B94" i="25"/>
  <c r="AG92" i="25"/>
  <c r="E92" i="23" s="1"/>
  <c r="AG91" i="25"/>
  <c r="E91" i="23" s="1"/>
  <c r="AG90" i="25"/>
  <c r="AG89" i="25"/>
  <c r="AG88" i="25"/>
  <c r="E88" i="23" s="1"/>
  <c r="AF87" i="25"/>
  <c r="AE87" i="25"/>
  <c r="AD87" i="25"/>
  <c r="AC87" i="25"/>
  <c r="AB87" i="25"/>
  <c r="AA87" i="25"/>
  <c r="Z87" i="25"/>
  <c r="Y87" i="25"/>
  <c r="X87" i="25"/>
  <c r="W87" i="25"/>
  <c r="V87" i="25"/>
  <c r="U87" i="25"/>
  <c r="T87" i="25"/>
  <c r="S87" i="25"/>
  <c r="R87" i="25"/>
  <c r="Q87" i="25"/>
  <c r="P87" i="25"/>
  <c r="O87" i="25"/>
  <c r="N87" i="25"/>
  <c r="M87" i="25"/>
  <c r="L87" i="25"/>
  <c r="K87" i="25"/>
  <c r="J87" i="25"/>
  <c r="I87" i="25"/>
  <c r="H87" i="25"/>
  <c r="G87" i="25"/>
  <c r="F87" i="25"/>
  <c r="E87" i="25"/>
  <c r="D87" i="25"/>
  <c r="C87" i="25"/>
  <c r="B87" i="25"/>
  <c r="AG86" i="25"/>
  <c r="AG85" i="25"/>
  <c r="E85" i="23" s="1"/>
  <c r="AF84" i="25"/>
  <c r="AE84" i="25"/>
  <c r="AD84" i="25"/>
  <c r="AC84" i="25"/>
  <c r="AB84" i="25"/>
  <c r="AA84" i="25"/>
  <c r="Z84" i="25"/>
  <c r="Y84" i="25"/>
  <c r="X84" i="25"/>
  <c r="W84" i="25"/>
  <c r="V84" i="25"/>
  <c r="U84" i="25"/>
  <c r="T84" i="25"/>
  <c r="S84" i="25"/>
  <c r="R84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C84" i="25"/>
  <c r="B84" i="25"/>
  <c r="L83" i="25"/>
  <c r="AF82" i="25"/>
  <c r="AF83" i="25" s="1"/>
  <c r="AF81" i="25" s="1"/>
  <c r="AE82" i="25"/>
  <c r="AE83" i="25" s="1"/>
  <c r="AD82" i="25"/>
  <c r="AD83" i="25" s="1"/>
  <c r="AD81" i="25" s="1"/>
  <c r="AC82" i="25"/>
  <c r="AC83" i="25" s="1"/>
  <c r="AC81" i="25" s="1"/>
  <c r="AB82" i="25"/>
  <c r="AA82" i="25"/>
  <c r="AA83" i="25" s="1"/>
  <c r="Z82" i="25"/>
  <c r="Z83" i="25" s="1"/>
  <c r="Z81" i="25" s="1"/>
  <c r="Y82" i="25"/>
  <c r="Y83" i="25" s="1"/>
  <c r="Y81" i="25" s="1"/>
  <c r="X82" i="25"/>
  <c r="X83" i="25" s="1"/>
  <c r="X81" i="25" s="1"/>
  <c r="W82" i="25"/>
  <c r="W83" i="25" s="1"/>
  <c r="V82" i="25"/>
  <c r="V83" i="25" s="1"/>
  <c r="V81" i="25" s="1"/>
  <c r="U82" i="25"/>
  <c r="U83" i="25" s="1"/>
  <c r="U81" i="25" s="1"/>
  <c r="T82" i="25"/>
  <c r="S82" i="25"/>
  <c r="S83" i="25" s="1"/>
  <c r="R82" i="25"/>
  <c r="R83" i="25" s="1"/>
  <c r="R81" i="25" s="1"/>
  <c r="Q82" i="25"/>
  <c r="Q83" i="25" s="1"/>
  <c r="Q81" i="25" s="1"/>
  <c r="P82" i="25"/>
  <c r="P83" i="25" s="1"/>
  <c r="P81" i="25" s="1"/>
  <c r="O82" i="25"/>
  <c r="O83" i="25" s="1"/>
  <c r="N82" i="25"/>
  <c r="N83" i="25" s="1"/>
  <c r="N81" i="25" s="1"/>
  <c r="M82" i="25"/>
  <c r="M83" i="25" s="1"/>
  <c r="M81" i="25" s="1"/>
  <c r="L82" i="25"/>
  <c r="K82" i="25"/>
  <c r="K83" i="25" s="1"/>
  <c r="J82" i="25"/>
  <c r="J83" i="25" s="1"/>
  <c r="J81" i="25" s="1"/>
  <c r="I82" i="25"/>
  <c r="I83" i="25" s="1"/>
  <c r="I81" i="25" s="1"/>
  <c r="H82" i="25"/>
  <c r="H83" i="25" s="1"/>
  <c r="H81" i="25" s="1"/>
  <c r="G82" i="25"/>
  <c r="G83" i="25" s="1"/>
  <c r="F82" i="25"/>
  <c r="F83" i="25" s="1"/>
  <c r="F81" i="25" s="1"/>
  <c r="E82" i="25"/>
  <c r="E83" i="25" s="1"/>
  <c r="E81" i="25" s="1"/>
  <c r="D82" i="25"/>
  <c r="C82" i="25"/>
  <c r="C83" i="25" s="1"/>
  <c r="B82" i="25"/>
  <c r="B83" i="25" s="1"/>
  <c r="AG80" i="25"/>
  <c r="E80" i="23" s="1"/>
  <c r="AF79" i="25"/>
  <c r="AE79" i="25"/>
  <c r="AE78" i="25" s="1"/>
  <c r="AD79" i="25"/>
  <c r="AD78" i="25" s="1"/>
  <c r="AC79" i="25"/>
  <c r="AC78" i="25" s="1"/>
  <c r="AB79" i="25"/>
  <c r="AB78" i="25" s="1"/>
  <c r="AA79" i="25"/>
  <c r="AA78" i="25" s="1"/>
  <c r="Z79" i="25"/>
  <c r="Z78" i="25" s="1"/>
  <c r="Y79" i="25"/>
  <c r="Y78" i="25" s="1"/>
  <c r="X79" i="25"/>
  <c r="X78" i="25" s="1"/>
  <c r="W79" i="25"/>
  <c r="W78" i="25" s="1"/>
  <c r="V79" i="25"/>
  <c r="V78" i="25" s="1"/>
  <c r="U79" i="25"/>
  <c r="U78" i="25" s="1"/>
  <c r="T79" i="25"/>
  <c r="T78" i="25" s="1"/>
  <c r="S79" i="25"/>
  <c r="S78" i="25" s="1"/>
  <c r="R79" i="25"/>
  <c r="R78" i="25" s="1"/>
  <c r="Q79" i="25"/>
  <c r="Q78" i="25" s="1"/>
  <c r="P79" i="25"/>
  <c r="P78" i="25" s="1"/>
  <c r="O79" i="25"/>
  <c r="O78" i="25" s="1"/>
  <c r="N79" i="25"/>
  <c r="N78" i="25" s="1"/>
  <c r="M79" i="25"/>
  <c r="M78" i="25" s="1"/>
  <c r="L79" i="25"/>
  <c r="L78" i="25" s="1"/>
  <c r="K79" i="25"/>
  <c r="K78" i="25" s="1"/>
  <c r="J79" i="25"/>
  <c r="J78" i="25" s="1"/>
  <c r="I79" i="25"/>
  <c r="I78" i="25" s="1"/>
  <c r="H79" i="25"/>
  <c r="H78" i="25" s="1"/>
  <c r="G79" i="25"/>
  <c r="G78" i="25" s="1"/>
  <c r="F79" i="25"/>
  <c r="F78" i="25" s="1"/>
  <c r="E79" i="25"/>
  <c r="E78" i="25" s="1"/>
  <c r="D79" i="25"/>
  <c r="D78" i="25" s="1"/>
  <c r="C79" i="25"/>
  <c r="C78" i="25" s="1"/>
  <c r="B79" i="25"/>
  <c r="B78" i="25" s="1"/>
  <c r="AF78" i="25"/>
  <c r="AG77" i="25"/>
  <c r="AG76" i="25"/>
  <c r="E76" i="23" s="1"/>
  <c r="AG75" i="25"/>
  <c r="E75" i="23" s="1"/>
  <c r="AG74" i="25"/>
  <c r="E74" i="23" s="1"/>
  <c r="AG73" i="25"/>
  <c r="AG72" i="25"/>
  <c r="E72" i="23" s="1"/>
  <c r="AG71" i="25"/>
  <c r="E71" i="23" s="1"/>
  <c r="AG70" i="25"/>
  <c r="E70" i="23" s="1"/>
  <c r="AG69" i="25"/>
  <c r="AG68" i="25"/>
  <c r="E68" i="23" s="1"/>
  <c r="AG67" i="25"/>
  <c r="E67" i="23" s="1"/>
  <c r="AG66" i="25"/>
  <c r="AG65" i="25"/>
  <c r="AG64" i="25"/>
  <c r="E64" i="23" s="1"/>
  <c r="AG63" i="25"/>
  <c r="E63" i="23" s="1"/>
  <c r="AG62" i="25"/>
  <c r="E62" i="23" s="1"/>
  <c r="AG61" i="25"/>
  <c r="AG60" i="25"/>
  <c r="E60" i="23" s="1"/>
  <c r="AG59" i="25"/>
  <c r="E59" i="23" s="1"/>
  <c r="AG58" i="25"/>
  <c r="E58" i="23" s="1"/>
  <c r="AG57" i="25"/>
  <c r="AG56" i="25"/>
  <c r="E56" i="23" s="1"/>
  <c r="AG55" i="25"/>
  <c r="E55" i="23" s="1"/>
  <c r="AG54" i="25"/>
  <c r="E54" i="23" s="1"/>
  <c r="AF53" i="25"/>
  <c r="AF134" i="25" s="1"/>
  <c r="AE53" i="25"/>
  <c r="AE134" i="25" s="1"/>
  <c r="AD53" i="25"/>
  <c r="AD134" i="25" s="1"/>
  <c r="AC53" i="25"/>
  <c r="AC134" i="25" s="1"/>
  <c r="AB53" i="25"/>
  <c r="AB134" i="25" s="1"/>
  <c r="AA53" i="25"/>
  <c r="AA134" i="25" s="1"/>
  <c r="Z53" i="25"/>
  <c r="Z134" i="25" s="1"/>
  <c r="Y53" i="25"/>
  <c r="Y134" i="25" s="1"/>
  <c r="X53" i="25"/>
  <c r="X134" i="25" s="1"/>
  <c r="W53" i="25"/>
  <c r="W134" i="25" s="1"/>
  <c r="V53" i="25"/>
  <c r="V134" i="25" s="1"/>
  <c r="U53" i="25"/>
  <c r="U134" i="25" s="1"/>
  <c r="T53" i="25"/>
  <c r="T134" i="25" s="1"/>
  <c r="S53" i="25"/>
  <c r="S134" i="25" s="1"/>
  <c r="R53" i="25"/>
  <c r="R134" i="25" s="1"/>
  <c r="Q53" i="25"/>
  <c r="Q134" i="25" s="1"/>
  <c r="P53" i="25"/>
  <c r="P134" i="25" s="1"/>
  <c r="O53" i="25"/>
  <c r="O134" i="25" s="1"/>
  <c r="N53" i="25"/>
  <c r="N134" i="25" s="1"/>
  <c r="M53" i="25"/>
  <c r="M134" i="25" s="1"/>
  <c r="L53" i="25"/>
  <c r="L134" i="25" s="1"/>
  <c r="K53" i="25"/>
  <c r="K134" i="25" s="1"/>
  <c r="J53" i="25"/>
  <c r="J134" i="25" s="1"/>
  <c r="I53" i="25"/>
  <c r="I134" i="25" s="1"/>
  <c r="H53" i="25"/>
  <c r="H134" i="25" s="1"/>
  <c r="G53" i="25"/>
  <c r="G134" i="25" s="1"/>
  <c r="F53" i="25"/>
  <c r="F134" i="25" s="1"/>
  <c r="E53" i="25"/>
  <c r="E134" i="25" s="1"/>
  <c r="D53" i="25"/>
  <c r="D134" i="25" s="1"/>
  <c r="C53" i="25"/>
  <c r="C134" i="25" s="1"/>
  <c r="B53" i="25"/>
  <c r="B134" i="25" s="1"/>
  <c r="AG52" i="25"/>
  <c r="E52" i="23" s="1"/>
  <c r="AG51" i="25"/>
  <c r="E51" i="23" s="1"/>
  <c r="AG50" i="25"/>
  <c r="AG49" i="25"/>
  <c r="AG48" i="25"/>
  <c r="E48" i="23" s="1"/>
  <c r="AG47" i="25"/>
  <c r="E47" i="23" s="1"/>
  <c r="AG46" i="25"/>
  <c r="E46" i="23" s="1"/>
  <c r="AG45" i="25"/>
  <c r="E45" i="23" s="1"/>
  <c r="AG44" i="25"/>
  <c r="E44" i="23" s="1"/>
  <c r="AG43" i="25"/>
  <c r="E43" i="23" s="1"/>
  <c r="AG42" i="25"/>
  <c r="AG41" i="25"/>
  <c r="AG40" i="25"/>
  <c r="E40" i="23" s="1"/>
  <c r="AG39" i="25"/>
  <c r="E39" i="23" s="1"/>
  <c r="AG38" i="25"/>
  <c r="AG37" i="25"/>
  <c r="AG36" i="25"/>
  <c r="E36" i="23" s="1"/>
  <c r="AG35" i="25"/>
  <c r="E35" i="23" s="1"/>
  <c r="AG34" i="25"/>
  <c r="E34" i="23" s="1"/>
  <c r="AG33" i="25"/>
  <c r="E33" i="23" s="1"/>
  <c r="AG32" i="25"/>
  <c r="E32" i="23" s="1"/>
  <c r="AG31" i="25"/>
  <c r="E31" i="23" s="1"/>
  <c r="AG30" i="25"/>
  <c r="AG29" i="25"/>
  <c r="E29" i="23" s="1"/>
  <c r="AF28" i="25"/>
  <c r="AF133" i="25" s="1"/>
  <c r="AE28" i="25"/>
  <c r="AE133" i="25" s="1"/>
  <c r="AD28" i="25"/>
  <c r="AD133" i="25" s="1"/>
  <c r="AC28" i="25"/>
  <c r="AC133" i="25" s="1"/>
  <c r="AB28" i="25"/>
  <c r="AB133" i="25" s="1"/>
  <c r="AA28" i="25"/>
  <c r="AA133" i="25" s="1"/>
  <c r="Z28" i="25"/>
  <c r="Z133" i="25" s="1"/>
  <c r="Y28" i="25"/>
  <c r="Y133" i="25" s="1"/>
  <c r="X28" i="25"/>
  <c r="X133" i="25" s="1"/>
  <c r="W28" i="25"/>
  <c r="W133" i="25" s="1"/>
  <c r="V28" i="25"/>
  <c r="V133" i="25" s="1"/>
  <c r="U28" i="25"/>
  <c r="U133" i="25" s="1"/>
  <c r="T28" i="25"/>
  <c r="T133" i="25" s="1"/>
  <c r="S28" i="25"/>
  <c r="S133" i="25" s="1"/>
  <c r="R28" i="25"/>
  <c r="R133" i="25" s="1"/>
  <c r="Q28" i="25"/>
  <c r="Q133" i="25" s="1"/>
  <c r="P28" i="25"/>
  <c r="P133" i="25" s="1"/>
  <c r="O28" i="25"/>
  <c r="O133" i="25" s="1"/>
  <c r="N28" i="25"/>
  <c r="N133" i="25" s="1"/>
  <c r="M28" i="25"/>
  <c r="M133" i="25" s="1"/>
  <c r="L28" i="25"/>
  <c r="L133" i="25" s="1"/>
  <c r="K28" i="25"/>
  <c r="K133" i="25" s="1"/>
  <c r="J28" i="25"/>
  <c r="J133" i="25" s="1"/>
  <c r="I28" i="25"/>
  <c r="I133" i="25" s="1"/>
  <c r="H28" i="25"/>
  <c r="H133" i="25" s="1"/>
  <c r="G28" i="25"/>
  <c r="G133" i="25" s="1"/>
  <c r="F28" i="25"/>
  <c r="F133" i="25" s="1"/>
  <c r="E28" i="25"/>
  <c r="E133" i="25" s="1"/>
  <c r="D28" i="25"/>
  <c r="D133" i="25" s="1"/>
  <c r="C28" i="25"/>
  <c r="C133" i="25" s="1"/>
  <c r="B28" i="25"/>
  <c r="B133" i="25" s="1"/>
  <c r="AG27" i="25"/>
  <c r="E27" i="23" s="1"/>
  <c r="AG26" i="25"/>
  <c r="E26" i="23" s="1"/>
  <c r="AG25" i="25"/>
  <c r="AG24" i="25"/>
  <c r="E24" i="23" s="1"/>
  <c r="AG23" i="25"/>
  <c r="E23" i="23" s="1"/>
  <c r="AG22" i="25"/>
  <c r="E22" i="23" s="1"/>
  <c r="AG21" i="25"/>
  <c r="AG20" i="25"/>
  <c r="E20" i="23" s="1"/>
  <c r="AG19" i="25"/>
  <c r="E19" i="23" s="1"/>
  <c r="AG18" i="25"/>
  <c r="E18" i="23" s="1"/>
  <c r="AG17" i="25"/>
  <c r="AG16" i="25"/>
  <c r="E16" i="23" s="1"/>
  <c r="AG15" i="25"/>
  <c r="E15" i="23" s="1"/>
  <c r="AG14" i="25"/>
  <c r="E14" i="23" s="1"/>
  <c r="AG13" i="25"/>
  <c r="AG12" i="25"/>
  <c r="E12" i="23" s="1"/>
  <c r="AG11" i="25"/>
  <c r="E11" i="23" s="1"/>
  <c r="AG10" i="25"/>
  <c r="E10" i="23" s="1"/>
  <c r="AG9" i="25"/>
  <c r="AG8" i="25"/>
  <c r="E8" i="23" s="1"/>
  <c r="AG7" i="25"/>
  <c r="E7" i="23" s="1"/>
  <c r="AG6" i="25"/>
  <c r="AG5" i="25"/>
  <c r="AG4" i="25"/>
  <c r="E4" i="23" s="1"/>
  <c r="AF3" i="25"/>
  <c r="AE3" i="25"/>
  <c r="AD3" i="25"/>
  <c r="AC3" i="25"/>
  <c r="AB3" i="25"/>
  <c r="AA3" i="25"/>
  <c r="Z3" i="25"/>
  <c r="Y3" i="25"/>
  <c r="X3" i="25"/>
  <c r="W3" i="25"/>
  <c r="V3" i="25"/>
  <c r="U3" i="25"/>
  <c r="T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C3" i="25"/>
  <c r="B3" i="25"/>
  <c r="C2" i="25"/>
  <c r="D2" i="25" s="1"/>
  <c r="E2" i="25" s="1"/>
  <c r="F2" i="25" s="1"/>
  <c r="G2" i="25" s="1"/>
  <c r="H2" i="25" s="1"/>
  <c r="I2" i="25" s="1"/>
  <c r="J2" i="25" s="1"/>
  <c r="K2" i="25" s="1"/>
  <c r="L2" i="25" s="1"/>
  <c r="M2" i="25" s="1"/>
  <c r="N2" i="25" s="1"/>
  <c r="O2" i="25" s="1"/>
  <c r="P2" i="25" s="1"/>
  <c r="Q2" i="25" s="1"/>
  <c r="R2" i="25" s="1"/>
  <c r="S2" i="25" s="1"/>
  <c r="T2" i="25" s="1"/>
  <c r="U2" i="25" s="1"/>
  <c r="V2" i="25" s="1"/>
  <c r="W2" i="25" s="1"/>
  <c r="X2" i="25" s="1"/>
  <c r="Y2" i="25" s="1"/>
  <c r="Z2" i="25" s="1"/>
  <c r="AA2" i="25" s="1"/>
  <c r="AB2" i="25" s="1"/>
  <c r="AC2" i="25" s="1"/>
  <c r="AD2" i="25" s="1"/>
  <c r="AE2" i="25" s="1"/>
  <c r="AF2" i="25" s="1"/>
  <c r="AF177" i="24"/>
  <c r="AE177" i="24"/>
  <c r="AD177" i="24"/>
  <c r="AC177" i="24"/>
  <c r="AB177" i="24"/>
  <c r="AA177" i="24"/>
  <c r="Z177" i="24"/>
  <c r="Y177" i="24"/>
  <c r="X177" i="24"/>
  <c r="W177" i="24"/>
  <c r="V177" i="24"/>
  <c r="U177" i="24"/>
  <c r="T177" i="24"/>
  <c r="S177" i="24"/>
  <c r="R177" i="24"/>
  <c r="Q177" i="24"/>
  <c r="P177" i="24"/>
  <c r="O177" i="24"/>
  <c r="N177" i="24"/>
  <c r="M177" i="24"/>
  <c r="L177" i="24"/>
  <c r="K177" i="24"/>
  <c r="J177" i="24"/>
  <c r="I177" i="24"/>
  <c r="H177" i="24"/>
  <c r="G177" i="24"/>
  <c r="F177" i="24"/>
  <c r="E177" i="24"/>
  <c r="D177" i="24"/>
  <c r="C177" i="24"/>
  <c r="B177" i="24"/>
  <c r="AF177" i="22"/>
  <c r="AE177" i="22"/>
  <c r="AD177" i="22"/>
  <c r="AC177" i="22"/>
  <c r="AB177" i="22"/>
  <c r="AA177" i="22"/>
  <c r="Z177" i="22"/>
  <c r="Y177" i="22"/>
  <c r="X177" i="22"/>
  <c r="W177" i="22"/>
  <c r="V177" i="22"/>
  <c r="U177" i="22"/>
  <c r="T177" i="22"/>
  <c r="S177" i="22"/>
  <c r="R177" i="22"/>
  <c r="Q177" i="22"/>
  <c r="P177" i="22"/>
  <c r="O177" i="22"/>
  <c r="N177" i="22"/>
  <c r="M177" i="22"/>
  <c r="L177" i="22"/>
  <c r="K177" i="22"/>
  <c r="J177" i="22"/>
  <c r="I177" i="22"/>
  <c r="H177" i="22"/>
  <c r="G177" i="22"/>
  <c r="F177" i="22"/>
  <c r="E177" i="22"/>
  <c r="D177" i="22"/>
  <c r="C177" i="22"/>
  <c r="B177" i="22"/>
  <c r="AF93" i="35" l="1"/>
  <c r="AD93" i="35"/>
  <c r="AB93" i="35"/>
  <c r="Z93" i="35"/>
  <c r="X93" i="35"/>
  <c r="W93" i="35"/>
  <c r="T93" i="35"/>
  <c r="S93" i="35"/>
  <c r="O93" i="35"/>
  <c r="N93" i="35"/>
  <c r="L93" i="35"/>
  <c r="K93" i="35"/>
  <c r="H93" i="35"/>
  <c r="G93" i="35"/>
  <c r="F93" i="35"/>
  <c r="AE93" i="34"/>
  <c r="AD93" i="34"/>
  <c r="AC93" i="34"/>
  <c r="AG139" i="35"/>
  <c r="AG94" i="35"/>
  <c r="AG3" i="35"/>
  <c r="AG79" i="35"/>
  <c r="B78" i="35"/>
  <c r="AG78" i="35" s="1"/>
  <c r="AG135" i="35"/>
  <c r="AG53" i="35"/>
  <c r="AG116" i="35"/>
  <c r="AG171" i="35"/>
  <c r="AG28" i="35"/>
  <c r="AG84" i="35"/>
  <c r="AG87" i="35"/>
  <c r="AG100" i="35"/>
  <c r="I93" i="35"/>
  <c r="M93" i="35"/>
  <c r="Q93" i="35"/>
  <c r="U93" i="35"/>
  <c r="Y93" i="35"/>
  <c r="AC93" i="35"/>
  <c r="AG119" i="35"/>
  <c r="AG144" i="35"/>
  <c r="L83" i="35"/>
  <c r="L81" i="35" s="1"/>
  <c r="X83" i="35"/>
  <c r="X81" i="35" s="1"/>
  <c r="B81" i="35"/>
  <c r="F81" i="35"/>
  <c r="J81" i="35"/>
  <c r="N81" i="35"/>
  <c r="R81" i="35"/>
  <c r="V81" i="35"/>
  <c r="Z81" i="35"/>
  <c r="AD81" i="35"/>
  <c r="AG82" i="35"/>
  <c r="B134" i="35"/>
  <c r="AG134" i="35" s="1"/>
  <c r="H83" i="35"/>
  <c r="H81" i="35" s="1"/>
  <c r="P83" i="35"/>
  <c r="P81" i="35" s="1"/>
  <c r="AB83" i="35"/>
  <c r="AB81" i="35" s="1"/>
  <c r="B133" i="35"/>
  <c r="AG133" i="35" s="1"/>
  <c r="E93" i="35"/>
  <c r="D83" i="35"/>
  <c r="T83" i="35"/>
  <c r="T81" i="35" s="1"/>
  <c r="AF83" i="35"/>
  <c r="AF81" i="35" s="1"/>
  <c r="B93" i="35"/>
  <c r="X93" i="34"/>
  <c r="W93" i="34"/>
  <c r="P93" i="34"/>
  <c r="Q93" i="34"/>
  <c r="S93" i="34"/>
  <c r="S83" i="34"/>
  <c r="S81" i="34" s="1"/>
  <c r="N81" i="34"/>
  <c r="H93" i="34"/>
  <c r="G93" i="34"/>
  <c r="AG84" i="34"/>
  <c r="AG135" i="34"/>
  <c r="E93" i="34"/>
  <c r="AG116" i="34"/>
  <c r="AG87" i="34"/>
  <c r="AG144" i="34"/>
  <c r="AG171" i="34"/>
  <c r="AG139" i="34"/>
  <c r="AG119" i="34"/>
  <c r="AG100" i="34"/>
  <c r="AG82" i="34"/>
  <c r="AG53" i="34"/>
  <c r="AG28" i="34"/>
  <c r="AG3" i="34"/>
  <c r="AG79" i="34"/>
  <c r="B83" i="34"/>
  <c r="B81" i="34" s="1"/>
  <c r="C81" i="34"/>
  <c r="F81" i="34"/>
  <c r="R81" i="34"/>
  <c r="AD81" i="34"/>
  <c r="B134" i="34"/>
  <c r="AG134" i="34" s="1"/>
  <c r="H81" i="34"/>
  <c r="T81" i="34"/>
  <c r="AF81" i="34"/>
  <c r="AG94" i="34"/>
  <c r="B78" i="34"/>
  <c r="AG78" i="34" s="1"/>
  <c r="D83" i="34"/>
  <c r="D81" i="34" s="1"/>
  <c r="P83" i="34"/>
  <c r="P81" i="34" s="1"/>
  <c r="AB83" i="34"/>
  <c r="AB81" i="34" s="1"/>
  <c r="B133" i="34"/>
  <c r="AG133" i="34" s="1"/>
  <c r="J81" i="34"/>
  <c r="V81" i="34"/>
  <c r="AE93" i="33"/>
  <c r="AC93" i="33"/>
  <c r="AA83" i="33"/>
  <c r="AA81" i="33" s="1"/>
  <c r="Y93" i="33"/>
  <c r="X81" i="33"/>
  <c r="V83" i="33"/>
  <c r="V81" i="33" s="1"/>
  <c r="S93" i="33"/>
  <c r="R93" i="33"/>
  <c r="Q93" i="33"/>
  <c r="M93" i="33"/>
  <c r="L81" i="33"/>
  <c r="J83" i="33"/>
  <c r="J81" i="33" s="1"/>
  <c r="G93" i="33"/>
  <c r="E93" i="33"/>
  <c r="D93" i="33"/>
  <c r="AG84" i="33"/>
  <c r="AG87" i="33"/>
  <c r="AG116" i="33"/>
  <c r="AG171" i="33"/>
  <c r="AG135" i="33"/>
  <c r="AG119" i="33"/>
  <c r="C93" i="33"/>
  <c r="AG100" i="33"/>
  <c r="AG53" i="33"/>
  <c r="AG28" i="33"/>
  <c r="AG79" i="33"/>
  <c r="AG3" i="33"/>
  <c r="AG144" i="33"/>
  <c r="AG139" i="33"/>
  <c r="B93" i="33"/>
  <c r="F81" i="33"/>
  <c r="R81" i="33"/>
  <c r="AD81" i="33"/>
  <c r="AG82" i="33"/>
  <c r="B134" i="33"/>
  <c r="AG134" i="33" s="1"/>
  <c r="H81" i="33"/>
  <c r="T81" i="33"/>
  <c r="AF81" i="33"/>
  <c r="AG94" i="33"/>
  <c r="B78" i="33"/>
  <c r="AG78" i="33" s="1"/>
  <c r="D83" i="33"/>
  <c r="P83" i="33"/>
  <c r="P81" i="33" s="1"/>
  <c r="AB83" i="33"/>
  <c r="AB81" i="33" s="1"/>
  <c r="B133" i="33"/>
  <c r="AG133" i="33" s="1"/>
  <c r="K81" i="33"/>
  <c r="W81" i="33"/>
  <c r="AE93" i="32"/>
  <c r="AD93" i="32"/>
  <c r="AC93" i="32"/>
  <c r="Z93" i="32"/>
  <c r="Z81" i="32"/>
  <c r="Y93" i="32"/>
  <c r="Y81" i="32"/>
  <c r="X93" i="32"/>
  <c r="V93" i="32"/>
  <c r="U83" i="32"/>
  <c r="U81" i="32" s="1"/>
  <c r="S93" i="32"/>
  <c r="Q93" i="32"/>
  <c r="P93" i="32"/>
  <c r="N93" i="32"/>
  <c r="N81" i="32"/>
  <c r="M83" i="32"/>
  <c r="M81" i="32" s="1"/>
  <c r="L93" i="32"/>
  <c r="J93" i="32"/>
  <c r="C93" i="32"/>
  <c r="I93" i="32"/>
  <c r="I83" i="32"/>
  <c r="I81" i="32" s="1"/>
  <c r="G93" i="32"/>
  <c r="AG135" i="32"/>
  <c r="E93" i="32"/>
  <c r="AG144" i="32"/>
  <c r="AG119" i="32"/>
  <c r="AG84" i="32"/>
  <c r="AG87" i="32"/>
  <c r="AG116" i="32"/>
  <c r="AG171" i="32"/>
  <c r="AG139" i="32"/>
  <c r="AG100" i="32"/>
  <c r="AG53" i="32"/>
  <c r="AG82" i="32"/>
  <c r="AG28" i="32"/>
  <c r="AG3" i="32"/>
  <c r="AG79" i="32"/>
  <c r="B83" i="32"/>
  <c r="B81" i="32" s="1"/>
  <c r="C81" i="32"/>
  <c r="B134" i="32"/>
  <c r="AG134" i="32" s="1"/>
  <c r="H81" i="32"/>
  <c r="T81" i="32"/>
  <c r="AF81" i="32"/>
  <c r="C83" i="32"/>
  <c r="O83" i="32"/>
  <c r="O81" i="32" s="1"/>
  <c r="AA83" i="32"/>
  <c r="AA81" i="32" s="1"/>
  <c r="AG94" i="32"/>
  <c r="B78" i="32"/>
  <c r="AG78" i="32" s="1"/>
  <c r="D83" i="32"/>
  <c r="D81" i="32" s="1"/>
  <c r="P83" i="32"/>
  <c r="P81" i="32" s="1"/>
  <c r="AB83" i="32"/>
  <c r="AB81" i="32" s="1"/>
  <c r="B133" i="32"/>
  <c r="AG133" i="32" s="1"/>
  <c r="J81" i="32"/>
  <c r="V81" i="32"/>
  <c r="P93" i="31"/>
  <c r="N93" i="31"/>
  <c r="U93" i="29"/>
  <c r="S93" i="30"/>
  <c r="AG87" i="29"/>
  <c r="V93" i="29"/>
  <c r="M93" i="29"/>
  <c r="G93" i="25"/>
  <c r="AG144" i="29"/>
  <c r="AF93" i="25"/>
  <c r="O93" i="25"/>
  <c r="AB93" i="25"/>
  <c r="E93" i="29"/>
  <c r="AC93" i="29"/>
  <c r="AA93" i="30"/>
  <c r="D93" i="25"/>
  <c r="F93" i="29"/>
  <c r="AD93" i="29"/>
  <c r="D93" i="30"/>
  <c r="P93" i="30"/>
  <c r="AG84" i="29"/>
  <c r="AG94" i="29"/>
  <c r="AG100" i="29"/>
  <c r="N93" i="29"/>
  <c r="U93" i="31"/>
  <c r="AG133" i="29"/>
  <c r="AH133" i="29" s="1"/>
  <c r="O93" i="29"/>
  <c r="AG171" i="29"/>
  <c r="AH171" i="29" s="1"/>
  <c r="H93" i="31"/>
  <c r="M93" i="31"/>
  <c r="Y93" i="31"/>
  <c r="C93" i="26"/>
  <c r="G93" i="29"/>
  <c r="AE93" i="29"/>
  <c r="AG139" i="29"/>
  <c r="F93" i="25"/>
  <c r="P93" i="26"/>
  <c r="AG3" i="29"/>
  <c r="Q93" i="31"/>
  <c r="AC93" i="31"/>
  <c r="S93" i="27"/>
  <c r="AG79" i="29"/>
  <c r="W93" i="29"/>
  <c r="E93" i="30"/>
  <c r="V93" i="25"/>
  <c r="AF93" i="26"/>
  <c r="AG116" i="29"/>
  <c r="G93" i="31"/>
  <c r="K93" i="31"/>
  <c r="I93" i="31"/>
  <c r="F93" i="31"/>
  <c r="D93" i="31"/>
  <c r="AG84" i="31"/>
  <c r="AG116" i="31"/>
  <c r="AG144" i="31"/>
  <c r="AG171" i="31"/>
  <c r="AG139" i="31"/>
  <c r="AG100" i="31"/>
  <c r="AG94" i="31"/>
  <c r="AG3" i="31"/>
  <c r="AG79" i="31"/>
  <c r="AG87" i="31"/>
  <c r="AG135" i="31"/>
  <c r="AG119" i="31"/>
  <c r="B78" i="31"/>
  <c r="AG78" i="31" s="1"/>
  <c r="B81" i="31"/>
  <c r="AG134" i="31"/>
  <c r="AG133" i="31"/>
  <c r="L83" i="31"/>
  <c r="L81" i="31" s="1"/>
  <c r="AB83" i="31"/>
  <c r="AB81" i="31" s="1"/>
  <c r="E93" i="31"/>
  <c r="T83" i="31"/>
  <c r="T81" i="31" s="1"/>
  <c r="AG28" i="31"/>
  <c r="AG53" i="31"/>
  <c r="H81" i="31"/>
  <c r="P81" i="31"/>
  <c r="X81" i="31"/>
  <c r="AF81" i="31"/>
  <c r="AG82" i="31"/>
  <c r="D83" i="31"/>
  <c r="B93" i="31"/>
  <c r="AF93" i="30"/>
  <c r="AE93" i="30"/>
  <c r="AC93" i="30"/>
  <c r="AB93" i="30"/>
  <c r="Z93" i="30"/>
  <c r="Y93" i="30"/>
  <c r="X93" i="30"/>
  <c r="W93" i="30"/>
  <c r="V93" i="30"/>
  <c r="U93" i="30"/>
  <c r="T93" i="30"/>
  <c r="R93" i="30"/>
  <c r="Q93" i="30"/>
  <c r="O93" i="30"/>
  <c r="N93" i="30"/>
  <c r="M93" i="30"/>
  <c r="L93" i="30"/>
  <c r="K93" i="30"/>
  <c r="J93" i="30"/>
  <c r="G93" i="30"/>
  <c r="F93" i="30"/>
  <c r="AG116" i="30"/>
  <c r="AG135" i="30"/>
  <c r="AG144" i="30"/>
  <c r="AG139" i="30"/>
  <c r="AG100" i="30"/>
  <c r="AG94" i="30"/>
  <c r="AG133" i="30"/>
  <c r="AG79" i="30"/>
  <c r="AG3" i="30"/>
  <c r="AG84" i="30"/>
  <c r="AG87" i="30"/>
  <c r="AG171" i="30"/>
  <c r="AG119" i="30"/>
  <c r="B78" i="30"/>
  <c r="AG78" i="30" s="1"/>
  <c r="B81" i="30"/>
  <c r="AG134" i="30"/>
  <c r="G81" i="30"/>
  <c r="O81" i="30"/>
  <c r="W81" i="30"/>
  <c r="AE81" i="30"/>
  <c r="L83" i="30"/>
  <c r="L81" i="30" s="1"/>
  <c r="AG28" i="30"/>
  <c r="AG53" i="30"/>
  <c r="I81" i="30"/>
  <c r="Q81" i="30"/>
  <c r="Y81" i="30"/>
  <c r="T83" i="30"/>
  <c r="T81" i="30" s="1"/>
  <c r="AG82" i="30"/>
  <c r="AB83" i="30"/>
  <c r="AB81" i="30" s="1"/>
  <c r="C81" i="30"/>
  <c r="K81" i="30"/>
  <c r="S81" i="30"/>
  <c r="AA81" i="30"/>
  <c r="D83" i="30"/>
  <c r="B93" i="30"/>
  <c r="AE93" i="27"/>
  <c r="AD93" i="27"/>
  <c r="AC93" i="27"/>
  <c r="P93" i="27"/>
  <c r="N93" i="27"/>
  <c r="E93" i="27"/>
  <c r="AH87" i="29"/>
  <c r="B81" i="29"/>
  <c r="AG78" i="29"/>
  <c r="AG134" i="29"/>
  <c r="D83" i="29"/>
  <c r="AG28" i="29"/>
  <c r="AG53" i="29"/>
  <c r="L83" i="29"/>
  <c r="L81" i="29" s="1"/>
  <c r="AB83" i="29"/>
  <c r="AB81" i="29" s="1"/>
  <c r="AG82" i="29"/>
  <c r="T83" i="29"/>
  <c r="T81" i="29" s="1"/>
  <c r="B93" i="29"/>
  <c r="AG93" i="29" s="1"/>
  <c r="AH93" i="29" s="1"/>
  <c r="H93" i="27"/>
  <c r="X93" i="27"/>
  <c r="AF93" i="27"/>
  <c r="Q93" i="27"/>
  <c r="Y93" i="27"/>
  <c r="AA93" i="27"/>
  <c r="AB93" i="27"/>
  <c r="Z93" i="27"/>
  <c r="W93" i="27"/>
  <c r="V93" i="27"/>
  <c r="U93" i="27"/>
  <c r="T93" i="27"/>
  <c r="R93" i="27"/>
  <c r="O93" i="27"/>
  <c r="M93" i="27"/>
  <c r="L93" i="27"/>
  <c r="K93" i="27"/>
  <c r="J93" i="27"/>
  <c r="I93" i="27"/>
  <c r="G93" i="27"/>
  <c r="F93" i="27"/>
  <c r="AG139" i="27"/>
  <c r="G139" i="23" s="1"/>
  <c r="AG135" i="27"/>
  <c r="G135" i="23" s="1"/>
  <c r="D93" i="27"/>
  <c r="AG94" i="27"/>
  <c r="G94" i="23" s="1"/>
  <c r="AG87" i="27"/>
  <c r="G87" i="23" s="1"/>
  <c r="AG171" i="27"/>
  <c r="G171" i="23" s="1"/>
  <c r="C93" i="27"/>
  <c r="AG84" i="27"/>
  <c r="G84" i="23" s="1"/>
  <c r="AG116" i="27"/>
  <c r="G116" i="23" s="1"/>
  <c r="AG144" i="27"/>
  <c r="G144" i="23" s="1"/>
  <c r="AG119" i="27"/>
  <c r="G119" i="23" s="1"/>
  <c r="B93" i="27"/>
  <c r="AG3" i="27"/>
  <c r="G3" i="23" s="1"/>
  <c r="AG79" i="27"/>
  <c r="G79" i="23" s="1"/>
  <c r="AG133" i="27"/>
  <c r="G133" i="23" s="1"/>
  <c r="B81" i="27"/>
  <c r="AG134" i="27"/>
  <c r="G134" i="23" s="1"/>
  <c r="C78" i="27"/>
  <c r="AG78" i="27" s="1"/>
  <c r="G78" i="23" s="1"/>
  <c r="Y83" i="27"/>
  <c r="Y81" i="27" s="1"/>
  <c r="AG82" i="27"/>
  <c r="G82" i="23" s="1"/>
  <c r="F81" i="27"/>
  <c r="N81" i="27"/>
  <c r="V81" i="27"/>
  <c r="AD81" i="27"/>
  <c r="I83" i="27"/>
  <c r="I81" i="27" s="1"/>
  <c r="Q83" i="27"/>
  <c r="Q81" i="27" s="1"/>
  <c r="AG28" i="27"/>
  <c r="G28" i="23" s="1"/>
  <c r="AG53" i="27"/>
  <c r="G53" i="23" s="1"/>
  <c r="AG100" i="27"/>
  <c r="G100" i="23" s="1"/>
  <c r="AE93" i="26"/>
  <c r="AD93" i="26"/>
  <c r="AC93" i="26"/>
  <c r="AB93" i="26"/>
  <c r="Z93" i="26"/>
  <c r="Y93" i="26"/>
  <c r="X93" i="26"/>
  <c r="W93" i="26"/>
  <c r="V93" i="26"/>
  <c r="U93" i="26"/>
  <c r="T93" i="26"/>
  <c r="R93" i="26"/>
  <c r="Q93" i="26"/>
  <c r="O93" i="26"/>
  <c r="N93" i="26"/>
  <c r="M93" i="26"/>
  <c r="L93" i="26"/>
  <c r="K93" i="26"/>
  <c r="J93" i="26"/>
  <c r="I93" i="26"/>
  <c r="H93" i="26"/>
  <c r="G93" i="26"/>
  <c r="E93" i="26"/>
  <c r="AG139" i="26"/>
  <c r="F139" i="23" s="1"/>
  <c r="AG84" i="26"/>
  <c r="F84" i="23" s="1"/>
  <c r="AG171" i="26"/>
  <c r="F171" i="23" s="1"/>
  <c r="AG119" i="26"/>
  <c r="F119" i="23" s="1"/>
  <c r="AG94" i="26"/>
  <c r="F94" i="23" s="1"/>
  <c r="AG87" i="26"/>
  <c r="F87" i="23" s="1"/>
  <c r="AG116" i="26"/>
  <c r="F116" i="23" s="1"/>
  <c r="AG144" i="26"/>
  <c r="F144" i="23" s="1"/>
  <c r="AG135" i="26"/>
  <c r="F135" i="23" s="1"/>
  <c r="AG100" i="26"/>
  <c r="F100" i="23" s="1"/>
  <c r="AG53" i="26"/>
  <c r="F53" i="23" s="1"/>
  <c r="AG3" i="26"/>
  <c r="F3" i="23" s="1"/>
  <c r="AG79" i="26"/>
  <c r="F79" i="23" s="1"/>
  <c r="AG78" i="26"/>
  <c r="F78" i="23" s="1"/>
  <c r="B81" i="26"/>
  <c r="AG133" i="26"/>
  <c r="F133" i="23" s="1"/>
  <c r="D83" i="26"/>
  <c r="T83" i="26"/>
  <c r="T81" i="26" s="1"/>
  <c r="D93" i="26"/>
  <c r="L83" i="26"/>
  <c r="L81" i="26" s="1"/>
  <c r="AB83" i="26"/>
  <c r="AB81" i="26" s="1"/>
  <c r="E134" i="26"/>
  <c r="AG134" i="26" s="1"/>
  <c r="F134" i="23" s="1"/>
  <c r="G81" i="26"/>
  <c r="O81" i="26"/>
  <c r="W81" i="26"/>
  <c r="AE81" i="26"/>
  <c r="AG82" i="26"/>
  <c r="F82" i="23" s="1"/>
  <c r="AG28" i="26"/>
  <c r="F28" i="23" s="1"/>
  <c r="C81" i="26"/>
  <c r="K81" i="26"/>
  <c r="S81" i="26"/>
  <c r="AA81" i="26"/>
  <c r="B93" i="26"/>
  <c r="AD93" i="25"/>
  <c r="AC93" i="25"/>
  <c r="Z93" i="25"/>
  <c r="Y93" i="25"/>
  <c r="X93" i="25"/>
  <c r="U93" i="25"/>
  <c r="T93" i="25"/>
  <c r="S93" i="25"/>
  <c r="R93" i="25"/>
  <c r="P93" i="25"/>
  <c r="N93" i="25"/>
  <c r="M93" i="25"/>
  <c r="L93" i="25"/>
  <c r="L81" i="25"/>
  <c r="J93" i="25"/>
  <c r="I93" i="25"/>
  <c r="H93" i="25"/>
  <c r="AG84" i="25"/>
  <c r="E84" i="23" s="1"/>
  <c r="E93" i="25"/>
  <c r="AG94" i="25"/>
  <c r="E94" i="23" s="1"/>
  <c r="AG87" i="25"/>
  <c r="E87" i="23" s="1"/>
  <c r="AG171" i="25"/>
  <c r="E171" i="23" s="1"/>
  <c r="AG139" i="25"/>
  <c r="E139" i="23" s="1"/>
  <c r="AG135" i="25"/>
  <c r="E135" i="23" s="1"/>
  <c r="AG119" i="25"/>
  <c r="E119" i="23" s="1"/>
  <c r="C93" i="25"/>
  <c r="AG100" i="25"/>
  <c r="E100" i="23" s="1"/>
  <c r="AG116" i="25"/>
  <c r="E116" i="23" s="1"/>
  <c r="AG144" i="25"/>
  <c r="E144" i="23" s="1"/>
  <c r="AG53" i="25"/>
  <c r="E53" i="23" s="1"/>
  <c r="AG79" i="25"/>
  <c r="E79" i="23" s="1"/>
  <c r="AG78" i="25"/>
  <c r="E78" i="23" s="1"/>
  <c r="AG3" i="25"/>
  <c r="E3" i="23" s="1"/>
  <c r="AG134" i="25"/>
  <c r="E134" i="23" s="1"/>
  <c r="AG133" i="25"/>
  <c r="E133" i="23" s="1"/>
  <c r="B81" i="25"/>
  <c r="AB83" i="25"/>
  <c r="AB81" i="25" s="1"/>
  <c r="G81" i="25"/>
  <c r="O81" i="25"/>
  <c r="W81" i="25"/>
  <c r="AE81" i="25"/>
  <c r="D83" i="25"/>
  <c r="AG28" i="25"/>
  <c r="E28" i="23" s="1"/>
  <c r="AG82" i="25"/>
  <c r="E82" i="23" s="1"/>
  <c r="T83" i="25"/>
  <c r="T81" i="25" s="1"/>
  <c r="C81" i="25"/>
  <c r="K81" i="25"/>
  <c r="S81" i="25"/>
  <c r="AA81" i="25"/>
  <c r="B93" i="25"/>
  <c r="AG180" i="24"/>
  <c r="D180" i="23" s="1"/>
  <c r="AG179" i="24"/>
  <c r="D179" i="23" s="1"/>
  <c r="AG178" i="24"/>
  <c r="D178" i="23" s="1"/>
  <c r="AG177" i="24"/>
  <c r="D177" i="23" s="1"/>
  <c r="AG176" i="24"/>
  <c r="D176" i="23" s="1"/>
  <c r="AG175" i="24"/>
  <c r="D175" i="23" s="1"/>
  <c r="AG174" i="24"/>
  <c r="D174" i="23" s="1"/>
  <c r="AG173" i="24"/>
  <c r="D173" i="23" s="1"/>
  <c r="AG172" i="24"/>
  <c r="D172" i="23" s="1"/>
  <c r="AF171" i="24"/>
  <c r="AE171" i="24"/>
  <c r="AD171" i="24"/>
  <c r="AC171" i="24"/>
  <c r="AB171" i="24"/>
  <c r="AA171" i="24"/>
  <c r="Z171" i="24"/>
  <c r="Y171" i="24"/>
  <c r="X171" i="24"/>
  <c r="W171" i="24"/>
  <c r="V171" i="24"/>
  <c r="U171" i="24"/>
  <c r="T171" i="24"/>
  <c r="S171" i="24"/>
  <c r="R171" i="24"/>
  <c r="Q171" i="24"/>
  <c r="P171" i="24"/>
  <c r="O171" i="24"/>
  <c r="N171" i="24"/>
  <c r="M171" i="24"/>
  <c r="L171" i="24"/>
  <c r="K171" i="24"/>
  <c r="J171" i="24"/>
  <c r="I171" i="24"/>
  <c r="H171" i="24"/>
  <c r="G171" i="24"/>
  <c r="F171" i="24"/>
  <c r="E171" i="24"/>
  <c r="D171" i="24"/>
  <c r="C171" i="24"/>
  <c r="B171" i="24"/>
  <c r="AG170" i="24"/>
  <c r="D170" i="23" s="1"/>
  <c r="AG169" i="24"/>
  <c r="D169" i="23" s="1"/>
  <c r="AG168" i="24"/>
  <c r="D168" i="23" s="1"/>
  <c r="AG167" i="24"/>
  <c r="D167" i="23" s="1"/>
  <c r="AG166" i="24"/>
  <c r="D166" i="23" s="1"/>
  <c r="AG165" i="24"/>
  <c r="D165" i="23" s="1"/>
  <c r="AG164" i="24"/>
  <c r="D164" i="23" s="1"/>
  <c r="AG163" i="24"/>
  <c r="D163" i="23" s="1"/>
  <c r="AG162" i="24"/>
  <c r="D162" i="23" s="1"/>
  <c r="AG161" i="24"/>
  <c r="D161" i="23" s="1"/>
  <c r="AG160" i="24"/>
  <c r="D160" i="23" s="1"/>
  <c r="AG159" i="24"/>
  <c r="D159" i="23" s="1"/>
  <c r="AG158" i="24"/>
  <c r="D158" i="23" s="1"/>
  <c r="AG157" i="24"/>
  <c r="D157" i="23" s="1"/>
  <c r="AG156" i="24"/>
  <c r="D156" i="23" s="1"/>
  <c r="AG155" i="24"/>
  <c r="D155" i="23" s="1"/>
  <c r="AG154" i="24"/>
  <c r="D154" i="23" s="1"/>
  <c r="AG153" i="24"/>
  <c r="D153" i="23" s="1"/>
  <c r="AG152" i="24"/>
  <c r="D152" i="23" s="1"/>
  <c r="AG151" i="24"/>
  <c r="D151" i="23" s="1"/>
  <c r="AG150" i="24"/>
  <c r="D150" i="23" s="1"/>
  <c r="AG149" i="24"/>
  <c r="D149" i="23" s="1"/>
  <c r="AG148" i="24"/>
  <c r="D148" i="23" s="1"/>
  <c r="AG147" i="24"/>
  <c r="D147" i="23" s="1"/>
  <c r="AG146" i="24"/>
  <c r="D146" i="23" s="1"/>
  <c r="AG145" i="24"/>
  <c r="D145" i="23" s="1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4" i="24"/>
  <c r="D144" i="24"/>
  <c r="C144" i="24"/>
  <c r="B144" i="24"/>
  <c r="AG143" i="24"/>
  <c r="D143" i="23" s="1"/>
  <c r="AG142" i="24"/>
  <c r="D142" i="23" s="1"/>
  <c r="AG141" i="24"/>
  <c r="D141" i="23" s="1"/>
  <c r="AG140" i="24"/>
  <c r="D140" i="23" s="1"/>
  <c r="AF139" i="24"/>
  <c r="AE139" i="24"/>
  <c r="AD139" i="24"/>
  <c r="AC139" i="24"/>
  <c r="AB139" i="24"/>
  <c r="AA139" i="24"/>
  <c r="Z139" i="24"/>
  <c r="Y139" i="24"/>
  <c r="X139" i="24"/>
  <c r="W139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G139" i="24"/>
  <c r="F139" i="24"/>
  <c r="E139" i="24"/>
  <c r="D139" i="24"/>
  <c r="C139" i="24"/>
  <c r="B139" i="24"/>
  <c r="AG138" i="24"/>
  <c r="D138" i="23" s="1"/>
  <c r="AG137" i="24"/>
  <c r="D137" i="23" s="1"/>
  <c r="AG136" i="24"/>
  <c r="D136" i="23" s="1"/>
  <c r="AF135" i="24"/>
  <c r="AE135" i="24"/>
  <c r="AD135" i="24"/>
  <c r="AC135" i="24"/>
  <c r="AB135" i="24"/>
  <c r="AA135" i="24"/>
  <c r="Z135" i="24"/>
  <c r="Y135" i="24"/>
  <c r="X135" i="24"/>
  <c r="W135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G135" i="24"/>
  <c r="F135" i="24"/>
  <c r="E135" i="24"/>
  <c r="D135" i="24"/>
  <c r="C135" i="24"/>
  <c r="B135" i="24"/>
  <c r="AG132" i="24"/>
  <c r="D132" i="23" s="1"/>
  <c r="AG131" i="24"/>
  <c r="D131" i="23" s="1"/>
  <c r="AG130" i="24"/>
  <c r="D130" i="23" s="1"/>
  <c r="AG129" i="24"/>
  <c r="D129" i="23" s="1"/>
  <c r="AG128" i="24"/>
  <c r="D128" i="23" s="1"/>
  <c r="AG127" i="24"/>
  <c r="D127" i="23" s="1"/>
  <c r="AG126" i="24"/>
  <c r="D126" i="23" s="1"/>
  <c r="AG125" i="24"/>
  <c r="D125" i="23" s="1"/>
  <c r="AG124" i="24"/>
  <c r="D124" i="23" s="1"/>
  <c r="AG123" i="24"/>
  <c r="D123" i="23" s="1"/>
  <c r="AG122" i="24"/>
  <c r="D122" i="23" s="1"/>
  <c r="AG121" i="24"/>
  <c r="D121" i="23" s="1"/>
  <c r="AG120" i="24"/>
  <c r="D120" i="23" s="1"/>
  <c r="AF119" i="24"/>
  <c r="AE119" i="24"/>
  <c r="AD119" i="24"/>
  <c r="AC119" i="24"/>
  <c r="AB119" i="24"/>
  <c r="AA119" i="24"/>
  <c r="Z119" i="24"/>
  <c r="Y119" i="24"/>
  <c r="X119" i="24"/>
  <c r="W119" i="24"/>
  <c r="V119" i="24"/>
  <c r="U119" i="24"/>
  <c r="T119" i="24"/>
  <c r="S119" i="24"/>
  <c r="R119" i="24"/>
  <c r="Q119" i="24"/>
  <c r="P119" i="24"/>
  <c r="O119" i="24"/>
  <c r="N119" i="24"/>
  <c r="M119" i="24"/>
  <c r="L119" i="24"/>
  <c r="K119" i="24"/>
  <c r="J119" i="24"/>
  <c r="I119" i="24"/>
  <c r="H119" i="24"/>
  <c r="G119" i="24"/>
  <c r="F119" i="24"/>
  <c r="E119" i="24"/>
  <c r="D119" i="24"/>
  <c r="C119" i="24"/>
  <c r="B119" i="24"/>
  <c r="AG118" i="24"/>
  <c r="D118" i="23" s="1"/>
  <c r="AG117" i="24"/>
  <c r="D117" i="23" s="1"/>
  <c r="AF116" i="24"/>
  <c r="AE116" i="24"/>
  <c r="AD116" i="24"/>
  <c r="AC116" i="24"/>
  <c r="AB116" i="24"/>
  <c r="AA116" i="24"/>
  <c r="Z116" i="24"/>
  <c r="Y116" i="24"/>
  <c r="X116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6" i="24"/>
  <c r="AG115" i="24"/>
  <c r="D115" i="23" s="1"/>
  <c r="AG114" i="24"/>
  <c r="D114" i="23" s="1"/>
  <c r="AG113" i="24"/>
  <c r="D113" i="23" s="1"/>
  <c r="AG112" i="24"/>
  <c r="D112" i="23" s="1"/>
  <c r="AG111" i="24"/>
  <c r="D111" i="23" s="1"/>
  <c r="AG110" i="24"/>
  <c r="D110" i="23" s="1"/>
  <c r="AG109" i="24"/>
  <c r="D109" i="23" s="1"/>
  <c r="AG108" i="24"/>
  <c r="D108" i="23" s="1"/>
  <c r="AG107" i="24"/>
  <c r="D107" i="23" s="1"/>
  <c r="AG106" i="24"/>
  <c r="D106" i="23" s="1"/>
  <c r="AG105" i="24"/>
  <c r="D105" i="23" s="1"/>
  <c r="AG104" i="24"/>
  <c r="D104" i="23" s="1"/>
  <c r="AG103" i="24"/>
  <c r="D103" i="23" s="1"/>
  <c r="AG102" i="24"/>
  <c r="D102" i="23" s="1"/>
  <c r="AG101" i="24"/>
  <c r="D101" i="23" s="1"/>
  <c r="AF100" i="24"/>
  <c r="AE100" i="24"/>
  <c r="AD100" i="24"/>
  <c r="AC100" i="24"/>
  <c r="AB100" i="24"/>
  <c r="AA100" i="24"/>
  <c r="Z100" i="24"/>
  <c r="Y100" i="24"/>
  <c r="X100" i="24"/>
  <c r="W100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G100" i="24"/>
  <c r="F100" i="24"/>
  <c r="E100" i="24"/>
  <c r="D100" i="24"/>
  <c r="C100" i="24"/>
  <c r="B100" i="24"/>
  <c r="AG99" i="24"/>
  <c r="D99" i="23" s="1"/>
  <c r="AG98" i="24"/>
  <c r="D98" i="23" s="1"/>
  <c r="AG97" i="24"/>
  <c r="D97" i="23" s="1"/>
  <c r="AG96" i="24"/>
  <c r="D96" i="23" s="1"/>
  <c r="AG95" i="24"/>
  <c r="D95" i="23" s="1"/>
  <c r="AF94" i="24"/>
  <c r="AF93" i="24" s="1"/>
  <c r="AE94" i="24"/>
  <c r="AD94" i="24"/>
  <c r="AC94" i="24"/>
  <c r="AB94" i="24"/>
  <c r="AA94" i="24"/>
  <c r="Z94" i="24"/>
  <c r="Y94" i="24"/>
  <c r="X94" i="24"/>
  <c r="W94" i="24"/>
  <c r="W93" i="24" s="1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B94" i="24"/>
  <c r="AG92" i="24"/>
  <c r="D92" i="23" s="1"/>
  <c r="AG91" i="24"/>
  <c r="D91" i="23" s="1"/>
  <c r="AG90" i="24"/>
  <c r="D90" i="23" s="1"/>
  <c r="AG89" i="24"/>
  <c r="D89" i="23" s="1"/>
  <c r="AG88" i="24"/>
  <c r="D88" i="23" s="1"/>
  <c r="AF87" i="24"/>
  <c r="AE87" i="24"/>
  <c r="AD87" i="24"/>
  <c r="AC87" i="24"/>
  <c r="AB87" i="24"/>
  <c r="AA87" i="24"/>
  <c r="Z87" i="24"/>
  <c r="Y87" i="24"/>
  <c r="X87" i="24"/>
  <c r="W87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G87" i="24"/>
  <c r="F87" i="24"/>
  <c r="E87" i="24"/>
  <c r="D87" i="24"/>
  <c r="C87" i="24"/>
  <c r="B87" i="24"/>
  <c r="AG86" i="24"/>
  <c r="D86" i="23" s="1"/>
  <c r="AG85" i="24"/>
  <c r="D85" i="23" s="1"/>
  <c r="AF84" i="24"/>
  <c r="AE84" i="24"/>
  <c r="AD84" i="24"/>
  <c r="AC84" i="24"/>
  <c r="AB84" i="24"/>
  <c r="AA84" i="24"/>
  <c r="Z84" i="24"/>
  <c r="Y84" i="24"/>
  <c r="X84" i="24"/>
  <c r="W84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G84" i="24"/>
  <c r="F84" i="24"/>
  <c r="E84" i="24"/>
  <c r="D84" i="24"/>
  <c r="C84" i="24"/>
  <c r="B84" i="24"/>
  <c r="AF82" i="24"/>
  <c r="AF83" i="24" s="1"/>
  <c r="AF81" i="24" s="1"/>
  <c r="AE82" i="24"/>
  <c r="AE83" i="24" s="1"/>
  <c r="AE81" i="24" s="1"/>
  <c r="AD82" i="24"/>
  <c r="AD83" i="24" s="1"/>
  <c r="AD81" i="24" s="1"/>
  <c r="AC82" i="24"/>
  <c r="AC83" i="24" s="1"/>
  <c r="AC81" i="24" s="1"/>
  <c r="AB82" i="24"/>
  <c r="AA82" i="24"/>
  <c r="AA83" i="24" s="1"/>
  <c r="AA81" i="24" s="1"/>
  <c r="Z82" i="24"/>
  <c r="Z83" i="24" s="1"/>
  <c r="Z81" i="24" s="1"/>
  <c r="Y82" i="24"/>
  <c r="Y83" i="24" s="1"/>
  <c r="Y81" i="24" s="1"/>
  <c r="X82" i="24"/>
  <c r="X83" i="24" s="1"/>
  <c r="X81" i="24" s="1"/>
  <c r="W82" i="24"/>
  <c r="W83" i="24" s="1"/>
  <c r="W81" i="24" s="1"/>
  <c r="V82" i="24"/>
  <c r="V83" i="24" s="1"/>
  <c r="V81" i="24" s="1"/>
  <c r="U82" i="24"/>
  <c r="U83" i="24" s="1"/>
  <c r="U81" i="24" s="1"/>
  <c r="T82" i="24"/>
  <c r="S82" i="24"/>
  <c r="S83" i="24" s="1"/>
  <c r="S81" i="24" s="1"/>
  <c r="R82" i="24"/>
  <c r="R83" i="24" s="1"/>
  <c r="R81" i="24" s="1"/>
  <c r="Q82" i="24"/>
  <c r="Q83" i="24" s="1"/>
  <c r="Q81" i="24" s="1"/>
  <c r="P82" i="24"/>
  <c r="P83" i="24" s="1"/>
  <c r="P81" i="24" s="1"/>
  <c r="O82" i="24"/>
  <c r="O83" i="24" s="1"/>
  <c r="O81" i="24" s="1"/>
  <c r="N82" i="24"/>
  <c r="N83" i="24" s="1"/>
  <c r="N81" i="24" s="1"/>
  <c r="M82" i="24"/>
  <c r="M83" i="24" s="1"/>
  <c r="M81" i="24" s="1"/>
  <c r="L82" i="24"/>
  <c r="K82" i="24"/>
  <c r="K83" i="24" s="1"/>
  <c r="K81" i="24" s="1"/>
  <c r="J82" i="24"/>
  <c r="J83" i="24" s="1"/>
  <c r="J81" i="24" s="1"/>
  <c r="I82" i="24"/>
  <c r="I83" i="24" s="1"/>
  <c r="I81" i="24" s="1"/>
  <c r="H82" i="24"/>
  <c r="H83" i="24" s="1"/>
  <c r="H81" i="24" s="1"/>
  <c r="G82" i="24"/>
  <c r="G83" i="24" s="1"/>
  <c r="G81" i="24" s="1"/>
  <c r="F82" i="24"/>
  <c r="F83" i="24" s="1"/>
  <c r="F81" i="24" s="1"/>
  <c r="E82" i="24"/>
  <c r="E83" i="24" s="1"/>
  <c r="E81" i="24" s="1"/>
  <c r="D82" i="24"/>
  <c r="C82" i="24"/>
  <c r="C83" i="24" s="1"/>
  <c r="C81" i="24" s="1"/>
  <c r="B82" i="24"/>
  <c r="B83" i="24" s="1"/>
  <c r="AG80" i="24"/>
  <c r="D80" i="23" s="1"/>
  <c r="AF79" i="24"/>
  <c r="AF78" i="24" s="1"/>
  <c r="AE79" i="24"/>
  <c r="AE78" i="24" s="1"/>
  <c r="AD79" i="24"/>
  <c r="AD78" i="24" s="1"/>
  <c r="AC79" i="24"/>
  <c r="AC78" i="24" s="1"/>
  <c r="AB79" i="24"/>
  <c r="AB78" i="24" s="1"/>
  <c r="AA79" i="24"/>
  <c r="AA78" i="24" s="1"/>
  <c r="Z79" i="24"/>
  <c r="Z78" i="24" s="1"/>
  <c r="Y79" i="24"/>
  <c r="Y78" i="24" s="1"/>
  <c r="X79" i="24"/>
  <c r="X78" i="24" s="1"/>
  <c r="W79" i="24"/>
  <c r="W78" i="24" s="1"/>
  <c r="V79" i="24"/>
  <c r="V78" i="24" s="1"/>
  <c r="U79" i="24"/>
  <c r="U78" i="24" s="1"/>
  <c r="T79" i="24"/>
  <c r="T78" i="24" s="1"/>
  <c r="S79" i="24"/>
  <c r="S78" i="24" s="1"/>
  <c r="R79" i="24"/>
  <c r="R78" i="24" s="1"/>
  <c r="Q79" i="24"/>
  <c r="Q78" i="24" s="1"/>
  <c r="P79" i="24"/>
  <c r="P78" i="24" s="1"/>
  <c r="O79" i="24"/>
  <c r="O78" i="24" s="1"/>
  <c r="N79" i="24"/>
  <c r="N78" i="24" s="1"/>
  <c r="M79" i="24"/>
  <c r="M78" i="24" s="1"/>
  <c r="L79" i="24"/>
  <c r="L78" i="24" s="1"/>
  <c r="K79" i="24"/>
  <c r="K78" i="24" s="1"/>
  <c r="J79" i="24"/>
  <c r="J78" i="24" s="1"/>
  <c r="I79" i="24"/>
  <c r="I78" i="24" s="1"/>
  <c r="H79" i="24"/>
  <c r="H78" i="24" s="1"/>
  <c r="G79" i="24"/>
  <c r="G78" i="24" s="1"/>
  <c r="F79" i="24"/>
  <c r="F78" i="24" s="1"/>
  <c r="E79" i="24"/>
  <c r="E78" i="24" s="1"/>
  <c r="D79" i="24"/>
  <c r="D78" i="24" s="1"/>
  <c r="C79" i="24"/>
  <c r="C78" i="24" s="1"/>
  <c r="B79" i="24"/>
  <c r="B78" i="24" s="1"/>
  <c r="AG77" i="24"/>
  <c r="D77" i="23" s="1"/>
  <c r="AG76" i="24"/>
  <c r="D76" i="23" s="1"/>
  <c r="AG75" i="24"/>
  <c r="D75" i="23" s="1"/>
  <c r="AG74" i="24"/>
  <c r="D74" i="23" s="1"/>
  <c r="AG73" i="24"/>
  <c r="D73" i="23" s="1"/>
  <c r="AG72" i="24"/>
  <c r="D72" i="23" s="1"/>
  <c r="AG71" i="24"/>
  <c r="D71" i="23" s="1"/>
  <c r="AG70" i="24"/>
  <c r="D70" i="23" s="1"/>
  <c r="AG69" i="24"/>
  <c r="D69" i="23" s="1"/>
  <c r="AG68" i="24"/>
  <c r="D68" i="23" s="1"/>
  <c r="AG67" i="24"/>
  <c r="D67" i="23" s="1"/>
  <c r="AG66" i="24"/>
  <c r="D66" i="23" s="1"/>
  <c r="AG65" i="24"/>
  <c r="D65" i="23" s="1"/>
  <c r="AG64" i="24"/>
  <c r="D64" i="23" s="1"/>
  <c r="AG63" i="24"/>
  <c r="D63" i="23" s="1"/>
  <c r="AG62" i="24"/>
  <c r="D62" i="23" s="1"/>
  <c r="AG61" i="24"/>
  <c r="D61" i="23" s="1"/>
  <c r="AG60" i="24"/>
  <c r="D60" i="23" s="1"/>
  <c r="AG59" i="24"/>
  <c r="D59" i="23" s="1"/>
  <c r="AG58" i="24"/>
  <c r="D58" i="23" s="1"/>
  <c r="AG57" i="24"/>
  <c r="D57" i="23" s="1"/>
  <c r="AG56" i="24"/>
  <c r="D56" i="23" s="1"/>
  <c r="AG55" i="24"/>
  <c r="D55" i="23" s="1"/>
  <c r="AG54" i="24"/>
  <c r="D54" i="23" s="1"/>
  <c r="AF53" i="24"/>
  <c r="AF134" i="24" s="1"/>
  <c r="AE53" i="24"/>
  <c r="AE134" i="24" s="1"/>
  <c r="AD53" i="24"/>
  <c r="AD134" i="24" s="1"/>
  <c r="AC53" i="24"/>
  <c r="AC134" i="24" s="1"/>
  <c r="AB53" i="24"/>
  <c r="AB134" i="24" s="1"/>
  <c r="AA53" i="24"/>
  <c r="AA134" i="24" s="1"/>
  <c r="Z53" i="24"/>
  <c r="Z134" i="24" s="1"/>
  <c r="Y53" i="24"/>
  <c r="Y134" i="24" s="1"/>
  <c r="X53" i="24"/>
  <c r="X134" i="24" s="1"/>
  <c r="W53" i="24"/>
  <c r="W134" i="24" s="1"/>
  <c r="V53" i="24"/>
  <c r="V134" i="24" s="1"/>
  <c r="U53" i="24"/>
  <c r="U134" i="24" s="1"/>
  <c r="T53" i="24"/>
  <c r="T134" i="24" s="1"/>
  <c r="S53" i="24"/>
  <c r="S134" i="24" s="1"/>
  <c r="R53" i="24"/>
  <c r="R134" i="24" s="1"/>
  <c r="Q53" i="24"/>
  <c r="Q134" i="24" s="1"/>
  <c r="P53" i="24"/>
  <c r="P134" i="24" s="1"/>
  <c r="O53" i="24"/>
  <c r="O134" i="24" s="1"/>
  <c r="N53" i="24"/>
  <c r="N134" i="24" s="1"/>
  <c r="M53" i="24"/>
  <c r="M134" i="24" s="1"/>
  <c r="L53" i="24"/>
  <c r="L134" i="24" s="1"/>
  <c r="K53" i="24"/>
  <c r="K134" i="24" s="1"/>
  <c r="J53" i="24"/>
  <c r="J134" i="24" s="1"/>
  <c r="I53" i="24"/>
  <c r="I134" i="24" s="1"/>
  <c r="H53" i="24"/>
  <c r="H134" i="24" s="1"/>
  <c r="G53" i="24"/>
  <c r="G134" i="24" s="1"/>
  <c r="F53" i="24"/>
  <c r="F134" i="24" s="1"/>
  <c r="E53" i="24"/>
  <c r="E134" i="24" s="1"/>
  <c r="D53" i="24"/>
  <c r="D134" i="24" s="1"/>
  <c r="C53" i="24"/>
  <c r="C134" i="24" s="1"/>
  <c r="B53" i="24"/>
  <c r="B134" i="24" s="1"/>
  <c r="AG52" i="24"/>
  <c r="D52" i="23" s="1"/>
  <c r="AG51" i="24"/>
  <c r="D51" i="23" s="1"/>
  <c r="AG50" i="24"/>
  <c r="D50" i="23" s="1"/>
  <c r="AG49" i="24"/>
  <c r="D49" i="23" s="1"/>
  <c r="AG48" i="24"/>
  <c r="D48" i="23" s="1"/>
  <c r="AG47" i="24"/>
  <c r="D47" i="23" s="1"/>
  <c r="AG46" i="24"/>
  <c r="D46" i="23" s="1"/>
  <c r="AG45" i="24"/>
  <c r="D45" i="23" s="1"/>
  <c r="AG44" i="24"/>
  <c r="D44" i="23" s="1"/>
  <c r="AG43" i="24"/>
  <c r="D43" i="23" s="1"/>
  <c r="AG42" i="24"/>
  <c r="D42" i="23" s="1"/>
  <c r="AG41" i="24"/>
  <c r="D41" i="23" s="1"/>
  <c r="AG40" i="24"/>
  <c r="D40" i="23" s="1"/>
  <c r="AG39" i="24"/>
  <c r="D39" i="23" s="1"/>
  <c r="AG38" i="24"/>
  <c r="D38" i="23" s="1"/>
  <c r="AG37" i="24"/>
  <c r="D37" i="23" s="1"/>
  <c r="AG36" i="24"/>
  <c r="D36" i="23" s="1"/>
  <c r="AG35" i="24"/>
  <c r="D35" i="23" s="1"/>
  <c r="AG34" i="24"/>
  <c r="D34" i="23" s="1"/>
  <c r="AG33" i="24"/>
  <c r="D33" i="23" s="1"/>
  <c r="AG32" i="24"/>
  <c r="D32" i="23" s="1"/>
  <c r="AG31" i="24"/>
  <c r="D31" i="23" s="1"/>
  <c r="AG30" i="24"/>
  <c r="D30" i="23" s="1"/>
  <c r="AG29" i="24"/>
  <c r="D29" i="23" s="1"/>
  <c r="AF28" i="24"/>
  <c r="AF133" i="24" s="1"/>
  <c r="AE28" i="24"/>
  <c r="AE133" i="24" s="1"/>
  <c r="AD28" i="24"/>
  <c r="AD133" i="24" s="1"/>
  <c r="AC28" i="24"/>
  <c r="AC133" i="24" s="1"/>
  <c r="AB28" i="24"/>
  <c r="AB133" i="24" s="1"/>
  <c r="AA28" i="24"/>
  <c r="AA133" i="24" s="1"/>
  <c r="Z28" i="24"/>
  <c r="Z133" i="24" s="1"/>
  <c r="Y28" i="24"/>
  <c r="Y133" i="24" s="1"/>
  <c r="X28" i="24"/>
  <c r="X133" i="24" s="1"/>
  <c r="W28" i="24"/>
  <c r="W133" i="24" s="1"/>
  <c r="V28" i="24"/>
  <c r="V133" i="24" s="1"/>
  <c r="U28" i="24"/>
  <c r="U133" i="24" s="1"/>
  <c r="T28" i="24"/>
  <c r="T133" i="24" s="1"/>
  <c r="S28" i="24"/>
  <c r="S133" i="24" s="1"/>
  <c r="R28" i="24"/>
  <c r="R133" i="24" s="1"/>
  <c r="Q28" i="24"/>
  <c r="Q133" i="24" s="1"/>
  <c r="P28" i="24"/>
  <c r="P133" i="24" s="1"/>
  <c r="O28" i="24"/>
  <c r="O133" i="24" s="1"/>
  <c r="N28" i="24"/>
  <c r="N133" i="24" s="1"/>
  <c r="M28" i="24"/>
  <c r="M133" i="24" s="1"/>
  <c r="L28" i="24"/>
  <c r="L133" i="24" s="1"/>
  <c r="K28" i="24"/>
  <c r="K133" i="24" s="1"/>
  <c r="J28" i="24"/>
  <c r="J133" i="24" s="1"/>
  <c r="I28" i="24"/>
  <c r="I133" i="24" s="1"/>
  <c r="H28" i="24"/>
  <c r="H133" i="24" s="1"/>
  <c r="G28" i="24"/>
  <c r="G133" i="24" s="1"/>
  <c r="F28" i="24"/>
  <c r="F133" i="24" s="1"/>
  <c r="E28" i="24"/>
  <c r="E133" i="24" s="1"/>
  <c r="D28" i="24"/>
  <c r="D133" i="24" s="1"/>
  <c r="C28" i="24"/>
  <c r="C133" i="24" s="1"/>
  <c r="B28" i="24"/>
  <c r="B133" i="24" s="1"/>
  <c r="AG27" i="24"/>
  <c r="D27" i="23" s="1"/>
  <c r="AG26" i="24"/>
  <c r="D26" i="23" s="1"/>
  <c r="AG25" i="24"/>
  <c r="D25" i="23" s="1"/>
  <c r="AG24" i="24"/>
  <c r="D24" i="23" s="1"/>
  <c r="AG23" i="24"/>
  <c r="D23" i="23" s="1"/>
  <c r="AG22" i="24"/>
  <c r="D22" i="23" s="1"/>
  <c r="AG21" i="24"/>
  <c r="D21" i="23" s="1"/>
  <c r="AG20" i="24"/>
  <c r="D20" i="23" s="1"/>
  <c r="AG19" i="24"/>
  <c r="D19" i="23" s="1"/>
  <c r="AG18" i="24"/>
  <c r="D18" i="23" s="1"/>
  <c r="AG17" i="24"/>
  <c r="D17" i="23" s="1"/>
  <c r="AG16" i="24"/>
  <c r="D16" i="23" s="1"/>
  <c r="AG15" i="24"/>
  <c r="D15" i="23" s="1"/>
  <c r="AG14" i="24"/>
  <c r="D14" i="23" s="1"/>
  <c r="AG13" i="24"/>
  <c r="D13" i="23" s="1"/>
  <c r="AG12" i="24"/>
  <c r="D12" i="23" s="1"/>
  <c r="AG11" i="24"/>
  <c r="D11" i="23" s="1"/>
  <c r="AG10" i="24"/>
  <c r="D10" i="23" s="1"/>
  <c r="AG9" i="24"/>
  <c r="D9" i="23" s="1"/>
  <c r="AG8" i="24"/>
  <c r="D8" i="23" s="1"/>
  <c r="AG7" i="24"/>
  <c r="D7" i="23" s="1"/>
  <c r="AG6" i="24"/>
  <c r="D6" i="23" s="1"/>
  <c r="AG5" i="24"/>
  <c r="D5" i="23" s="1"/>
  <c r="AG4" i="24"/>
  <c r="D4" i="23" s="1"/>
  <c r="AF3" i="24"/>
  <c r="AE3" i="24"/>
  <c r="AD3" i="24"/>
  <c r="AC3" i="24"/>
  <c r="AB3" i="24"/>
  <c r="AA3" i="24"/>
  <c r="Z3" i="24"/>
  <c r="Y3" i="24"/>
  <c r="X3" i="24"/>
  <c r="W3" i="24"/>
  <c r="V3" i="24"/>
  <c r="U3" i="24"/>
  <c r="T3" i="24"/>
  <c r="S3" i="24"/>
  <c r="R3" i="24"/>
  <c r="Q3" i="24"/>
  <c r="P3" i="24"/>
  <c r="O3" i="24"/>
  <c r="N3" i="24"/>
  <c r="M3" i="24"/>
  <c r="L3" i="24"/>
  <c r="K3" i="24"/>
  <c r="J3" i="24"/>
  <c r="I3" i="24"/>
  <c r="H3" i="24"/>
  <c r="G3" i="24"/>
  <c r="F3" i="24"/>
  <c r="E3" i="24"/>
  <c r="D3" i="24"/>
  <c r="C3" i="24"/>
  <c r="B3" i="24"/>
  <c r="C2" i="24"/>
  <c r="D2" i="24" s="1"/>
  <c r="E2" i="24" s="1"/>
  <c r="F2" i="24" s="1"/>
  <c r="G2" i="24" s="1"/>
  <c r="H2" i="24" s="1"/>
  <c r="I2" i="24" s="1"/>
  <c r="J2" i="24" s="1"/>
  <c r="K2" i="24" s="1"/>
  <c r="L2" i="24" s="1"/>
  <c r="M2" i="24" s="1"/>
  <c r="N2" i="24" s="1"/>
  <c r="O2" i="24" s="1"/>
  <c r="P2" i="24" s="1"/>
  <c r="Q2" i="24" s="1"/>
  <c r="R2" i="24" s="1"/>
  <c r="S2" i="24" s="1"/>
  <c r="T2" i="24" s="1"/>
  <c r="U2" i="24" s="1"/>
  <c r="V2" i="24" s="1"/>
  <c r="W2" i="24" s="1"/>
  <c r="X2" i="24" s="1"/>
  <c r="Y2" i="24" s="1"/>
  <c r="Z2" i="24" s="1"/>
  <c r="AA2" i="24" s="1"/>
  <c r="AB2" i="24" s="1"/>
  <c r="AC2" i="24" s="1"/>
  <c r="AD2" i="24" s="1"/>
  <c r="AE2" i="24" s="1"/>
  <c r="AF2" i="24" s="1"/>
  <c r="AH87" i="35" l="1"/>
  <c r="AG93" i="35"/>
  <c r="AH93" i="35" s="1"/>
  <c r="AG83" i="35"/>
  <c r="AH84" i="35" s="1"/>
  <c r="D81" i="35"/>
  <c r="AG81" i="35" s="1"/>
  <c r="AH81" i="35" s="1"/>
  <c r="AH87" i="34"/>
  <c r="AG93" i="34"/>
  <c r="AH93" i="34" s="1"/>
  <c r="AG83" i="34"/>
  <c r="AH84" i="34" s="1"/>
  <c r="AG81" i="34"/>
  <c r="AH81" i="34" s="1"/>
  <c r="AG83" i="33"/>
  <c r="AH84" i="33" s="1"/>
  <c r="D81" i="33"/>
  <c r="AG81" i="33" s="1"/>
  <c r="AH81" i="33" s="1"/>
  <c r="AH87" i="33"/>
  <c r="AG93" i="33"/>
  <c r="AH93" i="33" s="1"/>
  <c r="AG83" i="32"/>
  <c r="AH84" i="32" s="1"/>
  <c r="AG93" i="32"/>
  <c r="AH133" i="32" s="1"/>
  <c r="AH87" i="32"/>
  <c r="AG81" i="32"/>
  <c r="AH81" i="32" s="1"/>
  <c r="AG83" i="29"/>
  <c r="AH84" i="29" s="1"/>
  <c r="AG83" i="31"/>
  <c r="AH84" i="31" s="1"/>
  <c r="L93" i="24"/>
  <c r="D81" i="29"/>
  <c r="AB93" i="24"/>
  <c r="AG93" i="31"/>
  <c r="AH119" i="31" s="1"/>
  <c r="AH87" i="31"/>
  <c r="D81" i="31"/>
  <c r="AG81" i="31" s="1"/>
  <c r="AH81" i="31" s="1"/>
  <c r="AG83" i="30"/>
  <c r="AH84" i="30" s="1"/>
  <c r="AG93" i="30"/>
  <c r="AH93" i="30" s="1"/>
  <c r="D81" i="30"/>
  <c r="AH87" i="30"/>
  <c r="AG81" i="30"/>
  <c r="AH81" i="30" s="1"/>
  <c r="AG81" i="29"/>
  <c r="AH81" i="29" s="1"/>
  <c r="AH119" i="29"/>
  <c r="AG93" i="27"/>
  <c r="AG83" i="27"/>
  <c r="AH87" i="27"/>
  <c r="AG81" i="27"/>
  <c r="AG83" i="26"/>
  <c r="AH87" i="26"/>
  <c r="D81" i="26"/>
  <c r="AG81" i="26" s="1"/>
  <c r="AG93" i="26"/>
  <c r="AG83" i="25"/>
  <c r="AG93" i="25"/>
  <c r="AH87" i="25"/>
  <c r="D81" i="25"/>
  <c r="AG81" i="25"/>
  <c r="X93" i="24"/>
  <c r="S93" i="24"/>
  <c r="T93" i="24"/>
  <c r="I93" i="24"/>
  <c r="Y93" i="24"/>
  <c r="U93" i="24"/>
  <c r="AC93" i="24"/>
  <c r="K93" i="24"/>
  <c r="AA93" i="24"/>
  <c r="O93" i="24"/>
  <c r="AE93" i="24"/>
  <c r="Q93" i="24"/>
  <c r="P93" i="24"/>
  <c r="M93" i="24"/>
  <c r="H93" i="24"/>
  <c r="J93" i="24"/>
  <c r="R93" i="24"/>
  <c r="Z93" i="24"/>
  <c r="N93" i="24"/>
  <c r="V93" i="24"/>
  <c r="AD93" i="24"/>
  <c r="G93" i="24"/>
  <c r="F93" i="24"/>
  <c r="E93" i="24"/>
  <c r="AG139" i="24"/>
  <c r="D139" i="23" s="1"/>
  <c r="D93" i="24"/>
  <c r="AG87" i="24"/>
  <c r="D87" i="23" s="1"/>
  <c r="AG84" i="24"/>
  <c r="D84" i="23" s="1"/>
  <c r="AG116" i="24"/>
  <c r="D116" i="23" s="1"/>
  <c r="AG144" i="24"/>
  <c r="D144" i="23" s="1"/>
  <c r="AG171" i="24"/>
  <c r="D171" i="23" s="1"/>
  <c r="AG135" i="24"/>
  <c r="D135" i="23" s="1"/>
  <c r="AG119" i="24"/>
  <c r="D119" i="23" s="1"/>
  <c r="AG100" i="24"/>
  <c r="D100" i="23" s="1"/>
  <c r="C93" i="24"/>
  <c r="AG94" i="24"/>
  <c r="D94" i="23" s="1"/>
  <c r="AG79" i="24"/>
  <c r="D79" i="23" s="1"/>
  <c r="AG78" i="24"/>
  <c r="D78" i="23" s="1"/>
  <c r="AG3" i="24"/>
  <c r="D3" i="23" s="1"/>
  <c r="AG134" i="24"/>
  <c r="D134" i="23" s="1"/>
  <c r="AG133" i="24"/>
  <c r="D133" i="23" s="1"/>
  <c r="B81" i="24"/>
  <c r="D83" i="24"/>
  <c r="AG28" i="24"/>
  <c r="D28" i="23" s="1"/>
  <c r="AG53" i="24"/>
  <c r="D53" i="23" s="1"/>
  <c r="T83" i="24"/>
  <c r="T81" i="24" s="1"/>
  <c r="AG82" i="24"/>
  <c r="D82" i="23" s="1"/>
  <c r="L83" i="24"/>
  <c r="L81" i="24" s="1"/>
  <c r="AB83" i="24"/>
  <c r="AB81" i="24" s="1"/>
  <c r="B93" i="24"/>
  <c r="B177" i="21"/>
  <c r="AH133" i="35" l="1"/>
  <c r="AH171" i="35"/>
  <c r="AH119" i="35"/>
  <c r="AH133" i="34"/>
  <c r="AH119" i="34"/>
  <c r="AH171" i="34"/>
  <c r="AH171" i="33"/>
  <c r="AH119" i="33"/>
  <c r="AH133" i="33"/>
  <c r="AH93" i="32"/>
  <c r="AH119" i="32"/>
  <c r="AH171" i="32"/>
  <c r="AH81" i="27"/>
  <c r="G81" i="23"/>
  <c r="AH81" i="26"/>
  <c r="F81" i="23"/>
  <c r="AH84" i="27"/>
  <c r="G83" i="23"/>
  <c r="AH81" i="25"/>
  <c r="E81" i="23"/>
  <c r="AH171" i="27"/>
  <c r="G93" i="23"/>
  <c r="AH119" i="25"/>
  <c r="E93" i="23"/>
  <c r="AH84" i="25"/>
  <c r="E83" i="23"/>
  <c r="AH84" i="26"/>
  <c r="F83" i="23"/>
  <c r="AH133" i="26"/>
  <c r="F93" i="23"/>
  <c r="AH93" i="31"/>
  <c r="AH171" i="31"/>
  <c r="AH133" i="31"/>
  <c r="AH119" i="30"/>
  <c r="AH171" i="30"/>
  <c r="AH133" i="30"/>
  <c r="AH133" i="27"/>
  <c r="AH93" i="27"/>
  <c r="AH119" i="27"/>
  <c r="AH93" i="26"/>
  <c r="AH119" i="26"/>
  <c r="AH171" i="26"/>
  <c r="AH171" i="25"/>
  <c r="AH133" i="25"/>
  <c r="AH93" i="25"/>
  <c r="AG83" i="24"/>
  <c r="D83" i="23" s="1"/>
  <c r="AH87" i="24"/>
  <c r="AG93" i="24"/>
  <c r="D93" i="23" s="1"/>
  <c r="D81" i="24"/>
  <c r="AG81" i="24" s="1"/>
  <c r="D81" i="23" s="1"/>
  <c r="AG180" i="22"/>
  <c r="C180" i="23" s="1"/>
  <c r="AG179" i="22"/>
  <c r="C179" i="23" s="1"/>
  <c r="AG178" i="22"/>
  <c r="C178" i="23" s="1"/>
  <c r="AG177" i="22"/>
  <c r="C177" i="23" s="1"/>
  <c r="AG176" i="22"/>
  <c r="C176" i="23" s="1"/>
  <c r="AG175" i="22"/>
  <c r="C175" i="23" s="1"/>
  <c r="AG174" i="22"/>
  <c r="C174" i="23" s="1"/>
  <c r="AG173" i="22"/>
  <c r="C173" i="23" s="1"/>
  <c r="AG172" i="22"/>
  <c r="C172" i="23" s="1"/>
  <c r="AF171" i="22"/>
  <c r="AE171" i="22"/>
  <c r="AD171" i="22"/>
  <c r="AC171" i="22"/>
  <c r="AB171" i="22"/>
  <c r="AA171" i="22"/>
  <c r="Z171" i="22"/>
  <c r="Y171" i="22"/>
  <c r="X171" i="22"/>
  <c r="W171" i="22"/>
  <c r="V171" i="22"/>
  <c r="U171" i="22"/>
  <c r="T171" i="22"/>
  <c r="S171" i="22"/>
  <c r="R171" i="22"/>
  <c r="Q171" i="22"/>
  <c r="P171" i="22"/>
  <c r="O171" i="22"/>
  <c r="N171" i="22"/>
  <c r="M171" i="22"/>
  <c r="L171" i="22"/>
  <c r="K171" i="22"/>
  <c r="J171" i="22"/>
  <c r="I171" i="22"/>
  <c r="H171" i="22"/>
  <c r="G171" i="22"/>
  <c r="F171" i="22"/>
  <c r="E171" i="22"/>
  <c r="D171" i="22"/>
  <c r="C171" i="22"/>
  <c r="B171" i="22"/>
  <c r="AG170" i="22"/>
  <c r="C170" i="23" s="1"/>
  <c r="AG169" i="22"/>
  <c r="C169" i="23" s="1"/>
  <c r="AG168" i="22"/>
  <c r="C168" i="23" s="1"/>
  <c r="AG167" i="22"/>
  <c r="C167" i="23" s="1"/>
  <c r="AG166" i="22"/>
  <c r="C166" i="23" s="1"/>
  <c r="AG165" i="22"/>
  <c r="C165" i="23" s="1"/>
  <c r="AG164" i="22"/>
  <c r="C164" i="23" s="1"/>
  <c r="AG163" i="22"/>
  <c r="C163" i="23" s="1"/>
  <c r="AG162" i="22"/>
  <c r="C162" i="23" s="1"/>
  <c r="AG161" i="22"/>
  <c r="C161" i="23" s="1"/>
  <c r="AG160" i="22"/>
  <c r="C160" i="23" s="1"/>
  <c r="AG159" i="22"/>
  <c r="C159" i="23" s="1"/>
  <c r="AG158" i="22"/>
  <c r="C158" i="23" s="1"/>
  <c r="AG157" i="22"/>
  <c r="C157" i="23" s="1"/>
  <c r="AG156" i="22"/>
  <c r="C156" i="23" s="1"/>
  <c r="AG155" i="22"/>
  <c r="C155" i="23" s="1"/>
  <c r="AG154" i="22"/>
  <c r="C154" i="23" s="1"/>
  <c r="AG153" i="22"/>
  <c r="C153" i="23" s="1"/>
  <c r="AG152" i="22"/>
  <c r="C152" i="23" s="1"/>
  <c r="AG151" i="22"/>
  <c r="C151" i="23" s="1"/>
  <c r="AG150" i="22"/>
  <c r="C150" i="23" s="1"/>
  <c r="AG149" i="22"/>
  <c r="C149" i="23" s="1"/>
  <c r="AG148" i="22"/>
  <c r="C148" i="23" s="1"/>
  <c r="AG147" i="22"/>
  <c r="C147" i="23" s="1"/>
  <c r="AG146" i="22"/>
  <c r="C146" i="23" s="1"/>
  <c r="AG145" i="22"/>
  <c r="C145" i="23" s="1"/>
  <c r="AF144" i="22"/>
  <c r="AE144" i="22"/>
  <c r="AD144" i="22"/>
  <c r="AC144" i="22"/>
  <c r="AB144" i="22"/>
  <c r="AA144" i="22"/>
  <c r="Z144" i="22"/>
  <c r="Y144" i="22"/>
  <c r="X144" i="22"/>
  <c r="W144" i="22"/>
  <c r="V144" i="22"/>
  <c r="U144" i="22"/>
  <c r="T144" i="22"/>
  <c r="S144" i="22"/>
  <c r="R144" i="22"/>
  <c r="Q144" i="22"/>
  <c r="P144" i="22"/>
  <c r="O144" i="22"/>
  <c r="N144" i="22"/>
  <c r="M144" i="22"/>
  <c r="L144" i="22"/>
  <c r="K144" i="22"/>
  <c r="J144" i="22"/>
  <c r="I144" i="22"/>
  <c r="H144" i="22"/>
  <c r="G144" i="22"/>
  <c r="F144" i="22"/>
  <c r="E144" i="22"/>
  <c r="D144" i="22"/>
  <c r="C144" i="22"/>
  <c r="B144" i="22"/>
  <c r="AG143" i="22"/>
  <c r="C143" i="23" s="1"/>
  <c r="AG142" i="22"/>
  <c r="C142" i="23" s="1"/>
  <c r="AG141" i="22"/>
  <c r="C141" i="23" s="1"/>
  <c r="AG140" i="22"/>
  <c r="C140" i="23" s="1"/>
  <c r="AF139" i="22"/>
  <c r="AE139" i="22"/>
  <c r="AD139" i="22"/>
  <c r="AC139" i="22"/>
  <c r="AB139" i="22"/>
  <c r="AA139" i="22"/>
  <c r="Z139" i="22"/>
  <c r="Y139" i="22"/>
  <c r="X139" i="22"/>
  <c r="W139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I139" i="22"/>
  <c r="H139" i="22"/>
  <c r="G139" i="22"/>
  <c r="F139" i="22"/>
  <c r="E139" i="22"/>
  <c r="D139" i="22"/>
  <c r="C139" i="22"/>
  <c r="B139" i="22"/>
  <c r="AG138" i="22"/>
  <c r="C138" i="23" s="1"/>
  <c r="AG137" i="22"/>
  <c r="C137" i="23" s="1"/>
  <c r="AG136" i="22"/>
  <c r="C136" i="23" s="1"/>
  <c r="AF135" i="22"/>
  <c r="AE135" i="22"/>
  <c r="AD135" i="22"/>
  <c r="AC135" i="22"/>
  <c r="AB135" i="22"/>
  <c r="AA135" i="22"/>
  <c r="Z135" i="22"/>
  <c r="Y135" i="22"/>
  <c r="X135" i="22"/>
  <c r="W135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I135" i="22"/>
  <c r="H135" i="22"/>
  <c r="G135" i="22"/>
  <c r="F135" i="22"/>
  <c r="E135" i="22"/>
  <c r="D135" i="22"/>
  <c r="C135" i="22"/>
  <c r="B135" i="22"/>
  <c r="AG132" i="22"/>
  <c r="C132" i="23" s="1"/>
  <c r="AG131" i="22"/>
  <c r="C131" i="23" s="1"/>
  <c r="AG130" i="22"/>
  <c r="C130" i="23" s="1"/>
  <c r="AG129" i="22"/>
  <c r="C129" i="23" s="1"/>
  <c r="AG128" i="22"/>
  <c r="C128" i="23" s="1"/>
  <c r="AG127" i="22"/>
  <c r="C127" i="23" s="1"/>
  <c r="AG126" i="22"/>
  <c r="C126" i="23" s="1"/>
  <c r="AG125" i="22"/>
  <c r="C125" i="23" s="1"/>
  <c r="AG124" i="22"/>
  <c r="C124" i="23" s="1"/>
  <c r="AG123" i="22"/>
  <c r="C123" i="23" s="1"/>
  <c r="AG122" i="22"/>
  <c r="C122" i="23" s="1"/>
  <c r="AG121" i="22"/>
  <c r="C121" i="23" s="1"/>
  <c r="AG120" i="22"/>
  <c r="C120" i="23" s="1"/>
  <c r="AF119" i="22"/>
  <c r="AE119" i="22"/>
  <c r="AD119" i="22"/>
  <c r="AC119" i="22"/>
  <c r="AB119" i="22"/>
  <c r="AA119" i="22"/>
  <c r="Z119" i="22"/>
  <c r="Y119" i="22"/>
  <c r="X119" i="22"/>
  <c r="W119" i="22"/>
  <c r="V119" i="22"/>
  <c r="U119" i="22"/>
  <c r="T119" i="22"/>
  <c r="S119" i="22"/>
  <c r="R119" i="22"/>
  <c r="Q119" i="22"/>
  <c r="P119" i="22"/>
  <c r="O119" i="22"/>
  <c r="N119" i="22"/>
  <c r="M119" i="22"/>
  <c r="L119" i="22"/>
  <c r="K119" i="22"/>
  <c r="J119" i="22"/>
  <c r="I119" i="22"/>
  <c r="H119" i="22"/>
  <c r="G119" i="22"/>
  <c r="F119" i="22"/>
  <c r="E119" i="22"/>
  <c r="D119" i="22"/>
  <c r="C119" i="22"/>
  <c r="B119" i="22"/>
  <c r="AG118" i="22"/>
  <c r="C118" i="23" s="1"/>
  <c r="AG117" i="22"/>
  <c r="C117" i="23" s="1"/>
  <c r="AF116" i="22"/>
  <c r="AE116" i="22"/>
  <c r="AD116" i="22"/>
  <c r="AC116" i="22"/>
  <c r="AB116" i="22"/>
  <c r="AA116" i="22"/>
  <c r="Z116" i="22"/>
  <c r="Y116" i="22"/>
  <c r="X116" i="22"/>
  <c r="W116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I116" i="22"/>
  <c r="H116" i="22"/>
  <c r="G116" i="22"/>
  <c r="F116" i="22"/>
  <c r="E116" i="22"/>
  <c r="D116" i="22"/>
  <c r="C116" i="22"/>
  <c r="B116" i="22"/>
  <c r="AG115" i="22"/>
  <c r="C115" i="23" s="1"/>
  <c r="AG114" i="22"/>
  <c r="C114" i="23" s="1"/>
  <c r="AG113" i="22"/>
  <c r="C113" i="23" s="1"/>
  <c r="AG112" i="22"/>
  <c r="C112" i="23" s="1"/>
  <c r="AG111" i="22"/>
  <c r="C111" i="23" s="1"/>
  <c r="AG110" i="22"/>
  <c r="C110" i="23" s="1"/>
  <c r="AG109" i="22"/>
  <c r="C109" i="23" s="1"/>
  <c r="AG108" i="22"/>
  <c r="C108" i="23" s="1"/>
  <c r="AG107" i="22"/>
  <c r="C107" i="23" s="1"/>
  <c r="AG106" i="22"/>
  <c r="C106" i="23" s="1"/>
  <c r="AG105" i="22"/>
  <c r="C105" i="23" s="1"/>
  <c r="AG104" i="22"/>
  <c r="C104" i="23" s="1"/>
  <c r="AG103" i="22"/>
  <c r="C103" i="23" s="1"/>
  <c r="AG102" i="22"/>
  <c r="C102" i="23" s="1"/>
  <c r="AG101" i="22"/>
  <c r="C101" i="23" s="1"/>
  <c r="AF100" i="22"/>
  <c r="AE100" i="22"/>
  <c r="AD100" i="22"/>
  <c r="AC100" i="22"/>
  <c r="AB100" i="22"/>
  <c r="AA100" i="22"/>
  <c r="Z100" i="22"/>
  <c r="Y100" i="22"/>
  <c r="X100" i="22"/>
  <c r="W100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I100" i="22"/>
  <c r="H100" i="22"/>
  <c r="G100" i="22"/>
  <c r="F100" i="22"/>
  <c r="E100" i="22"/>
  <c r="D100" i="22"/>
  <c r="C100" i="22"/>
  <c r="B100" i="22"/>
  <c r="AG99" i="22"/>
  <c r="C99" i="23" s="1"/>
  <c r="AG98" i="22"/>
  <c r="C98" i="23" s="1"/>
  <c r="AG97" i="22"/>
  <c r="C97" i="23" s="1"/>
  <c r="AG96" i="22"/>
  <c r="C96" i="23" s="1"/>
  <c r="AG95" i="22"/>
  <c r="C95" i="23" s="1"/>
  <c r="AF94" i="22"/>
  <c r="AE94" i="22"/>
  <c r="AD94" i="22"/>
  <c r="AC94" i="22"/>
  <c r="AB94" i="22"/>
  <c r="AA94" i="22"/>
  <c r="Z94" i="22"/>
  <c r="Y94" i="22"/>
  <c r="X94" i="22"/>
  <c r="W94" i="22"/>
  <c r="V94" i="22"/>
  <c r="U94" i="22"/>
  <c r="T94" i="22"/>
  <c r="S94" i="22"/>
  <c r="R94" i="22"/>
  <c r="R93" i="22" s="1"/>
  <c r="Q94" i="22"/>
  <c r="P94" i="22"/>
  <c r="O94" i="22"/>
  <c r="N94" i="22"/>
  <c r="M94" i="22"/>
  <c r="L94" i="22"/>
  <c r="K94" i="22"/>
  <c r="J94" i="22"/>
  <c r="I94" i="22"/>
  <c r="H94" i="22"/>
  <c r="G94" i="22"/>
  <c r="F94" i="22"/>
  <c r="E94" i="22"/>
  <c r="D94" i="22"/>
  <c r="C94" i="22"/>
  <c r="C93" i="22" s="1"/>
  <c r="B94" i="22"/>
  <c r="AG92" i="22"/>
  <c r="C92" i="23" s="1"/>
  <c r="AG91" i="22"/>
  <c r="C91" i="23" s="1"/>
  <c r="AG90" i="22"/>
  <c r="C90" i="23" s="1"/>
  <c r="AG89" i="22"/>
  <c r="C89" i="23" s="1"/>
  <c r="AG88" i="22"/>
  <c r="C88" i="23" s="1"/>
  <c r="AF87" i="22"/>
  <c r="AE87" i="22"/>
  <c r="AD87" i="22"/>
  <c r="AC87" i="22"/>
  <c r="AB87" i="22"/>
  <c r="AA87" i="22"/>
  <c r="Z87" i="22"/>
  <c r="Y87" i="22"/>
  <c r="X87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D87" i="22"/>
  <c r="C87" i="22"/>
  <c r="B87" i="22"/>
  <c r="AG86" i="22"/>
  <c r="C86" i="23" s="1"/>
  <c r="AG85" i="22"/>
  <c r="C85" i="23" s="1"/>
  <c r="AF84" i="22"/>
  <c r="AE84" i="22"/>
  <c r="AD84" i="22"/>
  <c r="AC84" i="22"/>
  <c r="AB84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C84" i="22"/>
  <c r="B84" i="22"/>
  <c r="AF82" i="22"/>
  <c r="AF83" i="22" s="1"/>
  <c r="AF81" i="22" s="1"/>
  <c r="AE82" i="22"/>
  <c r="AE83" i="22" s="1"/>
  <c r="AE81" i="22" s="1"/>
  <c r="AD82" i="22"/>
  <c r="AD83" i="22" s="1"/>
  <c r="AD81" i="22" s="1"/>
  <c r="AC82" i="22"/>
  <c r="AC83" i="22" s="1"/>
  <c r="AC81" i="22" s="1"/>
  <c r="AB82" i="22"/>
  <c r="AA82" i="22"/>
  <c r="AA83" i="22" s="1"/>
  <c r="AA81" i="22" s="1"/>
  <c r="Z82" i="22"/>
  <c r="Z83" i="22" s="1"/>
  <c r="Z81" i="22" s="1"/>
  <c r="Y82" i="22"/>
  <c r="Y83" i="22" s="1"/>
  <c r="Y81" i="22" s="1"/>
  <c r="X82" i="22"/>
  <c r="X83" i="22" s="1"/>
  <c r="X81" i="22" s="1"/>
  <c r="W82" i="22"/>
  <c r="W83" i="22" s="1"/>
  <c r="W81" i="22" s="1"/>
  <c r="V82" i="22"/>
  <c r="V83" i="22" s="1"/>
  <c r="V81" i="22" s="1"/>
  <c r="U82" i="22"/>
  <c r="U83" i="22" s="1"/>
  <c r="U81" i="22" s="1"/>
  <c r="T82" i="22"/>
  <c r="S82" i="22"/>
  <c r="S83" i="22" s="1"/>
  <c r="S81" i="22" s="1"/>
  <c r="R82" i="22"/>
  <c r="R83" i="22" s="1"/>
  <c r="R81" i="22" s="1"/>
  <c r="Q82" i="22"/>
  <c r="Q83" i="22" s="1"/>
  <c r="Q81" i="22" s="1"/>
  <c r="P82" i="22"/>
  <c r="P83" i="22" s="1"/>
  <c r="P81" i="22" s="1"/>
  <c r="O82" i="22"/>
  <c r="O83" i="22" s="1"/>
  <c r="O81" i="22" s="1"/>
  <c r="N82" i="22"/>
  <c r="N83" i="22" s="1"/>
  <c r="N81" i="22" s="1"/>
  <c r="M82" i="22"/>
  <c r="M83" i="22" s="1"/>
  <c r="M81" i="22" s="1"/>
  <c r="L82" i="22"/>
  <c r="L83" i="22" s="1"/>
  <c r="K82" i="22"/>
  <c r="K83" i="22" s="1"/>
  <c r="K81" i="22" s="1"/>
  <c r="J82" i="22"/>
  <c r="J83" i="22" s="1"/>
  <c r="J81" i="22" s="1"/>
  <c r="I82" i="22"/>
  <c r="I83" i="22" s="1"/>
  <c r="I81" i="22" s="1"/>
  <c r="H82" i="22"/>
  <c r="H83" i="22" s="1"/>
  <c r="H81" i="22" s="1"/>
  <c r="G82" i="22"/>
  <c r="G83" i="22" s="1"/>
  <c r="G81" i="22" s="1"/>
  <c r="F82" i="22"/>
  <c r="F83" i="22" s="1"/>
  <c r="F81" i="22" s="1"/>
  <c r="E82" i="22"/>
  <c r="E83" i="22" s="1"/>
  <c r="E81" i="22" s="1"/>
  <c r="D82" i="22"/>
  <c r="C82" i="22"/>
  <c r="C83" i="22" s="1"/>
  <c r="C81" i="22" s="1"/>
  <c r="B82" i="22"/>
  <c r="B83" i="22" s="1"/>
  <c r="AG80" i="22"/>
  <c r="C80" i="23" s="1"/>
  <c r="AF79" i="22"/>
  <c r="AF78" i="22" s="1"/>
  <c r="AE79" i="22"/>
  <c r="AE78" i="22" s="1"/>
  <c r="AD79" i="22"/>
  <c r="AD78" i="22" s="1"/>
  <c r="AC79" i="22"/>
  <c r="AC78" i="22" s="1"/>
  <c r="AB79" i="22"/>
  <c r="AB78" i="22" s="1"/>
  <c r="AA79" i="22"/>
  <c r="AA78" i="22" s="1"/>
  <c r="Z79" i="22"/>
  <c r="Z78" i="22" s="1"/>
  <c r="Y79" i="22"/>
  <c r="Y78" i="22" s="1"/>
  <c r="X79" i="22"/>
  <c r="X78" i="22" s="1"/>
  <c r="W79" i="22"/>
  <c r="W78" i="22" s="1"/>
  <c r="V79" i="22"/>
  <c r="V78" i="22" s="1"/>
  <c r="U79" i="22"/>
  <c r="U78" i="22" s="1"/>
  <c r="T79" i="22"/>
  <c r="T78" i="22" s="1"/>
  <c r="S79" i="22"/>
  <c r="S78" i="22" s="1"/>
  <c r="R79" i="22"/>
  <c r="R78" i="22" s="1"/>
  <c r="Q79" i="22"/>
  <c r="Q78" i="22" s="1"/>
  <c r="P79" i="22"/>
  <c r="P78" i="22" s="1"/>
  <c r="O79" i="22"/>
  <c r="O78" i="22" s="1"/>
  <c r="N79" i="22"/>
  <c r="N78" i="22" s="1"/>
  <c r="M79" i="22"/>
  <c r="M78" i="22" s="1"/>
  <c r="L79" i="22"/>
  <c r="L78" i="22" s="1"/>
  <c r="K79" i="22"/>
  <c r="K78" i="22" s="1"/>
  <c r="J79" i="22"/>
  <c r="J78" i="22" s="1"/>
  <c r="I79" i="22"/>
  <c r="I78" i="22" s="1"/>
  <c r="H79" i="22"/>
  <c r="H78" i="22" s="1"/>
  <c r="G79" i="22"/>
  <c r="G78" i="22" s="1"/>
  <c r="F79" i="22"/>
  <c r="F78" i="22" s="1"/>
  <c r="E79" i="22"/>
  <c r="E78" i="22" s="1"/>
  <c r="D79" i="22"/>
  <c r="D78" i="22" s="1"/>
  <c r="C79" i="22"/>
  <c r="C78" i="22" s="1"/>
  <c r="B79" i="22"/>
  <c r="AG77" i="22"/>
  <c r="C77" i="23" s="1"/>
  <c r="AG76" i="22"/>
  <c r="C76" i="23" s="1"/>
  <c r="AG75" i="22"/>
  <c r="C75" i="23" s="1"/>
  <c r="AG74" i="22"/>
  <c r="C74" i="23" s="1"/>
  <c r="AG73" i="22"/>
  <c r="C73" i="23" s="1"/>
  <c r="AG72" i="22"/>
  <c r="C72" i="23" s="1"/>
  <c r="AG71" i="22"/>
  <c r="C71" i="23" s="1"/>
  <c r="AG70" i="22"/>
  <c r="C70" i="23" s="1"/>
  <c r="AG69" i="22"/>
  <c r="C69" i="23" s="1"/>
  <c r="AG68" i="22"/>
  <c r="C68" i="23" s="1"/>
  <c r="AG67" i="22"/>
  <c r="C67" i="23" s="1"/>
  <c r="AG66" i="22"/>
  <c r="C66" i="23" s="1"/>
  <c r="AG65" i="22"/>
  <c r="C65" i="23" s="1"/>
  <c r="AG64" i="22"/>
  <c r="C64" i="23" s="1"/>
  <c r="AG63" i="22"/>
  <c r="C63" i="23" s="1"/>
  <c r="AG62" i="22"/>
  <c r="C62" i="23" s="1"/>
  <c r="AG61" i="22"/>
  <c r="C61" i="23" s="1"/>
  <c r="AG60" i="22"/>
  <c r="C60" i="23" s="1"/>
  <c r="AG59" i="22"/>
  <c r="C59" i="23" s="1"/>
  <c r="AG58" i="22"/>
  <c r="C58" i="23" s="1"/>
  <c r="AG57" i="22"/>
  <c r="C57" i="23" s="1"/>
  <c r="AG56" i="22"/>
  <c r="C56" i="23" s="1"/>
  <c r="AG55" i="22"/>
  <c r="C55" i="23" s="1"/>
  <c r="AG54" i="22"/>
  <c r="C54" i="23" s="1"/>
  <c r="AF53" i="22"/>
  <c r="AF134" i="22" s="1"/>
  <c r="AE53" i="22"/>
  <c r="AE134" i="22" s="1"/>
  <c r="AD53" i="22"/>
  <c r="AD134" i="22" s="1"/>
  <c r="AC53" i="22"/>
  <c r="AC134" i="22" s="1"/>
  <c r="AB53" i="22"/>
  <c r="AB134" i="22" s="1"/>
  <c r="AA53" i="22"/>
  <c r="AA134" i="22" s="1"/>
  <c r="Z53" i="22"/>
  <c r="Z134" i="22" s="1"/>
  <c r="Y53" i="22"/>
  <c r="Y134" i="22" s="1"/>
  <c r="X53" i="22"/>
  <c r="X134" i="22" s="1"/>
  <c r="W53" i="22"/>
  <c r="W134" i="22" s="1"/>
  <c r="V53" i="22"/>
  <c r="V134" i="22" s="1"/>
  <c r="U53" i="22"/>
  <c r="U134" i="22" s="1"/>
  <c r="T53" i="22"/>
  <c r="T134" i="22" s="1"/>
  <c r="S53" i="22"/>
  <c r="S134" i="22" s="1"/>
  <c r="R53" i="22"/>
  <c r="R134" i="22" s="1"/>
  <c r="Q53" i="22"/>
  <c r="Q134" i="22" s="1"/>
  <c r="P53" i="22"/>
  <c r="P134" i="22" s="1"/>
  <c r="O53" i="22"/>
  <c r="O134" i="22" s="1"/>
  <c r="N53" i="22"/>
  <c r="N134" i="22" s="1"/>
  <c r="M53" i="22"/>
  <c r="M134" i="22" s="1"/>
  <c r="L53" i="22"/>
  <c r="L134" i="22" s="1"/>
  <c r="K53" i="22"/>
  <c r="K134" i="22" s="1"/>
  <c r="J53" i="22"/>
  <c r="J134" i="22" s="1"/>
  <c r="I53" i="22"/>
  <c r="I134" i="22" s="1"/>
  <c r="H53" i="22"/>
  <c r="H134" i="22" s="1"/>
  <c r="G53" i="22"/>
  <c r="G134" i="22" s="1"/>
  <c r="F53" i="22"/>
  <c r="F134" i="22" s="1"/>
  <c r="E53" i="22"/>
  <c r="E134" i="22" s="1"/>
  <c r="D53" i="22"/>
  <c r="D134" i="22" s="1"/>
  <c r="C53" i="22"/>
  <c r="C134" i="22" s="1"/>
  <c r="B53" i="22"/>
  <c r="B134" i="22" s="1"/>
  <c r="AG52" i="22"/>
  <c r="C52" i="23" s="1"/>
  <c r="AG51" i="22"/>
  <c r="C51" i="23" s="1"/>
  <c r="AG50" i="22"/>
  <c r="C50" i="23" s="1"/>
  <c r="AG49" i="22"/>
  <c r="C49" i="23" s="1"/>
  <c r="AG48" i="22"/>
  <c r="C48" i="23" s="1"/>
  <c r="AG47" i="22"/>
  <c r="C47" i="23" s="1"/>
  <c r="AG46" i="22"/>
  <c r="C46" i="23" s="1"/>
  <c r="AG45" i="22"/>
  <c r="C45" i="23" s="1"/>
  <c r="AG44" i="22"/>
  <c r="C44" i="23" s="1"/>
  <c r="AG43" i="22"/>
  <c r="C43" i="23" s="1"/>
  <c r="AG42" i="22"/>
  <c r="C42" i="23" s="1"/>
  <c r="AG41" i="22"/>
  <c r="C41" i="23" s="1"/>
  <c r="AG40" i="22"/>
  <c r="C40" i="23" s="1"/>
  <c r="AG39" i="22"/>
  <c r="C39" i="23" s="1"/>
  <c r="AG38" i="22"/>
  <c r="C38" i="23" s="1"/>
  <c r="AG37" i="22"/>
  <c r="C37" i="23" s="1"/>
  <c r="AG36" i="22"/>
  <c r="C36" i="23" s="1"/>
  <c r="AG35" i="22"/>
  <c r="C35" i="23" s="1"/>
  <c r="AG34" i="22"/>
  <c r="C34" i="23" s="1"/>
  <c r="AG33" i="22"/>
  <c r="C33" i="23" s="1"/>
  <c r="AG32" i="22"/>
  <c r="C32" i="23" s="1"/>
  <c r="AG31" i="22"/>
  <c r="C31" i="23" s="1"/>
  <c r="AG30" i="22"/>
  <c r="C30" i="23" s="1"/>
  <c r="AG29" i="22"/>
  <c r="C29" i="23" s="1"/>
  <c r="AF28" i="22"/>
  <c r="AF133" i="22" s="1"/>
  <c r="AE28" i="22"/>
  <c r="AE133" i="22" s="1"/>
  <c r="AD28" i="22"/>
  <c r="AD133" i="22" s="1"/>
  <c r="AC28" i="22"/>
  <c r="AC133" i="22" s="1"/>
  <c r="AB28" i="22"/>
  <c r="AB133" i="22" s="1"/>
  <c r="AA28" i="22"/>
  <c r="AA133" i="22" s="1"/>
  <c r="Z28" i="22"/>
  <c r="Z133" i="22" s="1"/>
  <c r="Y28" i="22"/>
  <c r="Y133" i="22" s="1"/>
  <c r="X28" i="22"/>
  <c r="X133" i="22" s="1"/>
  <c r="W28" i="22"/>
  <c r="W133" i="22" s="1"/>
  <c r="V28" i="22"/>
  <c r="V133" i="22" s="1"/>
  <c r="U28" i="22"/>
  <c r="U133" i="22" s="1"/>
  <c r="T28" i="22"/>
  <c r="T133" i="22" s="1"/>
  <c r="S28" i="22"/>
  <c r="S133" i="22" s="1"/>
  <c r="R28" i="22"/>
  <c r="R133" i="22" s="1"/>
  <c r="Q28" i="22"/>
  <c r="Q133" i="22" s="1"/>
  <c r="P28" i="22"/>
  <c r="P133" i="22" s="1"/>
  <c r="O28" i="22"/>
  <c r="O133" i="22" s="1"/>
  <c r="N28" i="22"/>
  <c r="N133" i="22" s="1"/>
  <c r="M28" i="22"/>
  <c r="M133" i="22" s="1"/>
  <c r="L28" i="22"/>
  <c r="L133" i="22" s="1"/>
  <c r="K28" i="22"/>
  <c r="K133" i="22" s="1"/>
  <c r="J28" i="22"/>
  <c r="J133" i="22" s="1"/>
  <c r="I28" i="22"/>
  <c r="I133" i="22" s="1"/>
  <c r="H28" i="22"/>
  <c r="H133" i="22" s="1"/>
  <c r="G28" i="22"/>
  <c r="G133" i="22" s="1"/>
  <c r="F28" i="22"/>
  <c r="F133" i="22" s="1"/>
  <c r="E28" i="22"/>
  <c r="E133" i="22" s="1"/>
  <c r="D28" i="22"/>
  <c r="D133" i="22" s="1"/>
  <c r="C28" i="22"/>
  <c r="C133" i="22" s="1"/>
  <c r="B28" i="22"/>
  <c r="B133" i="22" s="1"/>
  <c r="AG27" i="22"/>
  <c r="C27" i="23" s="1"/>
  <c r="AG26" i="22"/>
  <c r="C26" i="23" s="1"/>
  <c r="AG25" i="22"/>
  <c r="C25" i="23" s="1"/>
  <c r="AG24" i="22"/>
  <c r="C24" i="23" s="1"/>
  <c r="AG23" i="22"/>
  <c r="C23" i="23" s="1"/>
  <c r="AG22" i="22"/>
  <c r="C22" i="23" s="1"/>
  <c r="AG21" i="22"/>
  <c r="C21" i="23" s="1"/>
  <c r="AG20" i="22"/>
  <c r="C20" i="23" s="1"/>
  <c r="AG19" i="22"/>
  <c r="C19" i="23" s="1"/>
  <c r="AG18" i="22"/>
  <c r="C18" i="23" s="1"/>
  <c r="AG17" i="22"/>
  <c r="C17" i="23" s="1"/>
  <c r="AG16" i="22"/>
  <c r="C16" i="23" s="1"/>
  <c r="AG15" i="22"/>
  <c r="C15" i="23" s="1"/>
  <c r="AG14" i="22"/>
  <c r="C14" i="23" s="1"/>
  <c r="AG13" i="22"/>
  <c r="C13" i="23" s="1"/>
  <c r="AG12" i="22"/>
  <c r="C12" i="23" s="1"/>
  <c r="AG11" i="22"/>
  <c r="C11" i="23" s="1"/>
  <c r="AG10" i="22"/>
  <c r="C10" i="23" s="1"/>
  <c r="AG9" i="22"/>
  <c r="C9" i="23" s="1"/>
  <c r="AG8" i="22"/>
  <c r="C8" i="23" s="1"/>
  <c r="AG7" i="22"/>
  <c r="C7" i="23" s="1"/>
  <c r="AG6" i="22"/>
  <c r="C6" i="23" s="1"/>
  <c r="AG5" i="22"/>
  <c r="C5" i="23" s="1"/>
  <c r="AG4" i="22"/>
  <c r="C4" i="23" s="1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E3" i="22"/>
  <c r="D3" i="22"/>
  <c r="C3" i="22"/>
  <c r="B3" i="22"/>
  <c r="C2" i="22"/>
  <c r="D2" i="22" s="1"/>
  <c r="E2" i="22" s="1"/>
  <c r="F2" i="22" s="1"/>
  <c r="G2" i="22" s="1"/>
  <c r="H2" i="22" s="1"/>
  <c r="I2" i="22" s="1"/>
  <c r="J2" i="22" s="1"/>
  <c r="K2" i="22" s="1"/>
  <c r="L2" i="22" s="1"/>
  <c r="M2" i="22" s="1"/>
  <c r="N2" i="22" s="1"/>
  <c r="O2" i="22" s="1"/>
  <c r="P2" i="22" s="1"/>
  <c r="Q2" i="22" s="1"/>
  <c r="R2" i="22" s="1"/>
  <c r="S2" i="22" s="1"/>
  <c r="T2" i="22" s="1"/>
  <c r="U2" i="22" s="1"/>
  <c r="V2" i="22" s="1"/>
  <c r="W2" i="22" s="1"/>
  <c r="X2" i="22" s="1"/>
  <c r="Y2" i="22" s="1"/>
  <c r="Z2" i="22" s="1"/>
  <c r="AA2" i="22" s="1"/>
  <c r="AB2" i="22" s="1"/>
  <c r="AC2" i="22" s="1"/>
  <c r="AD2" i="22" s="1"/>
  <c r="AE2" i="22" s="1"/>
  <c r="AF2" i="22" s="1"/>
  <c r="AG180" i="21"/>
  <c r="B180" i="23" s="1"/>
  <c r="N180" i="23" s="1"/>
  <c r="AG179" i="21"/>
  <c r="B179" i="23" s="1"/>
  <c r="AG178" i="21"/>
  <c r="B178" i="23" s="1"/>
  <c r="AG177" i="21"/>
  <c r="B177" i="23" s="1"/>
  <c r="AG176" i="21"/>
  <c r="B176" i="23" s="1"/>
  <c r="AG175" i="21"/>
  <c r="B175" i="23" s="1"/>
  <c r="AG174" i="21"/>
  <c r="B174" i="23" s="1"/>
  <c r="AG173" i="21"/>
  <c r="B173" i="23" s="1"/>
  <c r="AG172" i="21"/>
  <c r="B172" i="23" s="1"/>
  <c r="AF171" i="21"/>
  <c r="AE171" i="21"/>
  <c r="AD171" i="21"/>
  <c r="AC171" i="21"/>
  <c r="AB171" i="21"/>
  <c r="AA171" i="21"/>
  <c r="Z171" i="21"/>
  <c r="Y171" i="21"/>
  <c r="X171" i="21"/>
  <c r="W171" i="21"/>
  <c r="V171" i="21"/>
  <c r="U171" i="21"/>
  <c r="T171" i="21"/>
  <c r="S171" i="21"/>
  <c r="R171" i="21"/>
  <c r="Q171" i="21"/>
  <c r="P171" i="21"/>
  <c r="O171" i="21"/>
  <c r="N171" i="21"/>
  <c r="M171" i="21"/>
  <c r="L171" i="21"/>
  <c r="K171" i="21"/>
  <c r="J171" i="21"/>
  <c r="I171" i="21"/>
  <c r="H171" i="21"/>
  <c r="G171" i="21"/>
  <c r="F171" i="21"/>
  <c r="E171" i="21"/>
  <c r="D171" i="21"/>
  <c r="C171" i="21"/>
  <c r="B171" i="21"/>
  <c r="AG170" i="21"/>
  <c r="B170" i="23" s="1"/>
  <c r="N170" i="23" s="1"/>
  <c r="AG169" i="21"/>
  <c r="B169" i="23" s="1"/>
  <c r="AG168" i="21"/>
  <c r="B168" i="23" s="1"/>
  <c r="AG167" i="21"/>
  <c r="B167" i="23" s="1"/>
  <c r="AG166" i="21"/>
  <c r="B166" i="23" s="1"/>
  <c r="N166" i="23" s="1"/>
  <c r="AG165" i="21"/>
  <c r="B165" i="23" s="1"/>
  <c r="AG164" i="21"/>
  <c r="B164" i="23" s="1"/>
  <c r="AG163" i="21"/>
  <c r="B163" i="23" s="1"/>
  <c r="AG162" i="21"/>
  <c r="B162" i="23" s="1"/>
  <c r="AG161" i="21"/>
  <c r="B161" i="23" s="1"/>
  <c r="AG160" i="21"/>
  <c r="B160" i="23" s="1"/>
  <c r="AG159" i="21"/>
  <c r="B159" i="23" s="1"/>
  <c r="AG158" i="21"/>
  <c r="B158" i="23" s="1"/>
  <c r="AG157" i="21"/>
  <c r="B157" i="23" s="1"/>
  <c r="AG156" i="21"/>
  <c r="B156" i="23" s="1"/>
  <c r="AG155" i="21"/>
  <c r="B155" i="23" s="1"/>
  <c r="AG154" i="21"/>
  <c r="B154" i="23" s="1"/>
  <c r="AG153" i="21"/>
  <c r="B153" i="23" s="1"/>
  <c r="AG152" i="21"/>
  <c r="B152" i="23" s="1"/>
  <c r="AG151" i="21"/>
  <c r="B151" i="23" s="1"/>
  <c r="AG150" i="21"/>
  <c r="B150" i="23" s="1"/>
  <c r="N150" i="23" s="1"/>
  <c r="AG149" i="21"/>
  <c r="B149" i="23" s="1"/>
  <c r="AG148" i="21"/>
  <c r="B148" i="23" s="1"/>
  <c r="AG147" i="21"/>
  <c r="B147" i="23" s="1"/>
  <c r="AG146" i="21"/>
  <c r="B146" i="23" s="1"/>
  <c r="AG145" i="21"/>
  <c r="B145" i="23" s="1"/>
  <c r="AF144" i="21"/>
  <c r="AE144" i="21"/>
  <c r="AD144" i="21"/>
  <c r="AC144" i="21"/>
  <c r="AB144" i="21"/>
  <c r="AA144" i="21"/>
  <c r="Z144" i="21"/>
  <c r="Y144" i="21"/>
  <c r="X144" i="21"/>
  <c r="W144" i="21"/>
  <c r="V144" i="21"/>
  <c r="U144" i="21"/>
  <c r="T144" i="21"/>
  <c r="S144" i="21"/>
  <c r="R144" i="21"/>
  <c r="Q144" i="21"/>
  <c r="P144" i="21"/>
  <c r="O144" i="21"/>
  <c r="N144" i="21"/>
  <c r="M144" i="21"/>
  <c r="L144" i="21"/>
  <c r="K144" i="21"/>
  <c r="J144" i="21"/>
  <c r="I144" i="21"/>
  <c r="H144" i="21"/>
  <c r="G144" i="21"/>
  <c r="F144" i="21"/>
  <c r="E144" i="21"/>
  <c r="D144" i="21"/>
  <c r="C144" i="21"/>
  <c r="B144" i="21"/>
  <c r="AG143" i="21"/>
  <c r="B143" i="23" s="1"/>
  <c r="AG142" i="21"/>
  <c r="B142" i="23" s="1"/>
  <c r="AG141" i="21"/>
  <c r="B141" i="23" s="1"/>
  <c r="AG140" i="21"/>
  <c r="B140" i="23" s="1"/>
  <c r="AF139" i="21"/>
  <c r="AE139" i="21"/>
  <c r="AD139" i="21"/>
  <c r="AC139" i="21"/>
  <c r="AB139" i="21"/>
  <c r="AA139" i="21"/>
  <c r="Z139" i="21"/>
  <c r="Y139" i="21"/>
  <c r="X139" i="21"/>
  <c r="W139" i="21"/>
  <c r="V139" i="21"/>
  <c r="U139" i="21"/>
  <c r="T139" i="21"/>
  <c r="S139" i="21"/>
  <c r="R139" i="21"/>
  <c r="Q139" i="21"/>
  <c r="P139" i="21"/>
  <c r="O139" i="21"/>
  <c r="N139" i="21"/>
  <c r="M139" i="21"/>
  <c r="L139" i="21"/>
  <c r="K139" i="21"/>
  <c r="J139" i="21"/>
  <c r="I139" i="21"/>
  <c r="H139" i="21"/>
  <c r="G139" i="21"/>
  <c r="F139" i="21"/>
  <c r="E139" i="21"/>
  <c r="D139" i="21"/>
  <c r="C139" i="21"/>
  <c r="B139" i="21"/>
  <c r="AG138" i="21"/>
  <c r="B138" i="23" s="1"/>
  <c r="AG137" i="21"/>
  <c r="B137" i="23" s="1"/>
  <c r="AG136" i="21"/>
  <c r="B136" i="23" s="1"/>
  <c r="AF135" i="21"/>
  <c r="AE135" i="21"/>
  <c r="AD135" i="21"/>
  <c r="AC135" i="21"/>
  <c r="AB135" i="21"/>
  <c r="AA135" i="21"/>
  <c r="Z135" i="21"/>
  <c r="Y135" i="21"/>
  <c r="X135" i="21"/>
  <c r="W135" i="21"/>
  <c r="V135" i="21"/>
  <c r="U135" i="21"/>
  <c r="T135" i="21"/>
  <c r="S135" i="21"/>
  <c r="R135" i="21"/>
  <c r="Q135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D135" i="21"/>
  <c r="C135" i="21"/>
  <c r="B135" i="21"/>
  <c r="AG132" i="21"/>
  <c r="B132" i="23" s="1"/>
  <c r="AG131" i="21"/>
  <c r="B131" i="23" s="1"/>
  <c r="AG130" i="21"/>
  <c r="B130" i="23" s="1"/>
  <c r="AG129" i="21"/>
  <c r="B129" i="23" s="1"/>
  <c r="AG128" i="21"/>
  <c r="B128" i="23" s="1"/>
  <c r="AG127" i="21"/>
  <c r="B127" i="23" s="1"/>
  <c r="AG126" i="21"/>
  <c r="B126" i="23" s="1"/>
  <c r="AG125" i="21"/>
  <c r="B125" i="23" s="1"/>
  <c r="AG124" i="21"/>
  <c r="B124" i="23" s="1"/>
  <c r="AG123" i="21"/>
  <c r="B123" i="23" s="1"/>
  <c r="AG122" i="21"/>
  <c r="B122" i="23" s="1"/>
  <c r="AG121" i="21"/>
  <c r="B121" i="23" s="1"/>
  <c r="AG120" i="21"/>
  <c r="B120" i="23" s="1"/>
  <c r="AF119" i="21"/>
  <c r="AE119" i="21"/>
  <c r="AD119" i="21"/>
  <c r="AC119" i="21"/>
  <c r="AB119" i="21"/>
  <c r="AA119" i="21"/>
  <c r="Z119" i="21"/>
  <c r="Y119" i="21"/>
  <c r="X119" i="21"/>
  <c r="W119" i="21"/>
  <c r="V119" i="21"/>
  <c r="U119" i="21"/>
  <c r="T119" i="21"/>
  <c r="S119" i="21"/>
  <c r="R119" i="21"/>
  <c r="Q119" i="21"/>
  <c r="P119" i="21"/>
  <c r="O119" i="21"/>
  <c r="N119" i="21"/>
  <c r="M119" i="21"/>
  <c r="L119" i="21"/>
  <c r="K119" i="21"/>
  <c r="J119" i="21"/>
  <c r="I119" i="21"/>
  <c r="H119" i="21"/>
  <c r="G119" i="21"/>
  <c r="F119" i="21"/>
  <c r="E119" i="21"/>
  <c r="D119" i="21"/>
  <c r="C119" i="21"/>
  <c r="B119" i="21"/>
  <c r="AG118" i="21"/>
  <c r="B118" i="23" s="1"/>
  <c r="AG117" i="21"/>
  <c r="B117" i="23" s="1"/>
  <c r="AF116" i="21"/>
  <c r="AE116" i="21"/>
  <c r="AD116" i="21"/>
  <c r="AC116" i="21"/>
  <c r="AB116" i="21"/>
  <c r="AA116" i="21"/>
  <c r="Z116" i="21"/>
  <c r="Y116" i="21"/>
  <c r="X116" i="21"/>
  <c r="W116" i="21"/>
  <c r="V116" i="21"/>
  <c r="U116" i="21"/>
  <c r="T116" i="21"/>
  <c r="S116" i="21"/>
  <c r="R116" i="21"/>
  <c r="Q116" i="21"/>
  <c r="P116" i="21"/>
  <c r="O116" i="21"/>
  <c r="N116" i="21"/>
  <c r="M116" i="21"/>
  <c r="L116" i="21"/>
  <c r="K116" i="21"/>
  <c r="J116" i="21"/>
  <c r="I116" i="21"/>
  <c r="H116" i="21"/>
  <c r="G116" i="21"/>
  <c r="F116" i="21"/>
  <c r="E116" i="21"/>
  <c r="D116" i="21"/>
  <c r="C116" i="21"/>
  <c r="B116" i="21"/>
  <c r="AG115" i="21"/>
  <c r="B115" i="23" s="1"/>
  <c r="AG114" i="21"/>
  <c r="B114" i="23" s="1"/>
  <c r="AG113" i="21"/>
  <c r="B113" i="23" s="1"/>
  <c r="AG112" i="21"/>
  <c r="B112" i="23" s="1"/>
  <c r="AG111" i="21"/>
  <c r="B111" i="23" s="1"/>
  <c r="AG110" i="21"/>
  <c r="B110" i="23" s="1"/>
  <c r="AG109" i="21"/>
  <c r="B109" i="23" s="1"/>
  <c r="AG108" i="21"/>
  <c r="B108" i="23" s="1"/>
  <c r="AG107" i="21"/>
  <c r="B107" i="23" s="1"/>
  <c r="AG106" i="21"/>
  <c r="B106" i="23" s="1"/>
  <c r="AG105" i="21"/>
  <c r="B105" i="23" s="1"/>
  <c r="AG104" i="21"/>
  <c r="B104" i="23" s="1"/>
  <c r="AG103" i="21"/>
  <c r="B103" i="23" s="1"/>
  <c r="AG102" i="21"/>
  <c r="B102" i="23" s="1"/>
  <c r="AG101" i="21"/>
  <c r="B101" i="23" s="1"/>
  <c r="AF100" i="21"/>
  <c r="AE100" i="21"/>
  <c r="AD100" i="21"/>
  <c r="AC100" i="21"/>
  <c r="AB100" i="21"/>
  <c r="AA100" i="21"/>
  <c r="Z100" i="21"/>
  <c r="Y100" i="21"/>
  <c r="X100" i="21"/>
  <c r="W100" i="21"/>
  <c r="V100" i="21"/>
  <c r="U100" i="21"/>
  <c r="T100" i="21"/>
  <c r="S100" i="21"/>
  <c r="R100" i="21"/>
  <c r="Q100" i="21"/>
  <c r="P100" i="21"/>
  <c r="O100" i="21"/>
  <c r="N100" i="21"/>
  <c r="M100" i="21"/>
  <c r="L100" i="21"/>
  <c r="K100" i="21"/>
  <c r="J100" i="21"/>
  <c r="I100" i="21"/>
  <c r="H100" i="21"/>
  <c r="G100" i="21"/>
  <c r="F100" i="21"/>
  <c r="E100" i="21"/>
  <c r="D100" i="21"/>
  <c r="C100" i="21"/>
  <c r="B100" i="21"/>
  <c r="AG99" i="21"/>
  <c r="B99" i="23" s="1"/>
  <c r="AG98" i="21"/>
  <c r="B98" i="23" s="1"/>
  <c r="AG97" i="21"/>
  <c r="B97" i="23" s="1"/>
  <c r="AG96" i="21"/>
  <c r="B96" i="23" s="1"/>
  <c r="AG95" i="21"/>
  <c r="B95" i="23" s="1"/>
  <c r="AF94" i="21"/>
  <c r="AE94" i="21"/>
  <c r="AD94" i="21"/>
  <c r="AC94" i="21"/>
  <c r="AB94" i="21"/>
  <c r="AB93" i="21" s="1"/>
  <c r="AA94" i="21"/>
  <c r="Z94" i="21"/>
  <c r="Z93" i="21" s="1"/>
  <c r="Y94" i="21"/>
  <c r="X94" i="21"/>
  <c r="W94" i="21"/>
  <c r="V94" i="21"/>
  <c r="U94" i="21"/>
  <c r="U93" i="21" s="1"/>
  <c r="T94" i="21"/>
  <c r="S94" i="21"/>
  <c r="R94" i="21"/>
  <c r="Q94" i="21"/>
  <c r="P94" i="21"/>
  <c r="O94" i="21"/>
  <c r="N94" i="21"/>
  <c r="M94" i="21"/>
  <c r="L94" i="21"/>
  <c r="L93" i="21" s="1"/>
  <c r="K94" i="21"/>
  <c r="J94" i="21"/>
  <c r="I94" i="21"/>
  <c r="H94" i="21"/>
  <c r="G94" i="21"/>
  <c r="F94" i="21"/>
  <c r="E94" i="21"/>
  <c r="D94" i="21"/>
  <c r="D93" i="21" s="1"/>
  <c r="C94" i="21"/>
  <c r="B94" i="21"/>
  <c r="AG92" i="21"/>
  <c r="B92" i="23" s="1"/>
  <c r="AG91" i="21"/>
  <c r="B91" i="23" s="1"/>
  <c r="AG90" i="21"/>
  <c r="B90" i="23" s="1"/>
  <c r="AG89" i="21"/>
  <c r="B89" i="23" s="1"/>
  <c r="AG88" i="21"/>
  <c r="B88" i="23" s="1"/>
  <c r="AF87" i="21"/>
  <c r="AE87" i="21"/>
  <c r="AD87" i="21"/>
  <c r="AC87" i="21"/>
  <c r="AB87" i="21"/>
  <c r="AA87" i="21"/>
  <c r="Z87" i="21"/>
  <c r="Y87" i="21"/>
  <c r="X87" i="21"/>
  <c r="W87" i="21"/>
  <c r="V87" i="21"/>
  <c r="U87" i="21"/>
  <c r="T87" i="21"/>
  <c r="S87" i="21"/>
  <c r="R87" i="21"/>
  <c r="Q87" i="21"/>
  <c r="P87" i="21"/>
  <c r="O87" i="21"/>
  <c r="N87" i="21"/>
  <c r="M87" i="21"/>
  <c r="L87" i="21"/>
  <c r="K87" i="21"/>
  <c r="J87" i="21"/>
  <c r="I87" i="21"/>
  <c r="H87" i="21"/>
  <c r="G87" i="21"/>
  <c r="F87" i="21"/>
  <c r="E87" i="21"/>
  <c r="D87" i="21"/>
  <c r="C87" i="21"/>
  <c r="B87" i="21"/>
  <c r="AG86" i="21"/>
  <c r="B86" i="23" s="1"/>
  <c r="AG85" i="21"/>
  <c r="B85" i="23" s="1"/>
  <c r="AF84" i="21"/>
  <c r="AE84" i="21"/>
  <c r="AD84" i="21"/>
  <c r="AC84" i="21"/>
  <c r="AB84" i="21"/>
  <c r="AA84" i="21"/>
  <c r="Z84" i="21"/>
  <c r="Y84" i="21"/>
  <c r="X84" i="21"/>
  <c r="W84" i="21"/>
  <c r="V84" i="21"/>
  <c r="U84" i="21"/>
  <c r="T84" i="21"/>
  <c r="S84" i="21"/>
  <c r="R84" i="21"/>
  <c r="Q84" i="21"/>
  <c r="P84" i="21"/>
  <c r="O84" i="21"/>
  <c r="N84" i="21"/>
  <c r="M84" i="21"/>
  <c r="L84" i="21"/>
  <c r="K84" i="21"/>
  <c r="J84" i="21"/>
  <c r="I84" i="21"/>
  <c r="H84" i="21"/>
  <c r="G84" i="21"/>
  <c r="F84" i="21"/>
  <c r="E84" i="21"/>
  <c r="D84" i="21"/>
  <c r="C84" i="21"/>
  <c r="B84" i="21"/>
  <c r="AF82" i="21"/>
  <c r="AF83" i="21" s="1"/>
  <c r="AE82" i="21"/>
  <c r="AE83" i="21" s="1"/>
  <c r="AE81" i="21" s="1"/>
  <c r="AD82" i="21"/>
  <c r="AD83" i="21" s="1"/>
  <c r="AC82" i="21"/>
  <c r="AC83" i="21" s="1"/>
  <c r="AC81" i="21" s="1"/>
  <c r="AB82" i="21"/>
  <c r="AA82" i="21"/>
  <c r="AA83" i="21" s="1"/>
  <c r="AA81" i="21" s="1"/>
  <c r="Z82" i="21"/>
  <c r="Z83" i="21" s="1"/>
  <c r="Z81" i="21" s="1"/>
  <c r="Y82" i="21"/>
  <c r="Y83" i="21" s="1"/>
  <c r="Y81" i="21" s="1"/>
  <c r="X82" i="21"/>
  <c r="X83" i="21" s="1"/>
  <c r="W82" i="21"/>
  <c r="W83" i="21" s="1"/>
  <c r="W81" i="21" s="1"/>
  <c r="V82" i="21"/>
  <c r="U82" i="21"/>
  <c r="U83" i="21" s="1"/>
  <c r="U81" i="21" s="1"/>
  <c r="T82" i="21"/>
  <c r="S82" i="21"/>
  <c r="S83" i="21" s="1"/>
  <c r="S81" i="21" s="1"/>
  <c r="R82" i="21"/>
  <c r="R83" i="21" s="1"/>
  <c r="R81" i="21" s="1"/>
  <c r="Q82" i="21"/>
  <c r="Q83" i="21" s="1"/>
  <c r="Q81" i="21" s="1"/>
  <c r="P82" i="21"/>
  <c r="P83" i="21" s="1"/>
  <c r="O82" i="21"/>
  <c r="O83" i="21" s="1"/>
  <c r="O81" i="21" s="1"/>
  <c r="N82" i="21"/>
  <c r="N83" i="21" s="1"/>
  <c r="M82" i="21"/>
  <c r="M83" i="21" s="1"/>
  <c r="M81" i="21" s="1"/>
  <c r="L82" i="21"/>
  <c r="K82" i="21"/>
  <c r="K83" i="21" s="1"/>
  <c r="K81" i="21" s="1"/>
  <c r="J82" i="21"/>
  <c r="J83" i="21" s="1"/>
  <c r="J81" i="21" s="1"/>
  <c r="I82" i="21"/>
  <c r="I83" i="21" s="1"/>
  <c r="I81" i="21" s="1"/>
  <c r="H82" i="21"/>
  <c r="H83" i="21" s="1"/>
  <c r="G82" i="21"/>
  <c r="G83" i="21" s="1"/>
  <c r="G81" i="21" s="1"/>
  <c r="F82" i="21"/>
  <c r="F83" i="21" s="1"/>
  <c r="E82" i="21"/>
  <c r="E83" i="21" s="1"/>
  <c r="E81" i="21" s="1"/>
  <c r="D82" i="21"/>
  <c r="C82" i="21"/>
  <c r="C83" i="21" s="1"/>
  <c r="C81" i="21" s="1"/>
  <c r="B82" i="21"/>
  <c r="B83" i="21" s="1"/>
  <c r="AG80" i="21"/>
  <c r="B80" i="23" s="1"/>
  <c r="AF79" i="21"/>
  <c r="AF78" i="21" s="1"/>
  <c r="AE79" i="21"/>
  <c r="AE78" i="21" s="1"/>
  <c r="AD79" i="21"/>
  <c r="AD78" i="21" s="1"/>
  <c r="AC79" i="21"/>
  <c r="AC78" i="21" s="1"/>
  <c r="AB79" i="21"/>
  <c r="AB78" i="21" s="1"/>
  <c r="AA79" i="21"/>
  <c r="AA78" i="21" s="1"/>
  <c r="Z79" i="21"/>
  <c r="Z78" i="21" s="1"/>
  <c r="Y79" i="21"/>
  <c r="Y78" i="21" s="1"/>
  <c r="X79" i="21"/>
  <c r="X78" i="21" s="1"/>
  <c r="W79" i="21"/>
  <c r="W78" i="21" s="1"/>
  <c r="V79" i="21"/>
  <c r="V78" i="21" s="1"/>
  <c r="U79" i="21"/>
  <c r="U78" i="21" s="1"/>
  <c r="T79" i="21"/>
  <c r="T78" i="21" s="1"/>
  <c r="S79" i="21"/>
  <c r="S78" i="21" s="1"/>
  <c r="R79" i="21"/>
  <c r="R78" i="21" s="1"/>
  <c r="Q79" i="21"/>
  <c r="Q78" i="21" s="1"/>
  <c r="P79" i="21"/>
  <c r="P78" i="21" s="1"/>
  <c r="O79" i="21"/>
  <c r="O78" i="21" s="1"/>
  <c r="N79" i="21"/>
  <c r="N78" i="21" s="1"/>
  <c r="M79" i="21"/>
  <c r="M78" i="21" s="1"/>
  <c r="L79" i="21"/>
  <c r="L78" i="21" s="1"/>
  <c r="K79" i="21"/>
  <c r="K78" i="21" s="1"/>
  <c r="J79" i="21"/>
  <c r="J78" i="21" s="1"/>
  <c r="I79" i="21"/>
  <c r="I78" i="21" s="1"/>
  <c r="H79" i="21"/>
  <c r="H78" i="21" s="1"/>
  <c r="G79" i="21"/>
  <c r="G78" i="21" s="1"/>
  <c r="F79" i="21"/>
  <c r="F78" i="21" s="1"/>
  <c r="E79" i="21"/>
  <c r="E78" i="21" s="1"/>
  <c r="D79" i="21"/>
  <c r="D78" i="21" s="1"/>
  <c r="C79" i="21"/>
  <c r="C78" i="21" s="1"/>
  <c r="B79" i="21"/>
  <c r="AG77" i="21"/>
  <c r="B77" i="23" s="1"/>
  <c r="AG76" i="21"/>
  <c r="B76" i="23" s="1"/>
  <c r="AG75" i="21"/>
  <c r="B75" i="23" s="1"/>
  <c r="AG74" i="21"/>
  <c r="B74" i="23" s="1"/>
  <c r="AG73" i="21"/>
  <c r="B73" i="23" s="1"/>
  <c r="AG72" i="21"/>
  <c r="B72" i="23" s="1"/>
  <c r="AG71" i="21"/>
  <c r="B71" i="23" s="1"/>
  <c r="AG70" i="21"/>
  <c r="B70" i="23" s="1"/>
  <c r="AG69" i="21"/>
  <c r="B69" i="23" s="1"/>
  <c r="AG68" i="21"/>
  <c r="B68" i="23" s="1"/>
  <c r="AG67" i="21"/>
  <c r="B67" i="23" s="1"/>
  <c r="AG66" i="21"/>
  <c r="B66" i="23" s="1"/>
  <c r="AG65" i="21"/>
  <c r="B65" i="23" s="1"/>
  <c r="AG64" i="21"/>
  <c r="B64" i="23" s="1"/>
  <c r="AG63" i="21"/>
  <c r="B63" i="23" s="1"/>
  <c r="AG62" i="21"/>
  <c r="B62" i="23" s="1"/>
  <c r="AG61" i="21"/>
  <c r="B61" i="23" s="1"/>
  <c r="AG60" i="21"/>
  <c r="B60" i="23" s="1"/>
  <c r="AG59" i="21"/>
  <c r="B59" i="23" s="1"/>
  <c r="AG58" i="21"/>
  <c r="B58" i="23" s="1"/>
  <c r="AG57" i="21"/>
  <c r="B57" i="23" s="1"/>
  <c r="AG56" i="21"/>
  <c r="B56" i="23" s="1"/>
  <c r="AG55" i="21"/>
  <c r="B55" i="23" s="1"/>
  <c r="AG54" i="21"/>
  <c r="B54" i="23" s="1"/>
  <c r="AF53" i="21"/>
  <c r="AF134" i="21" s="1"/>
  <c r="AE53" i="21"/>
  <c r="AE134" i="21" s="1"/>
  <c r="AD53" i="21"/>
  <c r="AD134" i="21" s="1"/>
  <c r="AC53" i="21"/>
  <c r="AC134" i="21" s="1"/>
  <c r="AB53" i="21"/>
  <c r="AB134" i="21" s="1"/>
  <c r="AA53" i="21"/>
  <c r="AA134" i="21" s="1"/>
  <c r="Z53" i="21"/>
  <c r="Z134" i="21" s="1"/>
  <c r="Y53" i="21"/>
  <c r="Y134" i="21" s="1"/>
  <c r="X53" i="21"/>
  <c r="X134" i="21" s="1"/>
  <c r="W53" i="21"/>
  <c r="W134" i="21" s="1"/>
  <c r="V53" i="21"/>
  <c r="V134" i="21" s="1"/>
  <c r="U53" i="21"/>
  <c r="U134" i="21" s="1"/>
  <c r="T53" i="21"/>
  <c r="T134" i="21" s="1"/>
  <c r="S53" i="21"/>
  <c r="S134" i="21" s="1"/>
  <c r="R53" i="21"/>
  <c r="R134" i="21" s="1"/>
  <c r="Q53" i="21"/>
  <c r="Q134" i="21" s="1"/>
  <c r="P53" i="21"/>
  <c r="P134" i="21" s="1"/>
  <c r="O53" i="21"/>
  <c r="O134" i="21" s="1"/>
  <c r="N53" i="21"/>
  <c r="N134" i="21" s="1"/>
  <c r="M53" i="21"/>
  <c r="M134" i="21" s="1"/>
  <c r="L53" i="21"/>
  <c r="L134" i="21" s="1"/>
  <c r="K53" i="21"/>
  <c r="K134" i="21" s="1"/>
  <c r="J53" i="21"/>
  <c r="J134" i="21" s="1"/>
  <c r="I53" i="21"/>
  <c r="I134" i="21" s="1"/>
  <c r="H53" i="21"/>
  <c r="H134" i="21" s="1"/>
  <c r="G53" i="21"/>
  <c r="G134" i="21" s="1"/>
  <c r="F53" i="21"/>
  <c r="F134" i="21" s="1"/>
  <c r="E53" i="21"/>
  <c r="E134" i="21" s="1"/>
  <c r="D53" i="21"/>
  <c r="D134" i="21" s="1"/>
  <c r="C53" i="21"/>
  <c r="C134" i="21" s="1"/>
  <c r="B53" i="21"/>
  <c r="B134" i="21" s="1"/>
  <c r="AG52" i="21"/>
  <c r="B52" i="23" s="1"/>
  <c r="AG51" i="21"/>
  <c r="B51" i="23" s="1"/>
  <c r="AG50" i="21"/>
  <c r="B50" i="23" s="1"/>
  <c r="AG49" i="21"/>
  <c r="B49" i="23" s="1"/>
  <c r="AG48" i="21"/>
  <c r="B48" i="23" s="1"/>
  <c r="AG47" i="21"/>
  <c r="B47" i="23" s="1"/>
  <c r="AG46" i="21"/>
  <c r="B46" i="23" s="1"/>
  <c r="AG45" i="21"/>
  <c r="B45" i="23" s="1"/>
  <c r="AG44" i="21"/>
  <c r="B44" i="23" s="1"/>
  <c r="AG43" i="21"/>
  <c r="B43" i="23" s="1"/>
  <c r="AG42" i="21"/>
  <c r="B42" i="23" s="1"/>
  <c r="AG41" i="21"/>
  <c r="B41" i="23" s="1"/>
  <c r="AG40" i="21"/>
  <c r="B40" i="23" s="1"/>
  <c r="AG39" i="21"/>
  <c r="B39" i="23" s="1"/>
  <c r="AG38" i="21"/>
  <c r="B38" i="23" s="1"/>
  <c r="AG37" i="21"/>
  <c r="B37" i="23" s="1"/>
  <c r="AG36" i="21"/>
  <c r="B36" i="23" s="1"/>
  <c r="AG35" i="21"/>
  <c r="B35" i="23" s="1"/>
  <c r="AG34" i="21"/>
  <c r="B34" i="23" s="1"/>
  <c r="AG33" i="21"/>
  <c r="B33" i="23" s="1"/>
  <c r="AG32" i="21"/>
  <c r="B32" i="23" s="1"/>
  <c r="AG31" i="21"/>
  <c r="B31" i="23" s="1"/>
  <c r="AG30" i="21"/>
  <c r="B30" i="23" s="1"/>
  <c r="AG29" i="21"/>
  <c r="B29" i="23" s="1"/>
  <c r="AF28" i="21"/>
  <c r="AF133" i="21" s="1"/>
  <c r="AE28" i="21"/>
  <c r="AE133" i="21" s="1"/>
  <c r="AD28" i="21"/>
  <c r="AD133" i="21" s="1"/>
  <c r="AC28" i="21"/>
  <c r="AC133" i="21" s="1"/>
  <c r="AB28" i="21"/>
  <c r="AB133" i="21" s="1"/>
  <c r="AA28" i="21"/>
  <c r="AA133" i="21" s="1"/>
  <c r="Z28" i="21"/>
  <c r="Z133" i="21" s="1"/>
  <c r="Y28" i="21"/>
  <c r="Y133" i="21" s="1"/>
  <c r="X28" i="21"/>
  <c r="X133" i="21" s="1"/>
  <c r="W28" i="21"/>
  <c r="W133" i="21" s="1"/>
  <c r="V28" i="21"/>
  <c r="V133" i="21" s="1"/>
  <c r="U28" i="21"/>
  <c r="U133" i="21" s="1"/>
  <c r="T28" i="21"/>
  <c r="T133" i="21" s="1"/>
  <c r="S28" i="21"/>
  <c r="S133" i="21" s="1"/>
  <c r="R28" i="21"/>
  <c r="R133" i="21" s="1"/>
  <c r="Q28" i="21"/>
  <c r="Q133" i="21" s="1"/>
  <c r="P28" i="21"/>
  <c r="P133" i="21" s="1"/>
  <c r="O28" i="21"/>
  <c r="O133" i="21" s="1"/>
  <c r="N28" i="21"/>
  <c r="N133" i="21" s="1"/>
  <c r="M28" i="21"/>
  <c r="M133" i="21" s="1"/>
  <c r="L28" i="21"/>
  <c r="L133" i="21" s="1"/>
  <c r="K28" i="21"/>
  <c r="K133" i="21" s="1"/>
  <c r="J28" i="21"/>
  <c r="J133" i="21" s="1"/>
  <c r="I28" i="21"/>
  <c r="I133" i="21" s="1"/>
  <c r="H28" i="21"/>
  <c r="H133" i="21" s="1"/>
  <c r="G28" i="21"/>
  <c r="G133" i="21" s="1"/>
  <c r="F28" i="21"/>
  <c r="F133" i="21" s="1"/>
  <c r="E28" i="21"/>
  <c r="E133" i="21" s="1"/>
  <c r="D28" i="21"/>
  <c r="D133" i="21" s="1"/>
  <c r="C28" i="21"/>
  <c r="C133" i="21" s="1"/>
  <c r="B28" i="21"/>
  <c r="B133" i="21" s="1"/>
  <c r="AG27" i="21"/>
  <c r="B27" i="23" s="1"/>
  <c r="AG26" i="21"/>
  <c r="B26" i="23" s="1"/>
  <c r="AG25" i="21"/>
  <c r="B25" i="23" s="1"/>
  <c r="AG24" i="21"/>
  <c r="B24" i="23" s="1"/>
  <c r="AG23" i="21"/>
  <c r="B23" i="23" s="1"/>
  <c r="AG22" i="21"/>
  <c r="B22" i="23" s="1"/>
  <c r="AG21" i="21"/>
  <c r="B21" i="23" s="1"/>
  <c r="AG20" i="21"/>
  <c r="B20" i="23" s="1"/>
  <c r="AG19" i="21"/>
  <c r="B19" i="23" s="1"/>
  <c r="AG18" i="21"/>
  <c r="B18" i="23" s="1"/>
  <c r="AG17" i="21"/>
  <c r="B17" i="23" s="1"/>
  <c r="AG16" i="21"/>
  <c r="B16" i="23" s="1"/>
  <c r="AG15" i="21"/>
  <c r="B15" i="23" s="1"/>
  <c r="AG14" i="21"/>
  <c r="B14" i="23" s="1"/>
  <c r="AG13" i="21"/>
  <c r="B13" i="23" s="1"/>
  <c r="AG12" i="21"/>
  <c r="B12" i="23" s="1"/>
  <c r="AG11" i="21"/>
  <c r="B11" i="23" s="1"/>
  <c r="AG10" i="21"/>
  <c r="B10" i="23" s="1"/>
  <c r="AG9" i="21"/>
  <c r="B9" i="23" s="1"/>
  <c r="AG8" i="21"/>
  <c r="B8" i="23" s="1"/>
  <c r="AG7" i="21"/>
  <c r="B7" i="23" s="1"/>
  <c r="AG6" i="21"/>
  <c r="B6" i="23" s="1"/>
  <c r="AG5" i="21"/>
  <c r="B5" i="23" s="1"/>
  <c r="AG4" i="21"/>
  <c r="B4" i="23" s="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G3" i="21"/>
  <c r="F3" i="21"/>
  <c r="E3" i="21"/>
  <c r="D3" i="21"/>
  <c r="C3" i="21"/>
  <c r="B3" i="21"/>
  <c r="C2" i="21"/>
  <c r="D2" i="21" s="1"/>
  <c r="E2" i="21" s="1"/>
  <c r="F2" i="21" s="1"/>
  <c r="G2" i="21" s="1"/>
  <c r="H2" i="21" s="1"/>
  <c r="I2" i="21" s="1"/>
  <c r="J2" i="21" s="1"/>
  <c r="K2" i="21" s="1"/>
  <c r="L2" i="21" s="1"/>
  <c r="M2" i="21" s="1"/>
  <c r="N2" i="21" s="1"/>
  <c r="O2" i="21" s="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C93" i="21" l="1"/>
  <c r="S93" i="21"/>
  <c r="AA93" i="21"/>
  <c r="D93" i="22"/>
  <c r="L93" i="22"/>
  <c r="N9" i="23"/>
  <c r="N17" i="23"/>
  <c r="N25" i="23"/>
  <c r="N35" i="23"/>
  <c r="N43" i="23"/>
  <c r="N51" i="23"/>
  <c r="N61" i="23"/>
  <c r="N69" i="23"/>
  <c r="N77" i="23"/>
  <c r="N86" i="23"/>
  <c r="N88" i="23"/>
  <c r="Q93" i="22"/>
  <c r="N169" i="23"/>
  <c r="F93" i="22"/>
  <c r="V93" i="21"/>
  <c r="G93" i="22"/>
  <c r="O93" i="22"/>
  <c r="AE93" i="22"/>
  <c r="AH84" i="24"/>
  <c r="N101" i="23"/>
  <c r="N11" i="23"/>
  <c r="N19" i="23"/>
  <c r="N27" i="23"/>
  <c r="N29" i="23"/>
  <c r="N37" i="23"/>
  <c r="N45" i="23"/>
  <c r="N55" i="23"/>
  <c r="N63" i="23"/>
  <c r="N71" i="23"/>
  <c r="N90" i="23"/>
  <c r="N4" i="23"/>
  <c r="N12" i="23"/>
  <c r="N20" i="23"/>
  <c r="N30" i="23"/>
  <c r="N38" i="23"/>
  <c r="N46" i="23"/>
  <c r="N56" i="23"/>
  <c r="N64" i="23"/>
  <c r="N72" i="23"/>
  <c r="N91" i="23"/>
  <c r="N103" i="23"/>
  <c r="N111" i="23"/>
  <c r="N123" i="23"/>
  <c r="N131" i="23"/>
  <c r="N147" i="23"/>
  <c r="N163" i="23"/>
  <c r="N173" i="23"/>
  <c r="N98" i="23"/>
  <c r="N128" i="23"/>
  <c r="N99" i="23"/>
  <c r="N121" i="23"/>
  <c r="N153" i="23"/>
  <c r="H93" i="21"/>
  <c r="P93" i="21"/>
  <c r="AF93" i="21"/>
  <c r="N5" i="23"/>
  <c r="N13" i="23"/>
  <c r="N21" i="23"/>
  <c r="N31" i="23"/>
  <c r="N39" i="23"/>
  <c r="N47" i="23"/>
  <c r="N57" i="23"/>
  <c r="N65" i="23"/>
  <c r="N73" i="23"/>
  <c r="N92" i="23"/>
  <c r="H93" i="22"/>
  <c r="P93" i="22"/>
  <c r="AF93" i="22"/>
  <c r="N104" i="23"/>
  <c r="N112" i="23"/>
  <c r="N124" i="23"/>
  <c r="N132" i="23"/>
  <c r="N136" i="23"/>
  <c r="N148" i="23"/>
  <c r="N174" i="23"/>
  <c r="N108" i="23"/>
  <c r="N120" i="23"/>
  <c r="N129" i="23"/>
  <c r="N145" i="23"/>
  <c r="N95" i="23"/>
  <c r="N105" i="23"/>
  <c r="N113" i="23"/>
  <c r="N125" i="23"/>
  <c r="N137" i="23"/>
  <c r="N149" i="23"/>
  <c r="N165" i="23"/>
  <c r="N175" i="23"/>
  <c r="N168" i="23"/>
  <c r="N7" i="23"/>
  <c r="N15" i="23"/>
  <c r="N23" i="23"/>
  <c r="N33" i="23"/>
  <c r="N41" i="23"/>
  <c r="N49" i="23"/>
  <c r="N59" i="23"/>
  <c r="N67" i="23"/>
  <c r="N75" i="23"/>
  <c r="V93" i="22"/>
  <c r="N118" i="23"/>
  <c r="N109" i="23"/>
  <c r="N8" i="23"/>
  <c r="N16" i="23"/>
  <c r="N24" i="23"/>
  <c r="N34" i="23"/>
  <c r="N42" i="23"/>
  <c r="N50" i="23"/>
  <c r="N60" i="23"/>
  <c r="N68" i="23"/>
  <c r="N76" i="23"/>
  <c r="N85" i="23"/>
  <c r="N97" i="23"/>
  <c r="N107" i="23"/>
  <c r="N117" i="23"/>
  <c r="N127" i="23"/>
  <c r="N141" i="23"/>
  <c r="N167" i="23"/>
  <c r="AH93" i="24"/>
  <c r="AH81" i="24"/>
  <c r="AH171" i="24"/>
  <c r="AH119" i="24"/>
  <c r="AH133" i="24"/>
  <c r="AD93" i="22"/>
  <c r="AB93" i="22"/>
  <c r="AA93" i="22"/>
  <c r="Z93" i="22"/>
  <c r="Y93" i="22"/>
  <c r="X93" i="22"/>
  <c r="T93" i="22"/>
  <c r="W93" i="22"/>
  <c r="N115" i="23"/>
  <c r="N151" i="23"/>
  <c r="N155" i="23"/>
  <c r="N159" i="23"/>
  <c r="N177" i="23"/>
  <c r="N142" i="23"/>
  <c r="N152" i="23"/>
  <c r="N156" i="23"/>
  <c r="N160" i="23"/>
  <c r="N164" i="23"/>
  <c r="N178" i="23"/>
  <c r="N80" i="23"/>
  <c r="N143" i="23"/>
  <c r="N157" i="23"/>
  <c r="N161" i="23"/>
  <c r="N179" i="23"/>
  <c r="N6" i="23"/>
  <c r="N10" i="23"/>
  <c r="N14" i="23"/>
  <c r="N18" i="23"/>
  <c r="N22" i="23"/>
  <c r="N26" i="23"/>
  <c r="N32" i="23"/>
  <c r="N36" i="23"/>
  <c r="N40" i="23"/>
  <c r="N44" i="23"/>
  <c r="N48" i="23"/>
  <c r="N52" i="23"/>
  <c r="N54" i="23"/>
  <c r="N58" i="23"/>
  <c r="N62" i="23"/>
  <c r="N66" i="23"/>
  <c r="N70" i="23"/>
  <c r="N74" i="23"/>
  <c r="N89" i="23"/>
  <c r="N96" i="23"/>
  <c r="N102" i="23"/>
  <c r="N106" i="23"/>
  <c r="N110" i="23"/>
  <c r="N114" i="23"/>
  <c r="N122" i="23"/>
  <c r="N126" i="23"/>
  <c r="N130" i="23"/>
  <c r="N138" i="23"/>
  <c r="N140" i="23"/>
  <c r="N146" i="23"/>
  <c r="N154" i="23"/>
  <c r="N158" i="23"/>
  <c r="N162" i="23"/>
  <c r="N172" i="23"/>
  <c r="N176" i="23"/>
  <c r="S93" i="22"/>
  <c r="N93" i="22"/>
  <c r="K93" i="22"/>
  <c r="J93" i="22"/>
  <c r="I93" i="22"/>
  <c r="AG139" i="22"/>
  <c r="C139" i="23" s="1"/>
  <c r="AG87" i="22"/>
  <c r="C87" i="23" s="1"/>
  <c r="AG116" i="22"/>
  <c r="C116" i="23" s="1"/>
  <c r="AG171" i="22"/>
  <c r="C171" i="23" s="1"/>
  <c r="AG79" i="22"/>
  <c r="C79" i="23" s="1"/>
  <c r="B78" i="22"/>
  <c r="AG78" i="22" s="1"/>
  <c r="C78" i="23" s="1"/>
  <c r="X93" i="21"/>
  <c r="AG3" i="22"/>
  <c r="C3" i="23" s="1"/>
  <c r="L81" i="22"/>
  <c r="AG84" i="22"/>
  <c r="C84" i="23" s="1"/>
  <c r="E93" i="22"/>
  <c r="M93" i="22"/>
  <c r="U93" i="22"/>
  <c r="AC93" i="22"/>
  <c r="AG119" i="22"/>
  <c r="C119" i="23" s="1"/>
  <c r="AG135" i="22"/>
  <c r="C135" i="23" s="1"/>
  <c r="K93" i="21"/>
  <c r="W93" i="21"/>
  <c r="AG94" i="22"/>
  <c r="C94" i="23" s="1"/>
  <c r="AG100" i="22"/>
  <c r="C100" i="23" s="1"/>
  <c r="AG144" i="22"/>
  <c r="C144" i="23" s="1"/>
  <c r="B81" i="22"/>
  <c r="AG134" i="22"/>
  <c r="C134" i="23" s="1"/>
  <c r="AG133" i="22"/>
  <c r="C133" i="23" s="1"/>
  <c r="D83" i="22"/>
  <c r="D81" i="22" s="1"/>
  <c r="AB83" i="22"/>
  <c r="AB81" i="22" s="1"/>
  <c r="T83" i="22"/>
  <c r="AG28" i="22"/>
  <c r="C28" i="23" s="1"/>
  <c r="AG53" i="22"/>
  <c r="C53" i="23" s="1"/>
  <c r="AG82" i="22"/>
  <c r="C82" i="23" s="1"/>
  <c r="B93" i="22"/>
  <c r="AE93" i="21"/>
  <c r="AD93" i="21"/>
  <c r="AC93" i="21"/>
  <c r="Y93" i="21"/>
  <c r="V83" i="21"/>
  <c r="V81" i="21" s="1"/>
  <c r="T93" i="21"/>
  <c r="R93" i="21"/>
  <c r="Q93" i="21"/>
  <c r="O93" i="21"/>
  <c r="N93" i="21"/>
  <c r="M93" i="21"/>
  <c r="J93" i="21"/>
  <c r="I93" i="21"/>
  <c r="G93" i="21"/>
  <c r="AG84" i="21"/>
  <c r="B84" i="23" s="1"/>
  <c r="AG116" i="21"/>
  <c r="B116" i="23" s="1"/>
  <c r="F93" i="21"/>
  <c r="E93" i="21"/>
  <c r="AG144" i="21"/>
  <c r="B144" i="23" s="1"/>
  <c r="AG171" i="21"/>
  <c r="B171" i="23" s="1"/>
  <c r="AG139" i="21"/>
  <c r="B139" i="23" s="1"/>
  <c r="AG119" i="21"/>
  <c r="B119" i="23" s="1"/>
  <c r="AG94" i="21"/>
  <c r="B94" i="23" s="1"/>
  <c r="AG79" i="21"/>
  <c r="B79" i="23" s="1"/>
  <c r="AG3" i="21"/>
  <c r="B3" i="23" s="1"/>
  <c r="AG87" i="21"/>
  <c r="B87" i="23" s="1"/>
  <c r="AG135" i="21"/>
  <c r="B135" i="23" s="1"/>
  <c r="AG100" i="21"/>
  <c r="B100" i="23" s="1"/>
  <c r="B78" i="21"/>
  <c r="AG78" i="21" s="1"/>
  <c r="B78" i="23" s="1"/>
  <c r="AG134" i="21"/>
  <c r="B134" i="23" s="1"/>
  <c r="AG133" i="21"/>
  <c r="B133" i="23" s="1"/>
  <c r="B81" i="21"/>
  <c r="D83" i="21"/>
  <c r="D81" i="21" s="1"/>
  <c r="L83" i="21"/>
  <c r="L81" i="21" s="1"/>
  <c r="T83" i="21"/>
  <c r="T81" i="21" s="1"/>
  <c r="AB83" i="21"/>
  <c r="AB81" i="21" s="1"/>
  <c r="F81" i="21"/>
  <c r="N81" i="21"/>
  <c r="AD81" i="21"/>
  <c r="AG28" i="21"/>
  <c r="B28" i="23" s="1"/>
  <c r="AG53" i="21"/>
  <c r="B53" i="23" s="1"/>
  <c r="H81" i="21"/>
  <c r="P81" i="21"/>
  <c r="X81" i="21"/>
  <c r="AF81" i="21"/>
  <c r="AG82" i="21"/>
  <c r="B82" i="23" s="1"/>
  <c r="B93" i="21"/>
  <c r="N134" i="23" l="1"/>
  <c r="N119" i="23"/>
  <c r="N94" i="23"/>
  <c r="N133" i="23"/>
  <c r="N135" i="23"/>
  <c r="N28" i="23"/>
  <c r="N100" i="23"/>
  <c r="N171" i="23"/>
  <c r="N3" i="23"/>
  <c r="N116" i="23"/>
  <c r="N82" i="23"/>
  <c r="N84" i="23"/>
  <c r="N78" i="23"/>
  <c r="N87" i="23"/>
  <c r="N53" i="23"/>
  <c r="N144" i="23"/>
  <c r="N79" i="23"/>
  <c r="N139" i="23"/>
  <c r="AH87" i="22"/>
  <c r="AG93" i="22"/>
  <c r="AG83" i="22"/>
  <c r="T81" i="22"/>
  <c r="AG81" i="22" s="1"/>
  <c r="AH87" i="21"/>
  <c r="AG93" i="21"/>
  <c r="AG83" i="21"/>
  <c r="AG81" i="21"/>
  <c r="O87" i="23" l="1"/>
  <c r="AH81" i="21"/>
  <c r="B81" i="23"/>
  <c r="AH84" i="21"/>
  <c r="B83" i="23"/>
  <c r="AH119" i="21"/>
  <c r="B93" i="23"/>
  <c r="AH171" i="22"/>
  <c r="C93" i="23"/>
  <c r="AH81" i="22"/>
  <c r="C81" i="23"/>
  <c r="N81" i="23" s="1"/>
  <c r="O81" i="23" s="1"/>
  <c r="AH84" i="22"/>
  <c r="C83" i="23"/>
  <c r="AH119" i="22"/>
  <c r="AH93" i="22"/>
  <c r="AH133" i="22"/>
  <c r="AH171" i="21"/>
  <c r="AH93" i="21"/>
  <c r="AH133" i="21"/>
  <c r="N83" i="23" l="1"/>
  <c r="O84" i="23" s="1"/>
  <c r="N93" i="23"/>
  <c r="O171" i="23" s="1"/>
  <c r="O133" i="23" l="1"/>
  <c r="O119" i="23"/>
  <c r="O93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2" authorId="0" shapeId="0" xr:uid="{EC682287-B195-49CB-B506-D8DE09C05BAE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2" authorId="0" shapeId="0" xr:uid="{0D3E80EE-C205-45E5-A292-6A060912F713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Villalobos R. (CVP)</author>
  </authors>
  <commentList>
    <comment ref="A2" authorId="0" shapeId="0" xr:uid="{A7A101E5-37FD-431F-B2BA-AA407FB53164}">
      <text>
        <r>
          <rPr>
            <b/>
            <sz val="14"/>
            <color indexed="81"/>
            <rFont val="Tahoma"/>
            <family val="2"/>
          </rPr>
          <t>Ctrl + Shift + M</t>
        </r>
      </text>
    </comment>
  </commentList>
</comments>
</file>

<file path=xl/sharedStrings.xml><?xml version="1.0" encoding="utf-8"?>
<sst xmlns="http://schemas.openxmlformats.org/spreadsheetml/2006/main" count="3134" uniqueCount="179">
  <si>
    <t>MES</t>
  </si>
  <si>
    <t>TOTAL</t>
  </si>
  <si>
    <t>Total de Inscritos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</si>
  <si>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</si>
  <si>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</si>
  <si>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</si>
  <si>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</si>
  <si>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</si>
  <si>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</si>
  <si>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</si>
  <si>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</si>
  <si>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</si>
  <si>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</si>
  <si>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</si>
  <si>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</si>
  <si>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</si>
  <si>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</si>
  <si>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</si>
  <si>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</si>
  <si>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</si>
  <si>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</si>
  <si>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</si>
  <si>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</si>
  <si>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</si>
  <si>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</si>
  <si>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</si>
  <si>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</si>
  <si>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Total de atendidos</t>
  </si>
  <si>
    <t>Total de NSP</t>
  </si>
  <si>
    <t>TOTAL PACIENTES INSCRITOS</t>
  </si>
  <si>
    <t>SAR</t>
  </si>
  <si>
    <t>PAR</t>
  </si>
  <si>
    <t>TOTAL NSP</t>
  </si>
  <si>
    <t>NSP PEDIATR. / ADULTOS</t>
  </si>
  <si>
    <t>NSP PEDIATRICOS (&lt;15 AÑOS)</t>
  </si>
  <si>
    <t>NSP ADULTOS</t>
  </si>
  <si>
    <t>NSP CATEGORIZACION</t>
  </si>
  <si>
    <t>SIN CATEGORIZACIÓN nsp</t>
  </si>
  <si>
    <t>C2</t>
  </si>
  <si>
    <t>C3</t>
  </si>
  <si>
    <t>C4</t>
  </si>
  <si>
    <t>C5</t>
  </si>
  <si>
    <t>TOTAL PACIENTES ATENDIDOS</t>
  </si>
  <si>
    <t>Menor 15 años</t>
  </si>
  <si>
    <t>Menor 1 Año</t>
  </si>
  <si>
    <t>1 Año</t>
  </si>
  <si>
    <t xml:space="preserve"> 2 - 4</t>
  </si>
  <si>
    <t>5 - 9</t>
  </si>
  <si>
    <t>10 - 14</t>
  </si>
  <si>
    <t>Mayor de 15 años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</si>
  <si>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</si>
  <si>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</si>
  <si>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</si>
  <si>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</si>
  <si>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</si>
  <si>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</si>
  <si>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</si>
  <si>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</si>
  <si>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</si>
  <si>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</si>
  <si>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</si>
  <si>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</si>
  <si>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</si>
  <si>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</si>
  <si>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CENTRO DE SALUD INSCRITO</t>
  </si>
  <si>
    <t>Violeta Parra</t>
  </si>
  <si>
    <t>Ultraestación</t>
  </si>
  <si>
    <t>Los Volcanes</t>
  </si>
  <si>
    <t>Isabel Riquelme</t>
  </si>
  <si>
    <t>Sol de Oriente</t>
  </si>
  <si>
    <t>San Ramón Nonato</t>
  </si>
  <si>
    <t>Federico Puga</t>
  </si>
  <si>
    <t>Michelle Bachelet</t>
  </si>
  <si>
    <t>Coihueco</t>
  </si>
  <si>
    <t>Pinto</t>
  </si>
  <si>
    <t>Portezuelo</t>
  </si>
  <si>
    <t>Otros</t>
  </si>
  <si>
    <t>Sin Centro de Salud</t>
  </si>
  <si>
    <t>CENTRO DE SALUD ATENDIDO</t>
  </si>
  <si>
    <t>TOTAL ATENDIDOS</t>
  </si>
  <si>
    <t>Traidos por SAMU a SAR</t>
  </si>
  <si>
    <t>MEDIO DE LLEGADA</t>
  </si>
  <si>
    <t>SAMU 1</t>
  </si>
  <si>
    <t>SAMU 2</t>
  </si>
  <si>
    <t>SAMU 3</t>
  </si>
  <si>
    <t>Derivado de SAR  a UEH</t>
  </si>
  <si>
    <t>DESTINO</t>
  </si>
  <si>
    <t>PEDIATRICOS</t>
  </si>
  <si>
    <t>ADULTOS</t>
  </si>
  <si>
    <t>ACTIVID. KINE. RAYEN (DIURNO)</t>
  </si>
  <si>
    <t>ACTIVID. KINE. SAR</t>
  </si>
  <si>
    <t>TOTAL MOTIVO CONSULTA</t>
  </si>
  <si>
    <t>Constatacion de lesiones</t>
  </si>
  <si>
    <t>Accidente de Transito</t>
  </si>
  <si>
    <t>Accidente Otro Tipo</t>
  </si>
  <si>
    <t>ACC. DE TRANSITO Y LABORAL</t>
  </si>
  <si>
    <t>RESPIRATORIO</t>
  </si>
  <si>
    <t>Accidente Bicicleta</t>
  </si>
  <si>
    <t>Accidente trabajo Obrero</t>
  </si>
  <si>
    <t>Accidente Trabajo Funcionario</t>
  </si>
  <si>
    <t>Accidentes en el Hogar</t>
  </si>
  <si>
    <t>Accidentes Escolares</t>
  </si>
  <si>
    <t>Accidente por Agresion</t>
  </si>
  <si>
    <t>Accidente por Asalto</t>
  </si>
  <si>
    <t>Accidente por caida de Animal</t>
  </si>
  <si>
    <t>Alcoholemias</t>
  </si>
  <si>
    <t>Agresor Sexual</t>
  </si>
  <si>
    <t>Autoagresion</t>
  </si>
  <si>
    <t>Derivado al Servicio Medico Legal</t>
  </si>
  <si>
    <t>VIF</t>
  </si>
  <si>
    <t>INTOXICACION POR ALCOHOL</t>
  </si>
  <si>
    <t>Intoxicación por Medicamentos</t>
  </si>
  <si>
    <t>Intoxicación por Alimentos</t>
  </si>
  <si>
    <t>Intoxicación por Quimicos</t>
  </si>
  <si>
    <t>Mordedura de Gato</t>
  </si>
  <si>
    <t>Mordedura de Perro</t>
  </si>
  <si>
    <t>Mordedura de Araña</t>
  </si>
  <si>
    <t>Mordedura de  Raton</t>
  </si>
  <si>
    <t>TOTAL TRIAGE</t>
  </si>
  <si>
    <t>C1</t>
  </si>
  <si>
    <t>SALIDA DE AMBULANCIA</t>
  </si>
  <si>
    <t>SERVICIOS GENERALES</t>
  </si>
  <si>
    <t>HORARIO DIURNO (08:00 - 17:00)</t>
  </si>
  <si>
    <t>HORARIO SAR (17:00 - 07:59)</t>
  </si>
  <si>
    <t xml:space="preserve">OTRAS SALIDAS </t>
  </si>
  <si>
    <t>CESFAM COIHUECO</t>
  </si>
  <si>
    <t>CESFAM DR.FED. PUGA CH. VIEJO</t>
  </si>
  <si>
    <t>CESFAM LOS VOLCANES</t>
  </si>
  <si>
    <t>CESFAM MICHELLE BACHELET JERIA</t>
  </si>
  <si>
    <t>CESFAM QUINCHAMALI</t>
  </si>
  <si>
    <t>CESFAM SAN GREGORIO</t>
  </si>
  <si>
    <t>CESFAM SAN RAMON NONATO</t>
  </si>
  <si>
    <t>CESFAM SANTA CLARA BULNES</t>
  </si>
  <si>
    <t>CESFAM SOL DE ORIENTE</t>
  </si>
  <si>
    <t>CESFAM TERESA BALDECCHI</t>
  </si>
  <si>
    <t>CESFAM ULTRAESTACION</t>
  </si>
  <si>
    <t>CESFAM VIOLETA PARRA</t>
  </si>
  <si>
    <t>CONS. NO DEFINIDO</t>
  </si>
  <si>
    <t>CONS. RURAL PINTO</t>
  </si>
  <si>
    <t>CONS. RURAL PORTEZUELO</t>
  </si>
  <si>
    <t>CONS. RURAL QUILLON</t>
  </si>
  <si>
    <t>CONS. RURAL SAN FABIAN</t>
  </si>
  <si>
    <t>CONS. RURAL SAN IGNACIO</t>
  </si>
  <si>
    <t>CONS. RURAL SAN NICOLAS</t>
  </si>
  <si>
    <t>CONS. RURAL TREHUACO</t>
  </si>
  <si>
    <t>CONS. SAN RAFAEL (LA PINTANA)</t>
  </si>
  <si>
    <t>CONSULTORIO CAMPANARIO</t>
  </si>
  <si>
    <t>CONSULTORIO DE NIPAS</t>
  </si>
  <si>
    <t>CONSULTORIO DURAN TRUJILLO</t>
  </si>
  <si>
    <t>CONSULTORIO PEMUCO</t>
  </si>
  <si>
    <t>CONSULTORIO RURAL PUEBLO SECO</t>
  </si>
  <si>
    <t>CONSULTORIO RURAL QUIRIQUINA</t>
  </si>
  <si>
    <t>DESAMU COELEMU</t>
  </si>
  <si>
    <t>DESAMU EL CARMEN</t>
  </si>
  <si>
    <t>HOSPITAL COMUNITARIO BULNES</t>
  </si>
  <si>
    <t>HOSPITAL COMUNITARIO COELEMU</t>
  </si>
  <si>
    <t>HOSPITAL COMUNITARIO DE YUNGAY</t>
  </si>
  <si>
    <t>HOSPITAL COMUNITARIO EL CARMEN</t>
  </si>
  <si>
    <t>HOSPITAL COMUNITARIO QUIRIHUE</t>
  </si>
  <si>
    <t>HOSPITAL SAN CARLOS</t>
  </si>
  <si>
    <t>ISABEL RIQUELME</t>
  </si>
  <si>
    <t>SI CONSULTORIO</t>
  </si>
  <si>
    <t>SIN CONSULTORIO ASOCIADO</t>
  </si>
  <si>
    <t>UAPO COELEMU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</si>
  <si>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</si>
  <si>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</si>
  <si>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</si>
  <si>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</si>
  <si>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</si>
  <si>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</si>
  <si>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</si>
  <si>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</si>
  <si>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</si>
  <si>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</si>
  <si>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</si>
  <si>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</si>
  <si>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ENCARGADO SAR</t>
  </si>
  <si>
    <t>ENCARGADOS SAR</t>
  </si>
  <si>
    <t>CONSOLIDADO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</si>
</sst>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</font>
    <font>
      <sz val="11"/>
      <name val="Calibri"/>
      <family val="2"/>
    </font>
    <font>
      <sz val="22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</font>
    <font>
      <sz val="11"/>
      <color theme="1"/>
      <name val="Calibri"/>
      <family val="2"/>
    </font>
    <font>
      <sz val="14"/>
      <color rgb="FF000000"/>
      <name val="Calibri"/>
      <family val="2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</font>
    <font>
      <b/>
      <sz val="14"/>
      <color indexed="81"/>
      <name val="Tahoma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E598"/>
        <bgColor rgb="FFFFE598"/>
      </patternFill>
    </fill>
    <fill>
      <patternFill patternType="solid">
        <fgColor theme="0"/>
        <bgColor theme="0"/>
      </patternFill>
    </fill>
    <fill>
      <patternFill patternType="solid">
        <fgColor rgb="FF00B0F0"/>
        <bgColor rgb="FF00B0F0"/>
      </patternFill>
    </fill>
    <fill>
      <patternFill patternType="solid">
        <fgColor rgb="FF9CC2E5"/>
        <bgColor rgb="FF9CC2E5"/>
      </patternFill>
    </fill>
    <fill>
      <patternFill patternType="solid">
        <fgColor rgb="FF2E75B5"/>
        <bgColor rgb="FF2E75B5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0000"/>
        <bgColor rgb="FFFF0000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8496B0"/>
        <bgColor rgb="FF8496B0"/>
      </patternFill>
    </fill>
    <fill>
      <patternFill patternType="solid">
        <fgColor rgb="FFF4B083"/>
        <bgColor rgb="FFF4B083"/>
      </patternFill>
    </fill>
    <fill>
      <patternFill patternType="solid">
        <fgColor rgb="FFC5E0B3"/>
        <bgColor rgb="FFC5E0B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1" fillId="0" borderId="28" applyNumberFormat="0" applyFill="0" applyAlignment="0" applyProtection="0"/>
    <xf numFmtId="0" fontId="12" fillId="0" borderId="29" applyNumberFormat="0" applyFill="0" applyAlignment="0" applyProtection="0"/>
    <xf numFmtId="0" fontId="13" fillId="0" borderId="30" applyNumberFormat="0" applyFill="0" applyAlignment="0" applyProtection="0"/>
    <xf numFmtId="0" fontId="16" fillId="19" borderId="31" applyNumberFormat="0" applyAlignment="0" applyProtection="0"/>
    <xf numFmtId="0" fontId="17" fillId="20" borderId="32" applyNumberFormat="0" applyAlignment="0" applyProtection="0"/>
    <xf numFmtId="0" fontId="18" fillId="20" borderId="31" applyNumberFormat="0" applyAlignment="0" applyProtection="0"/>
    <xf numFmtId="0" fontId="19" fillId="0" borderId="33" applyNumberFormat="0" applyFill="0" applyAlignment="0" applyProtection="0"/>
    <xf numFmtId="0" fontId="20" fillId="21" borderId="34" applyNumberFormat="0" applyAlignment="0" applyProtection="0"/>
    <xf numFmtId="0" fontId="23" fillId="0" borderId="36" applyNumberFormat="0" applyFill="0" applyAlignment="0" applyProtection="0"/>
    <xf numFmtId="0" fontId="1" fillId="0" borderId="19"/>
    <xf numFmtId="0" fontId="10" fillId="0" borderId="19" applyNumberFormat="0" applyFill="0" applyBorder="0" applyAlignment="0" applyProtection="0"/>
    <xf numFmtId="0" fontId="13" fillId="0" borderId="19" applyNumberFormat="0" applyFill="0" applyBorder="0" applyAlignment="0" applyProtection="0"/>
    <xf numFmtId="0" fontId="14" fillId="16" borderId="19" applyNumberFormat="0" applyBorder="0" applyAlignment="0" applyProtection="0"/>
    <xf numFmtId="0" fontId="15" fillId="17" borderId="19" applyNumberFormat="0" applyBorder="0" applyAlignment="0" applyProtection="0"/>
    <xf numFmtId="0" fontId="25" fillId="18" borderId="19" applyNumberFormat="0" applyBorder="0" applyAlignment="0" applyProtection="0"/>
    <xf numFmtId="0" fontId="21" fillId="0" borderId="19" applyNumberFormat="0" applyFill="0" applyBorder="0" applyAlignment="0" applyProtection="0"/>
    <xf numFmtId="0" fontId="1" fillId="22" borderId="35" applyNumberFormat="0" applyFont="0" applyAlignment="0" applyProtection="0"/>
    <xf numFmtId="0" fontId="22" fillId="0" borderId="19" applyNumberFormat="0" applyFill="0" applyBorder="0" applyAlignment="0" applyProtection="0"/>
    <xf numFmtId="0" fontId="24" fillId="23" borderId="19" applyNumberFormat="0" applyBorder="0" applyAlignment="0" applyProtection="0"/>
    <xf numFmtId="0" fontId="1" fillId="24" borderId="19" applyNumberFormat="0" applyBorder="0" applyAlignment="0" applyProtection="0"/>
    <xf numFmtId="0" fontId="1" fillId="25" borderId="19" applyNumberFormat="0" applyBorder="0" applyAlignment="0" applyProtection="0"/>
    <xf numFmtId="0" fontId="1" fillId="26" borderId="19" applyNumberFormat="0" applyBorder="0" applyAlignment="0" applyProtection="0"/>
    <xf numFmtId="0" fontId="24" fillId="27" borderId="19" applyNumberFormat="0" applyBorder="0" applyAlignment="0" applyProtection="0"/>
    <xf numFmtId="0" fontId="1" fillId="28" borderId="19" applyNumberFormat="0" applyBorder="0" applyAlignment="0" applyProtection="0"/>
    <xf numFmtId="0" fontId="1" fillId="29" borderId="19" applyNumberFormat="0" applyBorder="0" applyAlignment="0" applyProtection="0"/>
    <xf numFmtId="0" fontId="1" fillId="30" borderId="19" applyNumberFormat="0" applyBorder="0" applyAlignment="0" applyProtection="0"/>
    <xf numFmtId="0" fontId="24" fillId="31" borderId="19" applyNumberFormat="0" applyBorder="0" applyAlignment="0" applyProtection="0"/>
    <xf numFmtId="0" fontId="1" fillId="32" borderId="19" applyNumberFormat="0" applyBorder="0" applyAlignment="0" applyProtection="0"/>
    <xf numFmtId="0" fontId="1" fillId="33" borderId="19" applyNumberFormat="0" applyBorder="0" applyAlignment="0" applyProtection="0"/>
    <xf numFmtId="0" fontId="1" fillId="34" borderId="19" applyNumberFormat="0" applyBorder="0" applyAlignment="0" applyProtection="0"/>
    <xf numFmtId="0" fontId="24" fillId="35" borderId="19" applyNumberFormat="0" applyBorder="0" applyAlignment="0" applyProtection="0"/>
    <xf numFmtId="0" fontId="1" fillId="36" borderId="19" applyNumberFormat="0" applyBorder="0" applyAlignment="0" applyProtection="0"/>
    <xf numFmtId="0" fontId="1" fillId="37" borderId="19" applyNumberFormat="0" applyBorder="0" applyAlignment="0" applyProtection="0"/>
    <xf numFmtId="0" fontId="1" fillId="38" borderId="19" applyNumberFormat="0" applyBorder="0" applyAlignment="0" applyProtection="0"/>
    <xf numFmtId="0" fontId="24" fillId="39" borderId="19" applyNumberFormat="0" applyBorder="0" applyAlignment="0" applyProtection="0"/>
    <xf numFmtId="0" fontId="1" fillId="40" borderId="19" applyNumberFormat="0" applyBorder="0" applyAlignment="0" applyProtection="0"/>
    <xf numFmtId="0" fontId="1" fillId="41" borderId="19" applyNumberFormat="0" applyBorder="0" applyAlignment="0" applyProtection="0"/>
    <xf numFmtId="0" fontId="1" fillId="42" borderId="19" applyNumberFormat="0" applyBorder="0" applyAlignment="0" applyProtection="0"/>
    <xf numFmtId="0" fontId="24" fillId="43" borderId="19" applyNumberFormat="0" applyBorder="0" applyAlignment="0" applyProtection="0"/>
    <xf numFmtId="0" fontId="1" fillId="44" borderId="19" applyNumberFormat="0" applyBorder="0" applyAlignment="0" applyProtection="0"/>
    <xf numFmtId="0" fontId="1" fillId="45" borderId="19" applyNumberFormat="0" applyBorder="0" applyAlignment="0" applyProtection="0"/>
    <xf numFmtId="0" fontId="1" fillId="46" borderId="19" applyNumberFormat="0" applyBorder="0" applyAlignment="0" applyProtection="0"/>
  </cellStyleXfs>
  <cellXfs count="146">
    <xf numFmtId="0" fontId="0" fillId="0" borderId="0" xfId="0"/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6" borderId="16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7" borderId="6" xfId="0" applyFont="1" applyFill="1" applyBorder="1" applyAlignment="1">
      <alignment horizontal="center" vertical="center" wrapText="1"/>
    </xf>
    <xf numFmtId="0" fontId="7" fillId="4" borderId="19" xfId="0" applyFont="1" applyFill="1" applyBorder="1" applyAlignment="1">
      <alignment horizontal="center" vertical="center" wrapText="1"/>
    </xf>
    <xf numFmtId="0" fontId="7" fillId="9" borderId="6" xfId="0" applyFont="1" applyFill="1" applyBorder="1" applyAlignment="1">
      <alignment horizontal="center" vertical="center" wrapText="1"/>
    </xf>
    <xf numFmtId="0" fontId="7" fillId="9" borderId="5" xfId="0" applyFont="1" applyFill="1" applyBorder="1" applyAlignment="1">
      <alignment horizontal="center" vertical="center" wrapText="1"/>
    </xf>
    <xf numFmtId="0" fontId="7" fillId="9" borderId="7" xfId="0" applyFont="1" applyFill="1" applyBorder="1" applyAlignment="1">
      <alignment horizontal="center" vertical="center" wrapText="1"/>
    </xf>
    <xf numFmtId="0" fontId="7" fillId="9" borderId="15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7" borderId="10" xfId="0" applyFont="1" applyFill="1" applyBorder="1" applyAlignment="1">
      <alignment horizontal="center" vertical="center" wrapText="1"/>
    </xf>
    <xf numFmtId="0" fontId="7" fillId="2" borderId="2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 wrapText="1"/>
    </xf>
    <xf numFmtId="0" fontId="7" fillId="11" borderId="13" xfId="0" applyFont="1" applyFill="1" applyBorder="1" applyAlignment="1">
      <alignment horizontal="center" vertical="center" wrapText="1"/>
    </xf>
    <xf numFmtId="0" fontId="6" fillId="0" borderId="0" xfId="0" applyFont="1"/>
    <xf numFmtId="0" fontId="7" fillId="4" borderId="7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13" borderId="13" xfId="0" applyFont="1" applyFill="1" applyBorder="1" applyAlignment="1">
      <alignment horizontal="center" vertical="center" wrapText="1"/>
    </xf>
    <xf numFmtId="0" fontId="7" fillId="11" borderId="9" xfId="0" applyFont="1" applyFill="1" applyBorder="1" applyAlignment="1">
      <alignment horizontal="center" vertical="center" wrapText="1"/>
    </xf>
    <xf numFmtId="0" fontId="7" fillId="12" borderId="9" xfId="0" applyFont="1" applyFill="1" applyBorder="1" applyAlignment="1">
      <alignment horizontal="center" vertical="center" wrapText="1"/>
    </xf>
    <xf numFmtId="0" fontId="7" fillId="14" borderId="6" xfId="0" applyFont="1" applyFill="1" applyBorder="1" applyAlignment="1">
      <alignment horizontal="center" vertical="center" wrapText="1"/>
    </xf>
    <xf numFmtId="0" fontId="7" fillId="14" borderId="5" xfId="0" applyFont="1" applyFill="1" applyBorder="1" applyAlignment="1">
      <alignment horizontal="center" vertical="center" wrapText="1"/>
    </xf>
    <xf numFmtId="0" fontId="7" fillId="14" borderId="7" xfId="0" applyFont="1" applyFill="1" applyBorder="1" applyAlignment="1">
      <alignment horizontal="center" vertical="center" wrapText="1"/>
    </xf>
    <xf numFmtId="0" fontId="7" fillId="14" borderId="9" xfId="0" applyFont="1" applyFill="1" applyBorder="1" applyAlignment="1">
      <alignment horizontal="center" vertical="center" wrapText="1"/>
    </xf>
    <xf numFmtId="0" fontId="7" fillId="14" borderId="11" xfId="0" applyFont="1" applyFill="1" applyBorder="1" applyAlignment="1">
      <alignment horizontal="center" vertical="center" wrapText="1"/>
    </xf>
    <xf numFmtId="0" fontId="7" fillId="7" borderId="24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5" fillId="4" borderId="22" xfId="0" applyFont="1" applyFill="1" applyBorder="1" applyAlignment="1" applyProtection="1">
      <alignment horizontal="center" vertical="center" wrapText="1"/>
      <protection locked="0"/>
    </xf>
    <xf numFmtId="0" fontId="5" fillId="3" borderId="4" xfId="0" applyFont="1" applyFill="1" applyBorder="1" applyAlignment="1" applyProtection="1">
      <alignment horizontal="center" vertical="center" wrapText="1"/>
      <protection locked="0"/>
    </xf>
    <xf numFmtId="0" fontId="6" fillId="5" borderId="5" xfId="0" applyFont="1" applyFill="1" applyBorder="1" applyAlignment="1" applyProtection="1">
      <alignment vertical="center"/>
      <protection locked="0"/>
    </xf>
    <xf numFmtId="0" fontId="6" fillId="6" borderId="7" xfId="0" applyFont="1" applyFill="1" applyBorder="1" applyAlignment="1" applyProtection="1">
      <alignment horizontal="left" vertical="center"/>
      <protection locked="0"/>
    </xf>
    <xf numFmtId="0" fontId="7" fillId="6" borderId="10" xfId="0" applyFont="1" applyFill="1" applyBorder="1" applyAlignment="1" applyProtection="1">
      <alignment horizontal="center" vertical="center" wrapText="1"/>
      <protection locked="0"/>
    </xf>
    <xf numFmtId="0" fontId="7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9" xfId="0" applyFont="1" applyFill="1" applyBorder="1" applyAlignment="1" applyProtection="1">
      <alignment horizontal="left" vertical="center"/>
      <protection locked="0"/>
    </xf>
    <xf numFmtId="0" fontId="6" fillId="6" borderId="11" xfId="0" applyFont="1" applyFill="1" applyBorder="1" applyAlignment="1" applyProtection="1">
      <alignment horizontal="left" vertical="center"/>
      <protection locked="0"/>
    </xf>
    <xf numFmtId="0" fontId="7" fillId="6" borderId="12" xfId="0" applyFont="1" applyFill="1" applyBorder="1" applyAlignment="1" applyProtection="1">
      <alignment horizontal="center" vertical="center" wrapText="1"/>
      <protection locked="0"/>
    </xf>
    <xf numFmtId="0" fontId="6" fillId="5" borderId="13" xfId="0" applyFont="1" applyFill="1" applyBorder="1" applyAlignment="1" applyProtection="1">
      <alignment vertical="center"/>
      <protection locked="0"/>
    </xf>
    <xf numFmtId="0" fontId="7" fillId="6" borderId="16" xfId="0" applyFont="1" applyFill="1" applyBorder="1" applyAlignment="1" applyProtection="1">
      <alignment horizontal="center" vertical="center" wrapText="1"/>
      <protection locked="0"/>
    </xf>
    <xf numFmtId="0" fontId="6" fillId="6" borderId="15" xfId="0" applyFont="1" applyFill="1" applyBorder="1" applyAlignment="1" applyProtection="1">
      <alignment horizontal="left" vertical="center"/>
      <protection locked="0"/>
    </xf>
    <xf numFmtId="0" fontId="7" fillId="6" borderId="18" xfId="0" applyFont="1" applyFill="1" applyBorder="1" applyAlignment="1" applyProtection="1">
      <alignment horizontal="center" vertical="center" wrapText="1"/>
      <protection locked="0"/>
    </xf>
    <xf numFmtId="0" fontId="6" fillId="7" borderId="5" xfId="0" applyFont="1" applyFill="1" applyBorder="1" applyAlignment="1" applyProtection="1">
      <alignment vertical="center"/>
      <protection locked="0"/>
    </xf>
    <xf numFmtId="0" fontId="6" fillId="6" borderId="7" xfId="0" applyFont="1" applyFill="1" applyBorder="1" applyAlignment="1" applyProtection="1">
      <alignment vertical="center"/>
      <protection locked="0"/>
    </xf>
    <xf numFmtId="0" fontId="6" fillId="6" borderId="15" xfId="0" applyFont="1" applyFill="1" applyBorder="1" applyAlignment="1" applyProtection="1">
      <alignment vertical="center"/>
      <protection locked="0"/>
    </xf>
    <xf numFmtId="0" fontId="7" fillId="2" borderId="16" xfId="0" applyFont="1" applyFill="1" applyBorder="1" applyAlignment="1" applyProtection="1">
      <alignment horizontal="center" vertical="center" wrapText="1"/>
      <protection locked="0"/>
    </xf>
    <xf numFmtId="0" fontId="6" fillId="9" borderId="5" xfId="0" applyFont="1" applyFill="1" applyBorder="1" applyAlignment="1" applyProtection="1">
      <alignment vertical="center"/>
      <protection locked="0"/>
    </xf>
    <xf numFmtId="0" fontId="6" fillId="9" borderId="17" xfId="0" applyFont="1" applyFill="1" applyBorder="1" applyAlignment="1" applyProtection="1">
      <alignment vertical="center"/>
      <protection locked="0"/>
    </xf>
    <xf numFmtId="0" fontId="7" fillId="9" borderId="8" xfId="0" applyFont="1" applyFill="1" applyBorder="1" applyAlignment="1" applyProtection="1">
      <alignment horizontal="center" vertical="center" wrapText="1"/>
      <protection locked="0"/>
    </xf>
    <xf numFmtId="0" fontId="6" fillId="9" borderId="15" xfId="0" applyFont="1" applyFill="1" applyBorder="1" applyAlignment="1" applyProtection="1">
      <alignment vertical="center"/>
      <protection locked="0"/>
    </xf>
    <xf numFmtId="0" fontId="7" fillId="9" borderId="16" xfId="0" applyFont="1" applyFill="1" applyBorder="1" applyAlignment="1" applyProtection="1">
      <alignment horizontal="center" vertical="center" wrapText="1"/>
      <protection locked="0"/>
    </xf>
    <xf numFmtId="0" fontId="6" fillId="10" borderId="5" xfId="0" applyFont="1" applyFill="1" applyBorder="1" applyAlignment="1" applyProtection="1">
      <alignment vertical="center"/>
      <protection locked="0"/>
    </xf>
    <xf numFmtId="0" fontId="6" fillId="10" borderId="17" xfId="0" applyFont="1" applyFill="1" applyBorder="1" applyAlignment="1" applyProtection="1">
      <alignment vertical="center"/>
      <protection locked="0"/>
    </xf>
    <xf numFmtId="0" fontId="6" fillId="10" borderId="15" xfId="0" applyFont="1" applyFill="1" applyBorder="1" applyAlignment="1" applyProtection="1">
      <alignment vertical="center"/>
      <protection locked="0"/>
    </xf>
    <xf numFmtId="0" fontId="6" fillId="7" borderId="13" xfId="0" applyFont="1" applyFill="1" applyBorder="1" applyAlignment="1" applyProtection="1">
      <alignment vertical="center"/>
      <protection locked="0"/>
    </xf>
    <xf numFmtId="0" fontId="6" fillId="7" borderId="9" xfId="0" applyFont="1" applyFill="1" applyBorder="1" applyAlignment="1" applyProtection="1">
      <alignment vertical="center"/>
      <protection locked="0"/>
    </xf>
    <xf numFmtId="0" fontId="7" fillId="7" borderId="10" xfId="0" applyFont="1" applyFill="1" applyBorder="1" applyAlignment="1" applyProtection="1">
      <alignment horizontal="center" vertical="center" wrapText="1"/>
      <protection locked="0"/>
    </xf>
    <xf numFmtId="0" fontId="6" fillId="6" borderId="9" xfId="0" applyFont="1" applyFill="1" applyBorder="1" applyAlignment="1" applyProtection="1">
      <alignment horizontal="center" vertical="center"/>
      <protection locked="0"/>
    </xf>
    <xf numFmtId="2" fontId="6" fillId="6" borderId="9" xfId="0" applyNumberFormat="1" applyFont="1" applyFill="1" applyBorder="1" applyAlignment="1" applyProtection="1">
      <alignment horizontal="center" vertical="center"/>
      <protection locked="0"/>
    </xf>
    <xf numFmtId="16" fontId="6" fillId="6" borderId="9" xfId="0" applyNumberFormat="1" applyFont="1" applyFill="1" applyBorder="1" applyAlignment="1" applyProtection="1">
      <alignment horizontal="center" vertical="center"/>
      <protection locked="0"/>
    </xf>
    <xf numFmtId="49" fontId="6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9" xfId="0" applyFont="1" applyFill="1" applyBorder="1" applyAlignment="1" applyProtection="1">
      <alignment horizontal="center" vertical="center" wrapText="1"/>
      <protection locked="0"/>
    </xf>
    <xf numFmtId="0" fontId="6" fillId="2" borderId="15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6" fillId="6" borderId="9" xfId="0" applyFont="1" applyFill="1" applyBorder="1" applyAlignment="1" applyProtection="1">
      <alignment vertical="center"/>
      <protection locked="0"/>
    </xf>
    <xf numFmtId="0" fontId="6" fillId="2" borderId="11" xfId="0" applyFont="1" applyFill="1" applyBorder="1" applyAlignment="1" applyProtection="1">
      <alignment vertical="center"/>
      <protection locked="0"/>
    </xf>
    <xf numFmtId="0" fontId="7" fillId="2" borderId="12" xfId="0" applyFont="1" applyFill="1" applyBorder="1" applyAlignment="1" applyProtection="1">
      <alignment horizontal="center" vertical="center" wrapText="1"/>
      <protection locked="0"/>
    </xf>
    <xf numFmtId="0" fontId="0" fillId="47" borderId="0" xfId="0" applyFill="1" applyAlignment="1" applyProtection="1">
      <alignment horizontal="left"/>
      <protection locked="0"/>
    </xf>
    <xf numFmtId="0" fontId="6" fillId="2" borderId="20" xfId="0" applyFont="1" applyFill="1" applyBorder="1" applyAlignment="1" applyProtection="1">
      <alignment vertical="center"/>
      <protection locked="0"/>
    </xf>
    <xf numFmtId="0" fontId="6" fillId="4" borderId="7" xfId="0" applyFont="1" applyFill="1" applyBorder="1" applyAlignment="1" applyProtection="1">
      <alignment vertical="center"/>
      <protection locked="0"/>
    </xf>
    <xf numFmtId="0" fontId="7" fillId="4" borderId="8" xfId="0" applyFont="1" applyFill="1" applyBorder="1" applyAlignment="1" applyProtection="1">
      <alignment horizontal="center" vertical="center" wrapText="1"/>
      <protection locked="0"/>
    </xf>
    <xf numFmtId="0" fontId="6" fillId="4" borderId="9" xfId="0" applyFont="1" applyFill="1" applyBorder="1" applyAlignment="1" applyProtection="1">
      <alignment vertical="center"/>
      <protection locked="0"/>
    </xf>
    <xf numFmtId="0" fontId="7" fillId="4" borderId="10" xfId="0" applyFont="1" applyFill="1" applyBorder="1" applyAlignment="1" applyProtection="1">
      <alignment horizontal="center" vertical="center" wrapText="1"/>
      <protection locked="0"/>
    </xf>
    <xf numFmtId="0" fontId="6" fillId="4" borderId="15" xfId="0" applyFont="1" applyFill="1" applyBorder="1" applyAlignment="1" applyProtection="1">
      <alignment vertical="center"/>
      <protection locked="0"/>
    </xf>
    <xf numFmtId="0" fontId="7" fillId="4" borderId="16" xfId="0" applyFont="1" applyFill="1" applyBorder="1" applyAlignment="1" applyProtection="1">
      <alignment horizontal="center" vertical="center" wrapText="1"/>
      <protection locked="0"/>
    </xf>
    <xf numFmtId="0" fontId="6" fillId="10" borderId="13" xfId="0" applyFont="1" applyFill="1" applyBorder="1" applyAlignment="1" applyProtection="1">
      <alignment vertical="center"/>
      <protection locked="0"/>
    </xf>
    <xf numFmtId="0" fontId="7" fillId="4" borderId="14" xfId="0" applyFont="1" applyFill="1" applyBorder="1" applyAlignment="1" applyProtection="1">
      <alignment horizontal="center" vertical="center" wrapText="1"/>
      <protection locked="0"/>
    </xf>
    <xf numFmtId="0" fontId="7" fillId="4" borderId="18" xfId="0" applyFont="1" applyFill="1" applyBorder="1" applyAlignment="1" applyProtection="1">
      <alignment horizontal="center" vertical="center" wrapText="1"/>
      <protection locked="0"/>
    </xf>
    <xf numFmtId="0" fontId="6" fillId="12" borderId="13" xfId="0" applyFont="1" applyFill="1" applyBorder="1" applyAlignment="1" applyProtection="1">
      <alignment vertical="center"/>
      <protection locked="0"/>
    </xf>
    <xf numFmtId="0" fontId="7" fillId="12" borderId="14" xfId="0" applyFont="1" applyFill="1" applyBorder="1" applyAlignment="1" applyProtection="1">
      <alignment horizontal="center" vertical="center" wrapText="1"/>
      <protection locked="0"/>
    </xf>
    <xf numFmtId="0" fontId="6" fillId="12" borderId="11" xfId="0" applyFont="1" applyFill="1" applyBorder="1" applyAlignment="1" applyProtection="1">
      <alignment vertical="center"/>
      <protection locked="0"/>
    </xf>
    <xf numFmtId="0" fontId="7" fillId="12" borderId="12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6" fillId="13" borderId="7" xfId="0" applyFont="1" applyFill="1" applyBorder="1" applyAlignment="1" applyProtection="1">
      <alignment vertical="center"/>
      <protection locked="0"/>
    </xf>
    <xf numFmtId="0" fontId="7" fillId="13" borderId="8" xfId="0" applyFont="1" applyFill="1" applyBorder="1" applyAlignment="1" applyProtection="1">
      <alignment horizontal="center" vertical="center" wrapText="1"/>
      <protection locked="0"/>
    </xf>
    <xf numFmtId="0" fontId="6" fillId="7" borderId="7" xfId="0" applyFont="1" applyFill="1" applyBorder="1" applyAlignment="1" applyProtection="1">
      <alignment vertical="center"/>
      <protection locked="0"/>
    </xf>
    <xf numFmtId="0" fontId="6" fillId="11" borderId="7" xfId="0" applyFont="1" applyFill="1" applyBorder="1" applyAlignment="1" applyProtection="1">
      <alignment vertical="center"/>
      <protection locked="0"/>
    </xf>
    <xf numFmtId="0" fontId="7" fillId="11" borderId="10" xfId="0" applyFont="1" applyFill="1" applyBorder="1" applyAlignment="1" applyProtection="1">
      <alignment horizontal="center" vertical="center" wrapText="1"/>
      <protection locked="0"/>
    </xf>
    <xf numFmtId="0" fontId="0" fillId="47" borderId="0" xfId="0" applyFill="1" applyProtection="1">
      <protection locked="0"/>
    </xf>
    <xf numFmtId="0" fontId="6" fillId="12" borderId="9" xfId="0" applyFont="1" applyFill="1" applyBorder="1" applyAlignment="1" applyProtection="1">
      <alignment vertical="center"/>
      <protection locked="0"/>
    </xf>
    <xf numFmtId="0" fontId="7" fillId="12" borderId="10" xfId="0" applyFont="1" applyFill="1" applyBorder="1" applyAlignment="1" applyProtection="1">
      <alignment horizontal="center" vertical="center" wrapText="1"/>
      <protection locked="0"/>
    </xf>
    <xf numFmtId="0" fontId="6" fillId="7" borderId="15" xfId="0" applyFont="1" applyFill="1" applyBorder="1" applyAlignment="1" applyProtection="1">
      <alignment vertical="center"/>
      <protection locked="0"/>
    </xf>
    <xf numFmtId="0" fontId="7" fillId="7" borderId="16" xfId="0" applyFont="1" applyFill="1" applyBorder="1" applyAlignment="1" applyProtection="1">
      <alignment horizontal="center" vertical="center" wrapText="1"/>
      <protection locked="0"/>
    </xf>
    <xf numFmtId="0" fontId="6" fillId="7" borderId="17" xfId="0" applyFont="1" applyFill="1" applyBorder="1" applyAlignment="1" applyProtection="1">
      <alignment vertical="center"/>
      <protection locked="0"/>
    </xf>
    <xf numFmtId="0" fontId="6" fillId="7" borderId="11" xfId="0" applyFont="1" applyFill="1" applyBorder="1" applyAlignment="1" applyProtection="1">
      <alignment vertical="center"/>
      <protection locked="0"/>
    </xf>
    <xf numFmtId="0" fontId="6" fillId="14" borderId="5" xfId="0" applyFont="1" applyFill="1" applyBorder="1" applyAlignment="1" applyProtection="1">
      <alignment vertical="center"/>
      <protection locked="0"/>
    </xf>
    <xf numFmtId="0" fontId="6" fillId="14" borderId="7" xfId="0" applyFont="1" applyFill="1" applyBorder="1" applyAlignment="1" applyProtection="1">
      <alignment vertical="center"/>
      <protection locked="0"/>
    </xf>
    <xf numFmtId="0" fontId="7" fillId="14" borderId="8" xfId="0" applyFont="1" applyFill="1" applyBorder="1" applyAlignment="1" applyProtection="1">
      <alignment horizontal="center" vertical="center" wrapText="1"/>
      <protection locked="0"/>
    </xf>
    <xf numFmtId="0" fontId="6" fillId="14" borderId="9" xfId="0" applyFont="1" applyFill="1" applyBorder="1" applyAlignment="1" applyProtection="1">
      <alignment vertical="center"/>
      <protection locked="0"/>
    </xf>
    <xf numFmtId="0" fontId="7" fillId="14" borderId="10" xfId="0" applyFont="1" applyFill="1" applyBorder="1" applyAlignment="1" applyProtection="1">
      <alignment horizontal="center" vertical="center" wrapText="1"/>
      <protection locked="0"/>
    </xf>
    <xf numFmtId="0" fontId="6" fillId="14" borderId="11" xfId="0" applyFont="1" applyFill="1" applyBorder="1" applyAlignment="1" applyProtection="1">
      <alignment vertical="center"/>
      <protection locked="0"/>
    </xf>
    <xf numFmtId="0" fontId="7" fillId="14" borderId="12" xfId="0" applyFont="1" applyFill="1" applyBorder="1" applyAlignment="1" applyProtection="1">
      <alignment horizontal="center" vertical="center" wrapText="1"/>
      <protection locked="0"/>
    </xf>
    <xf numFmtId="0" fontId="6" fillId="11" borderId="13" xfId="0" applyFont="1" applyFill="1" applyBorder="1" applyAlignment="1" applyProtection="1">
      <alignment horizontal="left" vertical="center"/>
      <protection locked="0"/>
    </xf>
    <xf numFmtId="0" fontId="7" fillId="11" borderId="22" xfId="0" applyFont="1" applyFill="1" applyBorder="1" applyAlignment="1" applyProtection="1">
      <alignment horizontal="center" vertical="center" wrapText="1"/>
      <protection locked="0"/>
    </xf>
    <xf numFmtId="0" fontId="6" fillId="15" borderId="9" xfId="0" applyFont="1" applyFill="1" applyBorder="1" applyAlignment="1" applyProtection="1">
      <alignment horizontal="left" vertical="center"/>
      <protection locked="0"/>
    </xf>
    <xf numFmtId="0" fontId="9" fillId="15" borderId="10" xfId="0" applyFont="1" applyFill="1" applyBorder="1" applyAlignment="1" applyProtection="1">
      <alignment horizontal="center" vertical="center" wrapText="1"/>
      <protection locked="0"/>
    </xf>
    <xf numFmtId="0" fontId="9" fillId="15" borderId="24" xfId="0" applyFont="1" applyFill="1" applyBorder="1" applyAlignment="1" applyProtection="1">
      <alignment horizontal="center" vertical="center" wrapText="1"/>
      <protection locked="0"/>
    </xf>
    <xf numFmtId="0" fontId="6" fillId="15" borderId="11" xfId="0" applyFont="1" applyFill="1" applyBorder="1" applyAlignment="1" applyProtection="1">
      <alignment horizontal="left" vertical="center"/>
      <protection locked="0"/>
    </xf>
    <xf numFmtId="0" fontId="9" fillId="15" borderId="12" xfId="0" applyFont="1" applyFill="1" applyBorder="1" applyAlignment="1" applyProtection="1">
      <alignment horizontal="center" vertical="center" wrapText="1"/>
      <protection locked="0"/>
    </xf>
    <xf numFmtId="0" fontId="7" fillId="15" borderId="21" xfId="0" applyFont="1" applyFill="1" applyBorder="1" applyAlignment="1" applyProtection="1">
      <alignment horizontal="center" vertical="center" wrapText="1"/>
      <protection locked="0"/>
    </xf>
    <xf numFmtId="0" fontId="7" fillId="15" borderId="27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Protection="1">
      <protection locked="0"/>
    </xf>
    <xf numFmtId="0" fontId="23" fillId="0" borderId="0" xfId="0" applyFont="1" applyProtection="1">
      <protection locked="0"/>
    </xf>
    <xf numFmtId="0" fontId="27" fillId="3" borderId="17" xfId="0" applyFont="1" applyFill="1" applyBorder="1" applyAlignment="1" applyProtection="1">
      <alignment horizontal="center" vertical="center" wrapText="1"/>
      <protection locked="0"/>
    </xf>
    <xf numFmtId="0" fontId="5" fillId="0" borderId="18" xfId="0" applyFont="1" applyBorder="1" applyAlignment="1" applyProtection="1">
      <alignment horizontal="center" vertical="center" wrapText="1"/>
      <protection locked="0"/>
    </xf>
    <xf numFmtId="0" fontId="5" fillId="3" borderId="17" xfId="0" applyFont="1" applyFill="1" applyBorder="1" applyAlignment="1" applyProtection="1">
      <alignment horizontal="center" vertical="center" wrapText="1"/>
      <protection locked="0"/>
    </xf>
    <xf numFmtId="0" fontId="2" fillId="48" borderId="37" xfId="0" applyFont="1" applyFill="1" applyBorder="1" applyAlignment="1" applyProtection="1">
      <alignment vertical="center"/>
      <protection locked="0"/>
    </xf>
    <xf numFmtId="0" fontId="3" fillId="49" borderId="38" xfId="0" applyFont="1" applyFill="1" applyBorder="1" applyProtection="1">
      <protection locked="0"/>
    </xf>
    <xf numFmtId="0" fontId="3" fillId="49" borderId="39" xfId="0" applyFont="1" applyFill="1" applyBorder="1" applyProtection="1">
      <protection locked="0"/>
    </xf>
    <xf numFmtId="0" fontId="6" fillId="2" borderId="23" xfId="0" applyFont="1" applyFill="1" applyBorder="1" applyAlignment="1">
      <alignment horizontal="center" vertical="center" wrapText="1"/>
    </xf>
    <xf numFmtId="0" fontId="3" fillId="0" borderId="25" xfId="0" applyFont="1" applyBorder="1"/>
    <xf numFmtId="0" fontId="3" fillId="0" borderId="26" xfId="0" applyFont="1" applyBorder="1"/>
    <xf numFmtId="0" fontId="2" fillId="2" borderId="1" xfId="0" applyFont="1" applyFill="1" applyBorder="1" applyAlignment="1" applyProtection="1">
      <alignment horizontal="center" vertical="center"/>
      <protection locked="0"/>
    </xf>
    <xf numFmtId="0" fontId="3" fillId="0" borderId="2" xfId="0" applyFont="1" applyBorder="1" applyProtection="1">
      <protection locked="0"/>
    </xf>
    <xf numFmtId="0" fontId="3" fillId="0" borderId="3" xfId="0" applyFont="1" applyBorder="1" applyProtection="1">
      <protection locked="0"/>
    </xf>
  </cellXfs>
  <cellStyles count="43">
    <cellStyle name="20% - Énfasis1 2" xfId="20" xr:uid="{00000000-0005-0000-0000-000000000000}"/>
    <cellStyle name="20% - Énfasis2 2" xfId="24" xr:uid="{00000000-0005-0000-0000-000001000000}"/>
    <cellStyle name="20% - Énfasis3 2" xfId="28" xr:uid="{00000000-0005-0000-0000-000002000000}"/>
    <cellStyle name="20% - Énfasis4 2" xfId="32" xr:uid="{00000000-0005-0000-0000-000003000000}"/>
    <cellStyle name="20% - Énfasis5 2" xfId="36" xr:uid="{00000000-0005-0000-0000-000004000000}"/>
    <cellStyle name="20% - Énfasis6 2" xfId="40" xr:uid="{00000000-0005-0000-0000-000005000000}"/>
    <cellStyle name="40% - Énfasis1 2" xfId="21" xr:uid="{00000000-0005-0000-0000-000006000000}"/>
    <cellStyle name="40% - Énfasis2 2" xfId="25" xr:uid="{00000000-0005-0000-0000-000007000000}"/>
    <cellStyle name="40% - Énfasis3 2" xfId="29" xr:uid="{00000000-0005-0000-0000-000008000000}"/>
    <cellStyle name="40% - Énfasis4 2" xfId="33" xr:uid="{00000000-0005-0000-0000-000009000000}"/>
    <cellStyle name="40% - Énfasis5 2" xfId="37" xr:uid="{00000000-0005-0000-0000-00000A000000}"/>
    <cellStyle name="40% - Énfasis6 2" xfId="41" xr:uid="{00000000-0005-0000-0000-00000B000000}"/>
    <cellStyle name="60% - Énfasis1 2" xfId="22" xr:uid="{00000000-0005-0000-0000-00000C000000}"/>
    <cellStyle name="60% - Énfasis2 2" xfId="26" xr:uid="{00000000-0005-0000-0000-00000D000000}"/>
    <cellStyle name="60% - Énfasis3 2" xfId="30" xr:uid="{00000000-0005-0000-0000-00000E000000}"/>
    <cellStyle name="60% - Énfasis4 2" xfId="34" xr:uid="{00000000-0005-0000-0000-00000F000000}"/>
    <cellStyle name="60% - Énfasis5 2" xfId="38" xr:uid="{00000000-0005-0000-0000-000010000000}"/>
    <cellStyle name="60% - Énfasis6 2" xfId="42" xr:uid="{00000000-0005-0000-0000-000011000000}"/>
    <cellStyle name="Buena 2" xfId="13" xr:uid="{00000000-0005-0000-0000-000012000000}"/>
    <cellStyle name="Cálculo" xfId="6" builtinId="22" customBuiltin="1"/>
    <cellStyle name="Celda de comprobación" xfId="8" builtinId="23" customBuiltin="1"/>
    <cellStyle name="Celda vinculada" xfId="7" builtinId="24" customBuiltin="1"/>
    <cellStyle name="Encabezado 1" xfId="1" builtinId="16" customBuiltin="1"/>
    <cellStyle name="Encabezado 4 2" xfId="12" xr:uid="{00000000-0005-0000-0000-000017000000}"/>
    <cellStyle name="Énfasis1 2" xfId="19" xr:uid="{00000000-0005-0000-0000-000018000000}"/>
    <cellStyle name="Énfasis2 2" xfId="23" xr:uid="{00000000-0005-0000-0000-000019000000}"/>
    <cellStyle name="Énfasis3 2" xfId="27" xr:uid="{00000000-0005-0000-0000-00001A000000}"/>
    <cellStyle name="Énfasis4 2" xfId="31" xr:uid="{00000000-0005-0000-0000-00001B000000}"/>
    <cellStyle name="Énfasis5 2" xfId="35" xr:uid="{00000000-0005-0000-0000-00001C000000}"/>
    <cellStyle name="Énfasis6 2" xfId="39" xr:uid="{00000000-0005-0000-0000-00001D000000}"/>
    <cellStyle name="Entrada" xfId="4" builtinId="20" customBuiltin="1"/>
    <cellStyle name="Incorrecto 2" xfId="14" xr:uid="{00000000-0005-0000-0000-00001F000000}"/>
    <cellStyle name="Neutral 2" xfId="15" xr:uid="{00000000-0005-0000-0000-000020000000}"/>
    <cellStyle name="Normal" xfId="0" builtinId="0"/>
    <cellStyle name="Normal 2" xfId="10" xr:uid="{00000000-0005-0000-0000-000022000000}"/>
    <cellStyle name="Notas 2" xfId="17" xr:uid="{00000000-0005-0000-0000-000023000000}"/>
    <cellStyle name="Salida" xfId="5" builtinId="21" customBuiltin="1"/>
    <cellStyle name="Texto de advertencia 2" xfId="16" xr:uid="{00000000-0005-0000-0000-000025000000}"/>
    <cellStyle name="Texto explicativo 2" xfId="18" xr:uid="{00000000-0005-0000-0000-000026000000}"/>
    <cellStyle name="Título 2" xfId="2" builtinId="17" customBuiltin="1"/>
    <cellStyle name="Título 3" xfId="3" builtinId="18" customBuiltin="1"/>
    <cellStyle name="Título 4" xfId="11" xr:uid="{00000000-0005-0000-0000-000029000000}"/>
    <cellStyle name="Total" xfId="9" builtinId="25" customBuiltin="1"/>
  </cellStyles>
  <dxfs count="41"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color rgb="FFFF0000"/>
      </font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checked="Checked" firstButton="1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Radio" checked="Checked" firstButton="1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checked="Checked" firstButton="1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checked="Checked" firstButton="1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Radio" checked="Checked" firstButton="1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Radio" checked="Checked" firstButton="1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Radio" checked="Checked" firstButton="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27650" name="Option 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24578" name="Option 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25602" name="Option 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7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8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35842" name="Option 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8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9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36866" name="Option 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9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37890" name="Option 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A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38913" name="Button 1" descr="Ctrl + Shift + M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B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38914" name="Option 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B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1790700</xdr:colOff>
          <xdr:row>1</xdr:row>
          <xdr:rowOff>38100</xdr:rowOff>
        </xdr:from>
        <xdr:to>
          <xdr:col>0</xdr:col>
          <xdr:colOff>2219325</xdr:colOff>
          <xdr:row>1</xdr:row>
          <xdr:rowOff>295275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C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1724025</xdr:colOff>
          <xdr:row>141</xdr:row>
          <xdr:rowOff>190500</xdr:rowOff>
        </xdr:from>
        <xdr:to>
          <xdr:col>0</xdr:col>
          <xdr:colOff>2095500</xdr:colOff>
          <xdr:row>143</xdr:row>
          <xdr:rowOff>9525</xdr:rowOff>
        </xdr:to>
        <xdr:sp macro="" textlink="">
          <xdr:nvSpPr>
            <xdr:cNvPr id="39938" name="Option 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C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954"/>
  <sheetViews>
    <sheetView tabSelected="1" topLeftCell="A2" zoomScale="85" zoomScaleNormal="85" workbookViewId="0">
      <pane xSplit="1" ySplit="2" topLeftCell="B4" activePane="bottomRight" state="frozen"/>
      <selection activeCell="A2" sqref="A2"/>
      <selection pane="topRight" activeCell="B2" sqref="B2"/>
      <selection pane="bottomLeft" activeCell="A4" sqref="A4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13" width="13.140625" style="47" customWidth="1"/>
    <col min="14" max="14" width="11.140625" style="47" customWidth="1"/>
    <col min="15" max="17" width="14.42578125" style="47"/>
    <col min="18" max="18" width="36.28515625" style="47" bestFit="1" customWidth="1"/>
    <col min="19" max="16384" width="14.42578125" style="47"/>
  </cols>
  <sheetData>
    <row r="1" spans="1:14" ht="21.75" thickBot="1" x14ac:dyDescent="0.3">
      <c r="A1" s="137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9"/>
    </row>
    <row r="2" spans="1:14" ht="24" thickBot="1" x14ac:dyDescent="0.3">
      <c r="A2" s="134" t="s">
        <v>178</v>
      </c>
      <c r="B2" s="135" t="s">
        <v>164</v>
      </c>
      <c r="C2" s="135" t="s">
        <v>165</v>
      </c>
      <c r="D2" s="135" t="s">
        <v>166</v>
      </c>
      <c r="E2" s="135" t="s">
        <v>167</v>
      </c>
      <c r="F2" s="135" t="s">
        <v>168</v>
      </c>
      <c r="G2" s="135" t="s">
        <v>169</v>
      </c>
      <c r="H2" s="135" t="s">
        <v>170</v>
      </c>
      <c r="I2" s="135" t="s">
        <v>171</v>
      </c>
      <c r="J2" s="135" t="s">
        <v>172</v>
      </c>
      <c r="K2" s="135" t="s">
        <v>173</v>
      </c>
      <c r="L2" s="135" t="s">
        <v>174</v>
      </c>
      <c r="M2" s="135" t="s">
        <v>175</v>
      </c>
      <c r="N2" s="136" t="s">
        <v>1</v>
      </c>
    </row>
    <row r="3" spans="1:14" ht="19.5" thickBot="1" x14ac:dyDescent="0.3">
      <c r="A3" s="52" t="s">
        <v>2</v>
      </c>
      <c r="B3" s="1">
        <f>+ENERO!AG3</f>
        <v>4628</v>
      </c>
      <c r="C3" s="1">
        <f>+FEBRERO!AG3</f>
        <v>4339</v>
      </c>
      <c r="D3" s="1">
        <f>+MARZO!$AG3</f>
        <v>4871</v>
      </c>
      <c r="E3" s="1">
        <f>+ABRIL!$AG3</f>
        <v>4829</v>
      </c>
      <c r="F3" s="1">
        <f>+MAYO!$AG3</f>
        <v>6194</v>
      </c>
      <c r="G3" s="1">
        <f>+JUNIO!$AG3</f>
        <v>4637</v>
      </c>
      <c r="H3" s="1">
        <f>+JULIO!$AG3</f>
        <v>3844</v>
      </c>
      <c r="I3" s="1">
        <f>+AGOSTO!$AG3</f>
        <v>4616</v>
      </c>
      <c r="J3" s="1">
        <f>+SEPTIEMBRE!$AG3</f>
        <v>5207</v>
      </c>
      <c r="K3" s="1">
        <f>+OCTUBRE!$AG3</f>
        <v>5085</v>
      </c>
      <c r="L3" s="1">
        <f>+NOVIEMBRE!$AG3</f>
        <v>5289</v>
      </c>
      <c r="M3" s="1">
        <f>+DICIEMBRE!$AG3</f>
        <v>4833</v>
      </c>
      <c r="N3" s="2">
        <f t="shared" ref="N3:N34" si="0">SUM(B3:M3)</f>
        <v>58372</v>
      </c>
    </row>
    <row r="4" spans="1:14" ht="18.75" x14ac:dyDescent="0.25">
      <c r="A4" s="53" t="s">
        <v>3</v>
      </c>
      <c r="B4" s="54">
        <f>+ENERO!AG4</f>
        <v>67</v>
      </c>
      <c r="C4" s="55">
        <f>+FEBRERO!AG4</f>
        <v>49</v>
      </c>
      <c r="D4" s="55">
        <f>+MARZO!$AG4</f>
        <v>61</v>
      </c>
      <c r="E4" s="55">
        <f>+ABRIL!$AG4</f>
        <v>59</v>
      </c>
      <c r="F4" s="55">
        <f>+MAYO!$AG4</f>
        <v>123</v>
      </c>
      <c r="G4" s="55">
        <f>+JUNIO!$AG4</f>
        <v>178</v>
      </c>
      <c r="H4" s="55">
        <f>+JULIO!$AG4</f>
        <v>34</v>
      </c>
      <c r="I4" s="55">
        <f>+AGOSTO!$AG4</f>
        <v>76</v>
      </c>
      <c r="J4" s="55">
        <f>+SEPTIEMBRE!$AG4</f>
        <v>94</v>
      </c>
      <c r="K4" s="55">
        <f>+OCTUBRE!$AG4</f>
        <v>74</v>
      </c>
      <c r="L4" s="55">
        <f>+NOVIEMBRE!$AG4</f>
        <v>96</v>
      </c>
      <c r="M4" s="55">
        <f>+DICIEMBRE!$AG4</f>
        <v>87</v>
      </c>
      <c r="N4" s="4">
        <f t="shared" si="0"/>
        <v>998</v>
      </c>
    </row>
    <row r="5" spans="1:14" ht="18.75" x14ac:dyDescent="0.25">
      <c r="A5" s="56" t="s">
        <v>4</v>
      </c>
      <c r="B5" s="54">
        <f>+ENERO!AG5</f>
        <v>58</v>
      </c>
      <c r="C5" s="54">
        <f>+FEBRERO!AG5</f>
        <v>79</v>
      </c>
      <c r="D5" s="54">
        <f>+MARZO!$AG5</f>
        <v>110</v>
      </c>
      <c r="E5" s="54">
        <f>+ABRIL!$AG5</f>
        <v>97</v>
      </c>
      <c r="F5" s="54">
        <f>+MAYO!$AG5</f>
        <v>186</v>
      </c>
      <c r="G5" s="54">
        <f>+JUNIO!$AG5</f>
        <v>228</v>
      </c>
      <c r="H5" s="54">
        <f>+JULIO!$AG5</f>
        <v>62</v>
      </c>
      <c r="I5" s="54">
        <f>+AGOSTO!$AG5</f>
        <v>113</v>
      </c>
      <c r="J5" s="54">
        <f>+SEPTIEMBRE!$AG5</f>
        <v>123</v>
      </c>
      <c r="K5" s="54">
        <f>+OCTUBRE!$AG5</f>
        <v>127</v>
      </c>
      <c r="L5" s="54">
        <f>+NOVIEMBRE!$AG5</f>
        <v>123</v>
      </c>
      <c r="M5" s="54">
        <f>+DICIEMBRE!$AG5</f>
        <v>110</v>
      </c>
      <c r="N5" s="5">
        <f t="shared" si="0"/>
        <v>1416</v>
      </c>
    </row>
    <row r="6" spans="1:14" ht="18.75" x14ac:dyDescent="0.25">
      <c r="A6" s="56" t="s">
        <v>5</v>
      </c>
      <c r="B6" s="54">
        <f>+ENERO!AG6</f>
        <v>100</v>
      </c>
      <c r="C6" s="54">
        <f>+FEBRERO!AG6</f>
        <v>94</v>
      </c>
      <c r="D6" s="54">
        <f>+MARZO!$AG6</f>
        <v>120</v>
      </c>
      <c r="E6" s="54">
        <f>+ABRIL!$AG6</f>
        <v>139</v>
      </c>
      <c r="F6" s="54">
        <f>+MAYO!$AG6</f>
        <v>191</v>
      </c>
      <c r="G6" s="54">
        <f>+JUNIO!$AG6</f>
        <v>328</v>
      </c>
      <c r="H6" s="54">
        <f>+JULIO!$AG6</f>
        <v>111</v>
      </c>
      <c r="I6" s="54">
        <f>+AGOSTO!$AG6</f>
        <v>148</v>
      </c>
      <c r="J6" s="54">
        <f>+SEPTIEMBRE!$AG6</f>
        <v>187</v>
      </c>
      <c r="K6" s="54">
        <f>+OCTUBRE!$AG6</f>
        <v>114</v>
      </c>
      <c r="L6" s="54">
        <f>+NOVIEMBRE!$AG6</f>
        <v>154</v>
      </c>
      <c r="M6" s="54">
        <f>+DICIEMBRE!$AG6</f>
        <v>145</v>
      </c>
      <c r="N6" s="5">
        <f t="shared" si="0"/>
        <v>1831</v>
      </c>
    </row>
    <row r="7" spans="1:14" ht="18.75" x14ac:dyDescent="0.25">
      <c r="A7" s="56" t="s">
        <v>6</v>
      </c>
      <c r="B7" s="54">
        <f>+ENERO!AG7</f>
        <v>117</v>
      </c>
      <c r="C7" s="54">
        <f>+FEBRERO!AG7</f>
        <v>85</v>
      </c>
      <c r="D7" s="54">
        <f>+MARZO!$AG7</f>
        <v>168</v>
      </c>
      <c r="E7" s="54">
        <f>+ABRIL!$AG7</f>
        <v>115</v>
      </c>
      <c r="F7" s="54">
        <f>+MAYO!$AG7</f>
        <v>266</v>
      </c>
      <c r="G7" s="54">
        <f>+JUNIO!$AG7</f>
        <v>327</v>
      </c>
      <c r="H7" s="54">
        <f>+JULIO!$AG7</f>
        <v>124</v>
      </c>
      <c r="I7" s="54">
        <f>+AGOSTO!$AG7</f>
        <v>176</v>
      </c>
      <c r="J7" s="54">
        <f>+SEPTIEMBRE!$AG7</f>
        <v>224</v>
      </c>
      <c r="K7" s="54">
        <f>+OCTUBRE!$AG7</f>
        <v>133</v>
      </c>
      <c r="L7" s="54">
        <f>+NOVIEMBRE!$AG7</f>
        <v>159</v>
      </c>
      <c r="M7" s="54">
        <f>+DICIEMBRE!$AG7</f>
        <v>164</v>
      </c>
      <c r="N7" s="5">
        <f t="shared" si="0"/>
        <v>2058</v>
      </c>
    </row>
    <row r="8" spans="1:14" ht="18.75" x14ac:dyDescent="0.25">
      <c r="A8" s="56" t="s">
        <v>7</v>
      </c>
      <c r="B8" s="54">
        <f>+ENERO!AG8</f>
        <v>111</v>
      </c>
      <c r="C8" s="54">
        <f>+FEBRERO!AG8</f>
        <v>86</v>
      </c>
      <c r="D8" s="54">
        <f>+MARZO!$AG8</f>
        <v>143</v>
      </c>
      <c r="E8" s="54">
        <f>+ABRIL!$AG8</f>
        <v>116</v>
      </c>
      <c r="F8" s="54">
        <f>+MAYO!$AG8</f>
        <v>246</v>
      </c>
      <c r="G8" s="54">
        <f>+JUNIO!$AG8</f>
        <v>349</v>
      </c>
      <c r="H8" s="54">
        <f>+JULIO!$AG8</f>
        <v>112</v>
      </c>
      <c r="I8" s="54">
        <f>+AGOSTO!$AG8</f>
        <v>153</v>
      </c>
      <c r="J8" s="54">
        <f>+SEPTIEMBRE!$AG8</f>
        <v>221</v>
      </c>
      <c r="K8" s="54">
        <f>+OCTUBRE!$AG8</f>
        <v>116</v>
      </c>
      <c r="L8" s="54">
        <f>+NOVIEMBRE!$AG8</f>
        <v>159</v>
      </c>
      <c r="M8" s="54">
        <f>+DICIEMBRE!$AG8</f>
        <v>139</v>
      </c>
      <c r="N8" s="5">
        <f t="shared" si="0"/>
        <v>1951</v>
      </c>
    </row>
    <row r="9" spans="1:14" ht="18.75" x14ac:dyDescent="0.25">
      <c r="A9" s="56" t="s">
        <v>8</v>
      </c>
      <c r="B9" s="54">
        <f>+ENERO!AG9</f>
        <v>83</v>
      </c>
      <c r="C9" s="54">
        <f>+FEBRERO!AG9</f>
        <v>67</v>
      </c>
      <c r="D9" s="54">
        <f>+MARZO!$AG9</f>
        <v>108</v>
      </c>
      <c r="E9" s="54">
        <f>+ABRIL!$AG9</f>
        <v>108</v>
      </c>
      <c r="F9" s="54">
        <f>+MAYO!$AG9</f>
        <v>204</v>
      </c>
      <c r="G9" s="54">
        <f>+JUNIO!$AG9</f>
        <v>283</v>
      </c>
      <c r="H9" s="54">
        <f>+JULIO!$AG9</f>
        <v>96</v>
      </c>
      <c r="I9" s="54">
        <f>+AGOSTO!$AG9</f>
        <v>140</v>
      </c>
      <c r="J9" s="54">
        <f>+SEPTIEMBRE!$AG9</f>
        <v>163</v>
      </c>
      <c r="K9" s="54">
        <f>+OCTUBRE!$AG9</f>
        <v>131</v>
      </c>
      <c r="L9" s="54">
        <f>+NOVIEMBRE!$AG9</f>
        <v>120</v>
      </c>
      <c r="M9" s="54">
        <f>+DICIEMBRE!$AG9</f>
        <v>122</v>
      </c>
      <c r="N9" s="5">
        <f t="shared" si="0"/>
        <v>1625</v>
      </c>
    </row>
    <row r="10" spans="1:14" ht="18.75" x14ac:dyDescent="0.25">
      <c r="A10" s="56" t="s">
        <v>9</v>
      </c>
      <c r="B10" s="54">
        <f>+ENERO!AG10</f>
        <v>76</v>
      </c>
      <c r="C10" s="54">
        <f>+FEBRERO!AG10</f>
        <v>78</v>
      </c>
      <c r="D10" s="54">
        <f>+MARZO!$AG10</f>
        <v>118</v>
      </c>
      <c r="E10" s="54">
        <f>+ABRIL!$AG10</f>
        <v>89</v>
      </c>
      <c r="F10" s="54">
        <f>+MAYO!$AG10</f>
        <v>244</v>
      </c>
      <c r="G10" s="54">
        <f>+JUNIO!$AG10</f>
        <v>291</v>
      </c>
      <c r="H10" s="54">
        <f>+JULIO!$AG10</f>
        <v>100</v>
      </c>
      <c r="I10" s="54">
        <f>+AGOSTO!$AG10</f>
        <v>140</v>
      </c>
      <c r="J10" s="54">
        <f>+SEPTIEMBRE!$AG10</f>
        <v>188</v>
      </c>
      <c r="K10" s="54">
        <f>+OCTUBRE!$AG10</f>
        <v>136</v>
      </c>
      <c r="L10" s="54">
        <f>+NOVIEMBRE!$AG10</f>
        <v>143</v>
      </c>
      <c r="M10" s="54">
        <f>+DICIEMBRE!$AG10</f>
        <v>124</v>
      </c>
      <c r="N10" s="5">
        <f t="shared" si="0"/>
        <v>1727</v>
      </c>
    </row>
    <row r="11" spans="1:14" ht="18.75" x14ac:dyDescent="0.25">
      <c r="A11" s="56" t="s">
        <v>10</v>
      </c>
      <c r="B11" s="54">
        <f>+ENERO!AG11</f>
        <v>86</v>
      </c>
      <c r="C11" s="54">
        <f>+FEBRERO!AG11</f>
        <v>92</v>
      </c>
      <c r="D11" s="54">
        <f>+MARZO!$AG11</f>
        <v>130</v>
      </c>
      <c r="E11" s="54">
        <f>+ABRIL!$AG11</f>
        <v>99</v>
      </c>
      <c r="F11" s="54">
        <f>+MAYO!$AG11</f>
        <v>259</v>
      </c>
      <c r="G11" s="54">
        <f>+JUNIO!$AG11</f>
        <v>350</v>
      </c>
      <c r="H11" s="54">
        <f>+JULIO!$AG11</f>
        <v>117</v>
      </c>
      <c r="I11" s="54">
        <f>+AGOSTO!$AG11</f>
        <v>148</v>
      </c>
      <c r="J11" s="54">
        <f>+SEPTIEMBRE!$AG11</f>
        <v>179</v>
      </c>
      <c r="K11" s="54">
        <f>+OCTUBRE!$AG11</f>
        <v>146</v>
      </c>
      <c r="L11" s="54">
        <f>+NOVIEMBRE!$AG11</f>
        <v>168</v>
      </c>
      <c r="M11" s="54">
        <f>+DICIEMBRE!$AG11</f>
        <v>156</v>
      </c>
      <c r="N11" s="5">
        <f t="shared" si="0"/>
        <v>1930</v>
      </c>
    </row>
    <row r="12" spans="1:14" ht="18.75" x14ac:dyDescent="0.25">
      <c r="A12" s="56" t="s">
        <v>11</v>
      </c>
      <c r="B12" s="54">
        <f>+ENERO!AG12</f>
        <v>246</v>
      </c>
      <c r="C12" s="54">
        <f>+FEBRERO!AG12</f>
        <v>284</v>
      </c>
      <c r="D12" s="54">
        <f>+MARZO!$AG12</f>
        <v>316</v>
      </c>
      <c r="E12" s="54">
        <f>+ABRIL!$AG12</f>
        <v>380</v>
      </c>
      <c r="F12" s="54">
        <f>+MAYO!$AG12</f>
        <v>571</v>
      </c>
      <c r="G12" s="54">
        <f>+JUNIO!$AG12</f>
        <v>391</v>
      </c>
      <c r="H12" s="54">
        <f>+JULIO!$AG12</f>
        <v>288</v>
      </c>
      <c r="I12" s="54">
        <f>+AGOSTO!$AG12</f>
        <v>404</v>
      </c>
      <c r="J12" s="54">
        <f>+SEPTIEMBRE!$AG12</f>
        <v>386</v>
      </c>
      <c r="K12" s="54">
        <f>+OCTUBRE!$AG12</f>
        <v>376</v>
      </c>
      <c r="L12" s="54">
        <f>+NOVIEMBRE!$AG12</f>
        <v>426</v>
      </c>
      <c r="M12" s="54">
        <f>+DICIEMBRE!$AG12</f>
        <v>364</v>
      </c>
      <c r="N12" s="5">
        <f t="shared" si="0"/>
        <v>4432</v>
      </c>
    </row>
    <row r="13" spans="1:14" ht="18.75" x14ac:dyDescent="0.25">
      <c r="A13" s="56" t="s">
        <v>12</v>
      </c>
      <c r="B13" s="54">
        <f>+ENERO!AG13</f>
        <v>1009</v>
      </c>
      <c r="C13" s="54">
        <f>+FEBRERO!AG13</f>
        <v>1014</v>
      </c>
      <c r="D13" s="54">
        <f>+MARZO!$AG13</f>
        <v>1078</v>
      </c>
      <c r="E13" s="54">
        <f>+ABRIL!$AG13</f>
        <v>1263</v>
      </c>
      <c r="F13" s="54">
        <f>+MAYO!$AG13</f>
        <v>1301</v>
      </c>
      <c r="G13" s="54">
        <f>+JUNIO!$AG13</f>
        <v>344</v>
      </c>
      <c r="H13" s="54">
        <f>+JULIO!$AG13</f>
        <v>1047</v>
      </c>
      <c r="I13" s="54">
        <f>+AGOSTO!$AG13</f>
        <v>1059</v>
      </c>
      <c r="J13" s="54">
        <f>+SEPTIEMBRE!$AG13</f>
        <v>1056</v>
      </c>
      <c r="K13" s="54">
        <f>+OCTUBRE!$AG13</f>
        <v>1263</v>
      </c>
      <c r="L13" s="54">
        <f>+NOVIEMBRE!$AG13</f>
        <v>1210</v>
      </c>
      <c r="M13" s="54">
        <f>+DICIEMBRE!$AG13</f>
        <v>955</v>
      </c>
      <c r="N13" s="5">
        <f t="shared" si="0"/>
        <v>12599</v>
      </c>
    </row>
    <row r="14" spans="1:14" ht="18.75" x14ac:dyDescent="0.25">
      <c r="A14" s="56" t="s">
        <v>13</v>
      </c>
      <c r="B14" s="54">
        <f>+ENERO!AG14</f>
        <v>472</v>
      </c>
      <c r="C14" s="54">
        <f>+FEBRERO!AG14</f>
        <v>406</v>
      </c>
      <c r="D14" s="54">
        <f>+MARZO!$AG14</f>
        <v>448</v>
      </c>
      <c r="E14" s="54">
        <f>+ABRIL!$AG14</f>
        <v>523</v>
      </c>
      <c r="F14" s="54">
        <f>+MAYO!$AG14</f>
        <v>668</v>
      </c>
      <c r="G14" s="54">
        <f>+JUNIO!$AG14</f>
        <v>254</v>
      </c>
      <c r="H14" s="54">
        <f>+JULIO!$AG14</f>
        <v>335</v>
      </c>
      <c r="I14" s="54">
        <f>+AGOSTO!$AG14</f>
        <v>446</v>
      </c>
      <c r="J14" s="54">
        <f>+SEPTIEMBRE!$AG14</f>
        <v>513</v>
      </c>
      <c r="K14" s="54">
        <f>+OCTUBRE!$AG14</f>
        <v>466</v>
      </c>
      <c r="L14" s="54">
        <f>+NOVIEMBRE!$AG14</f>
        <v>479</v>
      </c>
      <c r="M14" s="54">
        <f>+DICIEMBRE!$AG14</f>
        <v>395</v>
      </c>
      <c r="N14" s="5">
        <f t="shared" si="0"/>
        <v>5405</v>
      </c>
    </row>
    <row r="15" spans="1:14" ht="18.75" x14ac:dyDescent="0.25">
      <c r="A15" s="56" t="s">
        <v>14</v>
      </c>
      <c r="B15" s="54">
        <f>+ENERO!AG15</f>
        <v>342</v>
      </c>
      <c r="C15" s="54">
        <f>+FEBRERO!AG15</f>
        <v>343</v>
      </c>
      <c r="D15" s="54">
        <f>+MARZO!$AG15</f>
        <v>400</v>
      </c>
      <c r="E15" s="54">
        <f>+ABRIL!$AG15</f>
        <v>413</v>
      </c>
      <c r="F15" s="54">
        <f>+MAYO!$AG15</f>
        <v>393</v>
      </c>
      <c r="G15" s="54">
        <f>+JUNIO!$AG15</f>
        <v>232</v>
      </c>
      <c r="H15" s="54">
        <f>+JULIO!$AG15</f>
        <v>311</v>
      </c>
      <c r="I15" s="54">
        <f>+AGOSTO!$AG15</f>
        <v>323</v>
      </c>
      <c r="J15" s="54">
        <f>+SEPTIEMBRE!$AG15</f>
        <v>354</v>
      </c>
      <c r="K15" s="54">
        <f>+OCTUBRE!$AG15</f>
        <v>385</v>
      </c>
      <c r="L15" s="54">
        <f>+NOVIEMBRE!$AG15</f>
        <v>397</v>
      </c>
      <c r="M15" s="54">
        <f>+DICIEMBRE!$AG15</f>
        <v>374</v>
      </c>
      <c r="N15" s="5">
        <f t="shared" si="0"/>
        <v>4267</v>
      </c>
    </row>
    <row r="16" spans="1:14" ht="18.75" x14ac:dyDescent="0.25">
      <c r="A16" s="56" t="s">
        <v>15</v>
      </c>
      <c r="B16" s="54">
        <f>+ENERO!AG16</f>
        <v>339</v>
      </c>
      <c r="C16" s="54">
        <f>+FEBRERO!AG16</f>
        <v>333</v>
      </c>
      <c r="D16" s="54">
        <f>+MARZO!$AG16</f>
        <v>407</v>
      </c>
      <c r="E16" s="54">
        <f>+ABRIL!$AG16</f>
        <v>350</v>
      </c>
      <c r="F16" s="54">
        <f>+MAYO!$AG16</f>
        <v>365</v>
      </c>
      <c r="G16" s="54">
        <f>+JUNIO!$AG16</f>
        <v>195</v>
      </c>
      <c r="H16" s="54">
        <f>+JULIO!$AG16</f>
        <v>242</v>
      </c>
      <c r="I16" s="54">
        <f>+AGOSTO!$AG16</f>
        <v>280</v>
      </c>
      <c r="J16" s="54">
        <f>+SEPTIEMBRE!$AG16</f>
        <v>318</v>
      </c>
      <c r="K16" s="54">
        <f>+OCTUBRE!$AG16</f>
        <v>358</v>
      </c>
      <c r="L16" s="54">
        <f>+NOVIEMBRE!$AG16</f>
        <v>373</v>
      </c>
      <c r="M16" s="54">
        <f>+DICIEMBRE!$AG16</f>
        <v>321</v>
      </c>
      <c r="N16" s="5">
        <f t="shared" si="0"/>
        <v>3881</v>
      </c>
    </row>
    <row r="17" spans="1:14" ht="18.75" x14ac:dyDescent="0.25">
      <c r="A17" s="56" t="s">
        <v>16</v>
      </c>
      <c r="B17" s="54">
        <f>+ENERO!AG17</f>
        <v>393</v>
      </c>
      <c r="C17" s="54">
        <f>+FEBRERO!AG17</f>
        <v>316</v>
      </c>
      <c r="D17" s="54">
        <f>+MARZO!$AG17</f>
        <v>350</v>
      </c>
      <c r="E17" s="54">
        <f>+ABRIL!$AG17</f>
        <v>278</v>
      </c>
      <c r="F17" s="54">
        <f>+MAYO!$AG17</f>
        <v>282</v>
      </c>
      <c r="G17" s="54">
        <f>+JUNIO!$AG17</f>
        <v>177</v>
      </c>
      <c r="H17" s="54">
        <f>+JULIO!$AG17</f>
        <v>237</v>
      </c>
      <c r="I17" s="54">
        <f>+AGOSTO!$AG17</f>
        <v>278</v>
      </c>
      <c r="J17" s="54">
        <f>+SEPTIEMBRE!$AG17</f>
        <v>301</v>
      </c>
      <c r="K17" s="54">
        <f>+OCTUBRE!$AG17</f>
        <v>304</v>
      </c>
      <c r="L17" s="54">
        <f>+NOVIEMBRE!$AG17</f>
        <v>348</v>
      </c>
      <c r="M17" s="54">
        <f>+DICIEMBRE!$AG17</f>
        <v>308</v>
      </c>
      <c r="N17" s="5">
        <f t="shared" si="0"/>
        <v>3572</v>
      </c>
    </row>
    <row r="18" spans="1:14" ht="18.75" x14ac:dyDescent="0.25">
      <c r="A18" s="56" t="s">
        <v>17</v>
      </c>
      <c r="B18" s="54">
        <f>+ENERO!AG18</f>
        <v>352</v>
      </c>
      <c r="C18" s="54">
        <f>+FEBRERO!AG18</f>
        <v>259</v>
      </c>
      <c r="D18" s="54">
        <f>+MARZO!$AG18</f>
        <v>316</v>
      </c>
      <c r="E18" s="54">
        <f>+ABRIL!$AG18</f>
        <v>219</v>
      </c>
      <c r="F18" s="54">
        <f>+MAYO!$AG18</f>
        <v>248</v>
      </c>
      <c r="G18" s="54">
        <f>+JUNIO!$AG18</f>
        <v>156</v>
      </c>
      <c r="H18" s="54">
        <f>+JULIO!$AG18</f>
        <v>175</v>
      </c>
      <c r="I18" s="54">
        <f>+AGOSTO!$AG18</f>
        <v>200</v>
      </c>
      <c r="J18" s="54">
        <f>+SEPTIEMBRE!$AG18</f>
        <v>248</v>
      </c>
      <c r="K18" s="54">
        <f>+OCTUBRE!$AG18</f>
        <v>301</v>
      </c>
      <c r="L18" s="54">
        <f>+NOVIEMBRE!$AG18</f>
        <v>287</v>
      </c>
      <c r="M18" s="54">
        <f>+DICIEMBRE!$AG18</f>
        <v>321</v>
      </c>
      <c r="N18" s="5">
        <f t="shared" si="0"/>
        <v>3082</v>
      </c>
    </row>
    <row r="19" spans="1:14" ht="18.75" x14ac:dyDescent="0.25">
      <c r="A19" s="56" t="s">
        <v>18</v>
      </c>
      <c r="B19" s="54">
        <f>+ENERO!AG19</f>
        <v>255</v>
      </c>
      <c r="C19" s="54">
        <f>+FEBRERO!AG19</f>
        <v>243</v>
      </c>
      <c r="D19" s="54">
        <f>+MARZO!$AG19</f>
        <v>200</v>
      </c>
      <c r="E19" s="54">
        <f>+ABRIL!$AG19</f>
        <v>173</v>
      </c>
      <c r="F19" s="54">
        <f>+MAYO!$AG19</f>
        <v>153</v>
      </c>
      <c r="G19" s="54">
        <f>+JUNIO!$AG19</f>
        <v>124</v>
      </c>
      <c r="H19" s="54">
        <f>+JULIO!$AG19</f>
        <v>103</v>
      </c>
      <c r="I19" s="54">
        <f>+AGOSTO!$AG19</f>
        <v>163</v>
      </c>
      <c r="J19" s="54">
        <f>+SEPTIEMBRE!$AG19</f>
        <v>185</v>
      </c>
      <c r="K19" s="54">
        <f>+OCTUBRE!$AG19</f>
        <v>200</v>
      </c>
      <c r="L19" s="54">
        <f>+NOVIEMBRE!$AG19</f>
        <v>192</v>
      </c>
      <c r="M19" s="54">
        <f>+DICIEMBRE!$AG19</f>
        <v>209</v>
      </c>
      <c r="N19" s="5">
        <f t="shared" si="0"/>
        <v>2200</v>
      </c>
    </row>
    <row r="20" spans="1:14" ht="18.75" x14ac:dyDescent="0.25">
      <c r="A20" s="56" t="s">
        <v>19</v>
      </c>
      <c r="B20" s="54">
        <f>+ENERO!AG20</f>
        <v>166</v>
      </c>
      <c r="C20" s="54">
        <f>+FEBRERO!AG20</f>
        <v>156</v>
      </c>
      <c r="D20" s="54">
        <f>+MARZO!$AG20</f>
        <v>108</v>
      </c>
      <c r="E20" s="54">
        <f>+ABRIL!$AG20</f>
        <v>108</v>
      </c>
      <c r="F20" s="54">
        <f>+MAYO!$AG20</f>
        <v>112</v>
      </c>
      <c r="G20" s="54">
        <f>+JUNIO!$AG20</f>
        <v>114</v>
      </c>
      <c r="H20" s="54">
        <f>+JULIO!$AG20</f>
        <v>100</v>
      </c>
      <c r="I20" s="54">
        <f>+AGOSTO!$AG20</f>
        <v>91</v>
      </c>
      <c r="J20" s="54">
        <f>+SEPTIEMBRE!$AG20</f>
        <v>112</v>
      </c>
      <c r="K20" s="54">
        <f>+OCTUBRE!$AG20</f>
        <v>118</v>
      </c>
      <c r="L20" s="54">
        <f>+NOVIEMBRE!$AG20</f>
        <v>118</v>
      </c>
      <c r="M20" s="54">
        <f>+DICIEMBRE!$AG20</f>
        <v>135</v>
      </c>
      <c r="N20" s="5">
        <f t="shared" si="0"/>
        <v>1438</v>
      </c>
    </row>
    <row r="21" spans="1:14" ht="15.75" customHeight="1" x14ac:dyDescent="0.25">
      <c r="A21" s="56" t="s">
        <v>20</v>
      </c>
      <c r="B21" s="54">
        <f>+ENERO!AG21</f>
        <v>105</v>
      </c>
      <c r="C21" s="54">
        <f>+FEBRERO!AG21</f>
        <v>94</v>
      </c>
      <c r="D21" s="54">
        <f>+MARZO!$AG21</f>
        <v>90</v>
      </c>
      <c r="E21" s="54">
        <f>+ABRIL!$AG21</f>
        <v>78</v>
      </c>
      <c r="F21" s="54">
        <f>+MAYO!$AG21</f>
        <v>106</v>
      </c>
      <c r="G21" s="54">
        <f>+JUNIO!$AG21</f>
        <v>71</v>
      </c>
      <c r="H21" s="54">
        <f>+JULIO!$AG21</f>
        <v>62</v>
      </c>
      <c r="I21" s="54">
        <f>+AGOSTO!$AG21</f>
        <v>72</v>
      </c>
      <c r="J21" s="54">
        <f>+SEPTIEMBRE!$AG21</f>
        <v>83</v>
      </c>
      <c r="K21" s="54">
        <f>+OCTUBRE!$AG21</f>
        <v>80</v>
      </c>
      <c r="L21" s="54">
        <f>+NOVIEMBRE!$AG21</f>
        <v>84</v>
      </c>
      <c r="M21" s="54">
        <f>+DICIEMBRE!$AG21</f>
        <v>111</v>
      </c>
      <c r="N21" s="5">
        <f t="shared" si="0"/>
        <v>1036</v>
      </c>
    </row>
    <row r="22" spans="1:14" ht="15.75" customHeight="1" x14ac:dyDescent="0.25">
      <c r="A22" s="56" t="s">
        <v>21</v>
      </c>
      <c r="B22" s="54">
        <f>+ENERO!AG22</f>
        <v>51</v>
      </c>
      <c r="C22" s="54">
        <f>+FEBRERO!AG22</f>
        <v>72</v>
      </c>
      <c r="D22" s="54">
        <f>+MARZO!$AG22</f>
        <v>54</v>
      </c>
      <c r="E22" s="54">
        <f>+ABRIL!$AG22</f>
        <v>56</v>
      </c>
      <c r="F22" s="54">
        <f>+MAYO!$AG22</f>
        <v>53</v>
      </c>
      <c r="G22" s="54">
        <f>+JUNIO!$AG22</f>
        <v>50</v>
      </c>
      <c r="H22" s="54">
        <f>+JULIO!$AG22</f>
        <v>45</v>
      </c>
      <c r="I22" s="54">
        <f>+AGOSTO!$AG22</f>
        <v>51</v>
      </c>
      <c r="J22" s="54">
        <f>+SEPTIEMBRE!$AG22</f>
        <v>68</v>
      </c>
      <c r="K22" s="54">
        <f>+OCTUBRE!$AG22</f>
        <v>73</v>
      </c>
      <c r="L22" s="54">
        <f>+NOVIEMBRE!$AG22</f>
        <v>55</v>
      </c>
      <c r="M22" s="54">
        <f>+DICIEMBRE!$AG22</f>
        <v>69</v>
      </c>
      <c r="N22" s="5">
        <f t="shared" si="0"/>
        <v>697</v>
      </c>
    </row>
    <row r="23" spans="1:14" ht="15.75" customHeight="1" x14ac:dyDescent="0.25">
      <c r="A23" s="56" t="s">
        <v>22</v>
      </c>
      <c r="B23" s="54">
        <f>+ENERO!AG23</f>
        <v>49</v>
      </c>
      <c r="C23" s="54">
        <f>+FEBRERO!AG23</f>
        <v>55</v>
      </c>
      <c r="D23" s="54">
        <f>+MARZO!$AG23</f>
        <v>42</v>
      </c>
      <c r="E23" s="54">
        <f>+ABRIL!$AG23</f>
        <v>49</v>
      </c>
      <c r="F23" s="54">
        <f>+MAYO!$AG23</f>
        <v>54</v>
      </c>
      <c r="G23" s="54">
        <f>+JUNIO!$AG23</f>
        <v>48</v>
      </c>
      <c r="H23" s="54">
        <f>+JULIO!$AG23</f>
        <v>36</v>
      </c>
      <c r="I23" s="54">
        <f>+AGOSTO!$AG23</f>
        <v>46</v>
      </c>
      <c r="J23" s="54">
        <f>+SEPTIEMBRE!$AG23</f>
        <v>50</v>
      </c>
      <c r="K23" s="54">
        <f>+OCTUBRE!$AG23</f>
        <v>44</v>
      </c>
      <c r="L23" s="54">
        <f>+NOVIEMBRE!$AG23</f>
        <v>47</v>
      </c>
      <c r="M23" s="54">
        <f>+DICIEMBRE!$AG23</f>
        <v>63</v>
      </c>
      <c r="N23" s="5">
        <f t="shared" si="0"/>
        <v>583</v>
      </c>
    </row>
    <row r="24" spans="1:14" ht="15.75" customHeight="1" x14ac:dyDescent="0.25">
      <c r="A24" s="56" t="s">
        <v>23</v>
      </c>
      <c r="B24" s="54">
        <f>+ENERO!AG24</f>
        <v>36</v>
      </c>
      <c r="C24" s="54">
        <f>+FEBRERO!AG24</f>
        <v>34</v>
      </c>
      <c r="D24" s="54">
        <f>+MARZO!$AG24</f>
        <v>33</v>
      </c>
      <c r="E24" s="54">
        <f>+ABRIL!$AG24</f>
        <v>41</v>
      </c>
      <c r="F24" s="54">
        <f>+MAYO!$AG24</f>
        <v>57</v>
      </c>
      <c r="G24" s="54">
        <f>+JUNIO!$AG24</f>
        <v>40</v>
      </c>
      <c r="H24" s="54">
        <f>+JULIO!$AG24</f>
        <v>33</v>
      </c>
      <c r="I24" s="54">
        <f>+AGOSTO!$AG24</f>
        <v>28</v>
      </c>
      <c r="J24" s="54">
        <f>+SEPTIEMBRE!$AG24</f>
        <v>40</v>
      </c>
      <c r="K24" s="54">
        <f>+OCTUBRE!$AG24</f>
        <v>37</v>
      </c>
      <c r="L24" s="54">
        <f>+NOVIEMBRE!$AG24</f>
        <v>41</v>
      </c>
      <c r="M24" s="54">
        <f>+DICIEMBRE!$AG24</f>
        <v>51</v>
      </c>
      <c r="N24" s="5">
        <f t="shared" si="0"/>
        <v>471</v>
      </c>
    </row>
    <row r="25" spans="1:14" ht="15.75" customHeight="1" x14ac:dyDescent="0.25">
      <c r="A25" s="56" t="s">
        <v>24</v>
      </c>
      <c r="B25" s="54">
        <f>+ENERO!AG25</f>
        <v>45</v>
      </c>
      <c r="C25" s="54">
        <f>+FEBRERO!AG25</f>
        <v>44</v>
      </c>
      <c r="D25" s="54">
        <f>+MARZO!$AG25</f>
        <v>26</v>
      </c>
      <c r="E25" s="54">
        <f>+ABRIL!$AG25</f>
        <v>28</v>
      </c>
      <c r="F25" s="54">
        <f>+MAYO!$AG25</f>
        <v>46</v>
      </c>
      <c r="G25" s="54">
        <f>+JUNIO!$AG25</f>
        <v>27</v>
      </c>
      <c r="H25" s="54">
        <f>+JULIO!$AG25</f>
        <v>24</v>
      </c>
      <c r="I25" s="54">
        <f>+AGOSTO!$AG25</f>
        <v>29</v>
      </c>
      <c r="J25" s="54">
        <f>+SEPTIEMBRE!$AG25</f>
        <v>52</v>
      </c>
      <c r="K25" s="54">
        <f>+OCTUBRE!$AG25</f>
        <v>40</v>
      </c>
      <c r="L25" s="54">
        <f>+NOVIEMBRE!$AG25</f>
        <v>31</v>
      </c>
      <c r="M25" s="54">
        <f>+DICIEMBRE!$AG25</f>
        <v>39</v>
      </c>
      <c r="N25" s="5">
        <f t="shared" si="0"/>
        <v>431</v>
      </c>
    </row>
    <row r="26" spans="1:14" ht="15.75" customHeight="1" x14ac:dyDescent="0.25">
      <c r="A26" s="56" t="s">
        <v>25</v>
      </c>
      <c r="B26" s="54">
        <f>+ENERO!AG26</f>
        <v>48</v>
      </c>
      <c r="C26" s="54">
        <f>+FEBRERO!AG26</f>
        <v>35</v>
      </c>
      <c r="D26" s="54">
        <f>+MARZO!$AG26</f>
        <v>29</v>
      </c>
      <c r="E26" s="54">
        <f>+ABRIL!$AG26</f>
        <v>29</v>
      </c>
      <c r="F26" s="54">
        <f>+MAYO!$AG26</f>
        <v>32</v>
      </c>
      <c r="G26" s="54">
        <f>+JUNIO!$AG26</f>
        <v>25</v>
      </c>
      <c r="H26" s="54">
        <f>+JULIO!$AG26</f>
        <v>34</v>
      </c>
      <c r="I26" s="54">
        <f>+AGOSTO!$AG26</f>
        <v>28</v>
      </c>
      <c r="J26" s="54">
        <f>+SEPTIEMBRE!$AG26</f>
        <v>36</v>
      </c>
      <c r="K26" s="54">
        <f>+OCTUBRE!$AG26</f>
        <v>43</v>
      </c>
      <c r="L26" s="54">
        <f>+NOVIEMBRE!$AG26</f>
        <v>46</v>
      </c>
      <c r="M26" s="54">
        <f>+DICIEMBRE!$AG26</f>
        <v>40</v>
      </c>
      <c r="N26" s="5">
        <f t="shared" si="0"/>
        <v>425</v>
      </c>
    </row>
    <row r="27" spans="1:14" ht="15.75" customHeight="1" thickBot="1" x14ac:dyDescent="0.3">
      <c r="A27" s="57" t="s">
        <v>26</v>
      </c>
      <c r="B27" s="58">
        <f>+ENERO!AG27</f>
        <v>22</v>
      </c>
      <c r="C27" s="58">
        <f>+FEBRERO!AG27</f>
        <v>21</v>
      </c>
      <c r="D27" s="58">
        <f>+MARZO!$AG27</f>
        <v>16</v>
      </c>
      <c r="E27" s="58">
        <f>+ABRIL!$AG27</f>
        <v>19</v>
      </c>
      <c r="F27" s="58">
        <f>+MAYO!$AG27</f>
        <v>34</v>
      </c>
      <c r="G27" s="58">
        <f>+JUNIO!$AG27</f>
        <v>55</v>
      </c>
      <c r="H27" s="58">
        <f>+JULIO!$AG27</f>
        <v>16</v>
      </c>
      <c r="I27" s="58">
        <f>+AGOSTO!$AG27</f>
        <v>24</v>
      </c>
      <c r="J27" s="58">
        <f>+SEPTIEMBRE!$AG27</f>
        <v>26</v>
      </c>
      <c r="K27" s="58">
        <f>+OCTUBRE!$AG27</f>
        <v>20</v>
      </c>
      <c r="L27" s="58">
        <f>+NOVIEMBRE!$AG27</f>
        <v>33</v>
      </c>
      <c r="M27" s="58">
        <f>+DICIEMBRE!$AG27</f>
        <v>31</v>
      </c>
      <c r="N27" s="5">
        <f t="shared" si="0"/>
        <v>317</v>
      </c>
    </row>
    <row r="28" spans="1:14" ht="15.75" customHeight="1" x14ac:dyDescent="0.25">
      <c r="A28" s="59" t="s">
        <v>27</v>
      </c>
      <c r="B28" s="6">
        <f>+ENERO!AG28</f>
        <v>4380</v>
      </c>
      <c r="C28" s="6">
        <f>+FEBRERO!AG28</f>
        <v>4102</v>
      </c>
      <c r="D28" s="6">
        <f>+MARZO!$AG28</f>
        <v>4571</v>
      </c>
      <c r="E28" s="6">
        <f>+ABRIL!$AG28</f>
        <v>4427</v>
      </c>
      <c r="F28" s="6">
        <f>+MAYO!$AG28</f>
        <v>5484</v>
      </c>
      <c r="G28" s="6">
        <f>+JUNIO!$AG28</f>
        <v>4403</v>
      </c>
      <c r="H28" s="6">
        <f>+JULIO!$AG28</f>
        <v>3705</v>
      </c>
      <c r="I28" s="6">
        <f>+AGOSTO!$AG28</f>
        <v>4361</v>
      </c>
      <c r="J28" s="6">
        <f>+SEPTIEMBRE!$AG28</f>
        <v>4725</v>
      </c>
      <c r="K28" s="6">
        <f>+OCTUBRE!$AG28</f>
        <v>4511</v>
      </c>
      <c r="L28" s="6">
        <f>+NOVIEMBRE!$AG28</f>
        <v>4543</v>
      </c>
      <c r="M28" s="6">
        <f>+DICIEMBRE!$AG28</f>
        <v>4261</v>
      </c>
      <c r="N28" s="7">
        <f t="shared" si="0"/>
        <v>53473</v>
      </c>
    </row>
    <row r="29" spans="1:14" ht="15.75" customHeight="1" x14ac:dyDescent="0.25">
      <c r="A29" s="53" t="s">
        <v>3</v>
      </c>
      <c r="B29" s="54">
        <f>+ENERO!AG29</f>
        <v>37</v>
      </c>
      <c r="C29" s="55">
        <f>+FEBRERO!AG29</f>
        <v>30</v>
      </c>
      <c r="D29" s="55">
        <f>+MARZO!$AG29</f>
        <v>31</v>
      </c>
      <c r="E29" s="55">
        <f>+ABRIL!$AG29</f>
        <v>39</v>
      </c>
      <c r="F29" s="55">
        <f>+MAYO!$AG29</f>
        <v>60</v>
      </c>
      <c r="G29" s="55">
        <f>+JUNIO!$AG29</f>
        <v>119</v>
      </c>
      <c r="H29" s="55">
        <f>+JULIO!$AG29</f>
        <v>19</v>
      </c>
      <c r="I29" s="55">
        <f>+AGOSTO!$AG29</f>
        <v>44</v>
      </c>
      <c r="J29" s="55">
        <f>+SEPTIEMBRE!$AG29</f>
        <v>54</v>
      </c>
      <c r="K29" s="55">
        <f>+OCTUBRE!$AG29</f>
        <v>24</v>
      </c>
      <c r="L29" s="55">
        <f>+NOVIEMBRE!$AG29</f>
        <v>49</v>
      </c>
      <c r="M29" s="55">
        <f>+DICIEMBRE!$AG29</f>
        <v>48</v>
      </c>
      <c r="N29" s="5">
        <f t="shared" si="0"/>
        <v>554</v>
      </c>
    </row>
    <row r="30" spans="1:14" ht="15.75" customHeight="1" x14ac:dyDescent="0.25">
      <c r="A30" s="56" t="s">
        <v>4</v>
      </c>
      <c r="B30" s="54">
        <f>+ENERO!AG30</f>
        <v>55</v>
      </c>
      <c r="C30" s="54">
        <f>+FEBRERO!AG30</f>
        <v>51</v>
      </c>
      <c r="D30" s="54">
        <f>+MARZO!$AG30</f>
        <v>72</v>
      </c>
      <c r="E30" s="54">
        <f>+ABRIL!$AG30</f>
        <v>64</v>
      </c>
      <c r="F30" s="54">
        <f>+MAYO!$AG30</f>
        <v>135</v>
      </c>
      <c r="G30" s="54">
        <f>+JUNIO!$AG30</f>
        <v>161</v>
      </c>
      <c r="H30" s="54">
        <f>+JULIO!$AG30</f>
        <v>44</v>
      </c>
      <c r="I30" s="54">
        <f>+AGOSTO!$AG30</f>
        <v>75</v>
      </c>
      <c r="J30" s="54">
        <f>+SEPTIEMBRE!$AG30</f>
        <v>76</v>
      </c>
      <c r="K30" s="54">
        <f>+OCTUBRE!$AG30</f>
        <v>78</v>
      </c>
      <c r="L30" s="54">
        <f>+NOVIEMBRE!$AG30</f>
        <v>73</v>
      </c>
      <c r="M30" s="54">
        <f>+DICIEMBRE!$AG30</f>
        <v>95</v>
      </c>
      <c r="N30" s="5">
        <f t="shared" si="0"/>
        <v>979</v>
      </c>
    </row>
    <row r="31" spans="1:14" ht="15.75" customHeight="1" x14ac:dyDescent="0.25">
      <c r="A31" s="56" t="s">
        <v>5</v>
      </c>
      <c r="B31" s="54">
        <f>+ENERO!AG31</f>
        <v>61</v>
      </c>
      <c r="C31" s="54">
        <f>+FEBRERO!AG31</f>
        <v>96</v>
      </c>
      <c r="D31" s="54">
        <f>+MARZO!$AG31</f>
        <v>129</v>
      </c>
      <c r="E31" s="54">
        <f>+ABRIL!$AG31</f>
        <v>104</v>
      </c>
      <c r="F31" s="54">
        <f>+MAYO!$AG31</f>
        <v>194</v>
      </c>
      <c r="G31" s="54">
        <f>+JUNIO!$AG31</f>
        <v>263</v>
      </c>
      <c r="H31" s="54">
        <f>+JULIO!$AG31</f>
        <v>82</v>
      </c>
      <c r="I31" s="54">
        <f>+AGOSTO!$AG31</f>
        <v>128</v>
      </c>
      <c r="J31" s="54">
        <f>+SEPTIEMBRE!$AG31</f>
        <v>147</v>
      </c>
      <c r="K31" s="54">
        <f>+OCTUBRE!$AG31</f>
        <v>138</v>
      </c>
      <c r="L31" s="54">
        <f>+NOVIEMBRE!$AG31</f>
        <v>114</v>
      </c>
      <c r="M31" s="54">
        <f>+DICIEMBRE!$AG31</f>
        <v>95</v>
      </c>
      <c r="N31" s="5">
        <f t="shared" si="0"/>
        <v>1551</v>
      </c>
    </row>
    <row r="32" spans="1:14" ht="15.75" customHeight="1" x14ac:dyDescent="0.25">
      <c r="A32" s="56" t="s">
        <v>6</v>
      </c>
      <c r="B32" s="54">
        <f>+ENERO!AG32</f>
        <v>96</v>
      </c>
      <c r="C32" s="54">
        <f>+FEBRERO!AG32</f>
        <v>73</v>
      </c>
      <c r="D32" s="54">
        <f>+MARZO!$AG32</f>
        <v>122</v>
      </c>
      <c r="E32" s="54">
        <f>+ABRIL!$AG32</f>
        <v>92</v>
      </c>
      <c r="F32" s="54">
        <f>+MAYO!$AG32</f>
        <v>162</v>
      </c>
      <c r="G32" s="54">
        <f>+JUNIO!$AG32</f>
        <v>245</v>
      </c>
      <c r="H32" s="54">
        <f>+JULIO!$AG32</f>
        <v>89</v>
      </c>
      <c r="I32" s="54">
        <f>+AGOSTO!$AG32</f>
        <v>131</v>
      </c>
      <c r="J32" s="54">
        <f>+SEPTIEMBRE!$AG32</f>
        <v>149</v>
      </c>
      <c r="K32" s="54">
        <f>+OCTUBRE!$AG32</f>
        <v>105</v>
      </c>
      <c r="L32" s="54">
        <f>+NOVIEMBRE!$AG32</f>
        <v>139</v>
      </c>
      <c r="M32" s="54">
        <f>+DICIEMBRE!$AG32</f>
        <v>110</v>
      </c>
      <c r="N32" s="5">
        <f t="shared" si="0"/>
        <v>1513</v>
      </c>
    </row>
    <row r="33" spans="1:14" ht="15.75" customHeight="1" x14ac:dyDescent="0.25">
      <c r="A33" s="56" t="s">
        <v>7</v>
      </c>
      <c r="B33" s="54">
        <f>+ENERO!AG33</f>
        <v>80</v>
      </c>
      <c r="C33" s="54">
        <f>+FEBRERO!AG33</f>
        <v>79</v>
      </c>
      <c r="D33" s="54">
        <f>+MARZO!$AG33</f>
        <v>129</v>
      </c>
      <c r="E33" s="54">
        <f>+ABRIL!$AG33</f>
        <v>87</v>
      </c>
      <c r="F33" s="54">
        <f>+MAYO!$AG33</f>
        <v>183</v>
      </c>
      <c r="G33" s="54">
        <f>+JUNIO!$AG33</f>
        <v>293</v>
      </c>
      <c r="H33" s="54">
        <f>+JULIO!$AG33</f>
        <v>97</v>
      </c>
      <c r="I33" s="54">
        <f>+AGOSTO!$AG33</f>
        <v>144</v>
      </c>
      <c r="J33" s="54">
        <f>+SEPTIEMBRE!$AG33</f>
        <v>167</v>
      </c>
      <c r="K33" s="54">
        <f>+OCTUBRE!$AG33</f>
        <v>122</v>
      </c>
      <c r="L33" s="54">
        <f>+NOVIEMBRE!$AG33</f>
        <v>124</v>
      </c>
      <c r="M33" s="54">
        <f>+DICIEMBRE!$AG33</f>
        <v>121</v>
      </c>
      <c r="N33" s="5">
        <f t="shared" si="0"/>
        <v>1626</v>
      </c>
    </row>
    <row r="34" spans="1:14" ht="15.75" customHeight="1" x14ac:dyDescent="0.25">
      <c r="A34" s="56" t="s">
        <v>8</v>
      </c>
      <c r="B34" s="54">
        <f>+ENERO!AG34</f>
        <v>74</v>
      </c>
      <c r="C34" s="54">
        <f>+FEBRERO!AG34</f>
        <v>94</v>
      </c>
      <c r="D34" s="54">
        <f>+MARZO!$AG34</f>
        <v>101</v>
      </c>
      <c r="E34" s="54">
        <f>+ABRIL!$AG34</f>
        <v>100</v>
      </c>
      <c r="F34" s="54">
        <f>+MAYO!$AG34</f>
        <v>171</v>
      </c>
      <c r="G34" s="54">
        <f>+JUNIO!$AG34</f>
        <v>271</v>
      </c>
      <c r="H34" s="54">
        <f>+JULIO!$AG34</f>
        <v>99</v>
      </c>
      <c r="I34" s="54">
        <f>+AGOSTO!$AG34</f>
        <v>109</v>
      </c>
      <c r="J34" s="54">
        <f>+SEPTIEMBRE!$AG34</f>
        <v>135</v>
      </c>
      <c r="K34" s="54">
        <f>+OCTUBRE!$AG34</f>
        <v>94</v>
      </c>
      <c r="L34" s="54">
        <f>+NOVIEMBRE!$AG34</f>
        <v>100</v>
      </c>
      <c r="M34" s="54">
        <f>+DICIEMBRE!$AG34</f>
        <v>114</v>
      </c>
      <c r="N34" s="5">
        <f t="shared" si="0"/>
        <v>1462</v>
      </c>
    </row>
    <row r="35" spans="1:14" ht="15.75" customHeight="1" x14ac:dyDescent="0.25">
      <c r="A35" s="56" t="s">
        <v>9</v>
      </c>
      <c r="B35" s="54">
        <f>+ENERO!AG35</f>
        <v>96</v>
      </c>
      <c r="C35" s="54">
        <f>+FEBRERO!AG35</f>
        <v>63</v>
      </c>
      <c r="D35" s="54">
        <f>+MARZO!$AG35</f>
        <v>108</v>
      </c>
      <c r="E35" s="54">
        <f>+ABRIL!$AG35</f>
        <v>92</v>
      </c>
      <c r="F35" s="54">
        <f>+MAYO!$AG35</f>
        <v>163</v>
      </c>
      <c r="G35" s="54">
        <f>+JUNIO!$AG35</f>
        <v>223</v>
      </c>
      <c r="H35" s="54">
        <f>+JULIO!$AG35</f>
        <v>68</v>
      </c>
      <c r="I35" s="54">
        <f>+AGOSTO!$AG35</f>
        <v>115</v>
      </c>
      <c r="J35" s="54">
        <f>+SEPTIEMBRE!$AG35</f>
        <v>108</v>
      </c>
      <c r="K35" s="54">
        <f>+OCTUBRE!$AG35</f>
        <v>91</v>
      </c>
      <c r="L35" s="54">
        <f>+NOVIEMBRE!$AG35</f>
        <v>86</v>
      </c>
      <c r="M35" s="54">
        <f>+DICIEMBRE!$AG35</f>
        <v>84</v>
      </c>
      <c r="N35" s="5">
        <f t="shared" ref="N35:N66" si="1">SUM(B35:M35)</f>
        <v>1297</v>
      </c>
    </row>
    <row r="36" spans="1:14" ht="15.75" customHeight="1" x14ac:dyDescent="0.25">
      <c r="A36" s="56" t="s">
        <v>10</v>
      </c>
      <c r="B36" s="54">
        <f>+ENERO!AG36</f>
        <v>75</v>
      </c>
      <c r="C36" s="54">
        <f>+FEBRERO!AG36</f>
        <v>88</v>
      </c>
      <c r="D36" s="54">
        <f>+MARZO!$AG36</f>
        <v>119</v>
      </c>
      <c r="E36" s="54">
        <f>+ABRIL!$AG36</f>
        <v>66</v>
      </c>
      <c r="F36" s="54">
        <f>+MAYO!$AG36</f>
        <v>149</v>
      </c>
      <c r="G36" s="54">
        <f>+JUNIO!$AG36</f>
        <v>207</v>
      </c>
      <c r="H36" s="54">
        <f>+JULIO!$AG36</f>
        <v>77</v>
      </c>
      <c r="I36" s="54">
        <f>+AGOSTO!$AG36</f>
        <v>112</v>
      </c>
      <c r="J36" s="54">
        <f>+SEPTIEMBRE!$AG36</f>
        <v>132</v>
      </c>
      <c r="K36" s="54">
        <f>+OCTUBRE!$AG36</f>
        <v>97</v>
      </c>
      <c r="L36" s="54">
        <f>+NOVIEMBRE!$AG36</f>
        <v>99</v>
      </c>
      <c r="M36" s="54">
        <f>+DICIEMBRE!$AG36</f>
        <v>92</v>
      </c>
      <c r="N36" s="5">
        <f t="shared" si="1"/>
        <v>1313</v>
      </c>
    </row>
    <row r="37" spans="1:14" ht="15.75" customHeight="1" x14ac:dyDescent="0.25">
      <c r="A37" s="56" t="s">
        <v>11</v>
      </c>
      <c r="B37" s="54">
        <f>+ENERO!AG37</f>
        <v>118</v>
      </c>
      <c r="C37" s="54">
        <f>+FEBRERO!AG37</f>
        <v>107</v>
      </c>
      <c r="D37" s="54">
        <f>+MARZO!$AG37</f>
        <v>132</v>
      </c>
      <c r="E37" s="54">
        <f>+ABRIL!$AG37</f>
        <v>133</v>
      </c>
      <c r="F37" s="54">
        <f>+MAYO!$AG37</f>
        <v>198</v>
      </c>
      <c r="G37" s="54">
        <f>+JUNIO!$AG37</f>
        <v>314</v>
      </c>
      <c r="H37" s="54">
        <f>+JULIO!$AG37</f>
        <v>161</v>
      </c>
      <c r="I37" s="54">
        <f>+AGOSTO!$AG37</f>
        <v>179</v>
      </c>
      <c r="J37" s="54">
        <f>+SEPTIEMBRE!$AG37</f>
        <v>162</v>
      </c>
      <c r="K37" s="54">
        <f>+OCTUBRE!$AG37</f>
        <v>122</v>
      </c>
      <c r="L37" s="54">
        <f>+NOVIEMBRE!$AG37</f>
        <v>166</v>
      </c>
      <c r="M37" s="54">
        <f>+DICIEMBRE!$AG37</f>
        <v>126</v>
      </c>
      <c r="N37" s="5">
        <f t="shared" si="1"/>
        <v>1918</v>
      </c>
    </row>
    <row r="38" spans="1:14" ht="15.75" customHeight="1" x14ac:dyDescent="0.25">
      <c r="A38" s="56" t="s">
        <v>12</v>
      </c>
      <c r="B38" s="54">
        <f>+ENERO!AG38</f>
        <v>293</v>
      </c>
      <c r="C38" s="54">
        <f>+FEBRERO!AG38</f>
        <v>335</v>
      </c>
      <c r="D38" s="54">
        <f>+MARZO!$AG38</f>
        <v>322</v>
      </c>
      <c r="E38" s="54">
        <f>+ABRIL!$AG38</f>
        <v>286</v>
      </c>
      <c r="F38" s="54">
        <f>+MAYO!$AG38</f>
        <v>327</v>
      </c>
      <c r="G38" s="54">
        <f>+JUNIO!$AG38</f>
        <v>332</v>
      </c>
      <c r="H38" s="54">
        <f>+JULIO!$AG38</f>
        <v>387</v>
      </c>
      <c r="I38" s="54">
        <f>+AGOSTO!$AG38</f>
        <v>310</v>
      </c>
      <c r="J38" s="54">
        <f>+SEPTIEMBRE!$AG38</f>
        <v>358</v>
      </c>
      <c r="K38" s="54">
        <f>+OCTUBRE!$AG38</f>
        <v>314</v>
      </c>
      <c r="L38" s="54">
        <f>+NOVIEMBRE!$AG38</f>
        <v>295</v>
      </c>
      <c r="M38" s="54">
        <f>+DICIEMBRE!$AG38</f>
        <v>293</v>
      </c>
      <c r="N38" s="5">
        <f t="shared" si="1"/>
        <v>3852</v>
      </c>
    </row>
    <row r="39" spans="1:14" ht="15.75" customHeight="1" x14ac:dyDescent="0.25">
      <c r="A39" s="56" t="s">
        <v>13</v>
      </c>
      <c r="B39" s="54">
        <f>+ENERO!AG39</f>
        <v>451</v>
      </c>
      <c r="C39" s="54">
        <f>+FEBRERO!AG39</f>
        <v>452</v>
      </c>
      <c r="D39" s="54">
        <f>+MARZO!$AG39</f>
        <v>429</v>
      </c>
      <c r="E39" s="54">
        <f>+ABRIL!$AG39</f>
        <v>450</v>
      </c>
      <c r="F39" s="54">
        <f>+MAYO!$AG39</f>
        <v>481</v>
      </c>
      <c r="G39" s="54">
        <f>+JUNIO!$AG39</f>
        <v>401</v>
      </c>
      <c r="H39" s="54">
        <f>+JULIO!$AG39</f>
        <v>476</v>
      </c>
      <c r="I39" s="54">
        <f>+AGOSTO!$AG39</f>
        <v>510</v>
      </c>
      <c r="J39" s="54">
        <f>+SEPTIEMBRE!$AG39</f>
        <v>460</v>
      </c>
      <c r="K39" s="54">
        <f>+OCTUBRE!$AG39</f>
        <v>447</v>
      </c>
      <c r="L39" s="54">
        <f>+NOVIEMBRE!$AG39</f>
        <v>437</v>
      </c>
      <c r="M39" s="54">
        <f>+DICIEMBRE!$AG39</f>
        <v>441</v>
      </c>
      <c r="N39" s="5">
        <f t="shared" si="1"/>
        <v>5435</v>
      </c>
    </row>
    <row r="40" spans="1:14" ht="15.75" customHeight="1" x14ac:dyDescent="0.25">
      <c r="A40" s="56" t="s">
        <v>14</v>
      </c>
      <c r="B40" s="54">
        <f>+ENERO!AG40</f>
        <v>577</v>
      </c>
      <c r="C40" s="54">
        <f>+FEBRERO!AG40</f>
        <v>551</v>
      </c>
      <c r="D40" s="54">
        <f>+MARZO!$AG40</f>
        <v>507</v>
      </c>
      <c r="E40" s="54">
        <f>+ABRIL!$AG40</f>
        <v>544</v>
      </c>
      <c r="F40" s="54">
        <f>+MAYO!$AG40</f>
        <v>557</v>
      </c>
      <c r="G40" s="54">
        <f>+JUNIO!$AG40</f>
        <v>322</v>
      </c>
      <c r="H40" s="54">
        <f>+JULIO!$AG40</f>
        <v>589</v>
      </c>
      <c r="I40" s="54">
        <f>+AGOSTO!$AG40</f>
        <v>531</v>
      </c>
      <c r="J40" s="54">
        <f>+SEPTIEMBRE!$AG40</f>
        <v>486</v>
      </c>
      <c r="K40" s="54">
        <f>+OCTUBRE!$AG40</f>
        <v>478</v>
      </c>
      <c r="L40" s="54">
        <f>+NOVIEMBRE!$AG40</f>
        <v>474</v>
      </c>
      <c r="M40" s="54">
        <f>+DICIEMBRE!$AG40</f>
        <v>436</v>
      </c>
      <c r="N40" s="5">
        <f t="shared" si="1"/>
        <v>6052</v>
      </c>
    </row>
    <row r="41" spans="1:14" ht="15.75" customHeight="1" x14ac:dyDescent="0.25">
      <c r="A41" s="56" t="s">
        <v>15</v>
      </c>
      <c r="B41" s="54">
        <f>+ENERO!AG41</f>
        <v>496</v>
      </c>
      <c r="C41" s="54">
        <f>+FEBRERO!AG41</f>
        <v>477</v>
      </c>
      <c r="D41" s="54">
        <f>+MARZO!$AG41</f>
        <v>545</v>
      </c>
      <c r="E41" s="54">
        <f>+ABRIL!$AG41</f>
        <v>551</v>
      </c>
      <c r="F41" s="54">
        <f>+MAYO!$AG41</f>
        <v>546</v>
      </c>
      <c r="G41" s="54">
        <f>+JUNIO!$AG41</f>
        <v>275</v>
      </c>
      <c r="H41" s="54">
        <f>+JULIO!$AG41</f>
        <v>461</v>
      </c>
      <c r="I41" s="54">
        <f>+AGOSTO!$AG41</f>
        <v>492</v>
      </c>
      <c r="J41" s="54">
        <f>+SEPTIEMBRE!$AG41</f>
        <v>454</v>
      </c>
      <c r="K41" s="54">
        <f>+OCTUBRE!$AG41</f>
        <v>508</v>
      </c>
      <c r="L41" s="54">
        <f>+NOVIEMBRE!$AG41</f>
        <v>457</v>
      </c>
      <c r="M41" s="54">
        <f>+DICIEMBRE!$AG41</f>
        <v>384</v>
      </c>
      <c r="N41" s="5">
        <f t="shared" si="1"/>
        <v>5646</v>
      </c>
    </row>
    <row r="42" spans="1:14" ht="15.75" customHeight="1" x14ac:dyDescent="0.25">
      <c r="A42" s="56" t="s">
        <v>16</v>
      </c>
      <c r="B42" s="54">
        <f>+ENERO!AG42</f>
        <v>427</v>
      </c>
      <c r="C42" s="54">
        <f>+FEBRERO!AG42</f>
        <v>368</v>
      </c>
      <c r="D42" s="54">
        <f>+MARZO!$AG42</f>
        <v>460</v>
      </c>
      <c r="E42" s="54">
        <f>+ABRIL!$AG42</f>
        <v>485</v>
      </c>
      <c r="F42" s="54">
        <f>+MAYO!$AG42</f>
        <v>505</v>
      </c>
      <c r="G42" s="54">
        <f>+JUNIO!$AG42</f>
        <v>218</v>
      </c>
      <c r="H42" s="54">
        <f>+JULIO!$AG42</f>
        <v>285</v>
      </c>
      <c r="I42" s="54">
        <f>+AGOSTO!$AG42</f>
        <v>402</v>
      </c>
      <c r="J42" s="54">
        <f>+SEPTIEMBRE!$AG42</f>
        <v>384</v>
      </c>
      <c r="K42" s="54">
        <f>+OCTUBRE!$AG42</f>
        <v>394</v>
      </c>
      <c r="L42" s="54">
        <f>+NOVIEMBRE!$AG42</f>
        <v>390</v>
      </c>
      <c r="M42" s="54">
        <f>+DICIEMBRE!$AG42</f>
        <v>363</v>
      </c>
      <c r="N42" s="5">
        <f t="shared" si="1"/>
        <v>4681</v>
      </c>
    </row>
    <row r="43" spans="1:14" ht="15.75" customHeight="1" x14ac:dyDescent="0.25">
      <c r="A43" s="56" t="s">
        <v>17</v>
      </c>
      <c r="B43" s="54">
        <f>+ENERO!AG43</f>
        <v>292</v>
      </c>
      <c r="C43" s="54">
        <f>+FEBRERO!AG43</f>
        <v>236</v>
      </c>
      <c r="D43" s="54">
        <f>+MARZO!$AG43</f>
        <v>358</v>
      </c>
      <c r="E43" s="54">
        <f>+ABRIL!$AG43</f>
        <v>303</v>
      </c>
      <c r="F43" s="54">
        <f>+MAYO!$AG43</f>
        <v>325</v>
      </c>
      <c r="G43" s="54">
        <f>+JUNIO!$AG43</f>
        <v>166</v>
      </c>
      <c r="H43" s="54">
        <f>+JULIO!$AG43</f>
        <v>221</v>
      </c>
      <c r="I43" s="54">
        <f>+AGOSTO!$AG43</f>
        <v>276</v>
      </c>
      <c r="J43" s="54">
        <f>+SEPTIEMBRE!$AG43</f>
        <v>365</v>
      </c>
      <c r="K43" s="54">
        <f>+OCTUBRE!$AG43</f>
        <v>282</v>
      </c>
      <c r="L43" s="54">
        <f>+NOVIEMBRE!$AG43</f>
        <v>350</v>
      </c>
      <c r="M43" s="54">
        <f>+DICIEMBRE!$AG43</f>
        <v>301</v>
      </c>
      <c r="N43" s="5">
        <f t="shared" si="1"/>
        <v>3475</v>
      </c>
    </row>
    <row r="44" spans="1:14" ht="15.75" customHeight="1" x14ac:dyDescent="0.25">
      <c r="A44" s="56" t="s">
        <v>18</v>
      </c>
      <c r="B44" s="54">
        <f>+ENERO!AG44</f>
        <v>272</v>
      </c>
      <c r="C44" s="54">
        <f>+FEBRERO!AG44</f>
        <v>221</v>
      </c>
      <c r="D44" s="54">
        <f>+MARZO!$AG44</f>
        <v>269</v>
      </c>
      <c r="E44" s="54">
        <f>+ABRIL!$AG44</f>
        <v>277</v>
      </c>
      <c r="F44" s="54">
        <f>+MAYO!$AG44</f>
        <v>275</v>
      </c>
      <c r="G44" s="54">
        <f>+JUNIO!$AG44</f>
        <v>130</v>
      </c>
      <c r="H44" s="54">
        <f>+JULIO!$AG44</f>
        <v>149</v>
      </c>
      <c r="I44" s="54">
        <f>+AGOSTO!$AG44</f>
        <v>237</v>
      </c>
      <c r="J44" s="54">
        <f>+SEPTIEMBRE!$AG44</f>
        <v>258</v>
      </c>
      <c r="K44" s="54">
        <f>+OCTUBRE!$AG44</f>
        <v>293</v>
      </c>
      <c r="L44" s="54">
        <f>+NOVIEMBRE!$AG44</f>
        <v>251</v>
      </c>
      <c r="M44" s="54">
        <f>+DICIEMBRE!$AG44</f>
        <v>224</v>
      </c>
      <c r="N44" s="5">
        <f t="shared" si="1"/>
        <v>2856</v>
      </c>
    </row>
    <row r="45" spans="1:14" ht="15.75" customHeight="1" x14ac:dyDescent="0.25">
      <c r="A45" s="56" t="s">
        <v>19</v>
      </c>
      <c r="B45" s="54">
        <f>+ENERO!AG45</f>
        <v>282</v>
      </c>
      <c r="C45" s="54">
        <f>+FEBRERO!AG45</f>
        <v>236</v>
      </c>
      <c r="D45" s="54">
        <f>+MARZO!$AG45</f>
        <v>233</v>
      </c>
      <c r="E45" s="54">
        <f>+ABRIL!$AG45</f>
        <v>228</v>
      </c>
      <c r="F45" s="54">
        <f>+MAYO!$AG45</f>
        <v>262</v>
      </c>
      <c r="G45" s="54">
        <f>+JUNIO!$AG45</f>
        <v>123</v>
      </c>
      <c r="H45" s="54">
        <f>+JULIO!$AG45</f>
        <v>90</v>
      </c>
      <c r="I45" s="54">
        <f>+AGOSTO!$AG45</f>
        <v>186</v>
      </c>
      <c r="J45" s="54">
        <f>+SEPTIEMBRE!$AG45</f>
        <v>202</v>
      </c>
      <c r="K45" s="54">
        <f>+OCTUBRE!$AG45</f>
        <v>251</v>
      </c>
      <c r="L45" s="54">
        <f>+NOVIEMBRE!$AG45</f>
        <v>223</v>
      </c>
      <c r="M45" s="54">
        <f>+DICIEMBRE!$AG45</f>
        <v>248</v>
      </c>
      <c r="N45" s="5">
        <f t="shared" si="1"/>
        <v>2564</v>
      </c>
    </row>
    <row r="46" spans="1:14" ht="15.75" customHeight="1" x14ac:dyDescent="0.25">
      <c r="A46" s="56" t="s">
        <v>20</v>
      </c>
      <c r="B46" s="54">
        <f>+ENERO!AG46</f>
        <v>220</v>
      </c>
      <c r="C46" s="54">
        <f>+FEBRERO!AG46</f>
        <v>187</v>
      </c>
      <c r="D46" s="54">
        <f>+MARZO!$AG46</f>
        <v>178</v>
      </c>
      <c r="E46" s="54">
        <f>+ABRIL!$AG46</f>
        <v>192</v>
      </c>
      <c r="F46" s="54">
        <f>+MAYO!$AG46</f>
        <v>279</v>
      </c>
      <c r="G46" s="54">
        <f>+JUNIO!$AG46</f>
        <v>91</v>
      </c>
      <c r="H46" s="54">
        <f>+JULIO!$AG46</f>
        <v>80</v>
      </c>
      <c r="I46" s="54">
        <f>+AGOSTO!$AG46</f>
        <v>133</v>
      </c>
      <c r="J46" s="54">
        <f>+SEPTIEMBRE!$AG46</f>
        <v>211</v>
      </c>
      <c r="K46" s="54">
        <f>+OCTUBRE!$AG46</f>
        <v>225</v>
      </c>
      <c r="L46" s="54">
        <f>+NOVIEMBRE!$AG46</f>
        <v>232</v>
      </c>
      <c r="M46" s="54">
        <f>+DICIEMBRE!$AG46</f>
        <v>216</v>
      </c>
      <c r="N46" s="5">
        <f t="shared" si="1"/>
        <v>2244</v>
      </c>
    </row>
    <row r="47" spans="1:14" ht="15.75" customHeight="1" x14ac:dyDescent="0.25">
      <c r="A47" s="56" t="s">
        <v>21</v>
      </c>
      <c r="B47" s="54">
        <f>+ENERO!AG47</f>
        <v>151</v>
      </c>
      <c r="C47" s="54">
        <f>+FEBRERO!AG47</f>
        <v>120</v>
      </c>
      <c r="D47" s="54">
        <f>+MARZO!$AG47</f>
        <v>139</v>
      </c>
      <c r="E47" s="54">
        <f>+ABRIL!$AG47</f>
        <v>139</v>
      </c>
      <c r="F47" s="54">
        <f>+MAYO!$AG47</f>
        <v>158</v>
      </c>
      <c r="G47" s="54">
        <f>+JUNIO!$AG47</f>
        <v>60</v>
      </c>
      <c r="H47" s="54">
        <f>+JULIO!$AG47</f>
        <v>68</v>
      </c>
      <c r="I47" s="54">
        <f>+AGOSTO!$AG47</f>
        <v>78</v>
      </c>
      <c r="J47" s="54">
        <f>+SEPTIEMBRE!$AG47</f>
        <v>141</v>
      </c>
      <c r="K47" s="54">
        <f>+OCTUBRE!$AG47</f>
        <v>133</v>
      </c>
      <c r="L47" s="54">
        <f>+NOVIEMBRE!$AG47</f>
        <v>169</v>
      </c>
      <c r="M47" s="54">
        <f>+DICIEMBRE!$AG47</f>
        <v>148</v>
      </c>
      <c r="N47" s="5">
        <f t="shared" si="1"/>
        <v>1504</v>
      </c>
    </row>
    <row r="48" spans="1:14" ht="15.75" customHeight="1" x14ac:dyDescent="0.25">
      <c r="A48" s="56" t="s">
        <v>22</v>
      </c>
      <c r="B48" s="54">
        <f>+ENERO!AG48</f>
        <v>69</v>
      </c>
      <c r="C48" s="54">
        <f>+FEBRERO!AG48</f>
        <v>66</v>
      </c>
      <c r="D48" s="54">
        <f>+MARZO!$AG48</f>
        <v>66</v>
      </c>
      <c r="E48" s="54">
        <f>+ABRIL!$AG48</f>
        <v>71</v>
      </c>
      <c r="F48" s="54">
        <f>+MAYO!$AG48</f>
        <v>137</v>
      </c>
      <c r="G48" s="54">
        <f>+JUNIO!$AG48</f>
        <v>54</v>
      </c>
      <c r="H48" s="54">
        <f>+JULIO!$AG48</f>
        <v>33</v>
      </c>
      <c r="I48" s="54">
        <f>+AGOSTO!$AG48</f>
        <v>53</v>
      </c>
      <c r="J48" s="54">
        <f>+SEPTIEMBRE!$AG48</f>
        <v>102</v>
      </c>
      <c r="K48" s="54">
        <f>+OCTUBRE!$AG48</f>
        <v>115</v>
      </c>
      <c r="L48" s="54">
        <f>+NOVIEMBRE!$AG48</f>
        <v>123</v>
      </c>
      <c r="M48" s="54">
        <f>+DICIEMBRE!$AG48</f>
        <v>112</v>
      </c>
      <c r="N48" s="5">
        <f t="shared" si="1"/>
        <v>1001</v>
      </c>
    </row>
    <row r="49" spans="1:14" ht="15.75" customHeight="1" x14ac:dyDescent="0.25">
      <c r="A49" s="56" t="s">
        <v>23</v>
      </c>
      <c r="B49" s="54">
        <f>+ENERO!AG49</f>
        <v>44</v>
      </c>
      <c r="C49" s="54">
        <f>+FEBRERO!AG49</f>
        <v>45</v>
      </c>
      <c r="D49" s="54">
        <f>+MARZO!$AG49</f>
        <v>37</v>
      </c>
      <c r="E49" s="54">
        <f>+ABRIL!$AG49</f>
        <v>48</v>
      </c>
      <c r="F49" s="54">
        <f>+MAYO!$AG49</f>
        <v>77</v>
      </c>
      <c r="G49" s="54">
        <f>+JUNIO!$AG49</f>
        <v>44</v>
      </c>
      <c r="H49" s="54">
        <f>+JULIO!$AG49</f>
        <v>45</v>
      </c>
      <c r="I49" s="54">
        <f>+AGOSTO!$AG49</f>
        <v>38</v>
      </c>
      <c r="J49" s="54">
        <f>+SEPTIEMBRE!$AG49</f>
        <v>49</v>
      </c>
      <c r="K49" s="54">
        <f>+OCTUBRE!$AG49</f>
        <v>75</v>
      </c>
      <c r="L49" s="54">
        <f>+NOVIEMBRE!$AG49</f>
        <v>76</v>
      </c>
      <c r="M49" s="54">
        <f>+DICIEMBRE!$AG49</f>
        <v>86</v>
      </c>
      <c r="N49" s="5">
        <f t="shared" si="1"/>
        <v>664</v>
      </c>
    </row>
    <row r="50" spans="1:14" ht="15.75" customHeight="1" x14ac:dyDescent="0.25">
      <c r="A50" s="56" t="s">
        <v>24</v>
      </c>
      <c r="B50" s="54">
        <f>+ENERO!AG50</f>
        <v>37</v>
      </c>
      <c r="C50" s="54">
        <f>+FEBRERO!AG50</f>
        <v>48</v>
      </c>
      <c r="D50" s="54">
        <f>+MARZO!$AG50</f>
        <v>33</v>
      </c>
      <c r="E50" s="54">
        <f>+ABRIL!$AG50</f>
        <v>32</v>
      </c>
      <c r="F50" s="54">
        <f>+MAYO!$AG50</f>
        <v>64</v>
      </c>
      <c r="G50" s="54">
        <f>+JUNIO!$AG50</f>
        <v>30</v>
      </c>
      <c r="H50" s="54">
        <f>+JULIO!$AG50</f>
        <v>30</v>
      </c>
      <c r="I50" s="54">
        <f>+AGOSTO!$AG50</f>
        <v>28</v>
      </c>
      <c r="J50" s="54">
        <f>+SEPTIEMBRE!$AG50</f>
        <v>57</v>
      </c>
      <c r="K50" s="54">
        <f>+OCTUBRE!$AG50</f>
        <v>50</v>
      </c>
      <c r="L50" s="54">
        <f>+NOVIEMBRE!$AG50</f>
        <v>40</v>
      </c>
      <c r="M50" s="54">
        <f>+DICIEMBRE!$AG50</f>
        <v>50</v>
      </c>
      <c r="N50" s="5">
        <f t="shared" si="1"/>
        <v>499</v>
      </c>
    </row>
    <row r="51" spans="1:14" ht="15.75" customHeight="1" x14ac:dyDescent="0.25">
      <c r="A51" s="56" t="s">
        <v>25</v>
      </c>
      <c r="B51" s="54">
        <f>+ENERO!AG51</f>
        <v>53</v>
      </c>
      <c r="C51" s="54">
        <f>+FEBRERO!AG51</f>
        <v>52</v>
      </c>
      <c r="D51" s="54">
        <f>+MARZO!$AG51</f>
        <v>32</v>
      </c>
      <c r="E51" s="54">
        <f>+ABRIL!$AG51</f>
        <v>25</v>
      </c>
      <c r="F51" s="54">
        <f>+MAYO!$AG51</f>
        <v>37</v>
      </c>
      <c r="G51" s="54">
        <f>+JUNIO!$AG51</f>
        <v>25</v>
      </c>
      <c r="H51" s="54">
        <f>+JULIO!$AG51</f>
        <v>29</v>
      </c>
      <c r="I51" s="54">
        <f>+AGOSTO!$AG51</f>
        <v>30</v>
      </c>
      <c r="J51" s="54">
        <f>+SEPTIEMBRE!$AG51</f>
        <v>45</v>
      </c>
      <c r="K51" s="54">
        <f>+OCTUBRE!$AG51</f>
        <v>39</v>
      </c>
      <c r="L51" s="54">
        <f>+NOVIEMBRE!$AG51</f>
        <v>41</v>
      </c>
      <c r="M51" s="54">
        <f>+DICIEMBRE!$AG51</f>
        <v>46</v>
      </c>
      <c r="N51" s="5">
        <f t="shared" si="1"/>
        <v>454</v>
      </c>
    </row>
    <row r="52" spans="1:14" ht="15.75" customHeight="1" thickBot="1" x14ac:dyDescent="0.3">
      <c r="A52" s="57" t="s">
        <v>26</v>
      </c>
      <c r="B52" s="58">
        <f>+ENERO!AG52</f>
        <v>24</v>
      </c>
      <c r="C52" s="58">
        <f>+FEBRERO!AG52</f>
        <v>27</v>
      </c>
      <c r="D52" s="58">
        <f>+MARZO!$AG52</f>
        <v>20</v>
      </c>
      <c r="E52" s="58">
        <f>+ABRIL!$AG52</f>
        <v>19</v>
      </c>
      <c r="F52" s="58">
        <f>+MAYO!$AG52</f>
        <v>39</v>
      </c>
      <c r="G52" s="58">
        <f>+JUNIO!$AG52</f>
        <v>36</v>
      </c>
      <c r="H52" s="58">
        <f>+JULIO!$AG52</f>
        <v>26</v>
      </c>
      <c r="I52" s="58">
        <f>+AGOSTO!$AG52</f>
        <v>20</v>
      </c>
      <c r="J52" s="58">
        <f>+SEPTIEMBRE!$AG52</f>
        <v>23</v>
      </c>
      <c r="K52" s="58">
        <f>+OCTUBRE!$AG52</f>
        <v>36</v>
      </c>
      <c r="L52" s="58">
        <f>+NOVIEMBRE!$AG52</f>
        <v>35</v>
      </c>
      <c r="M52" s="58">
        <f>+DICIEMBRE!$AG52</f>
        <v>28</v>
      </c>
      <c r="N52" s="9">
        <f t="shared" si="1"/>
        <v>333</v>
      </c>
    </row>
    <row r="53" spans="1:14" ht="15.75" customHeight="1" thickBot="1" x14ac:dyDescent="0.3">
      <c r="A53" s="52" t="s">
        <v>28</v>
      </c>
      <c r="B53" s="1">
        <f>+ENERO!AG53</f>
        <v>248</v>
      </c>
      <c r="C53" s="1">
        <f>+FEBRERO!AG53</f>
        <v>237</v>
      </c>
      <c r="D53" s="1">
        <f>+MARZO!$AG53</f>
        <v>300</v>
      </c>
      <c r="E53" s="1">
        <f>+ABRIL!$AG53</f>
        <v>402</v>
      </c>
      <c r="F53" s="1">
        <f>+MAYO!$AG53</f>
        <v>710</v>
      </c>
      <c r="G53" s="1">
        <f>+JUNIO!$AG53</f>
        <v>234</v>
      </c>
      <c r="H53" s="1">
        <f>+JULIO!$AG53</f>
        <v>139</v>
      </c>
      <c r="I53" s="1">
        <f>+AGOSTO!$AG53</f>
        <v>255</v>
      </c>
      <c r="J53" s="1">
        <f>+SEPTIEMBRE!$AG53</f>
        <v>482</v>
      </c>
      <c r="K53" s="1">
        <f>+OCTUBRE!$AG53</f>
        <v>574</v>
      </c>
      <c r="L53" s="1">
        <f>+NOVIEMBRE!$AG53</f>
        <v>746</v>
      </c>
      <c r="M53" s="1">
        <f>+DICIEMBRE!$AG53</f>
        <v>572</v>
      </c>
      <c r="N53" s="10">
        <f t="shared" si="1"/>
        <v>4899</v>
      </c>
    </row>
    <row r="54" spans="1:14" ht="15.75" customHeight="1" x14ac:dyDescent="0.25">
      <c r="A54" s="56" t="s">
        <v>3</v>
      </c>
      <c r="B54" s="54">
        <f>+ENERO!AG54</f>
        <v>1</v>
      </c>
      <c r="C54" s="55">
        <f>+FEBRERO!AG54</f>
        <v>4</v>
      </c>
      <c r="D54" s="55">
        <f>+MARZO!$AG54</f>
        <v>1</v>
      </c>
      <c r="E54" s="55">
        <f>+ABRIL!$AG54</f>
        <v>0</v>
      </c>
      <c r="F54" s="55">
        <f>+MAYO!$AG54</f>
        <v>2</v>
      </c>
      <c r="G54" s="55">
        <f>+JUNIO!$AG54</f>
        <v>4</v>
      </c>
      <c r="H54" s="55">
        <f>+JULIO!$AG54</f>
        <v>0</v>
      </c>
      <c r="I54" s="55">
        <f>+AGOSTO!$AG54</f>
        <v>1</v>
      </c>
      <c r="J54" s="55">
        <f>+SEPTIEMBRE!$AG54</f>
        <v>0</v>
      </c>
      <c r="K54" s="55">
        <f>+OCTUBRE!$AG54</f>
        <v>1</v>
      </c>
      <c r="L54" s="55">
        <f>+NOVIEMBRE!$AG54</f>
        <v>2</v>
      </c>
      <c r="M54" s="55">
        <f>+DICIEMBRE!$AG54</f>
        <v>0</v>
      </c>
      <c r="N54" s="4">
        <f t="shared" si="1"/>
        <v>16</v>
      </c>
    </row>
    <row r="55" spans="1:14" ht="15.75" customHeight="1" x14ac:dyDescent="0.25">
      <c r="A55" s="56" t="s">
        <v>4</v>
      </c>
      <c r="B55" s="54">
        <f>+ENERO!AG55</f>
        <v>0</v>
      </c>
      <c r="C55" s="54">
        <f>+FEBRERO!AG55</f>
        <v>0</v>
      </c>
      <c r="D55" s="54">
        <f>+MARZO!$AG55</f>
        <v>1</v>
      </c>
      <c r="E55" s="54">
        <f>+ABRIL!$AG55</f>
        <v>1</v>
      </c>
      <c r="F55" s="54">
        <f>+MAYO!$AG55</f>
        <v>2</v>
      </c>
      <c r="G55" s="54">
        <f>+JUNIO!$AG55</f>
        <v>4</v>
      </c>
      <c r="H55" s="54">
        <f>+JULIO!$AG55</f>
        <v>0</v>
      </c>
      <c r="I55" s="54">
        <f>+AGOSTO!$AG55</f>
        <v>2</v>
      </c>
      <c r="J55" s="54">
        <f>+SEPTIEMBRE!$AG55</f>
        <v>1</v>
      </c>
      <c r="K55" s="54">
        <f>+OCTUBRE!$AG55</f>
        <v>6</v>
      </c>
      <c r="L55" s="54">
        <f>+NOVIEMBRE!$AG55</f>
        <v>3</v>
      </c>
      <c r="M55" s="54">
        <f>+DICIEMBRE!$AG55</f>
        <v>0</v>
      </c>
      <c r="N55" s="5">
        <f t="shared" si="1"/>
        <v>20</v>
      </c>
    </row>
    <row r="56" spans="1:14" ht="15.75" customHeight="1" x14ac:dyDescent="0.25">
      <c r="A56" s="56" t="s">
        <v>5</v>
      </c>
      <c r="B56" s="54">
        <f>+ENERO!AG56</f>
        <v>1</v>
      </c>
      <c r="C56" s="54">
        <f>+FEBRERO!AG56</f>
        <v>2</v>
      </c>
      <c r="D56" s="54">
        <f>+MARZO!$AG56</f>
        <v>2</v>
      </c>
      <c r="E56" s="54">
        <f>+ABRIL!$AG56</f>
        <v>0</v>
      </c>
      <c r="F56" s="54">
        <f>+MAYO!$AG56</f>
        <v>2</v>
      </c>
      <c r="G56" s="54">
        <f>+JUNIO!$AG56</f>
        <v>8</v>
      </c>
      <c r="H56" s="54">
        <f>+JULIO!$AG56</f>
        <v>2</v>
      </c>
      <c r="I56" s="54">
        <f>+AGOSTO!$AG56</f>
        <v>2</v>
      </c>
      <c r="J56" s="54">
        <f>+SEPTIEMBRE!$AG56</f>
        <v>5</v>
      </c>
      <c r="K56" s="54">
        <f>+OCTUBRE!$AG56</f>
        <v>0</v>
      </c>
      <c r="L56" s="54">
        <f>+NOVIEMBRE!$AG56</f>
        <v>3</v>
      </c>
      <c r="M56" s="54">
        <f>+DICIEMBRE!$AG56</f>
        <v>2</v>
      </c>
      <c r="N56" s="5">
        <f t="shared" si="1"/>
        <v>29</v>
      </c>
    </row>
    <row r="57" spans="1:14" ht="15.75" customHeight="1" x14ac:dyDescent="0.25">
      <c r="A57" s="56" t="s">
        <v>6</v>
      </c>
      <c r="B57" s="54">
        <f>+ENERO!AG57</f>
        <v>1</v>
      </c>
      <c r="C57" s="54">
        <f>+FEBRERO!AG57</f>
        <v>1</v>
      </c>
      <c r="D57" s="54">
        <f>+MARZO!$AG57</f>
        <v>0</v>
      </c>
      <c r="E57" s="54">
        <f>+ABRIL!$AG57</f>
        <v>1</v>
      </c>
      <c r="F57" s="54">
        <f>+MAYO!$AG57</f>
        <v>1</v>
      </c>
      <c r="G57" s="54">
        <f>+JUNIO!$AG57</f>
        <v>9</v>
      </c>
      <c r="H57" s="54">
        <f>+JULIO!$AG57</f>
        <v>5</v>
      </c>
      <c r="I57" s="54">
        <f>+AGOSTO!$AG57</f>
        <v>5</v>
      </c>
      <c r="J57" s="54">
        <f>+SEPTIEMBRE!$AG57</f>
        <v>4</v>
      </c>
      <c r="K57" s="54">
        <f>+OCTUBRE!$AG57</f>
        <v>0</v>
      </c>
      <c r="L57" s="54">
        <f>+NOVIEMBRE!$AG57</f>
        <v>4</v>
      </c>
      <c r="M57" s="54">
        <f>+DICIEMBRE!$AG57</f>
        <v>6</v>
      </c>
      <c r="N57" s="5">
        <f t="shared" si="1"/>
        <v>37</v>
      </c>
    </row>
    <row r="58" spans="1:14" ht="15.75" customHeight="1" x14ac:dyDescent="0.25">
      <c r="A58" s="56" t="s">
        <v>7</v>
      </c>
      <c r="B58" s="54">
        <f>+ENERO!AG58</f>
        <v>2</v>
      </c>
      <c r="C58" s="54">
        <f>+FEBRERO!AG58</f>
        <v>0</v>
      </c>
      <c r="D58" s="54">
        <f>+MARZO!$AG58</f>
        <v>2</v>
      </c>
      <c r="E58" s="54">
        <f>+ABRIL!$AG58</f>
        <v>3</v>
      </c>
      <c r="F58" s="54">
        <f>+MAYO!$AG58</f>
        <v>5</v>
      </c>
      <c r="G58" s="54">
        <f>+JUNIO!$AG58</f>
        <v>9</v>
      </c>
      <c r="H58" s="54">
        <f>+JULIO!$AG58</f>
        <v>1</v>
      </c>
      <c r="I58" s="54">
        <f>+AGOSTO!$AG58</f>
        <v>3</v>
      </c>
      <c r="J58" s="54">
        <f>+SEPTIEMBRE!$AG58</f>
        <v>6</v>
      </c>
      <c r="K58" s="54">
        <f>+OCTUBRE!$AG58</f>
        <v>3</v>
      </c>
      <c r="L58" s="54">
        <f>+NOVIEMBRE!$AG58</f>
        <v>6</v>
      </c>
      <c r="M58" s="54">
        <f>+DICIEMBRE!$AG58</f>
        <v>12</v>
      </c>
      <c r="N58" s="5">
        <f t="shared" si="1"/>
        <v>52</v>
      </c>
    </row>
    <row r="59" spans="1:14" ht="15.75" customHeight="1" x14ac:dyDescent="0.25">
      <c r="A59" s="56" t="s">
        <v>8</v>
      </c>
      <c r="B59" s="54">
        <f>+ENERO!AG59</f>
        <v>5</v>
      </c>
      <c r="C59" s="54">
        <f>+FEBRERO!AG59</f>
        <v>2</v>
      </c>
      <c r="D59" s="54">
        <f>+MARZO!$AG59</f>
        <v>0</v>
      </c>
      <c r="E59" s="54">
        <f>+ABRIL!$AG59</f>
        <v>3</v>
      </c>
      <c r="F59" s="54">
        <f>+MAYO!$AG59</f>
        <v>5</v>
      </c>
      <c r="G59" s="54">
        <f>+JUNIO!$AG59</f>
        <v>11</v>
      </c>
      <c r="H59" s="54">
        <f>+JULIO!$AG59</f>
        <v>1</v>
      </c>
      <c r="I59" s="54">
        <f>+AGOSTO!$AG59</f>
        <v>5</v>
      </c>
      <c r="J59" s="54">
        <f>+SEPTIEMBRE!$AG59</f>
        <v>3</v>
      </c>
      <c r="K59" s="54">
        <f>+OCTUBRE!$AG59</f>
        <v>3</v>
      </c>
      <c r="L59" s="54">
        <f>+NOVIEMBRE!$AG59</f>
        <v>4</v>
      </c>
      <c r="M59" s="54">
        <f>+DICIEMBRE!$AG59</f>
        <v>6</v>
      </c>
      <c r="N59" s="5">
        <f t="shared" si="1"/>
        <v>48</v>
      </c>
    </row>
    <row r="60" spans="1:14" ht="15.75" customHeight="1" x14ac:dyDescent="0.25">
      <c r="A60" s="56" t="s">
        <v>9</v>
      </c>
      <c r="B60" s="54">
        <f>+ENERO!AG60</f>
        <v>7</v>
      </c>
      <c r="C60" s="54">
        <f>+FEBRERO!AG60</f>
        <v>0</v>
      </c>
      <c r="D60" s="54">
        <f>+MARZO!$AG60</f>
        <v>5</v>
      </c>
      <c r="E60" s="54">
        <f>+ABRIL!$AG60</f>
        <v>11</v>
      </c>
      <c r="F60" s="54">
        <f>+MAYO!$AG60</f>
        <v>7</v>
      </c>
      <c r="G60" s="54">
        <f>+JUNIO!$AG60</f>
        <v>7</v>
      </c>
      <c r="H60" s="54">
        <f>+JULIO!$AG60</f>
        <v>1</v>
      </c>
      <c r="I60" s="54">
        <f>+AGOSTO!$AG60</f>
        <v>6</v>
      </c>
      <c r="J60" s="54">
        <f>+SEPTIEMBRE!$AG60</f>
        <v>6</v>
      </c>
      <c r="K60" s="54">
        <f>+OCTUBRE!$AG60</f>
        <v>6</v>
      </c>
      <c r="L60" s="54">
        <f>+NOVIEMBRE!$AG60</f>
        <v>3</v>
      </c>
      <c r="M60" s="54">
        <f>+DICIEMBRE!$AG60</f>
        <v>7</v>
      </c>
      <c r="N60" s="5">
        <f t="shared" si="1"/>
        <v>66</v>
      </c>
    </row>
    <row r="61" spans="1:14" ht="15.75" customHeight="1" x14ac:dyDescent="0.25">
      <c r="A61" s="56" t="s">
        <v>10</v>
      </c>
      <c r="B61" s="54">
        <f>+ENERO!AG61</f>
        <v>3</v>
      </c>
      <c r="C61" s="54">
        <f>+FEBRERO!AG61</f>
        <v>1</v>
      </c>
      <c r="D61" s="54">
        <f>+MARZO!$AG61</f>
        <v>8</v>
      </c>
      <c r="E61" s="54">
        <f>+ABRIL!$AG61</f>
        <v>1</v>
      </c>
      <c r="F61" s="54">
        <f>+MAYO!$AG61</f>
        <v>12</v>
      </c>
      <c r="G61" s="54">
        <f>+JUNIO!$AG61</f>
        <v>22</v>
      </c>
      <c r="H61" s="54">
        <f>+JULIO!$AG61</f>
        <v>2</v>
      </c>
      <c r="I61" s="54">
        <f>+AGOSTO!$AG61</f>
        <v>6</v>
      </c>
      <c r="J61" s="54">
        <f>+SEPTIEMBRE!$AG61</f>
        <v>17</v>
      </c>
      <c r="K61" s="54">
        <f>+OCTUBRE!$AG61</f>
        <v>24</v>
      </c>
      <c r="L61" s="54">
        <f>+NOVIEMBRE!$AG61</f>
        <v>12</v>
      </c>
      <c r="M61" s="54">
        <f>+DICIEMBRE!$AG61</f>
        <v>5</v>
      </c>
      <c r="N61" s="5">
        <f t="shared" si="1"/>
        <v>113</v>
      </c>
    </row>
    <row r="62" spans="1:14" ht="15.75" customHeight="1" x14ac:dyDescent="0.25">
      <c r="A62" s="56" t="s">
        <v>11</v>
      </c>
      <c r="B62" s="54">
        <f>+ENERO!AG62</f>
        <v>10</v>
      </c>
      <c r="C62" s="54">
        <f>+FEBRERO!AG62</f>
        <v>4</v>
      </c>
      <c r="D62" s="54">
        <f>+MARZO!$AG62</f>
        <v>5</v>
      </c>
      <c r="E62" s="54">
        <f>+ABRIL!$AG62</f>
        <v>15</v>
      </c>
      <c r="F62" s="54">
        <f>+MAYO!$AG62</f>
        <v>10</v>
      </c>
      <c r="G62" s="54">
        <f>+JUNIO!$AG62</f>
        <v>29</v>
      </c>
      <c r="H62" s="54">
        <f>+JULIO!$AG62</f>
        <v>8</v>
      </c>
      <c r="I62" s="54">
        <f>+AGOSTO!$AG62</f>
        <v>7</v>
      </c>
      <c r="J62" s="54">
        <f>+SEPTIEMBRE!$AG62</f>
        <v>22</v>
      </c>
      <c r="K62" s="54">
        <f>+OCTUBRE!$AG62</f>
        <v>8</v>
      </c>
      <c r="L62" s="54">
        <f>+NOVIEMBRE!$AG62</f>
        <v>16</v>
      </c>
      <c r="M62" s="54">
        <f>+DICIEMBRE!$AG62</f>
        <v>20</v>
      </c>
      <c r="N62" s="5">
        <f t="shared" si="1"/>
        <v>154</v>
      </c>
    </row>
    <row r="63" spans="1:14" ht="15.75" customHeight="1" x14ac:dyDescent="0.25">
      <c r="A63" s="56" t="s">
        <v>12</v>
      </c>
      <c r="B63" s="54">
        <f>+ENERO!AG63</f>
        <v>13</v>
      </c>
      <c r="C63" s="54">
        <f>+FEBRERO!AG63</f>
        <v>15</v>
      </c>
      <c r="D63" s="54">
        <f>+MARZO!$AG63</f>
        <v>21</v>
      </c>
      <c r="E63" s="54">
        <f>+ABRIL!$AG63</f>
        <v>13</v>
      </c>
      <c r="F63" s="54">
        <f>+MAYO!$AG63</f>
        <v>26</v>
      </c>
      <c r="G63" s="54">
        <f>+JUNIO!$AG63</f>
        <v>28</v>
      </c>
      <c r="H63" s="54">
        <f>+JULIO!$AG63</f>
        <v>23</v>
      </c>
      <c r="I63" s="54">
        <f>+AGOSTO!$AG63</f>
        <v>28</v>
      </c>
      <c r="J63" s="54">
        <f>+SEPTIEMBRE!$AG63</f>
        <v>37</v>
      </c>
      <c r="K63" s="54">
        <f>+OCTUBRE!$AG63</f>
        <v>21</v>
      </c>
      <c r="L63" s="54">
        <f>+NOVIEMBRE!$AG63</f>
        <v>45</v>
      </c>
      <c r="M63" s="54">
        <f>+DICIEMBRE!$AG63</f>
        <v>30</v>
      </c>
      <c r="N63" s="5">
        <f t="shared" si="1"/>
        <v>300</v>
      </c>
    </row>
    <row r="64" spans="1:14" ht="15.75" customHeight="1" x14ac:dyDescent="0.25">
      <c r="A64" s="56" t="s">
        <v>13</v>
      </c>
      <c r="B64" s="54">
        <f>+ENERO!AG64</f>
        <v>18</v>
      </c>
      <c r="C64" s="54">
        <f>+FEBRERO!AG64</f>
        <v>9</v>
      </c>
      <c r="D64" s="54">
        <f>+MARZO!$AG64</f>
        <v>20</v>
      </c>
      <c r="E64" s="54">
        <f>+ABRIL!$AG64</f>
        <v>11</v>
      </c>
      <c r="F64" s="54">
        <f>+MAYO!$AG64</f>
        <v>38</v>
      </c>
      <c r="G64" s="54">
        <f>+JUNIO!$AG64</f>
        <v>29</v>
      </c>
      <c r="H64" s="54">
        <f>+JULIO!$AG64</f>
        <v>32</v>
      </c>
      <c r="I64" s="54">
        <f>+AGOSTO!$AG64</f>
        <v>21</v>
      </c>
      <c r="J64" s="54">
        <f>+SEPTIEMBRE!$AG64</f>
        <v>53</v>
      </c>
      <c r="K64" s="54">
        <f>+OCTUBRE!$AG64</f>
        <v>35</v>
      </c>
      <c r="L64" s="54">
        <f>+NOVIEMBRE!$AG64</f>
        <v>43</v>
      </c>
      <c r="M64" s="54">
        <f>+DICIEMBRE!$AG64</f>
        <v>37</v>
      </c>
      <c r="N64" s="5">
        <f t="shared" si="1"/>
        <v>346</v>
      </c>
    </row>
    <row r="65" spans="1:14" ht="15.75" customHeight="1" x14ac:dyDescent="0.25">
      <c r="A65" s="56" t="s">
        <v>14</v>
      </c>
      <c r="B65" s="54">
        <f>+ENERO!AG65</f>
        <v>21</v>
      </c>
      <c r="C65" s="54">
        <f>+FEBRERO!AG65</f>
        <v>21</v>
      </c>
      <c r="D65" s="54">
        <f>+MARZO!$AG65</f>
        <v>20</v>
      </c>
      <c r="E65" s="54">
        <f>+ABRIL!$AG65</f>
        <v>32</v>
      </c>
      <c r="F65" s="54">
        <f>+MAYO!$AG65</f>
        <v>58</v>
      </c>
      <c r="G65" s="54">
        <f>+JUNIO!$AG65</f>
        <v>19</v>
      </c>
      <c r="H65" s="54">
        <f>+JULIO!$AG65</f>
        <v>20</v>
      </c>
      <c r="I65" s="54">
        <f>+AGOSTO!$AG65</f>
        <v>26</v>
      </c>
      <c r="J65" s="54">
        <f>+SEPTIEMBRE!$AG65</f>
        <v>38</v>
      </c>
      <c r="K65" s="54">
        <f>+OCTUBRE!$AG65</f>
        <v>35</v>
      </c>
      <c r="L65" s="54">
        <f>+NOVIEMBRE!$AG65</f>
        <v>53</v>
      </c>
      <c r="M65" s="54">
        <f>+DICIEMBRE!$AG65</f>
        <v>37</v>
      </c>
      <c r="N65" s="5">
        <f t="shared" si="1"/>
        <v>380</v>
      </c>
    </row>
    <row r="66" spans="1:14" ht="15.75" customHeight="1" x14ac:dyDescent="0.25">
      <c r="A66" s="56" t="s">
        <v>15</v>
      </c>
      <c r="B66" s="54">
        <f>+ENERO!AG66</f>
        <v>45</v>
      </c>
      <c r="C66" s="54">
        <f>+FEBRERO!AG66</f>
        <v>37</v>
      </c>
      <c r="D66" s="54">
        <f>+MARZO!$AG66</f>
        <v>54</v>
      </c>
      <c r="E66" s="54">
        <f>+ABRIL!$AG66</f>
        <v>57</v>
      </c>
      <c r="F66" s="54">
        <f>+MAYO!$AG66</f>
        <v>66</v>
      </c>
      <c r="G66" s="54">
        <f>+JUNIO!$AG66</f>
        <v>12</v>
      </c>
      <c r="H66" s="54">
        <f>+JULIO!$AG66</f>
        <v>11</v>
      </c>
      <c r="I66" s="54">
        <f>+AGOSTO!$AG66</f>
        <v>37</v>
      </c>
      <c r="J66" s="54">
        <f>+SEPTIEMBRE!$AG66</f>
        <v>51</v>
      </c>
      <c r="K66" s="54">
        <f>+OCTUBRE!$AG66</f>
        <v>36</v>
      </c>
      <c r="L66" s="54">
        <f>+NOVIEMBRE!$AG66</f>
        <v>48</v>
      </c>
      <c r="M66" s="54">
        <f>+DICIEMBRE!$AG66</f>
        <v>42</v>
      </c>
      <c r="N66" s="5">
        <f t="shared" si="1"/>
        <v>496</v>
      </c>
    </row>
    <row r="67" spans="1:14" ht="15.75" customHeight="1" x14ac:dyDescent="0.25">
      <c r="A67" s="56" t="s">
        <v>16</v>
      </c>
      <c r="B67" s="54">
        <f>+ENERO!AG67</f>
        <v>21</v>
      </c>
      <c r="C67" s="54">
        <f>+FEBRERO!AG67</f>
        <v>28</v>
      </c>
      <c r="D67" s="54">
        <f>+MARZO!$AG67</f>
        <v>38</v>
      </c>
      <c r="E67" s="54">
        <f>+ABRIL!$AG67</f>
        <v>55</v>
      </c>
      <c r="F67" s="54">
        <f>+MAYO!$AG67</f>
        <v>67</v>
      </c>
      <c r="G67" s="54">
        <f>+JUNIO!$AG67</f>
        <v>3</v>
      </c>
      <c r="H67" s="54">
        <f>+JULIO!$AG67</f>
        <v>12</v>
      </c>
      <c r="I67" s="54">
        <f>+AGOSTO!$AG67</f>
        <v>31</v>
      </c>
      <c r="J67" s="54">
        <f>+SEPTIEMBRE!$AG67</f>
        <v>49</v>
      </c>
      <c r="K67" s="54">
        <f>+OCTUBRE!$AG67</f>
        <v>34</v>
      </c>
      <c r="L67" s="54">
        <f>+NOVIEMBRE!$AG67</f>
        <v>77</v>
      </c>
      <c r="M67" s="54">
        <f>+DICIEMBRE!$AG67</f>
        <v>34</v>
      </c>
      <c r="N67" s="5">
        <f t="shared" ref="N67:N98" si="2">SUM(B67:M67)</f>
        <v>449</v>
      </c>
    </row>
    <row r="68" spans="1:14" ht="15.75" customHeight="1" x14ac:dyDescent="0.25">
      <c r="A68" s="56" t="s">
        <v>17</v>
      </c>
      <c r="B68" s="54">
        <f>+ENERO!AG68</f>
        <v>19</v>
      </c>
      <c r="C68" s="54">
        <f>+FEBRERO!AG68</f>
        <v>13</v>
      </c>
      <c r="D68" s="54">
        <f>+MARZO!$AG68</f>
        <v>31</v>
      </c>
      <c r="E68" s="54">
        <f>+ABRIL!$AG68</f>
        <v>59</v>
      </c>
      <c r="F68" s="54">
        <f>+MAYO!$AG68</f>
        <v>55</v>
      </c>
      <c r="G68" s="54">
        <f>+JUNIO!$AG68</f>
        <v>7</v>
      </c>
      <c r="H68" s="54">
        <f>+JULIO!$AG68</f>
        <v>9</v>
      </c>
      <c r="I68" s="54">
        <f>+AGOSTO!$AG68</f>
        <v>19</v>
      </c>
      <c r="J68" s="54">
        <f>+SEPTIEMBRE!$AG68</f>
        <v>68</v>
      </c>
      <c r="K68" s="54">
        <f>+OCTUBRE!$AG68</f>
        <v>68</v>
      </c>
      <c r="L68" s="54">
        <f>+NOVIEMBRE!$AG68</f>
        <v>65</v>
      </c>
      <c r="M68" s="54">
        <f>+DICIEMBRE!$AG68</f>
        <v>62</v>
      </c>
      <c r="N68" s="5">
        <f t="shared" si="2"/>
        <v>475</v>
      </c>
    </row>
    <row r="69" spans="1:14" ht="15.75" customHeight="1" x14ac:dyDescent="0.25">
      <c r="A69" s="56" t="s">
        <v>18</v>
      </c>
      <c r="B69" s="54">
        <f>+ENERO!AG69</f>
        <v>18</v>
      </c>
      <c r="C69" s="54">
        <f>+FEBRERO!AG69</f>
        <v>20</v>
      </c>
      <c r="D69" s="54">
        <f>+MARZO!$AG69</f>
        <v>22</v>
      </c>
      <c r="E69" s="54">
        <f>+ABRIL!$AG69</f>
        <v>34</v>
      </c>
      <c r="F69" s="54">
        <f>+MAYO!$AG69</f>
        <v>62</v>
      </c>
      <c r="G69" s="54">
        <f>+JUNIO!$AG69</f>
        <v>14</v>
      </c>
      <c r="H69" s="54">
        <f>+JULIO!$AG69</f>
        <v>5</v>
      </c>
      <c r="I69" s="54">
        <f>+AGOSTO!$AG69</f>
        <v>19</v>
      </c>
      <c r="J69" s="54">
        <f>+SEPTIEMBRE!$AG69</f>
        <v>33</v>
      </c>
      <c r="K69" s="54">
        <f>+OCTUBRE!$AG69</f>
        <v>58</v>
      </c>
      <c r="L69" s="54">
        <f>+NOVIEMBRE!$AG69</f>
        <v>48</v>
      </c>
      <c r="M69" s="54">
        <f>+DICIEMBRE!$AG69</f>
        <v>40</v>
      </c>
      <c r="N69" s="5">
        <f t="shared" si="2"/>
        <v>373</v>
      </c>
    </row>
    <row r="70" spans="1:14" ht="15.75" customHeight="1" x14ac:dyDescent="0.25">
      <c r="A70" s="56" t="s">
        <v>19</v>
      </c>
      <c r="B70" s="54">
        <f>+ENERO!AG70</f>
        <v>23</v>
      </c>
      <c r="C70" s="54">
        <f>+FEBRERO!AG70</f>
        <v>12</v>
      </c>
      <c r="D70" s="54">
        <f>+MARZO!$AG70</f>
        <v>24</v>
      </c>
      <c r="E70" s="54">
        <f>+ABRIL!$AG70</f>
        <v>33</v>
      </c>
      <c r="F70" s="54">
        <f>+MAYO!$AG70</f>
        <v>71</v>
      </c>
      <c r="G70" s="54">
        <f>+JUNIO!$AG70</f>
        <v>7</v>
      </c>
      <c r="H70" s="54">
        <f>+JULIO!$AG70</f>
        <v>3</v>
      </c>
      <c r="I70" s="54">
        <f>+AGOSTO!$AG70</f>
        <v>18</v>
      </c>
      <c r="J70" s="54">
        <f>+SEPTIEMBRE!$AG70</f>
        <v>25</v>
      </c>
      <c r="K70" s="54">
        <f>+OCTUBRE!$AG70</f>
        <v>78</v>
      </c>
      <c r="L70" s="54">
        <f>+NOVIEMBRE!$AG70</f>
        <v>95</v>
      </c>
      <c r="M70" s="54">
        <f>+DICIEMBRE!$AG70</f>
        <v>46</v>
      </c>
      <c r="N70" s="5">
        <f t="shared" si="2"/>
        <v>435</v>
      </c>
    </row>
    <row r="71" spans="1:14" ht="15.75" customHeight="1" x14ac:dyDescent="0.25">
      <c r="A71" s="56" t="s">
        <v>20</v>
      </c>
      <c r="B71" s="54">
        <f>+ENERO!AG71</f>
        <v>19</v>
      </c>
      <c r="C71" s="54">
        <f>+FEBRERO!AG71</f>
        <v>32</v>
      </c>
      <c r="D71" s="54">
        <f>+MARZO!$AG71</f>
        <v>26</v>
      </c>
      <c r="E71" s="54">
        <f>+ABRIL!$AG71</f>
        <v>44</v>
      </c>
      <c r="F71" s="54">
        <f>+MAYO!$AG71</f>
        <v>97</v>
      </c>
      <c r="G71" s="54">
        <f>+JUNIO!$AG71</f>
        <v>3</v>
      </c>
      <c r="H71" s="54">
        <f>+JULIO!$AG71</f>
        <v>1</v>
      </c>
      <c r="I71" s="54">
        <f>+AGOSTO!$AG71</f>
        <v>16</v>
      </c>
      <c r="J71" s="54">
        <f>+SEPTIEMBRE!$AG71</f>
        <v>27</v>
      </c>
      <c r="K71" s="54">
        <f>+OCTUBRE!$AG71</f>
        <v>69</v>
      </c>
      <c r="L71" s="54">
        <f>+NOVIEMBRE!$AG71</f>
        <v>94</v>
      </c>
      <c r="M71" s="54">
        <f>+DICIEMBRE!$AG71</f>
        <v>74</v>
      </c>
      <c r="N71" s="5">
        <f t="shared" si="2"/>
        <v>502</v>
      </c>
    </row>
    <row r="72" spans="1:14" ht="15.75" customHeight="1" x14ac:dyDescent="0.25">
      <c r="A72" s="56" t="s">
        <v>21</v>
      </c>
      <c r="B72" s="54">
        <f>+ENERO!AG72</f>
        <v>16</v>
      </c>
      <c r="C72" s="54">
        <f>+FEBRERO!AG72</f>
        <v>12</v>
      </c>
      <c r="D72" s="54">
        <f>+MARZO!$AG72</f>
        <v>18</v>
      </c>
      <c r="E72" s="54">
        <f>+ABRIL!$AG72</f>
        <v>22</v>
      </c>
      <c r="F72" s="54">
        <f>+MAYO!$AG72</f>
        <v>64</v>
      </c>
      <c r="G72" s="54">
        <f>+JUNIO!$AG72</f>
        <v>3</v>
      </c>
      <c r="H72" s="54">
        <f>+JULIO!$AG72</f>
        <v>2</v>
      </c>
      <c r="I72" s="54">
        <f>+AGOSTO!$AG72</f>
        <v>2</v>
      </c>
      <c r="J72" s="54">
        <f>+SEPTIEMBRE!$AG72</f>
        <v>25</v>
      </c>
      <c r="K72" s="54">
        <f>+OCTUBRE!$AG72</f>
        <v>45</v>
      </c>
      <c r="L72" s="54">
        <f>+NOVIEMBRE!$AG72</f>
        <v>57</v>
      </c>
      <c r="M72" s="54">
        <f>+DICIEMBRE!$AG72</f>
        <v>58</v>
      </c>
      <c r="N72" s="5">
        <f t="shared" si="2"/>
        <v>324</v>
      </c>
    </row>
    <row r="73" spans="1:14" ht="15.75" customHeight="1" x14ac:dyDescent="0.25">
      <c r="A73" s="56" t="s">
        <v>22</v>
      </c>
      <c r="B73" s="54">
        <f>+ENERO!AG73</f>
        <v>1</v>
      </c>
      <c r="C73" s="54">
        <f>+FEBRERO!AG73</f>
        <v>14</v>
      </c>
      <c r="D73" s="54">
        <f>+MARZO!$AG73</f>
        <v>2</v>
      </c>
      <c r="E73" s="54">
        <f>+ABRIL!$AG73</f>
        <v>4</v>
      </c>
      <c r="F73" s="54">
        <f>+MAYO!$AG73</f>
        <v>40</v>
      </c>
      <c r="G73" s="54">
        <f>+JUNIO!$AG73</f>
        <v>0</v>
      </c>
      <c r="H73" s="54">
        <f>+JULIO!$AG73</f>
        <v>0</v>
      </c>
      <c r="I73" s="54">
        <f>+AGOSTO!$AG73</f>
        <v>0</v>
      </c>
      <c r="J73" s="54">
        <f>+SEPTIEMBRE!$AG73</f>
        <v>8</v>
      </c>
      <c r="K73" s="54">
        <f>+OCTUBRE!$AG73</f>
        <v>18</v>
      </c>
      <c r="L73" s="54">
        <f>+NOVIEMBRE!$AG73</f>
        <v>48</v>
      </c>
      <c r="M73" s="54">
        <f>+DICIEMBRE!$AG73</f>
        <v>30</v>
      </c>
      <c r="N73" s="5">
        <f t="shared" si="2"/>
        <v>165</v>
      </c>
    </row>
    <row r="74" spans="1:14" ht="15.75" customHeight="1" x14ac:dyDescent="0.25">
      <c r="A74" s="56" t="s">
        <v>23</v>
      </c>
      <c r="B74" s="54">
        <f>+ENERO!AG74</f>
        <v>0</v>
      </c>
      <c r="C74" s="54">
        <f>+FEBRERO!AG74</f>
        <v>8</v>
      </c>
      <c r="D74" s="54">
        <f>+MARZO!$AG74</f>
        <v>0</v>
      </c>
      <c r="E74" s="54">
        <f>+ABRIL!$AG74</f>
        <v>1</v>
      </c>
      <c r="F74" s="54">
        <f>+MAYO!$AG74</f>
        <v>15</v>
      </c>
      <c r="G74" s="54">
        <f>+JUNIO!$AG74</f>
        <v>2</v>
      </c>
      <c r="H74" s="54">
        <f>+JULIO!$AG74</f>
        <v>0</v>
      </c>
      <c r="I74" s="54">
        <f>+AGOSTO!$AG74</f>
        <v>0</v>
      </c>
      <c r="J74" s="54">
        <f>+SEPTIEMBRE!$AG74</f>
        <v>1</v>
      </c>
      <c r="K74" s="54">
        <f>+OCTUBRE!$AG74</f>
        <v>17</v>
      </c>
      <c r="L74" s="54">
        <f>+NOVIEMBRE!$AG74</f>
        <v>17</v>
      </c>
      <c r="M74" s="54">
        <f>+DICIEMBRE!$AG74</f>
        <v>20</v>
      </c>
      <c r="N74" s="5">
        <f t="shared" si="2"/>
        <v>81</v>
      </c>
    </row>
    <row r="75" spans="1:14" ht="15.75" customHeight="1" x14ac:dyDescent="0.25">
      <c r="A75" s="56" t="s">
        <v>24</v>
      </c>
      <c r="B75" s="54">
        <f>+ENERO!AG75</f>
        <v>3</v>
      </c>
      <c r="C75" s="54">
        <f>+FEBRERO!AG75</f>
        <v>0</v>
      </c>
      <c r="D75" s="54">
        <f>+MARZO!$AG75</f>
        <v>0</v>
      </c>
      <c r="E75" s="54">
        <f>+ABRIL!$AG75</f>
        <v>2</v>
      </c>
      <c r="F75" s="54">
        <f>+MAYO!$AG75</f>
        <v>3</v>
      </c>
      <c r="G75" s="54">
        <f>+JUNIO!$AG75</f>
        <v>0</v>
      </c>
      <c r="H75" s="54">
        <f>+JULIO!$AG75</f>
        <v>1</v>
      </c>
      <c r="I75" s="54">
        <f>+AGOSTO!$AG75</f>
        <v>0</v>
      </c>
      <c r="J75" s="54">
        <f>+SEPTIEMBRE!$AG75</f>
        <v>2</v>
      </c>
      <c r="K75" s="54">
        <f>+OCTUBRE!$AG75</f>
        <v>5</v>
      </c>
      <c r="L75" s="54">
        <f>+NOVIEMBRE!$AG75</f>
        <v>1</v>
      </c>
      <c r="M75" s="54">
        <f>+DICIEMBRE!$AG75</f>
        <v>4</v>
      </c>
      <c r="N75" s="5">
        <f t="shared" si="2"/>
        <v>21</v>
      </c>
    </row>
    <row r="76" spans="1:14" ht="15.75" customHeight="1" x14ac:dyDescent="0.25">
      <c r="A76" s="56" t="s">
        <v>25</v>
      </c>
      <c r="B76" s="54">
        <f>+ENERO!AG76</f>
        <v>1</v>
      </c>
      <c r="C76" s="54">
        <f>+FEBRERO!AG76</f>
        <v>1</v>
      </c>
      <c r="D76" s="54">
        <f>+MARZO!$AG76</f>
        <v>0</v>
      </c>
      <c r="E76" s="54">
        <f>+ABRIL!$AG76</f>
        <v>0</v>
      </c>
      <c r="F76" s="54">
        <f>+MAYO!$AG76</f>
        <v>0</v>
      </c>
      <c r="G76" s="54">
        <f>+JUNIO!$AG76</f>
        <v>3</v>
      </c>
      <c r="H76" s="54">
        <f>+JULIO!$AG76</f>
        <v>0</v>
      </c>
      <c r="I76" s="54">
        <f>+AGOSTO!$AG76</f>
        <v>0</v>
      </c>
      <c r="J76" s="54">
        <f>+SEPTIEMBRE!$AG76</f>
        <v>0</v>
      </c>
      <c r="K76" s="54">
        <f>+OCTUBRE!$AG76</f>
        <v>4</v>
      </c>
      <c r="L76" s="54">
        <f>+NOVIEMBRE!$AG76</f>
        <v>2</v>
      </c>
      <c r="M76" s="54">
        <f>+DICIEMBRE!$AG76</f>
        <v>0</v>
      </c>
      <c r="N76" s="5">
        <f t="shared" si="2"/>
        <v>11</v>
      </c>
    </row>
    <row r="77" spans="1:14" ht="15.75" customHeight="1" thickBot="1" x14ac:dyDescent="0.3">
      <c r="A77" s="61" t="s">
        <v>26</v>
      </c>
      <c r="B77" s="58">
        <f>+ENERO!AG77</f>
        <v>0</v>
      </c>
      <c r="C77" s="58">
        <f>+FEBRERO!AG77</f>
        <v>1</v>
      </c>
      <c r="D77" s="58">
        <f>+MARZO!$AG77</f>
        <v>0</v>
      </c>
      <c r="E77" s="58">
        <f>+ABRIL!$AG77</f>
        <v>0</v>
      </c>
      <c r="F77" s="58">
        <f>+MAYO!$AG77</f>
        <v>2</v>
      </c>
      <c r="G77" s="58">
        <f>+JUNIO!$AG77</f>
        <v>1</v>
      </c>
      <c r="H77" s="58">
        <f>+JULIO!$AG77</f>
        <v>0</v>
      </c>
      <c r="I77" s="58">
        <f>+AGOSTO!$AG77</f>
        <v>1</v>
      </c>
      <c r="J77" s="58">
        <f>+SEPTIEMBRE!$AG77</f>
        <v>1</v>
      </c>
      <c r="K77" s="58">
        <f>+OCTUBRE!$AG77</f>
        <v>0</v>
      </c>
      <c r="L77" s="58">
        <f>+NOVIEMBRE!$AG77</f>
        <v>0</v>
      </c>
      <c r="M77" s="58">
        <f>+DICIEMBRE!$AG77</f>
        <v>0</v>
      </c>
      <c r="N77" s="9">
        <f t="shared" si="2"/>
        <v>6</v>
      </c>
    </row>
    <row r="78" spans="1:14" ht="19.5" customHeight="1" thickBot="1" x14ac:dyDescent="0.3">
      <c r="A78" s="63" t="s">
        <v>29</v>
      </c>
      <c r="B78" s="11">
        <f>+ENERO!AG78</f>
        <v>4628</v>
      </c>
      <c r="C78" s="11">
        <f>+FEBRERO!AG78</f>
        <v>4339</v>
      </c>
      <c r="D78" s="11">
        <f>+MARZO!$AG78</f>
        <v>4871</v>
      </c>
      <c r="E78" s="11">
        <f>+ABRIL!$AG78</f>
        <v>4829</v>
      </c>
      <c r="F78" s="11">
        <f>+MAYO!$AG78</f>
        <v>6194</v>
      </c>
      <c r="G78" s="11">
        <f>+JUNIO!$AG78</f>
        <v>4637</v>
      </c>
      <c r="H78" s="11">
        <f>+JULIO!$AG78</f>
        <v>3844</v>
      </c>
      <c r="I78" s="11">
        <f>+AGOSTO!$AG78</f>
        <v>4616</v>
      </c>
      <c r="J78" s="11">
        <f>+SEPTIEMBRE!$AG78</f>
        <v>5207</v>
      </c>
      <c r="K78" s="11">
        <f>+OCTUBRE!$AG78</f>
        <v>5085</v>
      </c>
      <c r="L78" s="11">
        <f>+NOVIEMBRE!$AG78</f>
        <v>5289</v>
      </c>
      <c r="M78" s="11">
        <f>+DICIEMBRE!$AG78</f>
        <v>4833</v>
      </c>
      <c r="N78" s="10">
        <f t="shared" si="2"/>
        <v>58372</v>
      </c>
    </row>
    <row r="79" spans="1:14" ht="19.5" customHeight="1" x14ac:dyDescent="0.25">
      <c r="A79" s="64" t="s">
        <v>30</v>
      </c>
      <c r="B79" s="3">
        <f>+ENERO!AG79</f>
        <v>4628</v>
      </c>
      <c r="C79" s="3">
        <f>+FEBRERO!AG79</f>
        <v>4339</v>
      </c>
      <c r="D79" s="3">
        <f>+MARZO!$AG79</f>
        <v>4871</v>
      </c>
      <c r="E79" s="3">
        <f>+ABRIL!$AG79</f>
        <v>4829</v>
      </c>
      <c r="F79" s="3">
        <f>+MAYO!$AG79</f>
        <v>6194</v>
      </c>
      <c r="G79" s="3">
        <f>+JUNIO!$AG79</f>
        <v>4637</v>
      </c>
      <c r="H79" s="3">
        <f>+JULIO!$AG79</f>
        <v>3844</v>
      </c>
      <c r="I79" s="3">
        <f>+AGOSTO!$AG79</f>
        <v>4616</v>
      </c>
      <c r="J79" s="3">
        <f>+SEPTIEMBRE!$AG79</f>
        <v>5207</v>
      </c>
      <c r="K79" s="3">
        <f>+OCTUBRE!$AG79</f>
        <v>5085</v>
      </c>
      <c r="L79" s="3">
        <f>+NOVIEMBRE!$AG79</f>
        <v>5289</v>
      </c>
      <c r="M79" s="3">
        <f>+DICIEMBRE!$AG79</f>
        <v>4833</v>
      </c>
      <c r="N79" s="4">
        <f t="shared" si="2"/>
        <v>58372</v>
      </c>
    </row>
    <row r="80" spans="1:14" ht="19.5" customHeight="1" thickBot="1" x14ac:dyDescent="0.3">
      <c r="A80" s="65" t="s">
        <v>31</v>
      </c>
      <c r="B80" s="66">
        <f>+ENERO!AG80</f>
        <v>0</v>
      </c>
      <c r="C80" s="66">
        <f>+FEBRERO!AG80</f>
        <v>0</v>
      </c>
      <c r="D80" s="66">
        <f>+MARZO!$AG80</f>
        <v>0</v>
      </c>
      <c r="E80" s="66">
        <f>+ABRIL!$AG80</f>
        <v>0</v>
      </c>
      <c r="F80" s="66">
        <f>+MAYO!$AG80</f>
        <v>0</v>
      </c>
      <c r="G80" s="66">
        <f>+JUNIO!$AG80</f>
        <v>0</v>
      </c>
      <c r="H80" s="66">
        <f>+JULIO!$AG80</f>
        <v>0</v>
      </c>
      <c r="I80" s="66">
        <f>+AGOSTO!$AG80</f>
        <v>0</v>
      </c>
      <c r="J80" s="66">
        <f>+SEPTIEMBRE!$AG80</f>
        <v>0</v>
      </c>
      <c r="K80" s="66">
        <f>+OCTUBRE!$AG80</f>
        <v>0</v>
      </c>
      <c r="L80" s="66">
        <f>+NOVIEMBRE!$AG80</f>
        <v>0</v>
      </c>
      <c r="M80" s="66">
        <f>+DICIEMBRE!$AG80</f>
        <v>0</v>
      </c>
      <c r="N80" s="9">
        <f t="shared" si="2"/>
        <v>0</v>
      </c>
    </row>
    <row r="81" spans="1:15" ht="15.75" customHeight="1" thickBot="1" x14ac:dyDescent="0.3">
      <c r="A81" s="63" t="s">
        <v>32</v>
      </c>
      <c r="B81" s="12">
        <f>+ENERO!AG81</f>
        <v>248</v>
      </c>
      <c r="C81" s="12">
        <f>+FEBRERO!AG81</f>
        <v>237</v>
      </c>
      <c r="D81" s="12">
        <f>+MARZO!$AG81</f>
        <v>300</v>
      </c>
      <c r="E81" s="12">
        <f>+ABRIL!$AG81</f>
        <v>402</v>
      </c>
      <c r="F81" s="12">
        <f>+MAYO!$AG81</f>
        <v>710</v>
      </c>
      <c r="G81" s="12">
        <f>+JUNIO!$AG81</f>
        <v>234</v>
      </c>
      <c r="H81" s="12">
        <f>+JULIO!$AG81</f>
        <v>139</v>
      </c>
      <c r="I81" s="12">
        <f>+AGOSTO!$AG81</f>
        <v>255</v>
      </c>
      <c r="J81" s="12">
        <f>+SEPTIEMBRE!$AG81</f>
        <v>482</v>
      </c>
      <c r="K81" s="12">
        <f>+OCTUBRE!$AG81</f>
        <v>574</v>
      </c>
      <c r="L81" s="12">
        <f>+NOVIEMBRE!$AG81</f>
        <v>746</v>
      </c>
      <c r="M81" s="12">
        <f>+DICIEMBRE!$AG81</f>
        <v>572</v>
      </c>
      <c r="N81" s="10">
        <f t="shared" si="2"/>
        <v>4899</v>
      </c>
      <c r="O81" s="47" t="str">
        <f>IF(N81&lt;&gt;N53,"*","")</f>
        <v/>
      </c>
    </row>
    <row r="82" spans="1:15" ht="15.75" customHeight="1" x14ac:dyDescent="0.25">
      <c r="A82" s="64" t="s">
        <v>31</v>
      </c>
      <c r="B82" s="3">
        <f>+ENERO!AG82</f>
        <v>30</v>
      </c>
      <c r="C82" s="3">
        <f>+FEBRERO!AG82</f>
        <v>14</v>
      </c>
      <c r="D82" s="3">
        <f>+MARZO!$AG82</f>
        <v>24</v>
      </c>
      <c r="E82" s="3">
        <f>+ABRIL!$AG82</f>
        <v>35</v>
      </c>
      <c r="F82" s="3">
        <f>+MAYO!$AG82</f>
        <v>46</v>
      </c>
      <c r="G82" s="3">
        <f>+JUNIO!$AG82</f>
        <v>103</v>
      </c>
      <c r="H82" s="3">
        <f>+JULIO!$AG82</f>
        <v>20</v>
      </c>
      <c r="I82" s="3">
        <f>+AGOSTO!$AG82</f>
        <v>37</v>
      </c>
      <c r="J82" s="3">
        <f>+SEPTIEMBRE!$AG82</f>
        <v>64</v>
      </c>
      <c r="K82" s="3">
        <f>+OCTUBRE!$AG82</f>
        <v>51</v>
      </c>
      <c r="L82" s="3">
        <f>+NOVIEMBRE!$AG82</f>
        <v>53</v>
      </c>
      <c r="M82" s="3">
        <f>+DICIEMBRE!$AG82</f>
        <v>58</v>
      </c>
      <c r="N82" s="4">
        <f t="shared" si="2"/>
        <v>535</v>
      </c>
    </row>
    <row r="83" spans="1:15" ht="15.75" customHeight="1" thickBot="1" x14ac:dyDescent="0.3">
      <c r="A83" s="65" t="s">
        <v>30</v>
      </c>
      <c r="B83" s="8">
        <f>+ENERO!AG83</f>
        <v>218</v>
      </c>
      <c r="C83" s="8">
        <f>+FEBRERO!AG83</f>
        <v>223</v>
      </c>
      <c r="D83" s="8">
        <f>+MARZO!$AG83</f>
        <v>276</v>
      </c>
      <c r="E83" s="8">
        <f>+ABRIL!$AG83</f>
        <v>367</v>
      </c>
      <c r="F83" s="8">
        <f>+MAYO!$AG83</f>
        <v>664</v>
      </c>
      <c r="G83" s="8">
        <f>+JUNIO!$AG83</f>
        <v>131</v>
      </c>
      <c r="H83" s="8">
        <f>+JULIO!$AG83</f>
        <v>119</v>
      </c>
      <c r="I83" s="8">
        <f>+AGOSTO!$AG83</f>
        <v>218</v>
      </c>
      <c r="J83" s="8">
        <f>+SEPTIEMBRE!$AG83</f>
        <v>418</v>
      </c>
      <c r="K83" s="8">
        <f>+OCTUBRE!$AG83</f>
        <v>523</v>
      </c>
      <c r="L83" s="8">
        <f>+NOVIEMBRE!$AG83</f>
        <v>693</v>
      </c>
      <c r="M83" s="8">
        <f>+DICIEMBRE!$AG83</f>
        <v>514</v>
      </c>
      <c r="N83" s="5">
        <f t="shared" si="2"/>
        <v>4364</v>
      </c>
    </row>
    <row r="84" spans="1:15" ht="15.75" customHeight="1" thickBot="1" x14ac:dyDescent="0.3">
      <c r="A84" s="67" t="s">
        <v>33</v>
      </c>
      <c r="B84" s="14">
        <f>+ENERO!AG84</f>
        <v>248</v>
      </c>
      <c r="C84" s="14">
        <f>+FEBRERO!AG84</f>
        <v>237</v>
      </c>
      <c r="D84" s="14">
        <f>+MARZO!$AG84</f>
        <v>300</v>
      </c>
      <c r="E84" s="14">
        <f>+ABRIL!$AG84</f>
        <v>402</v>
      </c>
      <c r="F84" s="14">
        <f>+MAYO!$AG84</f>
        <v>710</v>
      </c>
      <c r="G84" s="14">
        <f>+JUNIO!$AG84</f>
        <v>234</v>
      </c>
      <c r="H84" s="14">
        <f>+JULIO!$AG84</f>
        <v>139</v>
      </c>
      <c r="I84" s="14">
        <f>+AGOSTO!$AG84</f>
        <v>255</v>
      </c>
      <c r="J84" s="14">
        <f>+SEPTIEMBRE!$AG84</f>
        <v>482</v>
      </c>
      <c r="K84" s="14">
        <f>+OCTUBRE!$AG84</f>
        <v>574</v>
      </c>
      <c r="L84" s="14">
        <f>+NOVIEMBRE!$AG84</f>
        <v>746</v>
      </c>
      <c r="M84" s="14">
        <f>+DICIEMBRE!$AG84</f>
        <v>572</v>
      </c>
      <c r="N84" s="15">
        <f t="shared" si="2"/>
        <v>4899</v>
      </c>
      <c r="O84" s="47" t="str">
        <f>IF(N84&lt;&gt;N82+N83,"*","")</f>
        <v/>
      </c>
    </row>
    <row r="85" spans="1:15" ht="15.75" customHeight="1" x14ac:dyDescent="0.25">
      <c r="A85" s="68" t="s">
        <v>34</v>
      </c>
      <c r="B85" s="69">
        <f>+ENERO!AG85</f>
        <v>40</v>
      </c>
      <c r="C85" s="69">
        <f>+FEBRERO!AG85</f>
        <v>48</v>
      </c>
      <c r="D85" s="69">
        <f>+MARZO!$AG85</f>
        <v>59</v>
      </c>
      <c r="E85" s="69">
        <f>+ABRIL!$AG85</f>
        <v>89</v>
      </c>
      <c r="F85" s="69">
        <f>+MAYO!$AG85</f>
        <v>144</v>
      </c>
      <c r="G85" s="69">
        <f>+JUNIO!$AG85</f>
        <v>41</v>
      </c>
      <c r="H85" s="69">
        <f>+JULIO!$AG85</f>
        <v>31</v>
      </c>
      <c r="I85" s="69">
        <f>+AGOSTO!$AG85</f>
        <v>78</v>
      </c>
      <c r="J85" s="69">
        <f>+SEPTIEMBRE!$AG85</f>
        <v>125</v>
      </c>
      <c r="K85" s="69">
        <f>+OCTUBRE!$AG85</f>
        <v>143</v>
      </c>
      <c r="L85" s="69">
        <f>+NOVIEMBRE!$AG85</f>
        <v>228</v>
      </c>
      <c r="M85" s="69">
        <f>+DICIEMBRE!$AG85</f>
        <v>130</v>
      </c>
      <c r="N85" s="16">
        <f t="shared" si="2"/>
        <v>1156</v>
      </c>
    </row>
    <row r="86" spans="1:15" ht="15.75" customHeight="1" thickBot="1" x14ac:dyDescent="0.3">
      <c r="A86" s="70" t="s">
        <v>35</v>
      </c>
      <c r="B86" s="71">
        <f>+ENERO!AG86</f>
        <v>208</v>
      </c>
      <c r="C86" s="71">
        <f>+FEBRERO!AG86</f>
        <v>189</v>
      </c>
      <c r="D86" s="71">
        <f>+MARZO!$AG86</f>
        <v>241</v>
      </c>
      <c r="E86" s="71">
        <f>+ABRIL!$AG86</f>
        <v>313</v>
      </c>
      <c r="F86" s="71">
        <f>+MAYO!$AG86</f>
        <v>566</v>
      </c>
      <c r="G86" s="71">
        <f>+JUNIO!$AG86</f>
        <v>193</v>
      </c>
      <c r="H86" s="71">
        <f>+JULIO!$AG86</f>
        <v>108</v>
      </c>
      <c r="I86" s="71">
        <f>+AGOSTO!$AG86</f>
        <v>177</v>
      </c>
      <c r="J86" s="71">
        <f>+SEPTIEMBRE!$AG86</f>
        <v>357</v>
      </c>
      <c r="K86" s="71">
        <f>+OCTUBRE!$AG86</f>
        <v>431</v>
      </c>
      <c r="L86" s="71">
        <f>+NOVIEMBRE!$AG86</f>
        <v>518</v>
      </c>
      <c r="M86" s="71">
        <f>+DICIEMBRE!$AG86</f>
        <v>442</v>
      </c>
      <c r="N86" s="17">
        <f t="shared" si="2"/>
        <v>3743</v>
      </c>
    </row>
    <row r="87" spans="1:15" ht="15.75" customHeight="1" thickBot="1" x14ac:dyDescent="0.3">
      <c r="A87" s="72" t="s">
        <v>36</v>
      </c>
      <c r="B87" s="18">
        <f>+ENERO!AG87</f>
        <v>248</v>
      </c>
      <c r="C87" s="18">
        <f>+FEBRERO!AG87</f>
        <v>237</v>
      </c>
      <c r="D87" s="18">
        <f>+MARZO!$AG87</f>
        <v>300</v>
      </c>
      <c r="E87" s="18">
        <f>+ABRIL!$AG87</f>
        <v>402</v>
      </c>
      <c r="F87" s="18">
        <f>+MAYO!$AG87</f>
        <v>710</v>
      </c>
      <c r="G87" s="18">
        <f>+JUNIO!$AG87</f>
        <v>234</v>
      </c>
      <c r="H87" s="18">
        <f>+JULIO!$AG87</f>
        <v>139</v>
      </c>
      <c r="I87" s="18">
        <f>+AGOSTO!$AG87</f>
        <v>255</v>
      </c>
      <c r="J87" s="18">
        <f>+SEPTIEMBRE!$AG87</f>
        <v>482</v>
      </c>
      <c r="K87" s="18">
        <f>+OCTUBRE!$AG87</f>
        <v>574</v>
      </c>
      <c r="L87" s="18">
        <f>+NOVIEMBRE!$AG87</f>
        <v>746</v>
      </c>
      <c r="M87" s="18">
        <f>+DICIEMBRE!$AG87</f>
        <v>572</v>
      </c>
      <c r="N87" s="19">
        <f t="shared" si="2"/>
        <v>4899</v>
      </c>
      <c r="O87" s="47" t="str">
        <f>IF(N87&lt;&gt;N84,"*","")</f>
        <v/>
      </c>
    </row>
    <row r="88" spans="1:15" ht="15.75" customHeight="1" x14ac:dyDescent="0.25">
      <c r="A88" s="73" t="s">
        <v>37</v>
      </c>
      <c r="B88" s="60">
        <f>+ENERO!AG88</f>
        <v>71</v>
      </c>
      <c r="C88" s="60">
        <f>+FEBRERO!AG88</f>
        <v>86</v>
      </c>
      <c r="D88" s="60">
        <f>+MARZO!$AG88</f>
        <v>81</v>
      </c>
      <c r="E88" s="60">
        <f>+ABRIL!$AG88</f>
        <v>80</v>
      </c>
      <c r="F88" s="60">
        <f>+MAYO!$AG88</f>
        <v>134</v>
      </c>
      <c r="G88" s="60">
        <f>+JUNIO!$AG88</f>
        <v>104</v>
      </c>
      <c r="H88" s="60">
        <f>+JULIO!$AG88</f>
        <v>74</v>
      </c>
      <c r="I88" s="60">
        <f>+AGOSTO!$AG88</f>
        <v>105</v>
      </c>
      <c r="J88" s="60">
        <f>+SEPTIEMBRE!$AG88</f>
        <v>135</v>
      </c>
      <c r="K88" s="60">
        <f>+OCTUBRE!$AG88</f>
        <v>137</v>
      </c>
      <c r="L88" s="60">
        <f>+NOVIEMBRE!$AG88</f>
        <v>169</v>
      </c>
      <c r="M88" s="60">
        <f>+DICIEMBRE!$AG88</f>
        <v>134</v>
      </c>
      <c r="N88" s="4">
        <f t="shared" si="2"/>
        <v>1310</v>
      </c>
    </row>
    <row r="89" spans="1:15" ht="15.75" customHeight="1" x14ac:dyDescent="0.25">
      <c r="A89" s="74" t="s">
        <v>38</v>
      </c>
      <c r="B89" s="60">
        <f>+ENERO!AG89</f>
        <v>0</v>
      </c>
      <c r="C89" s="60">
        <f>+FEBRERO!AG89</f>
        <v>0</v>
      </c>
      <c r="D89" s="60">
        <f>+MARZO!$AG89</f>
        <v>0</v>
      </c>
      <c r="E89" s="60">
        <f>+ABRIL!$AG89</f>
        <v>0</v>
      </c>
      <c r="F89" s="60">
        <f>+MAYO!$AG89</f>
        <v>0</v>
      </c>
      <c r="G89" s="60">
        <f>+JUNIO!$AG89</f>
        <v>0</v>
      </c>
      <c r="H89" s="60">
        <f>+JULIO!$AG89</f>
        <v>0</v>
      </c>
      <c r="I89" s="60">
        <f>+AGOSTO!$AG89</f>
        <v>0</v>
      </c>
      <c r="J89" s="60">
        <f>+SEPTIEMBRE!$AG89</f>
        <v>0</v>
      </c>
      <c r="K89" s="60">
        <f>+OCTUBRE!$AG89</f>
        <v>1</v>
      </c>
      <c r="L89" s="60">
        <f>+NOVIEMBRE!$AG89</f>
        <v>0</v>
      </c>
      <c r="M89" s="60">
        <f>+DICIEMBRE!$AG89</f>
        <v>0</v>
      </c>
      <c r="N89" s="5">
        <f t="shared" si="2"/>
        <v>1</v>
      </c>
    </row>
    <row r="90" spans="1:15" ht="15.75" customHeight="1" x14ac:dyDescent="0.25">
      <c r="A90" s="74" t="s">
        <v>39</v>
      </c>
      <c r="B90" s="60">
        <f>+ENERO!AG90</f>
        <v>4</v>
      </c>
      <c r="C90" s="60">
        <f>+FEBRERO!AG90</f>
        <v>2</v>
      </c>
      <c r="D90" s="60">
        <f>+MARZO!$AG90</f>
        <v>2</v>
      </c>
      <c r="E90" s="60">
        <f>+ABRIL!$AG90</f>
        <v>4</v>
      </c>
      <c r="F90" s="60">
        <f>+MAYO!$AG90</f>
        <v>7</v>
      </c>
      <c r="G90" s="60">
        <f>+JUNIO!$AG90</f>
        <v>5</v>
      </c>
      <c r="H90" s="60">
        <f>+JULIO!$AG90</f>
        <v>3</v>
      </c>
      <c r="I90" s="60">
        <f>+AGOSTO!$AG90</f>
        <v>0</v>
      </c>
      <c r="J90" s="60">
        <f>+SEPTIEMBRE!$AG90</f>
        <v>9</v>
      </c>
      <c r="K90" s="60">
        <f>+OCTUBRE!$AG90</f>
        <v>6</v>
      </c>
      <c r="L90" s="60">
        <f>+NOVIEMBRE!$AG90</f>
        <v>5</v>
      </c>
      <c r="M90" s="60">
        <f>+DICIEMBRE!$AG90</f>
        <v>16</v>
      </c>
      <c r="N90" s="5">
        <f t="shared" si="2"/>
        <v>63</v>
      </c>
    </row>
    <row r="91" spans="1:15" ht="15.75" customHeight="1" x14ac:dyDescent="0.25">
      <c r="A91" s="74" t="s">
        <v>40</v>
      </c>
      <c r="B91" s="60">
        <f>+ENERO!AG91</f>
        <v>83</v>
      </c>
      <c r="C91" s="60">
        <f>+FEBRERO!AG91</f>
        <v>76</v>
      </c>
      <c r="D91" s="60">
        <f>+MARZO!$AG91</f>
        <v>106</v>
      </c>
      <c r="E91" s="60">
        <f>+ABRIL!$AG91</f>
        <v>216</v>
      </c>
      <c r="F91" s="60">
        <f>+MAYO!$AG91</f>
        <v>383</v>
      </c>
      <c r="G91" s="60">
        <f>+JUNIO!$AG91</f>
        <v>83</v>
      </c>
      <c r="H91" s="60">
        <f>+JULIO!$AG91</f>
        <v>46</v>
      </c>
      <c r="I91" s="60">
        <f>+AGOSTO!$AG91</f>
        <v>122</v>
      </c>
      <c r="J91" s="60">
        <f>+SEPTIEMBRE!$AG91</f>
        <v>235</v>
      </c>
      <c r="K91" s="60">
        <f>+OCTUBRE!$AG91</f>
        <v>309</v>
      </c>
      <c r="L91" s="60">
        <f>+NOVIEMBRE!$AG91</f>
        <v>443</v>
      </c>
      <c r="M91" s="60">
        <f>+DICIEMBRE!$AG91</f>
        <v>320</v>
      </c>
      <c r="N91" s="5">
        <f t="shared" si="2"/>
        <v>2422</v>
      </c>
    </row>
    <row r="92" spans="1:15" ht="15.75" customHeight="1" thickBot="1" x14ac:dyDescent="0.3">
      <c r="A92" s="74" t="s">
        <v>41</v>
      </c>
      <c r="B92" s="60">
        <f>+ENERO!AG92</f>
        <v>90</v>
      </c>
      <c r="C92" s="60">
        <f>+FEBRERO!AG92</f>
        <v>73</v>
      </c>
      <c r="D92" s="60">
        <f>+MARZO!$AG92</f>
        <v>111</v>
      </c>
      <c r="E92" s="60">
        <f>+ABRIL!$AG92</f>
        <v>102</v>
      </c>
      <c r="F92" s="60">
        <f>+MAYO!$AG92</f>
        <v>186</v>
      </c>
      <c r="G92" s="60">
        <f>+JUNIO!$AG92</f>
        <v>42</v>
      </c>
      <c r="H92" s="60">
        <f>+JULIO!$AG92</f>
        <v>16</v>
      </c>
      <c r="I92" s="60">
        <f>+AGOSTO!$AG92</f>
        <v>28</v>
      </c>
      <c r="J92" s="60">
        <f>+SEPTIEMBRE!$AG92</f>
        <v>103</v>
      </c>
      <c r="K92" s="60">
        <f>+OCTUBRE!$AG92</f>
        <v>121</v>
      </c>
      <c r="L92" s="60">
        <f>+NOVIEMBRE!$AG92</f>
        <v>129</v>
      </c>
      <c r="M92" s="60">
        <f>+DICIEMBRE!$AG92</f>
        <v>102</v>
      </c>
      <c r="N92" s="5">
        <f t="shared" si="2"/>
        <v>1103</v>
      </c>
    </row>
    <row r="93" spans="1:15" ht="15.75" customHeight="1" x14ac:dyDescent="0.25">
      <c r="A93" s="75" t="s">
        <v>42</v>
      </c>
      <c r="B93" s="20">
        <f>+ENERO!AG93</f>
        <v>4380</v>
      </c>
      <c r="C93" s="20">
        <f>+FEBRERO!AG93</f>
        <v>4102</v>
      </c>
      <c r="D93" s="20">
        <f>+MARZO!$AG93</f>
        <v>4571</v>
      </c>
      <c r="E93" s="20">
        <f>+ABRIL!$AG93</f>
        <v>4427</v>
      </c>
      <c r="F93" s="20">
        <f>+MAYO!$AG93</f>
        <v>5484</v>
      </c>
      <c r="G93" s="20">
        <f>+JUNIO!$AG93</f>
        <v>4403</v>
      </c>
      <c r="H93" s="20">
        <f>+JULIO!$AG93</f>
        <v>3705</v>
      </c>
      <c r="I93" s="20">
        <f>+AGOSTO!$AG93</f>
        <v>4361</v>
      </c>
      <c r="J93" s="20">
        <f>+SEPTIEMBRE!$AG93</f>
        <v>4725</v>
      </c>
      <c r="K93" s="20">
        <f>+OCTUBRE!$AG93</f>
        <v>4511</v>
      </c>
      <c r="L93" s="20">
        <f>+NOVIEMBRE!$AG93</f>
        <v>4543</v>
      </c>
      <c r="M93" s="20">
        <f>+DICIEMBRE!$AG93</f>
        <v>4261</v>
      </c>
      <c r="N93" s="5">
        <f t="shared" si="2"/>
        <v>53473</v>
      </c>
      <c r="O93" s="47" t="str">
        <f>IF(N93&lt;&gt;N28,"*","")</f>
        <v/>
      </c>
    </row>
    <row r="94" spans="1:15" ht="15.75" customHeight="1" x14ac:dyDescent="0.25">
      <c r="A94" s="76" t="s">
        <v>43</v>
      </c>
      <c r="B94" s="21">
        <f>+ENERO!AG94</f>
        <v>581</v>
      </c>
      <c r="C94" s="21">
        <f>+FEBRERO!AG94</f>
        <v>412</v>
      </c>
      <c r="D94" s="21">
        <f>+MARZO!$AG94</f>
        <v>730</v>
      </c>
      <c r="E94" s="21">
        <f>+ABRIL!$AG94</f>
        <v>991</v>
      </c>
      <c r="F94" s="21">
        <f>+MAYO!$AG94</f>
        <v>1148</v>
      </c>
      <c r="G94" s="21">
        <f>+JUNIO!$AG94</f>
        <v>578</v>
      </c>
      <c r="H94" s="21">
        <f>+JULIO!$AG94</f>
        <v>454</v>
      </c>
      <c r="I94" s="21">
        <f>+AGOSTO!$AG94</f>
        <v>770</v>
      </c>
      <c r="J94" s="21">
        <f>+SEPTIEMBRE!$AG94</f>
        <v>878</v>
      </c>
      <c r="K94" s="21">
        <f>+OCTUBRE!$AG94</f>
        <v>845</v>
      </c>
      <c r="L94" s="21">
        <f>+NOVIEMBRE!$AG94</f>
        <v>870</v>
      </c>
      <c r="M94" s="21">
        <f>+DICIEMBRE!$AG94</f>
        <v>607</v>
      </c>
      <c r="N94" s="5">
        <f t="shared" si="2"/>
        <v>8864</v>
      </c>
    </row>
    <row r="95" spans="1:15" ht="15.75" customHeight="1" x14ac:dyDescent="0.25">
      <c r="A95" s="78" t="s">
        <v>44</v>
      </c>
      <c r="B95" s="54">
        <f>+ENERO!AG95</f>
        <v>25</v>
      </c>
      <c r="C95" s="54">
        <f>+FEBRERO!AG95</f>
        <v>10</v>
      </c>
      <c r="D95" s="54">
        <f>+MARZO!$AG95</f>
        <v>18</v>
      </c>
      <c r="E95" s="54">
        <f>+ABRIL!$AG95</f>
        <v>15</v>
      </c>
      <c r="F95" s="54">
        <f>+MAYO!$AG95</f>
        <v>19</v>
      </c>
      <c r="G95" s="54">
        <f>+JUNIO!$AG95</f>
        <v>10</v>
      </c>
      <c r="H95" s="54">
        <f>+JULIO!$AG95</f>
        <v>7</v>
      </c>
      <c r="I95" s="54">
        <f>+AGOSTO!$AG95</f>
        <v>11</v>
      </c>
      <c r="J95" s="54">
        <f>+SEPTIEMBRE!$AG95</f>
        <v>31</v>
      </c>
      <c r="K95" s="54">
        <f>+OCTUBRE!$AG95</f>
        <v>27</v>
      </c>
      <c r="L95" s="54">
        <f>+NOVIEMBRE!$AG95</f>
        <v>16</v>
      </c>
      <c r="M95" s="54">
        <f>+DICIEMBRE!$AG95</f>
        <v>15</v>
      </c>
      <c r="N95" s="5">
        <f t="shared" si="2"/>
        <v>204</v>
      </c>
    </row>
    <row r="96" spans="1:15" ht="15.75" customHeight="1" x14ac:dyDescent="0.25">
      <c r="A96" s="79" t="s">
        <v>45</v>
      </c>
      <c r="B96" s="54">
        <f>+ENERO!AG96</f>
        <v>23</v>
      </c>
      <c r="C96" s="54">
        <f>+FEBRERO!AG96</f>
        <v>24</v>
      </c>
      <c r="D96" s="54">
        <f>+MARZO!$AG96</f>
        <v>32</v>
      </c>
      <c r="E96" s="54">
        <f>+ABRIL!$AG96</f>
        <v>49</v>
      </c>
      <c r="F96" s="54">
        <f>+MAYO!$AG96</f>
        <v>46</v>
      </c>
      <c r="G96" s="54">
        <f>+JUNIO!$AG96</f>
        <v>29</v>
      </c>
      <c r="H96" s="54">
        <f>+JULIO!$AG96</f>
        <v>20</v>
      </c>
      <c r="I96" s="54">
        <f>+AGOSTO!$AG96</f>
        <v>52</v>
      </c>
      <c r="J96" s="54">
        <f>+SEPTIEMBRE!$AG96</f>
        <v>67</v>
      </c>
      <c r="K96" s="54">
        <f>+OCTUBRE!$AG96</f>
        <v>42</v>
      </c>
      <c r="L96" s="54">
        <f>+NOVIEMBRE!$AG96</f>
        <v>42</v>
      </c>
      <c r="M96" s="54">
        <f>+DICIEMBRE!$AG96</f>
        <v>37</v>
      </c>
      <c r="N96" s="5">
        <f t="shared" si="2"/>
        <v>463</v>
      </c>
    </row>
    <row r="97" spans="1:14" ht="15.75" customHeight="1" x14ac:dyDescent="0.25">
      <c r="A97" s="80" t="s">
        <v>46</v>
      </c>
      <c r="B97" s="54">
        <f>+ENERO!AG97</f>
        <v>112</v>
      </c>
      <c r="C97" s="54">
        <f>+FEBRERO!AG97</f>
        <v>58</v>
      </c>
      <c r="D97" s="54">
        <f>+MARZO!$AG97</f>
        <v>113</v>
      </c>
      <c r="E97" s="54">
        <f>+ABRIL!$AG97</f>
        <v>165</v>
      </c>
      <c r="F97" s="54">
        <f>+MAYO!$AG97</f>
        <v>175</v>
      </c>
      <c r="G97" s="54">
        <f>+JUNIO!$AG97</f>
        <v>134</v>
      </c>
      <c r="H97" s="54">
        <f>+JULIO!$AG97</f>
        <v>90</v>
      </c>
      <c r="I97" s="54">
        <f>+AGOSTO!$AG97</f>
        <v>165</v>
      </c>
      <c r="J97" s="54">
        <f>+SEPTIEMBRE!$AG97</f>
        <v>157</v>
      </c>
      <c r="K97" s="54">
        <f>+OCTUBRE!$AG97</f>
        <v>140</v>
      </c>
      <c r="L97" s="54">
        <f>+NOVIEMBRE!$AG97</f>
        <v>127</v>
      </c>
      <c r="M97" s="54">
        <f>+DICIEMBRE!$AG97</f>
        <v>107</v>
      </c>
      <c r="N97" s="5">
        <f t="shared" si="2"/>
        <v>1543</v>
      </c>
    </row>
    <row r="98" spans="1:14" ht="15.75" customHeight="1" x14ac:dyDescent="0.25">
      <c r="A98" s="81" t="s">
        <v>47</v>
      </c>
      <c r="B98" s="54">
        <f>+ENERO!AG98</f>
        <v>219</v>
      </c>
      <c r="C98" s="54">
        <f>+FEBRERO!AG98</f>
        <v>164</v>
      </c>
      <c r="D98" s="54">
        <f>+MARZO!$AG98</f>
        <v>291</v>
      </c>
      <c r="E98" s="54">
        <f>+ABRIL!$AG98</f>
        <v>423</v>
      </c>
      <c r="F98" s="54">
        <f>+MAYO!$AG98</f>
        <v>446</v>
      </c>
      <c r="G98" s="54">
        <f>+JUNIO!$AG98</f>
        <v>204</v>
      </c>
      <c r="H98" s="54">
        <f>+JULIO!$AG98</f>
        <v>161</v>
      </c>
      <c r="I98" s="54">
        <f>+AGOSTO!$AG98</f>
        <v>287</v>
      </c>
      <c r="J98" s="54">
        <f>+SEPTIEMBRE!$AG98</f>
        <v>365</v>
      </c>
      <c r="K98" s="54">
        <f>+OCTUBRE!$AG98</f>
        <v>342</v>
      </c>
      <c r="L98" s="54">
        <f>+NOVIEMBRE!$AG98</f>
        <v>353</v>
      </c>
      <c r="M98" s="54">
        <f>+DICIEMBRE!$AG98</f>
        <v>248</v>
      </c>
      <c r="N98" s="5">
        <f t="shared" si="2"/>
        <v>3503</v>
      </c>
    </row>
    <row r="99" spans="1:14" ht="15.75" customHeight="1" x14ac:dyDescent="0.25">
      <c r="A99" s="82" t="s">
        <v>48</v>
      </c>
      <c r="B99" s="54">
        <f>+ENERO!AG99</f>
        <v>202</v>
      </c>
      <c r="C99" s="54">
        <f>+FEBRERO!AG99</f>
        <v>156</v>
      </c>
      <c r="D99" s="54">
        <f>+MARZO!$AG99</f>
        <v>276</v>
      </c>
      <c r="E99" s="54">
        <f>+ABRIL!$AG99</f>
        <v>339</v>
      </c>
      <c r="F99" s="54">
        <f>+MAYO!$AG99</f>
        <v>462</v>
      </c>
      <c r="G99" s="54">
        <f>+JUNIO!$AG99</f>
        <v>201</v>
      </c>
      <c r="H99" s="54">
        <f>+JULIO!$AG99</f>
        <v>176</v>
      </c>
      <c r="I99" s="54">
        <f>+AGOSTO!$AG99</f>
        <v>255</v>
      </c>
      <c r="J99" s="54">
        <f>+SEPTIEMBRE!$AG99</f>
        <v>258</v>
      </c>
      <c r="K99" s="54">
        <f>+OCTUBRE!$AG99</f>
        <v>294</v>
      </c>
      <c r="L99" s="54">
        <f>+NOVIEMBRE!$AG99</f>
        <v>332</v>
      </c>
      <c r="M99" s="54">
        <f>+DICIEMBRE!$AG99</f>
        <v>200</v>
      </c>
      <c r="N99" s="5">
        <f t="shared" ref="N99:N130" si="3">SUM(B99:M99)</f>
        <v>3151</v>
      </c>
    </row>
    <row r="100" spans="1:14" ht="15.75" customHeight="1" x14ac:dyDescent="0.25">
      <c r="A100" s="76" t="s">
        <v>49</v>
      </c>
      <c r="B100" s="21">
        <f>+ENERO!AG100</f>
        <v>3799</v>
      </c>
      <c r="C100" s="21">
        <f>+FEBRERO!AG100</f>
        <v>3690</v>
      </c>
      <c r="D100" s="21">
        <f>+MARZO!$AG100</f>
        <v>3841</v>
      </c>
      <c r="E100" s="21">
        <f>+ABRIL!$AG100</f>
        <v>3436</v>
      </c>
      <c r="F100" s="21">
        <f>+MAYO!$AG100</f>
        <v>4336</v>
      </c>
      <c r="G100" s="21">
        <f>+JUNIO!$AG100</f>
        <v>3825</v>
      </c>
      <c r="H100" s="21">
        <f>+JULIO!$AG100</f>
        <v>3251</v>
      </c>
      <c r="I100" s="21">
        <f>+AGOSTO!$AG100</f>
        <v>3591</v>
      </c>
      <c r="J100" s="21">
        <f>+SEPTIEMBRE!$AG100</f>
        <v>3847</v>
      </c>
      <c r="K100" s="21">
        <f>+OCTUBRE!$AG100</f>
        <v>3666</v>
      </c>
      <c r="L100" s="21">
        <f>+NOVIEMBRE!$AG100</f>
        <v>3673</v>
      </c>
      <c r="M100" s="21">
        <f>+DICIEMBRE!$AG100</f>
        <v>3654</v>
      </c>
      <c r="N100" s="5">
        <f t="shared" si="3"/>
        <v>44609</v>
      </c>
    </row>
    <row r="101" spans="1:14" ht="15.75" customHeight="1" x14ac:dyDescent="0.25">
      <c r="A101" s="82" t="s">
        <v>50</v>
      </c>
      <c r="B101" s="54">
        <f>+ENERO!AG101</f>
        <v>236</v>
      </c>
      <c r="C101" s="54">
        <f>+FEBRERO!AG101</f>
        <v>264</v>
      </c>
      <c r="D101" s="54">
        <f>+MARZO!$AG101</f>
        <v>300</v>
      </c>
      <c r="E101" s="54">
        <f>+ABRIL!$AG101</f>
        <v>350</v>
      </c>
      <c r="F101" s="54">
        <f>+MAYO!$AG101</f>
        <v>432</v>
      </c>
      <c r="G101" s="54">
        <f>+JUNIO!$AG101</f>
        <v>300</v>
      </c>
      <c r="H101" s="54">
        <f>+JULIO!$AG101</f>
        <v>306</v>
      </c>
      <c r="I101" s="54">
        <f>+AGOSTO!$AG101</f>
        <v>298</v>
      </c>
      <c r="J101" s="54">
        <f>+SEPTIEMBRE!$AG101</f>
        <v>320</v>
      </c>
      <c r="K101" s="54">
        <f>+OCTUBRE!$AG101</f>
        <v>347</v>
      </c>
      <c r="L101" s="54">
        <f>+NOVIEMBRE!$AG101</f>
        <v>355</v>
      </c>
      <c r="M101" s="54">
        <f>+DICIEMBRE!$AG101</f>
        <v>272</v>
      </c>
      <c r="N101" s="5">
        <f t="shared" si="3"/>
        <v>3780</v>
      </c>
    </row>
    <row r="102" spans="1:14" ht="15.75" customHeight="1" x14ac:dyDescent="0.25">
      <c r="A102" s="82" t="s">
        <v>51</v>
      </c>
      <c r="B102" s="54">
        <f>+ENERO!AG102</f>
        <v>311</v>
      </c>
      <c r="C102" s="54">
        <f>+FEBRERO!AG102</f>
        <v>322</v>
      </c>
      <c r="D102" s="54">
        <f>+MARZO!$AG102</f>
        <v>349</v>
      </c>
      <c r="E102" s="54">
        <f>+ABRIL!$AG102</f>
        <v>379</v>
      </c>
      <c r="F102" s="54">
        <f>+MAYO!$AG102</f>
        <v>450</v>
      </c>
      <c r="G102" s="54">
        <f>+JUNIO!$AG102</f>
        <v>358</v>
      </c>
      <c r="H102" s="54">
        <f>+JULIO!$AG102</f>
        <v>275</v>
      </c>
      <c r="I102" s="54">
        <f>+AGOSTO!$AG102</f>
        <v>313</v>
      </c>
      <c r="J102" s="54">
        <f>+SEPTIEMBRE!$AG102</f>
        <v>316</v>
      </c>
      <c r="K102" s="54">
        <f>+OCTUBRE!$AG102</f>
        <v>345</v>
      </c>
      <c r="L102" s="54">
        <f>+NOVIEMBRE!$AG102</f>
        <v>327</v>
      </c>
      <c r="M102" s="54">
        <f>+DICIEMBRE!$AG102</f>
        <v>321</v>
      </c>
      <c r="N102" s="5">
        <f t="shared" si="3"/>
        <v>4066</v>
      </c>
    </row>
    <row r="103" spans="1:14" ht="15.75" customHeight="1" x14ac:dyDescent="0.25">
      <c r="A103" s="78" t="s">
        <v>52</v>
      </c>
      <c r="B103" s="54">
        <f>+ENERO!AG103</f>
        <v>319</v>
      </c>
      <c r="C103" s="54">
        <f>+FEBRERO!AG103</f>
        <v>312</v>
      </c>
      <c r="D103" s="54">
        <f>+MARZO!$AG103</f>
        <v>338</v>
      </c>
      <c r="E103" s="54">
        <f>+ABRIL!$AG103</f>
        <v>320</v>
      </c>
      <c r="F103" s="54">
        <f>+MAYO!$AG103</f>
        <v>432</v>
      </c>
      <c r="G103" s="54">
        <f>+JUNIO!$AG103</f>
        <v>361</v>
      </c>
      <c r="H103" s="54">
        <f>+JULIO!$AG103</f>
        <v>289</v>
      </c>
      <c r="I103" s="54">
        <f>+AGOSTO!$AG103</f>
        <v>327</v>
      </c>
      <c r="J103" s="54">
        <f>+SEPTIEMBRE!$AG103</f>
        <v>325</v>
      </c>
      <c r="K103" s="54">
        <f>+OCTUBRE!$AG103</f>
        <v>269</v>
      </c>
      <c r="L103" s="54">
        <f>+NOVIEMBRE!$AG103</f>
        <v>294</v>
      </c>
      <c r="M103" s="54">
        <f>+DICIEMBRE!$AG103</f>
        <v>359</v>
      </c>
      <c r="N103" s="5">
        <f t="shared" si="3"/>
        <v>3945</v>
      </c>
    </row>
    <row r="104" spans="1:14" ht="15.75" customHeight="1" x14ac:dyDescent="0.25">
      <c r="A104" s="78" t="s">
        <v>53</v>
      </c>
      <c r="B104" s="54">
        <f>+ENERO!AG104</f>
        <v>348</v>
      </c>
      <c r="C104" s="54">
        <f>+FEBRERO!AG104</f>
        <v>265</v>
      </c>
      <c r="D104" s="54">
        <f>+MARZO!$AG104</f>
        <v>309</v>
      </c>
      <c r="E104" s="54">
        <f>+ABRIL!$AG104</f>
        <v>317</v>
      </c>
      <c r="F104" s="54">
        <f>+MAYO!$AG104</f>
        <v>393</v>
      </c>
      <c r="G104" s="54">
        <f>+JUNIO!$AG104</f>
        <v>313</v>
      </c>
      <c r="H104" s="54">
        <f>+JULIO!$AG104</f>
        <v>275</v>
      </c>
      <c r="I104" s="54">
        <f>+AGOSTO!$AG104</f>
        <v>268</v>
      </c>
      <c r="J104" s="54">
        <f>+SEPTIEMBRE!$AG104</f>
        <v>313</v>
      </c>
      <c r="K104" s="54">
        <f>+OCTUBRE!$AG104</f>
        <v>274</v>
      </c>
      <c r="L104" s="54">
        <f>+NOVIEMBRE!$AG104</f>
        <v>304</v>
      </c>
      <c r="M104" s="54">
        <f>+DICIEMBRE!$AG104</f>
        <v>331</v>
      </c>
      <c r="N104" s="5">
        <f t="shared" si="3"/>
        <v>3710</v>
      </c>
    </row>
    <row r="105" spans="1:14" ht="15.75" customHeight="1" x14ac:dyDescent="0.25">
      <c r="A105" s="78" t="s">
        <v>54</v>
      </c>
      <c r="B105" s="54">
        <f>+ENERO!AG105</f>
        <v>260</v>
      </c>
      <c r="C105" s="54">
        <f>+FEBRERO!AG105</f>
        <v>270</v>
      </c>
      <c r="D105" s="54">
        <f>+MARZO!$AG105</f>
        <v>279</v>
      </c>
      <c r="E105" s="54">
        <f>+ABRIL!$AG105</f>
        <v>242</v>
      </c>
      <c r="F105" s="54">
        <f>+MAYO!$AG105</f>
        <v>340</v>
      </c>
      <c r="G105" s="54">
        <f>+JUNIO!$AG105</f>
        <v>312</v>
      </c>
      <c r="H105" s="54">
        <f>+JULIO!$AG105</f>
        <v>220</v>
      </c>
      <c r="I105" s="54">
        <f>+AGOSTO!$AG105</f>
        <v>258</v>
      </c>
      <c r="J105" s="54">
        <f>+SEPTIEMBRE!$AG105</f>
        <v>284</v>
      </c>
      <c r="K105" s="54">
        <f>+OCTUBRE!$AG105</f>
        <v>278</v>
      </c>
      <c r="L105" s="54">
        <f>+NOVIEMBRE!$AG105</f>
        <v>278</v>
      </c>
      <c r="M105" s="54">
        <f>+DICIEMBRE!$AG105</f>
        <v>242</v>
      </c>
      <c r="N105" s="5">
        <f t="shared" si="3"/>
        <v>3263</v>
      </c>
    </row>
    <row r="106" spans="1:14" ht="15.75" customHeight="1" x14ac:dyDescent="0.25">
      <c r="A106" s="78" t="s">
        <v>55</v>
      </c>
      <c r="B106" s="54">
        <f>+ENERO!AG106</f>
        <v>319</v>
      </c>
      <c r="C106" s="54">
        <f>+FEBRERO!AG106</f>
        <v>283</v>
      </c>
      <c r="D106" s="54">
        <f>+MARZO!$AG106</f>
        <v>271</v>
      </c>
      <c r="E106" s="54">
        <f>+ABRIL!$AG106</f>
        <v>240</v>
      </c>
      <c r="F106" s="54">
        <f>+MAYO!$AG106</f>
        <v>315</v>
      </c>
      <c r="G106" s="54">
        <f>+JUNIO!$AG106</f>
        <v>266</v>
      </c>
      <c r="H106" s="54">
        <f>+JULIO!$AG106</f>
        <v>198</v>
      </c>
      <c r="I106" s="54">
        <f>+AGOSTO!$AG106</f>
        <v>267</v>
      </c>
      <c r="J106" s="54">
        <f>+SEPTIEMBRE!$AG106</f>
        <v>265</v>
      </c>
      <c r="K106" s="54">
        <f>+OCTUBRE!$AG106</f>
        <v>269</v>
      </c>
      <c r="L106" s="54">
        <f>+NOVIEMBRE!$AG106</f>
        <v>237</v>
      </c>
      <c r="M106" s="54">
        <f>+DICIEMBRE!$AG106</f>
        <v>255</v>
      </c>
      <c r="N106" s="5">
        <f t="shared" si="3"/>
        <v>3185</v>
      </c>
    </row>
    <row r="107" spans="1:14" ht="15.75" customHeight="1" x14ac:dyDescent="0.25">
      <c r="A107" s="78" t="s">
        <v>56</v>
      </c>
      <c r="B107" s="54">
        <f>+ENERO!AG107</f>
        <v>274</v>
      </c>
      <c r="C107" s="54">
        <f>+FEBRERO!AG107</f>
        <v>273</v>
      </c>
      <c r="D107" s="54">
        <f>+MARZO!$AG107</f>
        <v>257</v>
      </c>
      <c r="E107" s="54">
        <f>+ABRIL!$AG107</f>
        <v>224</v>
      </c>
      <c r="F107" s="54">
        <f>+MAYO!$AG107</f>
        <v>306</v>
      </c>
      <c r="G107" s="54">
        <f>+JUNIO!$AG107</f>
        <v>268</v>
      </c>
      <c r="H107" s="54">
        <f>+JULIO!$AG107</f>
        <v>252</v>
      </c>
      <c r="I107" s="54">
        <f>+AGOSTO!$AG107</f>
        <v>261</v>
      </c>
      <c r="J107" s="54">
        <f>+SEPTIEMBRE!$AG107</f>
        <v>261</v>
      </c>
      <c r="K107" s="54">
        <f>+OCTUBRE!$AG107</f>
        <v>254</v>
      </c>
      <c r="L107" s="54">
        <f>+NOVIEMBRE!$AG107</f>
        <v>244</v>
      </c>
      <c r="M107" s="54">
        <f>+DICIEMBRE!$AG107</f>
        <v>241</v>
      </c>
      <c r="N107" s="5">
        <f t="shared" si="3"/>
        <v>3115</v>
      </c>
    </row>
    <row r="108" spans="1:14" ht="15.75" customHeight="1" x14ac:dyDescent="0.25">
      <c r="A108" s="78" t="s">
        <v>57</v>
      </c>
      <c r="B108" s="54">
        <f>+ENERO!AG108</f>
        <v>291</v>
      </c>
      <c r="C108" s="54">
        <f>+FEBRERO!AG108</f>
        <v>323</v>
      </c>
      <c r="D108" s="54">
        <f>+MARZO!$AG108</f>
        <v>306</v>
      </c>
      <c r="E108" s="54">
        <f>+ABRIL!$AG108</f>
        <v>269</v>
      </c>
      <c r="F108" s="54">
        <f>+MAYO!$AG108</f>
        <v>297</v>
      </c>
      <c r="G108" s="54">
        <f>+JUNIO!$AG108</f>
        <v>278</v>
      </c>
      <c r="H108" s="54">
        <f>+JULIO!$AG108</f>
        <v>268</v>
      </c>
      <c r="I108" s="54">
        <f>+AGOSTO!$AG108</f>
        <v>328</v>
      </c>
      <c r="J108" s="54">
        <f>+SEPTIEMBRE!$AG108</f>
        <v>321</v>
      </c>
      <c r="K108" s="54">
        <f>+OCTUBRE!$AG108</f>
        <v>273</v>
      </c>
      <c r="L108" s="54">
        <f>+NOVIEMBRE!$AG108</f>
        <v>312</v>
      </c>
      <c r="M108" s="54">
        <f>+DICIEMBRE!$AG108</f>
        <v>253</v>
      </c>
      <c r="N108" s="5">
        <f t="shared" si="3"/>
        <v>3519</v>
      </c>
    </row>
    <row r="109" spans="1:14" ht="15.75" customHeight="1" x14ac:dyDescent="0.25">
      <c r="A109" s="78" t="s">
        <v>58</v>
      </c>
      <c r="B109" s="54">
        <f>+ENERO!AG109</f>
        <v>317</v>
      </c>
      <c r="C109" s="54">
        <f>+FEBRERO!AG109</f>
        <v>299</v>
      </c>
      <c r="D109" s="54">
        <f>+MARZO!$AG109</f>
        <v>363</v>
      </c>
      <c r="E109" s="54">
        <f>+ABRIL!$AG109</f>
        <v>238</v>
      </c>
      <c r="F109" s="54">
        <f>+MAYO!$AG109</f>
        <v>315</v>
      </c>
      <c r="G109" s="54">
        <f>+JUNIO!$AG109</f>
        <v>323</v>
      </c>
      <c r="H109" s="54">
        <f>+JULIO!$AG109</f>
        <v>272</v>
      </c>
      <c r="I109" s="54">
        <f>+AGOSTO!$AG109</f>
        <v>279</v>
      </c>
      <c r="J109" s="54">
        <f>+SEPTIEMBRE!$AG109</f>
        <v>331</v>
      </c>
      <c r="K109" s="54">
        <f>+OCTUBRE!$AG109</f>
        <v>288</v>
      </c>
      <c r="L109" s="54">
        <f>+NOVIEMBRE!$AG109</f>
        <v>273</v>
      </c>
      <c r="M109" s="54">
        <f>+DICIEMBRE!$AG109</f>
        <v>279</v>
      </c>
      <c r="N109" s="5">
        <f t="shared" si="3"/>
        <v>3577</v>
      </c>
    </row>
    <row r="110" spans="1:14" ht="15.75" customHeight="1" x14ac:dyDescent="0.25">
      <c r="A110" s="78" t="s">
        <v>59</v>
      </c>
      <c r="B110" s="54">
        <f>+ENERO!AG110</f>
        <v>261</v>
      </c>
      <c r="C110" s="54">
        <f>+FEBRERO!AG110</f>
        <v>274</v>
      </c>
      <c r="D110" s="54">
        <f>+MARZO!$AG110</f>
        <v>283</v>
      </c>
      <c r="E110" s="54">
        <f>+ABRIL!$AG110</f>
        <v>220</v>
      </c>
      <c r="F110" s="54">
        <f>+MAYO!$AG110</f>
        <v>298</v>
      </c>
      <c r="G110" s="54">
        <f>+JUNIO!$AG110</f>
        <v>299</v>
      </c>
      <c r="H110" s="54">
        <f>+JULIO!$AG110</f>
        <v>256</v>
      </c>
      <c r="I110" s="54">
        <f>+AGOSTO!$AG110</f>
        <v>256</v>
      </c>
      <c r="J110" s="54">
        <f>+SEPTIEMBRE!$AG110</f>
        <v>304</v>
      </c>
      <c r="K110" s="54">
        <f>+OCTUBRE!$AG110</f>
        <v>280</v>
      </c>
      <c r="L110" s="54">
        <f>+NOVIEMBRE!$AG110</f>
        <v>259</v>
      </c>
      <c r="M110" s="54">
        <f>+DICIEMBRE!$AG110</f>
        <v>296</v>
      </c>
      <c r="N110" s="5">
        <f t="shared" si="3"/>
        <v>3286</v>
      </c>
    </row>
    <row r="111" spans="1:14" ht="15.75" customHeight="1" x14ac:dyDescent="0.25">
      <c r="A111" s="78" t="s">
        <v>60</v>
      </c>
      <c r="B111" s="54">
        <f>+ENERO!AG111</f>
        <v>237</v>
      </c>
      <c r="C111" s="54">
        <f>+FEBRERO!AG111</f>
        <v>206</v>
      </c>
      <c r="D111" s="54">
        <f>+MARZO!$AG111</f>
        <v>237</v>
      </c>
      <c r="E111" s="54">
        <f>+ABRIL!$AG111</f>
        <v>193</v>
      </c>
      <c r="F111" s="54">
        <f>+MAYO!$AG111</f>
        <v>230</v>
      </c>
      <c r="G111" s="54">
        <f>+JUNIO!$AG111</f>
        <v>264</v>
      </c>
      <c r="H111" s="54">
        <f>+JULIO!$AG111</f>
        <v>232</v>
      </c>
      <c r="I111" s="54">
        <f>+AGOSTO!$AG111</f>
        <v>216</v>
      </c>
      <c r="J111" s="54">
        <f>+SEPTIEMBRE!$AG111</f>
        <v>260</v>
      </c>
      <c r="K111" s="54">
        <f>+OCTUBRE!$AG111</f>
        <v>230</v>
      </c>
      <c r="L111" s="54">
        <f>+NOVIEMBRE!$AG111</f>
        <v>224</v>
      </c>
      <c r="M111" s="54">
        <f>+DICIEMBRE!$AG111</f>
        <v>215</v>
      </c>
      <c r="N111" s="5">
        <f t="shared" si="3"/>
        <v>2744</v>
      </c>
    </row>
    <row r="112" spans="1:14" ht="15.75" customHeight="1" x14ac:dyDescent="0.25">
      <c r="A112" s="78" t="s">
        <v>61</v>
      </c>
      <c r="B112" s="54">
        <f>+ENERO!AG112</f>
        <v>176</v>
      </c>
      <c r="C112" s="54">
        <f>+FEBRERO!AG112</f>
        <v>200</v>
      </c>
      <c r="D112" s="54">
        <f>+MARZO!$AG112</f>
        <v>173</v>
      </c>
      <c r="E112" s="54">
        <f>+ABRIL!$AG112</f>
        <v>155</v>
      </c>
      <c r="F112" s="54">
        <f>+MAYO!$AG112</f>
        <v>177</v>
      </c>
      <c r="G112" s="54">
        <f>+JUNIO!$AG112</f>
        <v>191</v>
      </c>
      <c r="H112" s="54">
        <f>+JULIO!$AG112</f>
        <v>162</v>
      </c>
      <c r="I112" s="54">
        <f>+AGOSTO!$AG112</f>
        <v>173</v>
      </c>
      <c r="J112" s="54">
        <f>+SEPTIEMBRE!$AG112</f>
        <v>187</v>
      </c>
      <c r="K112" s="54">
        <f>+OCTUBRE!$AG112</f>
        <v>172</v>
      </c>
      <c r="L112" s="54">
        <f>+NOVIEMBRE!$AG112</f>
        <v>206</v>
      </c>
      <c r="M112" s="54">
        <f>+DICIEMBRE!$AG112</f>
        <v>184</v>
      </c>
      <c r="N112" s="5">
        <f t="shared" si="3"/>
        <v>2156</v>
      </c>
    </row>
    <row r="113" spans="1:18" ht="15.75" customHeight="1" x14ac:dyDescent="0.25">
      <c r="A113" s="78" t="s">
        <v>62</v>
      </c>
      <c r="B113" s="54">
        <f>+ENERO!AG113</f>
        <v>165</v>
      </c>
      <c r="C113" s="54">
        <f>+FEBRERO!AG113</f>
        <v>171</v>
      </c>
      <c r="D113" s="54">
        <f>+MARZO!$AG113</f>
        <v>168</v>
      </c>
      <c r="E113" s="54">
        <f>+ABRIL!$AG113</f>
        <v>118</v>
      </c>
      <c r="F113" s="54">
        <f>+MAYO!$AG113</f>
        <v>177</v>
      </c>
      <c r="G113" s="54">
        <f>+JUNIO!$AG113</f>
        <v>112</v>
      </c>
      <c r="H113" s="54">
        <f>+JULIO!$AG113</f>
        <v>107</v>
      </c>
      <c r="I113" s="54">
        <f>+AGOSTO!$AG113</f>
        <v>154</v>
      </c>
      <c r="J113" s="54">
        <f>+SEPTIEMBRE!$AG113</f>
        <v>147</v>
      </c>
      <c r="K113" s="54">
        <f>+OCTUBRE!$AG113</f>
        <v>159</v>
      </c>
      <c r="L113" s="54">
        <f>+NOVIEMBRE!$AG113</f>
        <v>150</v>
      </c>
      <c r="M113" s="54">
        <f>+DICIEMBRE!$AG113</f>
        <v>165</v>
      </c>
      <c r="N113" s="5">
        <f t="shared" si="3"/>
        <v>1793</v>
      </c>
    </row>
    <row r="114" spans="1:18" ht="15.75" customHeight="1" x14ac:dyDescent="0.25">
      <c r="A114" s="78" t="s">
        <v>63</v>
      </c>
      <c r="B114" s="54">
        <f>+ENERO!AG114</f>
        <v>285</v>
      </c>
      <c r="C114" s="54">
        <f>+FEBRERO!AG114</f>
        <v>228</v>
      </c>
      <c r="D114" s="54">
        <f>+MARZO!$AG114</f>
        <v>208</v>
      </c>
      <c r="E114" s="54">
        <f>+ABRIL!$AG114</f>
        <v>171</v>
      </c>
      <c r="F114" s="54">
        <f>+MAYO!$AG114</f>
        <v>174</v>
      </c>
      <c r="G114" s="54">
        <f>+JUNIO!$AG114</f>
        <v>180</v>
      </c>
      <c r="H114" s="54">
        <f>+JULIO!$AG114</f>
        <v>139</v>
      </c>
      <c r="I114" s="54">
        <f>+AGOSTO!$AG114</f>
        <v>193</v>
      </c>
      <c r="J114" s="54">
        <f>+SEPTIEMBRE!$AG114</f>
        <v>213</v>
      </c>
      <c r="K114" s="54">
        <f>+OCTUBRE!$AG114</f>
        <v>228</v>
      </c>
      <c r="L114" s="54">
        <f>+NOVIEMBRE!$AG114</f>
        <v>210</v>
      </c>
      <c r="M114" s="54">
        <f>+DICIEMBRE!$AG114</f>
        <v>241</v>
      </c>
      <c r="N114" s="5">
        <f t="shared" si="3"/>
        <v>2470</v>
      </c>
    </row>
    <row r="115" spans="1:18" ht="15.75" customHeight="1" thickBot="1" x14ac:dyDescent="0.3">
      <c r="A115" s="83"/>
      <c r="B115" s="66">
        <f>+ENERO!AG115</f>
        <v>0</v>
      </c>
      <c r="C115" s="66">
        <f>+FEBRERO!AG115</f>
        <v>0</v>
      </c>
      <c r="D115" s="66">
        <f>+MARZO!$AG115</f>
        <v>0</v>
      </c>
      <c r="E115" s="66">
        <f>+ABRIL!$AG115</f>
        <v>0</v>
      </c>
      <c r="F115" s="66">
        <f>+MAYO!$AG115</f>
        <v>0</v>
      </c>
      <c r="G115" s="66">
        <f>+JUNIO!$AG115</f>
        <v>0</v>
      </c>
      <c r="H115" s="66">
        <f>+JULIO!$AG115</f>
        <v>0</v>
      </c>
      <c r="I115" s="66">
        <f>+AGOSTO!$AG115</f>
        <v>0</v>
      </c>
      <c r="J115" s="66">
        <f>+SEPTIEMBRE!$AG115</f>
        <v>0</v>
      </c>
      <c r="K115" s="66">
        <f>+OCTUBRE!$AG115</f>
        <v>0</v>
      </c>
      <c r="L115" s="66">
        <f>+NOVIEMBRE!$AG115</f>
        <v>0</v>
      </c>
      <c r="M115" s="66">
        <f>+DICIEMBRE!$AG115</f>
        <v>0</v>
      </c>
      <c r="N115" s="5">
        <f t="shared" si="3"/>
        <v>0</v>
      </c>
      <c r="R115" s="84">
        <v>603</v>
      </c>
    </row>
    <row r="116" spans="1:18" ht="15.75" customHeight="1" x14ac:dyDescent="0.25">
      <c r="A116" s="75" t="s">
        <v>64</v>
      </c>
      <c r="B116" s="20">
        <f>+ENERO!AG116</f>
        <v>952</v>
      </c>
      <c r="C116" s="20">
        <f>+FEBRERO!AG116</f>
        <v>930</v>
      </c>
      <c r="D116" s="20">
        <f>+MARZO!$AG116</f>
        <v>982</v>
      </c>
      <c r="E116" s="20">
        <f>+ABRIL!$AG116</f>
        <v>912</v>
      </c>
      <c r="F116" s="20">
        <f>+MAYO!$AG116</f>
        <v>1287</v>
      </c>
      <c r="G116" s="20">
        <f>+JUNIO!$AG116</f>
        <v>835</v>
      </c>
      <c r="H116" s="20">
        <f>+JULIO!$AG116</f>
        <v>797</v>
      </c>
      <c r="I116" s="20">
        <f>+AGOSTO!$AG116</f>
        <v>1042</v>
      </c>
      <c r="J116" s="20">
        <f>+SEPTIEMBRE!$AG116</f>
        <v>1078</v>
      </c>
      <c r="K116" s="20">
        <f>+OCTUBRE!$AG116</f>
        <v>1127</v>
      </c>
      <c r="L116" s="20">
        <f>+NOVIEMBRE!$AG116</f>
        <v>1319</v>
      </c>
      <c r="M116" s="20">
        <f>+DICIEMBRE!$AG116</f>
        <v>1419</v>
      </c>
      <c r="N116" s="5">
        <f t="shared" si="3"/>
        <v>12680</v>
      </c>
      <c r="R116" s="84">
        <v>612</v>
      </c>
    </row>
    <row r="117" spans="1:18" ht="15.75" customHeight="1" x14ac:dyDescent="0.25">
      <c r="A117" s="85" t="s">
        <v>65</v>
      </c>
      <c r="B117" s="54">
        <f>+ENERO!AG117</f>
        <v>905</v>
      </c>
      <c r="C117" s="54">
        <f>+FEBRERO!AG117</f>
        <v>893</v>
      </c>
      <c r="D117" s="54">
        <f>+MARZO!$AG117</f>
        <v>947</v>
      </c>
      <c r="E117" s="54">
        <f>+ABRIL!$AG117</f>
        <v>877</v>
      </c>
      <c r="F117" s="54">
        <f>+MAYO!$AG117</f>
        <v>1239</v>
      </c>
      <c r="G117" s="54">
        <f>+JUNIO!$AG117</f>
        <v>807</v>
      </c>
      <c r="H117" s="54">
        <f>+JULIO!$AG117</f>
        <v>772</v>
      </c>
      <c r="I117" s="54">
        <f>+AGOSTO!$AG117</f>
        <v>1019</v>
      </c>
      <c r="J117" s="54">
        <f>+SEPTIEMBRE!$AG117</f>
        <v>1046</v>
      </c>
      <c r="K117" s="54">
        <f>+OCTUBRE!$AG117</f>
        <v>1084</v>
      </c>
      <c r="L117" s="54">
        <f>+NOVIEMBRE!$AG117</f>
        <v>1075</v>
      </c>
      <c r="M117" s="54">
        <f>+DICIEMBRE!$AG117</f>
        <v>1153</v>
      </c>
      <c r="N117" s="5">
        <f t="shared" si="3"/>
        <v>11817</v>
      </c>
      <c r="R117" s="84">
        <v>613</v>
      </c>
    </row>
    <row r="118" spans="1:18" ht="15.75" customHeight="1" thickBot="1" x14ac:dyDescent="0.3">
      <c r="A118" s="86" t="s">
        <v>77</v>
      </c>
      <c r="B118" s="87">
        <f>+ENERO!AG118</f>
        <v>47</v>
      </c>
      <c r="C118" s="87">
        <f>+FEBRERO!AG118</f>
        <v>37</v>
      </c>
      <c r="D118" s="87">
        <f>+MARZO!$AG118</f>
        <v>35</v>
      </c>
      <c r="E118" s="87">
        <f>+ABRIL!$AG118</f>
        <v>35</v>
      </c>
      <c r="F118" s="87">
        <f>+MAYO!$AG118</f>
        <v>48</v>
      </c>
      <c r="G118" s="87">
        <f>+JUNIO!$AG118</f>
        <v>28</v>
      </c>
      <c r="H118" s="87">
        <f>+JULIO!$AG118</f>
        <v>25</v>
      </c>
      <c r="I118" s="87">
        <f>+AGOSTO!$AG118</f>
        <v>23</v>
      </c>
      <c r="J118" s="87">
        <f>+SEPTIEMBRE!$AG118</f>
        <v>32</v>
      </c>
      <c r="K118" s="87">
        <f>+OCTUBRE!$AG118</f>
        <v>43</v>
      </c>
      <c r="L118" s="87">
        <f>+NOVIEMBRE!$AG118</f>
        <v>244</v>
      </c>
      <c r="M118" s="87">
        <f>+DICIEMBRE!$AG118</f>
        <v>266</v>
      </c>
      <c r="N118" s="5">
        <f t="shared" si="3"/>
        <v>863</v>
      </c>
      <c r="R118" s="84" t="s">
        <v>129</v>
      </c>
    </row>
    <row r="119" spans="1:18" ht="15.75" customHeight="1" x14ac:dyDescent="0.25">
      <c r="A119" s="75" t="s">
        <v>78</v>
      </c>
      <c r="B119" s="20">
        <f>+ENERO!AG119</f>
        <v>4380</v>
      </c>
      <c r="C119" s="20">
        <f>+FEBRERO!AG119</f>
        <v>4102</v>
      </c>
      <c r="D119" s="20">
        <f>+MARZO!$AG119</f>
        <v>4571</v>
      </c>
      <c r="E119" s="20">
        <f>+ABRIL!$AG119</f>
        <v>4427</v>
      </c>
      <c r="F119" s="20">
        <f>+MAYO!$AG119</f>
        <v>5484</v>
      </c>
      <c r="G119" s="20">
        <f>+JUNIO!$AG119</f>
        <v>4403</v>
      </c>
      <c r="H119" s="20">
        <f>+JULIO!$AG119</f>
        <v>3705</v>
      </c>
      <c r="I119" s="20">
        <f>+AGOSTO!$AG119</f>
        <v>4361</v>
      </c>
      <c r="J119" s="20">
        <f>+SEPTIEMBRE!$AG119</f>
        <v>4725</v>
      </c>
      <c r="K119" s="20">
        <f>+OCTUBRE!$AG119</f>
        <v>4511</v>
      </c>
      <c r="L119" s="20">
        <f>+NOVIEMBRE!$AG119</f>
        <v>4543</v>
      </c>
      <c r="M119" s="20">
        <f>+DICIEMBRE!$AG119</f>
        <v>4261</v>
      </c>
      <c r="N119" s="7">
        <f t="shared" si="3"/>
        <v>53473</v>
      </c>
      <c r="O119" s="47" t="str">
        <f>IF(N119&lt;&gt;N93,"*","")</f>
        <v/>
      </c>
      <c r="R119" s="84" t="s">
        <v>130</v>
      </c>
    </row>
    <row r="120" spans="1:18" ht="15.75" customHeight="1" x14ac:dyDescent="0.25">
      <c r="A120" s="85" t="s">
        <v>65</v>
      </c>
      <c r="B120" s="54">
        <f>+ENERO!AG120</f>
        <v>861</v>
      </c>
      <c r="C120" s="54">
        <f>+FEBRERO!AG120</f>
        <v>847</v>
      </c>
      <c r="D120" s="54">
        <f>+MARZO!$AG120</f>
        <v>902</v>
      </c>
      <c r="E120" s="54">
        <f>+ABRIL!$AG120</f>
        <v>806</v>
      </c>
      <c r="F120" s="54">
        <f>+MAYO!$AG120</f>
        <v>1111</v>
      </c>
      <c r="G120" s="54">
        <f>+JUNIO!$AG120</f>
        <v>770</v>
      </c>
      <c r="H120" s="54">
        <f>+JULIO!$AG120</f>
        <v>747</v>
      </c>
      <c r="I120" s="54">
        <f>+AGOSTO!$AG120</f>
        <v>971</v>
      </c>
      <c r="J120" s="54">
        <f>+SEPTIEMBRE!$AG120</f>
        <v>944</v>
      </c>
      <c r="K120" s="54">
        <f>+OCTUBRE!$AG120</f>
        <v>961</v>
      </c>
      <c r="L120" s="54">
        <f>+NOVIEMBRE!$AG120</f>
        <v>930</v>
      </c>
      <c r="M120" s="54">
        <f>+DICIEMBRE!$AG120</f>
        <v>1037</v>
      </c>
      <c r="N120" s="5">
        <f t="shared" si="3"/>
        <v>10887</v>
      </c>
      <c r="R120" s="88" t="s">
        <v>131</v>
      </c>
    </row>
    <row r="121" spans="1:18" ht="15.75" customHeight="1" x14ac:dyDescent="0.25">
      <c r="A121" s="85" t="s">
        <v>66</v>
      </c>
      <c r="B121" s="54">
        <f>+ENERO!AG121</f>
        <v>207</v>
      </c>
      <c r="C121" s="54">
        <f>+FEBRERO!AG121</f>
        <v>157</v>
      </c>
      <c r="D121" s="54">
        <f>+MARZO!$AG121</f>
        <v>147</v>
      </c>
      <c r="E121" s="54">
        <f>+ABRIL!$AG121</f>
        <v>160</v>
      </c>
      <c r="F121" s="54">
        <f>+MAYO!$AG121</f>
        <v>220</v>
      </c>
      <c r="G121" s="54">
        <f>+JUNIO!$AG121</f>
        <v>168</v>
      </c>
      <c r="H121" s="54">
        <f>+JULIO!$AG121</f>
        <v>99</v>
      </c>
      <c r="I121" s="54">
        <f>+AGOSTO!$AG121</f>
        <v>109</v>
      </c>
      <c r="J121" s="54">
        <f>+SEPTIEMBRE!$AG121</f>
        <v>116</v>
      </c>
      <c r="K121" s="54">
        <f>+OCTUBRE!$AG121</f>
        <v>113</v>
      </c>
      <c r="L121" s="54">
        <f>+NOVIEMBRE!$AG121</f>
        <v>135</v>
      </c>
      <c r="M121" s="54">
        <f>+DICIEMBRE!$AG121</f>
        <v>105</v>
      </c>
      <c r="N121" s="5">
        <f t="shared" si="3"/>
        <v>1736</v>
      </c>
      <c r="R121" s="84" t="s">
        <v>132</v>
      </c>
    </row>
    <row r="122" spans="1:18" ht="15.75" customHeight="1" x14ac:dyDescent="0.25">
      <c r="A122" s="85" t="s">
        <v>67</v>
      </c>
      <c r="B122" s="54">
        <f>+ENERO!AG122</f>
        <v>213</v>
      </c>
      <c r="C122" s="54">
        <f>+FEBRERO!AG122</f>
        <v>218</v>
      </c>
      <c r="D122" s="54">
        <f>+MARZO!$AG122</f>
        <v>219</v>
      </c>
      <c r="E122" s="54">
        <f>+ABRIL!$AG122</f>
        <v>242</v>
      </c>
      <c r="F122" s="54">
        <f>+MAYO!$AG122</f>
        <v>304</v>
      </c>
      <c r="G122" s="54">
        <f>+JUNIO!$AG122</f>
        <v>182</v>
      </c>
      <c r="H122" s="54">
        <f>+JULIO!$AG122</f>
        <v>167</v>
      </c>
      <c r="I122" s="54">
        <f>+AGOSTO!$AG122</f>
        <v>236</v>
      </c>
      <c r="J122" s="54">
        <f>+SEPTIEMBRE!$AG122</f>
        <v>241</v>
      </c>
      <c r="K122" s="54">
        <f>+OCTUBRE!$AG122</f>
        <v>242</v>
      </c>
      <c r="L122" s="54">
        <f>+NOVIEMBRE!$AG122</f>
        <v>273</v>
      </c>
      <c r="M122" s="54">
        <f>+DICIEMBRE!$AG122</f>
        <v>271</v>
      </c>
      <c r="N122" s="5">
        <f t="shared" si="3"/>
        <v>2808</v>
      </c>
      <c r="R122" s="88" t="s">
        <v>133</v>
      </c>
    </row>
    <row r="123" spans="1:18" ht="15.75" customHeight="1" x14ac:dyDescent="0.25">
      <c r="A123" s="85" t="s">
        <v>68</v>
      </c>
      <c r="B123" s="54">
        <f>+ENERO!AG123</f>
        <v>199</v>
      </c>
      <c r="C123" s="54">
        <f>+FEBRERO!AG123</f>
        <v>180</v>
      </c>
      <c r="D123" s="54">
        <f>+MARZO!$AG123</f>
        <v>249</v>
      </c>
      <c r="E123" s="54">
        <f>+ABRIL!$AG123</f>
        <v>246</v>
      </c>
      <c r="F123" s="54">
        <f>+MAYO!$AG123</f>
        <v>242</v>
      </c>
      <c r="G123" s="54">
        <f>+JUNIO!$AG123</f>
        <v>194</v>
      </c>
      <c r="H123" s="54">
        <f>+JULIO!$AG123</f>
        <v>180</v>
      </c>
      <c r="I123" s="54">
        <f>+AGOSTO!$AG123</f>
        <v>217</v>
      </c>
      <c r="J123" s="54">
        <f>+SEPTIEMBRE!$AG123</f>
        <v>206</v>
      </c>
      <c r="K123" s="54">
        <f>+OCTUBRE!$AG123</f>
        <v>205</v>
      </c>
      <c r="L123" s="54">
        <f>+NOVIEMBRE!$AG123</f>
        <v>190</v>
      </c>
      <c r="M123" s="54">
        <f>+DICIEMBRE!$AG123</f>
        <v>172</v>
      </c>
      <c r="N123" s="5">
        <f t="shared" si="3"/>
        <v>2480</v>
      </c>
      <c r="R123" s="84" t="s">
        <v>134</v>
      </c>
    </row>
    <row r="124" spans="1:18" ht="15.75" customHeight="1" x14ac:dyDescent="0.25">
      <c r="A124" s="85" t="s">
        <v>69</v>
      </c>
      <c r="B124" s="54">
        <f>+ENERO!AG124</f>
        <v>220</v>
      </c>
      <c r="C124" s="54">
        <f>+FEBRERO!AG124</f>
        <v>213</v>
      </c>
      <c r="D124" s="54">
        <f>+MARZO!$AG124</f>
        <v>278</v>
      </c>
      <c r="E124" s="54">
        <f>+ABRIL!$AG124</f>
        <v>304</v>
      </c>
      <c r="F124" s="54">
        <f>+MAYO!$AG124</f>
        <v>353</v>
      </c>
      <c r="G124" s="54">
        <f>+JUNIO!$AG124</f>
        <v>239</v>
      </c>
      <c r="H124" s="54">
        <f>+JULIO!$AG124</f>
        <v>238</v>
      </c>
      <c r="I124" s="54">
        <f>+AGOSTO!$AG124</f>
        <v>314</v>
      </c>
      <c r="J124" s="54">
        <f>+SEPTIEMBRE!$AG124</f>
        <v>294</v>
      </c>
      <c r="K124" s="54">
        <f>+OCTUBRE!$AG124</f>
        <v>288</v>
      </c>
      <c r="L124" s="54">
        <f>+NOVIEMBRE!$AG124</f>
        <v>304</v>
      </c>
      <c r="M124" s="54">
        <f>+DICIEMBRE!$AG124</f>
        <v>320</v>
      </c>
      <c r="N124" s="5">
        <f t="shared" si="3"/>
        <v>3365</v>
      </c>
      <c r="R124" s="88" t="s">
        <v>135</v>
      </c>
    </row>
    <row r="125" spans="1:18" ht="15.75" customHeight="1" x14ac:dyDescent="0.25">
      <c r="A125" s="85" t="s">
        <v>70</v>
      </c>
      <c r="B125" s="54">
        <f>+ENERO!AG125</f>
        <v>2046</v>
      </c>
      <c r="C125" s="54">
        <f>+FEBRERO!AG125</f>
        <v>1840</v>
      </c>
      <c r="D125" s="54">
        <f>+MARZO!$AG125</f>
        <v>2109</v>
      </c>
      <c r="E125" s="54">
        <f>+ABRIL!$AG125</f>
        <v>2057</v>
      </c>
      <c r="F125" s="54">
        <f>+MAYO!$AG125</f>
        <v>2446</v>
      </c>
      <c r="G125" s="54">
        <f>+JUNIO!$AG125</f>
        <v>2186</v>
      </c>
      <c r="H125" s="54">
        <f>+JULIO!$AG125</f>
        <v>1745</v>
      </c>
      <c r="I125" s="54">
        <f>+AGOSTO!$AG125</f>
        <v>1888</v>
      </c>
      <c r="J125" s="54">
        <f>+SEPTIEMBRE!$AG125</f>
        <v>2203</v>
      </c>
      <c r="K125" s="54">
        <f>+OCTUBRE!$AG125</f>
        <v>2025</v>
      </c>
      <c r="L125" s="54">
        <f>+NOVIEMBRE!$AG125</f>
        <v>2080</v>
      </c>
      <c r="M125" s="54">
        <f>+DICIEMBRE!$AG125</f>
        <v>1736</v>
      </c>
      <c r="N125" s="5">
        <f t="shared" si="3"/>
        <v>24361</v>
      </c>
      <c r="R125" s="88" t="s">
        <v>136</v>
      </c>
    </row>
    <row r="126" spans="1:18" ht="15.75" customHeight="1" x14ac:dyDescent="0.25">
      <c r="A126" s="85" t="s">
        <v>71</v>
      </c>
      <c r="B126" s="54">
        <f>+ENERO!AG126</f>
        <v>49</v>
      </c>
      <c r="C126" s="54">
        <f>+FEBRERO!AG126</f>
        <v>75</v>
      </c>
      <c r="D126" s="54">
        <f>+MARZO!$AG126</f>
        <v>99</v>
      </c>
      <c r="E126" s="54">
        <f>+ABRIL!$AG126</f>
        <v>79</v>
      </c>
      <c r="F126" s="54">
        <f>+MAYO!$AG126</f>
        <v>100</v>
      </c>
      <c r="G126" s="54">
        <f>+JUNIO!$AG126</f>
        <v>82</v>
      </c>
      <c r="H126" s="54">
        <f>+JULIO!$AG126</f>
        <v>77</v>
      </c>
      <c r="I126" s="54">
        <f>+AGOSTO!$AG126</f>
        <v>79</v>
      </c>
      <c r="J126" s="54">
        <f>+SEPTIEMBRE!$AG126</f>
        <v>82</v>
      </c>
      <c r="K126" s="54">
        <f>+OCTUBRE!$AG126</f>
        <v>107</v>
      </c>
      <c r="L126" s="54">
        <f>+NOVIEMBRE!$AG126</f>
        <v>76</v>
      </c>
      <c r="M126" s="54">
        <f>+DICIEMBRE!$AG126</f>
        <v>83</v>
      </c>
      <c r="N126" s="5">
        <f t="shared" si="3"/>
        <v>988</v>
      </c>
      <c r="R126" s="84" t="s">
        <v>137</v>
      </c>
    </row>
    <row r="127" spans="1:18" ht="15.75" customHeight="1" x14ac:dyDescent="0.25">
      <c r="A127" s="85" t="s">
        <v>72</v>
      </c>
      <c r="B127" s="54">
        <f>+ENERO!AG127</f>
        <v>33</v>
      </c>
      <c r="C127" s="54">
        <f>+FEBRERO!AG127</f>
        <v>30</v>
      </c>
      <c r="D127" s="54">
        <f>+MARZO!$AG127</f>
        <v>48</v>
      </c>
      <c r="E127" s="54">
        <f>+ABRIL!$AG127</f>
        <v>34</v>
      </c>
      <c r="F127" s="54">
        <f>+MAYO!$AG127</f>
        <v>59</v>
      </c>
      <c r="G127" s="54">
        <f>+JUNIO!$AG127</f>
        <v>40</v>
      </c>
      <c r="H127" s="54">
        <f>+JULIO!$AG127</f>
        <v>31</v>
      </c>
      <c r="I127" s="54">
        <f>+AGOSTO!$AG127</f>
        <v>34</v>
      </c>
      <c r="J127" s="54">
        <f>+SEPTIEMBRE!$AG127</f>
        <v>49</v>
      </c>
      <c r="K127" s="54">
        <f>+OCTUBRE!$AG127</f>
        <v>32</v>
      </c>
      <c r="L127" s="54">
        <f>+NOVIEMBRE!$AG127</f>
        <v>52</v>
      </c>
      <c r="M127" s="54">
        <f>+DICIEMBRE!$AG127</f>
        <v>34</v>
      </c>
      <c r="N127" s="5">
        <f t="shared" si="3"/>
        <v>476</v>
      </c>
      <c r="R127" s="88" t="s">
        <v>138</v>
      </c>
    </row>
    <row r="128" spans="1:18" ht="15.75" customHeight="1" x14ac:dyDescent="0.25">
      <c r="A128" s="56" t="s">
        <v>73</v>
      </c>
      <c r="B128" s="54">
        <f>+ENERO!AG128</f>
        <v>60</v>
      </c>
      <c r="C128" s="54">
        <f>+FEBRERO!AG128</f>
        <v>62</v>
      </c>
      <c r="D128" s="54">
        <f>+MARZO!$AG128</f>
        <v>47</v>
      </c>
      <c r="E128" s="54">
        <f>+ABRIL!$AG128</f>
        <v>56</v>
      </c>
      <c r="F128" s="54">
        <f>+MAYO!$AG128</f>
        <v>77</v>
      </c>
      <c r="G128" s="54">
        <f>+JUNIO!$AG128</f>
        <v>64</v>
      </c>
      <c r="H128" s="54">
        <f>+JULIO!$AG128</f>
        <v>44</v>
      </c>
      <c r="I128" s="54">
        <f>+AGOSTO!$AG128</f>
        <v>63</v>
      </c>
      <c r="J128" s="54">
        <f>+SEPTIEMBRE!$AG128</f>
        <v>50</v>
      </c>
      <c r="K128" s="54">
        <f>+OCTUBRE!$AG128</f>
        <v>45</v>
      </c>
      <c r="L128" s="54">
        <f>+NOVIEMBRE!$AG128</f>
        <v>36</v>
      </c>
      <c r="M128" s="54">
        <f>+DICIEMBRE!$AG128</f>
        <v>39</v>
      </c>
      <c r="N128" s="5">
        <f t="shared" si="3"/>
        <v>643</v>
      </c>
      <c r="R128" s="88" t="s">
        <v>139</v>
      </c>
    </row>
    <row r="129" spans="1:18" ht="15.75" customHeight="1" x14ac:dyDescent="0.25">
      <c r="A129" s="56" t="s">
        <v>74</v>
      </c>
      <c r="B129" s="54">
        <f>+ENERO!AG129</f>
        <v>51</v>
      </c>
      <c r="C129" s="54">
        <f>+FEBRERO!AG129</f>
        <v>30</v>
      </c>
      <c r="D129" s="54">
        <f>+MARZO!$AG129</f>
        <v>26</v>
      </c>
      <c r="E129" s="54">
        <f>+ABRIL!$AG129</f>
        <v>32</v>
      </c>
      <c r="F129" s="54">
        <f>+MAYO!$AG129</f>
        <v>33</v>
      </c>
      <c r="G129" s="54">
        <f>+JUNIO!$AG129</f>
        <v>24</v>
      </c>
      <c r="H129" s="54">
        <f>+JULIO!$AG129</f>
        <v>32</v>
      </c>
      <c r="I129" s="54">
        <f>+AGOSTO!$AG129</f>
        <v>35</v>
      </c>
      <c r="J129" s="54">
        <f>+SEPTIEMBRE!$AG129</f>
        <v>40</v>
      </c>
      <c r="K129" s="54">
        <f>+OCTUBRE!$AG129</f>
        <v>41</v>
      </c>
      <c r="L129" s="54">
        <f>+NOVIEMBRE!$AG129</f>
        <v>32</v>
      </c>
      <c r="M129" s="54">
        <f>+DICIEMBRE!$AG129</f>
        <v>27</v>
      </c>
      <c r="N129" s="5">
        <f t="shared" si="3"/>
        <v>403</v>
      </c>
      <c r="R129" s="84" t="s">
        <v>140</v>
      </c>
    </row>
    <row r="130" spans="1:18" ht="15.75" customHeight="1" x14ac:dyDescent="0.25">
      <c r="A130" s="56" t="s">
        <v>75</v>
      </c>
      <c r="B130" s="54">
        <f>+ENERO!AG130</f>
        <v>11</v>
      </c>
      <c r="C130" s="54">
        <f>+FEBRERO!AG130</f>
        <v>17</v>
      </c>
      <c r="D130" s="54">
        <f>+MARZO!$AG130</f>
        <v>17</v>
      </c>
      <c r="E130" s="54">
        <f>+ABRIL!$AG130</f>
        <v>15</v>
      </c>
      <c r="F130" s="54">
        <f>+MAYO!$AG130</f>
        <v>12</v>
      </c>
      <c r="G130" s="54">
        <f>+JUNIO!$AG130</f>
        <v>13</v>
      </c>
      <c r="H130" s="54">
        <f>+JULIO!$AG130</f>
        <v>7</v>
      </c>
      <c r="I130" s="54">
        <f>+AGOSTO!$AG130</f>
        <v>10</v>
      </c>
      <c r="J130" s="54">
        <f>+SEPTIEMBRE!$AG130</f>
        <v>21</v>
      </c>
      <c r="K130" s="54">
        <f>+OCTUBRE!$AG130</f>
        <v>14</v>
      </c>
      <c r="L130" s="54">
        <f>+NOVIEMBRE!$AG130</f>
        <v>20</v>
      </c>
      <c r="M130" s="54">
        <f>+DICIEMBRE!$AG130</f>
        <v>10</v>
      </c>
      <c r="N130" s="5">
        <f t="shared" si="3"/>
        <v>167</v>
      </c>
      <c r="R130" s="84" t="s">
        <v>141</v>
      </c>
    </row>
    <row r="131" spans="1:18" ht="15.75" customHeight="1" x14ac:dyDescent="0.25">
      <c r="A131" s="85" t="s">
        <v>76</v>
      </c>
      <c r="B131" s="54">
        <f>+ENERO!AG131</f>
        <v>182</v>
      </c>
      <c r="C131" s="54">
        <f>+FEBRERO!AG131</f>
        <v>187</v>
      </c>
      <c r="D131" s="54">
        <f>+MARZO!$AG131</f>
        <v>214</v>
      </c>
      <c r="E131" s="54">
        <f>+ABRIL!$AG131</f>
        <v>205</v>
      </c>
      <c r="F131" s="54">
        <f>+MAYO!$AG131</f>
        <v>258</v>
      </c>
      <c r="G131" s="54">
        <f>+JUNIO!$AG131</f>
        <v>234</v>
      </c>
      <c r="H131" s="54">
        <f>+JULIO!$AG131</f>
        <v>153</v>
      </c>
      <c r="I131" s="54">
        <f>+AGOSTO!$AG131</f>
        <v>194</v>
      </c>
      <c r="J131" s="54">
        <f>+SEPTIEMBRE!$AG131</f>
        <v>235</v>
      </c>
      <c r="K131" s="54">
        <f>+OCTUBRE!$AG131</f>
        <v>214</v>
      </c>
      <c r="L131" s="54">
        <f>+NOVIEMBRE!$AG131</f>
        <v>210</v>
      </c>
      <c r="M131" s="54">
        <f>+DICIEMBRE!$AG131</f>
        <v>225</v>
      </c>
      <c r="N131" s="5">
        <f t="shared" ref="N131:N162" si="4">SUM(B131:M131)</f>
        <v>2511</v>
      </c>
      <c r="R131" s="84" t="s">
        <v>142</v>
      </c>
    </row>
    <row r="132" spans="1:18" ht="15.75" customHeight="1" thickBot="1" x14ac:dyDescent="0.3">
      <c r="A132" s="86" t="s">
        <v>77</v>
      </c>
      <c r="B132" s="87">
        <f>+ENERO!AG132</f>
        <v>248</v>
      </c>
      <c r="C132" s="87">
        <f>+FEBRERO!AG132</f>
        <v>246</v>
      </c>
      <c r="D132" s="87">
        <f>+MARZO!$AG132</f>
        <v>216</v>
      </c>
      <c r="E132" s="87">
        <f>+ABRIL!$AG132</f>
        <v>191</v>
      </c>
      <c r="F132" s="87">
        <f>+MAYO!$AG132</f>
        <v>269</v>
      </c>
      <c r="G132" s="87">
        <f>+JUNIO!$AG132</f>
        <v>207</v>
      </c>
      <c r="H132" s="87">
        <f>+JULIO!$AG132</f>
        <v>185</v>
      </c>
      <c r="I132" s="87">
        <f>+AGOSTO!$AG132</f>
        <v>211</v>
      </c>
      <c r="J132" s="87">
        <f>+SEPTIEMBRE!$AG132</f>
        <v>244</v>
      </c>
      <c r="K132" s="87">
        <f>+OCTUBRE!$AG132</f>
        <v>224</v>
      </c>
      <c r="L132" s="87">
        <f>+NOVIEMBRE!$AG132</f>
        <v>205</v>
      </c>
      <c r="M132" s="87">
        <f>+DICIEMBRE!$AG132</f>
        <v>202</v>
      </c>
      <c r="N132" s="9">
        <f t="shared" si="4"/>
        <v>2648</v>
      </c>
      <c r="R132" s="84" t="s">
        <v>143</v>
      </c>
    </row>
    <row r="133" spans="1:18" ht="15.75" customHeight="1" thickBot="1" x14ac:dyDescent="0.3">
      <c r="A133" s="67" t="s">
        <v>79</v>
      </c>
      <c r="B133" s="14">
        <f>+ENERO!AG133</f>
        <v>4380</v>
      </c>
      <c r="C133" s="14">
        <f>+FEBRERO!AG133</f>
        <v>4102</v>
      </c>
      <c r="D133" s="14">
        <f>+MARZO!$AG133</f>
        <v>4571</v>
      </c>
      <c r="E133" s="14">
        <f>+ABRIL!$AG133</f>
        <v>4427</v>
      </c>
      <c r="F133" s="14">
        <f>+MAYO!$AG133</f>
        <v>5484</v>
      </c>
      <c r="G133" s="14">
        <f>+JUNIO!$AG133</f>
        <v>4403</v>
      </c>
      <c r="H133" s="14">
        <f>+JULIO!$AG133</f>
        <v>3705</v>
      </c>
      <c r="I133" s="14">
        <f>+AGOSTO!$AG133</f>
        <v>4361</v>
      </c>
      <c r="J133" s="14">
        <f>+SEPTIEMBRE!$AG133</f>
        <v>4725</v>
      </c>
      <c r="K133" s="14">
        <f>+OCTUBRE!$AG133</f>
        <v>4511</v>
      </c>
      <c r="L133" s="14">
        <f>+NOVIEMBRE!$AG133</f>
        <v>4543</v>
      </c>
      <c r="M133" s="14">
        <f>+DICIEMBRE!$AG133</f>
        <v>4261</v>
      </c>
      <c r="N133" s="10">
        <f t="shared" si="4"/>
        <v>53473</v>
      </c>
      <c r="O133" s="47" t="str">
        <f>IF(N133&lt;&gt;N93,"*","")</f>
        <v/>
      </c>
      <c r="R133" s="84" t="s">
        <v>144</v>
      </c>
    </row>
    <row r="134" spans="1:18" ht="15.75" customHeight="1" thickBot="1" x14ac:dyDescent="0.3">
      <c r="A134" s="89" t="s">
        <v>32</v>
      </c>
      <c r="B134" s="22">
        <f>+ENERO!AG134</f>
        <v>248</v>
      </c>
      <c r="C134" s="22">
        <f>+FEBRERO!AG134</f>
        <v>237</v>
      </c>
      <c r="D134" s="22">
        <f>+MARZO!$AG134</f>
        <v>300</v>
      </c>
      <c r="E134" s="22">
        <f>+ABRIL!$AG134</f>
        <v>402</v>
      </c>
      <c r="F134" s="22">
        <f>+MAYO!$AG134</f>
        <v>710</v>
      </c>
      <c r="G134" s="22">
        <f>+JUNIO!$AG134</f>
        <v>234</v>
      </c>
      <c r="H134" s="22">
        <f>+JULIO!$AG134</f>
        <v>139</v>
      </c>
      <c r="I134" s="22">
        <f>+AGOSTO!$AG134</f>
        <v>255</v>
      </c>
      <c r="J134" s="22">
        <f>+SEPTIEMBRE!$AG134</f>
        <v>482</v>
      </c>
      <c r="K134" s="22">
        <f>+OCTUBRE!$AG134</f>
        <v>574</v>
      </c>
      <c r="L134" s="22">
        <f>+NOVIEMBRE!$AG134</f>
        <v>746</v>
      </c>
      <c r="M134" s="22">
        <f>+DICIEMBRE!$AG134</f>
        <v>572</v>
      </c>
      <c r="N134" s="23">
        <f t="shared" si="4"/>
        <v>4899</v>
      </c>
      <c r="R134" s="84" t="s">
        <v>145</v>
      </c>
    </row>
    <row r="135" spans="1:18" ht="15.75" customHeight="1" thickBot="1" x14ac:dyDescent="0.3">
      <c r="A135" s="52" t="s">
        <v>80</v>
      </c>
      <c r="B135" s="1">
        <f>+ENERO!AG135</f>
        <v>18</v>
      </c>
      <c r="C135" s="1">
        <f>+FEBRERO!AG135</f>
        <v>13</v>
      </c>
      <c r="D135" s="1">
        <f>+MARZO!$AG135</f>
        <v>18</v>
      </c>
      <c r="E135" s="1">
        <f>+ABRIL!$AG135</f>
        <v>12</v>
      </c>
      <c r="F135" s="1">
        <f>+MAYO!$AG135</f>
        <v>15</v>
      </c>
      <c r="G135" s="1">
        <f>+JUNIO!$AG135</f>
        <v>19</v>
      </c>
      <c r="H135" s="1">
        <f>+JULIO!$AG135</f>
        <v>9</v>
      </c>
      <c r="I135" s="1">
        <f>+AGOSTO!$AG135</f>
        <v>35</v>
      </c>
      <c r="J135" s="1">
        <f>+SEPTIEMBRE!$AG135</f>
        <v>21</v>
      </c>
      <c r="K135" s="1">
        <f>+OCTUBRE!$AG135</f>
        <v>19</v>
      </c>
      <c r="L135" s="1">
        <f>+NOVIEMBRE!$AG135</f>
        <v>19</v>
      </c>
      <c r="M135" s="1">
        <f>+DICIEMBRE!$AG135</f>
        <v>14</v>
      </c>
      <c r="N135" s="2">
        <f t="shared" si="4"/>
        <v>212</v>
      </c>
      <c r="O135" s="133" t="s">
        <v>81</v>
      </c>
      <c r="R135" s="84" t="s">
        <v>146</v>
      </c>
    </row>
    <row r="136" spans="1:18" ht="15.75" customHeight="1" x14ac:dyDescent="0.25">
      <c r="A136" s="90" t="s">
        <v>82</v>
      </c>
      <c r="B136" s="91">
        <f>+ENERO!AG136</f>
        <v>17</v>
      </c>
      <c r="C136" s="91">
        <f>+FEBRERO!AG136</f>
        <v>12</v>
      </c>
      <c r="D136" s="91">
        <f>+MARZO!$AG136</f>
        <v>14</v>
      </c>
      <c r="E136" s="91">
        <f>+ABRIL!$AG136</f>
        <v>10</v>
      </c>
      <c r="F136" s="91">
        <f>+MAYO!$AG136</f>
        <v>13</v>
      </c>
      <c r="G136" s="91">
        <f>+JUNIO!$AG136</f>
        <v>19</v>
      </c>
      <c r="H136" s="91">
        <f>+JULIO!$AG136</f>
        <v>6</v>
      </c>
      <c r="I136" s="91">
        <f>+AGOSTO!$AG136</f>
        <v>32</v>
      </c>
      <c r="J136" s="91">
        <f>+SEPTIEMBRE!$AG136</f>
        <v>19</v>
      </c>
      <c r="K136" s="91">
        <f>+OCTUBRE!$AG136</f>
        <v>17</v>
      </c>
      <c r="L136" s="91">
        <f>+NOVIEMBRE!$AG136</f>
        <v>19</v>
      </c>
      <c r="M136" s="91">
        <f>+DICIEMBRE!$AG136</f>
        <v>14</v>
      </c>
      <c r="N136" s="28">
        <f t="shared" si="4"/>
        <v>192</v>
      </c>
      <c r="R136" s="84" t="s">
        <v>147</v>
      </c>
    </row>
    <row r="137" spans="1:18" ht="15.75" customHeight="1" x14ac:dyDescent="0.25">
      <c r="A137" s="92" t="s">
        <v>83</v>
      </c>
      <c r="B137" s="93">
        <f>+ENERO!AG137</f>
        <v>1</v>
      </c>
      <c r="C137" s="93">
        <f>+FEBRERO!AG137</f>
        <v>1</v>
      </c>
      <c r="D137" s="93">
        <f>+MARZO!$AG137</f>
        <v>2</v>
      </c>
      <c r="E137" s="93">
        <f>+ABRIL!$AG137</f>
        <v>2</v>
      </c>
      <c r="F137" s="93">
        <f>+MAYO!$AG137</f>
        <v>1</v>
      </c>
      <c r="G137" s="93">
        <f>+JUNIO!$AG137</f>
        <v>0</v>
      </c>
      <c r="H137" s="93">
        <f>+JULIO!$AG137</f>
        <v>2</v>
      </c>
      <c r="I137" s="93">
        <f>+AGOSTO!$AG137</f>
        <v>1</v>
      </c>
      <c r="J137" s="93">
        <f>+SEPTIEMBRE!$AG137</f>
        <v>2</v>
      </c>
      <c r="K137" s="93">
        <f>+OCTUBRE!$AG137</f>
        <v>1</v>
      </c>
      <c r="L137" s="93">
        <f>+NOVIEMBRE!$AG137</f>
        <v>0</v>
      </c>
      <c r="M137" s="93">
        <f>+DICIEMBRE!$AG137</f>
        <v>0</v>
      </c>
      <c r="N137" s="29">
        <f t="shared" si="4"/>
        <v>13</v>
      </c>
      <c r="R137" s="84" t="s">
        <v>148</v>
      </c>
    </row>
    <row r="138" spans="1:18" ht="15.75" customHeight="1" thickBot="1" x14ac:dyDescent="0.3">
      <c r="A138" s="94" t="s">
        <v>84</v>
      </c>
      <c r="B138" s="95">
        <f>+ENERO!AG138</f>
        <v>0</v>
      </c>
      <c r="C138" s="95">
        <f>+FEBRERO!AG138</f>
        <v>0</v>
      </c>
      <c r="D138" s="95">
        <f>+MARZO!$AG138</f>
        <v>2</v>
      </c>
      <c r="E138" s="95">
        <f>+ABRIL!$AG138</f>
        <v>0</v>
      </c>
      <c r="F138" s="95">
        <f>+MAYO!$AG138</f>
        <v>1</v>
      </c>
      <c r="G138" s="95">
        <f>+JUNIO!$AG138</f>
        <v>0</v>
      </c>
      <c r="H138" s="95">
        <f>+JULIO!$AG138</f>
        <v>1</v>
      </c>
      <c r="I138" s="95">
        <f>+AGOSTO!$AG138</f>
        <v>2</v>
      </c>
      <c r="J138" s="95">
        <f>+SEPTIEMBRE!$AG138</f>
        <v>0</v>
      </c>
      <c r="K138" s="95">
        <f>+OCTUBRE!$AG138</f>
        <v>1</v>
      </c>
      <c r="L138" s="95">
        <f>+NOVIEMBRE!$AG138</f>
        <v>0</v>
      </c>
      <c r="M138" s="95">
        <f>+DICIEMBRE!$AG138</f>
        <v>0</v>
      </c>
      <c r="N138" s="30">
        <f t="shared" si="4"/>
        <v>7</v>
      </c>
      <c r="R138" s="84" t="s">
        <v>149</v>
      </c>
    </row>
    <row r="139" spans="1:18" ht="15.75" customHeight="1" thickBot="1" x14ac:dyDescent="0.3">
      <c r="A139" s="72" t="s">
        <v>85</v>
      </c>
      <c r="B139" s="31">
        <f>+ENERO!AG139</f>
        <v>97</v>
      </c>
      <c r="C139" s="31">
        <f>+FEBRERO!AG139</f>
        <v>106</v>
      </c>
      <c r="D139" s="31">
        <f>+MARZO!$AG139</f>
        <v>114</v>
      </c>
      <c r="E139" s="31">
        <f>+ABRIL!$AG139</f>
        <v>102</v>
      </c>
      <c r="F139" s="31">
        <f>+MAYO!$AG139</f>
        <v>100</v>
      </c>
      <c r="G139" s="31">
        <f>+JUNIO!$AG139</f>
        <v>131</v>
      </c>
      <c r="H139" s="31">
        <f>+JULIO!$AG139</f>
        <v>85</v>
      </c>
      <c r="I139" s="31">
        <f>+AGOSTO!$AG139</f>
        <v>74</v>
      </c>
      <c r="J139" s="31">
        <f>+SEPTIEMBRE!$AG139</f>
        <v>84</v>
      </c>
      <c r="K139" s="31">
        <f>+OCTUBRE!$AG139</f>
        <v>90</v>
      </c>
      <c r="L139" s="31">
        <f>+NOVIEMBRE!$AG139</f>
        <v>86</v>
      </c>
      <c r="M139" s="31">
        <f>+DICIEMBRE!$AG139</f>
        <v>100</v>
      </c>
      <c r="N139" s="32">
        <f t="shared" si="4"/>
        <v>1169</v>
      </c>
      <c r="O139" s="27" t="s">
        <v>86</v>
      </c>
      <c r="R139" s="84" t="s">
        <v>150</v>
      </c>
    </row>
    <row r="140" spans="1:18" ht="15.75" customHeight="1" x14ac:dyDescent="0.25">
      <c r="A140" s="96" t="s">
        <v>87</v>
      </c>
      <c r="B140" s="97">
        <f>+ENERO!AG140</f>
        <v>13</v>
      </c>
      <c r="C140" s="97">
        <f>+FEBRERO!AG140</f>
        <v>13</v>
      </c>
      <c r="D140" s="97">
        <f>+MARZO!$AG140</f>
        <v>12</v>
      </c>
      <c r="E140" s="97">
        <f>+ABRIL!$AG140</f>
        <v>24</v>
      </c>
      <c r="F140" s="97">
        <f>+MAYO!$AG140</f>
        <v>10</v>
      </c>
      <c r="G140" s="97">
        <f>+JUNIO!$AG140</f>
        <v>19</v>
      </c>
      <c r="H140" s="97">
        <f>+JULIO!$AG140</f>
        <v>5</v>
      </c>
      <c r="I140" s="97">
        <f>+AGOSTO!$AG140</f>
        <v>12</v>
      </c>
      <c r="J140" s="97">
        <f>+SEPTIEMBRE!$AG140</f>
        <v>10</v>
      </c>
      <c r="K140" s="97">
        <f>+OCTUBRE!$AG140</f>
        <v>19</v>
      </c>
      <c r="L140" s="97">
        <f>+NOVIEMBRE!$AG140</f>
        <v>12</v>
      </c>
      <c r="M140" s="97">
        <f>+DICIEMBRE!$AG140</f>
        <v>24</v>
      </c>
      <c r="N140" s="33">
        <f t="shared" si="4"/>
        <v>173</v>
      </c>
      <c r="O140" s="27" t="s">
        <v>86</v>
      </c>
      <c r="R140" s="84" t="s">
        <v>151</v>
      </c>
    </row>
    <row r="141" spans="1:18" ht="15.75" customHeight="1" thickBot="1" x14ac:dyDescent="0.3">
      <c r="A141" s="73" t="s">
        <v>88</v>
      </c>
      <c r="B141" s="98">
        <f>+ENERO!AG141</f>
        <v>84</v>
      </c>
      <c r="C141" s="98">
        <f>+FEBRERO!AG141</f>
        <v>93</v>
      </c>
      <c r="D141" s="98">
        <f>+MARZO!$AG141</f>
        <v>102</v>
      </c>
      <c r="E141" s="98">
        <f>+ABRIL!$AG141</f>
        <v>78</v>
      </c>
      <c r="F141" s="98">
        <f>+MAYO!$AG141</f>
        <v>90</v>
      </c>
      <c r="G141" s="98">
        <f>+JUNIO!$AG141</f>
        <v>112</v>
      </c>
      <c r="H141" s="98">
        <f>+JULIO!$AG141</f>
        <v>80</v>
      </c>
      <c r="I141" s="98">
        <f>+AGOSTO!$AG141</f>
        <v>62</v>
      </c>
      <c r="J141" s="98">
        <f>+SEPTIEMBRE!$AG141</f>
        <v>74</v>
      </c>
      <c r="K141" s="98">
        <f>+OCTUBRE!$AG141</f>
        <v>71</v>
      </c>
      <c r="L141" s="98">
        <f>+NOVIEMBRE!$AG141</f>
        <v>74</v>
      </c>
      <c r="M141" s="98">
        <f>+DICIEMBRE!$AG141</f>
        <v>76</v>
      </c>
      <c r="N141" s="34">
        <f t="shared" si="4"/>
        <v>996</v>
      </c>
      <c r="O141" s="27" t="s">
        <v>86</v>
      </c>
      <c r="R141" s="84" t="s">
        <v>152</v>
      </c>
    </row>
    <row r="142" spans="1:18" ht="15.75" customHeight="1" x14ac:dyDescent="0.25">
      <c r="A142" s="99" t="s">
        <v>89</v>
      </c>
      <c r="B142" s="100">
        <f>+ENERO!AG142</f>
        <v>0</v>
      </c>
      <c r="C142" s="100">
        <f>+FEBRERO!AG142</f>
        <v>0</v>
      </c>
      <c r="D142" s="100">
        <f>+MARZO!$AG142</f>
        <v>0</v>
      </c>
      <c r="E142" s="100">
        <f>+ABRIL!$AG142</f>
        <v>0</v>
      </c>
      <c r="F142" s="100">
        <f>+MAYO!$AG142</f>
        <v>0</v>
      </c>
      <c r="G142" s="100">
        <f>+JUNIO!$AG142</f>
        <v>0</v>
      </c>
      <c r="H142" s="100">
        <f>+JULIO!$AG142</f>
        <v>0</v>
      </c>
      <c r="I142" s="100">
        <f>+AGOSTO!$AG142</f>
        <v>0</v>
      </c>
      <c r="J142" s="100">
        <f>+SEPTIEMBRE!$AG142</f>
        <v>0</v>
      </c>
      <c r="K142" s="100">
        <f>+OCTUBRE!$AG142</f>
        <v>0</v>
      </c>
      <c r="L142" s="100">
        <f>+NOVIEMBRE!$AG142</f>
        <v>0</v>
      </c>
      <c r="M142" s="100">
        <f>+DICIEMBRE!$AG142</f>
        <v>0</v>
      </c>
      <c r="N142" s="35">
        <f t="shared" si="4"/>
        <v>0</v>
      </c>
      <c r="R142" s="84" t="s">
        <v>153</v>
      </c>
    </row>
    <row r="143" spans="1:18" ht="15.75" customHeight="1" thickBot="1" x14ac:dyDescent="0.3">
      <c r="A143" s="101" t="s">
        <v>90</v>
      </c>
      <c r="B143" s="102">
        <f>+ENERO!AG143</f>
        <v>0</v>
      </c>
      <c r="C143" s="102">
        <f>+FEBRERO!AG143</f>
        <v>0</v>
      </c>
      <c r="D143" s="102">
        <f>+MARZO!$AG143</f>
        <v>0</v>
      </c>
      <c r="E143" s="102">
        <f>+ABRIL!$AG143</f>
        <v>0</v>
      </c>
      <c r="F143" s="102">
        <f>+MAYO!$AG143</f>
        <v>22</v>
      </c>
      <c r="G143" s="102">
        <f>+JUNIO!$AG143</f>
        <v>30</v>
      </c>
      <c r="H143" s="102">
        <f>+JULIO!$AG143</f>
        <v>19</v>
      </c>
      <c r="I143" s="102">
        <f>+AGOSTO!$AG143</f>
        <v>38</v>
      </c>
      <c r="J143" s="102">
        <f>+SEPTIEMBRE!$AG143</f>
        <v>27</v>
      </c>
      <c r="K143" s="102">
        <f>+OCTUBRE!$AG143</f>
        <v>0</v>
      </c>
      <c r="L143" s="102">
        <f>+NOVIEMBRE!$AG143</f>
        <v>0</v>
      </c>
      <c r="M143" s="102">
        <f>+DICIEMBRE!$AG143</f>
        <v>0</v>
      </c>
      <c r="N143" s="36">
        <f t="shared" si="4"/>
        <v>136</v>
      </c>
      <c r="R143" s="84" t="s">
        <v>154</v>
      </c>
    </row>
    <row r="144" spans="1:18" ht="15.75" customHeight="1" thickBot="1" x14ac:dyDescent="0.3">
      <c r="A144" s="103" t="s">
        <v>91</v>
      </c>
      <c r="B144" s="37">
        <f>+ENERO!AG144</f>
        <v>753</v>
      </c>
      <c r="C144" s="37">
        <f>+FEBRERO!AG144</f>
        <v>573</v>
      </c>
      <c r="D144" s="37">
        <f>+MARZO!$AG144</f>
        <v>1077</v>
      </c>
      <c r="E144" s="37">
        <f>+ABRIL!$AG144</f>
        <v>1487</v>
      </c>
      <c r="F144" s="37">
        <f>+MAYO!$AG144</f>
        <v>2880</v>
      </c>
      <c r="G144" s="37">
        <f>+JUNIO!$AG144</f>
        <v>1288</v>
      </c>
      <c r="H144" s="37">
        <f>+JULIO!$AG144</f>
        <v>924</v>
      </c>
      <c r="I144" s="37">
        <f>+AGOSTO!$AG144</f>
        <v>1492</v>
      </c>
      <c r="J144" s="37">
        <f>+SEPTIEMBRE!$AG144</f>
        <v>1537</v>
      </c>
      <c r="K144" s="37">
        <f>+OCTUBRE!$AG144</f>
        <v>1389</v>
      </c>
      <c r="L144" s="37">
        <f>+NOVIEMBRE!$AG144</f>
        <v>1605</v>
      </c>
      <c r="M144" s="37">
        <f>+DICIEMBRE!$AG144</f>
        <v>1130</v>
      </c>
      <c r="N144" s="24">
        <f t="shared" si="4"/>
        <v>16135</v>
      </c>
      <c r="R144" s="84" t="s">
        <v>155</v>
      </c>
    </row>
    <row r="145" spans="1:18" ht="15.75" customHeight="1" x14ac:dyDescent="0.25">
      <c r="A145" s="104" t="s">
        <v>92</v>
      </c>
      <c r="B145" s="105">
        <f>+ENERO!AG145</f>
        <v>81</v>
      </c>
      <c r="C145" s="105">
        <f>+FEBRERO!AG145</f>
        <v>90</v>
      </c>
      <c r="D145" s="105">
        <f>+MARZO!$AG145</f>
        <v>95</v>
      </c>
      <c r="E145" s="105">
        <f>+ABRIL!$AG145</f>
        <v>82</v>
      </c>
      <c r="F145" s="105">
        <f>+MAYO!$AG145</f>
        <v>80</v>
      </c>
      <c r="G145" s="105">
        <f>+JUNIO!$AG145</f>
        <v>143</v>
      </c>
      <c r="H145" s="105">
        <f>+JULIO!$AG145</f>
        <v>122</v>
      </c>
      <c r="I145" s="105">
        <f>+AGOSTO!$AG145</f>
        <v>109</v>
      </c>
      <c r="J145" s="105">
        <f>+SEPTIEMBRE!$AG145</f>
        <v>120</v>
      </c>
      <c r="K145" s="105">
        <f>+OCTUBRE!$AG145</f>
        <v>91</v>
      </c>
      <c r="L145" s="105">
        <f>+NOVIEMBRE!$AG145</f>
        <v>93</v>
      </c>
      <c r="M145" s="105">
        <f>+DICIEMBRE!$AG145</f>
        <v>94</v>
      </c>
      <c r="N145" s="38">
        <f t="shared" si="4"/>
        <v>1200</v>
      </c>
      <c r="R145" s="84" t="s">
        <v>156</v>
      </c>
    </row>
    <row r="146" spans="1:18" ht="15.75" customHeight="1" x14ac:dyDescent="0.25">
      <c r="A146" s="106" t="s">
        <v>93</v>
      </c>
      <c r="B146" s="77">
        <f>+ENERO!AG146</f>
        <v>1</v>
      </c>
      <c r="C146" s="77">
        <f>+FEBRERO!AG146</f>
        <v>0</v>
      </c>
      <c r="D146" s="77">
        <f>+MARZO!$AG146</f>
        <v>0</v>
      </c>
      <c r="E146" s="77">
        <f>+ABRIL!$AG146</f>
        <v>0</v>
      </c>
      <c r="F146" s="77">
        <f>+MAYO!$AG146</f>
        <v>0</v>
      </c>
      <c r="G146" s="77">
        <f>+JUNIO!$AG146</f>
        <v>0</v>
      </c>
      <c r="H146" s="77">
        <f>+JULIO!$AG146</f>
        <v>0</v>
      </c>
      <c r="I146" s="77">
        <f>+AGOSTO!$AG146</f>
        <v>0</v>
      </c>
      <c r="J146" s="77">
        <f>+SEPTIEMBRE!$AG146</f>
        <v>0</v>
      </c>
      <c r="K146" s="77">
        <f>+OCTUBRE!$AG146</f>
        <v>0</v>
      </c>
      <c r="L146" s="77">
        <f>+NOVIEMBRE!$AG146</f>
        <v>0</v>
      </c>
      <c r="M146" s="77">
        <f>+DICIEMBRE!$AG146</f>
        <v>0</v>
      </c>
      <c r="N146" s="5">
        <f t="shared" si="4"/>
        <v>1</v>
      </c>
      <c r="R146" s="84" t="s">
        <v>157</v>
      </c>
    </row>
    <row r="147" spans="1:18" ht="15.75" customHeight="1" x14ac:dyDescent="0.25">
      <c r="A147" s="106" t="s">
        <v>94</v>
      </c>
      <c r="B147" s="77">
        <f>+ENERO!AG147</f>
        <v>5</v>
      </c>
      <c r="C147" s="77">
        <f>+FEBRERO!AG147</f>
        <v>0</v>
      </c>
      <c r="D147" s="77">
        <f>+MARZO!$AG147</f>
        <v>2</v>
      </c>
      <c r="E147" s="77">
        <f>+ABRIL!$AG147</f>
        <v>2</v>
      </c>
      <c r="F147" s="77">
        <f>+MAYO!$AG147</f>
        <v>0</v>
      </c>
      <c r="G147" s="77">
        <f>+JUNIO!$AG147</f>
        <v>16</v>
      </c>
      <c r="H147" s="77">
        <f>+JULIO!$AG147</f>
        <v>2</v>
      </c>
      <c r="I147" s="77">
        <f>+AGOSTO!$AG147</f>
        <v>3</v>
      </c>
      <c r="J147" s="77">
        <f>+SEPTIEMBRE!$AG147</f>
        <v>7</v>
      </c>
      <c r="K147" s="77">
        <f>+OCTUBRE!$AG147</f>
        <v>1</v>
      </c>
      <c r="L147" s="77">
        <f>+NOVIEMBRE!$AG147</f>
        <v>0</v>
      </c>
      <c r="M147" s="77">
        <f>+DICIEMBRE!$AG147</f>
        <v>1</v>
      </c>
      <c r="N147" s="5">
        <f t="shared" si="4"/>
        <v>39</v>
      </c>
      <c r="R147" s="84" t="s">
        <v>158</v>
      </c>
    </row>
    <row r="148" spans="1:18" ht="15.75" customHeight="1" x14ac:dyDescent="0.25">
      <c r="A148" s="106" t="s">
        <v>95</v>
      </c>
      <c r="B148" s="77">
        <f>+ENERO!AG148</f>
        <v>1</v>
      </c>
      <c r="C148" s="77">
        <f>+FEBRERO!AG148</f>
        <v>0</v>
      </c>
      <c r="D148" s="77">
        <f>+MARZO!$AG148</f>
        <v>1</v>
      </c>
      <c r="E148" s="77">
        <f>+ABRIL!$AG148</f>
        <v>0</v>
      </c>
      <c r="F148" s="77">
        <f>+MAYO!$AG148</f>
        <v>0</v>
      </c>
      <c r="G148" s="77">
        <f>+JUNIO!$AG148</f>
        <v>0</v>
      </c>
      <c r="H148" s="77">
        <f>+JULIO!$AG148</f>
        <v>0</v>
      </c>
      <c r="I148" s="77">
        <f>+AGOSTO!$AG148</f>
        <v>0</v>
      </c>
      <c r="J148" s="77">
        <f>+SEPTIEMBRE!$AG148</f>
        <v>0</v>
      </c>
      <c r="K148" s="77">
        <f>+OCTUBRE!$AG148</f>
        <v>0</v>
      </c>
      <c r="L148" s="77">
        <f>+NOVIEMBRE!$AG148</f>
        <v>0</v>
      </c>
      <c r="M148" s="77">
        <f>+DICIEMBRE!$AG148</f>
        <v>0</v>
      </c>
      <c r="N148" s="5">
        <f t="shared" si="4"/>
        <v>2</v>
      </c>
      <c r="R148" s="84" t="s">
        <v>159</v>
      </c>
    </row>
    <row r="149" spans="1:18" ht="15.75" customHeight="1" x14ac:dyDescent="0.25">
      <c r="A149" s="107" t="s">
        <v>96</v>
      </c>
      <c r="B149" s="108">
        <f>+ENERO!AG149</f>
        <v>566</v>
      </c>
      <c r="C149" s="108">
        <f>+FEBRERO!AG149</f>
        <v>427</v>
      </c>
      <c r="D149" s="108">
        <f>+MARZO!$AG149</f>
        <v>871</v>
      </c>
      <c r="E149" s="108">
        <f>+ABRIL!$AG149</f>
        <v>1297</v>
      </c>
      <c r="F149" s="108">
        <f>+MAYO!$AG149</f>
        <v>2733</v>
      </c>
      <c r="G149" s="108">
        <f>+JUNIO!$AG149</f>
        <v>1026</v>
      </c>
      <c r="H149" s="108">
        <f>+JULIO!$AG149</f>
        <v>716</v>
      </c>
      <c r="I149" s="108">
        <f>+AGOSTO!$AG149</f>
        <v>1268</v>
      </c>
      <c r="J149" s="108">
        <f>+SEPTIEMBRE!$AG149</f>
        <v>1312</v>
      </c>
      <c r="K149" s="108">
        <f>+OCTUBRE!$AG149</f>
        <v>1215</v>
      </c>
      <c r="L149" s="108">
        <f>+NOVIEMBRE!$AG149</f>
        <v>1429</v>
      </c>
      <c r="M149" s="108">
        <f>+DICIEMBRE!$AG149</f>
        <v>954</v>
      </c>
      <c r="N149" s="39">
        <f t="shared" si="4"/>
        <v>13814</v>
      </c>
      <c r="R149" s="88" t="s">
        <v>160</v>
      </c>
    </row>
    <row r="150" spans="1:18" ht="15.75" customHeight="1" x14ac:dyDescent="0.25">
      <c r="A150" s="106" t="s">
        <v>97</v>
      </c>
      <c r="B150" s="77">
        <f>+ENERO!AG150</f>
        <v>0</v>
      </c>
      <c r="C150" s="77">
        <f>+FEBRERO!AG150</f>
        <v>0</v>
      </c>
      <c r="D150" s="77">
        <f>+MARZO!$AG150</f>
        <v>0</v>
      </c>
      <c r="E150" s="77">
        <f>+ABRIL!$AG150</f>
        <v>0</v>
      </c>
      <c r="F150" s="77">
        <f>+MAYO!$AG150</f>
        <v>0</v>
      </c>
      <c r="G150" s="77">
        <f>+JUNIO!$AG150</f>
        <v>0</v>
      </c>
      <c r="H150" s="77">
        <f>+JULIO!$AG150</f>
        <v>0</v>
      </c>
      <c r="I150" s="77">
        <f>+AGOSTO!$AG150</f>
        <v>0</v>
      </c>
      <c r="J150" s="77">
        <f>+SEPTIEMBRE!$AG150</f>
        <v>0</v>
      </c>
      <c r="K150" s="77">
        <f>+OCTUBRE!$AG150</f>
        <v>0</v>
      </c>
      <c r="L150" s="77">
        <f>+NOVIEMBRE!$AG150</f>
        <v>0</v>
      </c>
      <c r="M150" s="77">
        <f>+DICIEMBRE!$AG150</f>
        <v>0</v>
      </c>
      <c r="N150" s="5">
        <f t="shared" si="4"/>
        <v>0</v>
      </c>
      <c r="R150" s="84" t="s">
        <v>161</v>
      </c>
    </row>
    <row r="151" spans="1:18" ht="15.75" customHeight="1" x14ac:dyDescent="0.25">
      <c r="A151" s="106" t="s">
        <v>98</v>
      </c>
      <c r="B151" s="77">
        <f>+ENERO!AG151</f>
        <v>0</v>
      </c>
      <c r="C151" s="77">
        <f>+FEBRERO!AG151</f>
        <v>0</v>
      </c>
      <c r="D151" s="77">
        <f>+MARZO!$AG151</f>
        <v>0</v>
      </c>
      <c r="E151" s="77">
        <f>+ABRIL!$AG151</f>
        <v>0</v>
      </c>
      <c r="F151" s="77">
        <f>+MAYO!$AG151</f>
        <v>0</v>
      </c>
      <c r="G151" s="77">
        <f>+JUNIO!$AG151</f>
        <v>0</v>
      </c>
      <c r="H151" s="77">
        <f>+JULIO!$AG151</f>
        <v>0</v>
      </c>
      <c r="I151" s="77">
        <f>+AGOSTO!$AG151</f>
        <v>0</v>
      </c>
      <c r="J151" s="77">
        <f>+SEPTIEMBRE!$AG151</f>
        <v>0</v>
      </c>
      <c r="K151" s="77">
        <f>+OCTUBRE!$AG151</f>
        <v>0</v>
      </c>
      <c r="L151" s="77">
        <f>+NOVIEMBRE!$AG151</f>
        <v>0</v>
      </c>
      <c r="M151" s="77">
        <f>+DICIEMBRE!$AG151</f>
        <v>0</v>
      </c>
      <c r="N151" s="5">
        <f t="shared" si="4"/>
        <v>0</v>
      </c>
      <c r="R151" s="84" t="s">
        <v>162</v>
      </c>
    </row>
    <row r="152" spans="1:18" ht="15.75" customHeight="1" x14ac:dyDescent="0.25">
      <c r="A152" s="106" t="s">
        <v>99</v>
      </c>
      <c r="B152" s="77">
        <f>+ENERO!AG152</f>
        <v>0</v>
      </c>
      <c r="C152" s="77">
        <f>+FEBRERO!AG152</f>
        <v>0</v>
      </c>
      <c r="D152" s="77">
        <f>+MARZO!$AG152</f>
        <v>0</v>
      </c>
      <c r="E152" s="77">
        <f>+ABRIL!$AG152</f>
        <v>0</v>
      </c>
      <c r="F152" s="77">
        <f>+MAYO!$AG152</f>
        <v>0</v>
      </c>
      <c r="G152" s="77">
        <f>+JUNIO!$AG152</f>
        <v>0</v>
      </c>
      <c r="H152" s="77">
        <f>+JULIO!$AG152</f>
        <v>0</v>
      </c>
      <c r="I152" s="77">
        <f>+AGOSTO!$AG152</f>
        <v>0</v>
      </c>
      <c r="J152" s="77">
        <f>+SEPTIEMBRE!$AG152</f>
        <v>0</v>
      </c>
      <c r="K152" s="77">
        <f>+OCTUBRE!$AG152</f>
        <v>0</v>
      </c>
      <c r="L152" s="77">
        <f>+NOVIEMBRE!$AG152</f>
        <v>0</v>
      </c>
      <c r="M152" s="77">
        <f>+DICIEMBRE!$AG152</f>
        <v>0</v>
      </c>
      <c r="N152" s="5">
        <f t="shared" si="4"/>
        <v>0</v>
      </c>
      <c r="R152" s="84" t="s">
        <v>163</v>
      </c>
    </row>
    <row r="153" spans="1:18" ht="15.75" customHeight="1" x14ac:dyDescent="0.25">
      <c r="A153" s="106" t="s">
        <v>100</v>
      </c>
      <c r="B153" s="77">
        <f>+ENERO!AG153</f>
        <v>16</v>
      </c>
      <c r="C153" s="77">
        <f>+FEBRERO!AG153</f>
        <v>1</v>
      </c>
      <c r="D153" s="77">
        <f>+MARZO!$AG153</f>
        <v>5</v>
      </c>
      <c r="E153" s="77">
        <f>+ABRIL!$AG153</f>
        <v>16</v>
      </c>
      <c r="F153" s="77">
        <f>+MAYO!$AG153</f>
        <v>4</v>
      </c>
      <c r="G153" s="77">
        <f>+JUNIO!$AG153</f>
        <v>7</v>
      </c>
      <c r="H153" s="77">
        <f>+JULIO!$AG153</f>
        <v>3</v>
      </c>
      <c r="I153" s="77">
        <f>+AGOSTO!$AG153</f>
        <v>5</v>
      </c>
      <c r="J153" s="77">
        <f>+SEPTIEMBRE!$AG153</f>
        <v>0</v>
      </c>
      <c r="K153" s="77">
        <f>+OCTUBRE!$AG153</f>
        <v>2</v>
      </c>
      <c r="L153" s="77">
        <f>+NOVIEMBRE!$AG153</f>
        <v>4</v>
      </c>
      <c r="M153" s="77">
        <f>+DICIEMBRE!$AG153</f>
        <v>3</v>
      </c>
      <c r="N153" s="5">
        <f t="shared" si="4"/>
        <v>66</v>
      </c>
      <c r="R153" s="109" t="s">
        <v>127</v>
      </c>
    </row>
    <row r="154" spans="1:18" ht="15.75" customHeight="1" x14ac:dyDescent="0.25">
      <c r="A154" s="76" t="s">
        <v>101</v>
      </c>
      <c r="B154" s="77">
        <f>+ENERO!AG154</f>
        <v>1</v>
      </c>
      <c r="C154" s="77">
        <f>+FEBRERO!AG154</f>
        <v>0</v>
      </c>
      <c r="D154" s="77">
        <f>+MARZO!$AG154</f>
        <v>30</v>
      </c>
      <c r="E154" s="77">
        <f>+ABRIL!$AG154</f>
        <v>36</v>
      </c>
      <c r="F154" s="77">
        <f>+MAYO!$AG154</f>
        <v>21</v>
      </c>
      <c r="G154" s="77">
        <f>+JUNIO!$AG154</f>
        <v>21</v>
      </c>
      <c r="H154" s="77">
        <f>+JULIO!$AG154</f>
        <v>22</v>
      </c>
      <c r="I154" s="77">
        <f>+AGOSTO!$AG154</f>
        <v>31</v>
      </c>
      <c r="J154" s="77">
        <f>+SEPTIEMBRE!$AG154</f>
        <v>21</v>
      </c>
      <c r="K154" s="77">
        <f>+OCTUBRE!$AG154</f>
        <v>29</v>
      </c>
      <c r="L154" s="77">
        <f>+NOVIEMBRE!$AG154</f>
        <v>29</v>
      </c>
      <c r="M154" s="77">
        <f>+DICIEMBRE!$AG154</f>
        <v>3</v>
      </c>
      <c r="N154" s="5">
        <f t="shared" si="4"/>
        <v>244</v>
      </c>
      <c r="R154" s="109" t="s">
        <v>126</v>
      </c>
    </row>
    <row r="155" spans="1:18" ht="15.75" customHeight="1" x14ac:dyDescent="0.25">
      <c r="A155" s="76" t="s">
        <v>102</v>
      </c>
      <c r="B155" s="77">
        <f>+ENERO!AG155</f>
        <v>0</v>
      </c>
      <c r="C155" s="77">
        <f>+FEBRERO!AG155</f>
        <v>0</v>
      </c>
      <c r="D155" s="77">
        <f>+MARZO!$AG155</f>
        <v>0</v>
      </c>
      <c r="E155" s="77">
        <f>+ABRIL!$AG155</f>
        <v>0</v>
      </c>
      <c r="F155" s="77">
        <f>+MAYO!$AG155</f>
        <v>0</v>
      </c>
      <c r="G155" s="77">
        <f>+JUNIO!$AG155</f>
        <v>0</v>
      </c>
      <c r="H155" s="77">
        <f>+JULIO!$AG155</f>
        <v>0</v>
      </c>
      <c r="I155" s="77">
        <f>+AGOSTO!$AG155</f>
        <v>0</v>
      </c>
      <c r="J155" s="77">
        <f>+SEPTIEMBRE!$AG155</f>
        <v>0</v>
      </c>
      <c r="K155" s="77">
        <f>+OCTUBRE!$AG155</f>
        <v>0</v>
      </c>
      <c r="L155" s="77">
        <f>+NOVIEMBRE!$AG155</f>
        <v>0</v>
      </c>
      <c r="M155" s="77">
        <f>+DICIEMBRE!$AG155</f>
        <v>0</v>
      </c>
      <c r="N155" s="5">
        <f t="shared" si="4"/>
        <v>0</v>
      </c>
      <c r="R155" s="88" t="s">
        <v>128</v>
      </c>
    </row>
    <row r="156" spans="1:18" ht="15.75" customHeight="1" x14ac:dyDescent="0.25">
      <c r="A156" s="76" t="s">
        <v>103</v>
      </c>
      <c r="B156" s="77">
        <f>+ENERO!AG156</f>
        <v>0</v>
      </c>
      <c r="C156" s="77">
        <f>+FEBRERO!AG156</f>
        <v>0</v>
      </c>
      <c r="D156" s="77">
        <f>+MARZO!$AG156</f>
        <v>0</v>
      </c>
      <c r="E156" s="77">
        <f>+ABRIL!$AG156</f>
        <v>0</v>
      </c>
      <c r="F156" s="77">
        <f>+MAYO!$AG156</f>
        <v>0</v>
      </c>
      <c r="G156" s="77">
        <f>+JUNIO!$AG156</f>
        <v>0</v>
      </c>
      <c r="H156" s="77">
        <f>+JULIO!$AG156</f>
        <v>0</v>
      </c>
      <c r="I156" s="77">
        <f>+AGOSTO!$AG156</f>
        <v>0</v>
      </c>
      <c r="J156" s="77">
        <f>+SEPTIEMBRE!$AG156</f>
        <v>0</v>
      </c>
      <c r="K156" s="77">
        <f>+OCTUBRE!$AG156</f>
        <v>0</v>
      </c>
      <c r="L156" s="77">
        <f>+NOVIEMBRE!$AG156</f>
        <v>0</v>
      </c>
      <c r="M156" s="77">
        <f>+DICIEMBRE!$AG156</f>
        <v>0</v>
      </c>
      <c r="N156" s="5">
        <f t="shared" si="4"/>
        <v>0</v>
      </c>
      <c r="R156" s="88" t="s">
        <v>125</v>
      </c>
    </row>
    <row r="157" spans="1:18" ht="15.75" customHeight="1" x14ac:dyDescent="0.25">
      <c r="A157" s="76" t="s">
        <v>104</v>
      </c>
      <c r="B157" s="77">
        <f>+ENERO!AG157</f>
        <v>0</v>
      </c>
      <c r="C157" s="77">
        <f>+FEBRERO!AG157</f>
        <v>0</v>
      </c>
      <c r="D157" s="77">
        <f>+MARZO!$AG157</f>
        <v>0</v>
      </c>
      <c r="E157" s="77">
        <f>+ABRIL!$AG157</f>
        <v>0</v>
      </c>
      <c r="F157" s="77">
        <f>+MAYO!$AG157</f>
        <v>0</v>
      </c>
      <c r="G157" s="77">
        <f>+JUNIO!$AG157</f>
        <v>0</v>
      </c>
      <c r="H157" s="77">
        <f>+JULIO!$AG157</f>
        <v>0</v>
      </c>
      <c r="I157" s="77">
        <f>+AGOSTO!$AG157</f>
        <v>0</v>
      </c>
      <c r="J157" s="77">
        <f>+SEPTIEMBRE!$AG157</f>
        <v>0</v>
      </c>
      <c r="K157" s="77">
        <f>+OCTUBRE!$AG157</f>
        <v>0</v>
      </c>
      <c r="L157" s="77">
        <f>+NOVIEMBRE!$AG157</f>
        <v>0</v>
      </c>
      <c r="M157" s="77">
        <f>+DICIEMBRE!$AG157</f>
        <v>0</v>
      </c>
      <c r="N157" s="5">
        <f t="shared" si="4"/>
        <v>0</v>
      </c>
    </row>
    <row r="158" spans="1:18" ht="15.75" customHeight="1" x14ac:dyDescent="0.25">
      <c r="A158" s="110" t="s">
        <v>105</v>
      </c>
      <c r="B158" s="111">
        <f>+ENERO!AG158</f>
        <v>36</v>
      </c>
      <c r="C158" s="111">
        <f>+FEBRERO!AG158</f>
        <v>23</v>
      </c>
      <c r="D158" s="111">
        <f>+MARZO!$AG158</f>
        <v>28</v>
      </c>
      <c r="E158" s="111">
        <f>+ABRIL!$AG158</f>
        <v>23</v>
      </c>
      <c r="F158" s="111">
        <f>+MAYO!$AG158</f>
        <v>20</v>
      </c>
      <c r="G158" s="111">
        <f>+JUNIO!$AG158</f>
        <v>41</v>
      </c>
      <c r="H158" s="111">
        <f>+JULIO!$AG158</f>
        <v>35</v>
      </c>
      <c r="I158" s="111">
        <f>+AGOSTO!$AG158</f>
        <v>46</v>
      </c>
      <c r="J158" s="111">
        <f>+SEPTIEMBRE!$AG158</f>
        <v>36</v>
      </c>
      <c r="K158" s="111">
        <f>+OCTUBRE!$AG158</f>
        <v>25</v>
      </c>
      <c r="L158" s="111">
        <f>+NOVIEMBRE!$AG158</f>
        <v>20</v>
      </c>
      <c r="M158" s="111">
        <f>+DICIEMBRE!$AG158</f>
        <v>29</v>
      </c>
      <c r="N158" s="40">
        <f t="shared" si="4"/>
        <v>362</v>
      </c>
    </row>
    <row r="159" spans="1:18" ht="15.75" customHeight="1" x14ac:dyDescent="0.25">
      <c r="A159" s="112" t="s">
        <v>106</v>
      </c>
      <c r="B159" s="77">
        <f>+ENERO!AG159</f>
        <v>0</v>
      </c>
      <c r="C159" s="77">
        <f>+FEBRERO!AG159</f>
        <v>0</v>
      </c>
      <c r="D159" s="77">
        <f>+MARZO!$AG159</f>
        <v>0</v>
      </c>
      <c r="E159" s="77">
        <f>+ABRIL!$AG159</f>
        <v>0</v>
      </c>
      <c r="F159" s="77">
        <f>+MAYO!$AG159</f>
        <v>0</v>
      </c>
      <c r="G159" s="77">
        <f>+JUNIO!$AG159</f>
        <v>0</v>
      </c>
      <c r="H159" s="77">
        <f>+JULIO!$AG159</f>
        <v>0</v>
      </c>
      <c r="I159" s="77">
        <f>+AGOSTO!$AG159</f>
        <v>0</v>
      </c>
      <c r="J159" s="77">
        <f>+SEPTIEMBRE!$AG159</f>
        <v>0</v>
      </c>
      <c r="K159" s="77">
        <f>+OCTUBRE!$AG159</f>
        <v>0</v>
      </c>
      <c r="L159" s="77">
        <f>+NOVIEMBRE!$AG159</f>
        <v>0</v>
      </c>
      <c r="M159" s="77">
        <f>+DICIEMBRE!$AG159</f>
        <v>0</v>
      </c>
      <c r="N159" s="5">
        <f t="shared" si="4"/>
        <v>0</v>
      </c>
    </row>
    <row r="160" spans="1:18" ht="15.75" customHeight="1" x14ac:dyDescent="0.25">
      <c r="A160" s="112" t="s">
        <v>107</v>
      </c>
      <c r="B160" s="77">
        <f>+ENERO!AG160</f>
        <v>0</v>
      </c>
      <c r="C160" s="77">
        <f>+FEBRERO!AG160</f>
        <v>0</v>
      </c>
      <c r="D160" s="77">
        <f>+MARZO!$AG160</f>
        <v>0</v>
      </c>
      <c r="E160" s="77">
        <f>+ABRIL!$AG160</f>
        <v>0</v>
      </c>
      <c r="F160" s="77">
        <f>+MAYO!$AG160</f>
        <v>0</v>
      </c>
      <c r="G160" s="77">
        <f>+JUNIO!$AG160</f>
        <v>0</v>
      </c>
      <c r="H160" s="77">
        <f>+JULIO!$AG160</f>
        <v>0</v>
      </c>
      <c r="I160" s="77">
        <f>+AGOSTO!$AG160</f>
        <v>0</v>
      </c>
      <c r="J160" s="77">
        <f>+SEPTIEMBRE!$AG160</f>
        <v>0</v>
      </c>
      <c r="K160" s="77">
        <f>+OCTUBRE!$AG160</f>
        <v>0</v>
      </c>
      <c r="L160" s="77">
        <f>+NOVIEMBRE!$AG160</f>
        <v>0</v>
      </c>
      <c r="M160" s="77">
        <f>+DICIEMBRE!$AG160</f>
        <v>0</v>
      </c>
      <c r="N160" s="5">
        <f t="shared" si="4"/>
        <v>0</v>
      </c>
    </row>
    <row r="161" spans="1:15" ht="15.75" customHeight="1" x14ac:dyDescent="0.25">
      <c r="A161" s="112" t="s">
        <v>108</v>
      </c>
      <c r="B161" s="77">
        <f>+ENERO!AG161</f>
        <v>0</v>
      </c>
      <c r="C161" s="77">
        <f>+FEBRERO!AG161</f>
        <v>0</v>
      </c>
      <c r="D161" s="77">
        <f>+MARZO!$AG161</f>
        <v>0</v>
      </c>
      <c r="E161" s="77">
        <f>+ABRIL!$AG161</f>
        <v>0</v>
      </c>
      <c r="F161" s="77">
        <f>+MAYO!$AG161</f>
        <v>0</v>
      </c>
      <c r="G161" s="77">
        <f>+JUNIO!$AG161</f>
        <v>0</v>
      </c>
      <c r="H161" s="77">
        <f>+JULIO!$AG161</f>
        <v>0</v>
      </c>
      <c r="I161" s="77">
        <f>+AGOSTO!$AG161</f>
        <v>0</v>
      </c>
      <c r="J161" s="77">
        <f>+SEPTIEMBRE!$AG161</f>
        <v>0</v>
      </c>
      <c r="K161" s="77">
        <f>+OCTUBRE!$AG161</f>
        <v>0</v>
      </c>
      <c r="L161" s="77">
        <f>+NOVIEMBRE!$AG161</f>
        <v>0</v>
      </c>
      <c r="M161" s="77">
        <f>+DICIEMBRE!$AG161</f>
        <v>0</v>
      </c>
      <c r="N161" s="5">
        <f t="shared" si="4"/>
        <v>0</v>
      </c>
    </row>
    <row r="162" spans="1:15" ht="15.75" customHeight="1" x14ac:dyDescent="0.25">
      <c r="A162" s="112" t="s">
        <v>109</v>
      </c>
      <c r="B162" s="77">
        <f>+ENERO!AG162</f>
        <v>0</v>
      </c>
      <c r="C162" s="77">
        <f>+FEBRERO!AG162</f>
        <v>1</v>
      </c>
      <c r="D162" s="77">
        <f>+MARZO!$AG162</f>
        <v>1</v>
      </c>
      <c r="E162" s="77">
        <f>+ABRIL!$AG162</f>
        <v>0</v>
      </c>
      <c r="F162" s="77">
        <f>+MAYO!$AG162</f>
        <v>0</v>
      </c>
      <c r="G162" s="77">
        <f>+JUNIO!$AG162</f>
        <v>0</v>
      </c>
      <c r="H162" s="77">
        <f>+JULIO!$AG162</f>
        <v>3</v>
      </c>
      <c r="I162" s="77">
        <f>+AGOSTO!$AG162</f>
        <v>0</v>
      </c>
      <c r="J162" s="77">
        <f>+SEPTIEMBRE!$AG162</f>
        <v>0</v>
      </c>
      <c r="K162" s="77">
        <f>+OCTUBRE!$AG162</f>
        <v>0</v>
      </c>
      <c r="L162" s="77">
        <f>+NOVIEMBRE!$AG162</f>
        <v>0</v>
      </c>
      <c r="M162" s="77">
        <f>+DICIEMBRE!$AG162</f>
        <v>0</v>
      </c>
      <c r="N162" s="5">
        <f t="shared" si="4"/>
        <v>5</v>
      </c>
    </row>
    <row r="163" spans="1:15" ht="15.75" customHeight="1" x14ac:dyDescent="0.25">
      <c r="A163" s="112" t="s">
        <v>110</v>
      </c>
      <c r="B163" s="77">
        <f>+ENERO!AG163</f>
        <v>0</v>
      </c>
      <c r="C163" s="77">
        <f>+FEBRERO!AG163</f>
        <v>0</v>
      </c>
      <c r="D163" s="77">
        <f>+MARZO!$AG163</f>
        <v>0</v>
      </c>
      <c r="E163" s="77">
        <f>+ABRIL!$AG163</f>
        <v>0</v>
      </c>
      <c r="F163" s="77">
        <f>+MAYO!$AG163</f>
        <v>0</v>
      </c>
      <c r="G163" s="77">
        <f>+JUNIO!$AG163</f>
        <v>0</v>
      </c>
      <c r="H163" s="77">
        <f>+JULIO!$AG163</f>
        <v>0</v>
      </c>
      <c r="I163" s="77">
        <f>+AGOSTO!$AG163</f>
        <v>0</v>
      </c>
      <c r="J163" s="77">
        <f>+SEPTIEMBRE!$AG163</f>
        <v>0</v>
      </c>
      <c r="K163" s="77">
        <f>+OCTUBRE!$AG163</f>
        <v>0</v>
      </c>
      <c r="L163" s="77">
        <f>+NOVIEMBRE!$AG163</f>
        <v>1</v>
      </c>
      <c r="M163" s="77">
        <f>+DICIEMBRE!$AG163</f>
        <v>0</v>
      </c>
      <c r="N163" s="5">
        <f t="shared" ref="N163:N180" si="5">SUM(B163:M163)</f>
        <v>1</v>
      </c>
    </row>
    <row r="164" spans="1:15" ht="15.75" customHeight="1" x14ac:dyDescent="0.25">
      <c r="A164" s="112" t="s">
        <v>111</v>
      </c>
      <c r="B164" s="77">
        <f>+ENERO!AG164</f>
        <v>0</v>
      </c>
      <c r="C164" s="77">
        <f>+FEBRERO!AG164</f>
        <v>0</v>
      </c>
      <c r="D164" s="77">
        <f>+MARZO!$AG164</f>
        <v>0</v>
      </c>
      <c r="E164" s="77">
        <f>+ABRIL!$AG164</f>
        <v>0</v>
      </c>
      <c r="F164" s="77">
        <f>+MAYO!$AG164</f>
        <v>0</v>
      </c>
      <c r="G164" s="77">
        <f>+JUNIO!$AG164</f>
        <v>0</v>
      </c>
      <c r="H164" s="77">
        <f>+JULIO!$AG164</f>
        <v>0</v>
      </c>
      <c r="I164" s="77">
        <f>+AGOSTO!$AG164</f>
        <v>0</v>
      </c>
      <c r="J164" s="77">
        <f>+SEPTIEMBRE!$AG164</f>
        <v>0</v>
      </c>
      <c r="K164" s="77">
        <f>+OCTUBRE!$AG164</f>
        <v>0</v>
      </c>
      <c r="L164" s="77">
        <f>+NOVIEMBRE!$AG164</f>
        <v>0</v>
      </c>
      <c r="M164" s="77">
        <f>+DICIEMBRE!$AG164</f>
        <v>1</v>
      </c>
      <c r="N164" s="5">
        <f t="shared" si="5"/>
        <v>1</v>
      </c>
    </row>
    <row r="165" spans="1:15" ht="15.75" customHeight="1" x14ac:dyDescent="0.25">
      <c r="A165" s="76" t="s">
        <v>112</v>
      </c>
      <c r="B165" s="77">
        <f>+ENERO!AG165</f>
        <v>0</v>
      </c>
      <c r="C165" s="77">
        <f>+FEBRERO!AG165</f>
        <v>0</v>
      </c>
      <c r="D165" s="77">
        <f>+MARZO!$AG165</f>
        <v>1</v>
      </c>
      <c r="E165" s="77">
        <f>+ABRIL!$AG165</f>
        <v>0</v>
      </c>
      <c r="F165" s="77">
        <f>+MAYO!$AG165</f>
        <v>0</v>
      </c>
      <c r="G165" s="77">
        <f>+JUNIO!$AG165</f>
        <v>0</v>
      </c>
      <c r="H165" s="77">
        <f>+JULIO!$AG165</f>
        <v>1</v>
      </c>
      <c r="I165" s="77">
        <f>+AGOSTO!$AG165</f>
        <v>1</v>
      </c>
      <c r="J165" s="77">
        <f>+SEPTIEMBRE!$AG165</f>
        <v>2</v>
      </c>
      <c r="K165" s="77">
        <f>+OCTUBRE!$AG165</f>
        <v>0</v>
      </c>
      <c r="L165" s="77">
        <f>+NOVIEMBRE!$AG165</f>
        <v>0</v>
      </c>
      <c r="M165" s="77">
        <f>+DICIEMBRE!$AG165</f>
        <v>0</v>
      </c>
      <c r="N165" s="5">
        <f t="shared" si="5"/>
        <v>5</v>
      </c>
    </row>
    <row r="166" spans="1:15" ht="15.75" customHeight="1" x14ac:dyDescent="0.25">
      <c r="A166" s="76" t="s">
        <v>113</v>
      </c>
      <c r="B166" s="77">
        <f>+ENERO!AG166</f>
        <v>0</v>
      </c>
      <c r="C166" s="77">
        <f>+FEBRERO!AG166</f>
        <v>0</v>
      </c>
      <c r="D166" s="77">
        <f>+MARZO!$AG166</f>
        <v>0</v>
      </c>
      <c r="E166" s="77">
        <f>+ABRIL!$AG166</f>
        <v>0</v>
      </c>
      <c r="F166" s="77">
        <f>+MAYO!$AG166</f>
        <v>0</v>
      </c>
      <c r="G166" s="77">
        <f>+JUNIO!$AG166</f>
        <v>0</v>
      </c>
      <c r="H166" s="77">
        <f>+JULIO!$AG166</f>
        <v>0</v>
      </c>
      <c r="I166" s="77">
        <f>+AGOSTO!$AG166</f>
        <v>0</v>
      </c>
      <c r="J166" s="77">
        <f>+SEPTIEMBRE!$AG166</f>
        <v>0</v>
      </c>
      <c r="K166" s="77">
        <f>+OCTUBRE!$AG166</f>
        <v>0</v>
      </c>
      <c r="L166" s="77">
        <f>+NOVIEMBRE!$AG166</f>
        <v>0</v>
      </c>
      <c r="M166" s="77">
        <f>+DICIEMBRE!$AG166</f>
        <v>0</v>
      </c>
      <c r="N166" s="5">
        <f t="shared" si="5"/>
        <v>0</v>
      </c>
    </row>
    <row r="167" spans="1:15" ht="15.75" customHeight="1" x14ac:dyDescent="0.25">
      <c r="A167" s="76" t="s">
        <v>114</v>
      </c>
      <c r="B167" s="77">
        <f>+ENERO!AG167</f>
        <v>9</v>
      </c>
      <c r="C167" s="77">
        <f>+FEBRERO!AG167</f>
        <v>6</v>
      </c>
      <c r="D167" s="77">
        <f>+MARZO!$AG167</f>
        <v>5</v>
      </c>
      <c r="E167" s="77">
        <f>+ABRIL!$AG167</f>
        <v>2</v>
      </c>
      <c r="F167" s="77">
        <f>+MAYO!$AG167</f>
        <v>5</v>
      </c>
      <c r="G167" s="77">
        <f>+JUNIO!$AG167</f>
        <v>6</v>
      </c>
      <c r="H167" s="77">
        <f>+JULIO!$AG167</f>
        <v>2</v>
      </c>
      <c r="I167" s="77">
        <f>+AGOSTO!$AG167</f>
        <v>6</v>
      </c>
      <c r="J167" s="77">
        <f>+SEPTIEMBRE!$AG167</f>
        <v>5</v>
      </c>
      <c r="K167" s="77">
        <f>+OCTUBRE!$AG167</f>
        <v>3</v>
      </c>
      <c r="L167" s="77">
        <f>+NOVIEMBRE!$AG167</f>
        <v>6</v>
      </c>
      <c r="M167" s="77">
        <f>+DICIEMBRE!$AG167</f>
        <v>6</v>
      </c>
      <c r="N167" s="5">
        <f t="shared" si="5"/>
        <v>61</v>
      </c>
    </row>
    <row r="168" spans="1:15" ht="15.75" customHeight="1" x14ac:dyDescent="0.25">
      <c r="A168" s="76" t="s">
        <v>115</v>
      </c>
      <c r="B168" s="113">
        <f>+ENERO!AG168</f>
        <v>10</v>
      </c>
      <c r="C168" s="113">
        <f>+FEBRERO!AG168</f>
        <v>12</v>
      </c>
      <c r="D168" s="113">
        <f>+MARZO!$AG168</f>
        <v>23</v>
      </c>
      <c r="E168" s="113">
        <f>+ABRIL!$AG168</f>
        <v>22</v>
      </c>
      <c r="F168" s="113">
        <f>+MAYO!$AG168</f>
        <v>13</v>
      </c>
      <c r="G168" s="113">
        <f>+JUNIO!$AG168</f>
        <v>19</v>
      </c>
      <c r="H168" s="113">
        <f>+JULIO!$AG168</f>
        <v>14</v>
      </c>
      <c r="I168" s="113">
        <f>+AGOSTO!$AG168</f>
        <v>17</v>
      </c>
      <c r="J168" s="113">
        <f>+SEPTIEMBRE!$AG168</f>
        <v>29</v>
      </c>
      <c r="K168" s="113">
        <f>+OCTUBRE!$AG168</f>
        <v>17</v>
      </c>
      <c r="L168" s="113">
        <f>+NOVIEMBRE!$AG168</f>
        <v>18</v>
      </c>
      <c r="M168" s="113">
        <f>+DICIEMBRE!$AG168</f>
        <v>17</v>
      </c>
      <c r="N168" s="5">
        <f t="shared" si="5"/>
        <v>211</v>
      </c>
    </row>
    <row r="169" spans="1:15" ht="15.75" customHeight="1" x14ac:dyDescent="0.25">
      <c r="A169" s="114" t="s">
        <v>116</v>
      </c>
      <c r="B169" s="113">
        <f>+ENERO!AG169</f>
        <v>27</v>
      </c>
      <c r="C169" s="113">
        <f>+FEBRERO!AG169</f>
        <v>13</v>
      </c>
      <c r="D169" s="113">
        <f>+MARZO!$AG169</f>
        <v>15</v>
      </c>
      <c r="E169" s="113">
        <f>+ABRIL!$AG169</f>
        <v>7</v>
      </c>
      <c r="F169" s="113">
        <f>+MAYO!$AG169</f>
        <v>4</v>
      </c>
      <c r="G169" s="113">
        <f>+JUNIO!$AG169</f>
        <v>9</v>
      </c>
      <c r="H169" s="113">
        <f>+JULIO!$AG169</f>
        <v>4</v>
      </c>
      <c r="I169" s="113">
        <f>+AGOSTO!$AG169</f>
        <v>6</v>
      </c>
      <c r="J169" s="113">
        <f>+SEPTIEMBRE!$AG169</f>
        <v>5</v>
      </c>
      <c r="K169" s="113">
        <f>+OCTUBRE!$AG169</f>
        <v>6</v>
      </c>
      <c r="L169" s="113">
        <f>+NOVIEMBRE!$AG169</f>
        <v>5</v>
      </c>
      <c r="M169" s="113">
        <f>+DICIEMBRE!$AG169</f>
        <v>21</v>
      </c>
      <c r="N169" s="5">
        <f t="shared" si="5"/>
        <v>122</v>
      </c>
    </row>
    <row r="170" spans="1:15" ht="15.75" customHeight="1" thickBot="1" x14ac:dyDescent="0.3">
      <c r="A170" s="115" t="s">
        <v>117</v>
      </c>
      <c r="B170" s="113">
        <f>+ENERO!AG170</f>
        <v>0</v>
      </c>
      <c r="C170" s="113">
        <f>+FEBRERO!AG170</f>
        <v>0</v>
      </c>
      <c r="D170" s="113">
        <f>+MARZO!$AG170</f>
        <v>0</v>
      </c>
      <c r="E170" s="113">
        <f>+ABRIL!$AG170</f>
        <v>0</v>
      </c>
      <c r="F170" s="113">
        <f>+MAYO!$AG170</f>
        <v>0</v>
      </c>
      <c r="G170" s="113">
        <f>+JUNIO!$AG170</f>
        <v>0</v>
      </c>
      <c r="H170" s="113">
        <f>+JULIO!$AG170</f>
        <v>0</v>
      </c>
      <c r="I170" s="113">
        <f>+AGOSTO!$AG170</f>
        <v>0</v>
      </c>
      <c r="J170" s="113">
        <f>+SEPTIEMBRE!$AG170</f>
        <v>0</v>
      </c>
      <c r="K170" s="113">
        <f>+OCTUBRE!$AG170</f>
        <v>0</v>
      </c>
      <c r="L170" s="113">
        <f>+NOVIEMBRE!$AG170</f>
        <v>0</v>
      </c>
      <c r="M170" s="113">
        <f>+DICIEMBRE!$AG170</f>
        <v>1</v>
      </c>
      <c r="N170" s="25">
        <f t="shared" si="5"/>
        <v>1</v>
      </c>
    </row>
    <row r="171" spans="1:15" ht="15.75" customHeight="1" thickBot="1" x14ac:dyDescent="0.3">
      <c r="A171" s="116" t="s">
        <v>118</v>
      </c>
      <c r="B171" s="41">
        <f>+ENERO!AG171</f>
        <v>4380</v>
      </c>
      <c r="C171" s="41">
        <f>+FEBRERO!AG171</f>
        <v>4102</v>
      </c>
      <c r="D171" s="41">
        <f>+MARZO!$AG171</f>
        <v>4571</v>
      </c>
      <c r="E171" s="41">
        <f>+ABRIL!$AG171</f>
        <v>4427</v>
      </c>
      <c r="F171" s="41">
        <f>+MAYO!$AG171</f>
        <v>5484</v>
      </c>
      <c r="G171" s="41">
        <f>+JUNIO!$AG171</f>
        <v>4403</v>
      </c>
      <c r="H171" s="41">
        <f>+JULIO!$AG171</f>
        <v>3705</v>
      </c>
      <c r="I171" s="41">
        <f>+AGOSTO!$AG171</f>
        <v>4361</v>
      </c>
      <c r="J171" s="41">
        <f>+SEPTIEMBRE!$AG171</f>
        <v>4725</v>
      </c>
      <c r="K171" s="41">
        <f>+OCTUBRE!$AG171</f>
        <v>4511</v>
      </c>
      <c r="L171" s="41">
        <f>+NOVIEMBRE!$AG171</f>
        <v>4543</v>
      </c>
      <c r="M171" s="41">
        <f>+DICIEMBRE!$AG171</f>
        <v>4261</v>
      </c>
      <c r="N171" s="42">
        <f t="shared" si="5"/>
        <v>53473</v>
      </c>
      <c r="O171" s="13" t="str">
        <f>IF(N171&lt;&gt;N93,"X","")</f>
        <v/>
      </c>
    </row>
    <row r="172" spans="1:15" ht="15.75" customHeight="1" x14ac:dyDescent="0.25">
      <c r="A172" s="117" t="s">
        <v>119</v>
      </c>
      <c r="B172" s="118">
        <f>+ENERO!AG172</f>
        <v>1</v>
      </c>
      <c r="C172" s="118">
        <f>+FEBRERO!AG172</f>
        <v>3</v>
      </c>
      <c r="D172" s="118">
        <f>+MARZO!$AG172</f>
        <v>1</v>
      </c>
      <c r="E172" s="118">
        <f>+ABRIL!$AG172</f>
        <v>1</v>
      </c>
      <c r="F172" s="118">
        <f>+MAYO!$AG172</f>
        <v>4</v>
      </c>
      <c r="G172" s="118">
        <f>+JUNIO!$AG172</f>
        <v>0</v>
      </c>
      <c r="H172" s="118">
        <f>+JULIO!$AG172</f>
        <v>0</v>
      </c>
      <c r="I172" s="118">
        <f>+AGOSTO!$AG172</f>
        <v>2</v>
      </c>
      <c r="J172" s="118">
        <f>+SEPTIEMBRE!$AG172</f>
        <v>2</v>
      </c>
      <c r="K172" s="118">
        <f>+OCTUBRE!$AG172</f>
        <v>1</v>
      </c>
      <c r="L172" s="118">
        <f>+NOVIEMBRE!$AG172</f>
        <v>1</v>
      </c>
      <c r="M172" s="118">
        <f>+DICIEMBRE!$AG172</f>
        <v>0</v>
      </c>
      <c r="N172" s="43">
        <f t="shared" si="5"/>
        <v>16</v>
      </c>
    </row>
    <row r="173" spans="1:15" ht="15.75" customHeight="1" x14ac:dyDescent="0.25">
      <c r="A173" s="119" t="s">
        <v>38</v>
      </c>
      <c r="B173" s="120">
        <f>+ENERO!AG173</f>
        <v>47</v>
      </c>
      <c r="C173" s="120">
        <f>+FEBRERO!AG173</f>
        <v>43</v>
      </c>
      <c r="D173" s="120">
        <f>+MARZO!$AG173</f>
        <v>47</v>
      </c>
      <c r="E173" s="120">
        <f>+ABRIL!$AG173</f>
        <v>53</v>
      </c>
      <c r="F173" s="120">
        <f>+MAYO!$AG173</f>
        <v>59</v>
      </c>
      <c r="G173" s="120">
        <f>+JUNIO!$AG173</f>
        <v>39</v>
      </c>
      <c r="H173" s="120">
        <f>+JULIO!$AG173</f>
        <v>25</v>
      </c>
      <c r="I173" s="120">
        <f>+AGOSTO!$AG173</f>
        <v>42</v>
      </c>
      <c r="J173" s="120">
        <f>+SEPTIEMBRE!$AG173</f>
        <v>26</v>
      </c>
      <c r="K173" s="120">
        <f>+OCTUBRE!$AG173</f>
        <v>52</v>
      </c>
      <c r="L173" s="120">
        <f>+NOVIEMBRE!$AG173</f>
        <v>56</v>
      </c>
      <c r="M173" s="120">
        <f>+DICIEMBRE!$AG173</f>
        <v>41</v>
      </c>
      <c r="N173" s="44">
        <f t="shared" si="5"/>
        <v>530</v>
      </c>
    </row>
    <row r="174" spans="1:15" ht="15.75" customHeight="1" x14ac:dyDescent="0.25">
      <c r="A174" s="119" t="s">
        <v>39</v>
      </c>
      <c r="B174" s="120">
        <f>+ENERO!AG174</f>
        <v>624</v>
      </c>
      <c r="C174" s="120">
        <f>+FEBRERO!AG174</f>
        <v>557</v>
      </c>
      <c r="D174" s="120">
        <f>+MARZO!$AG174</f>
        <v>660</v>
      </c>
      <c r="E174" s="120">
        <f>+ABRIL!$AG174</f>
        <v>682</v>
      </c>
      <c r="F174" s="120">
        <f>+MAYO!$AG174</f>
        <v>867</v>
      </c>
      <c r="G174" s="120">
        <f>+JUNIO!$AG174</f>
        <v>654</v>
      </c>
      <c r="H174" s="120">
        <f>+JULIO!$AG174</f>
        <v>519</v>
      </c>
      <c r="I174" s="120">
        <f>+AGOSTO!$AG174</f>
        <v>569</v>
      </c>
      <c r="J174" s="120">
        <f>+SEPTIEMBRE!$AG174</f>
        <v>629</v>
      </c>
      <c r="K174" s="120">
        <f>+OCTUBRE!$AG174</f>
        <v>664</v>
      </c>
      <c r="L174" s="120">
        <f>+NOVIEMBRE!$AG174</f>
        <v>648</v>
      </c>
      <c r="M174" s="120">
        <f>+DICIEMBRE!$AG174</f>
        <v>575</v>
      </c>
      <c r="N174" s="44">
        <f t="shared" si="5"/>
        <v>7648</v>
      </c>
    </row>
    <row r="175" spans="1:15" ht="15.75" customHeight="1" x14ac:dyDescent="0.25">
      <c r="A175" s="119" t="s">
        <v>40</v>
      </c>
      <c r="B175" s="120">
        <f>+ENERO!AG175</f>
        <v>2644</v>
      </c>
      <c r="C175" s="120">
        <f>+FEBRERO!AG175</f>
        <v>2544</v>
      </c>
      <c r="D175" s="120">
        <f>+MARZO!$AG175</f>
        <v>2837</v>
      </c>
      <c r="E175" s="120">
        <f>+ABRIL!$AG175</f>
        <v>2850</v>
      </c>
      <c r="F175" s="120">
        <f>+MAYO!$AG175</f>
        <v>3495</v>
      </c>
      <c r="G175" s="120">
        <f>+JUNIO!$AG175</f>
        <v>3159</v>
      </c>
      <c r="H175" s="120">
        <f>+JULIO!$AG175</f>
        <v>2736</v>
      </c>
      <c r="I175" s="120">
        <f>+AGOSTO!$AG175</f>
        <v>3230</v>
      </c>
      <c r="J175" s="120">
        <f>+SEPTIEMBRE!$AG175</f>
        <v>3333</v>
      </c>
      <c r="K175" s="120">
        <f>+OCTUBRE!$AG175</f>
        <v>3009</v>
      </c>
      <c r="L175" s="120">
        <f>+NOVIEMBRE!$AG175</f>
        <v>3164</v>
      </c>
      <c r="M175" s="120">
        <f>+DICIEMBRE!$AG175</f>
        <v>3054</v>
      </c>
      <c r="N175" s="44">
        <f t="shared" si="5"/>
        <v>36055</v>
      </c>
    </row>
    <row r="176" spans="1:15" ht="15.75" customHeight="1" thickBot="1" x14ac:dyDescent="0.3">
      <c r="A176" s="121" t="s">
        <v>41</v>
      </c>
      <c r="B176" s="122">
        <f>+ENERO!AG176</f>
        <v>1064</v>
      </c>
      <c r="C176" s="122">
        <f>+FEBRERO!AG176</f>
        <v>955</v>
      </c>
      <c r="D176" s="122">
        <f>+MARZO!$AG176</f>
        <v>1026</v>
      </c>
      <c r="E176" s="122">
        <f>+ABRIL!$AG176</f>
        <v>841</v>
      </c>
      <c r="F176" s="122">
        <f>+MAYO!$AG176</f>
        <v>1059</v>
      </c>
      <c r="G176" s="122">
        <f>+JUNIO!$AG176</f>
        <v>551</v>
      </c>
      <c r="H176" s="122">
        <f>+JULIO!$AG176</f>
        <v>425</v>
      </c>
      <c r="I176" s="122">
        <f>+AGOSTO!$AG176</f>
        <v>518</v>
      </c>
      <c r="J176" s="122">
        <f>+SEPTIEMBRE!$AG176</f>
        <v>735</v>
      </c>
      <c r="K176" s="122">
        <f>+OCTUBRE!$AG176</f>
        <v>785</v>
      </c>
      <c r="L176" s="122">
        <f>+NOVIEMBRE!$AG176</f>
        <v>674</v>
      </c>
      <c r="M176" s="122">
        <f>+DICIEMBRE!$AG176</f>
        <v>591</v>
      </c>
      <c r="N176" s="45">
        <f t="shared" si="5"/>
        <v>9224</v>
      </c>
    </row>
    <row r="177" spans="1:15" ht="15.75" customHeight="1" x14ac:dyDescent="0.25">
      <c r="A177" s="123" t="s">
        <v>120</v>
      </c>
      <c r="B177" s="124">
        <f>+ENERO!AG177</f>
        <v>153</v>
      </c>
      <c r="C177" s="124">
        <f>+FEBRERO!AG177</f>
        <v>109</v>
      </c>
      <c r="D177" s="124">
        <f>+MARZO!$AG177</f>
        <v>70</v>
      </c>
      <c r="E177" s="124">
        <f>+ABRIL!$AG177</f>
        <v>0</v>
      </c>
      <c r="F177" s="124">
        <f>+MAYO!$AG177</f>
        <v>0</v>
      </c>
      <c r="G177" s="124">
        <f>+JUNIO!$AG177</f>
        <v>0</v>
      </c>
      <c r="H177" s="124">
        <f>+JULIO!$AG177</f>
        <v>0</v>
      </c>
      <c r="I177" s="124">
        <f>+AGOSTO!$AG177</f>
        <v>0</v>
      </c>
      <c r="J177" s="124">
        <f>+SEPTIEMBRE!$AG177</f>
        <v>0</v>
      </c>
      <c r="K177" s="124">
        <f>+OCTUBRE!$AG177</f>
        <v>0</v>
      </c>
      <c r="L177" s="124">
        <f>+NOVIEMBRE!$AG177</f>
        <v>0</v>
      </c>
      <c r="M177" s="124">
        <f>+DICIEMBRE!$AG177</f>
        <v>0</v>
      </c>
      <c r="N177" s="26">
        <f t="shared" si="5"/>
        <v>332</v>
      </c>
      <c r="O177" s="140" t="s">
        <v>121</v>
      </c>
    </row>
    <row r="178" spans="1:15" ht="15.75" customHeight="1" x14ac:dyDescent="0.25">
      <c r="A178" s="125" t="s">
        <v>122</v>
      </c>
      <c r="B178" s="126">
        <f>+ENERO!AG178</f>
        <v>46</v>
      </c>
      <c r="C178" s="126">
        <f>+FEBRERO!AG178</f>
        <v>34</v>
      </c>
      <c r="D178" s="126">
        <f>+MARZO!$AG178</f>
        <v>13</v>
      </c>
      <c r="E178" s="126">
        <f>+ABRIL!$AG178</f>
        <v>0</v>
      </c>
      <c r="F178" s="126">
        <f>+MAYO!$AG178</f>
        <v>0</v>
      </c>
      <c r="G178" s="126">
        <f>+JUNIO!$AG178</f>
        <v>0</v>
      </c>
      <c r="H178" s="126">
        <f>+JULIO!$AG178</f>
        <v>0</v>
      </c>
      <c r="I178" s="126">
        <f>+AGOSTO!$AG178</f>
        <v>0</v>
      </c>
      <c r="J178" s="126">
        <f>+SEPTIEMBRE!$AG178</f>
        <v>0</v>
      </c>
      <c r="K178" s="126">
        <f>+OCTUBRE!$AG178</f>
        <v>0</v>
      </c>
      <c r="L178" s="126">
        <f>+NOVIEMBRE!$AG178</f>
        <v>0</v>
      </c>
      <c r="M178" s="126">
        <f>+DICIEMBRE!$AG178</f>
        <v>0</v>
      </c>
      <c r="N178" s="46">
        <f t="shared" si="5"/>
        <v>93</v>
      </c>
      <c r="O178" s="141"/>
    </row>
    <row r="179" spans="1:15" ht="15.75" customHeight="1" x14ac:dyDescent="0.25">
      <c r="A179" s="125" t="s">
        <v>123</v>
      </c>
      <c r="B179" s="126">
        <f>+ENERO!AG179</f>
        <v>107</v>
      </c>
      <c r="C179" s="126">
        <f>+FEBRERO!AG179</f>
        <v>75</v>
      </c>
      <c r="D179" s="126">
        <f>+MARZO!$AG179</f>
        <v>57</v>
      </c>
      <c r="E179" s="126">
        <f>+ABRIL!$AG179</f>
        <v>0</v>
      </c>
      <c r="F179" s="126">
        <f>+MAYO!$AG179</f>
        <v>0</v>
      </c>
      <c r="G179" s="126">
        <f>+JUNIO!$AG179</f>
        <v>0</v>
      </c>
      <c r="H179" s="126">
        <f>+JULIO!$AG179</f>
        <v>0</v>
      </c>
      <c r="I179" s="126">
        <f>+AGOSTO!$AG179</f>
        <v>0</v>
      </c>
      <c r="J179" s="126">
        <f>+SEPTIEMBRE!$AG179</f>
        <v>0</v>
      </c>
      <c r="K179" s="126">
        <f>+OCTUBRE!$AG179</f>
        <v>0</v>
      </c>
      <c r="L179" s="126">
        <f>+NOVIEMBRE!$AG179</f>
        <v>0</v>
      </c>
      <c r="M179" s="126">
        <f>+DICIEMBRE!$AG179</f>
        <v>0</v>
      </c>
      <c r="N179" s="46">
        <f t="shared" si="5"/>
        <v>239</v>
      </c>
      <c r="O179" s="141"/>
    </row>
    <row r="180" spans="1:15" ht="15.75" customHeight="1" thickBot="1" x14ac:dyDescent="0.3">
      <c r="A180" s="128" t="s">
        <v>124</v>
      </c>
      <c r="B180" s="129">
        <f>+ENERO!AG180</f>
        <v>0</v>
      </c>
      <c r="C180" s="130">
        <f>+FEBRERO!AG180</f>
        <v>0</v>
      </c>
      <c r="D180" s="130">
        <f>+MARZO!$AG180</f>
        <v>0</v>
      </c>
      <c r="E180" s="130">
        <f>+ABRIL!$AG180</f>
        <v>0</v>
      </c>
      <c r="F180" s="130">
        <f>+MAYO!$AG180</f>
        <v>0</v>
      </c>
      <c r="G180" s="130">
        <f>+JUNIO!$AG180</f>
        <v>0</v>
      </c>
      <c r="H180" s="130">
        <f>+JULIO!$AG180</f>
        <v>0</v>
      </c>
      <c r="I180" s="130">
        <f>+AGOSTO!$AG180</f>
        <v>0</v>
      </c>
      <c r="J180" s="130">
        <f>+SEPTIEMBRE!$AG180</f>
        <v>0</v>
      </c>
      <c r="K180" s="130">
        <f>+OCTUBRE!$AG180</f>
        <v>0</v>
      </c>
      <c r="L180" s="130">
        <f>+NOVIEMBRE!$AG180</f>
        <v>0</v>
      </c>
      <c r="M180" s="130">
        <f>+DICIEMBRE!$AG180</f>
        <v>0</v>
      </c>
      <c r="N180" s="25">
        <f t="shared" si="5"/>
        <v>0</v>
      </c>
      <c r="O180" s="142"/>
    </row>
    <row r="181" spans="1:15" ht="15.75" customHeight="1" x14ac:dyDescent="0.25"/>
    <row r="182" spans="1:15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</row>
    <row r="183" spans="1:15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</row>
    <row r="184" spans="1:15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</row>
    <row r="185" spans="1:15" ht="15.75" customHeight="1" x14ac:dyDescent="0.25"/>
    <row r="186" spans="1:15" ht="15.75" customHeight="1" x14ac:dyDescent="0.25"/>
    <row r="187" spans="1:15" ht="15.75" customHeight="1" x14ac:dyDescent="0.25"/>
    <row r="188" spans="1:15" ht="15.75" customHeight="1" x14ac:dyDescent="0.25"/>
    <row r="189" spans="1:15" ht="15.75" customHeight="1" x14ac:dyDescent="0.25"/>
    <row r="190" spans="1:15" ht="15.75" customHeight="1" x14ac:dyDescent="0.25"/>
    <row r="191" spans="1:15" ht="15.75" customHeight="1" x14ac:dyDescent="0.25"/>
    <row r="192" spans="1:15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mergeCells count="1">
    <mergeCell ref="O177:O180"/>
  </mergeCells>
  <conditionalFormatting sqref="O171">
    <cfRule type="cellIs" dxfId="40" priority="2" operator="equal">
      <formula>"X"</formula>
    </cfRule>
  </conditionalFormatting>
  <conditionalFormatting sqref="O1:O1048576">
    <cfRule type="cellIs" dxfId="39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00000000-0002-0000-0000-000000000000}">
      <formula1>0</formula1>
      <formula2>1000000000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6AB08-3E02-465F-BA2A-74AC100AC1F2}">
  <sheetPr codeName="Hoja22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0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0</v>
      </c>
      <c r="C3" s="1">
        <f t="shared" si="1"/>
        <v>0</v>
      </c>
      <c r="D3" s="1">
        <f t="shared" si="1"/>
        <v>0</v>
      </c>
      <c r="E3" s="1">
        <f t="shared" si="1"/>
        <v>0</v>
      </c>
      <c r="F3" s="1">
        <f t="shared" si="1"/>
        <v>0</v>
      </c>
      <c r="G3" s="1">
        <f t="shared" si="1"/>
        <v>0</v>
      </c>
      <c r="H3" s="1">
        <f t="shared" si="1"/>
        <v>0</v>
      </c>
      <c r="I3" s="1">
        <f t="shared" si="1"/>
        <v>0</v>
      </c>
      <c r="J3" s="1">
        <f t="shared" si="1"/>
        <v>0</v>
      </c>
      <c r="K3" s="1">
        <f t="shared" si="1"/>
        <v>0</v>
      </c>
      <c r="L3" s="1">
        <f t="shared" si="1"/>
        <v>0</v>
      </c>
      <c r="M3" s="1">
        <f t="shared" si="1"/>
        <v>0</v>
      </c>
      <c r="N3" s="1">
        <f t="shared" si="1"/>
        <v>0</v>
      </c>
      <c r="O3" s="1">
        <f t="shared" si="1"/>
        <v>0</v>
      </c>
      <c r="P3" s="1">
        <f t="shared" si="1"/>
        <v>0</v>
      </c>
      <c r="Q3" s="1">
        <f t="shared" si="1"/>
        <v>0</v>
      </c>
      <c r="R3" s="1">
        <f t="shared" si="1"/>
        <v>0</v>
      </c>
      <c r="S3" s="1">
        <f t="shared" si="1"/>
        <v>0</v>
      </c>
      <c r="T3" s="1">
        <f t="shared" si="1"/>
        <v>0</v>
      </c>
      <c r="U3" s="1">
        <f t="shared" si="1"/>
        <v>0</v>
      </c>
      <c r="V3" s="1">
        <f t="shared" si="1"/>
        <v>0</v>
      </c>
      <c r="W3" s="1">
        <f t="shared" si="1"/>
        <v>0</v>
      </c>
      <c r="X3" s="1">
        <f t="shared" si="1"/>
        <v>0</v>
      </c>
      <c r="Y3" s="1">
        <f t="shared" si="1"/>
        <v>0</v>
      </c>
      <c r="Z3" s="1">
        <f t="shared" si="1"/>
        <v>0</v>
      </c>
      <c r="AA3" s="1">
        <f t="shared" si="1"/>
        <v>0</v>
      </c>
      <c r="AB3" s="1">
        <f t="shared" si="1"/>
        <v>0</v>
      </c>
      <c r="AC3" s="1">
        <f t="shared" si="1"/>
        <v>0</v>
      </c>
      <c r="AD3" s="1">
        <f t="shared" si="1"/>
        <v>0</v>
      </c>
      <c r="AE3" s="1">
        <f t="shared" si="1"/>
        <v>0</v>
      </c>
      <c r="AF3" s="1">
        <f t="shared" si="1"/>
        <v>0</v>
      </c>
      <c r="AG3" s="2">
        <f t="shared" ref="AG3:AG66" si="2">SUM(B3:AF3)</f>
        <v>0</v>
      </c>
    </row>
    <row r="4" spans="1:33" ht="18.75" x14ac:dyDescent="0.25">
      <c r="A4" s="53" t="s">
        <v>3</v>
      </c>
      <c r="B4" s="54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4">
        <f t="shared" si="2"/>
        <v>0</v>
      </c>
    </row>
    <row r="5" spans="1:33" ht="18.75" x14ac:dyDescent="0.25">
      <c r="A5" s="56" t="s">
        <v>4</v>
      </c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">
        <f t="shared" si="2"/>
        <v>0</v>
      </c>
    </row>
    <row r="6" spans="1:33" ht="18.75" x14ac:dyDescent="0.25">
      <c r="A6" s="56" t="s">
        <v>5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">
        <f t="shared" si="2"/>
        <v>0</v>
      </c>
    </row>
    <row r="7" spans="1:33" ht="18.75" x14ac:dyDescent="0.25">
      <c r="A7" s="56" t="s">
        <v>6</v>
      </c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">
        <f t="shared" si="2"/>
        <v>0</v>
      </c>
    </row>
    <row r="8" spans="1:33" ht="18.75" x14ac:dyDescent="0.25">
      <c r="A8" s="56" t="s">
        <v>7</v>
      </c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">
        <f t="shared" si="2"/>
        <v>0</v>
      </c>
    </row>
    <row r="9" spans="1:33" ht="18.75" x14ac:dyDescent="0.25">
      <c r="A9" s="56" t="s">
        <v>8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">
        <f t="shared" si="2"/>
        <v>0</v>
      </c>
    </row>
    <row r="10" spans="1:33" ht="18.75" x14ac:dyDescent="0.25">
      <c r="A10" s="56" t="s">
        <v>9</v>
      </c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">
        <f t="shared" si="2"/>
        <v>0</v>
      </c>
    </row>
    <row r="11" spans="1:33" ht="18.75" x14ac:dyDescent="0.25">
      <c r="A11" s="56" t="s">
        <v>10</v>
      </c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">
        <f t="shared" si="2"/>
        <v>0</v>
      </c>
    </row>
    <row r="12" spans="1:33" ht="18.75" x14ac:dyDescent="0.25">
      <c r="A12" s="56" t="s">
        <v>11</v>
      </c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">
        <f t="shared" si="2"/>
        <v>0</v>
      </c>
    </row>
    <row r="13" spans="1:33" ht="18.75" x14ac:dyDescent="0.25">
      <c r="A13" s="56" t="s">
        <v>12</v>
      </c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">
        <f t="shared" si="2"/>
        <v>0</v>
      </c>
    </row>
    <row r="14" spans="1:33" ht="18.75" x14ac:dyDescent="0.25">
      <c r="A14" s="56" t="s">
        <v>13</v>
      </c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">
        <f t="shared" si="2"/>
        <v>0</v>
      </c>
    </row>
    <row r="15" spans="1:33" ht="18.75" x14ac:dyDescent="0.25">
      <c r="A15" s="56" t="s">
        <v>14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">
        <f t="shared" si="2"/>
        <v>0</v>
      </c>
    </row>
    <row r="16" spans="1:33" ht="18.75" x14ac:dyDescent="0.25">
      <c r="A16" s="56" t="s">
        <v>15</v>
      </c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">
        <f t="shared" si="2"/>
        <v>0</v>
      </c>
    </row>
    <row r="17" spans="1:33" ht="18.75" x14ac:dyDescent="0.25">
      <c r="A17" s="56" t="s">
        <v>16</v>
      </c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">
        <f t="shared" si="2"/>
        <v>0</v>
      </c>
    </row>
    <row r="18" spans="1:33" ht="18.75" x14ac:dyDescent="0.25">
      <c r="A18" s="56" t="s">
        <v>17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">
        <f t="shared" si="2"/>
        <v>0</v>
      </c>
    </row>
    <row r="19" spans="1:33" ht="18.75" x14ac:dyDescent="0.25">
      <c r="A19" s="56" t="s">
        <v>18</v>
      </c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">
        <f t="shared" si="2"/>
        <v>0</v>
      </c>
    </row>
    <row r="20" spans="1:33" ht="18.75" x14ac:dyDescent="0.25">
      <c r="A20" s="56" t="s">
        <v>19</v>
      </c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">
        <f t="shared" si="2"/>
        <v>0</v>
      </c>
    </row>
    <row r="21" spans="1:33" ht="15.75" customHeight="1" x14ac:dyDescent="0.25">
      <c r="A21" s="56" t="s">
        <v>20</v>
      </c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">
        <f t="shared" si="2"/>
        <v>0</v>
      </c>
    </row>
    <row r="22" spans="1:33" ht="15.75" customHeight="1" x14ac:dyDescent="0.25">
      <c r="A22" s="56" t="s">
        <v>21</v>
      </c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">
        <f t="shared" si="2"/>
        <v>0</v>
      </c>
    </row>
    <row r="23" spans="1:33" ht="15.75" customHeight="1" x14ac:dyDescent="0.25">
      <c r="A23" s="56" t="s">
        <v>22</v>
      </c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">
        <f t="shared" si="2"/>
        <v>0</v>
      </c>
    </row>
    <row r="24" spans="1:33" ht="15.75" customHeight="1" x14ac:dyDescent="0.25">
      <c r="A24" s="56" t="s">
        <v>23</v>
      </c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">
        <f t="shared" si="2"/>
        <v>0</v>
      </c>
    </row>
    <row r="25" spans="1:33" ht="15.75" customHeight="1" x14ac:dyDescent="0.25">
      <c r="A25" s="56" t="s">
        <v>24</v>
      </c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">
        <f t="shared" si="2"/>
        <v>0</v>
      </c>
    </row>
    <row r="26" spans="1:33" ht="15.75" customHeight="1" x14ac:dyDescent="0.25">
      <c r="A26" s="56" t="s">
        <v>25</v>
      </c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">
        <f t="shared" si="2"/>
        <v>0</v>
      </c>
    </row>
    <row r="27" spans="1:33" ht="15.75" customHeight="1" thickBot="1" x14ac:dyDescent="0.3">
      <c r="A27" s="57" t="s">
        <v>26</v>
      </c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">
        <f t="shared" si="2"/>
        <v>0</v>
      </c>
    </row>
    <row r="28" spans="1:33" ht="15.75" customHeight="1" x14ac:dyDescent="0.25">
      <c r="A28" s="59" t="s">
        <v>27</v>
      </c>
      <c r="B28" s="6">
        <f t="shared" ref="B28:AF28" si="3">SUM(B29:B52)</f>
        <v>0</v>
      </c>
      <c r="C28" s="6">
        <f t="shared" si="3"/>
        <v>0</v>
      </c>
      <c r="D28" s="6">
        <f t="shared" si="3"/>
        <v>0</v>
      </c>
      <c r="E28" s="6">
        <f t="shared" si="3"/>
        <v>0</v>
      </c>
      <c r="F28" s="6">
        <f t="shared" si="3"/>
        <v>0</v>
      </c>
      <c r="G28" s="6">
        <f t="shared" si="3"/>
        <v>0</v>
      </c>
      <c r="H28" s="6">
        <f t="shared" si="3"/>
        <v>0</v>
      </c>
      <c r="I28" s="6">
        <f t="shared" si="3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3"/>
        <v>0</v>
      </c>
      <c r="O28" s="6">
        <f t="shared" si="3"/>
        <v>0</v>
      </c>
      <c r="P28" s="6">
        <f t="shared" si="3"/>
        <v>0</v>
      </c>
      <c r="Q28" s="6">
        <f t="shared" si="3"/>
        <v>0</v>
      </c>
      <c r="R28" s="6">
        <f t="shared" si="3"/>
        <v>0</v>
      </c>
      <c r="S28" s="6">
        <f t="shared" si="3"/>
        <v>0</v>
      </c>
      <c r="T28" s="6">
        <f t="shared" si="3"/>
        <v>0</v>
      </c>
      <c r="U28" s="6">
        <f t="shared" si="3"/>
        <v>0</v>
      </c>
      <c r="V28" s="6">
        <f t="shared" si="3"/>
        <v>0</v>
      </c>
      <c r="W28" s="6">
        <f t="shared" si="3"/>
        <v>0</v>
      </c>
      <c r="X28" s="6">
        <f t="shared" si="3"/>
        <v>0</v>
      </c>
      <c r="Y28" s="6">
        <f t="shared" si="3"/>
        <v>0</v>
      </c>
      <c r="Z28" s="6">
        <f t="shared" si="3"/>
        <v>0</v>
      </c>
      <c r="AA28" s="6">
        <f t="shared" si="3"/>
        <v>0</v>
      </c>
      <c r="AB28" s="6">
        <f t="shared" si="3"/>
        <v>0</v>
      </c>
      <c r="AC28" s="6">
        <f t="shared" si="3"/>
        <v>0</v>
      </c>
      <c r="AD28" s="6">
        <f t="shared" si="3"/>
        <v>0</v>
      </c>
      <c r="AE28" s="6">
        <f t="shared" si="3"/>
        <v>0</v>
      </c>
      <c r="AF28" s="6">
        <f t="shared" si="3"/>
        <v>0</v>
      </c>
      <c r="AG28" s="7">
        <f t="shared" si="2"/>
        <v>0</v>
      </c>
    </row>
    <row r="29" spans="1:33" ht="15.75" customHeight="1" x14ac:dyDescent="0.25">
      <c r="A29" s="53" t="s">
        <v>3</v>
      </c>
      <c r="B29" s="54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4"/>
      <c r="AE29" s="54"/>
      <c r="AF29" s="54"/>
      <c r="AG29" s="5">
        <f t="shared" si="2"/>
        <v>0</v>
      </c>
    </row>
    <row r="30" spans="1:33" ht="15.75" customHeight="1" x14ac:dyDescent="0.25">
      <c r="A30" s="56" t="s">
        <v>4</v>
      </c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">
        <f t="shared" si="2"/>
        <v>0</v>
      </c>
    </row>
    <row r="31" spans="1:33" ht="15.75" customHeight="1" x14ac:dyDescent="0.25">
      <c r="A31" s="56" t="s">
        <v>5</v>
      </c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">
        <f t="shared" si="2"/>
        <v>0</v>
      </c>
    </row>
    <row r="32" spans="1:33" ht="15.75" customHeight="1" x14ac:dyDescent="0.25">
      <c r="A32" s="56" t="s">
        <v>6</v>
      </c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">
        <f t="shared" si="2"/>
        <v>0</v>
      </c>
    </row>
    <row r="33" spans="1:33" ht="15.75" customHeight="1" x14ac:dyDescent="0.25">
      <c r="A33" s="56" t="s">
        <v>7</v>
      </c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">
        <f t="shared" si="2"/>
        <v>0</v>
      </c>
    </row>
    <row r="34" spans="1:33" ht="15.75" customHeight="1" x14ac:dyDescent="0.25">
      <c r="A34" s="56" t="s">
        <v>8</v>
      </c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">
        <f t="shared" si="2"/>
        <v>0</v>
      </c>
    </row>
    <row r="35" spans="1:33" ht="15.75" customHeight="1" x14ac:dyDescent="0.25">
      <c r="A35" s="56" t="s">
        <v>9</v>
      </c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">
        <f t="shared" si="2"/>
        <v>0</v>
      </c>
    </row>
    <row r="36" spans="1:33" ht="15.75" customHeight="1" x14ac:dyDescent="0.25">
      <c r="A36" s="56" t="s">
        <v>10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">
        <f t="shared" si="2"/>
        <v>0</v>
      </c>
    </row>
    <row r="37" spans="1:33" ht="15.75" customHeight="1" x14ac:dyDescent="0.25">
      <c r="A37" s="56" t="s">
        <v>11</v>
      </c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">
        <f t="shared" si="2"/>
        <v>0</v>
      </c>
    </row>
    <row r="38" spans="1:33" ht="15.75" customHeight="1" x14ac:dyDescent="0.25">
      <c r="A38" s="56" t="s">
        <v>12</v>
      </c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">
        <f t="shared" si="2"/>
        <v>0</v>
      </c>
    </row>
    <row r="39" spans="1:33" ht="15.75" customHeight="1" x14ac:dyDescent="0.25">
      <c r="A39" s="56" t="s">
        <v>13</v>
      </c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">
        <f t="shared" si="2"/>
        <v>0</v>
      </c>
    </row>
    <row r="40" spans="1:33" ht="15.75" customHeight="1" x14ac:dyDescent="0.25">
      <c r="A40" s="56" t="s">
        <v>14</v>
      </c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">
        <f t="shared" si="2"/>
        <v>0</v>
      </c>
    </row>
    <row r="41" spans="1:33" ht="15.75" customHeight="1" x14ac:dyDescent="0.25">
      <c r="A41" s="56" t="s">
        <v>15</v>
      </c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">
        <f t="shared" si="2"/>
        <v>0</v>
      </c>
    </row>
    <row r="42" spans="1:33" ht="15.75" customHeight="1" x14ac:dyDescent="0.25">
      <c r="A42" s="56" t="s">
        <v>16</v>
      </c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">
        <f t="shared" si="2"/>
        <v>0</v>
      </c>
    </row>
    <row r="43" spans="1:33" ht="15.75" customHeight="1" x14ac:dyDescent="0.25">
      <c r="A43" s="56" t="s">
        <v>17</v>
      </c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">
        <f t="shared" si="2"/>
        <v>0</v>
      </c>
    </row>
    <row r="44" spans="1:33" ht="15.75" customHeight="1" x14ac:dyDescent="0.25">
      <c r="A44" s="56" t="s">
        <v>18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">
        <f t="shared" si="2"/>
        <v>0</v>
      </c>
    </row>
    <row r="45" spans="1:33" ht="15.75" customHeight="1" x14ac:dyDescent="0.25">
      <c r="A45" s="56" t="s">
        <v>19</v>
      </c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">
        <f t="shared" si="2"/>
        <v>0</v>
      </c>
    </row>
    <row r="46" spans="1:33" ht="15.75" customHeight="1" x14ac:dyDescent="0.25">
      <c r="A46" s="56" t="s">
        <v>20</v>
      </c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">
        <f t="shared" si="2"/>
        <v>0</v>
      </c>
    </row>
    <row r="47" spans="1:33" ht="15.75" customHeight="1" x14ac:dyDescent="0.25">
      <c r="A47" s="56" t="s">
        <v>21</v>
      </c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">
        <f t="shared" si="2"/>
        <v>0</v>
      </c>
    </row>
    <row r="48" spans="1:33" ht="15.75" customHeight="1" x14ac:dyDescent="0.25">
      <c r="A48" s="56" t="s">
        <v>22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">
        <f t="shared" si="2"/>
        <v>0</v>
      </c>
    </row>
    <row r="49" spans="1:33" ht="15.75" customHeight="1" x14ac:dyDescent="0.25">
      <c r="A49" s="56" t="s">
        <v>23</v>
      </c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">
        <f t="shared" si="2"/>
        <v>0</v>
      </c>
    </row>
    <row r="50" spans="1:33" ht="15.75" customHeight="1" x14ac:dyDescent="0.25">
      <c r="A50" s="56" t="s">
        <v>24</v>
      </c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">
        <f t="shared" si="2"/>
        <v>0</v>
      </c>
    </row>
    <row r="51" spans="1:33" ht="15.75" customHeight="1" x14ac:dyDescent="0.25">
      <c r="A51" s="56" t="s">
        <v>25</v>
      </c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">
        <f t="shared" si="2"/>
        <v>0</v>
      </c>
    </row>
    <row r="52" spans="1:33" ht="15.75" customHeight="1" thickBot="1" x14ac:dyDescent="0.3">
      <c r="A52" s="57" t="s">
        <v>26</v>
      </c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60"/>
      <c r="AE52" s="60"/>
      <c r="AF52" s="60"/>
      <c r="AG52" s="9">
        <f t="shared" si="2"/>
        <v>0</v>
      </c>
    </row>
    <row r="53" spans="1:33" ht="15.75" customHeight="1" thickBot="1" x14ac:dyDescent="0.3">
      <c r="A53" s="52" t="s">
        <v>28</v>
      </c>
      <c r="B53" s="1">
        <f t="shared" ref="B53:AF53" si="4">SUM(B54:B77)</f>
        <v>0</v>
      </c>
      <c r="C53" s="1">
        <f t="shared" si="4"/>
        <v>0</v>
      </c>
      <c r="D53" s="1">
        <f t="shared" si="4"/>
        <v>0</v>
      </c>
      <c r="E53" s="1">
        <f t="shared" si="4"/>
        <v>0</v>
      </c>
      <c r="F53" s="1">
        <f t="shared" si="4"/>
        <v>0</v>
      </c>
      <c r="G53" s="1">
        <f t="shared" si="4"/>
        <v>0</v>
      </c>
      <c r="H53" s="1">
        <f t="shared" si="4"/>
        <v>0</v>
      </c>
      <c r="I53" s="1">
        <f t="shared" si="4"/>
        <v>0</v>
      </c>
      <c r="J53" s="1">
        <f t="shared" si="4"/>
        <v>0</v>
      </c>
      <c r="K53" s="1">
        <f t="shared" si="4"/>
        <v>0</v>
      </c>
      <c r="L53" s="1">
        <f t="shared" si="4"/>
        <v>0</v>
      </c>
      <c r="M53" s="1">
        <f t="shared" si="4"/>
        <v>0</v>
      </c>
      <c r="N53" s="1">
        <f t="shared" si="4"/>
        <v>0</v>
      </c>
      <c r="O53" s="1">
        <f t="shared" si="4"/>
        <v>0</v>
      </c>
      <c r="P53" s="1">
        <f t="shared" si="4"/>
        <v>0</v>
      </c>
      <c r="Q53" s="1">
        <f t="shared" si="4"/>
        <v>0</v>
      </c>
      <c r="R53" s="1">
        <f t="shared" si="4"/>
        <v>0</v>
      </c>
      <c r="S53" s="1">
        <f t="shared" si="4"/>
        <v>0</v>
      </c>
      <c r="T53" s="1">
        <f t="shared" si="4"/>
        <v>0</v>
      </c>
      <c r="U53" s="1">
        <f t="shared" si="4"/>
        <v>0</v>
      </c>
      <c r="V53" s="1">
        <f t="shared" si="4"/>
        <v>0</v>
      </c>
      <c r="W53" s="1">
        <f t="shared" si="4"/>
        <v>0</v>
      </c>
      <c r="X53" s="1">
        <f t="shared" si="4"/>
        <v>0</v>
      </c>
      <c r="Y53" s="1">
        <f t="shared" si="4"/>
        <v>0</v>
      </c>
      <c r="Z53" s="1">
        <f t="shared" si="4"/>
        <v>0</v>
      </c>
      <c r="AA53" s="1">
        <f t="shared" si="4"/>
        <v>0</v>
      </c>
      <c r="AB53" s="1">
        <f t="shared" si="4"/>
        <v>0</v>
      </c>
      <c r="AC53" s="1">
        <f t="shared" si="4"/>
        <v>0</v>
      </c>
      <c r="AD53" s="1">
        <f t="shared" si="4"/>
        <v>0</v>
      </c>
      <c r="AE53" s="1">
        <f t="shared" si="4"/>
        <v>0</v>
      </c>
      <c r="AF53" s="1">
        <f t="shared" si="4"/>
        <v>0</v>
      </c>
      <c r="AG53" s="10">
        <f t="shared" si="2"/>
        <v>0</v>
      </c>
    </row>
    <row r="54" spans="1:33" ht="15.75" customHeight="1" x14ac:dyDescent="0.25">
      <c r="A54" s="56" t="s">
        <v>3</v>
      </c>
      <c r="B54" s="54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4">
        <f t="shared" si="2"/>
        <v>0</v>
      </c>
    </row>
    <row r="55" spans="1:33" ht="15.75" customHeight="1" x14ac:dyDescent="0.25">
      <c r="A55" s="56" t="s">
        <v>4</v>
      </c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">
        <f t="shared" si="2"/>
        <v>0</v>
      </c>
    </row>
    <row r="56" spans="1:33" ht="15.75" customHeight="1" x14ac:dyDescent="0.25">
      <c r="A56" s="56" t="s">
        <v>5</v>
      </c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">
        <f t="shared" si="2"/>
        <v>0</v>
      </c>
    </row>
    <row r="57" spans="1:33" ht="15.75" customHeight="1" x14ac:dyDescent="0.25">
      <c r="A57" s="56" t="s">
        <v>6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">
        <f t="shared" si="2"/>
        <v>0</v>
      </c>
    </row>
    <row r="58" spans="1:33" ht="15.75" customHeight="1" x14ac:dyDescent="0.25">
      <c r="A58" s="56" t="s">
        <v>7</v>
      </c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">
        <f t="shared" si="2"/>
        <v>0</v>
      </c>
    </row>
    <row r="59" spans="1:33" ht="15.75" customHeight="1" x14ac:dyDescent="0.25">
      <c r="A59" s="56" t="s">
        <v>8</v>
      </c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">
        <f t="shared" si="2"/>
        <v>0</v>
      </c>
    </row>
    <row r="60" spans="1:33" ht="15.75" customHeight="1" x14ac:dyDescent="0.25">
      <c r="A60" s="56" t="s">
        <v>9</v>
      </c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">
        <f t="shared" si="2"/>
        <v>0</v>
      </c>
    </row>
    <row r="61" spans="1:33" ht="15.75" customHeight="1" x14ac:dyDescent="0.25">
      <c r="A61" s="56" t="s">
        <v>10</v>
      </c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">
        <f t="shared" si="2"/>
        <v>0</v>
      </c>
    </row>
    <row r="62" spans="1:33" ht="15.75" customHeight="1" x14ac:dyDescent="0.25">
      <c r="A62" s="56" t="s">
        <v>11</v>
      </c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">
        <f t="shared" si="2"/>
        <v>0</v>
      </c>
    </row>
    <row r="63" spans="1:33" ht="15.75" customHeight="1" x14ac:dyDescent="0.25">
      <c r="A63" s="56" t="s">
        <v>12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">
        <f t="shared" si="2"/>
        <v>0</v>
      </c>
    </row>
    <row r="64" spans="1:33" ht="15.75" customHeight="1" x14ac:dyDescent="0.25">
      <c r="A64" s="56" t="s">
        <v>13</v>
      </c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">
        <f t="shared" si="2"/>
        <v>0</v>
      </c>
    </row>
    <row r="65" spans="1:33" ht="15.75" customHeight="1" x14ac:dyDescent="0.25">
      <c r="A65" s="56" t="s">
        <v>14</v>
      </c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">
        <f t="shared" si="2"/>
        <v>0</v>
      </c>
    </row>
    <row r="66" spans="1:33" ht="15.75" customHeight="1" x14ac:dyDescent="0.25">
      <c r="A66" s="56" t="s">
        <v>15</v>
      </c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">
        <f t="shared" si="2"/>
        <v>0</v>
      </c>
    </row>
    <row r="67" spans="1:33" ht="15.75" customHeight="1" x14ac:dyDescent="0.25">
      <c r="A67" s="56" t="s">
        <v>16</v>
      </c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">
        <f t="shared" ref="AG67:AG98" si="5">SUM(B67:AF67)</f>
        <v>0</v>
      </c>
    </row>
    <row r="68" spans="1:33" ht="15.75" customHeight="1" x14ac:dyDescent="0.25">
      <c r="A68" s="56" t="s">
        <v>17</v>
      </c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">
        <f t="shared" si="5"/>
        <v>0</v>
      </c>
    </row>
    <row r="69" spans="1:33" ht="15.75" customHeight="1" x14ac:dyDescent="0.25">
      <c r="A69" s="56" t="s">
        <v>18</v>
      </c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">
        <f t="shared" si="5"/>
        <v>0</v>
      </c>
    </row>
    <row r="70" spans="1:33" ht="15.75" customHeight="1" x14ac:dyDescent="0.25">
      <c r="A70" s="56" t="s">
        <v>19</v>
      </c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5"/>
      <c r="AE70" s="55"/>
      <c r="AF70" s="55"/>
      <c r="AG70" s="5">
        <f t="shared" si="5"/>
        <v>0</v>
      </c>
    </row>
    <row r="71" spans="1:33" ht="15.75" customHeight="1" x14ac:dyDescent="0.25">
      <c r="A71" s="56" t="s">
        <v>20</v>
      </c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5"/>
      <c r="AE71" s="55"/>
      <c r="AF71" s="55"/>
      <c r="AG71" s="5">
        <f t="shared" si="5"/>
        <v>0</v>
      </c>
    </row>
    <row r="72" spans="1:33" ht="15.75" customHeight="1" x14ac:dyDescent="0.25">
      <c r="A72" s="56" t="s">
        <v>21</v>
      </c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5"/>
      <c r="AE72" s="55"/>
      <c r="AF72" s="55"/>
      <c r="AG72" s="5">
        <f t="shared" si="5"/>
        <v>0</v>
      </c>
    </row>
    <row r="73" spans="1:33" ht="15.75" customHeight="1" x14ac:dyDescent="0.25">
      <c r="A73" s="56" t="s">
        <v>22</v>
      </c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5"/>
      <c r="AE73" s="55"/>
      <c r="AF73" s="55"/>
      <c r="AG73" s="5">
        <f t="shared" si="5"/>
        <v>0</v>
      </c>
    </row>
    <row r="74" spans="1:33" ht="15.75" customHeight="1" x14ac:dyDescent="0.25">
      <c r="A74" s="56" t="s">
        <v>23</v>
      </c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5"/>
      <c r="AE74" s="55"/>
      <c r="AF74" s="55"/>
      <c r="AG74" s="5">
        <f t="shared" si="5"/>
        <v>0</v>
      </c>
    </row>
    <row r="75" spans="1:33" ht="15.75" customHeight="1" x14ac:dyDescent="0.25">
      <c r="A75" s="56" t="s">
        <v>24</v>
      </c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5"/>
      <c r="AE75" s="55"/>
      <c r="AF75" s="55"/>
      <c r="AG75" s="5">
        <f t="shared" si="5"/>
        <v>0</v>
      </c>
    </row>
    <row r="76" spans="1:33" ht="15.75" customHeight="1" x14ac:dyDescent="0.25">
      <c r="A76" s="56" t="s">
        <v>25</v>
      </c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5"/>
      <c r="AE76" s="55"/>
      <c r="AF76" s="55"/>
      <c r="AG76" s="5">
        <f t="shared" si="5"/>
        <v>0</v>
      </c>
    </row>
    <row r="77" spans="1:33" ht="15.75" customHeight="1" thickBot="1" x14ac:dyDescent="0.3">
      <c r="A77" s="61" t="s">
        <v>26</v>
      </c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62"/>
      <c r="AE77" s="62"/>
      <c r="AF77" s="62"/>
      <c r="AG77" s="9">
        <f t="shared" si="5"/>
        <v>0</v>
      </c>
    </row>
    <row r="78" spans="1:33" ht="19.5" customHeight="1" thickBot="1" x14ac:dyDescent="0.3">
      <c r="A78" s="63" t="s">
        <v>29</v>
      </c>
      <c r="B78" s="11">
        <f t="shared" ref="B78:AF78" si="6">SUM(B79:B80)</f>
        <v>0</v>
      </c>
      <c r="C78" s="11">
        <f t="shared" si="6"/>
        <v>0</v>
      </c>
      <c r="D78" s="11">
        <f t="shared" si="6"/>
        <v>0</v>
      </c>
      <c r="E78" s="11">
        <f t="shared" si="6"/>
        <v>0</v>
      </c>
      <c r="F78" s="11">
        <f t="shared" si="6"/>
        <v>0</v>
      </c>
      <c r="G78" s="11">
        <f t="shared" si="6"/>
        <v>0</v>
      </c>
      <c r="H78" s="11">
        <f t="shared" si="6"/>
        <v>0</v>
      </c>
      <c r="I78" s="11">
        <f t="shared" si="6"/>
        <v>0</v>
      </c>
      <c r="J78" s="11">
        <f t="shared" si="6"/>
        <v>0</v>
      </c>
      <c r="K78" s="11">
        <f t="shared" si="6"/>
        <v>0</v>
      </c>
      <c r="L78" s="11">
        <f t="shared" si="6"/>
        <v>0</v>
      </c>
      <c r="M78" s="11">
        <f t="shared" si="6"/>
        <v>0</v>
      </c>
      <c r="N78" s="11">
        <f t="shared" si="6"/>
        <v>0</v>
      </c>
      <c r="O78" s="11">
        <f t="shared" si="6"/>
        <v>0</v>
      </c>
      <c r="P78" s="11">
        <f t="shared" si="6"/>
        <v>0</v>
      </c>
      <c r="Q78" s="11">
        <f t="shared" si="6"/>
        <v>0</v>
      </c>
      <c r="R78" s="11">
        <f t="shared" si="6"/>
        <v>0</v>
      </c>
      <c r="S78" s="11">
        <f t="shared" si="6"/>
        <v>0</v>
      </c>
      <c r="T78" s="11">
        <f t="shared" si="6"/>
        <v>0</v>
      </c>
      <c r="U78" s="11">
        <f t="shared" si="6"/>
        <v>0</v>
      </c>
      <c r="V78" s="11">
        <f t="shared" si="6"/>
        <v>0</v>
      </c>
      <c r="W78" s="11">
        <f t="shared" si="6"/>
        <v>0</v>
      </c>
      <c r="X78" s="11">
        <f t="shared" si="6"/>
        <v>0</v>
      </c>
      <c r="Y78" s="11">
        <f t="shared" si="6"/>
        <v>0</v>
      </c>
      <c r="Z78" s="11">
        <f t="shared" si="6"/>
        <v>0</v>
      </c>
      <c r="AA78" s="11">
        <f t="shared" si="6"/>
        <v>0</v>
      </c>
      <c r="AB78" s="11">
        <f t="shared" si="6"/>
        <v>0</v>
      </c>
      <c r="AC78" s="11">
        <f t="shared" si="6"/>
        <v>0</v>
      </c>
      <c r="AD78" s="11">
        <f t="shared" si="6"/>
        <v>0</v>
      </c>
      <c r="AE78" s="11">
        <f t="shared" si="6"/>
        <v>0</v>
      </c>
      <c r="AF78" s="11">
        <f t="shared" si="6"/>
        <v>0</v>
      </c>
      <c r="AG78" s="10">
        <f t="shared" si="5"/>
        <v>0</v>
      </c>
    </row>
    <row r="79" spans="1:33" ht="19.5" customHeight="1" x14ac:dyDescent="0.25">
      <c r="A79" s="64" t="s">
        <v>30</v>
      </c>
      <c r="B79" s="3">
        <f t="shared" ref="B79" si="7">SUM(B4:B27)-B80</f>
        <v>0</v>
      </c>
      <c r="C79" s="3">
        <f t="shared" ref="C79" si="8">SUM(C4:C27)-C80</f>
        <v>0</v>
      </c>
      <c r="D79" s="3">
        <f t="shared" ref="D79:AF79" si="9">SUM(D4:D27)-D80</f>
        <v>0</v>
      </c>
      <c r="E79" s="3">
        <f t="shared" si="9"/>
        <v>0</v>
      </c>
      <c r="F79" s="3">
        <f t="shared" si="9"/>
        <v>0</v>
      </c>
      <c r="G79" s="3">
        <f t="shared" si="9"/>
        <v>0</v>
      </c>
      <c r="H79" s="3">
        <f t="shared" si="9"/>
        <v>0</v>
      </c>
      <c r="I79" s="3">
        <f t="shared" si="9"/>
        <v>0</v>
      </c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N79" s="3">
        <f t="shared" si="9"/>
        <v>0</v>
      </c>
      <c r="O79" s="3">
        <f t="shared" si="9"/>
        <v>0</v>
      </c>
      <c r="P79" s="3">
        <f t="shared" si="9"/>
        <v>0</v>
      </c>
      <c r="Q79" s="3">
        <f t="shared" si="9"/>
        <v>0</v>
      </c>
      <c r="R79" s="3">
        <f t="shared" si="9"/>
        <v>0</v>
      </c>
      <c r="S79" s="3">
        <f t="shared" si="9"/>
        <v>0</v>
      </c>
      <c r="T79" s="3">
        <f t="shared" si="9"/>
        <v>0</v>
      </c>
      <c r="U79" s="3">
        <f t="shared" si="9"/>
        <v>0</v>
      </c>
      <c r="V79" s="3">
        <f t="shared" si="9"/>
        <v>0</v>
      </c>
      <c r="W79" s="3">
        <f t="shared" si="9"/>
        <v>0</v>
      </c>
      <c r="X79" s="3">
        <f t="shared" si="9"/>
        <v>0</v>
      </c>
      <c r="Y79" s="3">
        <f t="shared" si="9"/>
        <v>0</v>
      </c>
      <c r="Z79" s="3">
        <f t="shared" si="9"/>
        <v>0</v>
      </c>
      <c r="AA79" s="3">
        <f t="shared" si="9"/>
        <v>0</v>
      </c>
      <c r="AB79" s="3">
        <f t="shared" si="9"/>
        <v>0</v>
      </c>
      <c r="AC79" s="3">
        <f t="shared" si="9"/>
        <v>0</v>
      </c>
      <c r="AD79" s="3">
        <f t="shared" si="9"/>
        <v>0</v>
      </c>
      <c r="AE79" s="3">
        <f t="shared" si="9"/>
        <v>0</v>
      </c>
      <c r="AF79" s="3">
        <f t="shared" si="9"/>
        <v>0</v>
      </c>
      <c r="AG79" s="4">
        <f t="shared" si="5"/>
        <v>0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0</v>
      </c>
      <c r="C81" s="12">
        <f t="shared" si="10"/>
        <v>0</v>
      </c>
      <c r="D81" s="12">
        <f t="shared" si="10"/>
        <v>0</v>
      </c>
      <c r="E81" s="12">
        <f t="shared" si="10"/>
        <v>0</v>
      </c>
      <c r="F81" s="12">
        <f t="shared" si="10"/>
        <v>0</v>
      </c>
      <c r="G81" s="12">
        <f t="shared" si="10"/>
        <v>0</v>
      </c>
      <c r="H81" s="12">
        <f t="shared" si="10"/>
        <v>0</v>
      </c>
      <c r="I81" s="12">
        <f t="shared" si="10"/>
        <v>0</v>
      </c>
      <c r="J81" s="12">
        <f t="shared" si="10"/>
        <v>0</v>
      </c>
      <c r="K81" s="12">
        <f t="shared" si="10"/>
        <v>0</v>
      </c>
      <c r="L81" s="12">
        <f t="shared" si="10"/>
        <v>0</v>
      </c>
      <c r="M81" s="12">
        <f t="shared" si="10"/>
        <v>0</v>
      </c>
      <c r="N81" s="12">
        <f t="shared" si="10"/>
        <v>0</v>
      </c>
      <c r="O81" s="12">
        <f t="shared" si="10"/>
        <v>0</v>
      </c>
      <c r="P81" s="12">
        <f t="shared" si="10"/>
        <v>0</v>
      </c>
      <c r="Q81" s="12">
        <f t="shared" si="10"/>
        <v>0</v>
      </c>
      <c r="R81" s="12">
        <f t="shared" si="10"/>
        <v>0</v>
      </c>
      <c r="S81" s="12">
        <f t="shared" si="10"/>
        <v>0</v>
      </c>
      <c r="T81" s="12">
        <f t="shared" si="10"/>
        <v>0</v>
      </c>
      <c r="U81" s="12">
        <f t="shared" si="10"/>
        <v>0</v>
      </c>
      <c r="V81" s="12">
        <f t="shared" si="10"/>
        <v>0</v>
      </c>
      <c r="W81" s="12">
        <f t="shared" si="10"/>
        <v>0</v>
      </c>
      <c r="X81" s="12">
        <f t="shared" si="10"/>
        <v>0</v>
      </c>
      <c r="Y81" s="12">
        <f t="shared" si="10"/>
        <v>0</v>
      </c>
      <c r="Z81" s="12">
        <f t="shared" si="10"/>
        <v>0</v>
      </c>
      <c r="AA81" s="12">
        <f t="shared" si="10"/>
        <v>0</v>
      </c>
      <c r="AB81" s="12">
        <f t="shared" si="10"/>
        <v>0</v>
      </c>
      <c r="AC81" s="12">
        <f t="shared" si="10"/>
        <v>0</v>
      </c>
      <c r="AD81" s="12">
        <f t="shared" si="10"/>
        <v>0</v>
      </c>
      <c r="AE81" s="12">
        <f t="shared" si="10"/>
        <v>0</v>
      </c>
      <c r="AF81" s="12">
        <f t="shared" si="10"/>
        <v>0</v>
      </c>
      <c r="AG81" s="10">
        <f t="shared" si="5"/>
        <v>0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0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0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0</v>
      </c>
      <c r="C83" s="8">
        <f t="shared" si="12"/>
        <v>0</v>
      </c>
      <c r="D83" s="8">
        <f t="shared" si="12"/>
        <v>0</v>
      </c>
      <c r="E83" s="8">
        <f t="shared" si="12"/>
        <v>0</v>
      </c>
      <c r="F83" s="8">
        <f t="shared" si="12"/>
        <v>0</v>
      </c>
      <c r="G83" s="8">
        <f t="shared" si="12"/>
        <v>0</v>
      </c>
      <c r="H83" s="8">
        <f t="shared" si="12"/>
        <v>0</v>
      </c>
      <c r="I83" s="8">
        <f t="shared" si="12"/>
        <v>0</v>
      </c>
      <c r="J83" s="8">
        <f t="shared" si="12"/>
        <v>0</v>
      </c>
      <c r="K83" s="8">
        <f t="shared" si="12"/>
        <v>0</v>
      </c>
      <c r="L83" s="8">
        <f t="shared" si="12"/>
        <v>0</v>
      </c>
      <c r="M83" s="8">
        <f t="shared" si="12"/>
        <v>0</v>
      </c>
      <c r="N83" s="8">
        <f t="shared" si="12"/>
        <v>0</v>
      </c>
      <c r="O83" s="8">
        <f t="shared" si="12"/>
        <v>0</v>
      </c>
      <c r="P83" s="8">
        <f t="shared" si="12"/>
        <v>0</v>
      </c>
      <c r="Q83" s="8">
        <f t="shared" si="12"/>
        <v>0</v>
      </c>
      <c r="R83" s="8">
        <f t="shared" si="12"/>
        <v>0</v>
      </c>
      <c r="S83" s="8">
        <f t="shared" si="12"/>
        <v>0</v>
      </c>
      <c r="T83" s="8">
        <f t="shared" si="12"/>
        <v>0</v>
      </c>
      <c r="U83" s="8">
        <f t="shared" si="12"/>
        <v>0</v>
      </c>
      <c r="V83" s="8">
        <f t="shared" si="12"/>
        <v>0</v>
      </c>
      <c r="W83" s="8">
        <f t="shared" si="12"/>
        <v>0</v>
      </c>
      <c r="X83" s="8">
        <f t="shared" si="12"/>
        <v>0</v>
      </c>
      <c r="Y83" s="8">
        <f t="shared" si="12"/>
        <v>0</v>
      </c>
      <c r="Z83" s="8">
        <f t="shared" si="12"/>
        <v>0</v>
      </c>
      <c r="AA83" s="8">
        <f t="shared" si="12"/>
        <v>0</v>
      </c>
      <c r="AB83" s="8">
        <f t="shared" si="12"/>
        <v>0</v>
      </c>
      <c r="AC83" s="8">
        <f t="shared" si="12"/>
        <v>0</v>
      </c>
      <c r="AD83" s="8">
        <f t="shared" si="12"/>
        <v>0</v>
      </c>
      <c r="AE83" s="8">
        <f t="shared" si="12"/>
        <v>0</v>
      </c>
      <c r="AF83" s="8">
        <f t="shared" si="12"/>
        <v>0</v>
      </c>
      <c r="AG83" s="5">
        <f t="shared" si="5"/>
        <v>0</v>
      </c>
    </row>
    <row r="84" spans="1:34" ht="15.75" customHeight="1" thickBot="1" x14ac:dyDescent="0.3">
      <c r="A84" s="67" t="s">
        <v>33</v>
      </c>
      <c r="B84" s="14">
        <f t="shared" ref="B84:AF84" si="13">SUM(B85:B86)</f>
        <v>0</v>
      </c>
      <c r="C84" s="14">
        <f t="shared" si="13"/>
        <v>0</v>
      </c>
      <c r="D84" s="14">
        <f t="shared" si="13"/>
        <v>0</v>
      </c>
      <c r="E84" s="14">
        <f t="shared" si="13"/>
        <v>0</v>
      </c>
      <c r="F84" s="14">
        <f t="shared" si="13"/>
        <v>0</v>
      </c>
      <c r="G84" s="14">
        <f t="shared" si="13"/>
        <v>0</v>
      </c>
      <c r="H84" s="14">
        <f t="shared" si="13"/>
        <v>0</v>
      </c>
      <c r="I84" s="14">
        <f t="shared" si="13"/>
        <v>0</v>
      </c>
      <c r="J84" s="14">
        <f t="shared" si="13"/>
        <v>0</v>
      </c>
      <c r="K84" s="14">
        <f t="shared" si="13"/>
        <v>0</v>
      </c>
      <c r="L84" s="14">
        <f t="shared" si="13"/>
        <v>0</v>
      </c>
      <c r="M84" s="14">
        <f t="shared" si="13"/>
        <v>0</v>
      </c>
      <c r="N84" s="14">
        <f t="shared" si="13"/>
        <v>0</v>
      </c>
      <c r="O84" s="14">
        <f t="shared" si="13"/>
        <v>0</v>
      </c>
      <c r="P84" s="14">
        <f t="shared" si="13"/>
        <v>0</v>
      </c>
      <c r="Q84" s="14">
        <f t="shared" si="13"/>
        <v>0</v>
      </c>
      <c r="R84" s="14">
        <f t="shared" si="13"/>
        <v>0</v>
      </c>
      <c r="S84" s="14">
        <f t="shared" si="13"/>
        <v>0</v>
      </c>
      <c r="T84" s="14">
        <f t="shared" si="13"/>
        <v>0</v>
      </c>
      <c r="U84" s="14">
        <f t="shared" si="13"/>
        <v>0</v>
      </c>
      <c r="V84" s="14">
        <f t="shared" si="13"/>
        <v>0</v>
      </c>
      <c r="W84" s="14">
        <f t="shared" si="13"/>
        <v>0</v>
      </c>
      <c r="X84" s="14">
        <f t="shared" si="13"/>
        <v>0</v>
      </c>
      <c r="Y84" s="14">
        <f t="shared" si="13"/>
        <v>0</v>
      </c>
      <c r="Z84" s="14">
        <f t="shared" si="13"/>
        <v>0</v>
      </c>
      <c r="AA84" s="14">
        <f t="shared" si="13"/>
        <v>0</v>
      </c>
      <c r="AB84" s="14">
        <f t="shared" si="13"/>
        <v>0</v>
      </c>
      <c r="AC84" s="14">
        <f t="shared" si="13"/>
        <v>0</v>
      </c>
      <c r="AD84" s="14">
        <f t="shared" si="13"/>
        <v>0</v>
      </c>
      <c r="AE84" s="14">
        <f t="shared" si="13"/>
        <v>0</v>
      </c>
      <c r="AF84" s="14">
        <f t="shared" si="13"/>
        <v>0</v>
      </c>
      <c r="AG84" s="15">
        <f t="shared" si="5"/>
        <v>0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16">
        <f t="shared" si="5"/>
        <v>0</v>
      </c>
    </row>
    <row r="86" spans="1:34" ht="15.75" customHeight="1" thickBot="1" x14ac:dyDescent="0.3">
      <c r="A86" s="70" t="s">
        <v>35</v>
      </c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17">
        <f t="shared" si="5"/>
        <v>0</v>
      </c>
    </row>
    <row r="87" spans="1:34" ht="15.75" customHeight="1" thickBot="1" x14ac:dyDescent="0.3">
      <c r="A87" s="72" t="s">
        <v>36</v>
      </c>
      <c r="B87" s="18">
        <f t="shared" ref="B87:AF87" si="14">SUM(B88:B92)</f>
        <v>0</v>
      </c>
      <c r="C87" s="18">
        <f t="shared" si="14"/>
        <v>0</v>
      </c>
      <c r="D87" s="18">
        <f t="shared" si="14"/>
        <v>0</v>
      </c>
      <c r="E87" s="18">
        <f t="shared" si="14"/>
        <v>0</v>
      </c>
      <c r="F87" s="18">
        <f t="shared" si="14"/>
        <v>0</v>
      </c>
      <c r="G87" s="18">
        <f t="shared" si="14"/>
        <v>0</v>
      </c>
      <c r="H87" s="18">
        <f t="shared" si="14"/>
        <v>0</v>
      </c>
      <c r="I87" s="18">
        <f t="shared" si="14"/>
        <v>0</v>
      </c>
      <c r="J87" s="18">
        <f t="shared" si="14"/>
        <v>0</v>
      </c>
      <c r="K87" s="18">
        <f t="shared" si="14"/>
        <v>0</v>
      </c>
      <c r="L87" s="18">
        <f t="shared" si="14"/>
        <v>0</v>
      </c>
      <c r="M87" s="18">
        <f t="shared" si="14"/>
        <v>0</v>
      </c>
      <c r="N87" s="18">
        <f t="shared" si="14"/>
        <v>0</v>
      </c>
      <c r="O87" s="18">
        <f t="shared" si="14"/>
        <v>0</v>
      </c>
      <c r="P87" s="18">
        <f t="shared" si="14"/>
        <v>0</v>
      </c>
      <c r="Q87" s="18">
        <f t="shared" si="14"/>
        <v>0</v>
      </c>
      <c r="R87" s="18">
        <f t="shared" si="14"/>
        <v>0</v>
      </c>
      <c r="S87" s="18">
        <f t="shared" si="14"/>
        <v>0</v>
      </c>
      <c r="T87" s="18">
        <f t="shared" si="14"/>
        <v>0</v>
      </c>
      <c r="U87" s="18">
        <f t="shared" si="14"/>
        <v>0</v>
      </c>
      <c r="V87" s="18">
        <f t="shared" si="14"/>
        <v>0</v>
      </c>
      <c r="W87" s="18">
        <f t="shared" si="14"/>
        <v>0</v>
      </c>
      <c r="X87" s="18">
        <f t="shared" si="14"/>
        <v>0</v>
      </c>
      <c r="Y87" s="18">
        <f t="shared" si="14"/>
        <v>0</v>
      </c>
      <c r="Z87" s="18">
        <f t="shared" si="14"/>
        <v>0</v>
      </c>
      <c r="AA87" s="18">
        <f t="shared" si="14"/>
        <v>0</v>
      </c>
      <c r="AB87" s="18">
        <f t="shared" si="14"/>
        <v>0</v>
      </c>
      <c r="AC87" s="18">
        <f t="shared" si="14"/>
        <v>0</v>
      </c>
      <c r="AD87" s="18">
        <f t="shared" si="14"/>
        <v>0</v>
      </c>
      <c r="AE87" s="18">
        <f t="shared" si="14"/>
        <v>0</v>
      </c>
      <c r="AF87" s="18">
        <f t="shared" si="14"/>
        <v>0</v>
      </c>
      <c r="AG87" s="19">
        <f t="shared" si="5"/>
        <v>0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4">
        <f t="shared" si="5"/>
        <v>0</v>
      </c>
    </row>
    <row r="89" spans="1:34" ht="15.75" customHeight="1" x14ac:dyDescent="0.25">
      <c r="A89" s="74" t="s">
        <v>38</v>
      </c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5">
        <f t="shared" si="5"/>
        <v>0</v>
      </c>
    </row>
    <row r="90" spans="1:34" ht="15.75" customHeight="1" x14ac:dyDescent="0.25">
      <c r="A90" s="74" t="s">
        <v>39</v>
      </c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5">
        <f t="shared" si="5"/>
        <v>0</v>
      </c>
    </row>
    <row r="91" spans="1:34" ht="15.75" customHeight="1" x14ac:dyDescent="0.25">
      <c r="A91" s="74" t="s">
        <v>40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5">
        <f t="shared" si="5"/>
        <v>0</v>
      </c>
    </row>
    <row r="92" spans="1:34" ht="15.75" customHeight="1" thickBot="1" x14ac:dyDescent="0.3">
      <c r="A92" s="74" t="s">
        <v>41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5">
        <f t="shared" si="5"/>
        <v>0</v>
      </c>
    </row>
    <row r="93" spans="1:34" ht="15.75" customHeight="1" x14ac:dyDescent="0.25">
      <c r="A93" s="75" t="s">
        <v>42</v>
      </c>
      <c r="B93" s="20">
        <f t="shared" ref="B93:AF93" si="15">+B94+B100</f>
        <v>0</v>
      </c>
      <c r="C93" s="20">
        <f t="shared" si="15"/>
        <v>0</v>
      </c>
      <c r="D93" s="20">
        <f t="shared" si="15"/>
        <v>0</v>
      </c>
      <c r="E93" s="20">
        <f t="shared" si="15"/>
        <v>0</v>
      </c>
      <c r="F93" s="20">
        <f t="shared" si="15"/>
        <v>0</v>
      </c>
      <c r="G93" s="20">
        <f t="shared" si="15"/>
        <v>0</v>
      </c>
      <c r="H93" s="20">
        <f t="shared" si="15"/>
        <v>0</v>
      </c>
      <c r="I93" s="20">
        <f t="shared" si="15"/>
        <v>0</v>
      </c>
      <c r="J93" s="20">
        <f t="shared" si="15"/>
        <v>0</v>
      </c>
      <c r="K93" s="20">
        <f t="shared" si="15"/>
        <v>0</v>
      </c>
      <c r="L93" s="20">
        <f t="shared" si="15"/>
        <v>0</v>
      </c>
      <c r="M93" s="20">
        <f t="shared" si="15"/>
        <v>0</v>
      </c>
      <c r="N93" s="20">
        <f t="shared" si="15"/>
        <v>0</v>
      </c>
      <c r="O93" s="20">
        <f t="shared" si="15"/>
        <v>0</v>
      </c>
      <c r="P93" s="20">
        <f t="shared" si="15"/>
        <v>0</v>
      </c>
      <c r="Q93" s="20">
        <f t="shared" si="15"/>
        <v>0</v>
      </c>
      <c r="R93" s="20">
        <f t="shared" si="15"/>
        <v>0</v>
      </c>
      <c r="S93" s="20">
        <f t="shared" si="15"/>
        <v>0</v>
      </c>
      <c r="T93" s="20">
        <f t="shared" si="15"/>
        <v>0</v>
      </c>
      <c r="U93" s="20">
        <f t="shared" si="15"/>
        <v>0</v>
      </c>
      <c r="V93" s="20">
        <f t="shared" si="15"/>
        <v>0</v>
      </c>
      <c r="W93" s="20">
        <f t="shared" si="15"/>
        <v>0</v>
      </c>
      <c r="X93" s="20">
        <f t="shared" si="15"/>
        <v>0</v>
      </c>
      <c r="Y93" s="20">
        <f t="shared" si="15"/>
        <v>0</v>
      </c>
      <c r="Z93" s="20">
        <f t="shared" si="15"/>
        <v>0</v>
      </c>
      <c r="AA93" s="20">
        <f t="shared" si="15"/>
        <v>0</v>
      </c>
      <c r="AB93" s="20">
        <f t="shared" si="15"/>
        <v>0</v>
      </c>
      <c r="AC93" s="20">
        <f t="shared" si="15"/>
        <v>0</v>
      </c>
      <c r="AD93" s="20">
        <f t="shared" si="15"/>
        <v>0</v>
      </c>
      <c r="AE93" s="20">
        <f t="shared" si="15"/>
        <v>0</v>
      </c>
      <c r="AF93" s="20">
        <f t="shared" si="15"/>
        <v>0</v>
      </c>
      <c r="AG93" s="5">
        <f t="shared" si="5"/>
        <v>0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0</v>
      </c>
      <c r="C94" s="21">
        <f t="shared" si="16"/>
        <v>0</v>
      </c>
      <c r="D94" s="21">
        <f t="shared" si="16"/>
        <v>0</v>
      </c>
      <c r="E94" s="21">
        <f t="shared" si="16"/>
        <v>0</v>
      </c>
      <c r="F94" s="21">
        <f t="shared" si="16"/>
        <v>0</v>
      </c>
      <c r="G94" s="21">
        <f t="shared" si="16"/>
        <v>0</v>
      </c>
      <c r="H94" s="21">
        <f t="shared" si="16"/>
        <v>0</v>
      </c>
      <c r="I94" s="21">
        <f t="shared" si="16"/>
        <v>0</v>
      </c>
      <c r="J94" s="21">
        <f t="shared" si="16"/>
        <v>0</v>
      </c>
      <c r="K94" s="21">
        <f t="shared" si="16"/>
        <v>0</v>
      </c>
      <c r="L94" s="21">
        <f t="shared" si="16"/>
        <v>0</v>
      </c>
      <c r="M94" s="21">
        <f t="shared" si="16"/>
        <v>0</v>
      </c>
      <c r="N94" s="21">
        <f t="shared" si="16"/>
        <v>0</v>
      </c>
      <c r="O94" s="21">
        <f t="shared" si="16"/>
        <v>0</v>
      </c>
      <c r="P94" s="21">
        <f t="shared" si="16"/>
        <v>0</v>
      </c>
      <c r="Q94" s="21">
        <f t="shared" si="16"/>
        <v>0</v>
      </c>
      <c r="R94" s="21">
        <f t="shared" si="16"/>
        <v>0</v>
      </c>
      <c r="S94" s="21">
        <f t="shared" si="16"/>
        <v>0</v>
      </c>
      <c r="T94" s="21">
        <f t="shared" si="16"/>
        <v>0</v>
      </c>
      <c r="U94" s="21">
        <f t="shared" si="16"/>
        <v>0</v>
      </c>
      <c r="V94" s="21">
        <f t="shared" si="16"/>
        <v>0</v>
      </c>
      <c r="W94" s="21">
        <f t="shared" si="16"/>
        <v>0</v>
      </c>
      <c r="X94" s="21">
        <f t="shared" si="16"/>
        <v>0</v>
      </c>
      <c r="Y94" s="21">
        <f t="shared" si="16"/>
        <v>0</v>
      </c>
      <c r="Z94" s="21">
        <f t="shared" si="16"/>
        <v>0</v>
      </c>
      <c r="AA94" s="21">
        <f t="shared" si="16"/>
        <v>0</v>
      </c>
      <c r="AB94" s="21">
        <f t="shared" si="16"/>
        <v>0</v>
      </c>
      <c r="AC94" s="21">
        <f t="shared" si="16"/>
        <v>0</v>
      </c>
      <c r="AD94" s="21">
        <f t="shared" si="16"/>
        <v>0</v>
      </c>
      <c r="AE94" s="21">
        <f t="shared" si="16"/>
        <v>0</v>
      </c>
      <c r="AF94" s="21">
        <f t="shared" si="16"/>
        <v>0</v>
      </c>
      <c r="AG94" s="5">
        <f t="shared" si="5"/>
        <v>0</v>
      </c>
    </row>
    <row r="95" spans="1:34" ht="15.75" customHeight="1" x14ac:dyDescent="0.25">
      <c r="A95" s="78" t="s">
        <v>44</v>
      </c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">
        <f t="shared" si="5"/>
        <v>0</v>
      </c>
    </row>
    <row r="96" spans="1:34" ht="15.75" customHeight="1" x14ac:dyDescent="0.25">
      <c r="A96" s="79" t="s">
        <v>45</v>
      </c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">
        <f t="shared" si="5"/>
        <v>0</v>
      </c>
    </row>
    <row r="97" spans="1:33" ht="15.75" customHeight="1" x14ac:dyDescent="0.25">
      <c r="A97" s="80" t="s">
        <v>46</v>
      </c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">
        <f t="shared" si="5"/>
        <v>0</v>
      </c>
    </row>
    <row r="98" spans="1:33" ht="15.75" customHeight="1" x14ac:dyDescent="0.25">
      <c r="A98" s="81" t="s">
        <v>47</v>
      </c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">
        <f t="shared" si="5"/>
        <v>0</v>
      </c>
    </row>
    <row r="99" spans="1:33" ht="15.75" customHeight="1" x14ac:dyDescent="0.25">
      <c r="A99" s="82" t="s">
        <v>48</v>
      </c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">
        <f t="shared" ref="AG99:AG162" si="17">SUM(B99:AF99)</f>
        <v>0</v>
      </c>
    </row>
    <row r="100" spans="1:33" ht="15.75" customHeight="1" x14ac:dyDescent="0.25">
      <c r="A100" s="76" t="s">
        <v>49</v>
      </c>
      <c r="B100" s="21">
        <f t="shared" ref="B100:AF100" si="18">SUM(B101:B115)</f>
        <v>0</v>
      </c>
      <c r="C100" s="21">
        <f t="shared" si="18"/>
        <v>0</v>
      </c>
      <c r="D100" s="21">
        <f t="shared" si="18"/>
        <v>0</v>
      </c>
      <c r="E100" s="21">
        <f t="shared" si="18"/>
        <v>0</v>
      </c>
      <c r="F100" s="21">
        <f t="shared" si="18"/>
        <v>0</v>
      </c>
      <c r="G100" s="21">
        <f t="shared" si="18"/>
        <v>0</v>
      </c>
      <c r="H100" s="21">
        <f t="shared" si="18"/>
        <v>0</v>
      </c>
      <c r="I100" s="21">
        <f t="shared" si="18"/>
        <v>0</v>
      </c>
      <c r="J100" s="21">
        <f t="shared" si="18"/>
        <v>0</v>
      </c>
      <c r="K100" s="21">
        <f t="shared" si="18"/>
        <v>0</v>
      </c>
      <c r="L100" s="21">
        <f t="shared" si="18"/>
        <v>0</v>
      </c>
      <c r="M100" s="21">
        <f t="shared" si="18"/>
        <v>0</v>
      </c>
      <c r="N100" s="21">
        <f t="shared" si="18"/>
        <v>0</v>
      </c>
      <c r="O100" s="21">
        <f t="shared" si="18"/>
        <v>0</v>
      </c>
      <c r="P100" s="21">
        <f t="shared" si="18"/>
        <v>0</v>
      </c>
      <c r="Q100" s="21">
        <f t="shared" si="18"/>
        <v>0</v>
      </c>
      <c r="R100" s="21">
        <f t="shared" si="18"/>
        <v>0</v>
      </c>
      <c r="S100" s="21">
        <f t="shared" si="18"/>
        <v>0</v>
      </c>
      <c r="T100" s="21">
        <f t="shared" si="18"/>
        <v>0</v>
      </c>
      <c r="U100" s="21">
        <f t="shared" si="18"/>
        <v>0</v>
      </c>
      <c r="V100" s="21">
        <f t="shared" si="18"/>
        <v>0</v>
      </c>
      <c r="W100" s="21">
        <f t="shared" si="18"/>
        <v>0</v>
      </c>
      <c r="X100" s="21">
        <f t="shared" si="18"/>
        <v>0</v>
      </c>
      <c r="Y100" s="21">
        <f t="shared" si="18"/>
        <v>0</v>
      </c>
      <c r="Z100" s="21">
        <f t="shared" si="18"/>
        <v>0</v>
      </c>
      <c r="AA100" s="21">
        <f t="shared" si="18"/>
        <v>0</v>
      </c>
      <c r="AB100" s="21">
        <f t="shared" si="18"/>
        <v>0</v>
      </c>
      <c r="AC100" s="21">
        <f t="shared" si="18"/>
        <v>0</v>
      </c>
      <c r="AD100" s="21">
        <f t="shared" si="18"/>
        <v>0</v>
      </c>
      <c r="AE100" s="21">
        <f t="shared" si="18"/>
        <v>0</v>
      </c>
      <c r="AF100" s="21">
        <f t="shared" si="18"/>
        <v>0</v>
      </c>
      <c r="AG100" s="5">
        <f t="shared" si="17"/>
        <v>0</v>
      </c>
    </row>
    <row r="101" spans="1:33" ht="15.75" customHeight="1" x14ac:dyDescent="0.25">
      <c r="A101" s="82" t="s">
        <v>50</v>
      </c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">
        <f t="shared" si="17"/>
        <v>0</v>
      </c>
    </row>
    <row r="102" spans="1:33" ht="15.75" customHeight="1" x14ac:dyDescent="0.25">
      <c r="A102" s="82" t="s">
        <v>51</v>
      </c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">
        <f t="shared" si="17"/>
        <v>0</v>
      </c>
    </row>
    <row r="103" spans="1:33" ht="15.75" customHeight="1" x14ac:dyDescent="0.25">
      <c r="A103" s="78" t="s">
        <v>52</v>
      </c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">
        <f t="shared" si="17"/>
        <v>0</v>
      </c>
    </row>
    <row r="104" spans="1:33" ht="15.75" customHeight="1" x14ac:dyDescent="0.25">
      <c r="A104" s="78" t="s">
        <v>53</v>
      </c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">
        <f t="shared" si="17"/>
        <v>0</v>
      </c>
    </row>
    <row r="105" spans="1:33" ht="15.75" customHeight="1" x14ac:dyDescent="0.25">
      <c r="A105" s="78" t="s">
        <v>54</v>
      </c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">
        <f t="shared" si="17"/>
        <v>0</v>
      </c>
    </row>
    <row r="106" spans="1:33" ht="15.75" customHeight="1" x14ac:dyDescent="0.25">
      <c r="A106" s="78" t="s">
        <v>55</v>
      </c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">
        <f t="shared" si="17"/>
        <v>0</v>
      </c>
    </row>
    <row r="107" spans="1:33" ht="15.75" customHeight="1" x14ac:dyDescent="0.25">
      <c r="A107" s="78" t="s">
        <v>56</v>
      </c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">
        <f t="shared" si="17"/>
        <v>0</v>
      </c>
    </row>
    <row r="108" spans="1:33" ht="15.75" customHeight="1" x14ac:dyDescent="0.25">
      <c r="A108" s="78" t="s">
        <v>57</v>
      </c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">
        <f t="shared" si="17"/>
        <v>0</v>
      </c>
    </row>
    <row r="109" spans="1:33" ht="15.75" customHeight="1" x14ac:dyDescent="0.25">
      <c r="A109" s="78" t="s">
        <v>58</v>
      </c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">
        <f t="shared" si="17"/>
        <v>0</v>
      </c>
    </row>
    <row r="110" spans="1:33" ht="15.75" customHeight="1" x14ac:dyDescent="0.25">
      <c r="A110" s="78" t="s">
        <v>59</v>
      </c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">
        <f t="shared" si="17"/>
        <v>0</v>
      </c>
    </row>
    <row r="111" spans="1:33" ht="15.75" customHeight="1" x14ac:dyDescent="0.25">
      <c r="A111" s="78" t="s">
        <v>60</v>
      </c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">
        <f t="shared" si="17"/>
        <v>0</v>
      </c>
    </row>
    <row r="112" spans="1:33" ht="15.75" customHeight="1" x14ac:dyDescent="0.25">
      <c r="A112" s="78" t="s">
        <v>61</v>
      </c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">
        <f t="shared" si="17"/>
        <v>0</v>
      </c>
    </row>
    <row r="113" spans="1:37" ht="15.75" customHeight="1" x14ac:dyDescent="0.25">
      <c r="A113" s="78" t="s">
        <v>62</v>
      </c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">
        <f t="shared" si="17"/>
        <v>0</v>
      </c>
    </row>
    <row r="114" spans="1:37" ht="15.75" customHeight="1" x14ac:dyDescent="0.25">
      <c r="A114" s="78" t="s">
        <v>63</v>
      </c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">
        <f t="shared" si="17"/>
        <v>0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0</v>
      </c>
      <c r="C116" s="20">
        <f t="shared" si="19"/>
        <v>0</v>
      </c>
      <c r="D116" s="20">
        <f t="shared" si="19"/>
        <v>0</v>
      </c>
      <c r="E116" s="20">
        <f t="shared" si="19"/>
        <v>0</v>
      </c>
      <c r="F116" s="20">
        <f t="shared" si="19"/>
        <v>0</v>
      </c>
      <c r="G116" s="20">
        <f t="shared" si="19"/>
        <v>0</v>
      </c>
      <c r="H116" s="20">
        <f t="shared" si="19"/>
        <v>0</v>
      </c>
      <c r="I116" s="20">
        <f t="shared" si="19"/>
        <v>0</v>
      </c>
      <c r="J116" s="20">
        <f t="shared" si="19"/>
        <v>0</v>
      </c>
      <c r="K116" s="20">
        <f t="shared" si="19"/>
        <v>0</v>
      </c>
      <c r="L116" s="20">
        <f t="shared" si="19"/>
        <v>0</v>
      </c>
      <c r="M116" s="20">
        <f t="shared" si="19"/>
        <v>0</v>
      </c>
      <c r="N116" s="20">
        <f t="shared" si="19"/>
        <v>0</v>
      </c>
      <c r="O116" s="20">
        <f t="shared" si="19"/>
        <v>0</v>
      </c>
      <c r="P116" s="20">
        <f t="shared" si="19"/>
        <v>0</v>
      </c>
      <c r="Q116" s="20">
        <f t="shared" si="19"/>
        <v>0</v>
      </c>
      <c r="R116" s="20">
        <f t="shared" si="19"/>
        <v>0</v>
      </c>
      <c r="S116" s="20">
        <f t="shared" si="19"/>
        <v>0</v>
      </c>
      <c r="T116" s="20">
        <f t="shared" si="19"/>
        <v>0</v>
      </c>
      <c r="U116" s="20">
        <f t="shared" si="19"/>
        <v>0</v>
      </c>
      <c r="V116" s="20">
        <f t="shared" si="19"/>
        <v>0</v>
      </c>
      <c r="W116" s="20">
        <f t="shared" si="19"/>
        <v>0</v>
      </c>
      <c r="X116" s="20">
        <f t="shared" si="19"/>
        <v>0</v>
      </c>
      <c r="Y116" s="20">
        <f t="shared" si="19"/>
        <v>0</v>
      </c>
      <c r="Z116" s="20">
        <f t="shared" si="19"/>
        <v>0</v>
      </c>
      <c r="AA116" s="20">
        <f t="shared" si="19"/>
        <v>0</v>
      </c>
      <c r="AB116" s="20">
        <f t="shared" si="19"/>
        <v>0</v>
      </c>
      <c r="AC116" s="20">
        <f t="shared" si="19"/>
        <v>0</v>
      </c>
      <c r="AD116" s="20">
        <f t="shared" si="19"/>
        <v>0</v>
      </c>
      <c r="AE116" s="20">
        <f t="shared" si="19"/>
        <v>0</v>
      </c>
      <c r="AF116" s="20">
        <f t="shared" si="19"/>
        <v>0</v>
      </c>
      <c r="AG116" s="5">
        <f t="shared" si="17"/>
        <v>0</v>
      </c>
      <c r="AK116" s="84">
        <v>612</v>
      </c>
    </row>
    <row r="117" spans="1:37" ht="15.75" customHeight="1" x14ac:dyDescent="0.25">
      <c r="A117" s="85" t="s">
        <v>65</v>
      </c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">
        <f t="shared" si="17"/>
        <v>0</v>
      </c>
      <c r="AK117" s="84">
        <v>613</v>
      </c>
    </row>
    <row r="118" spans="1:37" ht="15.75" customHeight="1" thickBot="1" x14ac:dyDescent="0.3">
      <c r="A118" s="86" t="s">
        <v>77</v>
      </c>
      <c r="B118" s="87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  <c r="AA118" s="87"/>
      <c r="AB118" s="87"/>
      <c r="AC118" s="87"/>
      <c r="AD118" s="87"/>
      <c r="AE118" s="87"/>
      <c r="AF118" s="87"/>
      <c r="AG118" s="5">
        <f t="shared" si="17"/>
        <v>0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0</v>
      </c>
      <c r="C119" s="20">
        <f t="shared" si="20"/>
        <v>0</v>
      </c>
      <c r="D119" s="20">
        <f t="shared" si="20"/>
        <v>0</v>
      </c>
      <c r="E119" s="20">
        <f t="shared" si="20"/>
        <v>0</v>
      </c>
      <c r="F119" s="20">
        <f t="shared" si="20"/>
        <v>0</v>
      </c>
      <c r="G119" s="20">
        <f t="shared" si="20"/>
        <v>0</v>
      </c>
      <c r="H119" s="20">
        <f t="shared" si="20"/>
        <v>0</v>
      </c>
      <c r="I119" s="20">
        <f t="shared" si="20"/>
        <v>0</v>
      </c>
      <c r="J119" s="20">
        <f t="shared" si="20"/>
        <v>0</v>
      </c>
      <c r="K119" s="20">
        <f t="shared" si="20"/>
        <v>0</v>
      </c>
      <c r="L119" s="20">
        <f t="shared" si="20"/>
        <v>0</v>
      </c>
      <c r="M119" s="20">
        <f t="shared" si="20"/>
        <v>0</v>
      </c>
      <c r="N119" s="20">
        <f t="shared" si="20"/>
        <v>0</v>
      </c>
      <c r="O119" s="20">
        <f t="shared" si="20"/>
        <v>0</v>
      </c>
      <c r="P119" s="20">
        <f t="shared" si="20"/>
        <v>0</v>
      </c>
      <c r="Q119" s="20">
        <f t="shared" si="20"/>
        <v>0</v>
      </c>
      <c r="R119" s="20">
        <f t="shared" si="20"/>
        <v>0</v>
      </c>
      <c r="S119" s="20">
        <f t="shared" si="20"/>
        <v>0</v>
      </c>
      <c r="T119" s="20">
        <f t="shared" si="20"/>
        <v>0</v>
      </c>
      <c r="U119" s="20">
        <f t="shared" si="20"/>
        <v>0</v>
      </c>
      <c r="V119" s="20">
        <f t="shared" si="20"/>
        <v>0</v>
      </c>
      <c r="W119" s="20">
        <f t="shared" si="20"/>
        <v>0</v>
      </c>
      <c r="X119" s="20">
        <f t="shared" si="20"/>
        <v>0</v>
      </c>
      <c r="Y119" s="20">
        <f t="shared" si="20"/>
        <v>0</v>
      </c>
      <c r="Z119" s="20">
        <f t="shared" si="20"/>
        <v>0</v>
      </c>
      <c r="AA119" s="20">
        <f t="shared" si="20"/>
        <v>0</v>
      </c>
      <c r="AB119" s="20">
        <f t="shared" si="20"/>
        <v>0</v>
      </c>
      <c r="AC119" s="20">
        <f t="shared" si="20"/>
        <v>0</v>
      </c>
      <c r="AD119" s="20">
        <f t="shared" si="20"/>
        <v>0</v>
      </c>
      <c r="AE119" s="20">
        <f t="shared" si="20"/>
        <v>0</v>
      </c>
      <c r="AF119" s="20">
        <f t="shared" si="20"/>
        <v>0</v>
      </c>
      <c r="AG119" s="7">
        <f t="shared" si="17"/>
        <v>0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">
        <f t="shared" si="17"/>
        <v>0</v>
      </c>
      <c r="AK120" s="88" t="s">
        <v>131</v>
      </c>
    </row>
    <row r="121" spans="1:37" ht="15.75" customHeight="1" x14ac:dyDescent="0.25">
      <c r="A121" s="85" t="s">
        <v>66</v>
      </c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">
        <f t="shared" si="17"/>
        <v>0</v>
      </c>
      <c r="AK121" s="84" t="s">
        <v>132</v>
      </c>
    </row>
    <row r="122" spans="1:37" ht="15.75" customHeight="1" x14ac:dyDescent="0.25">
      <c r="A122" s="85" t="s">
        <v>67</v>
      </c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">
        <f t="shared" si="17"/>
        <v>0</v>
      </c>
      <c r="AK122" s="88" t="s">
        <v>133</v>
      </c>
    </row>
    <row r="123" spans="1:37" ht="15.75" customHeight="1" x14ac:dyDescent="0.25">
      <c r="A123" s="85" t="s">
        <v>68</v>
      </c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">
        <f t="shared" si="17"/>
        <v>0</v>
      </c>
      <c r="AK123" s="84" t="s">
        <v>134</v>
      </c>
    </row>
    <row r="124" spans="1:37" ht="15.75" customHeight="1" x14ac:dyDescent="0.25">
      <c r="A124" s="85" t="s">
        <v>69</v>
      </c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">
        <f t="shared" si="17"/>
        <v>0</v>
      </c>
      <c r="AK124" s="88" t="s">
        <v>135</v>
      </c>
    </row>
    <row r="125" spans="1:37" ht="15.75" customHeight="1" x14ac:dyDescent="0.25">
      <c r="A125" s="85" t="s">
        <v>70</v>
      </c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">
        <f t="shared" si="17"/>
        <v>0</v>
      </c>
      <c r="AK125" s="88" t="s">
        <v>136</v>
      </c>
    </row>
    <row r="126" spans="1:37" ht="15.75" customHeight="1" x14ac:dyDescent="0.25">
      <c r="A126" s="85" t="s">
        <v>71</v>
      </c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">
        <f t="shared" si="17"/>
        <v>0</v>
      </c>
      <c r="AK126" s="84" t="s">
        <v>137</v>
      </c>
    </row>
    <row r="127" spans="1:37" ht="15.75" customHeight="1" x14ac:dyDescent="0.25">
      <c r="A127" s="85" t="s">
        <v>72</v>
      </c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">
        <f t="shared" si="17"/>
        <v>0</v>
      </c>
      <c r="AK127" s="88" t="s">
        <v>138</v>
      </c>
    </row>
    <row r="128" spans="1:37" ht="15.75" customHeight="1" x14ac:dyDescent="0.25">
      <c r="A128" s="56" t="s">
        <v>73</v>
      </c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">
        <f t="shared" si="17"/>
        <v>0</v>
      </c>
      <c r="AK128" s="88" t="s">
        <v>139</v>
      </c>
    </row>
    <row r="129" spans="1:37" ht="15.75" customHeight="1" x14ac:dyDescent="0.25">
      <c r="A129" s="56" t="s">
        <v>74</v>
      </c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">
        <f t="shared" si="17"/>
        <v>0</v>
      </c>
      <c r="AK129" s="84" t="s">
        <v>140</v>
      </c>
    </row>
    <row r="130" spans="1:37" ht="15.75" customHeight="1" x14ac:dyDescent="0.25">
      <c r="A130" s="56" t="s">
        <v>75</v>
      </c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">
        <f t="shared" si="17"/>
        <v>0</v>
      </c>
      <c r="AK130" s="84" t="s">
        <v>141</v>
      </c>
    </row>
    <row r="131" spans="1:37" ht="15.75" customHeight="1" x14ac:dyDescent="0.25">
      <c r="A131" s="85" t="s">
        <v>76</v>
      </c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">
        <f t="shared" si="17"/>
        <v>0</v>
      </c>
      <c r="AK131" s="84" t="s">
        <v>142</v>
      </c>
    </row>
    <row r="132" spans="1:37" ht="15.75" customHeight="1" thickBot="1" x14ac:dyDescent="0.3">
      <c r="A132" s="86" t="s">
        <v>77</v>
      </c>
      <c r="B132" s="87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  <c r="AA132" s="87"/>
      <c r="AB132" s="87"/>
      <c r="AC132" s="87"/>
      <c r="AD132" s="87"/>
      <c r="AE132" s="87"/>
      <c r="AF132" s="87"/>
      <c r="AG132" s="9">
        <f t="shared" si="17"/>
        <v>0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0</v>
      </c>
      <c r="C133" s="14">
        <f t="shared" si="21"/>
        <v>0</v>
      </c>
      <c r="D133" s="14">
        <f t="shared" si="21"/>
        <v>0</v>
      </c>
      <c r="E133" s="14">
        <f t="shared" si="21"/>
        <v>0</v>
      </c>
      <c r="F133" s="14">
        <f t="shared" si="21"/>
        <v>0</v>
      </c>
      <c r="G133" s="14">
        <f t="shared" si="21"/>
        <v>0</v>
      </c>
      <c r="H133" s="14">
        <f t="shared" si="21"/>
        <v>0</v>
      </c>
      <c r="I133" s="14">
        <f t="shared" si="21"/>
        <v>0</v>
      </c>
      <c r="J133" s="14">
        <f t="shared" si="21"/>
        <v>0</v>
      </c>
      <c r="K133" s="14">
        <f t="shared" si="21"/>
        <v>0</v>
      </c>
      <c r="L133" s="14">
        <f t="shared" si="21"/>
        <v>0</v>
      </c>
      <c r="M133" s="14">
        <f t="shared" si="21"/>
        <v>0</v>
      </c>
      <c r="N133" s="14">
        <f t="shared" si="21"/>
        <v>0</v>
      </c>
      <c r="O133" s="14">
        <f t="shared" si="21"/>
        <v>0</v>
      </c>
      <c r="P133" s="14">
        <f t="shared" si="21"/>
        <v>0</v>
      </c>
      <c r="Q133" s="14">
        <f t="shared" si="21"/>
        <v>0</v>
      </c>
      <c r="R133" s="14">
        <f t="shared" si="21"/>
        <v>0</v>
      </c>
      <c r="S133" s="14">
        <f t="shared" si="21"/>
        <v>0</v>
      </c>
      <c r="T133" s="14">
        <f t="shared" si="21"/>
        <v>0</v>
      </c>
      <c r="U133" s="14">
        <f t="shared" si="21"/>
        <v>0</v>
      </c>
      <c r="V133" s="14">
        <f t="shared" si="21"/>
        <v>0</v>
      </c>
      <c r="W133" s="14">
        <f t="shared" si="21"/>
        <v>0</v>
      </c>
      <c r="X133" s="14">
        <f t="shared" si="21"/>
        <v>0</v>
      </c>
      <c r="Y133" s="14">
        <f t="shared" si="21"/>
        <v>0</v>
      </c>
      <c r="Z133" s="14">
        <f t="shared" si="21"/>
        <v>0</v>
      </c>
      <c r="AA133" s="14">
        <f t="shared" si="21"/>
        <v>0</v>
      </c>
      <c r="AB133" s="14">
        <f t="shared" si="21"/>
        <v>0</v>
      </c>
      <c r="AC133" s="14">
        <f t="shared" si="21"/>
        <v>0</v>
      </c>
      <c r="AD133" s="14">
        <f t="shared" si="21"/>
        <v>0</v>
      </c>
      <c r="AE133" s="14">
        <f t="shared" si="21"/>
        <v>0</v>
      </c>
      <c r="AF133" s="14">
        <f t="shared" si="21"/>
        <v>0</v>
      </c>
      <c r="AG133" s="10">
        <f t="shared" si="17"/>
        <v>0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0</v>
      </c>
      <c r="C134" s="22">
        <f t="shared" si="22"/>
        <v>0</v>
      </c>
      <c r="D134" s="22">
        <f t="shared" si="22"/>
        <v>0</v>
      </c>
      <c r="E134" s="22">
        <f t="shared" si="22"/>
        <v>0</v>
      </c>
      <c r="F134" s="22">
        <f t="shared" si="22"/>
        <v>0</v>
      </c>
      <c r="G134" s="22">
        <f t="shared" si="22"/>
        <v>0</v>
      </c>
      <c r="H134" s="22">
        <f t="shared" si="22"/>
        <v>0</v>
      </c>
      <c r="I134" s="22">
        <f t="shared" si="22"/>
        <v>0</v>
      </c>
      <c r="J134" s="22">
        <f t="shared" si="22"/>
        <v>0</v>
      </c>
      <c r="K134" s="22">
        <f t="shared" si="22"/>
        <v>0</v>
      </c>
      <c r="L134" s="22">
        <f t="shared" si="22"/>
        <v>0</v>
      </c>
      <c r="M134" s="22">
        <f t="shared" si="22"/>
        <v>0</v>
      </c>
      <c r="N134" s="22">
        <f t="shared" si="22"/>
        <v>0</v>
      </c>
      <c r="O134" s="22">
        <f t="shared" si="22"/>
        <v>0</v>
      </c>
      <c r="P134" s="22">
        <f t="shared" si="22"/>
        <v>0</v>
      </c>
      <c r="Q134" s="22">
        <f t="shared" si="22"/>
        <v>0</v>
      </c>
      <c r="R134" s="22">
        <f t="shared" si="22"/>
        <v>0</v>
      </c>
      <c r="S134" s="22">
        <f t="shared" si="22"/>
        <v>0</v>
      </c>
      <c r="T134" s="22">
        <f t="shared" si="22"/>
        <v>0</v>
      </c>
      <c r="U134" s="22">
        <f t="shared" si="22"/>
        <v>0</v>
      </c>
      <c r="V134" s="22">
        <f t="shared" si="22"/>
        <v>0</v>
      </c>
      <c r="W134" s="22">
        <f t="shared" si="22"/>
        <v>0</v>
      </c>
      <c r="X134" s="22">
        <f t="shared" si="22"/>
        <v>0</v>
      </c>
      <c r="Y134" s="22">
        <f t="shared" si="22"/>
        <v>0</v>
      </c>
      <c r="Z134" s="22">
        <f t="shared" si="22"/>
        <v>0</v>
      </c>
      <c r="AA134" s="22">
        <f t="shared" si="22"/>
        <v>0</v>
      </c>
      <c r="AB134" s="22">
        <f t="shared" si="22"/>
        <v>0</v>
      </c>
      <c r="AC134" s="22">
        <f t="shared" si="22"/>
        <v>0</v>
      </c>
      <c r="AD134" s="22">
        <f t="shared" si="22"/>
        <v>0</v>
      </c>
      <c r="AE134" s="22">
        <f t="shared" si="22"/>
        <v>0</v>
      </c>
      <c r="AF134" s="22">
        <f t="shared" si="22"/>
        <v>0</v>
      </c>
      <c r="AG134" s="23">
        <f t="shared" si="17"/>
        <v>0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0</v>
      </c>
      <c r="E135" s="1">
        <f t="shared" si="23"/>
        <v>0</v>
      </c>
      <c r="F135" s="1">
        <f t="shared" si="23"/>
        <v>0</v>
      </c>
      <c r="G135" s="1">
        <f t="shared" si="23"/>
        <v>0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0</v>
      </c>
      <c r="L135" s="1">
        <f t="shared" si="23"/>
        <v>0</v>
      </c>
      <c r="M135" s="1">
        <f t="shared" si="23"/>
        <v>0</v>
      </c>
      <c r="N135" s="1">
        <f t="shared" si="23"/>
        <v>0</v>
      </c>
      <c r="O135" s="1">
        <f t="shared" si="23"/>
        <v>0</v>
      </c>
      <c r="P135" s="1">
        <f t="shared" si="23"/>
        <v>0</v>
      </c>
      <c r="Q135" s="1">
        <f t="shared" si="23"/>
        <v>0</v>
      </c>
      <c r="R135" s="1">
        <f t="shared" si="23"/>
        <v>0</v>
      </c>
      <c r="S135" s="1">
        <f t="shared" si="23"/>
        <v>0</v>
      </c>
      <c r="T135" s="1">
        <f t="shared" si="23"/>
        <v>0</v>
      </c>
      <c r="U135" s="1">
        <f t="shared" si="23"/>
        <v>0</v>
      </c>
      <c r="V135" s="1">
        <f t="shared" si="23"/>
        <v>0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0</v>
      </c>
      <c r="AA135" s="1">
        <f t="shared" si="23"/>
        <v>0</v>
      </c>
      <c r="AB135" s="1">
        <f t="shared" si="23"/>
        <v>0</v>
      </c>
      <c r="AC135" s="1">
        <f t="shared" si="23"/>
        <v>0</v>
      </c>
      <c r="AD135" s="1">
        <f t="shared" si="23"/>
        <v>0</v>
      </c>
      <c r="AE135" s="1">
        <f t="shared" si="23"/>
        <v>0</v>
      </c>
      <c r="AF135" s="1">
        <f t="shared" si="23"/>
        <v>0</v>
      </c>
      <c r="AG135" s="2">
        <f t="shared" si="17"/>
        <v>0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  <c r="AD136" s="91"/>
      <c r="AE136" s="91"/>
      <c r="AF136" s="91"/>
      <c r="AG136" s="28">
        <f t="shared" si="17"/>
        <v>0</v>
      </c>
      <c r="AK136" s="84" t="s">
        <v>147</v>
      </c>
    </row>
    <row r="137" spans="1:37" ht="15.75" customHeight="1" x14ac:dyDescent="0.25">
      <c r="A137" s="92" t="s">
        <v>83</v>
      </c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29">
        <f t="shared" si="17"/>
        <v>0</v>
      </c>
      <c r="AK137" s="84" t="s">
        <v>148</v>
      </c>
    </row>
    <row r="138" spans="1:37" ht="15.75" customHeight="1" thickBot="1" x14ac:dyDescent="0.3">
      <c r="A138" s="94" t="s">
        <v>84</v>
      </c>
      <c r="B138" s="95"/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30">
        <f t="shared" si="17"/>
        <v>0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0</v>
      </c>
      <c r="C139" s="31">
        <f t="shared" si="24"/>
        <v>0</v>
      </c>
      <c r="D139" s="31">
        <f t="shared" si="24"/>
        <v>0</v>
      </c>
      <c r="E139" s="31">
        <f t="shared" si="24"/>
        <v>0</v>
      </c>
      <c r="F139" s="31">
        <f t="shared" si="24"/>
        <v>0</v>
      </c>
      <c r="G139" s="31">
        <f t="shared" si="24"/>
        <v>0</v>
      </c>
      <c r="H139" s="31">
        <f t="shared" si="24"/>
        <v>0</v>
      </c>
      <c r="I139" s="31">
        <f t="shared" si="24"/>
        <v>0</v>
      </c>
      <c r="J139" s="31">
        <f t="shared" si="24"/>
        <v>0</v>
      </c>
      <c r="K139" s="31">
        <f t="shared" si="24"/>
        <v>0</v>
      </c>
      <c r="L139" s="31">
        <f t="shared" si="24"/>
        <v>0</v>
      </c>
      <c r="M139" s="31">
        <f t="shared" si="24"/>
        <v>0</v>
      </c>
      <c r="N139" s="31">
        <f t="shared" si="24"/>
        <v>0</v>
      </c>
      <c r="O139" s="31">
        <f t="shared" si="24"/>
        <v>0</v>
      </c>
      <c r="P139" s="31">
        <f t="shared" si="24"/>
        <v>0</v>
      </c>
      <c r="Q139" s="31">
        <f t="shared" si="24"/>
        <v>0</v>
      </c>
      <c r="R139" s="31">
        <f t="shared" si="24"/>
        <v>0</v>
      </c>
      <c r="S139" s="31">
        <f t="shared" si="24"/>
        <v>0</v>
      </c>
      <c r="T139" s="31">
        <f t="shared" si="24"/>
        <v>0</v>
      </c>
      <c r="U139" s="31">
        <f t="shared" si="24"/>
        <v>0</v>
      </c>
      <c r="V139" s="31">
        <f t="shared" si="24"/>
        <v>0</v>
      </c>
      <c r="W139" s="31">
        <f t="shared" si="24"/>
        <v>0</v>
      </c>
      <c r="X139" s="31">
        <f t="shared" si="24"/>
        <v>0</v>
      </c>
      <c r="Y139" s="31">
        <f t="shared" si="24"/>
        <v>0</v>
      </c>
      <c r="Z139" s="31">
        <f t="shared" si="24"/>
        <v>0</v>
      </c>
      <c r="AA139" s="31">
        <f t="shared" si="24"/>
        <v>0</v>
      </c>
      <c r="AB139" s="31">
        <f t="shared" si="24"/>
        <v>0</v>
      </c>
      <c r="AC139" s="31">
        <f t="shared" si="24"/>
        <v>0</v>
      </c>
      <c r="AD139" s="31">
        <f t="shared" si="24"/>
        <v>0</v>
      </c>
      <c r="AE139" s="31">
        <f t="shared" si="24"/>
        <v>0</v>
      </c>
      <c r="AF139" s="31">
        <f t="shared" si="24"/>
        <v>0</v>
      </c>
      <c r="AG139" s="32">
        <f t="shared" si="17"/>
        <v>0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33">
        <f t="shared" si="17"/>
        <v>0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/>
      <c r="C141" s="98"/>
      <c r="D141" s="98"/>
      <c r="E141" s="98"/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34">
        <f t="shared" si="17"/>
        <v>0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0</v>
      </c>
      <c r="C144" s="37">
        <f t="shared" si="25"/>
        <v>0</v>
      </c>
      <c r="D144" s="37">
        <f t="shared" si="25"/>
        <v>0</v>
      </c>
      <c r="E144" s="37">
        <f t="shared" si="25"/>
        <v>0</v>
      </c>
      <c r="F144" s="37">
        <f t="shared" si="25"/>
        <v>0</v>
      </c>
      <c r="G144" s="37">
        <f t="shared" si="25"/>
        <v>0</v>
      </c>
      <c r="H144" s="37">
        <f t="shared" si="25"/>
        <v>0</v>
      </c>
      <c r="I144" s="37">
        <f t="shared" si="25"/>
        <v>0</v>
      </c>
      <c r="J144" s="37">
        <f t="shared" si="25"/>
        <v>0</v>
      </c>
      <c r="K144" s="37">
        <f t="shared" si="25"/>
        <v>0</v>
      </c>
      <c r="L144" s="37">
        <f t="shared" si="25"/>
        <v>0</v>
      </c>
      <c r="M144" s="37">
        <f t="shared" si="25"/>
        <v>0</v>
      </c>
      <c r="N144" s="37">
        <f t="shared" si="25"/>
        <v>0</v>
      </c>
      <c r="O144" s="37">
        <f t="shared" si="25"/>
        <v>0</v>
      </c>
      <c r="P144" s="37">
        <f t="shared" si="25"/>
        <v>0</v>
      </c>
      <c r="Q144" s="37">
        <f t="shared" si="25"/>
        <v>0</v>
      </c>
      <c r="R144" s="37">
        <f t="shared" si="25"/>
        <v>0</v>
      </c>
      <c r="S144" s="37">
        <f t="shared" si="25"/>
        <v>0</v>
      </c>
      <c r="T144" s="37">
        <f t="shared" si="25"/>
        <v>0</v>
      </c>
      <c r="U144" s="37">
        <f t="shared" si="25"/>
        <v>0</v>
      </c>
      <c r="V144" s="37">
        <f t="shared" si="25"/>
        <v>0</v>
      </c>
      <c r="W144" s="37">
        <f t="shared" si="25"/>
        <v>0</v>
      </c>
      <c r="X144" s="37">
        <f t="shared" si="25"/>
        <v>0</v>
      </c>
      <c r="Y144" s="37">
        <f t="shared" si="25"/>
        <v>0</v>
      </c>
      <c r="Z144" s="37">
        <f t="shared" si="25"/>
        <v>0</v>
      </c>
      <c r="AA144" s="37">
        <f t="shared" si="25"/>
        <v>0</v>
      </c>
      <c r="AB144" s="37">
        <f t="shared" si="25"/>
        <v>0</v>
      </c>
      <c r="AC144" s="37">
        <f t="shared" si="25"/>
        <v>0</v>
      </c>
      <c r="AD144" s="37">
        <f t="shared" si="25"/>
        <v>0</v>
      </c>
      <c r="AE144" s="37">
        <f t="shared" si="25"/>
        <v>0</v>
      </c>
      <c r="AF144" s="37">
        <f t="shared" si="25"/>
        <v>0</v>
      </c>
      <c r="AG144" s="24">
        <f t="shared" si="17"/>
        <v>0</v>
      </c>
      <c r="AK144" s="84" t="s">
        <v>155</v>
      </c>
    </row>
    <row r="145" spans="1:37" ht="15.75" customHeight="1" x14ac:dyDescent="0.25">
      <c r="A145" s="104" t="s">
        <v>92</v>
      </c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/>
      <c r="Y145" s="105"/>
      <c r="Z145" s="105"/>
      <c r="AA145" s="105"/>
      <c r="AB145" s="105"/>
      <c r="AC145" s="105"/>
      <c r="AD145" s="105"/>
      <c r="AE145" s="105"/>
      <c r="AF145" s="105"/>
      <c r="AG145" s="38">
        <f t="shared" si="17"/>
        <v>0</v>
      </c>
      <c r="AK145" s="84" t="s">
        <v>156</v>
      </c>
    </row>
    <row r="146" spans="1:37" ht="15.75" customHeight="1" x14ac:dyDescent="0.25">
      <c r="A146" s="106" t="s">
        <v>93</v>
      </c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5">
        <f t="shared" si="17"/>
        <v>0</v>
      </c>
      <c r="AK147" s="84" t="s">
        <v>158</v>
      </c>
    </row>
    <row r="148" spans="1:37" ht="15.75" customHeight="1" x14ac:dyDescent="0.25">
      <c r="A148" s="106" t="s">
        <v>95</v>
      </c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5">
        <f t="shared" si="17"/>
        <v>0</v>
      </c>
      <c r="AK148" s="84" t="s">
        <v>159</v>
      </c>
    </row>
    <row r="149" spans="1:37" ht="15.75" customHeight="1" x14ac:dyDescent="0.25">
      <c r="A149" s="107" t="s">
        <v>96</v>
      </c>
      <c r="B149" s="108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39">
        <f t="shared" si="17"/>
        <v>0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5">
        <f t="shared" si="17"/>
        <v>0</v>
      </c>
      <c r="AK153" s="109" t="s">
        <v>127</v>
      </c>
    </row>
    <row r="154" spans="1:37" ht="15.75" customHeight="1" x14ac:dyDescent="0.25">
      <c r="A154" s="76" t="s">
        <v>101</v>
      </c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5">
        <f t="shared" si="17"/>
        <v>0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  <c r="P158" s="111"/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111"/>
      <c r="AB158" s="111"/>
      <c r="AC158" s="111"/>
      <c r="AD158" s="111"/>
      <c r="AE158" s="111"/>
      <c r="AF158" s="111"/>
      <c r="AG158" s="40">
        <f t="shared" si="17"/>
        <v>0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5">
        <f t="shared" si="17"/>
        <v>0</v>
      </c>
    </row>
    <row r="163" spans="1:34" ht="15.75" customHeight="1" x14ac:dyDescent="0.25">
      <c r="A163" s="112" t="s">
        <v>110</v>
      </c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5">
        <f t="shared" si="26"/>
        <v>0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5">
        <f t="shared" si="26"/>
        <v>0</v>
      </c>
    </row>
    <row r="168" spans="1:34" ht="15.75" customHeight="1" x14ac:dyDescent="0.25">
      <c r="A168" s="76" t="s">
        <v>115</v>
      </c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5">
        <f t="shared" si="26"/>
        <v>0</v>
      </c>
    </row>
    <row r="169" spans="1:34" ht="15.75" customHeight="1" x14ac:dyDescent="0.25">
      <c r="A169" s="114" t="s">
        <v>116</v>
      </c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5">
        <f t="shared" si="26"/>
        <v>0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0</v>
      </c>
      <c r="C171" s="41">
        <f t="shared" si="27"/>
        <v>0</v>
      </c>
      <c r="D171" s="41">
        <f t="shared" si="27"/>
        <v>0</v>
      </c>
      <c r="E171" s="41">
        <f t="shared" si="27"/>
        <v>0</v>
      </c>
      <c r="F171" s="41">
        <f t="shared" si="27"/>
        <v>0</v>
      </c>
      <c r="G171" s="41">
        <f t="shared" si="27"/>
        <v>0</v>
      </c>
      <c r="H171" s="41">
        <f t="shared" si="27"/>
        <v>0</v>
      </c>
      <c r="I171" s="41">
        <f t="shared" si="27"/>
        <v>0</v>
      </c>
      <c r="J171" s="41">
        <f t="shared" si="27"/>
        <v>0</v>
      </c>
      <c r="K171" s="41">
        <f t="shared" si="27"/>
        <v>0</v>
      </c>
      <c r="L171" s="41">
        <f t="shared" si="27"/>
        <v>0</v>
      </c>
      <c r="M171" s="41">
        <f t="shared" si="27"/>
        <v>0</v>
      </c>
      <c r="N171" s="41">
        <f t="shared" si="27"/>
        <v>0</v>
      </c>
      <c r="O171" s="41">
        <f t="shared" si="27"/>
        <v>0</v>
      </c>
      <c r="P171" s="41">
        <f t="shared" si="27"/>
        <v>0</v>
      </c>
      <c r="Q171" s="41">
        <f t="shared" si="27"/>
        <v>0</v>
      </c>
      <c r="R171" s="41">
        <f t="shared" si="27"/>
        <v>0</v>
      </c>
      <c r="S171" s="41">
        <f t="shared" si="27"/>
        <v>0</v>
      </c>
      <c r="T171" s="41">
        <f t="shared" si="27"/>
        <v>0</v>
      </c>
      <c r="U171" s="41">
        <f t="shared" si="27"/>
        <v>0</v>
      </c>
      <c r="V171" s="41">
        <f t="shared" si="27"/>
        <v>0</v>
      </c>
      <c r="W171" s="41">
        <f t="shared" si="27"/>
        <v>0</v>
      </c>
      <c r="X171" s="41">
        <f t="shared" si="27"/>
        <v>0</v>
      </c>
      <c r="Y171" s="41">
        <f t="shared" si="27"/>
        <v>0</v>
      </c>
      <c r="Z171" s="41">
        <f t="shared" si="27"/>
        <v>0</v>
      </c>
      <c r="AA171" s="41">
        <f t="shared" si="27"/>
        <v>0</v>
      </c>
      <c r="AB171" s="41">
        <f t="shared" si="27"/>
        <v>0</v>
      </c>
      <c r="AC171" s="41">
        <f t="shared" si="27"/>
        <v>0</v>
      </c>
      <c r="AD171" s="41">
        <f t="shared" si="27"/>
        <v>0</v>
      </c>
      <c r="AE171" s="41">
        <f t="shared" si="27"/>
        <v>0</v>
      </c>
      <c r="AF171" s="41">
        <f t="shared" si="27"/>
        <v>0</v>
      </c>
      <c r="AG171" s="42">
        <f t="shared" si="26"/>
        <v>0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/>
      <c r="C172" s="118"/>
      <c r="D172" s="118"/>
      <c r="E172" s="118"/>
      <c r="F172" s="118"/>
      <c r="G172" s="118"/>
      <c r="H172" s="118"/>
      <c r="I172" s="118"/>
      <c r="J172" s="118"/>
      <c r="K172" s="118"/>
      <c r="L172" s="118"/>
      <c r="M172" s="118"/>
      <c r="N172" s="118"/>
      <c r="O172" s="118"/>
      <c r="P172" s="118"/>
      <c r="Q172" s="118"/>
      <c r="R172" s="118"/>
      <c r="S172" s="118"/>
      <c r="T172" s="118"/>
      <c r="U172" s="118"/>
      <c r="V172" s="118"/>
      <c r="W172" s="118"/>
      <c r="X172" s="118"/>
      <c r="Y172" s="118"/>
      <c r="Z172" s="118"/>
      <c r="AA172" s="118"/>
      <c r="AB172" s="118"/>
      <c r="AC172" s="118"/>
      <c r="AD172" s="118"/>
      <c r="AE172" s="118"/>
      <c r="AF172" s="118"/>
      <c r="AG172" s="43">
        <f t="shared" si="26"/>
        <v>0</v>
      </c>
    </row>
    <row r="173" spans="1:34" ht="15.75" customHeight="1" x14ac:dyDescent="0.25">
      <c r="A173" s="119" t="s">
        <v>38</v>
      </c>
      <c r="B173" s="120"/>
      <c r="C173" s="120"/>
      <c r="D173" s="120"/>
      <c r="E173" s="120"/>
      <c r="F173" s="120"/>
      <c r="G173" s="120"/>
      <c r="H173" s="120"/>
      <c r="I173" s="120"/>
      <c r="J173" s="120"/>
      <c r="K173" s="120"/>
      <c r="L173" s="120"/>
      <c r="M173" s="120"/>
      <c r="N173" s="120"/>
      <c r="O173" s="120"/>
      <c r="P173" s="120"/>
      <c r="Q173" s="120"/>
      <c r="R173" s="120"/>
      <c r="S173" s="120"/>
      <c r="T173" s="120"/>
      <c r="U173" s="120"/>
      <c r="V173" s="120"/>
      <c r="W173" s="120"/>
      <c r="X173" s="120"/>
      <c r="Y173" s="120"/>
      <c r="Z173" s="120"/>
      <c r="AA173" s="120"/>
      <c r="AB173" s="120"/>
      <c r="AC173" s="120"/>
      <c r="AD173" s="120"/>
      <c r="AE173" s="120"/>
      <c r="AF173" s="120"/>
      <c r="AG173" s="44">
        <f t="shared" si="26"/>
        <v>0</v>
      </c>
    </row>
    <row r="174" spans="1:34" ht="15.75" customHeight="1" x14ac:dyDescent="0.25">
      <c r="A174" s="119" t="s">
        <v>39</v>
      </c>
      <c r="B174" s="120"/>
      <c r="C174" s="120"/>
      <c r="D174" s="120"/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120"/>
      <c r="Q174" s="120"/>
      <c r="R174" s="120"/>
      <c r="S174" s="120"/>
      <c r="T174" s="120"/>
      <c r="U174" s="120"/>
      <c r="V174" s="120"/>
      <c r="W174" s="120"/>
      <c r="X174" s="120"/>
      <c r="Y174" s="120"/>
      <c r="Z174" s="120"/>
      <c r="AA174" s="120"/>
      <c r="AB174" s="120"/>
      <c r="AC174" s="120"/>
      <c r="AD174" s="120"/>
      <c r="AE174" s="120"/>
      <c r="AF174" s="120"/>
      <c r="AG174" s="44">
        <f t="shared" si="26"/>
        <v>0</v>
      </c>
    </row>
    <row r="175" spans="1:34" ht="15.75" customHeight="1" x14ac:dyDescent="0.25">
      <c r="A175" s="119" t="s">
        <v>40</v>
      </c>
      <c r="B175" s="120"/>
      <c r="C175" s="120"/>
      <c r="D175" s="120"/>
      <c r="E175" s="120"/>
      <c r="F175" s="120"/>
      <c r="G175" s="120"/>
      <c r="H175" s="120"/>
      <c r="I175" s="120"/>
      <c r="J175" s="120"/>
      <c r="K175" s="120"/>
      <c r="L175" s="120"/>
      <c r="M175" s="120"/>
      <c r="N175" s="120"/>
      <c r="O175" s="120"/>
      <c r="P175" s="120"/>
      <c r="Q175" s="120"/>
      <c r="R175" s="120"/>
      <c r="S175" s="120"/>
      <c r="T175" s="120"/>
      <c r="U175" s="120"/>
      <c r="V175" s="120"/>
      <c r="W175" s="120"/>
      <c r="X175" s="120"/>
      <c r="Y175" s="120"/>
      <c r="Z175" s="120"/>
      <c r="AA175" s="120"/>
      <c r="AB175" s="120"/>
      <c r="AC175" s="120"/>
      <c r="AD175" s="120"/>
      <c r="AE175" s="120"/>
      <c r="AF175" s="120"/>
      <c r="AG175" s="44">
        <f t="shared" si="26"/>
        <v>0</v>
      </c>
    </row>
    <row r="176" spans="1:34" ht="15.75" customHeight="1" thickBot="1" x14ac:dyDescent="0.3">
      <c r="A176" s="121" t="s">
        <v>41</v>
      </c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45">
        <f t="shared" si="26"/>
        <v>0</v>
      </c>
    </row>
    <row r="177" spans="1:34" ht="15.75" customHeight="1" x14ac:dyDescent="0.25">
      <c r="A177" s="123" t="s">
        <v>120</v>
      </c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26">
        <f t="shared" si="26"/>
        <v>0</v>
      </c>
      <c r="AH177" s="140" t="s">
        <v>177</v>
      </c>
    </row>
    <row r="178" spans="1:34" ht="15.75" customHeight="1" x14ac:dyDescent="0.25">
      <c r="A178" s="125" t="s">
        <v>122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123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T3jf+inwHBP3DoLq/ekzfVTMdBsoEa+ECo3XKPSIntHA2t5oeUQeCn5KS0IFzC0S7rsks6BpXLnBee3nR8336w==" saltValue="O0Cd4nDF8KjOd8FukUP43Q==" spinCount="100000" sheet="1" objects="1" scenarios="1"/>
  <dataConsolidate/>
  <mergeCells count="2">
    <mergeCell ref="A1:AG1"/>
    <mergeCell ref="AH177:AH180"/>
  </mergeCells>
  <conditionalFormatting sqref="AD29:AF52">
    <cfRule type="cellIs" dxfId="38" priority="3" operator="lessThan">
      <formula>0</formula>
    </cfRule>
  </conditionalFormatting>
  <conditionalFormatting sqref="AH171">
    <cfRule type="cellIs" dxfId="37" priority="2" operator="equal">
      <formula>"X"</formula>
    </cfRule>
  </conditionalFormatting>
  <conditionalFormatting sqref="AH1:AH1048576">
    <cfRule type="cellIs" dxfId="36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E9A96083-1FE4-4E0B-B2D4-99E380177E58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6"/>
  <dimension ref="A1:AK954"/>
  <sheetViews>
    <sheetView zoomScale="80" zoomScaleNormal="80" workbookViewId="0">
      <pane xSplit="1" ySplit="3" topLeftCell="B151" activePane="bottomRight" state="frozen"/>
      <selection activeCell="Q5" sqref="Q5"/>
      <selection pane="topRight" activeCell="Q5" sqref="Q5"/>
      <selection pane="bottomLeft" activeCell="Q5" sqref="Q5"/>
      <selection pane="bottomRight" activeCell="D192" sqref="D192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164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169</v>
      </c>
      <c r="C3" s="1">
        <f t="shared" si="1"/>
        <v>144</v>
      </c>
      <c r="D3" s="1">
        <f t="shared" si="1"/>
        <v>143</v>
      </c>
      <c r="E3" s="1">
        <f t="shared" si="1"/>
        <v>128</v>
      </c>
      <c r="F3" s="1">
        <f t="shared" si="1"/>
        <v>150</v>
      </c>
      <c r="G3" s="1">
        <f t="shared" si="1"/>
        <v>207</v>
      </c>
      <c r="H3" s="1">
        <f t="shared" si="1"/>
        <v>187</v>
      </c>
      <c r="I3" s="1">
        <f t="shared" si="1"/>
        <v>154</v>
      </c>
      <c r="J3" s="1">
        <f t="shared" si="1"/>
        <v>127</v>
      </c>
      <c r="K3" s="1">
        <f t="shared" si="1"/>
        <v>125</v>
      </c>
      <c r="L3" s="1">
        <f t="shared" si="1"/>
        <v>142</v>
      </c>
      <c r="M3" s="1">
        <f t="shared" si="1"/>
        <v>130</v>
      </c>
      <c r="N3" s="1">
        <f t="shared" si="1"/>
        <v>173</v>
      </c>
      <c r="O3" s="1">
        <f t="shared" si="1"/>
        <v>177</v>
      </c>
      <c r="P3" s="1">
        <f t="shared" si="1"/>
        <v>147</v>
      </c>
      <c r="Q3" s="1">
        <f t="shared" si="1"/>
        <v>136</v>
      </c>
      <c r="R3" s="1">
        <f t="shared" si="1"/>
        <v>130</v>
      </c>
      <c r="S3" s="1">
        <f t="shared" si="1"/>
        <v>117</v>
      </c>
      <c r="T3" s="1">
        <f t="shared" si="1"/>
        <v>122</v>
      </c>
      <c r="U3" s="1">
        <f t="shared" si="1"/>
        <v>182</v>
      </c>
      <c r="V3" s="1">
        <f t="shared" si="1"/>
        <v>191</v>
      </c>
      <c r="W3" s="1">
        <f t="shared" si="1"/>
        <v>129</v>
      </c>
      <c r="X3" s="1">
        <f t="shared" si="1"/>
        <v>149</v>
      </c>
      <c r="Y3" s="1">
        <f t="shared" si="1"/>
        <v>120</v>
      </c>
      <c r="Z3" s="1">
        <f t="shared" si="1"/>
        <v>124</v>
      </c>
      <c r="AA3" s="1">
        <f t="shared" si="1"/>
        <v>136</v>
      </c>
      <c r="AB3" s="1">
        <f t="shared" si="1"/>
        <v>206</v>
      </c>
      <c r="AC3" s="1">
        <f t="shared" si="1"/>
        <v>176</v>
      </c>
      <c r="AD3" s="1">
        <f t="shared" si="1"/>
        <v>146</v>
      </c>
      <c r="AE3" s="1">
        <f t="shared" si="1"/>
        <v>121</v>
      </c>
      <c r="AF3" s="1">
        <f t="shared" si="1"/>
        <v>140</v>
      </c>
      <c r="AG3" s="2">
        <f t="shared" ref="AG3:AG66" si="2">SUM(B3:AF3)</f>
        <v>4628</v>
      </c>
    </row>
    <row r="4" spans="1:33" ht="18.75" x14ac:dyDescent="0.25">
      <c r="A4" s="53" t="s">
        <v>3</v>
      </c>
      <c r="B4" s="54">
        <v>4</v>
      </c>
      <c r="C4" s="55">
        <v>0</v>
      </c>
      <c r="D4" s="55">
        <v>0</v>
      </c>
      <c r="E4" s="55">
        <v>0</v>
      </c>
      <c r="F4" s="55">
        <v>0</v>
      </c>
      <c r="G4" s="55">
        <v>16</v>
      </c>
      <c r="H4" s="55">
        <v>8</v>
      </c>
      <c r="I4" s="55">
        <v>0</v>
      </c>
      <c r="J4" s="55">
        <v>0</v>
      </c>
      <c r="K4" s="55">
        <v>0</v>
      </c>
      <c r="L4" s="55">
        <v>0</v>
      </c>
      <c r="M4" s="55">
        <v>0</v>
      </c>
      <c r="N4" s="55">
        <v>9</v>
      </c>
      <c r="O4" s="55">
        <v>7</v>
      </c>
      <c r="P4" s="55">
        <v>0</v>
      </c>
      <c r="Q4" s="55">
        <v>0</v>
      </c>
      <c r="R4" s="55">
        <v>0</v>
      </c>
      <c r="S4" s="55">
        <v>0</v>
      </c>
      <c r="T4" s="55">
        <v>0</v>
      </c>
      <c r="U4" s="55">
        <v>8</v>
      </c>
      <c r="V4" s="55">
        <v>3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7</v>
      </c>
      <c r="AC4" s="55">
        <v>5</v>
      </c>
      <c r="AD4" s="55">
        <v>0</v>
      </c>
      <c r="AE4" s="55">
        <v>0</v>
      </c>
      <c r="AF4" s="55">
        <v>0</v>
      </c>
      <c r="AG4" s="4">
        <f t="shared" si="2"/>
        <v>67</v>
      </c>
    </row>
    <row r="5" spans="1:33" ht="18.75" x14ac:dyDescent="0.25">
      <c r="A5" s="56" t="s">
        <v>4</v>
      </c>
      <c r="B5" s="54">
        <v>10</v>
      </c>
      <c r="C5" s="54">
        <v>0</v>
      </c>
      <c r="D5" s="54">
        <v>0</v>
      </c>
      <c r="E5" s="54">
        <v>0</v>
      </c>
      <c r="F5" s="54">
        <v>0</v>
      </c>
      <c r="G5" s="54">
        <v>4</v>
      </c>
      <c r="H5" s="54">
        <v>9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7</v>
      </c>
      <c r="O5" s="54">
        <v>5</v>
      </c>
      <c r="P5" s="54">
        <v>0</v>
      </c>
      <c r="Q5" s="54">
        <v>0</v>
      </c>
      <c r="R5" s="54">
        <v>0</v>
      </c>
      <c r="S5" s="54">
        <v>0</v>
      </c>
      <c r="T5" s="54">
        <v>0</v>
      </c>
      <c r="U5" s="54">
        <v>5</v>
      </c>
      <c r="V5" s="54">
        <v>1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12</v>
      </c>
      <c r="AC5" s="54">
        <v>5</v>
      </c>
      <c r="AD5" s="54">
        <v>0</v>
      </c>
      <c r="AE5" s="54">
        <v>0</v>
      </c>
      <c r="AF5" s="54">
        <v>0</v>
      </c>
      <c r="AG5" s="5">
        <f t="shared" si="2"/>
        <v>58</v>
      </c>
    </row>
    <row r="6" spans="1:33" ht="18.75" x14ac:dyDescent="0.25">
      <c r="A6" s="56" t="s">
        <v>5</v>
      </c>
      <c r="B6" s="54">
        <v>7</v>
      </c>
      <c r="C6" s="54">
        <v>0</v>
      </c>
      <c r="D6" s="54">
        <v>0</v>
      </c>
      <c r="E6" s="54">
        <v>0</v>
      </c>
      <c r="F6" s="54">
        <v>0</v>
      </c>
      <c r="G6" s="54">
        <v>12</v>
      </c>
      <c r="H6" s="54">
        <v>12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14</v>
      </c>
      <c r="O6" s="54">
        <v>16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7</v>
      </c>
      <c r="V6" s="54">
        <v>7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13</v>
      </c>
      <c r="AC6" s="54">
        <v>12</v>
      </c>
      <c r="AD6" s="54">
        <v>0</v>
      </c>
      <c r="AE6" s="54">
        <v>0</v>
      </c>
      <c r="AF6" s="54">
        <v>0</v>
      </c>
      <c r="AG6" s="5">
        <f t="shared" si="2"/>
        <v>100</v>
      </c>
    </row>
    <row r="7" spans="1:33" ht="18.75" x14ac:dyDescent="0.25">
      <c r="A7" s="56" t="s">
        <v>6</v>
      </c>
      <c r="B7" s="54">
        <v>14</v>
      </c>
      <c r="C7" s="54">
        <v>0</v>
      </c>
      <c r="D7" s="54">
        <v>0</v>
      </c>
      <c r="E7" s="54">
        <v>0</v>
      </c>
      <c r="F7" s="54">
        <v>0</v>
      </c>
      <c r="G7" s="54">
        <v>16</v>
      </c>
      <c r="H7" s="54">
        <v>10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14</v>
      </c>
      <c r="O7" s="54">
        <v>15</v>
      </c>
      <c r="P7" s="54">
        <v>0</v>
      </c>
      <c r="Q7" s="54">
        <v>0</v>
      </c>
      <c r="R7" s="54">
        <v>0</v>
      </c>
      <c r="S7" s="54">
        <v>0</v>
      </c>
      <c r="T7" s="54">
        <v>0</v>
      </c>
      <c r="U7" s="54">
        <v>13</v>
      </c>
      <c r="V7" s="54">
        <v>8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13</v>
      </c>
      <c r="AC7" s="54">
        <v>14</v>
      </c>
      <c r="AD7" s="54">
        <v>0</v>
      </c>
      <c r="AE7" s="54">
        <v>0</v>
      </c>
      <c r="AF7" s="54">
        <v>0</v>
      </c>
      <c r="AG7" s="5">
        <f t="shared" si="2"/>
        <v>117</v>
      </c>
    </row>
    <row r="8" spans="1:33" ht="18.75" x14ac:dyDescent="0.25">
      <c r="A8" s="56" t="s">
        <v>7</v>
      </c>
      <c r="B8" s="54">
        <v>13</v>
      </c>
      <c r="C8" s="54">
        <v>0</v>
      </c>
      <c r="D8" s="54">
        <v>0</v>
      </c>
      <c r="E8" s="54">
        <v>0</v>
      </c>
      <c r="F8" s="54">
        <v>0</v>
      </c>
      <c r="G8" s="54">
        <v>14</v>
      </c>
      <c r="H8" s="54">
        <v>13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10</v>
      </c>
      <c r="O8" s="54">
        <v>8</v>
      </c>
      <c r="P8" s="54">
        <v>0</v>
      </c>
      <c r="Q8" s="54">
        <v>0</v>
      </c>
      <c r="R8" s="54">
        <v>0</v>
      </c>
      <c r="S8" s="54">
        <v>0</v>
      </c>
      <c r="T8" s="54">
        <v>0</v>
      </c>
      <c r="U8" s="54">
        <v>14</v>
      </c>
      <c r="V8" s="54">
        <v>7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15</v>
      </c>
      <c r="AC8" s="54">
        <v>17</v>
      </c>
      <c r="AD8" s="54">
        <v>0</v>
      </c>
      <c r="AE8" s="54">
        <v>0</v>
      </c>
      <c r="AF8" s="54">
        <v>0</v>
      </c>
      <c r="AG8" s="5">
        <f t="shared" si="2"/>
        <v>111</v>
      </c>
    </row>
    <row r="9" spans="1:33" ht="18.75" x14ac:dyDescent="0.25">
      <c r="A9" s="56" t="s">
        <v>8</v>
      </c>
      <c r="B9" s="54">
        <v>8</v>
      </c>
      <c r="C9" s="54">
        <v>0</v>
      </c>
      <c r="D9" s="54">
        <v>0</v>
      </c>
      <c r="E9" s="54">
        <v>0</v>
      </c>
      <c r="F9" s="54">
        <v>0</v>
      </c>
      <c r="G9" s="54">
        <v>6</v>
      </c>
      <c r="H9" s="54">
        <v>8</v>
      </c>
      <c r="I9" s="54">
        <v>0</v>
      </c>
      <c r="J9" s="54">
        <v>0</v>
      </c>
      <c r="K9" s="54">
        <v>0</v>
      </c>
      <c r="L9" s="54">
        <v>0</v>
      </c>
      <c r="M9" s="54">
        <v>0</v>
      </c>
      <c r="N9" s="54">
        <v>9</v>
      </c>
      <c r="O9" s="54">
        <v>7</v>
      </c>
      <c r="P9" s="54">
        <v>0</v>
      </c>
      <c r="Q9" s="54">
        <v>0</v>
      </c>
      <c r="R9" s="54">
        <v>0</v>
      </c>
      <c r="S9" s="54">
        <v>0</v>
      </c>
      <c r="T9" s="54">
        <v>0</v>
      </c>
      <c r="U9" s="54">
        <v>12</v>
      </c>
      <c r="V9" s="54">
        <v>7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8</v>
      </c>
      <c r="AC9" s="54">
        <v>18</v>
      </c>
      <c r="AD9" s="54">
        <v>0</v>
      </c>
      <c r="AE9" s="54">
        <v>0</v>
      </c>
      <c r="AF9" s="54">
        <v>0</v>
      </c>
      <c r="AG9" s="5">
        <f t="shared" si="2"/>
        <v>83</v>
      </c>
    </row>
    <row r="10" spans="1:33" ht="18.75" x14ac:dyDescent="0.25">
      <c r="A10" s="56" t="s">
        <v>9</v>
      </c>
      <c r="B10" s="54">
        <v>10</v>
      </c>
      <c r="C10" s="54">
        <v>0</v>
      </c>
      <c r="D10" s="54">
        <v>0</v>
      </c>
      <c r="E10" s="54">
        <v>0</v>
      </c>
      <c r="F10" s="54">
        <v>0</v>
      </c>
      <c r="G10" s="54">
        <v>12</v>
      </c>
      <c r="H10" s="54">
        <v>4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  <c r="N10" s="54">
        <v>8</v>
      </c>
      <c r="O10" s="54">
        <v>10</v>
      </c>
      <c r="P10" s="54">
        <v>0</v>
      </c>
      <c r="Q10" s="54">
        <v>0</v>
      </c>
      <c r="R10" s="54">
        <v>0</v>
      </c>
      <c r="S10" s="54">
        <v>0</v>
      </c>
      <c r="T10" s="54">
        <v>0</v>
      </c>
      <c r="U10" s="54">
        <v>4</v>
      </c>
      <c r="V10" s="54">
        <v>9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12</v>
      </c>
      <c r="AC10" s="54">
        <v>7</v>
      </c>
      <c r="AD10" s="54">
        <v>0</v>
      </c>
      <c r="AE10" s="54">
        <v>0</v>
      </c>
      <c r="AF10" s="54">
        <v>0</v>
      </c>
      <c r="AG10" s="5">
        <f t="shared" si="2"/>
        <v>76</v>
      </c>
    </row>
    <row r="11" spans="1:33" ht="18.75" x14ac:dyDescent="0.25">
      <c r="A11" s="56" t="s">
        <v>10</v>
      </c>
      <c r="B11" s="54">
        <v>9</v>
      </c>
      <c r="C11" s="54">
        <v>0</v>
      </c>
      <c r="D11" s="54">
        <v>0</v>
      </c>
      <c r="E11" s="54">
        <v>0</v>
      </c>
      <c r="F11" s="54">
        <v>0</v>
      </c>
      <c r="G11" s="54">
        <v>4</v>
      </c>
      <c r="H11" s="54">
        <v>22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  <c r="N11" s="54">
        <v>4</v>
      </c>
      <c r="O11" s="54">
        <v>8</v>
      </c>
      <c r="P11" s="54">
        <v>0</v>
      </c>
      <c r="Q11" s="54">
        <v>0</v>
      </c>
      <c r="R11" s="54">
        <v>0</v>
      </c>
      <c r="S11" s="54">
        <v>0</v>
      </c>
      <c r="T11" s="54">
        <v>0</v>
      </c>
      <c r="U11" s="54">
        <v>13</v>
      </c>
      <c r="V11" s="54">
        <v>12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9</v>
      </c>
      <c r="AC11" s="54">
        <v>5</v>
      </c>
      <c r="AD11" s="54">
        <v>0</v>
      </c>
      <c r="AE11" s="54">
        <v>0</v>
      </c>
      <c r="AF11" s="54">
        <v>0</v>
      </c>
      <c r="AG11" s="5">
        <f t="shared" si="2"/>
        <v>86</v>
      </c>
    </row>
    <row r="12" spans="1:33" ht="18.75" x14ac:dyDescent="0.25">
      <c r="A12" s="56" t="s">
        <v>11</v>
      </c>
      <c r="B12" s="54">
        <v>9</v>
      </c>
      <c r="C12" s="54">
        <v>0</v>
      </c>
      <c r="D12" s="54">
        <v>0</v>
      </c>
      <c r="E12" s="54">
        <v>0</v>
      </c>
      <c r="F12" s="54">
        <v>46</v>
      </c>
      <c r="G12" s="54">
        <v>13</v>
      </c>
      <c r="H12" s="54">
        <v>2</v>
      </c>
      <c r="I12" s="54">
        <v>0</v>
      </c>
      <c r="J12" s="54">
        <v>0</v>
      </c>
      <c r="K12" s="54">
        <v>1</v>
      </c>
      <c r="L12" s="54">
        <v>0</v>
      </c>
      <c r="M12" s="54">
        <v>34</v>
      </c>
      <c r="N12" s="54">
        <v>11</v>
      </c>
      <c r="O12" s="54">
        <v>10</v>
      </c>
      <c r="P12" s="54">
        <v>0</v>
      </c>
      <c r="Q12" s="54">
        <v>0</v>
      </c>
      <c r="R12" s="54">
        <v>0</v>
      </c>
      <c r="S12" s="54">
        <v>0</v>
      </c>
      <c r="T12" s="54">
        <v>28</v>
      </c>
      <c r="U12" s="54">
        <v>15</v>
      </c>
      <c r="V12" s="54">
        <v>17</v>
      </c>
      <c r="W12" s="54">
        <v>0</v>
      </c>
      <c r="X12" s="54">
        <v>0</v>
      </c>
      <c r="Y12" s="54">
        <v>0</v>
      </c>
      <c r="Z12" s="54">
        <v>0</v>
      </c>
      <c r="AA12" s="54">
        <v>35</v>
      </c>
      <c r="AB12" s="54">
        <v>18</v>
      </c>
      <c r="AC12" s="54">
        <v>7</v>
      </c>
      <c r="AD12" s="54">
        <v>0</v>
      </c>
      <c r="AE12" s="54">
        <v>0</v>
      </c>
      <c r="AF12" s="54">
        <v>0</v>
      </c>
      <c r="AG12" s="5">
        <f t="shared" si="2"/>
        <v>246</v>
      </c>
    </row>
    <row r="13" spans="1:33" ht="18.75" x14ac:dyDescent="0.25">
      <c r="A13" s="56" t="s">
        <v>12</v>
      </c>
      <c r="B13" s="54">
        <v>11</v>
      </c>
      <c r="C13" s="54">
        <v>42</v>
      </c>
      <c r="D13" s="54">
        <v>40</v>
      </c>
      <c r="E13" s="54">
        <v>29</v>
      </c>
      <c r="F13" s="54">
        <v>20</v>
      </c>
      <c r="G13" s="54">
        <v>24</v>
      </c>
      <c r="H13" s="54">
        <v>10</v>
      </c>
      <c r="I13" s="54">
        <v>58</v>
      </c>
      <c r="J13" s="54">
        <v>50</v>
      </c>
      <c r="K13" s="54">
        <v>41</v>
      </c>
      <c r="L13" s="54">
        <v>52</v>
      </c>
      <c r="M13" s="54">
        <v>23</v>
      </c>
      <c r="N13" s="54">
        <v>7</v>
      </c>
      <c r="O13" s="54">
        <v>12</v>
      </c>
      <c r="P13" s="54">
        <v>58</v>
      </c>
      <c r="Q13" s="54">
        <v>49</v>
      </c>
      <c r="R13" s="54">
        <v>46</v>
      </c>
      <c r="S13" s="54">
        <v>41</v>
      </c>
      <c r="T13" s="54">
        <v>18</v>
      </c>
      <c r="U13" s="54">
        <v>12</v>
      </c>
      <c r="V13" s="54">
        <v>17</v>
      </c>
      <c r="W13" s="54">
        <v>52</v>
      </c>
      <c r="X13" s="54">
        <v>56</v>
      </c>
      <c r="Y13" s="54">
        <v>42</v>
      </c>
      <c r="Z13" s="54">
        <v>40</v>
      </c>
      <c r="AA13" s="54">
        <v>17</v>
      </c>
      <c r="AB13" s="54">
        <v>15</v>
      </c>
      <c r="AC13" s="54">
        <v>10</v>
      </c>
      <c r="AD13" s="54">
        <v>35</v>
      </c>
      <c r="AE13" s="54">
        <v>42</v>
      </c>
      <c r="AF13" s="54">
        <v>40</v>
      </c>
      <c r="AG13" s="5">
        <f t="shared" si="2"/>
        <v>1009</v>
      </c>
    </row>
    <row r="14" spans="1:33" ht="18.75" x14ac:dyDescent="0.25">
      <c r="A14" s="56" t="s">
        <v>13</v>
      </c>
      <c r="B14" s="54">
        <v>13</v>
      </c>
      <c r="C14" s="54">
        <v>25</v>
      </c>
      <c r="D14" s="54">
        <v>28</v>
      </c>
      <c r="E14" s="54">
        <v>23</v>
      </c>
      <c r="F14" s="54">
        <v>15</v>
      </c>
      <c r="G14" s="54">
        <v>15</v>
      </c>
      <c r="H14" s="54">
        <v>9</v>
      </c>
      <c r="I14" s="54">
        <v>14</v>
      </c>
      <c r="J14" s="54">
        <v>14</v>
      </c>
      <c r="K14" s="54">
        <v>14</v>
      </c>
      <c r="L14" s="54">
        <v>21</v>
      </c>
      <c r="M14" s="54">
        <v>14</v>
      </c>
      <c r="N14" s="54">
        <v>14</v>
      </c>
      <c r="O14" s="54">
        <v>18</v>
      </c>
      <c r="P14" s="54">
        <v>14</v>
      </c>
      <c r="Q14" s="54">
        <v>16</v>
      </c>
      <c r="R14" s="54">
        <v>12</v>
      </c>
      <c r="S14" s="54">
        <v>14</v>
      </c>
      <c r="T14" s="54">
        <v>17</v>
      </c>
      <c r="U14" s="54">
        <v>10</v>
      </c>
      <c r="V14" s="54">
        <v>10</v>
      </c>
      <c r="W14" s="54">
        <v>13</v>
      </c>
      <c r="X14" s="54">
        <v>14</v>
      </c>
      <c r="Y14" s="54">
        <v>13</v>
      </c>
      <c r="Z14" s="54">
        <v>9</v>
      </c>
      <c r="AA14" s="54">
        <v>15</v>
      </c>
      <c r="AB14" s="54">
        <v>18</v>
      </c>
      <c r="AC14" s="54">
        <v>13</v>
      </c>
      <c r="AD14" s="54">
        <v>16</v>
      </c>
      <c r="AE14" s="54">
        <v>16</v>
      </c>
      <c r="AF14" s="54">
        <v>15</v>
      </c>
      <c r="AG14" s="5">
        <f t="shared" si="2"/>
        <v>472</v>
      </c>
    </row>
    <row r="15" spans="1:33" ht="18.75" x14ac:dyDescent="0.25">
      <c r="A15" s="56" t="s">
        <v>14</v>
      </c>
      <c r="B15" s="54">
        <v>5</v>
      </c>
      <c r="C15" s="54">
        <v>8</v>
      </c>
      <c r="D15" s="54">
        <v>11</v>
      </c>
      <c r="E15" s="54">
        <v>12</v>
      </c>
      <c r="F15" s="54">
        <v>8</v>
      </c>
      <c r="G15" s="54">
        <v>9</v>
      </c>
      <c r="H15" s="54">
        <v>9</v>
      </c>
      <c r="I15" s="54">
        <v>11</v>
      </c>
      <c r="J15" s="54">
        <v>11</v>
      </c>
      <c r="K15" s="54">
        <v>17</v>
      </c>
      <c r="L15" s="54">
        <v>9</v>
      </c>
      <c r="M15" s="54">
        <v>11</v>
      </c>
      <c r="N15" s="54">
        <v>9</v>
      </c>
      <c r="O15" s="54">
        <v>12</v>
      </c>
      <c r="P15" s="54">
        <v>14</v>
      </c>
      <c r="Q15" s="54">
        <v>14</v>
      </c>
      <c r="R15" s="54">
        <v>16</v>
      </c>
      <c r="S15" s="54">
        <v>11</v>
      </c>
      <c r="T15" s="54">
        <v>7</v>
      </c>
      <c r="U15" s="54">
        <v>10</v>
      </c>
      <c r="V15" s="54">
        <v>15</v>
      </c>
      <c r="W15" s="54">
        <v>7</v>
      </c>
      <c r="X15" s="54">
        <v>9</v>
      </c>
      <c r="Y15" s="54">
        <v>10</v>
      </c>
      <c r="Z15" s="54">
        <v>19</v>
      </c>
      <c r="AA15" s="54">
        <v>12</v>
      </c>
      <c r="AB15" s="54">
        <v>9</v>
      </c>
      <c r="AC15" s="54">
        <v>8</v>
      </c>
      <c r="AD15" s="54">
        <v>12</v>
      </c>
      <c r="AE15" s="54">
        <v>11</v>
      </c>
      <c r="AF15" s="54">
        <v>16</v>
      </c>
      <c r="AG15" s="5">
        <f t="shared" si="2"/>
        <v>342</v>
      </c>
    </row>
    <row r="16" spans="1:33" ht="18.75" x14ac:dyDescent="0.25">
      <c r="A16" s="56" t="s">
        <v>15</v>
      </c>
      <c r="B16" s="54">
        <v>11</v>
      </c>
      <c r="C16" s="54">
        <v>5</v>
      </c>
      <c r="D16" s="54">
        <v>9</v>
      </c>
      <c r="E16" s="54">
        <v>10</v>
      </c>
      <c r="F16" s="54">
        <v>14</v>
      </c>
      <c r="G16" s="54">
        <v>19</v>
      </c>
      <c r="H16" s="54">
        <v>16</v>
      </c>
      <c r="I16" s="54">
        <v>18</v>
      </c>
      <c r="J16" s="54">
        <v>7</v>
      </c>
      <c r="K16" s="54">
        <v>8</v>
      </c>
      <c r="L16" s="54">
        <v>4</v>
      </c>
      <c r="M16" s="54">
        <v>6</v>
      </c>
      <c r="N16" s="54">
        <v>9</v>
      </c>
      <c r="O16" s="54">
        <v>6</v>
      </c>
      <c r="P16" s="54">
        <v>13</v>
      </c>
      <c r="Q16" s="54">
        <v>12</v>
      </c>
      <c r="R16" s="54">
        <v>11</v>
      </c>
      <c r="S16" s="54">
        <v>10</v>
      </c>
      <c r="T16" s="54">
        <v>11</v>
      </c>
      <c r="U16" s="54">
        <v>8</v>
      </c>
      <c r="V16" s="54">
        <v>11</v>
      </c>
      <c r="W16" s="54">
        <v>11</v>
      </c>
      <c r="X16" s="54">
        <v>17</v>
      </c>
      <c r="Y16" s="54">
        <v>12</v>
      </c>
      <c r="Z16" s="54">
        <v>12</v>
      </c>
      <c r="AA16" s="54">
        <v>10</v>
      </c>
      <c r="AB16" s="54">
        <v>10</v>
      </c>
      <c r="AC16" s="54">
        <v>11</v>
      </c>
      <c r="AD16" s="54">
        <v>15</v>
      </c>
      <c r="AE16" s="54">
        <v>9</v>
      </c>
      <c r="AF16" s="54">
        <v>14</v>
      </c>
      <c r="AG16" s="5">
        <f t="shared" si="2"/>
        <v>339</v>
      </c>
    </row>
    <row r="17" spans="1:33" ht="18.75" x14ac:dyDescent="0.25">
      <c r="A17" s="56" t="s">
        <v>16</v>
      </c>
      <c r="B17" s="54">
        <v>12</v>
      </c>
      <c r="C17" s="54">
        <v>17</v>
      </c>
      <c r="D17" s="54">
        <v>14</v>
      </c>
      <c r="E17" s="54">
        <v>14</v>
      </c>
      <c r="F17" s="54">
        <v>14</v>
      </c>
      <c r="G17" s="54">
        <v>7</v>
      </c>
      <c r="H17" s="54">
        <v>15</v>
      </c>
      <c r="I17" s="54">
        <v>14</v>
      </c>
      <c r="J17" s="54">
        <v>9</v>
      </c>
      <c r="K17" s="54">
        <v>19</v>
      </c>
      <c r="L17" s="54">
        <v>12</v>
      </c>
      <c r="M17" s="54">
        <v>16</v>
      </c>
      <c r="N17" s="54">
        <v>11</v>
      </c>
      <c r="O17" s="54">
        <v>14</v>
      </c>
      <c r="P17" s="54">
        <v>15</v>
      </c>
      <c r="Q17" s="54">
        <v>13</v>
      </c>
      <c r="R17" s="54">
        <v>11</v>
      </c>
      <c r="S17" s="54">
        <v>11</v>
      </c>
      <c r="T17" s="54">
        <v>10</v>
      </c>
      <c r="U17" s="54">
        <v>8</v>
      </c>
      <c r="V17" s="54">
        <v>18</v>
      </c>
      <c r="W17" s="54">
        <v>11</v>
      </c>
      <c r="X17" s="54">
        <v>15</v>
      </c>
      <c r="Y17" s="54">
        <v>15</v>
      </c>
      <c r="Z17" s="54">
        <v>8</v>
      </c>
      <c r="AA17" s="54">
        <v>6</v>
      </c>
      <c r="AB17" s="54">
        <v>5</v>
      </c>
      <c r="AC17" s="54">
        <v>11</v>
      </c>
      <c r="AD17" s="54">
        <v>16</v>
      </c>
      <c r="AE17" s="54">
        <v>15</v>
      </c>
      <c r="AF17" s="54">
        <v>17</v>
      </c>
      <c r="AG17" s="5">
        <f t="shared" si="2"/>
        <v>393</v>
      </c>
    </row>
    <row r="18" spans="1:33" ht="18.75" x14ac:dyDescent="0.25">
      <c r="A18" s="56" t="s">
        <v>17</v>
      </c>
      <c r="B18" s="54">
        <v>9</v>
      </c>
      <c r="C18" s="54">
        <v>11</v>
      </c>
      <c r="D18" s="54">
        <v>13</v>
      </c>
      <c r="E18" s="54">
        <v>15</v>
      </c>
      <c r="F18" s="54">
        <v>12</v>
      </c>
      <c r="G18" s="54">
        <v>13</v>
      </c>
      <c r="H18" s="54">
        <v>18</v>
      </c>
      <c r="I18" s="54">
        <v>15</v>
      </c>
      <c r="J18" s="54">
        <v>9</v>
      </c>
      <c r="K18" s="54">
        <v>7</v>
      </c>
      <c r="L18" s="54">
        <v>10</v>
      </c>
      <c r="M18" s="54">
        <v>5</v>
      </c>
      <c r="N18" s="54">
        <v>11</v>
      </c>
      <c r="O18" s="54">
        <v>12</v>
      </c>
      <c r="P18" s="54">
        <v>8</v>
      </c>
      <c r="Q18" s="54">
        <v>9</v>
      </c>
      <c r="R18" s="54">
        <v>10</v>
      </c>
      <c r="S18" s="54">
        <v>12</v>
      </c>
      <c r="T18" s="54">
        <v>11</v>
      </c>
      <c r="U18" s="54">
        <v>14</v>
      </c>
      <c r="V18" s="54">
        <v>14</v>
      </c>
      <c r="W18" s="54">
        <v>13</v>
      </c>
      <c r="X18" s="54">
        <v>11</v>
      </c>
      <c r="Y18" s="54">
        <v>7</v>
      </c>
      <c r="Z18" s="54">
        <v>10</v>
      </c>
      <c r="AA18" s="54">
        <v>12</v>
      </c>
      <c r="AB18" s="54">
        <v>11</v>
      </c>
      <c r="AC18" s="54">
        <v>12</v>
      </c>
      <c r="AD18" s="54">
        <v>15</v>
      </c>
      <c r="AE18" s="54">
        <v>10</v>
      </c>
      <c r="AF18" s="54">
        <v>13</v>
      </c>
      <c r="AG18" s="5">
        <f t="shared" si="2"/>
        <v>352</v>
      </c>
    </row>
    <row r="19" spans="1:33" ht="18.75" x14ac:dyDescent="0.25">
      <c r="A19" s="56" t="s">
        <v>18</v>
      </c>
      <c r="B19" s="54">
        <v>14</v>
      </c>
      <c r="C19" s="54">
        <v>9</v>
      </c>
      <c r="D19" s="54">
        <v>6</v>
      </c>
      <c r="E19" s="54">
        <v>12</v>
      </c>
      <c r="F19" s="54">
        <v>8</v>
      </c>
      <c r="G19" s="54">
        <v>8</v>
      </c>
      <c r="H19" s="54">
        <v>3</v>
      </c>
      <c r="I19" s="54">
        <v>10</v>
      </c>
      <c r="J19" s="54">
        <v>11</v>
      </c>
      <c r="K19" s="54">
        <v>5</v>
      </c>
      <c r="L19" s="54">
        <v>15</v>
      </c>
      <c r="M19" s="54">
        <v>10</v>
      </c>
      <c r="N19" s="54">
        <v>6</v>
      </c>
      <c r="O19" s="54">
        <v>4</v>
      </c>
      <c r="P19" s="54">
        <v>8</v>
      </c>
      <c r="Q19" s="54">
        <v>5</v>
      </c>
      <c r="R19" s="54">
        <v>12</v>
      </c>
      <c r="S19" s="54">
        <v>5</v>
      </c>
      <c r="T19" s="54">
        <v>5</v>
      </c>
      <c r="U19" s="54">
        <v>6</v>
      </c>
      <c r="V19" s="54">
        <v>10</v>
      </c>
      <c r="W19" s="54">
        <v>7</v>
      </c>
      <c r="X19" s="54">
        <v>7</v>
      </c>
      <c r="Y19" s="54">
        <v>8</v>
      </c>
      <c r="Z19" s="54">
        <v>10</v>
      </c>
      <c r="AA19" s="54">
        <v>14</v>
      </c>
      <c r="AB19" s="54">
        <v>6</v>
      </c>
      <c r="AC19" s="54">
        <v>6</v>
      </c>
      <c r="AD19" s="54">
        <v>8</v>
      </c>
      <c r="AE19" s="54">
        <v>13</v>
      </c>
      <c r="AF19" s="54">
        <v>4</v>
      </c>
      <c r="AG19" s="5">
        <f t="shared" si="2"/>
        <v>255</v>
      </c>
    </row>
    <row r="20" spans="1:33" ht="18.75" x14ac:dyDescent="0.25">
      <c r="A20" s="56" t="s">
        <v>19</v>
      </c>
      <c r="B20" s="54">
        <v>3</v>
      </c>
      <c r="C20" s="54">
        <v>11</v>
      </c>
      <c r="D20" s="54">
        <v>9</v>
      </c>
      <c r="E20" s="54">
        <v>4</v>
      </c>
      <c r="F20" s="54">
        <v>5</v>
      </c>
      <c r="G20" s="54">
        <v>6</v>
      </c>
      <c r="H20" s="54">
        <v>5</v>
      </c>
      <c r="I20" s="54">
        <v>7</v>
      </c>
      <c r="J20" s="54">
        <v>3</v>
      </c>
      <c r="K20" s="54">
        <v>2</v>
      </c>
      <c r="L20" s="54">
        <v>6</v>
      </c>
      <c r="M20" s="54">
        <v>4</v>
      </c>
      <c r="N20" s="54">
        <v>5</v>
      </c>
      <c r="O20" s="54">
        <v>5</v>
      </c>
      <c r="P20" s="54">
        <v>7</v>
      </c>
      <c r="Q20" s="54">
        <v>2</v>
      </c>
      <c r="R20" s="54">
        <v>6</v>
      </c>
      <c r="S20" s="54">
        <v>7</v>
      </c>
      <c r="T20" s="54">
        <v>6</v>
      </c>
      <c r="U20" s="54">
        <v>9</v>
      </c>
      <c r="V20" s="54">
        <v>7</v>
      </c>
      <c r="W20" s="54">
        <v>7</v>
      </c>
      <c r="X20" s="54">
        <v>7</v>
      </c>
      <c r="Y20" s="54">
        <v>2</v>
      </c>
      <c r="Z20" s="54">
        <v>8</v>
      </c>
      <c r="AA20" s="54">
        <v>3</v>
      </c>
      <c r="AB20" s="54">
        <v>4</v>
      </c>
      <c r="AC20" s="54">
        <v>3</v>
      </c>
      <c r="AD20" s="54">
        <v>11</v>
      </c>
      <c r="AE20" s="54">
        <v>0</v>
      </c>
      <c r="AF20" s="54">
        <v>2</v>
      </c>
      <c r="AG20" s="5">
        <f t="shared" si="2"/>
        <v>166</v>
      </c>
    </row>
    <row r="21" spans="1:33" ht="15.75" customHeight="1" x14ac:dyDescent="0.25">
      <c r="A21" s="56" t="s">
        <v>20</v>
      </c>
      <c r="B21" s="54">
        <v>2</v>
      </c>
      <c r="C21" s="54">
        <v>4</v>
      </c>
      <c r="D21" s="54">
        <v>3</v>
      </c>
      <c r="E21" s="54">
        <v>5</v>
      </c>
      <c r="F21" s="54">
        <v>3</v>
      </c>
      <c r="G21" s="54">
        <v>1</v>
      </c>
      <c r="H21" s="54">
        <v>6</v>
      </c>
      <c r="I21" s="54">
        <v>1</v>
      </c>
      <c r="J21" s="54">
        <v>1</v>
      </c>
      <c r="K21" s="54">
        <v>7</v>
      </c>
      <c r="L21" s="54">
        <v>7</v>
      </c>
      <c r="M21" s="54">
        <v>0</v>
      </c>
      <c r="N21" s="54">
        <v>1</v>
      </c>
      <c r="O21" s="54">
        <v>0</v>
      </c>
      <c r="P21" s="54">
        <v>0</v>
      </c>
      <c r="Q21" s="54">
        <v>5</v>
      </c>
      <c r="R21" s="54">
        <v>1</v>
      </c>
      <c r="S21" s="54">
        <v>4</v>
      </c>
      <c r="T21" s="54">
        <v>6</v>
      </c>
      <c r="U21" s="54">
        <v>4</v>
      </c>
      <c r="V21" s="54">
        <v>6</v>
      </c>
      <c r="W21" s="54">
        <v>4</v>
      </c>
      <c r="X21" s="54">
        <v>5</v>
      </c>
      <c r="Y21" s="54">
        <v>4</v>
      </c>
      <c r="Z21" s="54">
        <v>5</v>
      </c>
      <c r="AA21" s="54">
        <v>5</v>
      </c>
      <c r="AB21" s="54">
        <v>1</v>
      </c>
      <c r="AC21" s="54">
        <v>4</v>
      </c>
      <c r="AD21" s="54">
        <v>4</v>
      </c>
      <c r="AE21" s="54">
        <v>2</v>
      </c>
      <c r="AF21" s="54">
        <v>4</v>
      </c>
      <c r="AG21" s="5">
        <f t="shared" si="2"/>
        <v>105</v>
      </c>
    </row>
    <row r="22" spans="1:33" ht="15.75" customHeight="1" x14ac:dyDescent="0.25">
      <c r="A22" s="56" t="s">
        <v>21</v>
      </c>
      <c r="B22" s="54">
        <v>2</v>
      </c>
      <c r="C22" s="54">
        <v>3</v>
      </c>
      <c r="D22" s="54">
        <v>3</v>
      </c>
      <c r="E22" s="54">
        <v>1</v>
      </c>
      <c r="F22" s="54">
        <v>2</v>
      </c>
      <c r="G22" s="54">
        <v>1</v>
      </c>
      <c r="H22" s="54">
        <v>2</v>
      </c>
      <c r="I22" s="54">
        <v>2</v>
      </c>
      <c r="J22" s="54">
        <v>0</v>
      </c>
      <c r="K22" s="54">
        <v>2</v>
      </c>
      <c r="L22" s="54">
        <v>0</v>
      </c>
      <c r="M22" s="54">
        <v>0</v>
      </c>
      <c r="N22" s="54">
        <v>1</v>
      </c>
      <c r="O22" s="54">
        <v>2</v>
      </c>
      <c r="P22" s="54">
        <v>0</v>
      </c>
      <c r="Q22" s="54">
        <v>2</v>
      </c>
      <c r="R22" s="54">
        <v>1</v>
      </c>
      <c r="S22" s="54">
        <v>1</v>
      </c>
      <c r="T22" s="54">
        <v>1</v>
      </c>
      <c r="U22" s="54">
        <v>2</v>
      </c>
      <c r="V22" s="54">
        <v>2</v>
      </c>
      <c r="W22" s="54">
        <v>0</v>
      </c>
      <c r="X22" s="54">
        <v>3</v>
      </c>
      <c r="Y22" s="54">
        <v>1</v>
      </c>
      <c r="Z22" s="54">
        <v>1</v>
      </c>
      <c r="AA22" s="54">
        <v>1</v>
      </c>
      <c r="AB22" s="54">
        <v>5</v>
      </c>
      <c r="AC22" s="54">
        <v>3</v>
      </c>
      <c r="AD22" s="54">
        <v>4</v>
      </c>
      <c r="AE22" s="54">
        <v>0</v>
      </c>
      <c r="AF22" s="54">
        <v>3</v>
      </c>
      <c r="AG22" s="5">
        <f t="shared" si="2"/>
        <v>51</v>
      </c>
    </row>
    <row r="23" spans="1:33" ht="15.75" customHeight="1" x14ac:dyDescent="0.25">
      <c r="A23" s="56" t="s">
        <v>22</v>
      </c>
      <c r="B23" s="54">
        <v>2</v>
      </c>
      <c r="C23" s="54">
        <v>1</v>
      </c>
      <c r="D23" s="54">
        <v>2</v>
      </c>
      <c r="E23" s="54">
        <v>1</v>
      </c>
      <c r="F23" s="54">
        <v>1</v>
      </c>
      <c r="G23" s="54">
        <v>0</v>
      </c>
      <c r="H23" s="54">
        <v>2</v>
      </c>
      <c r="I23" s="54">
        <v>2</v>
      </c>
      <c r="J23" s="54">
        <v>3</v>
      </c>
      <c r="K23" s="54">
        <v>0</v>
      </c>
      <c r="L23" s="54">
        <v>1</v>
      </c>
      <c r="M23" s="54">
        <v>1</v>
      </c>
      <c r="N23" s="54">
        <v>1</v>
      </c>
      <c r="O23" s="54">
        <v>0</v>
      </c>
      <c r="P23" s="54">
        <v>1</v>
      </c>
      <c r="Q23" s="54">
        <v>2</v>
      </c>
      <c r="R23" s="54">
        <v>3</v>
      </c>
      <c r="S23" s="54">
        <v>1</v>
      </c>
      <c r="T23" s="54">
        <v>1</v>
      </c>
      <c r="U23" s="54">
        <v>2</v>
      </c>
      <c r="V23" s="54">
        <v>2</v>
      </c>
      <c r="W23" s="54">
        <v>1</v>
      </c>
      <c r="X23" s="54">
        <v>3</v>
      </c>
      <c r="Y23" s="54">
        <v>2</v>
      </c>
      <c r="Z23" s="54">
        <v>1</v>
      </c>
      <c r="AA23" s="54">
        <v>3</v>
      </c>
      <c r="AB23" s="54">
        <v>5</v>
      </c>
      <c r="AC23" s="54">
        <v>1</v>
      </c>
      <c r="AD23" s="54">
        <v>1</v>
      </c>
      <c r="AE23" s="54">
        <v>0</v>
      </c>
      <c r="AF23" s="54">
        <v>3</v>
      </c>
      <c r="AG23" s="5">
        <f t="shared" si="2"/>
        <v>49</v>
      </c>
    </row>
    <row r="24" spans="1:33" ht="15.75" customHeight="1" x14ac:dyDescent="0.25">
      <c r="A24" s="56" t="s">
        <v>23</v>
      </c>
      <c r="B24" s="54">
        <v>1</v>
      </c>
      <c r="C24" s="54">
        <v>1</v>
      </c>
      <c r="D24" s="54">
        <v>3</v>
      </c>
      <c r="E24" s="54">
        <v>1</v>
      </c>
      <c r="F24" s="54">
        <v>0</v>
      </c>
      <c r="G24" s="54">
        <v>1</v>
      </c>
      <c r="H24" s="54">
        <v>1</v>
      </c>
      <c r="I24" s="54">
        <v>0</v>
      </c>
      <c r="J24" s="54">
        <v>4</v>
      </c>
      <c r="K24" s="54">
        <v>1</v>
      </c>
      <c r="L24" s="54">
        <v>2</v>
      </c>
      <c r="M24" s="54">
        <v>2</v>
      </c>
      <c r="N24" s="54">
        <v>3</v>
      </c>
      <c r="O24" s="54">
        <v>1</v>
      </c>
      <c r="P24" s="54">
        <v>2</v>
      </c>
      <c r="Q24" s="54">
        <v>2</v>
      </c>
      <c r="R24" s="54">
        <v>0</v>
      </c>
      <c r="S24" s="54">
        <v>0</v>
      </c>
      <c r="T24" s="54">
        <v>0</v>
      </c>
      <c r="U24" s="54">
        <v>0</v>
      </c>
      <c r="V24" s="54">
        <v>5</v>
      </c>
      <c r="W24" s="54">
        <v>0</v>
      </c>
      <c r="X24" s="54">
        <v>0</v>
      </c>
      <c r="Y24" s="54">
        <v>1</v>
      </c>
      <c r="Z24" s="54">
        <v>0</v>
      </c>
      <c r="AA24" s="54">
        <v>1</v>
      </c>
      <c r="AB24" s="54">
        <v>0</v>
      </c>
      <c r="AC24" s="54">
        <v>0</v>
      </c>
      <c r="AD24" s="54">
        <v>2</v>
      </c>
      <c r="AE24" s="54">
        <v>2</v>
      </c>
      <c r="AF24" s="54">
        <v>0</v>
      </c>
      <c r="AG24" s="5">
        <f t="shared" si="2"/>
        <v>36</v>
      </c>
    </row>
    <row r="25" spans="1:33" ht="15.75" customHeight="1" x14ac:dyDescent="0.25">
      <c r="A25" s="56" t="s">
        <v>24</v>
      </c>
      <c r="B25" s="54">
        <v>0</v>
      </c>
      <c r="C25" s="54">
        <v>4</v>
      </c>
      <c r="D25" s="54">
        <v>1</v>
      </c>
      <c r="E25" s="54">
        <v>0</v>
      </c>
      <c r="F25" s="54">
        <v>1</v>
      </c>
      <c r="G25" s="54">
        <v>1</v>
      </c>
      <c r="H25" s="54">
        <v>1</v>
      </c>
      <c r="I25" s="54">
        <v>1</v>
      </c>
      <c r="J25" s="54">
        <v>5</v>
      </c>
      <c r="K25" s="54">
        <v>1</v>
      </c>
      <c r="L25" s="54">
        <v>2</v>
      </c>
      <c r="M25" s="54">
        <v>2</v>
      </c>
      <c r="N25" s="54">
        <v>3</v>
      </c>
      <c r="O25" s="54">
        <v>1</v>
      </c>
      <c r="P25" s="54">
        <v>2</v>
      </c>
      <c r="Q25" s="54">
        <v>1</v>
      </c>
      <c r="R25" s="54">
        <v>1</v>
      </c>
      <c r="S25" s="54">
        <v>0</v>
      </c>
      <c r="T25" s="54">
        <v>0</v>
      </c>
      <c r="U25" s="54">
        <v>0</v>
      </c>
      <c r="V25" s="54">
        <v>1</v>
      </c>
      <c r="W25" s="54">
        <v>3</v>
      </c>
      <c r="X25" s="54">
        <v>0</v>
      </c>
      <c r="Y25" s="54">
        <v>1</v>
      </c>
      <c r="Z25" s="54">
        <v>1</v>
      </c>
      <c r="AA25" s="54">
        <v>0</v>
      </c>
      <c r="AB25" s="54">
        <v>6</v>
      </c>
      <c r="AC25" s="54">
        <v>1</v>
      </c>
      <c r="AD25" s="54">
        <v>2</v>
      </c>
      <c r="AE25" s="54">
        <v>0</v>
      </c>
      <c r="AF25" s="54">
        <v>3</v>
      </c>
      <c r="AG25" s="5">
        <f t="shared" si="2"/>
        <v>45</v>
      </c>
    </row>
    <row r="26" spans="1:33" ht="15.75" customHeight="1" x14ac:dyDescent="0.25">
      <c r="A26" s="56" t="s">
        <v>25</v>
      </c>
      <c r="B26" s="54">
        <v>0</v>
      </c>
      <c r="C26" s="54">
        <v>3</v>
      </c>
      <c r="D26" s="54">
        <v>1</v>
      </c>
      <c r="E26" s="54">
        <v>1</v>
      </c>
      <c r="F26" s="54">
        <v>1</v>
      </c>
      <c r="G26" s="54">
        <v>1</v>
      </c>
      <c r="H26" s="54">
        <v>2</v>
      </c>
      <c r="I26" s="54">
        <v>1</v>
      </c>
      <c r="J26" s="54">
        <v>0</v>
      </c>
      <c r="K26" s="54">
        <v>0</v>
      </c>
      <c r="L26" s="54">
        <v>1</v>
      </c>
      <c r="M26" s="54">
        <v>2</v>
      </c>
      <c r="N26" s="54">
        <v>2</v>
      </c>
      <c r="O26" s="54">
        <v>2</v>
      </c>
      <c r="P26" s="54">
        <v>5</v>
      </c>
      <c r="Q26" s="54">
        <v>4</v>
      </c>
      <c r="R26" s="54">
        <v>0</v>
      </c>
      <c r="S26" s="54">
        <v>0</v>
      </c>
      <c r="T26" s="54">
        <v>1</v>
      </c>
      <c r="U26" s="54">
        <v>2</v>
      </c>
      <c r="V26" s="54">
        <v>0</v>
      </c>
      <c r="W26" s="54">
        <v>0</v>
      </c>
      <c r="X26" s="54">
        <v>2</v>
      </c>
      <c r="Y26" s="54">
        <v>2</v>
      </c>
      <c r="Z26" s="54">
        <v>0</v>
      </c>
      <c r="AA26" s="54">
        <v>2</v>
      </c>
      <c r="AB26" s="54">
        <v>1</v>
      </c>
      <c r="AC26" s="54">
        <v>1</v>
      </c>
      <c r="AD26" s="54">
        <v>5</v>
      </c>
      <c r="AE26" s="54">
        <v>1</v>
      </c>
      <c r="AF26" s="54">
        <v>5</v>
      </c>
      <c r="AG26" s="5">
        <f t="shared" si="2"/>
        <v>48</v>
      </c>
    </row>
    <row r="27" spans="1:33" ht="15.75" customHeight="1" thickBot="1" x14ac:dyDescent="0.3">
      <c r="A27" s="57" t="s">
        <v>26</v>
      </c>
      <c r="B27" s="58">
        <v>0</v>
      </c>
      <c r="C27" s="58">
        <v>0</v>
      </c>
      <c r="D27" s="58">
        <v>0</v>
      </c>
      <c r="E27" s="58">
        <v>0</v>
      </c>
      <c r="F27" s="58">
        <v>0</v>
      </c>
      <c r="G27" s="58">
        <v>4</v>
      </c>
      <c r="H27" s="58">
        <v>0</v>
      </c>
      <c r="I27" s="58">
        <v>0</v>
      </c>
      <c r="J27" s="58">
        <v>0</v>
      </c>
      <c r="K27" s="58">
        <v>0</v>
      </c>
      <c r="L27" s="58">
        <v>0</v>
      </c>
      <c r="M27" s="58">
        <v>0</v>
      </c>
      <c r="N27" s="58">
        <v>4</v>
      </c>
      <c r="O27" s="58">
        <v>2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4</v>
      </c>
      <c r="V27" s="58">
        <v>2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B27" s="58">
        <v>3</v>
      </c>
      <c r="AC27" s="58">
        <v>2</v>
      </c>
      <c r="AD27" s="58">
        <v>0</v>
      </c>
      <c r="AE27" s="58">
        <v>0</v>
      </c>
      <c r="AF27" s="58">
        <v>1</v>
      </c>
      <c r="AG27" s="5">
        <f t="shared" si="2"/>
        <v>22</v>
      </c>
    </row>
    <row r="28" spans="1:33" ht="15.75" customHeight="1" x14ac:dyDescent="0.25">
      <c r="A28" s="59" t="s">
        <v>27</v>
      </c>
      <c r="B28" s="6">
        <f t="shared" ref="B28:AF28" si="3">SUM(B29:B52)</f>
        <v>154</v>
      </c>
      <c r="C28" s="6">
        <f t="shared" si="3"/>
        <v>135</v>
      </c>
      <c r="D28" s="6">
        <f t="shared" si="3"/>
        <v>129</v>
      </c>
      <c r="E28" s="6">
        <f t="shared" si="3"/>
        <v>125</v>
      </c>
      <c r="F28" s="6">
        <f t="shared" si="3"/>
        <v>123</v>
      </c>
      <c r="G28" s="6">
        <f t="shared" si="3"/>
        <v>201</v>
      </c>
      <c r="H28" s="6">
        <f t="shared" si="3"/>
        <v>182</v>
      </c>
      <c r="I28" s="6">
        <f t="shared" si="3"/>
        <v>138</v>
      </c>
      <c r="J28" s="6">
        <f t="shared" si="3"/>
        <v>123</v>
      </c>
      <c r="K28" s="6">
        <f t="shared" si="3"/>
        <v>122</v>
      </c>
      <c r="L28" s="6">
        <f t="shared" si="3"/>
        <v>134</v>
      </c>
      <c r="M28" s="6">
        <f t="shared" si="3"/>
        <v>123</v>
      </c>
      <c r="N28" s="6">
        <f t="shared" si="3"/>
        <v>172</v>
      </c>
      <c r="O28" s="6">
        <f t="shared" si="3"/>
        <v>169</v>
      </c>
      <c r="P28" s="6">
        <f t="shared" si="3"/>
        <v>132</v>
      </c>
      <c r="Q28" s="6">
        <f t="shared" si="3"/>
        <v>130</v>
      </c>
      <c r="R28" s="6">
        <f t="shared" si="3"/>
        <v>125</v>
      </c>
      <c r="S28" s="6">
        <f t="shared" si="3"/>
        <v>111</v>
      </c>
      <c r="T28" s="6">
        <f t="shared" si="3"/>
        <v>116</v>
      </c>
      <c r="U28" s="6">
        <f t="shared" si="3"/>
        <v>179</v>
      </c>
      <c r="V28" s="6">
        <f t="shared" si="3"/>
        <v>184</v>
      </c>
      <c r="W28" s="6">
        <f t="shared" si="3"/>
        <v>119</v>
      </c>
      <c r="X28" s="6">
        <f t="shared" si="3"/>
        <v>135</v>
      </c>
      <c r="Y28" s="6">
        <f t="shared" si="3"/>
        <v>113</v>
      </c>
      <c r="Z28" s="6">
        <f t="shared" si="3"/>
        <v>115</v>
      </c>
      <c r="AA28" s="6">
        <f t="shared" si="3"/>
        <v>127</v>
      </c>
      <c r="AB28" s="6">
        <f t="shared" si="3"/>
        <v>200</v>
      </c>
      <c r="AC28" s="6">
        <f t="shared" si="3"/>
        <v>166</v>
      </c>
      <c r="AD28" s="6">
        <f t="shared" si="3"/>
        <v>143</v>
      </c>
      <c r="AE28" s="6">
        <f t="shared" si="3"/>
        <v>119</v>
      </c>
      <c r="AF28" s="6">
        <f t="shared" si="3"/>
        <v>136</v>
      </c>
      <c r="AG28" s="7">
        <f t="shared" si="2"/>
        <v>4380</v>
      </c>
    </row>
    <row r="29" spans="1:33" ht="15.75" customHeight="1" x14ac:dyDescent="0.25">
      <c r="A29" s="53" t="s">
        <v>3</v>
      </c>
      <c r="B29" s="54">
        <v>1</v>
      </c>
      <c r="C29" s="55">
        <v>0</v>
      </c>
      <c r="D29" s="55">
        <v>0</v>
      </c>
      <c r="E29" s="55">
        <v>0</v>
      </c>
      <c r="F29" s="55">
        <v>0</v>
      </c>
      <c r="G29" s="55">
        <v>6</v>
      </c>
      <c r="H29" s="55">
        <v>4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5">
        <v>9</v>
      </c>
      <c r="O29" s="55">
        <v>4</v>
      </c>
      <c r="P29" s="55">
        <v>0</v>
      </c>
      <c r="Q29" s="55">
        <v>0</v>
      </c>
      <c r="R29" s="55">
        <v>0</v>
      </c>
      <c r="S29" s="55">
        <v>0</v>
      </c>
      <c r="T29" s="55">
        <v>0</v>
      </c>
      <c r="U29" s="55">
        <v>6</v>
      </c>
      <c r="V29" s="55">
        <v>1</v>
      </c>
      <c r="W29" s="55">
        <v>0</v>
      </c>
      <c r="X29" s="55">
        <v>0</v>
      </c>
      <c r="Y29" s="55">
        <v>0</v>
      </c>
      <c r="Z29" s="55">
        <v>0</v>
      </c>
      <c r="AA29" s="55">
        <v>0</v>
      </c>
      <c r="AB29" s="55">
        <v>2</v>
      </c>
      <c r="AC29" s="55">
        <v>4</v>
      </c>
      <c r="AD29" s="54">
        <v>0</v>
      </c>
      <c r="AE29" s="54">
        <v>0</v>
      </c>
      <c r="AF29" s="54">
        <v>0</v>
      </c>
      <c r="AG29" s="5">
        <f t="shared" si="2"/>
        <v>37</v>
      </c>
    </row>
    <row r="30" spans="1:33" ht="15.75" customHeight="1" x14ac:dyDescent="0.25">
      <c r="A30" s="56" t="s">
        <v>4</v>
      </c>
      <c r="B30" s="54">
        <v>7</v>
      </c>
      <c r="C30" s="54">
        <v>0</v>
      </c>
      <c r="D30" s="54">
        <v>0</v>
      </c>
      <c r="E30" s="54">
        <v>0</v>
      </c>
      <c r="F30" s="54">
        <v>0</v>
      </c>
      <c r="G30" s="54">
        <v>18</v>
      </c>
      <c r="H30" s="54">
        <v>11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4</v>
      </c>
      <c r="O30" s="54">
        <v>5</v>
      </c>
      <c r="P30" s="54">
        <v>0</v>
      </c>
      <c r="Q30" s="54">
        <v>0</v>
      </c>
      <c r="R30" s="54">
        <v>0</v>
      </c>
      <c r="S30" s="54">
        <v>0</v>
      </c>
      <c r="T30" s="54">
        <v>0</v>
      </c>
      <c r="U30" s="54">
        <v>1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8</v>
      </c>
      <c r="AC30" s="54">
        <v>1</v>
      </c>
      <c r="AD30" s="54">
        <v>0</v>
      </c>
      <c r="AE30" s="54">
        <v>0</v>
      </c>
      <c r="AF30" s="54">
        <v>0</v>
      </c>
      <c r="AG30" s="5">
        <f t="shared" si="2"/>
        <v>55</v>
      </c>
    </row>
    <row r="31" spans="1:33" ht="15.75" customHeight="1" x14ac:dyDescent="0.25">
      <c r="A31" s="56" t="s">
        <v>5</v>
      </c>
      <c r="B31" s="54">
        <v>6</v>
      </c>
      <c r="C31" s="54">
        <v>0</v>
      </c>
      <c r="D31" s="54">
        <v>0</v>
      </c>
      <c r="E31" s="54">
        <v>0</v>
      </c>
      <c r="F31" s="54">
        <v>0</v>
      </c>
      <c r="G31" s="54">
        <v>5</v>
      </c>
      <c r="H31" s="54">
        <v>6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6</v>
      </c>
      <c r="O31" s="54">
        <v>6</v>
      </c>
      <c r="P31" s="54">
        <v>0</v>
      </c>
      <c r="Q31" s="54">
        <v>0</v>
      </c>
      <c r="R31" s="54">
        <v>0</v>
      </c>
      <c r="S31" s="54">
        <v>0</v>
      </c>
      <c r="T31" s="54">
        <v>0</v>
      </c>
      <c r="U31" s="54">
        <v>11</v>
      </c>
      <c r="V31" s="54">
        <v>4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10</v>
      </c>
      <c r="AC31" s="54">
        <v>7</v>
      </c>
      <c r="AD31" s="54">
        <v>0</v>
      </c>
      <c r="AE31" s="54">
        <v>0</v>
      </c>
      <c r="AF31" s="54">
        <v>0</v>
      </c>
      <c r="AG31" s="5">
        <f t="shared" si="2"/>
        <v>61</v>
      </c>
    </row>
    <row r="32" spans="1:33" ht="15.75" customHeight="1" x14ac:dyDescent="0.25">
      <c r="A32" s="56" t="s">
        <v>6</v>
      </c>
      <c r="B32" s="54">
        <v>3</v>
      </c>
      <c r="C32" s="54">
        <v>0</v>
      </c>
      <c r="D32" s="54">
        <v>0</v>
      </c>
      <c r="E32" s="54">
        <v>0</v>
      </c>
      <c r="F32" s="54">
        <v>0</v>
      </c>
      <c r="G32" s="54">
        <v>14</v>
      </c>
      <c r="H32" s="54">
        <v>10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20</v>
      </c>
      <c r="O32" s="54">
        <v>7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13</v>
      </c>
      <c r="V32" s="54">
        <v>7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14</v>
      </c>
      <c r="AC32" s="54">
        <v>8</v>
      </c>
      <c r="AD32" s="54">
        <v>0</v>
      </c>
      <c r="AE32" s="54">
        <v>0</v>
      </c>
      <c r="AF32" s="54">
        <v>0</v>
      </c>
      <c r="AG32" s="5">
        <f t="shared" si="2"/>
        <v>96</v>
      </c>
    </row>
    <row r="33" spans="1:33" ht="15.75" customHeight="1" x14ac:dyDescent="0.25">
      <c r="A33" s="56" t="s">
        <v>7</v>
      </c>
      <c r="B33" s="54">
        <v>1</v>
      </c>
      <c r="C33" s="54">
        <v>0</v>
      </c>
      <c r="D33" s="54">
        <v>0</v>
      </c>
      <c r="E33" s="54">
        <v>0</v>
      </c>
      <c r="F33" s="54">
        <v>0</v>
      </c>
      <c r="G33" s="54">
        <v>14</v>
      </c>
      <c r="H33" s="54">
        <v>10</v>
      </c>
      <c r="I33" s="54">
        <v>0</v>
      </c>
      <c r="J33" s="54">
        <v>0</v>
      </c>
      <c r="K33" s="54">
        <v>0</v>
      </c>
      <c r="L33" s="54">
        <v>0</v>
      </c>
      <c r="M33" s="54">
        <v>0</v>
      </c>
      <c r="N33" s="54">
        <v>7</v>
      </c>
      <c r="O33" s="54">
        <v>9</v>
      </c>
      <c r="P33" s="54">
        <v>0</v>
      </c>
      <c r="Q33" s="54">
        <v>0</v>
      </c>
      <c r="R33" s="54">
        <v>0</v>
      </c>
      <c r="S33" s="54">
        <v>0</v>
      </c>
      <c r="T33" s="54">
        <v>0</v>
      </c>
      <c r="U33" s="54">
        <v>8</v>
      </c>
      <c r="V33" s="54">
        <v>9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10</v>
      </c>
      <c r="AC33" s="54">
        <v>12</v>
      </c>
      <c r="AD33" s="54">
        <v>0</v>
      </c>
      <c r="AE33" s="54">
        <v>0</v>
      </c>
      <c r="AF33" s="54">
        <v>0</v>
      </c>
      <c r="AG33" s="5">
        <f t="shared" si="2"/>
        <v>80</v>
      </c>
    </row>
    <row r="34" spans="1:33" ht="15.75" customHeight="1" x14ac:dyDescent="0.25">
      <c r="A34" s="56" t="s">
        <v>8</v>
      </c>
      <c r="B34" s="54">
        <v>3</v>
      </c>
      <c r="C34" s="54">
        <v>0</v>
      </c>
      <c r="D34" s="54">
        <v>0</v>
      </c>
      <c r="E34" s="54">
        <v>0</v>
      </c>
      <c r="F34" s="54">
        <v>0</v>
      </c>
      <c r="G34" s="54">
        <v>9</v>
      </c>
      <c r="H34" s="54">
        <v>7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8</v>
      </c>
      <c r="O34" s="54">
        <v>8</v>
      </c>
      <c r="P34" s="54">
        <v>0</v>
      </c>
      <c r="Q34" s="54">
        <v>0</v>
      </c>
      <c r="R34" s="54">
        <v>0</v>
      </c>
      <c r="S34" s="54">
        <v>0</v>
      </c>
      <c r="T34" s="54">
        <v>0</v>
      </c>
      <c r="U34" s="54">
        <v>8</v>
      </c>
      <c r="V34" s="54">
        <v>7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12</v>
      </c>
      <c r="AC34" s="54">
        <v>12</v>
      </c>
      <c r="AD34" s="54">
        <v>0</v>
      </c>
      <c r="AE34" s="54">
        <v>0</v>
      </c>
      <c r="AF34" s="54">
        <v>0</v>
      </c>
      <c r="AG34" s="5">
        <f t="shared" si="2"/>
        <v>74</v>
      </c>
    </row>
    <row r="35" spans="1:33" ht="15.75" customHeight="1" x14ac:dyDescent="0.25">
      <c r="A35" s="56" t="s">
        <v>9</v>
      </c>
      <c r="B35" s="54">
        <v>4</v>
      </c>
      <c r="C35" s="54">
        <v>0</v>
      </c>
      <c r="D35" s="54">
        <v>0</v>
      </c>
      <c r="E35" s="54">
        <v>0</v>
      </c>
      <c r="F35" s="54">
        <v>0</v>
      </c>
      <c r="G35" s="54">
        <v>11</v>
      </c>
      <c r="H35" s="54">
        <v>8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12</v>
      </c>
      <c r="O35" s="54">
        <v>14</v>
      </c>
      <c r="P35" s="54">
        <v>0</v>
      </c>
      <c r="Q35" s="54">
        <v>0</v>
      </c>
      <c r="R35" s="54">
        <v>0</v>
      </c>
      <c r="S35" s="54">
        <v>0</v>
      </c>
      <c r="T35" s="54">
        <v>0</v>
      </c>
      <c r="U35" s="54">
        <v>12</v>
      </c>
      <c r="V35" s="54">
        <v>10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17</v>
      </c>
      <c r="AC35" s="54">
        <v>8</v>
      </c>
      <c r="AD35" s="54">
        <v>0</v>
      </c>
      <c r="AE35" s="54">
        <v>0</v>
      </c>
      <c r="AF35" s="54">
        <v>0</v>
      </c>
      <c r="AG35" s="5">
        <f t="shared" si="2"/>
        <v>96</v>
      </c>
    </row>
    <row r="36" spans="1:33" ht="15.75" customHeight="1" x14ac:dyDescent="0.25">
      <c r="A36" s="56" t="s">
        <v>10</v>
      </c>
      <c r="B36" s="54">
        <v>4</v>
      </c>
      <c r="C36" s="54">
        <v>0</v>
      </c>
      <c r="D36" s="54">
        <v>0</v>
      </c>
      <c r="E36" s="54">
        <v>0</v>
      </c>
      <c r="F36" s="54">
        <v>0</v>
      </c>
      <c r="G36" s="54">
        <v>6</v>
      </c>
      <c r="H36" s="54">
        <v>11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12</v>
      </c>
      <c r="O36" s="54">
        <v>13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12</v>
      </c>
      <c r="V36" s="54">
        <v>5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6</v>
      </c>
      <c r="AC36" s="54">
        <v>6</v>
      </c>
      <c r="AD36" s="54">
        <v>0</v>
      </c>
      <c r="AE36" s="54">
        <v>0</v>
      </c>
      <c r="AF36" s="54">
        <v>0</v>
      </c>
      <c r="AG36" s="5">
        <f t="shared" si="2"/>
        <v>75</v>
      </c>
    </row>
    <row r="37" spans="1:33" ht="15.75" customHeight="1" x14ac:dyDescent="0.25">
      <c r="A37" s="56" t="s">
        <v>11</v>
      </c>
      <c r="B37" s="54">
        <v>5</v>
      </c>
      <c r="C37" s="54">
        <v>0</v>
      </c>
      <c r="D37" s="54">
        <v>0</v>
      </c>
      <c r="E37" s="54">
        <v>0</v>
      </c>
      <c r="F37" s="54">
        <v>2</v>
      </c>
      <c r="G37" s="54">
        <v>7</v>
      </c>
      <c r="H37" s="54">
        <v>14</v>
      </c>
      <c r="I37" s="54">
        <v>0</v>
      </c>
      <c r="J37" s="54">
        <v>0</v>
      </c>
      <c r="K37" s="54">
        <v>0</v>
      </c>
      <c r="L37" s="54">
        <v>0</v>
      </c>
      <c r="M37" s="54">
        <v>9</v>
      </c>
      <c r="N37" s="54">
        <v>0</v>
      </c>
      <c r="O37" s="54">
        <v>12</v>
      </c>
      <c r="P37" s="54">
        <v>0</v>
      </c>
      <c r="Q37" s="54">
        <v>0</v>
      </c>
      <c r="R37" s="54">
        <v>0</v>
      </c>
      <c r="S37" s="54">
        <v>0</v>
      </c>
      <c r="T37" s="54">
        <v>7</v>
      </c>
      <c r="U37" s="54">
        <v>13</v>
      </c>
      <c r="V37" s="54">
        <v>17</v>
      </c>
      <c r="W37" s="54">
        <v>0</v>
      </c>
      <c r="X37" s="54">
        <v>0</v>
      </c>
      <c r="Y37" s="54">
        <v>0</v>
      </c>
      <c r="Z37" s="54">
        <v>0</v>
      </c>
      <c r="AA37" s="54">
        <v>3</v>
      </c>
      <c r="AB37" s="54">
        <v>14</v>
      </c>
      <c r="AC37" s="54">
        <v>15</v>
      </c>
      <c r="AD37" s="54">
        <v>0</v>
      </c>
      <c r="AE37" s="54">
        <v>0</v>
      </c>
      <c r="AF37" s="54">
        <v>0</v>
      </c>
      <c r="AG37" s="5">
        <f t="shared" si="2"/>
        <v>118</v>
      </c>
    </row>
    <row r="38" spans="1:33" ht="15.75" customHeight="1" x14ac:dyDescent="0.25">
      <c r="A38" s="56" t="s">
        <v>12</v>
      </c>
      <c r="B38" s="54">
        <v>7</v>
      </c>
      <c r="C38" s="54">
        <v>9</v>
      </c>
      <c r="D38" s="54">
        <v>10</v>
      </c>
      <c r="E38" s="54">
        <v>4</v>
      </c>
      <c r="F38" s="54">
        <v>11</v>
      </c>
      <c r="G38" s="54">
        <v>13</v>
      </c>
      <c r="H38" s="54">
        <v>11</v>
      </c>
      <c r="I38" s="54">
        <v>11</v>
      </c>
      <c r="J38" s="54">
        <v>7</v>
      </c>
      <c r="K38" s="54">
        <v>11</v>
      </c>
      <c r="L38" s="54">
        <v>6</v>
      </c>
      <c r="M38" s="54">
        <v>15</v>
      </c>
      <c r="N38" s="54">
        <v>11</v>
      </c>
      <c r="O38" s="54">
        <v>13</v>
      </c>
      <c r="P38" s="54">
        <v>10</v>
      </c>
      <c r="Q38" s="54">
        <v>8</v>
      </c>
      <c r="R38" s="54">
        <v>10</v>
      </c>
      <c r="S38" s="54">
        <v>12</v>
      </c>
      <c r="T38" s="54">
        <v>10</v>
      </c>
      <c r="U38" s="54">
        <v>12</v>
      </c>
      <c r="V38" s="54">
        <v>12</v>
      </c>
      <c r="W38" s="54">
        <v>5</v>
      </c>
      <c r="X38" s="54">
        <v>10</v>
      </c>
      <c r="Y38" s="54">
        <v>3</v>
      </c>
      <c r="Z38" s="54">
        <v>7</v>
      </c>
      <c r="AA38" s="54">
        <v>12</v>
      </c>
      <c r="AB38" s="54">
        <v>1</v>
      </c>
      <c r="AC38" s="54">
        <v>10</v>
      </c>
      <c r="AD38" s="54">
        <v>9</v>
      </c>
      <c r="AE38" s="54">
        <v>14</v>
      </c>
      <c r="AF38" s="54">
        <v>9</v>
      </c>
      <c r="AG38" s="5">
        <f t="shared" si="2"/>
        <v>293</v>
      </c>
    </row>
    <row r="39" spans="1:33" ht="15.75" customHeight="1" x14ac:dyDescent="0.25">
      <c r="A39" s="56" t="s">
        <v>13</v>
      </c>
      <c r="B39" s="54">
        <v>13</v>
      </c>
      <c r="C39" s="54">
        <v>16</v>
      </c>
      <c r="D39" s="54">
        <v>18</v>
      </c>
      <c r="E39" s="54">
        <v>18</v>
      </c>
      <c r="F39" s="54">
        <v>11</v>
      </c>
      <c r="G39" s="54">
        <v>7</v>
      </c>
      <c r="H39" s="54">
        <v>7</v>
      </c>
      <c r="I39" s="54">
        <v>11</v>
      </c>
      <c r="J39" s="54">
        <v>15</v>
      </c>
      <c r="K39" s="54">
        <v>19</v>
      </c>
      <c r="L39" s="54">
        <v>14</v>
      </c>
      <c r="M39" s="54">
        <v>16</v>
      </c>
      <c r="N39" s="54">
        <v>12</v>
      </c>
      <c r="O39" s="54">
        <v>10</v>
      </c>
      <c r="P39" s="54">
        <v>15</v>
      </c>
      <c r="Q39" s="54">
        <v>18</v>
      </c>
      <c r="R39" s="54">
        <v>19</v>
      </c>
      <c r="S39" s="54">
        <v>20</v>
      </c>
      <c r="T39" s="54">
        <v>17</v>
      </c>
      <c r="U39" s="54">
        <v>9</v>
      </c>
      <c r="V39" s="54">
        <v>10</v>
      </c>
      <c r="W39" s="54">
        <v>16</v>
      </c>
      <c r="X39" s="54">
        <v>17</v>
      </c>
      <c r="Y39" s="54">
        <v>9</v>
      </c>
      <c r="Z39" s="54">
        <v>16</v>
      </c>
      <c r="AA39" s="54">
        <v>19</v>
      </c>
      <c r="AB39" s="54">
        <v>21</v>
      </c>
      <c r="AC39" s="54">
        <v>11</v>
      </c>
      <c r="AD39" s="54">
        <v>18</v>
      </c>
      <c r="AE39" s="54">
        <v>14</v>
      </c>
      <c r="AF39" s="54">
        <v>15</v>
      </c>
      <c r="AG39" s="5">
        <f t="shared" si="2"/>
        <v>451</v>
      </c>
    </row>
    <row r="40" spans="1:33" ht="15.75" customHeight="1" x14ac:dyDescent="0.25">
      <c r="A40" s="56" t="s">
        <v>14</v>
      </c>
      <c r="B40" s="54">
        <v>23</v>
      </c>
      <c r="C40" s="54">
        <v>17</v>
      </c>
      <c r="D40" s="54">
        <v>17</v>
      </c>
      <c r="E40" s="54">
        <v>21</v>
      </c>
      <c r="F40" s="54">
        <v>14</v>
      </c>
      <c r="G40" s="54">
        <v>30</v>
      </c>
      <c r="H40" s="54">
        <v>10</v>
      </c>
      <c r="I40" s="54">
        <v>21</v>
      </c>
      <c r="J40" s="54">
        <v>23</v>
      </c>
      <c r="K40" s="54">
        <v>22</v>
      </c>
      <c r="L40" s="54">
        <v>19</v>
      </c>
      <c r="M40" s="54">
        <v>18</v>
      </c>
      <c r="N40" s="54">
        <v>9</v>
      </c>
      <c r="O40" s="54">
        <v>11</v>
      </c>
      <c r="P40" s="54">
        <v>20</v>
      </c>
      <c r="Q40" s="54">
        <v>22</v>
      </c>
      <c r="R40" s="54">
        <v>19</v>
      </c>
      <c r="S40" s="54">
        <v>20</v>
      </c>
      <c r="T40" s="54">
        <v>19</v>
      </c>
      <c r="U40" s="54">
        <v>13</v>
      </c>
      <c r="V40" s="54">
        <v>11</v>
      </c>
      <c r="W40" s="54">
        <v>23</v>
      </c>
      <c r="X40" s="54">
        <v>16</v>
      </c>
      <c r="Y40" s="54">
        <v>19</v>
      </c>
      <c r="Z40" s="54">
        <v>20</v>
      </c>
      <c r="AA40" s="54">
        <v>21</v>
      </c>
      <c r="AB40" s="54">
        <v>19</v>
      </c>
      <c r="AC40" s="54">
        <v>11</v>
      </c>
      <c r="AD40" s="54">
        <v>30</v>
      </c>
      <c r="AE40" s="54">
        <v>21</v>
      </c>
      <c r="AF40" s="54">
        <v>18</v>
      </c>
      <c r="AG40" s="5">
        <f t="shared" si="2"/>
        <v>577</v>
      </c>
    </row>
    <row r="41" spans="1:33" ht="15.75" customHeight="1" x14ac:dyDescent="0.25">
      <c r="A41" s="56" t="s">
        <v>15</v>
      </c>
      <c r="B41" s="54">
        <v>11</v>
      </c>
      <c r="C41" s="54">
        <v>21</v>
      </c>
      <c r="D41" s="54">
        <v>15</v>
      </c>
      <c r="E41" s="54">
        <v>22</v>
      </c>
      <c r="F41" s="54">
        <v>17</v>
      </c>
      <c r="G41" s="54">
        <v>14</v>
      </c>
      <c r="H41" s="54">
        <v>13</v>
      </c>
      <c r="I41" s="54">
        <v>16</v>
      </c>
      <c r="J41" s="54">
        <v>18</v>
      </c>
      <c r="K41" s="54">
        <v>19</v>
      </c>
      <c r="L41" s="54">
        <v>16</v>
      </c>
      <c r="M41" s="54">
        <v>14</v>
      </c>
      <c r="N41" s="54">
        <v>8</v>
      </c>
      <c r="O41" s="54">
        <v>16</v>
      </c>
      <c r="P41" s="54">
        <v>14</v>
      </c>
      <c r="Q41" s="54">
        <v>22</v>
      </c>
      <c r="R41" s="54">
        <v>22</v>
      </c>
      <c r="S41" s="54">
        <v>16</v>
      </c>
      <c r="T41" s="54">
        <v>16</v>
      </c>
      <c r="U41" s="54">
        <v>8</v>
      </c>
      <c r="V41" s="54">
        <v>19</v>
      </c>
      <c r="W41" s="54">
        <v>13</v>
      </c>
      <c r="X41" s="54">
        <v>16</v>
      </c>
      <c r="Y41" s="54">
        <v>19</v>
      </c>
      <c r="Z41" s="54">
        <v>20</v>
      </c>
      <c r="AA41" s="54">
        <v>18</v>
      </c>
      <c r="AB41" s="54">
        <v>11</v>
      </c>
      <c r="AC41" s="54">
        <v>9</v>
      </c>
      <c r="AD41" s="54">
        <v>15</v>
      </c>
      <c r="AE41" s="54">
        <v>20</v>
      </c>
      <c r="AF41" s="54">
        <v>18</v>
      </c>
      <c r="AG41" s="5">
        <f t="shared" si="2"/>
        <v>496</v>
      </c>
    </row>
    <row r="42" spans="1:33" ht="15.75" customHeight="1" x14ac:dyDescent="0.25">
      <c r="A42" s="56" t="s">
        <v>16</v>
      </c>
      <c r="B42" s="54">
        <v>12</v>
      </c>
      <c r="C42" s="54">
        <v>15</v>
      </c>
      <c r="D42" s="54">
        <v>17</v>
      </c>
      <c r="E42" s="54">
        <v>12</v>
      </c>
      <c r="F42" s="54">
        <v>14</v>
      </c>
      <c r="G42" s="54">
        <v>11</v>
      </c>
      <c r="H42" s="54">
        <v>10</v>
      </c>
      <c r="I42" s="54">
        <v>16</v>
      </c>
      <c r="J42" s="54">
        <v>20</v>
      </c>
      <c r="K42" s="54">
        <v>16</v>
      </c>
      <c r="L42" s="54">
        <v>16</v>
      </c>
      <c r="M42" s="54">
        <v>12</v>
      </c>
      <c r="N42" s="54">
        <v>15</v>
      </c>
      <c r="O42" s="54">
        <v>9</v>
      </c>
      <c r="P42" s="54">
        <v>22</v>
      </c>
      <c r="Q42" s="54">
        <v>23</v>
      </c>
      <c r="R42" s="54">
        <v>17</v>
      </c>
      <c r="S42" s="54">
        <v>10</v>
      </c>
      <c r="T42" s="54">
        <v>11</v>
      </c>
      <c r="U42" s="54">
        <v>7</v>
      </c>
      <c r="V42" s="54">
        <v>12</v>
      </c>
      <c r="W42" s="54">
        <v>22</v>
      </c>
      <c r="X42" s="54">
        <v>8</v>
      </c>
      <c r="Y42" s="54">
        <v>13</v>
      </c>
      <c r="Z42" s="54">
        <v>11</v>
      </c>
      <c r="AA42" s="54">
        <v>8</v>
      </c>
      <c r="AB42" s="54">
        <v>7</v>
      </c>
      <c r="AC42" s="54">
        <v>11</v>
      </c>
      <c r="AD42" s="54">
        <v>18</v>
      </c>
      <c r="AE42" s="54">
        <v>17</v>
      </c>
      <c r="AF42" s="54">
        <v>15</v>
      </c>
      <c r="AG42" s="5">
        <f t="shared" si="2"/>
        <v>427</v>
      </c>
    </row>
    <row r="43" spans="1:33" ht="15.75" customHeight="1" x14ac:dyDescent="0.25">
      <c r="A43" s="56" t="s">
        <v>17</v>
      </c>
      <c r="B43" s="54">
        <v>7</v>
      </c>
      <c r="C43" s="54">
        <v>8</v>
      </c>
      <c r="D43" s="54">
        <v>6</v>
      </c>
      <c r="E43" s="54">
        <v>11</v>
      </c>
      <c r="F43" s="54">
        <v>11</v>
      </c>
      <c r="G43" s="54">
        <v>14</v>
      </c>
      <c r="H43" s="54">
        <v>16</v>
      </c>
      <c r="I43" s="54">
        <v>9</v>
      </c>
      <c r="J43" s="54">
        <v>6</v>
      </c>
      <c r="K43" s="54">
        <v>10</v>
      </c>
      <c r="L43" s="54">
        <v>10</v>
      </c>
      <c r="M43" s="54">
        <v>3</v>
      </c>
      <c r="N43" s="54">
        <v>6</v>
      </c>
      <c r="O43" s="54">
        <v>11</v>
      </c>
      <c r="P43" s="54">
        <v>8</v>
      </c>
      <c r="Q43" s="54">
        <v>4</v>
      </c>
      <c r="R43" s="54">
        <v>8</v>
      </c>
      <c r="S43" s="54">
        <v>6</v>
      </c>
      <c r="T43" s="54">
        <v>9</v>
      </c>
      <c r="U43" s="54">
        <v>7</v>
      </c>
      <c r="V43" s="54">
        <v>10</v>
      </c>
      <c r="W43" s="54">
        <v>13</v>
      </c>
      <c r="X43" s="54">
        <v>11</v>
      </c>
      <c r="Y43" s="54">
        <v>15</v>
      </c>
      <c r="Z43" s="54">
        <v>8</v>
      </c>
      <c r="AA43" s="54">
        <v>12</v>
      </c>
      <c r="AB43" s="54">
        <v>4</v>
      </c>
      <c r="AC43" s="54">
        <v>9</v>
      </c>
      <c r="AD43" s="54">
        <v>15</v>
      </c>
      <c r="AE43" s="54">
        <v>7</v>
      </c>
      <c r="AF43" s="54">
        <v>18</v>
      </c>
      <c r="AG43" s="5">
        <f t="shared" si="2"/>
        <v>292</v>
      </c>
    </row>
    <row r="44" spans="1:33" ht="15.75" customHeight="1" x14ac:dyDescent="0.25">
      <c r="A44" s="56" t="s">
        <v>18</v>
      </c>
      <c r="B44" s="54">
        <v>18</v>
      </c>
      <c r="C44" s="54">
        <v>7</v>
      </c>
      <c r="D44" s="54">
        <v>6</v>
      </c>
      <c r="E44" s="54">
        <v>8</v>
      </c>
      <c r="F44" s="54">
        <v>10</v>
      </c>
      <c r="G44" s="54">
        <v>10</v>
      </c>
      <c r="H44" s="54">
        <v>9</v>
      </c>
      <c r="I44" s="54">
        <v>13</v>
      </c>
      <c r="J44" s="54">
        <v>10</v>
      </c>
      <c r="K44" s="54">
        <v>9</v>
      </c>
      <c r="L44" s="54">
        <v>10</v>
      </c>
      <c r="M44" s="54">
        <v>8</v>
      </c>
      <c r="N44" s="54">
        <v>12</v>
      </c>
      <c r="O44" s="54">
        <v>4</v>
      </c>
      <c r="P44" s="54">
        <v>0</v>
      </c>
      <c r="Q44" s="54">
        <v>4</v>
      </c>
      <c r="R44" s="54">
        <v>9</v>
      </c>
      <c r="S44" s="54">
        <v>5</v>
      </c>
      <c r="T44" s="54">
        <v>7</v>
      </c>
      <c r="U44" s="54">
        <v>16</v>
      </c>
      <c r="V44" s="54">
        <v>13</v>
      </c>
      <c r="W44" s="54">
        <v>6</v>
      </c>
      <c r="X44" s="54">
        <v>9</v>
      </c>
      <c r="Y44" s="54">
        <v>10</v>
      </c>
      <c r="Z44" s="54">
        <v>7</v>
      </c>
      <c r="AA44" s="54">
        <v>4</v>
      </c>
      <c r="AB44" s="54">
        <v>11</v>
      </c>
      <c r="AC44" s="54">
        <v>8</v>
      </c>
      <c r="AD44" s="54">
        <v>6</v>
      </c>
      <c r="AE44" s="54">
        <v>10</v>
      </c>
      <c r="AF44" s="54">
        <v>13</v>
      </c>
      <c r="AG44" s="5">
        <f t="shared" si="2"/>
        <v>272</v>
      </c>
    </row>
    <row r="45" spans="1:33" ht="15.75" customHeight="1" x14ac:dyDescent="0.25">
      <c r="A45" s="56" t="s">
        <v>19</v>
      </c>
      <c r="B45" s="54">
        <v>20</v>
      </c>
      <c r="C45" s="54">
        <v>12</v>
      </c>
      <c r="D45" s="54">
        <v>8</v>
      </c>
      <c r="E45" s="54">
        <v>10</v>
      </c>
      <c r="F45" s="54">
        <v>8</v>
      </c>
      <c r="G45" s="54">
        <v>1</v>
      </c>
      <c r="H45" s="54">
        <v>5</v>
      </c>
      <c r="I45" s="54">
        <v>13</v>
      </c>
      <c r="J45" s="54">
        <v>9</v>
      </c>
      <c r="K45" s="54">
        <v>4</v>
      </c>
      <c r="L45" s="54">
        <v>15</v>
      </c>
      <c r="M45" s="54">
        <v>13</v>
      </c>
      <c r="N45" s="54">
        <v>2</v>
      </c>
      <c r="O45" s="54">
        <v>12</v>
      </c>
      <c r="P45" s="54">
        <v>16</v>
      </c>
      <c r="Q45" s="54">
        <v>9</v>
      </c>
      <c r="R45" s="54">
        <v>10</v>
      </c>
      <c r="S45" s="54">
        <v>6</v>
      </c>
      <c r="T45" s="54">
        <v>5</v>
      </c>
      <c r="U45" s="54">
        <v>3</v>
      </c>
      <c r="V45" s="54">
        <v>8</v>
      </c>
      <c r="W45" s="54">
        <v>5</v>
      </c>
      <c r="X45" s="54">
        <v>11</v>
      </c>
      <c r="Y45" s="54">
        <v>12</v>
      </c>
      <c r="Z45" s="54">
        <v>12</v>
      </c>
      <c r="AA45" s="54">
        <v>10</v>
      </c>
      <c r="AB45" s="54">
        <v>10</v>
      </c>
      <c r="AC45" s="54">
        <v>11</v>
      </c>
      <c r="AD45" s="54">
        <v>8</v>
      </c>
      <c r="AE45" s="54">
        <v>10</v>
      </c>
      <c r="AF45" s="54">
        <v>4</v>
      </c>
      <c r="AG45" s="5">
        <f t="shared" si="2"/>
        <v>282</v>
      </c>
    </row>
    <row r="46" spans="1:33" ht="15.75" customHeight="1" x14ac:dyDescent="0.25">
      <c r="A46" s="56" t="s">
        <v>20</v>
      </c>
      <c r="B46" s="54">
        <v>4</v>
      </c>
      <c r="C46" s="54">
        <v>16</v>
      </c>
      <c r="D46" s="54">
        <v>19</v>
      </c>
      <c r="E46" s="54">
        <v>6</v>
      </c>
      <c r="F46" s="54">
        <v>12</v>
      </c>
      <c r="G46" s="54">
        <v>0</v>
      </c>
      <c r="H46" s="54">
        <v>6</v>
      </c>
      <c r="I46" s="54">
        <v>8</v>
      </c>
      <c r="J46" s="54">
        <v>1</v>
      </c>
      <c r="K46" s="54">
        <v>5</v>
      </c>
      <c r="L46" s="54">
        <v>10</v>
      </c>
      <c r="M46" s="54">
        <v>8</v>
      </c>
      <c r="N46" s="54">
        <v>1</v>
      </c>
      <c r="O46" s="54">
        <v>1</v>
      </c>
      <c r="P46" s="54">
        <v>14</v>
      </c>
      <c r="Q46" s="54">
        <v>6</v>
      </c>
      <c r="R46" s="54">
        <v>6</v>
      </c>
      <c r="S46" s="54">
        <v>12</v>
      </c>
      <c r="T46" s="54">
        <v>5</v>
      </c>
      <c r="U46" s="54">
        <v>9</v>
      </c>
      <c r="V46" s="54">
        <v>11</v>
      </c>
      <c r="W46" s="54">
        <v>5</v>
      </c>
      <c r="X46" s="54">
        <v>18</v>
      </c>
      <c r="Y46" s="54">
        <v>1</v>
      </c>
      <c r="Z46" s="54">
        <v>10</v>
      </c>
      <c r="AA46" s="54">
        <v>6</v>
      </c>
      <c r="AB46" s="54">
        <v>4</v>
      </c>
      <c r="AC46" s="54">
        <v>0</v>
      </c>
      <c r="AD46" s="54">
        <v>3</v>
      </c>
      <c r="AE46" s="54">
        <v>3</v>
      </c>
      <c r="AF46" s="54">
        <v>10</v>
      </c>
      <c r="AG46" s="5">
        <f t="shared" si="2"/>
        <v>220</v>
      </c>
    </row>
    <row r="47" spans="1:33" ht="15.75" customHeight="1" x14ac:dyDescent="0.25">
      <c r="A47" s="56" t="s">
        <v>21</v>
      </c>
      <c r="B47" s="54">
        <v>2</v>
      </c>
      <c r="C47" s="54">
        <v>4</v>
      </c>
      <c r="D47" s="54">
        <v>5</v>
      </c>
      <c r="E47" s="54">
        <v>9</v>
      </c>
      <c r="F47" s="54">
        <v>8</v>
      </c>
      <c r="G47" s="54">
        <v>6</v>
      </c>
      <c r="H47" s="54">
        <v>6</v>
      </c>
      <c r="I47" s="54">
        <v>11</v>
      </c>
      <c r="J47" s="54">
        <v>1</v>
      </c>
      <c r="K47" s="54">
        <v>5</v>
      </c>
      <c r="L47" s="54">
        <v>12</v>
      </c>
      <c r="M47" s="54">
        <v>0</v>
      </c>
      <c r="N47" s="54">
        <v>4</v>
      </c>
      <c r="O47" s="54">
        <v>0</v>
      </c>
      <c r="P47" s="54">
        <v>3</v>
      </c>
      <c r="Q47" s="54">
        <v>5</v>
      </c>
      <c r="R47" s="54">
        <v>1</v>
      </c>
      <c r="S47" s="54">
        <v>2</v>
      </c>
      <c r="T47" s="54">
        <v>7</v>
      </c>
      <c r="U47" s="54">
        <v>1</v>
      </c>
      <c r="V47" s="54">
        <v>8</v>
      </c>
      <c r="W47" s="54">
        <v>7</v>
      </c>
      <c r="X47" s="54">
        <v>7</v>
      </c>
      <c r="Y47" s="54">
        <v>4</v>
      </c>
      <c r="Z47" s="54">
        <v>2</v>
      </c>
      <c r="AA47" s="54">
        <v>8</v>
      </c>
      <c r="AB47" s="54">
        <v>6</v>
      </c>
      <c r="AC47" s="54">
        <v>5</v>
      </c>
      <c r="AD47" s="54">
        <v>8</v>
      </c>
      <c r="AE47" s="54">
        <v>0</v>
      </c>
      <c r="AF47" s="54">
        <v>4</v>
      </c>
      <c r="AG47" s="5">
        <f t="shared" si="2"/>
        <v>151</v>
      </c>
    </row>
    <row r="48" spans="1:33" ht="15.75" customHeight="1" x14ac:dyDescent="0.25">
      <c r="A48" s="56" t="s">
        <v>22</v>
      </c>
      <c r="B48" s="54">
        <v>1</v>
      </c>
      <c r="C48" s="54">
        <v>2</v>
      </c>
      <c r="D48" s="54">
        <v>3</v>
      </c>
      <c r="E48" s="54">
        <v>2</v>
      </c>
      <c r="F48" s="54">
        <v>2</v>
      </c>
      <c r="G48" s="54">
        <v>0</v>
      </c>
      <c r="H48" s="54">
        <v>4</v>
      </c>
      <c r="I48" s="54">
        <v>7</v>
      </c>
      <c r="J48" s="54">
        <v>5</v>
      </c>
      <c r="K48" s="54">
        <v>0</v>
      </c>
      <c r="L48" s="54">
        <v>0</v>
      </c>
      <c r="M48" s="54">
        <v>2</v>
      </c>
      <c r="N48" s="54">
        <v>2</v>
      </c>
      <c r="O48" s="54">
        <v>0</v>
      </c>
      <c r="P48" s="54">
        <v>1</v>
      </c>
      <c r="Q48" s="54">
        <v>2</v>
      </c>
      <c r="R48" s="54">
        <v>3</v>
      </c>
      <c r="S48" s="54">
        <v>1</v>
      </c>
      <c r="T48" s="54">
        <v>2</v>
      </c>
      <c r="U48" s="54">
        <v>2</v>
      </c>
      <c r="V48" s="54">
        <v>2</v>
      </c>
      <c r="W48" s="54">
        <v>1</v>
      </c>
      <c r="X48" s="54">
        <v>5</v>
      </c>
      <c r="Y48" s="54">
        <v>4</v>
      </c>
      <c r="Z48" s="54">
        <v>1</v>
      </c>
      <c r="AA48" s="54">
        <v>3</v>
      </c>
      <c r="AB48" s="54">
        <v>1</v>
      </c>
      <c r="AC48" s="54">
        <v>3</v>
      </c>
      <c r="AD48" s="54">
        <v>5</v>
      </c>
      <c r="AE48" s="54">
        <v>0</v>
      </c>
      <c r="AF48" s="54">
        <v>3</v>
      </c>
      <c r="AG48" s="5">
        <f t="shared" si="2"/>
        <v>69</v>
      </c>
    </row>
    <row r="49" spans="1:33" ht="15.75" customHeight="1" x14ac:dyDescent="0.25">
      <c r="A49" s="56" t="s">
        <v>23</v>
      </c>
      <c r="B49" s="54">
        <v>1</v>
      </c>
      <c r="C49" s="54">
        <v>1</v>
      </c>
      <c r="D49" s="54">
        <v>2</v>
      </c>
      <c r="E49" s="54">
        <v>1</v>
      </c>
      <c r="F49" s="54">
        <v>1</v>
      </c>
      <c r="G49" s="54">
        <v>1</v>
      </c>
      <c r="H49" s="54">
        <v>4</v>
      </c>
      <c r="I49" s="54">
        <v>0</v>
      </c>
      <c r="J49" s="54">
        <v>3</v>
      </c>
      <c r="K49" s="54">
        <v>1</v>
      </c>
      <c r="L49" s="54">
        <v>1</v>
      </c>
      <c r="M49" s="54">
        <v>1</v>
      </c>
      <c r="N49" s="54">
        <v>1</v>
      </c>
      <c r="O49" s="54">
        <v>0</v>
      </c>
      <c r="P49" s="54">
        <v>2</v>
      </c>
      <c r="Q49" s="54">
        <v>1</v>
      </c>
      <c r="R49" s="54">
        <v>0</v>
      </c>
      <c r="S49" s="54">
        <v>1</v>
      </c>
      <c r="T49" s="54">
        <v>0</v>
      </c>
      <c r="U49" s="54">
        <v>2</v>
      </c>
      <c r="V49" s="54">
        <v>8</v>
      </c>
      <c r="W49" s="54">
        <v>0</v>
      </c>
      <c r="X49" s="54">
        <v>5</v>
      </c>
      <c r="Y49" s="54">
        <v>0</v>
      </c>
      <c r="Z49" s="54">
        <v>0</v>
      </c>
      <c r="AA49" s="54">
        <v>0</v>
      </c>
      <c r="AB49" s="54">
        <v>4</v>
      </c>
      <c r="AC49" s="54">
        <v>1</v>
      </c>
      <c r="AD49" s="54">
        <v>1</v>
      </c>
      <c r="AE49" s="54">
        <v>1</v>
      </c>
      <c r="AF49" s="54">
        <v>0</v>
      </c>
      <c r="AG49" s="5">
        <f t="shared" si="2"/>
        <v>44</v>
      </c>
    </row>
    <row r="50" spans="1:33" ht="15.75" customHeight="1" x14ac:dyDescent="0.25">
      <c r="A50" s="56" t="s">
        <v>24</v>
      </c>
      <c r="B50" s="54">
        <v>1</v>
      </c>
      <c r="C50" s="54">
        <v>4</v>
      </c>
      <c r="D50" s="54">
        <v>2</v>
      </c>
      <c r="E50" s="54">
        <v>0</v>
      </c>
      <c r="F50" s="54">
        <v>0</v>
      </c>
      <c r="G50" s="54">
        <v>1</v>
      </c>
      <c r="H50" s="54">
        <v>0</v>
      </c>
      <c r="I50" s="54">
        <v>0</v>
      </c>
      <c r="J50" s="54">
        <v>3</v>
      </c>
      <c r="K50" s="54">
        <v>1</v>
      </c>
      <c r="L50" s="54">
        <v>4</v>
      </c>
      <c r="M50" s="54">
        <v>0</v>
      </c>
      <c r="N50" s="54">
        <v>4</v>
      </c>
      <c r="O50" s="54">
        <v>1</v>
      </c>
      <c r="P50" s="54">
        <v>2</v>
      </c>
      <c r="Q50" s="54">
        <v>2</v>
      </c>
      <c r="R50" s="54">
        <v>1</v>
      </c>
      <c r="S50" s="54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1</v>
      </c>
      <c r="Z50" s="54">
        <v>0</v>
      </c>
      <c r="AA50" s="54">
        <v>1</v>
      </c>
      <c r="AB50" s="54">
        <v>3</v>
      </c>
      <c r="AC50" s="54">
        <v>0</v>
      </c>
      <c r="AD50" s="54">
        <v>3</v>
      </c>
      <c r="AE50" s="54">
        <v>1</v>
      </c>
      <c r="AF50" s="54">
        <v>2</v>
      </c>
      <c r="AG50" s="5">
        <f t="shared" si="2"/>
        <v>37</v>
      </c>
    </row>
    <row r="51" spans="1:33" ht="15.75" customHeight="1" x14ac:dyDescent="0.25">
      <c r="A51" s="56" t="s">
        <v>25</v>
      </c>
      <c r="B51" s="54">
        <v>0</v>
      </c>
      <c r="C51" s="54">
        <v>3</v>
      </c>
      <c r="D51" s="54">
        <v>1</v>
      </c>
      <c r="E51" s="54">
        <v>1</v>
      </c>
      <c r="F51" s="54">
        <v>2</v>
      </c>
      <c r="G51" s="54">
        <v>1</v>
      </c>
      <c r="H51" s="54">
        <v>0</v>
      </c>
      <c r="I51" s="54">
        <v>1</v>
      </c>
      <c r="J51" s="54">
        <v>2</v>
      </c>
      <c r="K51" s="54">
        <v>0</v>
      </c>
      <c r="L51" s="54">
        <v>1</v>
      </c>
      <c r="M51" s="54">
        <v>4</v>
      </c>
      <c r="N51" s="54">
        <v>2</v>
      </c>
      <c r="O51" s="54">
        <v>2</v>
      </c>
      <c r="P51" s="54">
        <v>3</v>
      </c>
      <c r="Q51" s="54">
        <v>3</v>
      </c>
      <c r="R51" s="54">
        <v>0</v>
      </c>
      <c r="S51" s="54">
        <v>0</v>
      </c>
      <c r="T51" s="54">
        <v>1</v>
      </c>
      <c r="U51" s="54">
        <v>2</v>
      </c>
      <c r="V51" s="54">
        <v>0</v>
      </c>
      <c r="W51" s="54">
        <v>3</v>
      </c>
      <c r="X51" s="54">
        <v>2</v>
      </c>
      <c r="Y51" s="54">
        <v>2</v>
      </c>
      <c r="Z51" s="54">
        <v>1</v>
      </c>
      <c r="AA51" s="54">
        <v>2</v>
      </c>
      <c r="AB51" s="54">
        <v>3</v>
      </c>
      <c r="AC51" s="54">
        <v>4</v>
      </c>
      <c r="AD51" s="54">
        <v>2</v>
      </c>
      <c r="AE51" s="54">
        <v>1</v>
      </c>
      <c r="AF51" s="54">
        <v>4</v>
      </c>
      <c r="AG51" s="5">
        <f t="shared" si="2"/>
        <v>53</v>
      </c>
    </row>
    <row r="52" spans="1:33" ht="15.75" customHeight="1" thickBot="1" x14ac:dyDescent="0.3">
      <c r="A52" s="57" t="s">
        <v>26</v>
      </c>
      <c r="B52" s="58">
        <v>0</v>
      </c>
      <c r="C52" s="58">
        <v>0</v>
      </c>
      <c r="D52" s="58">
        <v>0</v>
      </c>
      <c r="E52" s="58">
        <v>0</v>
      </c>
      <c r="F52" s="58">
        <v>0</v>
      </c>
      <c r="G52" s="58">
        <v>2</v>
      </c>
      <c r="H52" s="58">
        <v>0</v>
      </c>
      <c r="I52" s="58">
        <v>1</v>
      </c>
      <c r="J52" s="58">
        <v>0</v>
      </c>
      <c r="K52" s="58">
        <v>0</v>
      </c>
      <c r="L52" s="58">
        <v>0</v>
      </c>
      <c r="M52" s="58">
        <v>0</v>
      </c>
      <c r="N52" s="58">
        <v>5</v>
      </c>
      <c r="O52" s="58">
        <v>1</v>
      </c>
      <c r="P52" s="58">
        <v>2</v>
      </c>
      <c r="Q52" s="58">
        <v>1</v>
      </c>
      <c r="R52" s="58">
        <v>0</v>
      </c>
      <c r="S52" s="58">
        <v>0</v>
      </c>
      <c r="T52" s="58">
        <v>0</v>
      </c>
      <c r="U52" s="58">
        <v>4</v>
      </c>
      <c r="V52" s="58">
        <v>0</v>
      </c>
      <c r="W52" s="58">
        <v>0</v>
      </c>
      <c r="X52" s="58">
        <v>0</v>
      </c>
      <c r="Y52" s="58">
        <v>1</v>
      </c>
      <c r="Z52" s="58">
        <v>0</v>
      </c>
      <c r="AA52" s="58">
        <v>0</v>
      </c>
      <c r="AB52" s="58">
        <v>2</v>
      </c>
      <c r="AC52" s="58">
        <v>0</v>
      </c>
      <c r="AD52" s="60">
        <v>2</v>
      </c>
      <c r="AE52" s="60">
        <v>0</v>
      </c>
      <c r="AF52" s="60">
        <v>3</v>
      </c>
      <c r="AG52" s="9">
        <f t="shared" si="2"/>
        <v>24</v>
      </c>
    </row>
    <row r="53" spans="1:33" ht="15.75" customHeight="1" thickBot="1" x14ac:dyDescent="0.3">
      <c r="A53" s="52" t="s">
        <v>28</v>
      </c>
      <c r="B53" s="1">
        <f t="shared" ref="B53:AF53" si="4">SUM(B54:B77)</f>
        <v>15</v>
      </c>
      <c r="C53" s="1">
        <f t="shared" si="4"/>
        <v>9</v>
      </c>
      <c r="D53" s="1">
        <f t="shared" si="4"/>
        <v>14</v>
      </c>
      <c r="E53" s="1">
        <f t="shared" si="4"/>
        <v>3</v>
      </c>
      <c r="F53" s="1">
        <f t="shared" si="4"/>
        <v>27</v>
      </c>
      <c r="G53" s="1">
        <f t="shared" si="4"/>
        <v>6</v>
      </c>
      <c r="H53" s="1">
        <f t="shared" si="4"/>
        <v>5</v>
      </c>
      <c r="I53" s="1">
        <f t="shared" si="4"/>
        <v>16</v>
      </c>
      <c r="J53" s="1">
        <f t="shared" si="4"/>
        <v>4</v>
      </c>
      <c r="K53" s="1">
        <f t="shared" si="4"/>
        <v>3</v>
      </c>
      <c r="L53" s="1">
        <f t="shared" si="4"/>
        <v>8</v>
      </c>
      <c r="M53" s="1">
        <f t="shared" si="4"/>
        <v>7</v>
      </c>
      <c r="N53" s="1">
        <f t="shared" si="4"/>
        <v>1</v>
      </c>
      <c r="O53" s="1">
        <f t="shared" si="4"/>
        <v>8</v>
      </c>
      <c r="P53" s="1">
        <f t="shared" si="4"/>
        <v>15</v>
      </c>
      <c r="Q53" s="1">
        <f t="shared" si="4"/>
        <v>6</v>
      </c>
      <c r="R53" s="1">
        <f t="shared" si="4"/>
        <v>5</v>
      </c>
      <c r="S53" s="1">
        <f t="shared" si="4"/>
        <v>6</v>
      </c>
      <c r="T53" s="1">
        <f t="shared" si="4"/>
        <v>6</v>
      </c>
      <c r="U53" s="1">
        <f t="shared" si="4"/>
        <v>3</v>
      </c>
      <c r="V53" s="1">
        <f t="shared" si="4"/>
        <v>7</v>
      </c>
      <c r="W53" s="1">
        <f t="shared" si="4"/>
        <v>10</v>
      </c>
      <c r="X53" s="1">
        <f t="shared" si="4"/>
        <v>14</v>
      </c>
      <c r="Y53" s="1">
        <f t="shared" si="4"/>
        <v>7</v>
      </c>
      <c r="Z53" s="1">
        <f t="shared" si="4"/>
        <v>9</v>
      </c>
      <c r="AA53" s="1">
        <f t="shared" si="4"/>
        <v>9</v>
      </c>
      <c r="AB53" s="1">
        <f t="shared" si="4"/>
        <v>6</v>
      </c>
      <c r="AC53" s="1">
        <f t="shared" si="4"/>
        <v>10</v>
      </c>
      <c r="AD53" s="1">
        <f t="shared" si="4"/>
        <v>3</v>
      </c>
      <c r="AE53" s="1">
        <f t="shared" si="4"/>
        <v>2</v>
      </c>
      <c r="AF53" s="1">
        <f t="shared" si="4"/>
        <v>4</v>
      </c>
      <c r="AG53" s="10">
        <f t="shared" si="2"/>
        <v>248</v>
      </c>
    </row>
    <row r="54" spans="1:33" ht="15.75" customHeight="1" x14ac:dyDescent="0.25">
      <c r="A54" s="56" t="s">
        <v>3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1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1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0</v>
      </c>
    </row>
    <row r="56" spans="1:33" ht="15.75" customHeight="1" x14ac:dyDescent="0.25">
      <c r="A56" s="56" t="s">
        <v>5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1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1</v>
      </c>
    </row>
    <row r="57" spans="1:33" ht="15.75" customHeight="1" x14ac:dyDescent="0.25">
      <c r="A57" s="56" t="s">
        <v>6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1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1</v>
      </c>
    </row>
    <row r="58" spans="1:33" ht="15.75" customHeight="1" x14ac:dyDescent="0.25">
      <c r="A58" s="56" t="s">
        <v>7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1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1</v>
      </c>
      <c r="AC58" s="54">
        <v>0</v>
      </c>
      <c r="AD58" s="54">
        <v>0</v>
      </c>
      <c r="AE58" s="54">
        <v>0</v>
      </c>
      <c r="AF58" s="54">
        <v>0</v>
      </c>
      <c r="AG58" s="5">
        <f t="shared" si="2"/>
        <v>2</v>
      </c>
    </row>
    <row r="59" spans="1:33" ht="15.75" customHeight="1" x14ac:dyDescent="0.25">
      <c r="A59" s="56" t="s">
        <v>8</v>
      </c>
      <c r="B59" s="54">
        <v>3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1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1</v>
      </c>
      <c r="AD59" s="54">
        <v>0</v>
      </c>
      <c r="AE59" s="54">
        <v>0</v>
      </c>
      <c r="AF59" s="54">
        <v>0</v>
      </c>
      <c r="AG59" s="5">
        <f t="shared" si="2"/>
        <v>5</v>
      </c>
    </row>
    <row r="60" spans="1:33" ht="15.75" customHeight="1" x14ac:dyDescent="0.25">
      <c r="A60" s="56" t="s">
        <v>9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2</v>
      </c>
      <c r="H60" s="54">
        <v>1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1</v>
      </c>
      <c r="O60" s="54">
        <v>1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2</v>
      </c>
      <c r="AD60" s="54">
        <v>0</v>
      </c>
      <c r="AE60" s="54">
        <v>0</v>
      </c>
      <c r="AF60" s="54">
        <v>0</v>
      </c>
      <c r="AG60" s="5">
        <f t="shared" si="2"/>
        <v>7</v>
      </c>
    </row>
    <row r="61" spans="1:33" ht="15.75" customHeight="1" x14ac:dyDescent="0.25">
      <c r="A61" s="56" t="s">
        <v>10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1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2</v>
      </c>
      <c r="AD61" s="54">
        <v>0</v>
      </c>
      <c r="AE61" s="54">
        <v>0</v>
      </c>
      <c r="AF61" s="54">
        <v>0</v>
      </c>
      <c r="AG61" s="5">
        <f t="shared" si="2"/>
        <v>3</v>
      </c>
    </row>
    <row r="62" spans="1:33" ht="15.75" customHeight="1" x14ac:dyDescent="0.25">
      <c r="A62" s="56" t="s">
        <v>11</v>
      </c>
      <c r="B62" s="54">
        <v>7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1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0</v>
      </c>
      <c r="Z62" s="54">
        <v>0</v>
      </c>
      <c r="AA62" s="54">
        <v>0</v>
      </c>
      <c r="AB62" s="54">
        <v>0</v>
      </c>
      <c r="AC62" s="54">
        <v>2</v>
      </c>
      <c r="AD62" s="54">
        <v>0</v>
      </c>
      <c r="AE62" s="54">
        <v>0</v>
      </c>
      <c r="AF62" s="54">
        <v>0</v>
      </c>
      <c r="AG62" s="5">
        <f t="shared" si="2"/>
        <v>10</v>
      </c>
    </row>
    <row r="63" spans="1:33" ht="15.75" customHeight="1" x14ac:dyDescent="0.25">
      <c r="A63" s="56" t="s">
        <v>12</v>
      </c>
      <c r="B63" s="54">
        <v>0</v>
      </c>
      <c r="C63" s="54">
        <v>0</v>
      </c>
      <c r="D63" s="54">
        <v>0</v>
      </c>
      <c r="E63" s="54">
        <v>0</v>
      </c>
      <c r="F63" s="54">
        <v>4</v>
      </c>
      <c r="G63" s="54">
        <v>0</v>
      </c>
      <c r="H63" s="54">
        <v>1</v>
      </c>
      <c r="I63" s="54">
        <v>0</v>
      </c>
      <c r="J63" s="54">
        <v>1</v>
      </c>
      <c r="K63" s="54">
        <v>0</v>
      </c>
      <c r="L63" s="54">
        <v>1</v>
      </c>
      <c r="M63" s="54">
        <v>0</v>
      </c>
      <c r="N63" s="54">
        <v>0</v>
      </c>
      <c r="O63" s="54">
        <v>1</v>
      </c>
      <c r="P63" s="54">
        <v>0</v>
      </c>
      <c r="Q63" s="54">
        <v>0</v>
      </c>
      <c r="R63" s="54">
        <v>0</v>
      </c>
      <c r="S63" s="54">
        <v>0</v>
      </c>
      <c r="T63" s="54">
        <v>1</v>
      </c>
      <c r="U63" s="54">
        <v>0</v>
      </c>
      <c r="V63" s="54">
        <v>0</v>
      </c>
      <c r="W63" s="54">
        <v>0</v>
      </c>
      <c r="X63" s="54">
        <v>1</v>
      </c>
      <c r="Y63" s="54">
        <v>0</v>
      </c>
      <c r="Z63" s="54">
        <v>0</v>
      </c>
      <c r="AA63" s="54">
        <v>1</v>
      </c>
      <c r="AB63" s="54">
        <v>2</v>
      </c>
      <c r="AC63" s="54">
        <v>0</v>
      </c>
      <c r="AD63" s="54">
        <v>0</v>
      </c>
      <c r="AE63" s="54">
        <v>0</v>
      </c>
      <c r="AF63" s="54">
        <v>0</v>
      </c>
      <c r="AG63" s="5">
        <f t="shared" si="2"/>
        <v>13</v>
      </c>
    </row>
    <row r="64" spans="1:33" ht="15.75" customHeight="1" x14ac:dyDescent="0.25">
      <c r="A64" s="56" t="s">
        <v>13</v>
      </c>
      <c r="B64" s="54">
        <v>1</v>
      </c>
      <c r="C64" s="54">
        <v>0</v>
      </c>
      <c r="D64" s="54">
        <v>2</v>
      </c>
      <c r="E64" s="54">
        <v>0</v>
      </c>
      <c r="F64" s="54">
        <v>1</v>
      </c>
      <c r="G64" s="54">
        <v>0</v>
      </c>
      <c r="H64" s="54">
        <v>0</v>
      </c>
      <c r="I64" s="54">
        <v>1</v>
      </c>
      <c r="J64" s="54">
        <v>0</v>
      </c>
      <c r="K64" s="54">
        <v>2</v>
      </c>
      <c r="L64" s="54">
        <v>0</v>
      </c>
      <c r="M64" s="54">
        <v>0</v>
      </c>
      <c r="N64" s="54">
        <v>0</v>
      </c>
      <c r="O64" s="54">
        <v>0</v>
      </c>
      <c r="P64" s="54">
        <v>0</v>
      </c>
      <c r="Q64" s="54">
        <v>1</v>
      </c>
      <c r="R64" s="54">
        <v>0</v>
      </c>
      <c r="S64" s="54">
        <v>4</v>
      </c>
      <c r="T64" s="54">
        <v>0</v>
      </c>
      <c r="U64" s="54">
        <v>0</v>
      </c>
      <c r="V64" s="54">
        <v>1</v>
      </c>
      <c r="W64" s="54">
        <v>0</v>
      </c>
      <c r="X64" s="54">
        <v>2</v>
      </c>
      <c r="Y64" s="54">
        <v>0</v>
      </c>
      <c r="Z64" s="54">
        <v>0</v>
      </c>
      <c r="AA64" s="54">
        <v>2</v>
      </c>
      <c r="AB64" s="54">
        <v>0</v>
      </c>
      <c r="AC64" s="54">
        <v>0</v>
      </c>
      <c r="AD64" s="54">
        <v>0</v>
      </c>
      <c r="AE64" s="54">
        <v>0</v>
      </c>
      <c r="AF64" s="54">
        <v>1</v>
      </c>
      <c r="AG64" s="5">
        <f t="shared" si="2"/>
        <v>18</v>
      </c>
    </row>
    <row r="65" spans="1:33" ht="15.75" customHeight="1" x14ac:dyDescent="0.25">
      <c r="A65" s="56" t="s">
        <v>14</v>
      </c>
      <c r="B65" s="54">
        <v>3</v>
      </c>
      <c r="C65" s="54">
        <v>0</v>
      </c>
      <c r="D65" s="54">
        <v>0</v>
      </c>
      <c r="E65" s="54">
        <v>0</v>
      </c>
      <c r="F65" s="54">
        <v>2</v>
      </c>
      <c r="G65" s="54">
        <v>0</v>
      </c>
      <c r="H65" s="54">
        <v>0</v>
      </c>
      <c r="I65" s="54">
        <v>0</v>
      </c>
      <c r="J65" s="54">
        <v>0</v>
      </c>
      <c r="K65" s="54">
        <v>0</v>
      </c>
      <c r="L65" s="54">
        <v>0</v>
      </c>
      <c r="M65" s="54">
        <v>1</v>
      </c>
      <c r="N65" s="54">
        <v>0</v>
      </c>
      <c r="O65" s="54">
        <v>0</v>
      </c>
      <c r="P65" s="54">
        <v>0</v>
      </c>
      <c r="Q65" s="54">
        <v>0</v>
      </c>
      <c r="R65" s="54">
        <v>0</v>
      </c>
      <c r="S65" s="54">
        <v>1</v>
      </c>
      <c r="T65" s="54">
        <v>3</v>
      </c>
      <c r="U65" s="54">
        <v>0</v>
      </c>
      <c r="V65" s="54">
        <v>0</v>
      </c>
      <c r="W65" s="54">
        <v>0</v>
      </c>
      <c r="X65" s="54">
        <v>0</v>
      </c>
      <c r="Y65" s="54">
        <v>3</v>
      </c>
      <c r="Z65" s="54">
        <v>4</v>
      </c>
      <c r="AA65" s="54">
        <v>3</v>
      </c>
      <c r="AB65" s="54">
        <v>0</v>
      </c>
      <c r="AC65" s="54">
        <v>1</v>
      </c>
      <c r="AD65" s="54">
        <v>0</v>
      </c>
      <c r="AE65" s="54">
        <v>0</v>
      </c>
      <c r="AF65" s="54">
        <v>0</v>
      </c>
      <c r="AG65" s="5">
        <f t="shared" si="2"/>
        <v>21</v>
      </c>
    </row>
    <row r="66" spans="1:33" ht="15.75" customHeight="1" x14ac:dyDescent="0.25">
      <c r="A66" s="56" t="s">
        <v>15</v>
      </c>
      <c r="B66" s="54">
        <v>0</v>
      </c>
      <c r="C66" s="54">
        <v>3</v>
      </c>
      <c r="D66" s="54">
        <v>1</v>
      </c>
      <c r="E66" s="54">
        <v>2</v>
      </c>
      <c r="F66" s="54">
        <v>5</v>
      </c>
      <c r="G66" s="54">
        <v>1</v>
      </c>
      <c r="H66" s="54">
        <v>0</v>
      </c>
      <c r="I66" s="54">
        <v>1</v>
      </c>
      <c r="J66" s="54">
        <v>0</v>
      </c>
      <c r="K66" s="54">
        <v>1</v>
      </c>
      <c r="L66" s="54">
        <v>0</v>
      </c>
      <c r="M66" s="54">
        <v>2</v>
      </c>
      <c r="N66" s="54">
        <v>0</v>
      </c>
      <c r="O66" s="54">
        <v>0</v>
      </c>
      <c r="P66" s="54">
        <v>2</v>
      </c>
      <c r="Q66" s="54">
        <v>4</v>
      </c>
      <c r="R66" s="54">
        <v>4</v>
      </c>
      <c r="S66" s="54">
        <v>0</v>
      </c>
      <c r="T66" s="54">
        <v>1</v>
      </c>
      <c r="U66" s="54">
        <v>0</v>
      </c>
      <c r="V66" s="54">
        <v>2</v>
      </c>
      <c r="W66" s="54">
        <v>2</v>
      </c>
      <c r="X66" s="54">
        <v>3</v>
      </c>
      <c r="Y66" s="54">
        <v>2</v>
      </c>
      <c r="Z66" s="54">
        <v>2</v>
      </c>
      <c r="AA66" s="54">
        <v>2</v>
      </c>
      <c r="AB66" s="54">
        <v>0</v>
      </c>
      <c r="AC66" s="54">
        <v>0</v>
      </c>
      <c r="AD66" s="54">
        <v>0</v>
      </c>
      <c r="AE66" s="54">
        <v>2</v>
      </c>
      <c r="AF66" s="54">
        <v>3</v>
      </c>
      <c r="AG66" s="5">
        <f t="shared" si="2"/>
        <v>45</v>
      </c>
    </row>
    <row r="67" spans="1:33" ht="15.75" customHeight="1" x14ac:dyDescent="0.25">
      <c r="A67" s="56" t="s">
        <v>16</v>
      </c>
      <c r="B67" s="54">
        <v>1</v>
      </c>
      <c r="C67" s="54">
        <v>3</v>
      </c>
      <c r="D67" s="54">
        <v>3</v>
      </c>
      <c r="E67" s="54">
        <v>0</v>
      </c>
      <c r="F67" s="54">
        <v>2</v>
      </c>
      <c r="G67" s="54">
        <v>0</v>
      </c>
      <c r="H67" s="54">
        <v>0</v>
      </c>
      <c r="I67" s="54">
        <v>1</v>
      </c>
      <c r="J67" s="54">
        <v>2</v>
      </c>
      <c r="K67" s="54">
        <v>0</v>
      </c>
      <c r="L67" s="54">
        <v>0</v>
      </c>
      <c r="M67" s="54">
        <v>0</v>
      </c>
      <c r="N67" s="54">
        <v>0</v>
      </c>
      <c r="O67" s="54">
        <v>0</v>
      </c>
      <c r="P67" s="54">
        <v>0</v>
      </c>
      <c r="Q67" s="54">
        <v>0</v>
      </c>
      <c r="R67" s="54">
        <v>0</v>
      </c>
      <c r="S67" s="54">
        <v>0</v>
      </c>
      <c r="T67" s="54">
        <v>0</v>
      </c>
      <c r="U67" s="54">
        <v>0</v>
      </c>
      <c r="V67" s="54">
        <v>0</v>
      </c>
      <c r="W67" s="54">
        <v>3</v>
      </c>
      <c r="X67" s="54">
        <v>0</v>
      </c>
      <c r="Y67" s="54">
        <v>2</v>
      </c>
      <c r="Z67" s="54">
        <v>2</v>
      </c>
      <c r="AA67" s="54">
        <v>0</v>
      </c>
      <c r="AB67" s="54">
        <v>1</v>
      </c>
      <c r="AC67" s="54">
        <v>1</v>
      </c>
      <c r="AD67" s="54">
        <v>0</v>
      </c>
      <c r="AE67" s="54">
        <v>0</v>
      </c>
      <c r="AF67" s="54">
        <v>0</v>
      </c>
      <c r="AG67" s="5">
        <f t="shared" ref="AG67:AG98" si="5">SUM(B67:AF67)</f>
        <v>21</v>
      </c>
    </row>
    <row r="68" spans="1:33" ht="15.75" customHeight="1" x14ac:dyDescent="0.25">
      <c r="A68" s="56" t="s">
        <v>17</v>
      </c>
      <c r="B68" s="54">
        <v>0</v>
      </c>
      <c r="C68" s="54">
        <v>0</v>
      </c>
      <c r="D68" s="54">
        <v>2</v>
      </c>
      <c r="E68" s="54">
        <v>0</v>
      </c>
      <c r="F68" s="54">
        <v>5</v>
      </c>
      <c r="G68" s="54">
        <v>0</v>
      </c>
      <c r="H68" s="54">
        <v>3</v>
      </c>
      <c r="I68" s="54">
        <v>4</v>
      </c>
      <c r="J68" s="54">
        <v>0</v>
      </c>
      <c r="K68" s="54">
        <v>0</v>
      </c>
      <c r="L68" s="54">
        <v>1</v>
      </c>
      <c r="M68" s="54">
        <v>0</v>
      </c>
      <c r="N68" s="54">
        <v>0</v>
      </c>
      <c r="O68" s="54">
        <v>1</v>
      </c>
      <c r="P68" s="54">
        <v>2</v>
      </c>
      <c r="Q68" s="54">
        <v>0</v>
      </c>
      <c r="R68" s="54">
        <v>0</v>
      </c>
      <c r="S68" s="54">
        <v>0</v>
      </c>
      <c r="T68" s="54">
        <v>0</v>
      </c>
      <c r="U68" s="54">
        <v>0</v>
      </c>
      <c r="V68" s="54">
        <v>0</v>
      </c>
      <c r="W68" s="54">
        <v>0</v>
      </c>
      <c r="X68" s="54">
        <v>0</v>
      </c>
      <c r="Y68" s="54">
        <v>0</v>
      </c>
      <c r="Z68" s="54">
        <v>0</v>
      </c>
      <c r="AA68" s="54">
        <v>0</v>
      </c>
      <c r="AB68" s="54">
        <v>1</v>
      </c>
      <c r="AC68" s="54">
        <v>0</v>
      </c>
      <c r="AD68" s="54">
        <v>0</v>
      </c>
      <c r="AE68" s="54">
        <v>0</v>
      </c>
      <c r="AF68" s="54">
        <v>0</v>
      </c>
      <c r="AG68" s="5">
        <f t="shared" si="5"/>
        <v>19</v>
      </c>
    </row>
    <row r="69" spans="1:33" ht="15.75" customHeight="1" x14ac:dyDescent="0.25">
      <c r="A69" s="56" t="s">
        <v>18</v>
      </c>
      <c r="B69" s="54">
        <v>0</v>
      </c>
      <c r="C69" s="54">
        <v>0</v>
      </c>
      <c r="D69" s="54">
        <v>0</v>
      </c>
      <c r="E69" s="54">
        <v>0</v>
      </c>
      <c r="F69" s="54">
        <v>4</v>
      </c>
      <c r="G69" s="54">
        <v>1</v>
      </c>
      <c r="H69" s="54">
        <v>0</v>
      </c>
      <c r="I69" s="54">
        <v>1</v>
      </c>
      <c r="J69" s="54">
        <v>0</v>
      </c>
      <c r="K69" s="54">
        <v>0</v>
      </c>
      <c r="L69" s="54">
        <v>0</v>
      </c>
      <c r="M69" s="54">
        <v>1</v>
      </c>
      <c r="N69" s="54">
        <v>0</v>
      </c>
      <c r="O69" s="54">
        <v>2</v>
      </c>
      <c r="P69" s="54">
        <v>2</v>
      </c>
      <c r="Q69" s="54">
        <v>0</v>
      </c>
      <c r="R69" s="54">
        <v>0</v>
      </c>
      <c r="S69" s="54">
        <v>0</v>
      </c>
      <c r="T69" s="54">
        <v>1</v>
      </c>
      <c r="U69" s="54">
        <v>2</v>
      </c>
      <c r="V69" s="54">
        <v>0</v>
      </c>
      <c r="W69" s="54">
        <v>2</v>
      </c>
      <c r="X69" s="54">
        <v>0</v>
      </c>
      <c r="Y69" s="54">
        <v>0</v>
      </c>
      <c r="Z69" s="54">
        <v>0</v>
      </c>
      <c r="AA69" s="54">
        <v>1</v>
      </c>
      <c r="AB69" s="54">
        <v>0</v>
      </c>
      <c r="AC69" s="54">
        <v>0</v>
      </c>
      <c r="AD69" s="54">
        <v>1</v>
      </c>
      <c r="AE69" s="54">
        <v>0</v>
      </c>
      <c r="AF69" s="54">
        <v>0</v>
      </c>
      <c r="AG69" s="5">
        <f t="shared" si="5"/>
        <v>18</v>
      </c>
    </row>
    <row r="70" spans="1:33" ht="15.75" customHeight="1" x14ac:dyDescent="0.25">
      <c r="A70" s="56" t="s">
        <v>19</v>
      </c>
      <c r="B70" s="54">
        <v>0</v>
      </c>
      <c r="C70" s="54">
        <v>0</v>
      </c>
      <c r="D70" s="54">
        <v>1</v>
      </c>
      <c r="E70" s="54">
        <v>0</v>
      </c>
      <c r="F70" s="54">
        <v>0</v>
      </c>
      <c r="G70" s="54">
        <v>1</v>
      </c>
      <c r="H70" s="54">
        <v>0</v>
      </c>
      <c r="I70" s="54">
        <v>2</v>
      </c>
      <c r="J70" s="54">
        <v>0</v>
      </c>
      <c r="K70" s="54">
        <v>0</v>
      </c>
      <c r="L70" s="54">
        <v>3</v>
      </c>
      <c r="M70" s="54">
        <v>1</v>
      </c>
      <c r="N70" s="54">
        <v>0</v>
      </c>
      <c r="O70" s="54">
        <v>0</v>
      </c>
      <c r="P70" s="54">
        <v>4</v>
      </c>
      <c r="Q70" s="54">
        <v>0</v>
      </c>
      <c r="R70" s="54">
        <v>0</v>
      </c>
      <c r="S70" s="54">
        <v>1</v>
      </c>
      <c r="T70" s="54">
        <v>0</v>
      </c>
      <c r="U70" s="54">
        <v>0</v>
      </c>
      <c r="V70" s="54">
        <v>2</v>
      </c>
      <c r="W70" s="54">
        <v>1</v>
      </c>
      <c r="X70" s="54">
        <v>5</v>
      </c>
      <c r="Y70" s="54">
        <v>0</v>
      </c>
      <c r="Z70" s="54">
        <v>1</v>
      </c>
      <c r="AA70" s="54">
        <v>0</v>
      </c>
      <c r="AB70" s="54">
        <v>0</v>
      </c>
      <c r="AC70" s="54">
        <v>1</v>
      </c>
      <c r="AD70" s="55">
        <v>0</v>
      </c>
      <c r="AE70" s="55">
        <v>0</v>
      </c>
      <c r="AF70" s="55">
        <v>0</v>
      </c>
      <c r="AG70" s="5">
        <f t="shared" si="5"/>
        <v>23</v>
      </c>
    </row>
    <row r="71" spans="1:33" ht="15.75" customHeight="1" x14ac:dyDescent="0.25">
      <c r="A71" s="56" t="s">
        <v>20</v>
      </c>
      <c r="B71" s="54">
        <v>0</v>
      </c>
      <c r="C71" s="54">
        <v>3</v>
      </c>
      <c r="D71" s="54">
        <v>4</v>
      </c>
      <c r="E71" s="54">
        <v>0</v>
      </c>
      <c r="F71" s="54">
        <v>2</v>
      </c>
      <c r="G71" s="54">
        <v>0</v>
      </c>
      <c r="H71" s="54">
        <v>0</v>
      </c>
      <c r="I71" s="54">
        <v>1</v>
      </c>
      <c r="J71" s="54">
        <v>0</v>
      </c>
      <c r="K71" s="54">
        <v>0</v>
      </c>
      <c r="L71" s="54">
        <v>0</v>
      </c>
      <c r="M71" s="54">
        <v>1</v>
      </c>
      <c r="N71" s="54">
        <v>0</v>
      </c>
      <c r="O71" s="54">
        <v>0</v>
      </c>
      <c r="P71" s="54">
        <v>4</v>
      </c>
      <c r="Q71" s="54">
        <v>1</v>
      </c>
      <c r="R71" s="54">
        <v>1</v>
      </c>
      <c r="S71" s="54">
        <v>0</v>
      </c>
      <c r="T71" s="54">
        <v>0</v>
      </c>
      <c r="U71" s="54">
        <v>0</v>
      </c>
      <c r="V71" s="54">
        <v>0</v>
      </c>
      <c r="W71" s="54">
        <v>0</v>
      </c>
      <c r="X71" s="54">
        <v>2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5">
        <v>0</v>
      </c>
      <c r="AE71" s="55">
        <v>0</v>
      </c>
      <c r="AF71" s="55">
        <v>0</v>
      </c>
      <c r="AG71" s="5">
        <f t="shared" si="5"/>
        <v>19</v>
      </c>
    </row>
    <row r="72" spans="1:33" ht="15.75" customHeight="1" x14ac:dyDescent="0.25">
      <c r="A72" s="56" t="s">
        <v>21</v>
      </c>
      <c r="B72" s="54">
        <v>0</v>
      </c>
      <c r="C72" s="54">
        <v>0</v>
      </c>
      <c r="D72" s="54">
        <v>1</v>
      </c>
      <c r="E72" s="54">
        <v>1</v>
      </c>
      <c r="F72" s="54">
        <v>2</v>
      </c>
      <c r="G72" s="54">
        <v>0</v>
      </c>
      <c r="H72" s="54">
        <v>0</v>
      </c>
      <c r="I72" s="54">
        <v>4</v>
      </c>
      <c r="J72" s="54">
        <v>0</v>
      </c>
      <c r="K72" s="54">
        <v>0</v>
      </c>
      <c r="L72" s="54">
        <v>3</v>
      </c>
      <c r="M72" s="54">
        <v>0</v>
      </c>
      <c r="N72" s="54">
        <v>0</v>
      </c>
      <c r="O72" s="54">
        <v>0</v>
      </c>
      <c r="P72" s="54">
        <v>1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4">
        <v>2</v>
      </c>
      <c r="X72" s="54">
        <v>1</v>
      </c>
      <c r="Y72" s="54">
        <v>0</v>
      </c>
      <c r="Z72" s="54">
        <v>0</v>
      </c>
      <c r="AA72" s="54">
        <v>0</v>
      </c>
      <c r="AB72" s="54">
        <v>0</v>
      </c>
      <c r="AC72" s="54">
        <v>0</v>
      </c>
      <c r="AD72" s="55">
        <v>1</v>
      </c>
      <c r="AE72" s="55">
        <v>0</v>
      </c>
      <c r="AF72" s="55">
        <v>0</v>
      </c>
      <c r="AG72" s="5">
        <f t="shared" si="5"/>
        <v>16</v>
      </c>
    </row>
    <row r="73" spans="1:33" ht="15.75" customHeight="1" x14ac:dyDescent="0.25">
      <c r="A73" s="56" t="s">
        <v>22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1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>
        <v>0</v>
      </c>
      <c r="AG73" s="5">
        <f t="shared" si="5"/>
        <v>1</v>
      </c>
    </row>
    <row r="74" spans="1:33" ht="15.75" customHeight="1" x14ac:dyDescent="0.25">
      <c r="A74" s="56" t="s">
        <v>23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0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1</v>
      </c>
      <c r="K75" s="54">
        <v>0</v>
      </c>
      <c r="L75" s="54">
        <v>0</v>
      </c>
      <c r="M75" s="54">
        <v>1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1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3</v>
      </c>
    </row>
    <row r="76" spans="1:33" ht="15.75" customHeight="1" x14ac:dyDescent="0.25">
      <c r="A76" s="56" t="s">
        <v>25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1</v>
      </c>
      <c r="AE76" s="55">
        <v>0</v>
      </c>
      <c r="AF76" s="55">
        <v>0</v>
      </c>
      <c r="AG76" s="5">
        <f t="shared" si="5"/>
        <v>1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0</v>
      </c>
    </row>
    <row r="78" spans="1:33" ht="19.5" customHeight="1" thickBot="1" x14ac:dyDescent="0.3">
      <c r="A78" s="63" t="s">
        <v>29</v>
      </c>
      <c r="B78" s="11">
        <f t="shared" ref="B78:AF78" si="6">SUM(B79:B80)</f>
        <v>169</v>
      </c>
      <c r="C78" s="11">
        <f t="shared" si="6"/>
        <v>144</v>
      </c>
      <c r="D78" s="11">
        <f t="shared" si="6"/>
        <v>143</v>
      </c>
      <c r="E78" s="11">
        <f t="shared" si="6"/>
        <v>128</v>
      </c>
      <c r="F78" s="11">
        <f t="shared" si="6"/>
        <v>150</v>
      </c>
      <c r="G78" s="11">
        <f t="shared" si="6"/>
        <v>207</v>
      </c>
      <c r="H78" s="11">
        <f t="shared" si="6"/>
        <v>187</v>
      </c>
      <c r="I78" s="11">
        <f t="shared" si="6"/>
        <v>154</v>
      </c>
      <c r="J78" s="11">
        <f t="shared" si="6"/>
        <v>127</v>
      </c>
      <c r="K78" s="11">
        <f t="shared" si="6"/>
        <v>125</v>
      </c>
      <c r="L78" s="11">
        <f t="shared" si="6"/>
        <v>142</v>
      </c>
      <c r="M78" s="11">
        <f t="shared" si="6"/>
        <v>130</v>
      </c>
      <c r="N78" s="11">
        <f t="shared" si="6"/>
        <v>173</v>
      </c>
      <c r="O78" s="11">
        <f t="shared" si="6"/>
        <v>177</v>
      </c>
      <c r="P78" s="11">
        <f t="shared" si="6"/>
        <v>147</v>
      </c>
      <c r="Q78" s="11">
        <f t="shared" si="6"/>
        <v>136</v>
      </c>
      <c r="R78" s="11">
        <f t="shared" si="6"/>
        <v>130</v>
      </c>
      <c r="S78" s="11">
        <f t="shared" si="6"/>
        <v>117</v>
      </c>
      <c r="T78" s="11">
        <f t="shared" si="6"/>
        <v>122</v>
      </c>
      <c r="U78" s="11">
        <f t="shared" si="6"/>
        <v>182</v>
      </c>
      <c r="V78" s="11">
        <f t="shared" si="6"/>
        <v>191</v>
      </c>
      <c r="W78" s="11">
        <f t="shared" si="6"/>
        <v>129</v>
      </c>
      <c r="X78" s="11">
        <f t="shared" si="6"/>
        <v>149</v>
      </c>
      <c r="Y78" s="11">
        <f t="shared" si="6"/>
        <v>120</v>
      </c>
      <c r="Z78" s="11">
        <f t="shared" si="6"/>
        <v>124</v>
      </c>
      <c r="AA78" s="11">
        <f t="shared" si="6"/>
        <v>136</v>
      </c>
      <c r="AB78" s="11">
        <f t="shared" si="6"/>
        <v>206</v>
      </c>
      <c r="AC78" s="11">
        <f t="shared" si="6"/>
        <v>176</v>
      </c>
      <c r="AD78" s="11">
        <f t="shared" si="6"/>
        <v>146</v>
      </c>
      <c r="AE78" s="11">
        <f t="shared" si="6"/>
        <v>121</v>
      </c>
      <c r="AF78" s="11">
        <f t="shared" si="6"/>
        <v>140</v>
      </c>
      <c r="AG78" s="10">
        <f t="shared" si="5"/>
        <v>4628</v>
      </c>
    </row>
    <row r="79" spans="1:33" ht="19.5" customHeight="1" x14ac:dyDescent="0.25">
      <c r="A79" s="64" t="s">
        <v>30</v>
      </c>
      <c r="B79" s="3">
        <f t="shared" ref="B79" si="7">SUM(B4:B27)-B80</f>
        <v>169</v>
      </c>
      <c r="C79" s="3">
        <f t="shared" ref="C79" si="8">SUM(C4:C27)-C80</f>
        <v>144</v>
      </c>
      <c r="D79" s="3">
        <f t="shared" ref="D79:AF79" si="9">SUM(D4:D27)-D80</f>
        <v>143</v>
      </c>
      <c r="E79" s="3">
        <f t="shared" si="9"/>
        <v>128</v>
      </c>
      <c r="F79" s="3">
        <f t="shared" si="9"/>
        <v>150</v>
      </c>
      <c r="G79" s="3">
        <f t="shared" si="9"/>
        <v>207</v>
      </c>
      <c r="H79" s="3">
        <f t="shared" si="9"/>
        <v>187</v>
      </c>
      <c r="I79" s="3">
        <f t="shared" si="9"/>
        <v>154</v>
      </c>
      <c r="J79" s="3">
        <f t="shared" si="9"/>
        <v>127</v>
      </c>
      <c r="K79" s="3">
        <f t="shared" si="9"/>
        <v>125</v>
      </c>
      <c r="L79" s="3">
        <f t="shared" si="9"/>
        <v>142</v>
      </c>
      <c r="M79" s="3">
        <f t="shared" si="9"/>
        <v>130</v>
      </c>
      <c r="N79" s="3">
        <f t="shared" si="9"/>
        <v>173</v>
      </c>
      <c r="O79" s="3">
        <f t="shared" si="9"/>
        <v>177</v>
      </c>
      <c r="P79" s="3">
        <f t="shared" si="9"/>
        <v>147</v>
      </c>
      <c r="Q79" s="3">
        <f t="shared" si="9"/>
        <v>136</v>
      </c>
      <c r="R79" s="3">
        <f t="shared" si="9"/>
        <v>130</v>
      </c>
      <c r="S79" s="3">
        <f t="shared" si="9"/>
        <v>117</v>
      </c>
      <c r="T79" s="3">
        <f t="shared" si="9"/>
        <v>122</v>
      </c>
      <c r="U79" s="3">
        <f t="shared" si="9"/>
        <v>182</v>
      </c>
      <c r="V79" s="3">
        <f t="shared" si="9"/>
        <v>191</v>
      </c>
      <c r="W79" s="3">
        <f t="shared" si="9"/>
        <v>129</v>
      </c>
      <c r="X79" s="3">
        <f t="shared" si="9"/>
        <v>149</v>
      </c>
      <c r="Y79" s="3">
        <f t="shared" si="9"/>
        <v>120</v>
      </c>
      <c r="Z79" s="3">
        <f t="shared" si="9"/>
        <v>124</v>
      </c>
      <c r="AA79" s="3">
        <f t="shared" si="9"/>
        <v>136</v>
      </c>
      <c r="AB79" s="3">
        <f t="shared" si="9"/>
        <v>206</v>
      </c>
      <c r="AC79" s="3">
        <f t="shared" si="9"/>
        <v>176</v>
      </c>
      <c r="AD79" s="3">
        <f t="shared" si="9"/>
        <v>146</v>
      </c>
      <c r="AE79" s="3">
        <f t="shared" si="9"/>
        <v>121</v>
      </c>
      <c r="AF79" s="3">
        <f t="shared" si="9"/>
        <v>140</v>
      </c>
      <c r="AG79" s="4">
        <f t="shared" si="5"/>
        <v>4628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15</v>
      </c>
      <c r="C81" s="12">
        <f t="shared" si="10"/>
        <v>9</v>
      </c>
      <c r="D81" s="12">
        <f t="shared" si="10"/>
        <v>14</v>
      </c>
      <c r="E81" s="12">
        <f t="shared" si="10"/>
        <v>3</v>
      </c>
      <c r="F81" s="12">
        <f t="shared" si="10"/>
        <v>27</v>
      </c>
      <c r="G81" s="12">
        <f t="shared" si="10"/>
        <v>6</v>
      </c>
      <c r="H81" s="12">
        <f t="shared" si="10"/>
        <v>5</v>
      </c>
      <c r="I81" s="12">
        <f t="shared" si="10"/>
        <v>16</v>
      </c>
      <c r="J81" s="12">
        <f t="shared" si="10"/>
        <v>4</v>
      </c>
      <c r="K81" s="12">
        <f t="shared" si="10"/>
        <v>3</v>
      </c>
      <c r="L81" s="12">
        <f t="shared" si="10"/>
        <v>8</v>
      </c>
      <c r="M81" s="12">
        <f t="shared" si="10"/>
        <v>7</v>
      </c>
      <c r="N81" s="12">
        <f t="shared" si="10"/>
        <v>1</v>
      </c>
      <c r="O81" s="12">
        <f t="shared" si="10"/>
        <v>8</v>
      </c>
      <c r="P81" s="12">
        <f t="shared" si="10"/>
        <v>15</v>
      </c>
      <c r="Q81" s="12">
        <f t="shared" si="10"/>
        <v>6</v>
      </c>
      <c r="R81" s="12">
        <f t="shared" si="10"/>
        <v>5</v>
      </c>
      <c r="S81" s="12">
        <f t="shared" si="10"/>
        <v>6</v>
      </c>
      <c r="T81" s="12">
        <f t="shared" si="10"/>
        <v>6</v>
      </c>
      <c r="U81" s="12">
        <f t="shared" si="10"/>
        <v>3</v>
      </c>
      <c r="V81" s="12">
        <f t="shared" si="10"/>
        <v>7</v>
      </c>
      <c r="W81" s="12">
        <f t="shared" si="10"/>
        <v>10</v>
      </c>
      <c r="X81" s="12">
        <f t="shared" si="10"/>
        <v>14</v>
      </c>
      <c r="Y81" s="12">
        <f t="shared" si="10"/>
        <v>7</v>
      </c>
      <c r="Z81" s="12">
        <f t="shared" si="10"/>
        <v>9</v>
      </c>
      <c r="AA81" s="12">
        <f t="shared" si="10"/>
        <v>9</v>
      </c>
      <c r="AB81" s="12">
        <f t="shared" si="10"/>
        <v>6</v>
      </c>
      <c r="AC81" s="12">
        <f t="shared" si="10"/>
        <v>10</v>
      </c>
      <c r="AD81" s="12">
        <f t="shared" si="10"/>
        <v>3</v>
      </c>
      <c r="AE81" s="12">
        <f t="shared" si="10"/>
        <v>2</v>
      </c>
      <c r="AF81" s="12">
        <f t="shared" si="10"/>
        <v>4</v>
      </c>
      <c r="AG81" s="10">
        <f t="shared" si="5"/>
        <v>248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10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3</v>
      </c>
      <c r="H82" s="3">
        <f t="shared" si="11"/>
        <v>1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1</v>
      </c>
      <c r="O82" s="3">
        <f t="shared" si="11"/>
        <v>4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1</v>
      </c>
      <c r="V82" s="3">
        <f t="shared" si="11"/>
        <v>1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2</v>
      </c>
      <c r="AC82" s="3">
        <f t="shared" si="11"/>
        <v>7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30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5</v>
      </c>
      <c r="C83" s="8">
        <f t="shared" si="12"/>
        <v>9</v>
      </c>
      <c r="D83" s="8">
        <f t="shared" si="12"/>
        <v>14</v>
      </c>
      <c r="E83" s="8">
        <f t="shared" si="12"/>
        <v>3</v>
      </c>
      <c r="F83" s="8">
        <f t="shared" si="12"/>
        <v>27</v>
      </c>
      <c r="G83" s="8">
        <f t="shared" si="12"/>
        <v>3</v>
      </c>
      <c r="H83" s="8">
        <f t="shared" si="12"/>
        <v>4</v>
      </c>
      <c r="I83" s="8">
        <f t="shared" si="12"/>
        <v>16</v>
      </c>
      <c r="J83" s="8">
        <f t="shared" si="12"/>
        <v>4</v>
      </c>
      <c r="K83" s="8">
        <f t="shared" si="12"/>
        <v>3</v>
      </c>
      <c r="L83" s="8">
        <f t="shared" si="12"/>
        <v>8</v>
      </c>
      <c r="M83" s="8">
        <f t="shared" si="12"/>
        <v>7</v>
      </c>
      <c r="N83" s="8">
        <f t="shared" si="12"/>
        <v>0</v>
      </c>
      <c r="O83" s="8">
        <f t="shared" si="12"/>
        <v>4</v>
      </c>
      <c r="P83" s="8">
        <f t="shared" si="12"/>
        <v>15</v>
      </c>
      <c r="Q83" s="8">
        <f t="shared" si="12"/>
        <v>6</v>
      </c>
      <c r="R83" s="8">
        <f t="shared" si="12"/>
        <v>5</v>
      </c>
      <c r="S83" s="8">
        <f t="shared" si="12"/>
        <v>6</v>
      </c>
      <c r="T83" s="8">
        <f t="shared" si="12"/>
        <v>6</v>
      </c>
      <c r="U83" s="8">
        <f t="shared" si="12"/>
        <v>2</v>
      </c>
      <c r="V83" s="8">
        <f t="shared" si="12"/>
        <v>6</v>
      </c>
      <c r="W83" s="8">
        <f t="shared" si="12"/>
        <v>10</v>
      </c>
      <c r="X83" s="8">
        <f t="shared" si="12"/>
        <v>14</v>
      </c>
      <c r="Y83" s="8">
        <f t="shared" si="12"/>
        <v>7</v>
      </c>
      <c r="Z83" s="8">
        <f t="shared" si="12"/>
        <v>9</v>
      </c>
      <c r="AA83" s="8">
        <f t="shared" si="12"/>
        <v>9</v>
      </c>
      <c r="AB83" s="8">
        <f t="shared" si="12"/>
        <v>4</v>
      </c>
      <c r="AC83" s="8">
        <f t="shared" si="12"/>
        <v>3</v>
      </c>
      <c r="AD83" s="8">
        <f t="shared" si="12"/>
        <v>3</v>
      </c>
      <c r="AE83" s="8">
        <f t="shared" si="12"/>
        <v>2</v>
      </c>
      <c r="AF83" s="8">
        <f t="shared" si="12"/>
        <v>4</v>
      </c>
      <c r="AG83" s="5">
        <f t="shared" si="5"/>
        <v>218</v>
      </c>
    </row>
    <row r="84" spans="1:34" ht="15.75" customHeight="1" thickBot="1" x14ac:dyDescent="0.3">
      <c r="A84" s="67" t="s">
        <v>33</v>
      </c>
      <c r="B84" s="14">
        <f t="shared" ref="B84:AF84" si="13">SUM(B85:B86)</f>
        <v>15</v>
      </c>
      <c r="C84" s="14">
        <f t="shared" si="13"/>
        <v>9</v>
      </c>
      <c r="D84" s="14">
        <f t="shared" si="13"/>
        <v>14</v>
      </c>
      <c r="E84" s="14">
        <f t="shared" si="13"/>
        <v>3</v>
      </c>
      <c r="F84" s="14">
        <f t="shared" si="13"/>
        <v>27</v>
      </c>
      <c r="G84" s="14">
        <f t="shared" si="13"/>
        <v>6</v>
      </c>
      <c r="H84" s="14">
        <f t="shared" si="13"/>
        <v>5</v>
      </c>
      <c r="I84" s="14">
        <f t="shared" si="13"/>
        <v>16</v>
      </c>
      <c r="J84" s="14">
        <f t="shared" si="13"/>
        <v>4</v>
      </c>
      <c r="K84" s="14">
        <f t="shared" si="13"/>
        <v>3</v>
      </c>
      <c r="L84" s="14">
        <f t="shared" si="13"/>
        <v>8</v>
      </c>
      <c r="M84" s="14">
        <f t="shared" si="13"/>
        <v>7</v>
      </c>
      <c r="N84" s="14">
        <f t="shared" si="13"/>
        <v>1</v>
      </c>
      <c r="O84" s="14">
        <f t="shared" si="13"/>
        <v>8</v>
      </c>
      <c r="P84" s="14">
        <f t="shared" si="13"/>
        <v>15</v>
      </c>
      <c r="Q84" s="14">
        <f t="shared" si="13"/>
        <v>6</v>
      </c>
      <c r="R84" s="14">
        <f t="shared" si="13"/>
        <v>5</v>
      </c>
      <c r="S84" s="14">
        <f t="shared" si="13"/>
        <v>6</v>
      </c>
      <c r="T84" s="14">
        <f t="shared" si="13"/>
        <v>6</v>
      </c>
      <c r="U84" s="14">
        <f t="shared" si="13"/>
        <v>3</v>
      </c>
      <c r="V84" s="14">
        <f t="shared" si="13"/>
        <v>7</v>
      </c>
      <c r="W84" s="14">
        <f t="shared" si="13"/>
        <v>10</v>
      </c>
      <c r="X84" s="14">
        <f t="shared" si="13"/>
        <v>14</v>
      </c>
      <c r="Y84" s="14">
        <f t="shared" si="13"/>
        <v>7</v>
      </c>
      <c r="Z84" s="14">
        <f t="shared" si="13"/>
        <v>9</v>
      </c>
      <c r="AA84" s="14">
        <f t="shared" si="13"/>
        <v>9</v>
      </c>
      <c r="AB84" s="14">
        <f t="shared" si="13"/>
        <v>6</v>
      </c>
      <c r="AC84" s="14">
        <f t="shared" si="13"/>
        <v>10</v>
      </c>
      <c r="AD84" s="14">
        <f t="shared" si="13"/>
        <v>3</v>
      </c>
      <c r="AE84" s="14">
        <f t="shared" si="13"/>
        <v>2</v>
      </c>
      <c r="AF84" s="14">
        <f t="shared" si="13"/>
        <v>4</v>
      </c>
      <c r="AG84" s="15">
        <f t="shared" si="5"/>
        <v>248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3</v>
      </c>
      <c r="C85" s="69">
        <v>1</v>
      </c>
      <c r="D85" s="69">
        <v>2</v>
      </c>
      <c r="E85" s="69">
        <v>0</v>
      </c>
      <c r="F85" s="69">
        <v>2</v>
      </c>
      <c r="G85" s="69">
        <v>2</v>
      </c>
      <c r="H85" s="69">
        <v>1</v>
      </c>
      <c r="I85" s="69">
        <v>2</v>
      </c>
      <c r="J85" s="69">
        <v>0</v>
      </c>
      <c r="K85" s="69">
        <v>0</v>
      </c>
      <c r="L85" s="69">
        <v>3</v>
      </c>
      <c r="M85" s="69">
        <v>1</v>
      </c>
      <c r="N85" s="69">
        <v>0</v>
      </c>
      <c r="O85" s="69">
        <v>1</v>
      </c>
      <c r="P85" s="69">
        <v>3</v>
      </c>
      <c r="Q85" s="69">
        <v>0</v>
      </c>
      <c r="R85" s="69">
        <v>2</v>
      </c>
      <c r="S85" s="69">
        <v>1</v>
      </c>
      <c r="T85" s="69">
        <v>3</v>
      </c>
      <c r="U85" s="69">
        <v>2</v>
      </c>
      <c r="V85" s="69">
        <v>0</v>
      </c>
      <c r="W85" s="69">
        <v>4</v>
      </c>
      <c r="X85" s="69">
        <v>3</v>
      </c>
      <c r="Y85" s="69">
        <v>0</v>
      </c>
      <c r="Z85" s="69">
        <v>3</v>
      </c>
      <c r="AA85" s="69">
        <v>0</v>
      </c>
      <c r="AB85" s="69">
        <v>1</v>
      </c>
      <c r="AC85" s="69">
        <v>0</v>
      </c>
      <c r="AD85" s="69">
        <v>0</v>
      </c>
      <c r="AE85" s="69">
        <v>0</v>
      </c>
      <c r="AF85" s="69">
        <v>0</v>
      </c>
      <c r="AG85" s="16">
        <f t="shared" si="5"/>
        <v>40</v>
      </c>
    </row>
    <row r="86" spans="1:34" ht="15.75" customHeight="1" thickBot="1" x14ac:dyDescent="0.3">
      <c r="A86" s="70" t="s">
        <v>35</v>
      </c>
      <c r="B86" s="71">
        <v>12</v>
      </c>
      <c r="C86" s="71">
        <v>8</v>
      </c>
      <c r="D86" s="71">
        <v>12</v>
      </c>
      <c r="E86" s="71">
        <v>3</v>
      </c>
      <c r="F86" s="71">
        <v>25</v>
      </c>
      <c r="G86" s="71">
        <v>4</v>
      </c>
      <c r="H86" s="71">
        <v>4</v>
      </c>
      <c r="I86" s="71">
        <v>14</v>
      </c>
      <c r="J86" s="71">
        <v>4</v>
      </c>
      <c r="K86" s="71">
        <v>3</v>
      </c>
      <c r="L86" s="71">
        <v>5</v>
      </c>
      <c r="M86" s="71">
        <v>6</v>
      </c>
      <c r="N86" s="71">
        <v>1</v>
      </c>
      <c r="O86" s="71">
        <v>7</v>
      </c>
      <c r="P86" s="71">
        <v>12</v>
      </c>
      <c r="Q86" s="71">
        <v>6</v>
      </c>
      <c r="R86" s="71">
        <v>3</v>
      </c>
      <c r="S86" s="71">
        <v>5</v>
      </c>
      <c r="T86" s="71">
        <v>3</v>
      </c>
      <c r="U86" s="71">
        <v>1</v>
      </c>
      <c r="V86" s="71">
        <v>7</v>
      </c>
      <c r="W86" s="71">
        <v>6</v>
      </c>
      <c r="X86" s="71">
        <v>11</v>
      </c>
      <c r="Y86" s="71">
        <v>7</v>
      </c>
      <c r="Z86" s="71">
        <v>6</v>
      </c>
      <c r="AA86" s="71">
        <v>9</v>
      </c>
      <c r="AB86" s="71">
        <v>5</v>
      </c>
      <c r="AC86" s="71">
        <v>10</v>
      </c>
      <c r="AD86" s="71">
        <v>3</v>
      </c>
      <c r="AE86" s="71">
        <v>2</v>
      </c>
      <c r="AF86" s="71">
        <v>4</v>
      </c>
      <c r="AG86" s="17">
        <f t="shared" si="5"/>
        <v>208</v>
      </c>
    </row>
    <row r="87" spans="1:34" ht="15.75" customHeight="1" thickBot="1" x14ac:dyDescent="0.3">
      <c r="A87" s="72" t="s">
        <v>36</v>
      </c>
      <c r="B87" s="18">
        <f t="shared" ref="B87:AF87" si="14">SUM(B88:B92)</f>
        <v>15</v>
      </c>
      <c r="C87" s="18">
        <f t="shared" si="14"/>
        <v>9</v>
      </c>
      <c r="D87" s="18">
        <f t="shared" si="14"/>
        <v>14</v>
      </c>
      <c r="E87" s="18">
        <f t="shared" si="14"/>
        <v>3</v>
      </c>
      <c r="F87" s="18">
        <f t="shared" si="14"/>
        <v>27</v>
      </c>
      <c r="G87" s="18">
        <f t="shared" si="14"/>
        <v>6</v>
      </c>
      <c r="H87" s="18">
        <f t="shared" si="14"/>
        <v>5</v>
      </c>
      <c r="I87" s="18">
        <f t="shared" si="14"/>
        <v>16</v>
      </c>
      <c r="J87" s="18">
        <f t="shared" si="14"/>
        <v>4</v>
      </c>
      <c r="K87" s="18">
        <f t="shared" si="14"/>
        <v>3</v>
      </c>
      <c r="L87" s="18">
        <f t="shared" si="14"/>
        <v>8</v>
      </c>
      <c r="M87" s="18">
        <f t="shared" si="14"/>
        <v>7</v>
      </c>
      <c r="N87" s="18">
        <f t="shared" si="14"/>
        <v>1</v>
      </c>
      <c r="O87" s="18">
        <f t="shared" si="14"/>
        <v>8</v>
      </c>
      <c r="P87" s="18">
        <f t="shared" si="14"/>
        <v>15</v>
      </c>
      <c r="Q87" s="18">
        <f t="shared" si="14"/>
        <v>6</v>
      </c>
      <c r="R87" s="18">
        <f t="shared" si="14"/>
        <v>5</v>
      </c>
      <c r="S87" s="18">
        <f t="shared" si="14"/>
        <v>6</v>
      </c>
      <c r="T87" s="18">
        <f t="shared" si="14"/>
        <v>6</v>
      </c>
      <c r="U87" s="18">
        <f t="shared" si="14"/>
        <v>3</v>
      </c>
      <c r="V87" s="18">
        <f t="shared" si="14"/>
        <v>7</v>
      </c>
      <c r="W87" s="18">
        <f t="shared" si="14"/>
        <v>10</v>
      </c>
      <c r="X87" s="18">
        <f t="shared" si="14"/>
        <v>14</v>
      </c>
      <c r="Y87" s="18">
        <f t="shared" si="14"/>
        <v>7</v>
      </c>
      <c r="Z87" s="18">
        <f t="shared" si="14"/>
        <v>9</v>
      </c>
      <c r="AA87" s="18">
        <f t="shared" si="14"/>
        <v>9</v>
      </c>
      <c r="AB87" s="18">
        <f t="shared" si="14"/>
        <v>6</v>
      </c>
      <c r="AC87" s="18">
        <f t="shared" si="14"/>
        <v>10</v>
      </c>
      <c r="AD87" s="18">
        <f t="shared" si="14"/>
        <v>3</v>
      </c>
      <c r="AE87" s="18">
        <f t="shared" si="14"/>
        <v>2</v>
      </c>
      <c r="AF87" s="18">
        <f t="shared" si="14"/>
        <v>4</v>
      </c>
      <c r="AG87" s="19">
        <f t="shared" si="5"/>
        <v>248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5</v>
      </c>
      <c r="C88" s="60">
        <v>0</v>
      </c>
      <c r="D88" s="60">
        <v>3</v>
      </c>
      <c r="E88" s="60">
        <v>0</v>
      </c>
      <c r="F88" s="60">
        <v>7</v>
      </c>
      <c r="G88" s="60">
        <v>5</v>
      </c>
      <c r="H88" s="60">
        <v>2</v>
      </c>
      <c r="I88" s="60">
        <v>4</v>
      </c>
      <c r="J88" s="60">
        <v>2</v>
      </c>
      <c r="K88" s="60">
        <v>2</v>
      </c>
      <c r="L88" s="60">
        <v>1</v>
      </c>
      <c r="M88" s="60">
        <v>1</v>
      </c>
      <c r="N88" s="60">
        <v>1</v>
      </c>
      <c r="O88" s="60">
        <v>4</v>
      </c>
      <c r="P88" s="60">
        <v>2</v>
      </c>
      <c r="Q88" s="60">
        <v>3</v>
      </c>
      <c r="R88" s="60">
        <v>0</v>
      </c>
      <c r="S88" s="60">
        <v>1</v>
      </c>
      <c r="T88" s="60">
        <v>3</v>
      </c>
      <c r="U88" s="60">
        <v>3</v>
      </c>
      <c r="V88" s="60">
        <v>3</v>
      </c>
      <c r="W88" s="60">
        <v>2</v>
      </c>
      <c r="X88" s="60">
        <v>3</v>
      </c>
      <c r="Y88" s="60">
        <v>0</v>
      </c>
      <c r="Z88" s="60">
        <v>4</v>
      </c>
      <c r="AA88" s="60">
        <v>5</v>
      </c>
      <c r="AB88" s="60">
        <v>2</v>
      </c>
      <c r="AC88" s="60">
        <v>1</v>
      </c>
      <c r="AD88" s="60">
        <v>1</v>
      </c>
      <c r="AE88" s="60">
        <v>0</v>
      </c>
      <c r="AF88" s="60">
        <v>1</v>
      </c>
      <c r="AG88" s="4">
        <f t="shared" si="5"/>
        <v>71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0</v>
      </c>
    </row>
    <row r="90" spans="1:34" ht="15.75" customHeight="1" x14ac:dyDescent="0.25">
      <c r="A90" s="74" t="s">
        <v>39</v>
      </c>
      <c r="B90" s="60">
        <v>0</v>
      </c>
      <c r="C90" s="60">
        <v>0</v>
      </c>
      <c r="D90" s="60">
        <v>1</v>
      </c>
      <c r="E90" s="60">
        <v>0</v>
      </c>
      <c r="F90" s="60">
        <v>0</v>
      </c>
      <c r="G90" s="60">
        <v>0</v>
      </c>
      <c r="H90" s="60">
        <v>1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1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1</v>
      </c>
      <c r="AC90" s="60">
        <v>0</v>
      </c>
      <c r="AD90" s="60">
        <v>0</v>
      </c>
      <c r="AE90" s="60">
        <v>0</v>
      </c>
      <c r="AF90" s="60">
        <v>0</v>
      </c>
      <c r="AG90" s="5">
        <f t="shared" si="5"/>
        <v>4</v>
      </c>
    </row>
    <row r="91" spans="1:34" ht="15.75" customHeight="1" x14ac:dyDescent="0.25">
      <c r="A91" s="74" t="s">
        <v>40</v>
      </c>
      <c r="B91" s="60">
        <v>2</v>
      </c>
      <c r="C91" s="60">
        <v>7</v>
      </c>
      <c r="D91" s="60">
        <v>3</v>
      </c>
      <c r="E91" s="60">
        <v>1</v>
      </c>
      <c r="F91" s="60">
        <v>12</v>
      </c>
      <c r="G91" s="60">
        <v>0</v>
      </c>
      <c r="H91" s="60">
        <v>0</v>
      </c>
      <c r="I91" s="60">
        <v>9</v>
      </c>
      <c r="J91" s="60">
        <v>0</v>
      </c>
      <c r="K91" s="60">
        <v>0</v>
      </c>
      <c r="L91" s="60">
        <v>3</v>
      </c>
      <c r="M91" s="60">
        <v>2</v>
      </c>
      <c r="N91" s="60">
        <v>0</v>
      </c>
      <c r="O91" s="60">
        <v>2</v>
      </c>
      <c r="P91" s="60">
        <v>5</v>
      </c>
      <c r="Q91" s="60">
        <v>0</v>
      </c>
      <c r="R91" s="60">
        <v>2</v>
      </c>
      <c r="S91" s="60">
        <v>3</v>
      </c>
      <c r="T91" s="60">
        <v>0</v>
      </c>
      <c r="U91" s="60">
        <v>0</v>
      </c>
      <c r="V91" s="60">
        <v>0</v>
      </c>
      <c r="W91" s="60">
        <v>6</v>
      </c>
      <c r="X91" s="60">
        <v>8</v>
      </c>
      <c r="Y91" s="60">
        <v>4</v>
      </c>
      <c r="Z91" s="60">
        <v>2</v>
      </c>
      <c r="AA91" s="60">
        <v>4</v>
      </c>
      <c r="AB91" s="60">
        <v>1</v>
      </c>
      <c r="AC91" s="60">
        <v>5</v>
      </c>
      <c r="AD91" s="60">
        <v>1</v>
      </c>
      <c r="AE91" s="60">
        <v>1</v>
      </c>
      <c r="AF91" s="60">
        <v>0</v>
      </c>
      <c r="AG91" s="5">
        <f t="shared" si="5"/>
        <v>83</v>
      </c>
    </row>
    <row r="92" spans="1:34" ht="15.75" customHeight="1" thickBot="1" x14ac:dyDescent="0.3">
      <c r="A92" s="74" t="s">
        <v>41</v>
      </c>
      <c r="B92" s="60">
        <v>8</v>
      </c>
      <c r="C92" s="60">
        <v>2</v>
      </c>
      <c r="D92" s="60">
        <v>7</v>
      </c>
      <c r="E92" s="60">
        <v>2</v>
      </c>
      <c r="F92" s="60">
        <v>8</v>
      </c>
      <c r="G92" s="60">
        <v>1</v>
      </c>
      <c r="H92" s="60">
        <v>2</v>
      </c>
      <c r="I92" s="60">
        <v>3</v>
      </c>
      <c r="J92" s="60">
        <v>2</v>
      </c>
      <c r="K92" s="60">
        <v>1</v>
      </c>
      <c r="L92" s="60">
        <v>4</v>
      </c>
      <c r="M92" s="60">
        <v>4</v>
      </c>
      <c r="N92" s="60">
        <v>0</v>
      </c>
      <c r="O92" s="60">
        <v>2</v>
      </c>
      <c r="P92" s="60">
        <v>7</v>
      </c>
      <c r="Q92" s="60">
        <v>3</v>
      </c>
      <c r="R92" s="60">
        <v>3</v>
      </c>
      <c r="S92" s="60">
        <v>2</v>
      </c>
      <c r="T92" s="60">
        <v>3</v>
      </c>
      <c r="U92" s="60">
        <v>0</v>
      </c>
      <c r="V92" s="60">
        <v>4</v>
      </c>
      <c r="W92" s="60">
        <v>2</v>
      </c>
      <c r="X92" s="60">
        <v>3</v>
      </c>
      <c r="Y92" s="60">
        <v>3</v>
      </c>
      <c r="Z92" s="60">
        <v>3</v>
      </c>
      <c r="AA92" s="60">
        <v>0</v>
      </c>
      <c r="AB92" s="60">
        <v>2</v>
      </c>
      <c r="AC92" s="60">
        <v>4</v>
      </c>
      <c r="AD92" s="60">
        <v>1</v>
      </c>
      <c r="AE92" s="60">
        <v>1</v>
      </c>
      <c r="AF92" s="60">
        <v>3</v>
      </c>
      <c r="AG92" s="5">
        <f t="shared" si="5"/>
        <v>90</v>
      </c>
    </row>
    <row r="93" spans="1:34" ht="15.75" customHeight="1" x14ac:dyDescent="0.25">
      <c r="A93" s="75" t="s">
        <v>42</v>
      </c>
      <c r="B93" s="20">
        <f t="shared" ref="B93:AF93" si="15">+B94+B100</f>
        <v>154</v>
      </c>
      <c r="C93" s="20">
        <f t="shared" si="15"/>
        <v>135</v>
      </c>
      <c r="D93" s="20">
        <f t="shared" si="15"/>
        <v>129</v>
      </c>
      <c r="E93" s="20">
        <f t="shared" si="15"/>
        <v>125</v>
      </c>
      <c r="F93" s="20">
        <f t="shared" si="15"/>
        <v>123</v>
      </c>
      <c r="G93" s="20">
        <f t="shared" si="15"/>
        <v>201</v>
      </c>
      <c r="H93" s="20">
        <f t="shared" si="15"/>
        <v>182</v>
      </c>
      <c r="I93" s="20">
        <f t="shared" si="15"/>
        <v>138</v>
      </c>
      <c r="J93" s="20">
        <f t="shared" si="15"/>
        <v>123</v>
      </c>
      <c r="K93" s="20">
        <f t="shared" si="15"/>
        <v>122</v>
      </c>
      <c r="L93" s="20">
        <f t="shared" si="15"/>
        <v>134</v>
      </c>
      <c r="M93" s="20">
        <f t="shared" si="15"/>
        <v>123</v>
      </c>
      <c r="N93" s="20">
        <f t="shared" si="15"/>
        <v>172</v>
      </c>
      <c r="O93" s="20">
        <f t="shared" si="15"/>
        <v>169</v>
      </c>
      <c r="P93" s="20">
        <f t="shared" si="15"/>
        <v>132</v>
      </c>
      <c r="Q93" s="20">
        <f t="shared" si="15"/>
        <v>130</v>
      </c>
      <c r="R93" s="20">
        <f t="shared" si="15"/>
        <v>125</v>
      </c>
      <c r="S93" s="20">
        <f t="shared" si="15"/>
        <v>111</v>
      </c>
      <c r="T93" s="20">
        <f t="shared" si="15"/>
        <v>116</v>
      </c>
      <c r="U93" s="20">
        <f t="shared" si="15"/>
        <v>179</v>
      </c>
      <c r="V93" s="20">
        <f t="shared" si="15"/>
        <v>184</v>
      </c>
      <c r="W93" s="20">
        <f t="shared" si="15"/>
        <v>119</v>
      </c>
      <c r="X93" s="20">
        <f t="shared" si="15"/>
        <v>135</v>
      </c>
      <c r="Y93" s="20">
        <f t="shared" si="15"/>
        <v>113</v>
      </c>
      <c r="Z93" s="20">
        <f t="shared" si="15"/>
        <v>115</v>
      </c>
      <c r="AA93" s="20">
        <f t="shared" si="15"/>
        <v>127</v>
      </c>
      <c r="AB93" s="20">
        <f t="shared" si="15"/>
        <v>200</v>
      </c>
      <c r="AC93" s="20">
        <f t="shared" si="15"/>
        <v>166</v>
      </c>
      <c r="AD93" s="20">
        <f t="shared" si="15"/>
        <v>143</v>
      </c>
      <c r="AE93" s="20">
        <f t="shared" si="15"/>
        <v>119</v>
      </c>
      <c r="AF93" s="20">
        <f t="shared" si="15"/>
        <v>136</v>
      </c>
      <c r="AG93" s="5">
        <f t="shared" si="5"/>
        <v>4380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25</v>
      </c>
      <c r="C94" s="21">
        <f t="shared" si="16"/>
        <v>12</v>
      </c>
      <c r="D94" s="21">
        <f t="shared" si="16"/>
        <v>20</v>
      </c>
      <c r="E94" s="21">
        <f t="shared" si="16"/>
        <v>17</v>
      </c>
      <c r="F94" s="21">
        <f t="shared" si="16"/>
        <v>21</v>
      </c>
      <c r="G94" s="21">
        <f t="shared" si="16"/>
        <v>20</v>
      </c>
      <c r="H94" s="21">
        <f t="shared" si="16"/>
        <v>31</v>
      </c>
      <c r="I94" s="21">
        <f t="shared" si="16"/>
        <v>12</v>
      </c>
      <c r="J94" s="21">
        <f t="shared" si="16"/>
        <v>15</v>
      </c>
      <c r="K94" s="21">
        <f t="shared" si="16"/>
        <v>21</v>
      </c>
      <c r="L94" s="21">
        <f t="shared" si="16"/>
        <v>11</v>
      </c>
      <c r="M94" s="21">
        <f t="shared" si="16"/>
        <v>13</v>
      </c>
      <c r="N94" s="21">
        <f t="shared" si="16"/>
        <v>23</v>
      </c>
      <c r="O94" s="21">
        <f t="shared" si="16"/>
        <v>26</v>
      </c>
      <c r="P94" s="21">
        <f t="shared" si="16"/>
        <v>16</v>
      </c>
      <c r="Q94" s="21">
        <f t="shared" si="16"/>
        <v>16</v>
      </c>
      <c r="R94" s="21">
        <f t="shared" si="16"/>
        <v>19</v>
      </c>
      <c r="S94" s="21">
        <f t="shared" si="16"/>
        <v>13</v>
      </c>
      <c r="T94" s="21">
        <f t="shared" si="16"/>
        <v>11</v>
      </c>
      <c r="U94" s="21">
        <f t="shared" si="16"/>
        <v>22</v>
      </c>
      <c r="V94" s="21">
        <f t="shared" si="16"/>
        <v>27</v>
      </c>
      <c r="W94" s="21">
        <f t="shared" si="16"/>
        <v>16</v>
      </c>
      <c r="X94" s="21">
        <f t="shared" si="16"/>
        <v>20</v>
      </c>
      <c r="Y94" s="21">
        <f t="shared" si="16"/>
        <v>20</v>
      </c>
      <c r="Z94" s="21">
        <f t="shared" si="16"/>
        <v>15</v>
      </c>
      <c r="AA94" s="21">
        <f t="shared" si="16"/>
        <v>16</v>
      </c>
      <c r="AB94" s="21">
        <f t="shared" si="16"/>
        <v>27</v>
      </c>
      <c r="AC94" s="21">
        <f t="shared" si="16"/>
        <v>20</v>
      </c>
      <c r="AD94" s="21">
        <f t="shared" si="16"/>
        <v>18</v>
      </c>
      <c r="AE94" s="21">
        <f t="shared" si="16"/>
        <v>22</v>
      </c>
      <c r="AF94" s="21">
        <f t="shared" si="16"/>
        <v>16</v>
      </c>
      <c r="AG94" s="5">
        <f t="shared" si="5"/>
        <v>581</v>
      </c>
    </row>
    <row r="95" spans="1:34" ht="15.75" customHeight="1" x14ac:dyDescent="0.25">
      <c r="A95" s="78" t="s">
        <v>44</v>
      </c>
      <c r="B95" s="54">
        <v>0</v>
      </c>
      <c r="C95" s="54">
        <v>0</v>
      </c>
      <c r="D95" s="54">
        <v>1</v>
      </c>
      <c r="E95" s="54">
        <v>0</v>
      </c>
      <c r="F95" s="54">
        <v>2</v>
      </c>
      <c r="G95" s="54">
        <v>1</v>
      </c>
      <c r="H95" s="54">
        <v>3</v>
      </c>
      <c r="I95" s="54">
        <v>0</v>
      </c>
      <c r="J95" s="54">
        <v>1</v>
      </c>
      <c r="K95" s="54">
        <v>2</v>
      </c>
      <c r="L95" s="54">
        <v>0</v>
      </c>
      <c r="M95" s="54">
        <v>0</v>
      </c>
      <c r="N95" s="54">
        <v>2</v>
      </c>
      <c r="O95" s="54">
        <v>2</v>
      </c>
      <c r="P95" s="54">
        <v>0</v>
      </c>
      <c r="Q95" s="54">
        <v>0</v>
      </c>
      <c r="R95" s="54">
        <v>2</v>
      </c>
      <c r="S95" s="54">
        <v>0</v>
      </c>
      <c r="T95" s="54">
        <v>1</v>
      </c>
      <c r="U95" s="54">
        <v>1</v>
      </c>
      <c r="V95" s="54">
        <v>1</v>
      </c>
      <c r="W95" s="54">
        <v>2</v>
      </c>
      <c r="X95" s="54">
        <v>0</v>
      </c>
      <c r="Y95" s="54">
        <v>0</v>
      </c>
      <c r="Z95" s="54">
        <v>1</v>
      </c>
      <c r="AA95" s="54">
        <v>1</v>
      </c>
      <c r="AB95" s="54">
        <v>1</v>
      </c>
      <c r="AC95" s="54">
        <v>0</v>
      </c>
      <c r="AD95" s="54">
        <v>1</v>
      </c>
      <c r="AE95" s="54">
        <v>0</v>
      </c>
      <c r="AF95" s="54">
        <v>0</v>
      </c>
      <c r="AG95" s="5">
        <f t="shared" si="5"/>
        <v>25</v>
      </c>
    </row>
    <row r="96" spans="1:34" ht="15.75" customHeight="1" x14ac:dyDescent="0.25">
      <c r="A96" s="79" t="s">
        <v>45</v>
      </c>
      <c r="B96" s="54">
        <v>3</v>
      </c>
      <c r="C96" s="54">
        <v>0</v>
      </c>
      <c r="D96" s="54">
        <v>0</v>
      </c>
      <c r="E96" s="54">
        <v>0</v>
      </c>
      <c r="F96" s="54">
        <v>0</v>
      </c>
      <c r="G96" s="54">
        <v>2</v>
      </c>
      <c r="H96" s="54">
        <v>3</v>
      </c>
      <c r="I96" s="54">
        <v>0</v>
      </c>
      <c r="J96" s="54">
        <v>0</v>
      </c>
      <c r="K96" s="54">
        <v>0</v>
      </c>
      <c r="L96" s="54">
        <v>0</v>
      </c>
      <c r="M96" s="54">
        <v>0</v>
      </c>
      <c r="N96" s="54">
        <v>2</v>
      </c>
      <c r="O96" s="54">
        <v>1</v>
      </c>
      <c r="P96" s="54">
        <v>0</v>
      </c>
      <c r="Q96" s="54">
        <v>1</v>
      </c>
      <c r="R96" s="54">
        <v>1</v>
      </c>
      <c r="S96" s="54">
        <v>0</v>
      </c>
      <c r="T96" s="54">
        <v>2</v>
      </c>
      <c r="U96" s="54">
        <v>0</v>
      </c>
      <c r="V96" s="54">
        <v>2</v>
      </c>
      <c r="W96" s="54">
        <v>1</v>
      </c>
      <c r="X96" s="54">
        <v>0</v>
      </c>
      <c r="Y96" s="54">
        <v>0</v>
      </c>
      <c r="Z96" s="54">
        <v>0</v>
      </c>
      <c r="AA96" s="54">
        <v>1</v>
      </c>
      <c r="AB96" s="54">
        <v>2</v>
      </c>
      <c r="AC96" s="54">
        <v>1</v>
      </c>
      <c r="AD96" s="54">
        <v>0</v>
      </c>
      <c r="AE96" s="54">
        <v>0</v>
      </c>
      <c r="AF96" s="54">
        <v>1</v>
      </c>
      <c r="AG96" s="5">
        <f t="shared" si="5"/>
        <v>23</v>
      </c>
    </row>
    <row r="97" spans="1:33" ht="15.75" customHeight="1" x14ac:dyDescent="0.25">
      <c r="A97" s="80" t="s">
        <v>46</v>
      </c>
      <c r="B97" s="54">
        <v>5</v>
      </c>
      <c r="C97" s="54">
        <v>2</v>
      </c>
      <c r="D97" s="54">
        <v>1</v>
      </c>
      <c r="E97" s="54">
        <v>2</v>
      </c>
      <c r="F97" s="54">
        <v>5</v>
      </c>
      <c r="G97" s="54">
        <v>3</v>
      </c>
      <c r="H97" s="54">
        <v>5</v>
      </c>
      <c r="I97" s="54">
        <v>2</v>
      </c>
      <c r="J97" s="54">
        <v>4</v>
      </c>
      <c r="K97" s="54">
        <v>7</v>
      </c>
      <c r="L97" s="54">
        <v>2</v>
      </c>
      <c r="M97" s="54">
        <v>5</v>
      </c>
      <c r="N97" s="54">
        <v>10</v>
      </c>
      <c r="O97" s="54">
        <v>2</v>
      </c>
      <c r="P97" s="54">
        <v>3</v>
      </c>
      <c r="Q97" s="54">
        <v>5</v>
      </c>
      <c r="R97" s="54">
        <v>6</v>
      </c>
      <c r="S97" s="54">
        <v>3</v>
      </c>
      <c r="T97" s="54">
        <v>3</v>
      </c>
      <c r="U97" s="54">
        <v>3</v>
      </c>
      <c r="V97" s="54">
        <v>4</v>
      </c>
      <c r="W97" s="54">
        <v>2</v>
      </c>
      <c r="X97" s="54">
        <v>6</v>
      </c>
      <c r="Y97" s="54">
        <v>3</v>
      </c>
      <c r="Z97" s="54">
        <v>2</v>
      </c>
      <c r="AA97" s="54">
        <v>1</v>
      </c>
      <c r="AB97" s="54">
        <v>5</v>
      </c>
      <c r="AC97" s="54">
        <v>2</v>
      </c>
      <c r="AD97" s="54">
        <v>3</v>
      </c>
      <c r="AE97" s="54">
        <v>2</v>
      </c>
      <c r="AF97" s="54">
        <v>4</v>
      </c>
      <c r="AG97" s="5">
        <f t="shared" si="5"/>
        <v>112</v>
      </c>
    </row>
    <row r="98" spans="1:33" ht="15.75" customHeight="1" x14ac:dyDescent="0.25">
      <c r="A98" s="81" t="s">
        <v>47</v>
      </c>
      <c r="B98" s="54">
        <v>6</v>
      </c>
      <c r="C98" s="54">
        <v>4</v>
      </c>
      <c r="D98" s="54">
        <v>13</v>
      </c>
      <c r="E98" s="54">
        <v>3</v>
      </c>
      <c r="F98" s="54">
        <v>11</v>
      </c>
      <c r="G98" s="54">
        <v>7</v>
      </c>
      <c r="H98" s="54">
        <v>11</v>
      </c>
      <c r="I98" s="54">
        <v>7</v>
      </c>
      <c r="J98" s="54">
        <v>6</v>
      </c>
      <c r="K98" s="54">
        <v>7</v>
      </c>
      <c r="L98" s="54">
        <v>6</v>
      </c>
      <c r="M98" s="54">
        <v>5</v>
      </c>
      <c r="N98" s="54">
        <v>4</v>
      </c>
      <c r="O98" s="54">
        <v>11</v>
      </c>
      <c r="P98" s="54">
        <v>6</v>
      </c>
      <c r="Q98" s="54">
        <v>3</v>
      </c>
      <c r="R98" s="54">
        <v>4</v>
      </c>
      <c r="S98" s="54">
        <v>7</v>
      </c>
      <c r="T98" s="54">
        <v>2</v>
      </c>
      <c r="U98" s="54">
        <v>9</v>
      </c>
      <c r="V98" s="54">
        <v>10</v>
      </c>
      <c r="W98" s="54">
        <v>3</v>
      </c>
      <c r="X98" s="54">
        <v>8</v>
      </c>
      <c r="Y98" s="54">
        <v>12</v>
      </c>
      <c r="Z98" s="54">
        <v>7</v>
      </c>
      <c r="AA98" s="54">
        <v>6</v>
      </c>
      <c r="AB98" s="54">
        <v>10</v>
      </c>
      <c r="AC98" s="54">
        <v>8</v>
      </c>
      <c r="AD98" s="54">
        <v>7</v>
      </c>
      <c r="AE98" s="54">
        <v>8</v>
      </c>
      <c r="AF98" s="54">
        <v>8</v>
      </c>
      <c r="AG98" s="5">
        <f t="shared" si="5"/>
        <v>219</v>
      </c>
    </row>
    <row r="99" spans="1:33" ht="15.75" customHeight="1" x14ac:dyDescent="0.25">
      <c r="A99" s="82" t="s">
        <v>48</v>
      </c>
      <c r="B99" s="54">
        <v>11</v>
      </c>
      <c r="C99" s="54">
        <v>6</v>
      </c>
      <c r="D99" s="54">
        <v>5</v>
      </c>
      <c r="E99" s="54">
        <v>12</v>
      </c>
      <c r="F99" s="54">
        <v>3</v>
      </c>
      <c r="G99" s="54">
        <v>7</v>
      </c>
      <c r="H99" s="54">
        <v>9</v>
      </c>
      <c r="I99" s="54">
        <v>3</v>
      </c>
      <c r="J99" s="54">
        <v>4</v>
      </c>
      <c r="K99" s="54">
        <v>5</v>
      </c>
      <c r="L99" s="54">
        <v>3</v>
      </c>
      <c r="M99" s="54">
        <v>3</v>
      </c>
      <c r="N99" s="54">
        <v>5</v>
      </c>
      <c r="O99" s="54">
        <v>10</v>
      </c>
      <c r="P99" s="54">
        <v>7</v>
      </c>
      <c r="Q99" s="54">
        <v>7</v>
      </c>
      <c r="R99" s="54">
        <v>6</v>
      </c>
      <c r="S99" s="54">
        <v>3</v>
      </c>
      <c r="T99" s="54">
        <v>3</v>
      </c>
      <c r="U99" s="54">
        <v>9</v>
      </c>
      <c r="V99" s="54">
        <v>10</v>
      </c>
      <c r="W99" s="54">
        <v>8</v>
      </c>
      <c r="X99" s="54">
        <v>6</v>
      </c>
      <c r="Y99" s="54">
        <v>5</v>
      </c>
      <c r="Z99" s="54">
        <v>5</v>
      </c>
      <c r="AA99" s="54">
        <v>7</v>
      </c>
      <c r="AB99" s="54">
        <v>9</v>
      </c>
      <c r="AC99" s="54">
        <v>9</v>
      </c>
      <c r="AD99" s="54">
        <v>7</v>
      </c>
      <c r="AE99" s="54">
        <v>12</v>
      </c>
      <c r="AF99" s="54">
        <v>3</v>
      </c>
      <c r="AG99" s="5">
        <f t="shared" ref="AG99:AG162" si="17">SUM(B99:AF99)</f>
        <v>202</v>
      </c>
    </row>
    <row r="100" spans="1:33" ht="15.75" customHeight="1" x14ac:dyDescent="0.25">
      <c r="A100" s="76" t="s">
        <v>49</v>
      </c>
      <c r="B100" s="21">
        <f t="shared" ref="B100:AF100" si="18">SUM(B101:B115)</f>
        <v>129</v>
      </c>
      <c r="C100" s="21">
        <f t="shared" si="18"/>
        <v>123</v>
      </c>
      <c r="D100" s="21">
        <f t="shared" si="18"/>
        <v>109</v>
      </c>
      <c r="E100" s="21">
        <f t="shared" si="18"/>
        <v>108</v>
      </c>
      <c r="F100" s="21">
        <f t="shared" si="18"/>
        <v>102</v>
      </c>
      <c r="G100" s="21">
        <f t="shared" si="18"/>
        <v>181</v>
      </c>
      <c r="H100" s="21">
        <f t="shared" si="18"/>
        <v>151</v>
      </c>
      <c r="I100" s="21">
        <f t="shared" si="18"/>
        <v>126</v>
      </c>
      <c r="J100" s="21">
        <f t="shared" si="18"/>
        <v>108</v>
      </c>
      <c r="K100" s="21">
        <f t="shared" si="18"/>
        <v>101</v>
      </c>
      <c r="L100" s="21">
        <f t="shared" si="18"/>
        <v>123</v>
      </c>
      <c r="M100" s="21">
        <f t="shared" si="18"/>
        <v>110</v>
      </c>
      <c r="N100" s="21">
        <f t="shared" si="18"/>
        <v>149</v>
      </c>
      <c r="O100" s="21">
        <f t="shared" si="18"/>
        <v>143</v>
      </c>
      <c r="P100" s="21">
        <f t="shared" si="18"/>
        <v>116</v>
      </c>
      <c r="Q100" s="21">
        <f t="shared" si="18"/>
        <v>114</v>
      </c>
      <c r="R100" s="21">
        <f t="shared" si="18"/>
        <v>106</v>
      </c>
      <c r="S100" s="21">
        <f t="shared" si="18"/>
        <v>98</v>
      </c>
      <c r="T100" s="21">
        <f t="shared" si="18"/>
        <v>105</v>
      </c>
      <c r="U100" s="21">
        <f t="shared" si="18"/>
        <v>157</v>
      </c>
      <c r="V100" s="21">
        <f t="shared" si="18"/>
        <v>157</v>
      </c>
      <c r="W100" s="21">
        <f t="shared" si="18"/>
        <v>103</v>
      </c>
      <c r="X100" s="21">
        <f t="shared" si="18"/>
        <v>115</v>
      </c>
      <c r="Y100" s="21">
        <f t="shared" si="18"/>
        <v>93</v>
      </c>
      <c r="Z100" s="21">
        <f t="shared" si="18"/>
        <v>100</v>
      </c>
      <c r="AA100" s="21">
        <f t="shared" si="18"/>
        <v>111</v>
      </c>
      <c r="AB100" s="21">
        <f t="shared" si="18"/>
        <v>173</v>
      </c>
      <c r="AC100" s="21">
        <f t="shared" si="18"/>
        <v>146</v>
      </c>
      <c r="AD100" s="21">
        <f t="shared" si="18"/>
        <v>125</v>
      </c>
      <c r="AE100" s="21">
        <f t="shared" si="18"/>
        <v>97</v>
      </c>
      <c r="AF100" s="21">
        <f t="shared" si="18"/>
        <v>120</v>
      </c>
      <c r="AG100" s="5">
        <f t="shared" si="17"/>
        <v>3799</v>
      </c>
    </row>
    <row r="101" spans="1:33" ht="15.75" customHeight="1" x14ac:dyDescent="0.25">
      <c r="A101" s="82" t="s">
        <v>50</v>
      </c>
      <c r="B101" s="54">
        <v>3</v>
      </c>
      <c r="C101" s="54">
        <v>8</v>
      </c>
      <c r="D101" s="54">
        <v>6</v>
      </c>
      <c r="E101" s="54">
        <v>5</v>
      </c>
      <c r="F101" s="54">
        <v>8</v>
      </c>
      <c r="G101" s="54">
        <v>14</v>
      </c>
      <c r="H101" s="54">
        <v>8</v>
      </c>
      <c r="I101" s="54">
        <v>14</v>
      </c>
      <c r="J101" s="54">
        <v>10</v>
      </c>
      <c r="K101" s="54">
        <v>6</v>
      </c>
      <c r="L101" s="54">
        <v>7</v>
      </c>
      <c r="M101" s="54">
        <v>4</v>
      </c>
      <c r="N101" s="54">
        <v>6</v>
      </c>
      <c r="O101" s="54">
        <v>8</v>
      </c>
      <c r="P101" s="54">
        <v>7</v>
      </c>
      <c r="Q101" s="54">
        <v>6</v>
      </c>
      <c r="R101" s="54">
        <v>4</v>
      </c>
      <c r="S101" s="54">
        <v>8</v>
      </c>
      <c r="T101" s="54">
        <v>10</v>
      </c>
      <c r="U101" s="54">
        <v>9</v>
      </c>
      <c r="V101" s="54">
        <v>13</v>
      </c>
      <c r="W101" s="54">
        <v>3</v>
      </c>
      <c r="X101" s="54">
        <v>13</v>
      </c>
      <c r="Y101" s="54">
        <v>8</v>
      </c>
      <c r="Z101" s="54">
        <v>7</v>
      </c>
      <c r="AA101" s="54">
        <v>9</v>
      </c>
      <c r="AB101" s="54">
        <v>6</v>
      </c>
      <c r="AC101" s="54">
        <v>8</v>
      </c>
      <c r="AD101" s="54">
        <v>1</v>
      </c>
      <c r="AE101" s="54">
        <v>6</v>
      </c>
      <c r="AF101" s="54">
        <v>11</v>
      </c>
      <c r="AG101" s="5">
        <f t="shared" si="17"/>
        <v>236</v>
      </c>
    </row>
    <row r="102" spans="1:33" ht="15.75" customHeight="1" x14ac:dyDescent="0.25">
      <c r="A102" s="82" t="s">
        <v>51</v>
      </c>
      <c r="B102" s="54">
        <v>7</v>
      </c>
      <c r="C102" s="54">
        <v>9</v>
      </c>
      <c r="D102" s="54">
        <v>10</v>
      </c>
      <c r="E102" s="54">
        <v>11</v>
      </c>
      <c r="F102" s="54">
        <v>8</v>
      </c>
      <c r="G102" s="54">
        <v>15</v>
      </c>
      <c r="H102" s="54">
        <v>11</v>
      </c>
      <c r="I102" s="54">
        <v>7</v>
      </c>
      <c r="J102" s="54">
        <v>10</v>
      </c>
      <c r="K102" s="54">
        <v>12</v>
      </c>
      <c r="L102" s="54">
        <v>13</v>
      </c>
      <c r="M102" s="54">
        <v>10</v>
      </c>
      <c r="N102" s="54">
        <v>9</v>
      </c>
      <c r="O102" s="54">
        <v>13</v>
      </c>
      <c r="P102" s="54">
        <v>7</v>
      </c>
      <c r="Q102" s="54">
        <v>11</v>
      </c>
      <c r="R102" s="54">
        <v>11</v>
      </c>
      <c r="S102" s="54">
        <v>7</v>
      </c>
      <c r="T102" s="54">
        <v>3</v>
      </c>
      <c r="U102" s="54">
        <v>17</v>
      </c>
      <c r="V102" s="54">
        <v>9</v>
      </c>
      <c r="W102" s="54">
        <v>12</v>
      </c>
      <c r="X102" s="54">
        <v>12</v>
      </c>
      <c r="Y102" s="54">
        <v>9</v>
      </c>
      <c r="Z102" s="54">
        <v>9</v>
      </c>
      <c r="AA102" s="54">
        <v>6</v>
      </c>
      <c r="AB102" s="54">
        <v>11</v>
      </c>
      <c r="AC102" s="54">
        <v>8</v>
      </c>
      <c r="AD102" s="54">
        <v>19</v>
      </c>
      <c r="AE102" s="54">
        <v>5</v>
      </c>
      <c r="AF102" s="54">
        <v>10</v>
      </c>
      <c r="AG102" s="5">
        <f t="shared" si="17"/>
        <v>311</v>
      </c>
    </row>
    <row r="103" spans="1:33" ht="15.75" customHeight="1" x14ac:dyDescent="0.25">
      <c r="A103" s="78" t="s">
        <v>52</v>
      </c>
      <c r="B103" s="54">
        <v>18</v>
      </c>
      <c r="C103" s="54">
        <v>13</v>
      </c>
      <c r="D103" s="54">
        <v>9</v>
      </c>
      <c r="E103" s="54">
        <v>12</v>
      </c>
      <c r="F103" s="54">
        <v>7</v>
      </c>
      <c r="G103" s="54">
        <v>9</v>
      </c>
      <c r="H103" s="54">
        <v>12</v>
      </c>
      <c r="I103" s="54">
        <v>11</v>
      </c>
      <c r="J103" s="54">
        <v>11</v>
      </c>
      <c r="K103" s="54">
        <v>13</v>
      </c>
      <c r="L103" s="54">
        <v>8</v>
      </c>
      <c r="M103" s="54">
        <v>7</v>
      </c>
      <c r="N103" s="54">
        <v>16</v>
      </c>
      <c r="O103" s="54">
        <v>17</v>
      </c>
      <c r="P103" s="54">
        <v>10</v>
      </c>
      <c r="Q103" s="54">
        <v>8</v>
      </c>
      <c r="R103" s="54">
        <v>7</v>
      </c>
      <c r="S103" s="54">
        <v>6</v>
      </c>
      <c r="T103" s="54">
        <v>10</v>
      </c>
      <c r="U103" s="54">
        <v>17</v>
      </c>
      <c r="V103" s="54">
        <v>13</v>
      </c>
      <c r="W103" s="54">
        <v>9</v>
      </c>
      <c r="X103" s="54">
        <v>9</v>
      </c>
      <c r="Y103" s="54">
        <v>8</v>
      </c>
      <c r="Z103" s="54">
        <v>7</v>
      </c>
      <c r="AA103" s="54">
        <v>5</v>
      </c>
      <c r="AB103" s="54">
        <v>12</v>
      </c>
      <c r="AC103" s="54">
        <v>14</v>
      </c>
      <c r="AD103" s="54">
        <v>9</v>
      </c>
      <c r="AE103" s="54">
        <v>4</v>
      </c>
      <c r="AF103" s="54">
        <v>8</v>
      </c>
      <c r="AG103" s="5">
        <f t="shared" si="17"/>
        <v>319</v>
      </c>
    </row>
    <row r="104" spans="1:33" ht="15.75" customHeight="1" x14ac:dyDescent="0.25">
      <c r="A104" s="78" t="s">
        <v>53</v>
      </c>
      <c r="B104" s="54">
        <v>14</v>
      </c>
      <c r="C104" s="54">
        <v>12</v>
      </c>
      <c r="D104" s="54">
        <v>8</v>
      </c>
      <c r="E104" s="54">
        <v>7</v>
      </c>
      <c r="F104" s="54">
        <v>7</v>
      </c>
      <c r="G104" s="54">
        <v>14</v>
      </c>
      <c r="H104" s="54">
        <v>12</v>
      </c>
      <c r="I104" s="54">
        <v>11</v>
      </c>
      <c r="J104" s="54">
        <v>11</v>
      </c>
      <c r="K104" s="54">
        <v>8</v>
      </c>
      <c r="L104" s="54">
        <v>12</v>
      </c>
      <c r="M104" s="54">
        <v>11</v>
      </c>
      <c r="N104" s="54">
        <v>11</v>
      </c>
      <c r="O104" s="54">
        <v>14</v>
      </c>
      <c r="P104" s="54">
        <v>14</v>
      </c>
      <c r="Q104" s="54">
        <v>7</v>
      </c>
      <c r="R104" s="54">
        <v>13</v>
      </c>
      <c r="S104" s="54">
        <v>13</v>
      </c>
      <c r="T104" s="54">
        <v>9</v>
      </c>
      <c r="U104" s="54">
        <v>17</v>
      </c>
      <c r="V104" s="54">
        <v>11</v>
      </c>
      <c r="W104" s="54">
        <v>9</v>
      </c>
      <c r="X104" s="54">
        <v>13</v>
      </c>
      <c r="Y104" s="54">
        <v>11</v>
      </c>
      <c r="Z104" s="54">
        <v>9</v>
      </c>
      <c r="AA104" s="54">
        <v>12</v>
      </c>
      <c r="AB104" s="54">
        <v>15</v>
      </c>
      <c r="AC104" s="54">
        <v>11</v>
      </c>
      <c r="AD104" s="54">
        <v>12</v>
      </c>
      <c r="AE104" s="54">
        <v>8</v>
      </c>
      <c r="AF104" s="54">
        <v>12</v>
      </c>
      <c r="AG104" s="5">
        <f t="shared" si="17"/>
        <v>348</v>
      </c>
    </row>
    <row r="105" spans="1:33" ht="15.75" customHeight="1" x14ac:dyDescent="0.25">
      <c r="A105" s="78" t="s">
        <v>54</v>
      </c>
      <c r="B105" s="54">
        <v>11</v>
      </c>
      <c r="C105" s="54">
        <v>14</v>
      </c>
      <c r="D105" s="54">
        <v>6</v>
      </c>
      <c r="E105" s="54">
        <v>6</v>
      </c>
      <c r="F105" s="54">
        <v>2</v>
      </c>
      <c r="G105" s="54">
        <v>11</v>
      </c>
      <c r="H105" s="54">
        <v>16</v>
      </c>
      <c r="I105" s="54">
        <v>12</v>
      </c>
      <c r="J105" s="54">
        <v>3</v>
      </c>
      <c r="K105" s="54">
        <v>6</v>
      </c>
      <c r="L105" s="54">
        <v>10</v>
      </c>
      <c r="M105" s="54">
        <v>6</v>
      </c>
      <c r="N105" s="54">
        <v>11</v>
      </c>
      <c r="O105" s="54">
        <v>9</v>
      </c>
      <c r="P105" s="54">
        <v>9</v>
      </c>
      <c r="Q105" s="54">
        <v>6</v>
      </c>
      <c r="R105" s="54">
        <v>6</v>
      </c>
      <c r="S105" s="54">
        <v>7</v>
      </c>
      <c r="T105" s="54">
        <v>10</v>
      </c>
      <c r="U105" s="54">
        <v>6</v>
      </c>
      <c r="V105" s="54">
        <v>17</v>
      </c>
      <c r="W105" s="54">
        <v>5</v>
      </c>
      <c r="X105" s="54">
        <v>4</v>
      </c>
      <c r="Y105" s="54">
        <v>5</v>
      </c>
      <c r="Z105" s="54">
        <v>4</v>
      </c>
      <c r="AA105" s="54">
        <v>5</v>
      </c>
      <c r="AB105" s="54">
        <v>13</v>
      </c>
      <c r="AC105" s="54">
        <v>8</v>
      </c>
      <c r="AD105" s="54">
        <v>10</v>
      </c>
      <c r="AE105" s="54">
        <v>7</v>
      </c>
      <c r="AF105" s="54">
        <v>15</v>
      </c>
      <c r="AG105" s="5">
        <f t="shared" si="17"/>
        <v>260</v>
      </c>
    </row>
    <row r="106" spans="1:33" ht="15.75" customHeight="1" x14ac:dyDescent="0.25">
      <c r="A106" s="78" t="s">
        <v>55</v>
      </c>
      <c r="B106" s="54">
        <v>10</v>
      </c>
      <c r="C106" s="54">
        <v>10</v>
      </c>
      <c r="D106" s="54">
        <v>10</v>
      </c>
      <c r="E106" s="54">
        <v>11</v>
      </c>
      <c r="F106" s="54">
        <v>6</v>
      </c>
      <c r="G106" s="54">
        <v>19</v>
      </c>
      <c r="H106" s="54">
        <v>13</v>
      </c>
      <c r="I106" s="54">
        <v>13</v>
      </c>
      <c r="J106" s="54">
        <v>6</v>
      </c>
      <c r="K106" s="54">
        <v>6</v>
      </c>
      <c r="L106" s="54">
        <v>7</v>
      </c>
      <c r="M106" s="54">
        <v>10</v>
      </c>
      <c r="N106" s="54">
        <v>15</v>
      </c>
      <c r="O106" s="54">
        <v>9</v>
      </c>
      <c r="P106" s="54">
        <v>7</v>
      </c>
      <c r="Q106" s="54">
        <v>9</v>
      </c>
      <c r="R106" s="54">
        <v>8</v>
      </c>
      <c r="S106" s="54">
        <v>2</v>
      </c>
      <c r="T106" s="54">
        <v>8</v>
      </c>
      <c r="U106" s="54">
        <v>13</v>
      </c>
      <c r="V106" s="54">
        <v>18</v>
      </c>
      <c r="W106" s="54">
        <v>8</v>
      </c>
      <c r="X106" s="54">
        <v>6</v>
      </c>
      <c r="Y106" s="54">
        <v>10</v>
      </c>
      <c r="Z106" s="54">
        <v>9</v>
      </c>
      <c r="AA106" s="54">
        <v>13</v>
      </c>
      <c r="AB106" s="54">
        <v>12</v>
      </c>
      <c r="AC106" s="54">
        <v>18</v>
      </c>
      <c r="AD106" s="54">
        <v>15</v>
      </c>
      <c r="AE106" s="54">
        <v>6</v>
      </c>
      <c r="AF106" s="54">
        <v>12</v>
      </c>
      <c r="AG106" s="5">
        <f t="shared" si="17"/>
        <v>319</v>
      </c>
    </row>
    <row r="107" spans="1:33" ht="15.75" customHeight="1" x14ac:dyDescent="0.25">
      <c r="A107" s="78" t="s">
        <v>56</v>
      </c>
      <c r="B107" s="54">
        <v>8</v>
      </c>
      <c r="C107" s="54">
        <v>7</v>
      </c>
      <c r="D107" s="54">
        <v>5</v>
      </c>
      <c r="E107" s="54">
        <v>9</v>
      </c>
      <c r="F107" s="54">
        <v>4</v>
      </c>
      <c r="G107" s="54">
        <v>14</v>
      </c>
      <c r="H107" s="54">
        <v>10</v>
      </c>
      <c r="I107" s="54">
        <v>8</v>
      </c>
      <c r="J107" s="54">
        <v>6</v>
      </c>
      <c r="K107" s="54">
        <v>6</v>
      </c>
      <c r="L107" s="54">
        <v>7</v>
      </c>
      <c r="M107" s="54">
        <v>8</v>
      </c>
      <c r="N107" s="54">
        <v>11</v>
      </c>
      <c r="O107" s="54">
        <v>11</v>
      </c>
      <c r="P107" s="54">
        <v>6</v>
      </c>
      <c r="Q107" s="54">
        <v>8</v>
      </c>
      <c r="R107" s="54">
        <v>13</v>
      </c>
      <c r="S107" s="54">
        <v>7</v>
      </c>
      <c r="T107" s="54">
        <v>7</v>
      </c>
      <c r="U107" s="54">
        <v>10</v>
      </c>
      <c r="V107" s="54">
        <v>12</v>
      </c>
      <c r="W107" s="54">
        <v>9</v>
      </c>
      <c r="X107" s="54">
        <v>5</v>
      </c>
      <c r="Y107" s="54">
        <v>6</v>
      </c>
      <c r="Z107" s="54">
        <v>5</v>
      </c>
      <c r="AA107" s="54">
        <v>10</v>
      </c>
      <c r="AB107" s="54">
        <v>10</v>
      </c>
      <c r="AC107" s="54">
        <v>16</v>
      </c>
      <c r="AD107" s="54">
        <v>14</v>
      </c>
      <c r="AE107" s="54">
        <v>12</v>
      </c>
      <c r="AF107" s="54">
        <v>10</v>
      </c>
      <c r="AG107" s="5">
        <f t="shared" si="17"/>
        <v>274</v>
      </c>
    </row>
    <row r="108" spans="1:33" ht="15.75" customHeight="1" x14ac:dyDescent="0.25">
      <c r="A108" s="78" t="s">
        <v>57</v>
      </c>
      <c r="B108" s="54">
        <v>7</v>
      </c>
      <c r="C108" s="54">
        <v>5</v>
      </c>
      <c r="D108" s="54">
        <v>11</v>
      </c>
      <c r="E108" s="54">
        <v>6</v>
      </c>
      <c r="F108" s="54">
        <v>14</v>
      </c>
      <c r="G108" s="54">
        <v>18</v>
      </c>
      <c r="H108" s="54">
        <v>9</v>
      </c>
      <c r="I108" s="54">
        <v>8</v>
      </c>
      <c r="J108" s="54">
        <v>5</v>
      </c>
      <c r="K108" s="54">
        <v>10</v>
      </c>
      <c r="L108" s="54">
        <v>15</v>
      </c>
      <c r="M108" s="54">
        <v>9</v>
      </c>
      <c r="N108" s="54">
        <v>9</v>
      </c>
      <c r="O108" s="54">
        <v>11</v>
      </c>
      <c r="P108" s="54">
        <v>16</v>
      </c>
      <c r="Q108" s="54">
        <v>9</v>
      </c>
      <c r="R108" s="54">
        <v>11</v>
      </c>
      <c r="S108" s="54">
        <v>7</v>
      </c>
      <c r="T108" s="54">
        <v>7</v>
      </c>
      <c r="U108" s="54">
        <v>7</v>
      </c>
      <c r="V108" s="54">
        <v>8</v>
      </c>
      <c r="W108" s="54">
        <v>8</v>
      </c>
      <c r="X108" s="54">
        <v>8</v>
      </c>
      <c r="Y108" s="54">
        <v>5</v>
      </c>
      <c r="Z108" s="54">
        <v>8</v>
      </c>
      <c r="AA108" s="54">
        <v>11</v>
      </c>
      <c r="AB108" s="54">
        <v>11</v>
      </c>
      <c r="AC108" s="54">
        <v>15</v>
      </c>
      <c r="AD108" s="54">
        <v>11</v>
      </c>
      <c r="AE108" s="54">
        <v>6</v>
      </c>
      <c r="AF108" s="54">
        <v>6</v>
      </c>
      <c r="AG108" s="5">
        <f t="shared" si="17"/>
        <v>291</v>
      </c>
    </row>
    <row r="109" spans="1:33" ht="15.75" customHeight="1" x14ac:dyDescent="0.25">
      <c r="A109" s="78" t="s">
        <v>58</v>
      </c>
      <c r="B109" s="54">
        <v>11</v>
      </c>
      <c r="C109" s="54">
        <v>14</v>
      </c>
      <c r="D109" s="54">
        <v>10</v>
      </c>
      <c r="E109" s="54">
        <v>7</v>
      </c>
      <c r="F109" s="54">
        <v>11</v>
      </c>
      <c r="G109" s="54">
        <v>19</v>
      </c>
      <c r="H109" s="54">
        <v>10</v>
      </c>
      <c r="I109" s="54">
        <v>5</v>
      </c>
      <c r="J109" s="54">
        <v>9</v>
      </c>
      <c r="K109" s="54">
        <v>7</v>
      </c>
      <c r="L109" s="54">
        <v>14</v>
      </c>
      <c r="M109" s="54">
        <v>7</v>
      </c>
      <c r="N109" s="54">
        <v>16</v>
      </c>
      <c r="O109" s="54">
        <v>12</v>
      </c>
      <c r="P109" s="54">
        <v>12</v>
      </c>
      <c r="Q109" s="54">
        <v>9</v>
      </c>
      <c r="R109" s="54">
        <v>6</v>
      </c>
      <c r="S109" s="54">
        <v>6</v>
      </c>
      <c r="T109" s="54">
        <v>12</v>
      </c>
      <c r="U109" s="54">
        <v>12</v>
      </c>
      <c r="V109" s="54">
        <v>13</v>
      </c>
      <c r="W109" s="54">
        <v>7</v>
      </c>
      <c r="X109" s="54">
        <v>11</v>
      </c>
      <c r="Y109" s="54">
        <v>6</v>
      </c>
      <c r="Z109" s="54">
        <v>5</v>
      </c>
      <c r="AA109" s="54">
        <v>7</v>
      </c>
      <c r="AB109" s="54">
        <v>20</v>
      </c>
      <c r="AC109" s="54">
        <v>14</v>
      </c>
      <c r="AD109" s="54">
        <v>3</v>
      </c>
      <c r="AE109" s="54">
        <v>15</v>
      </c>
      <c r="AF109" s="54">
        <v>7</v>
      </c>
      <c r="AG109" s="5">
        <f t="shared" si="17"/>
        <v>317</v>
      </c>
    </row>
    <row r="110" spans="1:33" ht="15.75" customHeight="1" x14ac:dyDescent="0.25">
      <c r="A110" s="78" t="s">
        <v>59</v>
      </c>
      <c r="B110" s="54">
        <v>7</v>
      </c>
      <c r="C110" s="54">
        <v>7</v>
      </c>
      <c r="D110" s="54">
        <v>11</v>
      </c>
      <c r="E110" s="54">
        <v>9</v>
      </c>
      <c r="F110" s="54">
        <v>7</v>
      </c>
      <c r="G110" s="54">
        <v>16</v>
      </c>
      <c r="H110" s="54">
        <v>17</v>
      </c>
      <c r="I110" s="54">
        <v>7</v>
      </c>
      <c r="J110" s="54">
        <v>6</v>
      </c>
      <c r="K110" s="54">
        <v>4</v>
      </c>
      <c r="L110" s="54">
        <v>11</v>
      </c>
      <c r="M110" s="54">
        <v>5</v>
      </c>
      <c r="N110" s="54">
        <v>13</v>
      </c>
      <c r="O110" s="54">
        <v>9</v>
      </c>
      <c r="P110" s="54">
        <v>6</v>
      </c>
      <c r="Q110" s="54">
        <v>12</v>
      </c>
      <c r="R110" s="54">
        <v>2</v>
      </c>
      <c r="S110" s="54">
        <v>6</v>
      </c>
      <c r="T110" s="54">
        <v>7</v>
      </c>
      <c r="U110" s="54">
        <v>8</v>
      </c>
      <c r="V110" s="54">
        <v>10</v>
      </c>
      <c r="W110" s="54">
        <v>7</v>
      </c>
      <c r="X110" s="54">
        <v>10</v>
      </c>
      <c r="Y110" s="54">
        <v>5</v>
      </c>
      <c r="Z110" s="54">
        <v>13</v>
      </c>
      <c r="AA110" s="54">
        <v>11</v>
      </c>
      <c r="AB110" s="54">
        <v>16</v>
      </c>
      <c r="AC110" s="54">
        <v>5</v>
      </c>
      <c r="AD110" s="54">
        <v>6</v>
      </c>
      <c r="AE110" s="54">
        <v>4</v>
      </c>
      <c r="AF110" s="54">
        <v>4</v>
      </c>
      <c r="AG110" s="5">
        <f t="shared" si="17"/>
        <v>261</v>
      </c>
    </row>
    <row r="111" spans="1:33" ht="15.75" customHeight="1" x14ac:dyDescent="0.25">
      <c r="A111" s="78" t="s">
        <v>60</v>
      </c>
      <c r="B111" s="54">
        <v>9</v>
      </c>
      <c r="C111" s="54">
        <v>7</v>
      </c>
      <c r="D111" s="54">
        <v>7</v>
      </c>
      <c r="E111" s="54">
        <v>7</v>
      </c>
      <c r="F111" s="54">
        <v>5</v>
      </c>
      <c r="G111" s="54">
        <v>7</v>
      </c>
      <c r="H111" s="54">
        <v>12</v>
      </c>
      <c r="I111" s="54">
        <v>10</v>
      </c>
      <c r="J111" s="54">
        <v>10</v>
      </c>
      <c r="K111" s="54">
        <v>6</v>
      </c>
      <c r="L111" s="54">
        <v>6</v>
      </c>
      <c r="M111" s="54">
        <v>8</v>
      </c>
      <c r="N111" s="54">
        <v>10</v>
      </c>
      <c r="O111" s="54">
        <v>10</v>
      </c>
      <c r="P111" s="54">
        <v>4</v>
      </c>
      <c r="Q111" s="54">
        <v>5</v>
      </c>
      <c r="R111" s="54">
        <v>9</v>
      </c>
      <c r="S111" s="54">
        <v>10</v>
      </c>
      <c r="T111" s="54">
        <v>5</v>
      </c>
      <c r="U111" s="54">
        <v>14</v>
      </c>
      <c r="V111" s="54">
        <v>9</v>
      </c>
      <c r="W111" s="54">
        <v>8</v>
      </c>
      <c r="X111" s="54">
        <v>6</v>
      </c>
      <c r="Y111" s="54">
        <v>7</v>
      </c>
      <c r="Z111" s="54">
        <v>4</v>
      </c>
      <c r="AA111" s="54">
        <v>6</v>
      </c>
      <c r="AB111" s="54">
        <v>9</v>
      </c>
      <c r="AC111" s="54">
        <v>11</v>
      </c>
      <c r="AD111" s="54">
        <v>9</v>
      </c>
      <c r="AE111" s="54">
        <v>2</v>
      </c>
      <c r="AF111" s="54">
        <v>5</v>
      </c>
      <c r="AG111" s="5">
        <f t="shared" si="17"/>
        <v>237</v>
      </c>
    </row>
    <row r="112" spans="1:33" ht="15.75" customHeight="1" x14ac:dyDescent="0.25">
      <c r="A112" s="78" t="s">
        <v>61</v>
      </c>
      <c r="B112" s="54">
        <v>6</v>
      </c>
      <c r="C112" s="54">
        <v>3</v>
      </c>
      <c r="D112" s="54">
        <v>4</v>
      </c>
      <c r="E112" s="54">
        <v>5</v>
      </c>
      <c r="F112" s="54">
        <v>7</v>
      </c>
      <c r="G112" s="54">
        <v>11</v>
      </c>
      <c r="H112" s="54">
        <v>7</v>
      </c>
      <c r="I112" s="54">
        <v>6</v>
      </c>
      <c r="J112" s="54">
        <v>8</v>
      </c>
      <c r="K112" s="54">
        <v>3</v>
      </c>
      <c r="L112" s="54">
        <v>6</v>
      </c>
      <c r="M112" s="54">
        <v>9</v>
      </c>
      <c r="N112" s="54">
        <v>9</v>
      </c>
      <c r="O112" s="54">
        <v>6</v>
      </c>
      <c r="P112" s="54">
        <v>5</v>
      </c>
      <c r="Q112" s="54">
        <v>6</v>
      </c>
      <c r="R112" s="54">
        <v>3</v>
      </c>
      <c r="S112" s="54">
        <v>4</v>
      </c>
      <c r="T112" s="54">
        <v>3</v>
      </c>
      <c r="U112" s="54">
        <v>7</v>
      </c>
      <c r="V112" s="54">
        <v>3</v>
      </c>
      <c r="W112" s="54">
        <v>6</v>
      </c>
      <c r="X112" s="54">
        <v>6</v>
      </c>
      <c r="Y112" s="54">
        <v>3</v>
      </c>
      <c r="Z112" s="54">
        <v>4</v>
      </c>
      <c r="AA112" s="54">
        <v>4</v>
      </c>
      <c r="AB112" s="54">
        <v>12</v>
      </c>
      <c r="AC112" s="54">
        <v>5</v>
      </c>
      <c r="AD112" s="54">
        <v>3</v>
      </c>
      <c r="AE112" s="54">
        <v>8</v>
      </c>
      <c r="AF112" s="54">
        <v>4</v>
      </c>
      <c r="AG112" s="5">
        <f t="shared" si="17"/>
        <v>176</v>
      </c>
    </row>
    <row r="113" spans="1:37" ht="15.75" customHeight="1" x14ac:dyDescent="0.25">
      <c r="A113" s="78" t="s">
        <v>62</v>
      </c>
      <c r="B113" s="54">
        <v>8</v>
      </c>
      <c r="C113" s="54">
        <v>5</v>
      </c>
      <c r="D113" s="54">
        <v>6</v>
      </c>
      <c r="E113" s="54">
        <v>6</v>
      </c>
      <c r="F113" s="54">
        <v>6</v>
      </c>
      <c r="G113" s="54">
        <v>4</v>
      </c>
      <c r="H113" s="54">
        <v>3</v>
      </c>
      <c r="I113" s="54">
        <v>8</v>
      </c>
      <c r="J113" s="54">
        <v>8</v>
      </c>
      <c r="K113" s="54">
        <v>6</v>
      </c>
      <c r="L113" s="54">
        <v>4</v>
      </c>
      <c r="M113" s="54">
        <v>5</v>
      </c>
      <c r="N113" s="54">
        <v>2</v>
      </c>
      <c r="O113" s="54">
        <v>8</v>
      </c>
      <c r="P113" s="54">
        <v>3</v>
      </c>
      <c r="Q113" s="54">
        <v>6</v>
      </c>
      <c r="R113" s="54">
        <v>2</v>
      </c>
      <c r="S113" s="54">
        <v>6</v>
      </c>
      <c r="T113" s="54">
        <v>4</v>
      </c>
      <c r="U113" s="54">
        <v>10</v>
      </c>
      <c r="V113" s="54">
        <v>8</v>
      </c>
      <c r="W113" s="54">
        <v>4</v>
      </c>
      <c r="X113" s="54">
        <v>6</v>
      </c>
      <c r="Y113" s="54">
        <v>4</v>
      </c>
      <c r="Z113" s="54">
        <v>6</v>
      </c>
      <c r="AA113" s="54">
        <v>2</v>
      </c>
      <c r="AB113" s="54">
        <v>9</v>
      </c>
      <c r="AC113" s="54">
        <v>3</v>
      </c>
      <c r="AD113" s="54">
        <v>5</v>
      </c>
      <c r="AE113" s="54">
        <v>3</v>
      </c>
      <c r="AF113" s="54">
        <v>5</v>
      </c>
      <c r="AG113" s="5">
        <f t="shared" si="17"/>
        <v>165</v>
      </c>
    </row>
    <row r="114" spans="1:37" ht="15.75" customHeight="1" x14ac:dyDescent="0.25">
      <c r="A114" s="78" t="s">
        <v>63</v>
      </c>
      <c r="B114" s="54">
        <v>10</v>
      </c>
      <c r="C114" s="54">
        <v>9</v>
      </c>
      <c r="D114" s="54">
        <v>6</v>
      </c>
      <c r="E114" s="54">
        <v>7</v>
      </c>
      <c r="F114" s="54">
        <v>10</v>
      </c>
      <c r="G114" s="54">
        <v>10</v>
      </c>
      <c r="H114" s="54">
        <v>11</v>
      </c>
      <c r="I114" s="54">
        <v>6</v>
      </c>
      <c r="J114" s="54">
        <v>5</v>
      </c>
      <c r="K114" s="54">
        <v>8</v>
      </c>
      <c r="L114" s="54">
        <v>3</v>
      </c>
      <c r="M114" s="54">
        <v>11</v>
      </c>
      <c r="N114" s="54">
        <v>11</v>
      </c>
      <c r="O114" s="54">
        <v>6</v>
      </c>
      <c r="P114" s="54">
        <v>10</v>
      </c>
      <c r="Q114" s="54">
        <v>12</v>
      </c>
      <c r="R114" s="54">
        <v>11</v>
      </c>
      <c r="S114" s="54">
        <v>9</v>
      </c>
      <c r="T114" s="54">
        <v>10</v>
      </c>
      <c r="U114" s="54">
        <v>10</v>
      </c>
      <c r="V114" s="54">
        <v>13</v>
      </c>
      <c r="W114" s="54">
        <v>8</v>
      </c>
      <c r="X114" s="54">
        <v>6</v>
      </c>
      <c r="Y114" s="54">
        <v>6</v>
      </c>
      <c r="Z114" s="54">
        <v>10</v>
      </c>
      <c r="AA114" s="54">
        <v>10</v>
      </c>
      <c r="AB114" s="54">
        <v>17</v>
      </c>
      <c r="AC114" s="54">
        <v>10</v>
      </c>
      <c r="AD114" s="54">
        <v>8</v>
      </c>
      <c r="AE114" s="54">
        <v>11</v>
      </c>
      <c r="AF114" s="54">
        <v>11</v>
      </c>
      <c r="AG114" s="5">
        <f t="shared" si="17"/>
        <v>285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26</v>
      </c>
      <c r="C116" s="20">
        <f t="shared" si="19"/>
        <v>33</v>
      </c>
      <c r="D116" s="20">
        <f t="shared" si="19"/>
        <v>23</v>
      </c>
      <c r="E116" s="20">
        <f t="shared" si="19"/>
        <v>27</v>
      </c>
      <c r="F116" s="20">
        <f t="shared" si="19"/>
        <v>38</v>
      </c>
      <c r="G116" s="20">
        <f t="shared" si="19"/>
        <v>47</v>
      </c>
      <c r="H116" s="20">
        <f t="shared" si="19"/>
        <v>44</v>
      </c>
      <c r="I116" s="20">
        <f t="shared" si="19"/>
        <v>35</v>
      </c>
      <c r="J116" s="20">
        <f t="shared" si="19"/>
        <v>19</v>
      </c>
      <c r="K116" s="20">
        <f t="shared" si="19"/>
        <v>19</v>
      </c>
      <c r="L116" s="20">
        <f t="shared" si="19"/>
        <v>27</v>
      </c>
      <c r="M116" s="20">
        <f t="shared" si="19"/>
        <v>20</v>
      </c>
      <c r="N116" s="20">
        <f t="shared" si="19"/>
        <v>37</v>
      </c>
      <c r="O116" s="20">
        <f t="shared" si="19"/>
        <v>34</v>
      </c>
      <c r="P116" s="20">
        <f t="shared" si="19"/>
        <v>34</v>
      </c>
      <c r="Q116" s="20">
        <f t="shared" si="19"/>
        <v>28</v>
      </c>
      <c r="R116" s="20">
        <f t="shared" si="19"/>
        <v>24</v>
      </c>
      <c r="S116" s="20">
        <f t="shared" si="19"/>
        <v>19</v>
      </c>
      <c r="T116" s="20">
        <f t="shared" si="19"/>
        <v>23</v>
      </c>
      <c r="U116" s="20">
        <f t="shared" si="19"/>
        <v>35</v>
      </c>
      <c r="V116" s="20">
        <f t="shared" si="19"/>
        <v>38</v>
      </c>
      <c r="W116" s="20">
        <f t="shared" si="19"/>
        <v>30</v>
      </c>
      <c r="X116" s="20">
        <f t="shared" si="19"/>
        <v>31</v>
      </c>
      <c r="Y116" s="20">
        <f t="shared" si="19"/>
        <v>36</v>
      </c>
      <c r="Z116" s="20">
        <f t="shared" si="19"/>
        <v>29</v>
      </c>
      <c r="AA116" s="20">
        <f t="shared" si="19"/>
        <v>28</v>
      </c>
      <c r="AB116" s="20">
        <f t="shared" si="19"/>
        <v>39</v>
      </c>
      <c r="AC116" s="20">
        <f t="shared" si="19"/>
        <v>48</v>
      </c>
      <c r="AD116" s="20">
        <f t="shared" si="19"/>
        <v>41</v>
      </c>
      <c r="AE116" s="20">
        <f t="shared" si="19"/>
        <v>22</v>
      </c>
      <c r="AF116" s="20">
        <f t="shared" si="19"/>
        <v>18</v>
      </c>
      <c r="AG116" s="5">
        <f t="shared" si="17"/>
        <v>952</v>
      </c>
      <c r="AK116" s="84">
        <v>612</v>
      </c>
    </row>
    <row r="117" spans="1:37" ht="15.75" customHeight="1" x14ac:dyDescent="0.25">
      <c r="A117" s="85" t="s">
        <v>65</v>
      </c>
      <c r="B117" s="54">
        <v>24</v>
      </c>
      <c r="C117" s="54">
        <v>31</v>
      </c>
      <c r="D117" s="54">
        <v>21</v>
      </c>
      <c r="E117" s="54">
        <v>27</v>
      </c>
      <c r="F117" s="54">
        <v>35</v>
      </c>
      <c r="G117" s="54">
        <v>47</v>
      </c>
      <c r="H117" s="54">
        <v>43</v>
      </c>
      <c r="I117" s="54">
        <v>34</v>
      </c>
      <c r="J117" s="54">
        <v>19</v>
      </c>
      <c r="K117" s="54">
        <v>19</v>
      </c>
      <c r="L117" s="54">
        <v>26</v>
      </c>
      <c r="M117" s="54">
        <v>20</v>
      </c>
      <c r="N117" s="54">
        <v>35</v>
      </c>
      <c r="O117" s="54">
        <v>32</v>
      </c>
      <c r="P117" s="54">
        <v>31</v>
      </c>
      <c r="Q117" s="54">
        <v>26</v>
      </c>
      <c r="R117" s="54">
        <v>24</v>
      </c>
      <c r="S117" s="54">
        <v>19</v>
      </c>
      <c r="T117" s="54">
        <v>20</v>
      </c>
      <c r="U117" s="54">
        <v>32</v>
      </c>
      <c r="V117" s="54">
        <v>35</v>
      </c>
      <c r="W117" s="54">
        <v>30</v>
      </c>
      <c r="X117" s="54">
        <v>30</v>
      </c>
      <c r="Y117" s="54">
        <v>33</v>
      </c>
      <c r="Z117" s="54">
        <v>27</v>
      </c>
      <c r="AA117" s="54">
        <v>25</v>
      </c>
      <c r="AB117" s="54">
        <v>37</v>
      </c>
      <c r="AC117" s="54">
        <v>48</v>
      </c>
      <c r="AD117" s="54">
        <v>38</v>
      </c>
      <c r="AE117" s="54">
        <v>20</v>
      </c>
      <c r="AF117" s="54">
        <v>17</v>
      </c>
      <c r="AG117" s="5">
        <f t="shared" si="17"/>
        <v>905</v>
      </c>
      <c r="AK117" s="84">
        <v>613</v>
      </c>
    </row>
    <row r="118" spans="1:37" ht="15.75" customHeight="1" thickBot="1" x14ac:dyDescent="0.3">
      <c r="A118" s="86" t="s">
        <v>77</v>
      </c>
      <c r="B118" s="87">
        <v>2</v>
      </c>
      <c r="C118" s="87">
        <v>2</v>
      </c>
      <c r="D118" s="87">
        <v>2</v>
      </c>
      <c r="E118" s="87">
        <v>0</v>
      </c>
      <c r="F118" s="87">
        <v>3</v>
      </c>
      <c r="G118" s="87">
        <v>0</v>
      </c>
      <c r="H118" s="87">
        <v>1</v>
      </c>
      <c r="I118" s="87">
        <v>1</v>
      </c>
      <c r="J118" s="87">
        <v>0</v>
      </c>
      <c r="K118" s="87">
        <v>0</v>
      </c>
      <c r="L118" s="87">
        <v>1</v>
      </c>
      <c r="M118" s="87">
        <v>0</v>
      </c>
      <c r="N118" s="87">
        <v>2</v>
      </c>
      <c r="O118" s="87">
        <v>2</v>
      </c>
      <c r="P118" s="87">
        <v>3</v>
      </c>
      <c r="Q118" s="87">
        <v>2</v>
      </c>
      <c r="R118" s="87">
        <v>0</v>
      </c>
      <c r="S118" s="87">
        <v>0</v>
      </c>
      <c r="T118" s="87">
        <v>3</v>
      </c>
      <c r="U118" s="87">
        <v>3</v>
      </c>
      <c r="V118" s="87">
        <v>3</v>
      </c>
      <c r="W118" s="87">
        <v>0</v>
      </c>
      <c r="X118" s="87">
        <v>1</v>
      </c>
      <c r="Y118" s="87">
        <v>3</v>
      </c>
      <c r="Z118" s="87">
        <v>2</v>
      </c>
      <c r="AA118" s="87">
        <v>3</v>
      </c>
      <c r="AB118" s="87">
        <v>2</v>
      </c>
      <c r="AC118" s="87">
        <v>0</v>
      </c>
      <c r="AD118" s="87">
        <v>3</v>
      </c>
      <c r="AE118" s="87">
        <v>2</v>
      </c>
      <c r="AF118" s="87">
        <v>1</v>
      </c>
      <c r="AG118" s="5">
        <f t="shared" si="17"/>
        <v>47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154</v>
      </c>
      <c r="C119" s="20">
        <f t="shared" si="20"/>
        <v>135</v>
      </c>
      <c r="D119" s="20">
        <f t="shared" si="20"/>
        <v>129</v>
      </c>
      <c r="E119" s="20">
        <f t="shared" si="20"/>
        <v>125</v>
      </c>
      <c r="F119" s="20">
        <f t="shared" si="20"/>
        <v>123</v>
      </c>
      <c r="G119" s="20">
        <f t="shared" si="20"/>
        <v>201</v>
      </c>
      <c r="H119" s="20">
        <f t="shared" si="20"/>
        <v>182</v>
      </c>
      <c r="I119" s="20">
        <f t="shared" si="20"/>
        <v>138</v>
      </c>
      <c r="J119" s="20">
        <f t="shared" si="20"/>
        <v>123</v>
      </c>
      <c r="K119" s="20">
        <f t="shared" si="20"/>
        <v>122</v>
      </c>
      <c r="L119" s="20">
        <f t="shared" si="20"/>
        <v>134</v>
      </c>
      <c r="M119" s="20">
        <f t="shared" si="20"/>
        <v>123</v>
      </c>
      <c r="N119" s="20">
        <f t="shared" si="20"/>
        <v>172</v>
      </c>
      <c r="O119" s="20">
        <f t="shared" si="20"/>
        <v>169</v>
      </c>
      <c r="P119" s="20">
        <f t="shared" si="20"/>
        <v>132</v>
      </c>
      <c r="Q119" s="20">
        <f t="shared" si="20"/>
        <v>130</v>
      </c>
      <c r="R119" s="20">
        <f t="shared" si="20"/>
        <v>125</v>
      </c>
      <c r="S119" s="20">
        <f t="shared" si="20"/>
        <v>111</v>
      </c>
      <c r="T119" s="20">
        <f t="shared" si="20"/>
        <v>116</v>
      </c>
      <c r="U119" s="20">
        <f t="shared" si="20"/>
        <v>179</v>
      </c>
      <c r="V119" s="20">
        <f t="shared" si="20"/>
        <v>184</v>
      </c>
      <c r="W119" s="20">
        <f t="shared" si="20"/>
        <v>119</v>
      </c>
      <c r="X119" s="20">
        <f t="shared" si="20"/>
        <v>135</v>
      </c>
      <c r="Y119" s="20">
        <f t="shared" si="20"/>
        <v>113</v>
      </c>
      <c r="Z119" s="20">
        <f t="shared" si="20"/>
        <v>115</v>
      </c>
      <c r="AA119" s="20">
        <f t="shared" si="20"/>
        <v>127</v>
      </c>
      <c r="AB119" s="20">
        <f t="shared" si="20"/>
        <v>200</v>
      </c>
      <c r="AC119" s="20">
        <f t="shared" si="20"/>
        <v>166</v>
      </c>
      <c r="AD119" s="20">
        <f t="shared" si="20"/>
        <v>143</v>
      </c>
      <c r="AE119" s="20">
        <f t="shared" si="20"/>
        <v>119</v>
      </c>
      <c r="AF119" s="20">
        <f t="shared" si="20"/>
        <v>136</v>
      </c>
      <c r="AG119" s="7">
        <f t="shared" si="17"/>
        <v>4380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20</v>
      </c>
      <c r="C120" s="54">
        <v>30</v>
      </c>
      <c r="D120" s="54">
        <v>21</v>
      </c>
      <c r="E120" s="54">
        <v>26</v>
      </c>
      <c r="F120" s="54">
        <v>27</v>
      </c>
      <c r="G120" s="54">
        <v>44</v>
      </c>
      <c r="H120" s="54">
        <v>43</v>
      </c>
      <c r="I120" s="54">
        <v>30</v>
      </c>
      <c r="J120" s="54">
        <v>19</v>
      </c>
      <c r="K120" s="54">
        <v>18</v>
      </c>
      <c r="L120" s="54">
        <v>24</v>
      </c>
      <c r="M120" s="54">
        <v>20</v>
      </c>
      <c r="N120" s="54">
        <v>35</v>
      </c>
      <c r="O120" s="54">
        <v>31</v>
      </c>
      <c r="P120" s="54">
        <v>29</v>
      </c>
      <c r="Q120" s="54">
        <v>25</v>
      </c>
      <c r="R120" s="54">
        <v>22</v>
      </c>
      <c r="S120" s="54">
        <v>19</v>
      </c>
      <c r="T120" s="54">
        <v>19</v>
      </c>
      <c r="U120" s="54">
        <v>32</v>
      </c>
      <c r="V120" s="54">
        <v>35</v>
      </c>
      <c r="W120" s="54">
        <v>26</v>
      </c>
      <c r="X120" s="54">
        <v>28</v>
      </c>
      <c r="Y120" s="54">
        <v>31</v>
      </c>
      <c r="Z120" s="54">
        <v>25</v>
      </c>
      <c r="AA120" s="54">
        <v>24</v>
      </c>
      <c r="AB120" s="54">
        <v>36</v>
      </c>
      <c r="AC120" s="54">
        <v>47</v>
      </c>
      <c r="AD120" s="54">
        <v>38</v>
      </c>
      <c r="AE120" s="54">
        <v>20</v>
      </c>
      <c r="AF120" s="54">
        <v>17</v>
      </c>
      <c r="AG120" s="5">
        <f t="shared" si="17"/>
        <v>861</v>
      </c>
      <c r="AK120" s="88" t="s">
        <v>131</v>
      </c>
    </row>
    <row r="121" spans="1:37" ht="15.75" customHeight="1" x14ac:dyDescent="0.25">
      <c r="A121" s="85" t="s">
        <v>66</v>
      </c>
      <c r="B121" s="54">
        <v>11</v>
      </c>
      <c r="C121" s="54">
        <v>7</v>
      </c>
      <c r="D121" s="54">
        <v>5</v>
      </c>
      <c r="E121" s="54">
        <v>4</v>
      </c>
      <c r="F121" s="54">
        <v>5</v>
      </c>
      <c r="G121" s="54">
        <v>8</v>
      </c>
      <c r="H121" s="54">
        <v>10</v>
      </c>
      <c r="I121" s="54">
        <v>7</v>
      </c>
      <c r="J121" s="54">
        <v>1</v>
      </c>
      <c r="K121" s="54">
        <v>9</v>
      </c>
      <c r="L121" s="54">
        <v>8</v>
      </c>
      <c r="M121" s="54">
        <v>5</v>
      </c>
      <c r="N121" s="54">
        <v>6</v>
      </c>
      <c r="O121" s="54">
        <v>16</v>
      </c>
      <c r="P121" s="54">
        <v>7</v>
      </c>
      <c r="Q121" s="54">
        <v>9</v>
      </c>
      <c r="R121" s="54">
        <v>7</v>
      </c>
      <c r="S121" s="54">
        <v>2</v>
      </c>
      <c r="T121" s="54">
        <v>4</v>
      </c>
      <c r="U121" s="54">
        <v>12</v>
      </c>
      <c r="V121" s="54">
        <v>14</v>
      </c>
      <c r="W121" s="54">
        <v>5</v>
      </c>
      <c r="X121" s="54">
        <v>2</v>
      </c>
      <c r="Y121" s="54">
        <v>4</v>
      </c>
      <c r="Z121" s="54">
        <v>4</v>
      </c>
      <c r="AA121" s="54">
        <v>6</v>
      </c>
      <c r="AB121" s="54">
        <v>7</v>
      </c>
      <c r="AC121" s="54">
        <v>6</v>
      </c>
      <c r="AD121" s="54">
        <v>6</v>
      </c>
      <c r="AE121" s="54">
        <v>4</v>
      </c>
      <c r="AF121" s="54">
        <v>6</v>
      </c>
      <c r="AG121" s="5">
        <f t="shared" si="17"/>
        <v>207</v>
      </c>
      <c r="AK121" s="84" t="s">
        <v>132</v>
      </c>
    </row>
    <row r="122" spans="1:37" ht="15.75" customHeight="1" x14ac:dyDescent="0.25">
      <c r="A122" s="85" t="s">
        <v>67</v>
      </c>
      <c r="B122" s="54">
        <v>7</v>
      </c>
      <c r="C122" s="54">
        <v>6</v>
      </c>
      <c r="D122" s="54">
        <v>6</v>
      </c>
      <c r="E122" s="54">
        <v>10</v>
      </c>
      <c r="F122" s="54">
        <v>6</v>
      </c>
      <c r="G122" s="54">
        <v>11</v>
      </c>
      <c r="H122" s="54">
        <v>12</v>
      </c>
      <c r="I122" s="54">
        <v>9</v>
      </c>
      <c r="J122" s="54">
        <v>6</v>
      </c>
      <c r="K122" s="54">
        <v>4</v>
      </c>
      <c r="L122" s="54">
        <v>4</v>
      </c>
      <c r="M122" s="54">
        <v>4</v>
      </c>
      <c r="N122" s="54">
        <v>9</v>
      </c>
      <c r="O122" s="54">
        <v>15</v>
      </c>
      <c r="P122" s="54">
        <v>7</v>
      </c>
      <c r="Q122" s="54">
        <v>5</v>
      </c>
      <c r="R122" s="54">
        <v>4</v>
      </c>
      <c r="S122" s="54">
        <v>2</v>
      </c>
      <c r="T122" s="54">
        <v>6</v>
      </c>
      <c r="U122" s="54">
        <v>7</v>
      </c>
      <c r="V122" s="54">
        <v>9</v>
      </c>
      <c r="W122" s="54">
        <v>2</v>
      </c>
      <c r="X122" s="54">
        <v>2</v>
      </c>
      <c r="Y122" s="54">
        <v>6</v>
      </c>
      <c r="Z122" s="54">
        <v>8</v>
      </c>
      <c r="AA122" s="54">
        <v>3</v>
      </c>
      <c r="AB122" s="54">
        <v>10</v>
      </c>
      <c r="AC122" s="54">
        <v>9</v>
      </c>
      <c r="AD122" s="54">
        <v>7</v>
      </c>
      <c r="AE122" s="54">
        <v>7</v>
      </c>
      <c r="AF122" s="54">
        <v>10</v>
      </c>
      <c r="AG122" s="5">
        <f t="shared" si="17"/>
        <v>213</v>
      </c>
      <c r="AK122" s="88" t="s">
        <v>133</v>
      </c>
    </row>
    <row r="123" spans="1:37" ht="15.75" customHeight="1" x14ac:dyDescent="0.25">
      <c r="A123" s="85" t="s">
        <v>68</v>
      </c>
      <c r="B123" s="54">
        <v>13</v>
      </c>
      <c r="C123" s="54">
        <v>10</v>
      </c>
      <c r="D123" s="54">
        <v>4</v>
      </c>
      <c r="E123" s="54">
        <v>3</v>
      </c>
      <c r="F123" s="54">
        <v>9</v>
      </c>
      <c r="G123" s="54">
        <v>8</v>
      </c>
      <c r="H123" s="54">
        <v>7</v>
      </c>
      <c r="I123" s="54">
        <v>7</v>
      </c>
      <c r="J123" s="54">
        <v>9</v>
      </c>
      <c r="K123" s="54">
        <v>4</v>
      </c>
      <c r="L123" s="54">
        <v>2</v>
      </c>
      <c r="M123" s="54">
        <v>4</v>
      </c>
      <c r="N123" s="54">
        <v>7</v>
      </c>
      <c r="O123" s="54">
        <v>7</v>
      </c>
      <c r="P123" s="54">
        <v>6</v>
      </c>
      <c r="Q123" s="54">
        <v>3</v>
      </c>
      <c r="R123" s="54">
        <v>0</v>
      </c>
      <c r="S123" s="54">
        <v>6</v>
      </c>
      <c r="T123" s="54">
        <v>10</v>
      </c>
      <c r="U123" s="54">
        <v>4</v>
      </c>
      <c r="V123" s="54">
        <v>7</v>
      </c>
      <c r="W123" s="54">
        <v>9</v>
      </c>
      <c r="X123" s="54">
        <v>8</v>
      </c>
      <c r="Y123" s="54">
        <v>7</v>
      </c>
      <c r="Z123" s="54">
        <v>6</v>
      </c>
      <c r="AA123" s="54">
        <v>6</v>
      </c>
      <c r="AB123" s="54">
        <v>14</v>
      </c>
      <c r="AC123" s="54">
        <v>2</v>
      </c>
      <c r="AD123" s="54">
        <v>5</v>
      </c>
      <c r="AE123" s="54">
        <v>6</v>
      </c>
      <c r="AF123" s="54">
        <v>6</v>
      </c>
      <c r="AG123" s="5">
        <f t="shared" si="17"/>
        <v>199</v>
      </c>
      <c r="AK123" s="84" t="s">
        <v>134</v>
      </c>
    </row>
    <row r="124" spans="1:37" ht="15.75" customHeight="1" x14ac:dyDescent="0.25">
      <c r="A124" s="85" t="s">
        <v>69</v>
      </c>
      <c r="B124" s="54">
        <v>8</v>
      </c>
      <c r="C124" s="54">
        <v>11</v>
      </c>
      <c r="D124" s="54">
        <v>8</v>
      </c>
      <c r="E124" s="54">
        <v>6</v>
      </c>
      <c r="F124" s="54">
        <v>7</v>
      </c>
      <c r="G124" s="54">
        <v>11</v>
      </c>
      <c r="H124" s="54">
        <v>12</v>
      </c>
      <c r="I124" s="54">
        <v>11</v>
      </c>
      <c r="J124" s="54">
        <v>2</v>
      </c>
      <c r="K124" s="54">
        <v>9</v>
      </c>
      <c r="L124" s="54">
        <v>9</v>
      </c>
      <c r="M124" s="54">
        <v>1</v>
      </c>
      <c r="N124" s="54">
        <v>8</v>
      </c>
      <c r="O124" s="54">
        <v>12</v>
      </c>
      <c r="P124" s="54">
        <v>10</v>
      </c>
      <c r="Q124" s="54">
        <v>3</v>
      </c>
      <c r="R124" s="54">
        <v>4</v>
      </c>
      <c r="S124" s="54">
        <v>1</v>
      </c>
      <c r="T124" s="54">
        <v>4</v>
      </c>
      <c r="U124" s="54">
        <v>2</v>
      </c>
      <c r="V124" s="54">
        <v>10</v>
      </c>
      <c r="W124" s="54">
        <v>12</v>
      </c>
      <c r="X124" s="54">
        <v>11</v>
      </c>
      <c r="Y124" s="54">
        <v>8</v>
      </c>
      <c r="Z124" s="54">
        <v>2</v>
      </c>
      <c r="AA124" s="54">
        <v>7</v>
      </c>
      <c r="AB124" s="54">
        <v>6</v>
      </c>
      <c r="AC124" s="54">
        <v>3</v>
      </c>
      <c r="AD124" s="54">
        <v>6</v>
      </c>
      <c r="AE124" s="54">
        <v>9</v>
      </c>
      <c r="AF124" s="54">
        <v>7</v>
      </c>
      <c r="AG124" s="5">
        <f t="shared" si="17"/>
        <v>220</v>
      </c>
      <c r="AK124" s="88" t="s">
        <v>135</v>
      </c>
    </row>
    <row r="125" spans="1:37" ht="15.75" customHeight="1" x14ac:dyDescent="0.25">
      <c r="A125" s="85" t="s">
        <v>70</v>
      </c>
      <c r="B125" s="54">
        <v>70</v>
      </c>
      <c r="C125" s="54">
        <v>54</v>
      </c>
      <c r="D125" s="54">
        <v>73</v>
      </c>
      <c r="E125" s="54">
        <v>60</v>
      </c>
      <c r="F125" s="54">
        <v>46</v>
      </c>
      <c r="G125" s="54">
        <v>89</v>
      </c>
      <c r="H125" s="54">
        <v>75</v>
      </c>
      <c r="I125" s="54">
        <v>55</v>
      </c>
      <c r="J125" s="54">
        <v>79</v>
      </c>
      <c r="K125" s="54">
        <v>56</v>
      </c>
      <c r="L125" s="54">
        <v>65</v>
      </c>
      <c r="M125" s="54">
        <v>74</v>
      </c>
      <c r="N125" s="54">
        <v>84</v>
      </c>
      <c r="O125" s="54">
        <v>75</v>
      </c>
      <c r="P125" s="54">
        <v>56</v>
      </c>
      <c r="Q125" s="54">
        <v>65</v>
      </c>
      <c r="R125" s="54">
        <v>68</v>
      </c>
      <c r="S125" s="54">
        <v>68</v>
      </c>
      <c r="T125" s="54">
        <v>57</v>
      </c>
      <c r="U125" s="54">
        <v>90</v>
      </c>
      <c r="V125" s="54">
        <v>72</v>
      </c>
      <c r="W125" s="54">
        <v>44</v>
      </c>
      <c r="X125" s="54">
        <v>62</v>
      </c>
      <c r="Y125" s="54">
        <v>38</v>
      </c>
      <c r="Z125" s="54">
        <v>59</v>
      </c>
      <c r="AA125" s="54">
        <v>58</v>
      </c>
      <c r="AB125" s="54">
        <v>97</v>
      </c>
      <c r="AC125" s="54">
        <v>78</v>
      </c>
      <c r="AD125" s="54">
        <v>52</v>
      </c>
      <c r="AE125" s="54">
        <v>55</v>
      </c>
      <c r="AF125" s="54">
        <v>72</v>
      </c>
      <c r="AG125" s="5">
        <f t="shared" si="17"/>
        <v>2046</v>
      </c>
      <c r="AK125" s="88" t="s">
        <v>136</v>
      </c>
    </row>
    <row r="126" spans="1:37" ht="15.75" customHeight="1" x14ac:dyDescent="0.25">
      <c r="A126" s="85" t="s">
        <v>71</v>
      </c>
      <c r="B126" s="54">
        <v>1</v>
      </c>
      <c r="C126" s="54">
        <v>4</v>
      </c>
      <c r="D126" s="54">
        <v>0</v>
      </c>
      <c r="E126" s="54">
        <v>5</v>
      </c>
      <c r="F126" s="54">
        <v>0</v>
      </c>
      <c r="G126" s="54">
        <v>4</v>
      </c>
      <c r="H126" s="54">
        <v>2</v>
      </c>
      <c r="I126" s="54">
        <v>3</v>
      </c>
      <c r="J126" s="54">
        <v>0</v>
      </c>
      <c r="K126" s="54">
        <v>2</v>
      </c>
      <c r="L126" s="54">
        <v>2</v>
      </c>
      <c r="M126" s="54">
        <v>0</v>
      </c>
      <c r="N126" s="54">
        <v>0</v>
      </c>
      <c r="O126" s="54">
        <v>1</v>
      </c>
      <c r="P126" s="54">
        <v>2</v>
      </c>
      <c r="Q126" s="54">
        <v>0</v>
      </c>
      <c r="R126" s="54">
        <v>3</v>
      </c>
      <c r="S126" s="54">
        <v>0</v>
      </c>
      <c r="T126" s="54">
        <v>0</v>
      </c>
      <c r="U126" s="54">
        <v>0</v>
      </c>
      <c r="V126" s="54">
        <v>4</v>
      </c>
      <c r="W126" s="54">
        <v>0</v>
      </c>
      <c r="X126" s="54">
        <v>1</v>
      </c>
      <c r="Y126" s="54">
        <v>1</v>
      </c>
      <c r="Z126" s="54">
        <v>1</v>
      </c>
      <c r="AA126" s="54">
        <v>2</v>
      </c>
      <c r="AB126" s="54">
        <v>5</v>
      </c>
      <c r="AC126" s="54">
        <v>3</v>
      </c>
      <c r="AD126" s="54">
        <v>2</v>
      </c>
      <c r="AE126" s="54">
        <v>0</v>
      </c>
      <c r="AF126" s="54">
        <v>1</v>
      </c>
      <c r="AG126" s="5">
        <f t="shared" si="17"/>
        <v>49</v>
      </c>
      <c r="AK126" s="84" t="s">
        <v>137</v>
      </c>
    </row>
    <row r="127" spans="1:37" ht="15.75" customHeight="1" x14ac:dyDescent="0.25">
      <c r="A127" s="85" t="s">
        <v>72</v>
      </c>
      <c r="B127" s="54">
        <v>0</v>
      </c>
      <c r="C127" s="54">
        <v>0</v>
      </c>
      <c r="D127" s="54">
        <v>1</v>
      </c>
      <c r="E127" s="54">
        <v>0</v>
      </c>
      <c r="F127" s="54">
        <v>3</v>
      </c>
      <c r="G127" s="54">
        <v>0</v>
      </c>
      <c r="H127" s="54">
        <v>3</v>
      </c>
      <c r="I127" s="54">
        <v>1</v>
      </c>
      <c r="J127" s="54">
        <v>0</v>
      </c>
      <c r="K127" s="54">
        <v>2</v>
      </c>
      <c r="L127" s="54">
        <v>2</v>
      </c>
      <c r="M127" s="54">
        <v>1</v>
      </c>
      <c r="N127" s="54">
        <v>0</v>
      </c>
      <c r="O127" s="54">
        <v>1</v>
      </c>
      <c r="P127" s="54">
        <v>0</v>
      </c>
      <c r="Q127" s="54">
        <v>1</v>
      </c>
      <c r="R127" s="54">
        <v>0</v>
      </c>
      <c r="S127" s="54">
        <v>0</v>
      </c>
      <c r="T127" s="54">
        <v>1</v>
      </c>
      <c r="U127" s="54">
        <v>4</v>
      </c>
      <c r="V127" s="54">
        <v>7</v>
      </c>
      <c r="W127" s="54">
        <v>0</v>
      </c>
      <c r="X127" s="54">
        <v>1</v>
      </c>
      <c r="Y127" s="54">
        <v>0</v>
      </c>
      <c r="Z127" s="54">
        <v>0</v>
      </c>
      <c r="AA127" s="54">
        <v>0</v>
      </c>
      <c r="AB127" s="54">
        <v>3</v>
      </c>
      <c r="AC127" s="54">
        <v>1</v>
      </c>
      <c r="AD127" s="54">
        <v>0</v>
      </c>
      <c r="AE127" s="54">
        <v>0</v>
      </c>
      <c r="AF127" s="54">
        <v>1</v>
      </c>
      <c r="AG127" s="5">
        <f t="shared" si="17"/>
        <v>33</v>
      </c>
      <c r="AK127" s="88" t="s">
        <v>138</v>
      </c>
    </row>
    <row r="128" spans="1:37" ht="15.75" customHeight="1" x14ac:dyDescent="0.25">
      <c r="A128" s="56" t="s">
        <v>73</v>
      </c>
      <c r="B128" s="54">
        <v>2</v>
      </c>
      <c r="C128" s="54">
        <v>2</v>
      </c>
      <c r="D128" s="54">
        <v>1</v>
      </c>
      <c r="E128" s="54">
        <v>1</v>
      </c>
      <c r="F128" s="54">
        <v>3</v>
      </c>
      <c r="G128" s="54">
        <v>2</v>
      </c>
      <c r="H128" s="54">
        <v>2</v>
      </c>
      <c r="I128" s="54">
        <v>0</v>
      </c>
      <c r="J128" s="54">
        <v>0</v>
      </c>
      <c r="K128" s="54">
        <v>2</v>
      </c>
      <c r="L128" s="54">
        <v>1</v>
      </c>
      <c r="M128" s="54">
        <v>0</v>
      </c>
      <c r="N128" s="54">
        <v>2</v>
      </c>
      <c r="O128" s="54">
        <v>0</v>
      </c>
      <c r="P128" s="54">
        <v>1</v>
      </c>
      <c r="Q128" s="54">
        <v>4</v>
      </c>
      <c r="R128" s="54">
        <v>3</v>
      </c>
      <c r="S128" s="54">
        <v>0</v>
      </c>
      <c r="T128" s="54">
        <v>2</v>
      </c>
      <c r="U128" s="54">
        <v>5</v>
      </c>
      <c r="V128" s="54">
        <v>3</v>
      </c>
      <c r="W128" s="54">
        <v>4</v>
      </c>
      <c r="X128" s="54">
        <v>5</v>
      </c>
      <c r="Y128" s="54">
        <v>3</v>
      </c>
      <c r="Z128" s="54">
        <v>1</v>
      </c>
      <c r="AA128" s="54">
        <v>2</v>
      </c>
      <c r="AB128" s="54">
        <v>2</v>
      </c>
      <c r="AC128" s="54">
        <v>2</v>
      </c>
      <c r="AD128" s="54">
        <v>3</v>
      </c>
      <c r="AE128" s="54">
        <v>1</v>
      </c>
      <c r="AF128" s="54">
        <v>1</v>
      </c>
      <c r="AG128" s="5">
        <f t="shared" si="17"/>
        <v>60</v>
      </c>
      <c r="AK128" s="88" t="s">
        <v>139</v>
      </c>
    </row>
    <row r="129" spans="1:37" ht="15.75" customHeight="1" x14ac:dyDescent="0.25">
      <c r="A129" s="56" t="s">
        <v>74</v>
      </c>
      <c r="B129" s="54">
        <v>1</v>
      </c>
      <c r="C129" s="54">
        <v>2</v>
      </c>
      <c r="D129" s="54">
        <v>1</v>
      </c>
      <c r="E129" s="54">
        <v>1</v>
      </c>
      <c r="F129" s="54">
        <v>0</v>
      </c>
      <c r="G129" s="54">
        <v>3</v>
      </c>
      <c r="H129" s="54">
        <v>1</v>
      </c>
      <c r="I129" s="54">
        <v>2</v>
      </c>
      <c r="J129" s="54">
        <v>1</v>
      </c>
      <c r="K129" s="54">
        <v>6</v>
      </c>
      <c r="L129" s="54">
        <v>1</v>
      </c>
      <c r="M129" s="54">
        <v>7</v>
      </c>
      <c r="N129" s="54">
        <v>3</v>
      </c>
      <c r="O129" s="54">
        <v>1</v>
      </c>
      <c r="P129" s="54">
        <v>3</v>
      </c>
      <c r="Q129" s="54">
        <v>2</v>
      </c>
      <c r="R129" s="54">
        <v>0</v>
      </c>
      <c r="S129" s="54">
        <v>1</v>
      </c>
      <c r="T129" s="54">
        <v>0</v>
      </c>
      <c r="U129" s="54">
        <v>2</v>
      </c>
      <c r="V129" s="54">
        <v>0</v>
      </c>
      <c r="W129" s="54">
        <v>2</v>
      </c>
      <c r="X129" s="54">
        <v>2</v>
      </c>
      <c r="Y129" s="54">
        <v>1</v>
      </c>
      <c r="Z129" s="54">
        <v>1</v>
      </c>
      <c r="AA129" s="54">
        <v>2</v>
      </c>
      <c r="AB129" s="54">
        <v>1</v>
      </c>
      <c r="AC129" s="54">
        <v>2</v>
      </c>
      <c r="AD129" s="54">
        <v>0</v>
      </c>
      <c r="AE129" s="54">
        <v>1</v>
      </c>
      <c r="AF129" s="54">
        <v>1</v>
      </c>
      <c r="AG129" s="5">
        <f t="shared" si="17"/>
        <v>51</v>
      </c>
      <c r="AK129" s="84" t="s">
        <v>140</v>
      </c>
    </row>
    <row r="130" spans="1:37" ht="15.75" customHeight="1" x14ac:dyDescent="0.25">
      <c r="A130" s="56" t="s">
        <v>75</v>
      </c>
      <c r="B130" s="54">
        <v>3</v>
      </c>
      <c r="C130" s="54">
        <v>0</v>
      </c>
      <c r="D130" s="54">
        <v>0</v>
      </c>
      <c r="E130" s="54">
        <v>0</v>
      </c>
      <c r="F130" s="54">
        <v>0</v>
      </c>
      <c r="G130" s="54">
        <v>2</v>
      </c>
      <c r="H130" s="54">
        <v>0</v>
      </c>
      <c r="I130" s="54">
        <v>0</v>
      </c>
      <c r="J130" s="54">
        <v>0</v>
      </c>
      <c r="K130" s="54">
        <v>0</v>
      </c>
      <c r="L130" s="54">
        <v>1</v>
      </c>
      <c r="M130" s="54">
        <v>0</v>
      </c>
      <c r="N130" s="54">
        <v>0</v>
      </c>
      <c r="O130" s="54">
        <v>0</v>
      </c>
      <c r="P130" s="54">
        <v>0</v>
      </c>
      <c r="Q130" s="54">
        <v>0</v>
      </c>
      <c r="R130" s="54">
        <v>0</v>
      </c>
      <c r="S130" s="54">
        <v>1</v>
      </c>
      <c r="T130" s="54">
        <v>0</v>
      </c>
      <c r="U130" s="54">
        <v>0</v>
      </c>
      <c r="V130" s="54">
        <v>2</v>
      </c>
      <c r="W130" s="54">
        <v>0</v>
      </c>
      <c r="X130" s="54">
        <v>0</v>
      </c>
      <c r="Y130" s="54">
        <v>0</v>
      </c>
      <c r="Z130" s="54">
        <v>0</v>
      </c>
      <c r="AA130" s="54">
        <v>0</v>
      </c>
      <c r="AB130" s="54">
        <v>0</v>
      </c>
      <c r="AC130" s="54">
        <v>1</v>
      </c>
      <c r="AD130" s="54">
        <v>1</v>
      </c>
      <c r="AE130" s="54">
        <v>0</v>
      </c>
      <c r="AF130" s="54">
        <v>0</v>
      </c>
      <c r="AG130" s="5">
        <f t="shared" si="17"/>
        <v>11</v>
      </c>
      <c r="AK130" s="84" t="s">
        <v>141</v>
      </c>
    </row>
    <row r="131" spans="1:37" ht="15.75" customHeight="1" x14ac:dyDescent="0.25">
      <c r="A131" s="85" t="s">
        <v>76</v>
      </c>
      <c r="B131" s="54">
        <v>6</v>
      </c>
      <c r="C131" s="54">
        <v>4</v>
      </c>
      <c r="D131" s="54">
        <v>4</v>
      </c>
      <c r="E131" s="54">
        <v>4</v>
      </c>
      <c r="F131" s="54">
        <v>9</v>
      </c>
      <c r="G131" s="54">
        <v>8</v>
      </c>
      <c r="H131" s="54">
        <v>5</v>
      </c>
      <c r="I131" s="54">
        <v>5</v>
      </c>
      <c r="J131" s="54">
        <v>2</v>
      </c>
      <c r="K131" s="54">
        <v>3</v>
      </c>
      <c r="L131" s="54">
        <v>8</v>
      </c>
      <c r="M131" s="54">
        <v>1</v>
      </c>
      <c r="N131" s="54">
        <v>6</v>
      </c>
      <c r="O131" s="54">
        <v>5</v>
      </c>
      <c r="P131" s="54">
        <v>4</v>
      </c>
      <c r="Q131" s="54">
        <v>8</v>
      </c>
      <c r="R131" s="54">
        <v>3</v>
      </c>
      <c r="S131" s="54">
        <v>2</v>
      </c>
      <c r="T131" s="54">
        <v>9</v>
      </c>
      <c r="U131" s="54">
        <v>11</v>
      </c>
      <c r="V131" s="54">
        <v>10</v>
      </c>
      <c r="W131" s="54">
        <v>6</v>
      </c>
      <c r="X131" s="54">
        <v>7</v>
      </c>
      <c r="Y131" s="54">
        <v>8</v>
      </c>
      <c r="Z131" s="54">
        <v>5</v>
      </c>
      <c r="AA131" s="54">
        <v>6</v>
      </c>
      <c r="AB131" s="54">
        <v>5</v>
      </c>
      <c r="AC131" s="54">
        <v>4</v>
      </c>
      <c r="AD131" s="54">
        <v>8</v>
      </c>
      <c r="AE131" s="54">
        <v>7</v>
      </c>
      <c r="AF131" s="54">
        <v>9</v>
      </c>
      <c r="AG131" s="5">
        <f t="shared" si="17"/>
        <v>182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12</v>
      </c>
      <c r="C132" s="87">
        <v>5</v>
      </c>
      <c r="D132" s="87">
        <v>5</v>
      </c>
      <c r="E132" s="87">
        <v>5</v>
      </c>
      <c r="F132" s="87">
        <v>8</v>
      </c>
      <c r="G132" s="87">
        <v>11</v>
      </c>
      <c r="H132" s="87">
        <v>10</v>
      </c>
      <c r="I132" s="87">
        <v>8</v>
      </c>
      <c r="J132" s="87">
        <v>4</v>
      </c>
      <c r="K132" s="87">
        <v>7</v>
      </c>
      <c r="L132" s="87">
        <v>7</v>
      </c>
      <c r="M132" s="87">
        <v>6</v>
      </c>
      <c r="N132" s="87">
        <v>12</v>
      </c>
      <c r="O132" s="87">
        <v>5</v>
      </c>
      <c r="P132" s="87">
        <v>7</v>
      </c>
      <c r="Q132" s="87">
        <v>5</v>
      </c>
      <c r="R132" s="87">
        <v>11</v>
      </c>
      <c r="S132" s="87">
        <v>9</v>
      </c>
      <c r="T132" s="87">
        <v>4</v>
      </c>
      <c r="U132" s="87">
        <v>10</v>
      </c>
      <c r="V132" s="87">
        <v>11</v>
      </c>
      <c r="W132" s="87">
        <v>9</v>
      </c>
      <c r="X132" s="87">
        <v>6</v>
      </c>
      <c r="Y132" s="87">
        <v>6</v>
      </c>
      <c r="Z132" s="87">
        <v>3</v>
      </c>
      <c r="AA132" s="87">
        <v>11</v>
      </c>
      <c r="AB132" s="87">
        <v>14</v>
      </c>
      <c r="AC132" s="87">
        <v>8</v>
      </c>
      <c r="AD132" s="87">
        <v>15</v>
      </c>
      <c r="AE132" s="87">
        <v>9</v>
      </c>
      <c r="AF132" s="87">
        <v>5</v>
      </c>
      <c r="AG132" s="9">
        <f t="shared" si="17"/>
        <v>248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154</v>
      </c>
      <c r="C133" s="14">
        <f t="shared" si="21"/>
        <v>135</v>
      </c>
      <c r="D133" s="14">
        <f t="shared" si="21"/>
        <v>129</v>
      </c>
      <c r="E133" s="14">
        <f t="shared" si="21"/>
        <v>125</v>
      </c>
      <c r="F133" s="14">
        <f t="shared" si="21"/>
        <v>123</v>
      </c>
      <c r="G133" s="14">
        <f t="shared" si="21"/>
        <v>201</v>
      </c>
      <c r="H133" s="14">
        <f t="shared" si="21"/>
        <v>182</v>
      </c>
      <c r="I133" s="14">
        <f t="shared" si="21"/>
        <v>138</v>
      </c>
      <c r="J133" s="14">
        <f t="shared" si="21"/>
        <v>123</v>
      </c>
      <c r="K133" s="14">
        <f t="shared" si="21"/>
        <v>122</v>
      </c>
      <c r="L133" s="14">
        <f t="shared" si="21"/>
        <v>134</v>
      </c>
      <c r="M133" s="14">
        <f t="shared" si="21"/>
        <v>123</v>
      </c>
      <c r="N133" s="14">
        <f t="shared" si="21"/>
        <v>172</v>
      </c>
      <c r="O133" s="14">
        <f t="shared" si="21"/>
        <v>169</v>
      </c>
      <c r="P133" s="14">
        <f t="shared" si="21"/>
        <v>132</v>
      </c>
      <c r="Q133" s="14">
        <f t="shared" si="21"/>
        <v>130</v>
      </c>
      <c r="R133" s="14">
        <f t="shared" si="21"/>
        <v>125</v>
      </c>
      <c r="S133" s="14">
        <f t="shared" si="21"/>
        <v>111</v>
      </c>
      <c r="T133" s="14">
        <f t="shared" si="21"/>
        <v>116</v>
      </c>
      <c r="U133" s="14">
        <f t="shared" si="21"/>
        <v>179</v>
      </c>
      <c r="V133" s="14">
        <f t="shared" si="21"/>
        <v>184</v>
      </c>
      <c r="W133" s="14">
        <f t="shared" si="21"/>
        <v>119</v>
      </c>
      <c r="X133" s="14">
        <f t="shared" si="21"/>
        <v>135</v>
      </c>
      <c r="Y133" s="14">
        <f t="shared" si="21"/>
        <v>113</v>
      </c>
      <c r="Z133" s="14">
        <f t="shared" si="21"/>
        <v>115</v>
      </c>
      <c r="AA133" s="14">
        <f t="shared" si="21"/>
        <v>127</v>
      </c>
      <c r="AB133" s="14">
        <f t="shared" si="21"/>
        <v>200</v>
      </c>
      <c r="AC133" s="14">
        <f t="shared" si="21"/>
        <v>166</v>
      </c>
      <c r="AD133" s="14">
        <f t="shared" si="21"/>
        <v>143</v>
      </c>
      <c r="AE133" s="14">
        <f t="shared" si="21"/>
        <v>119</v>
      </c>
      <c r="AF133" s="14">
        <f t="shared" si="21"/>
        <v>136</v>
      </c>
      <c r="AG133" s="10">
        <f t="shared" si="17"/>
        <v>4380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15</v>
      </c>
      <c r="C134" s="22">
        <f t="shared" si="22"/>
        <v>9</v>
      </c>
      <c r="D134" s="22">
        <f t="shared" si="22"/>
        <v>14</v>
      </c>
      <c r="E134" s="22">
        <f t="shared" si="22"/>
        <v>3</v>
      </c>
      <c r="F134" s="22">
        <f t="shared" si="22"/>
        <v>27</v>
      </c>
      <c r="G134" s="22">
        <f t="shared" si="22"/>
        <v>6</v>
      </c>
      <c r="H134" s="22">
        <f t="shared" si="22"/>
        <v>5</v>
      </c>
      <c r="I134" s="22">
        <f t="shared" si="22"/>
        <v>16</v>
      </c>
      <c r="J134" s="22">
        <f t="shared" si="22"/>
        <v>4</v>
      </c>
      <c r="K134" s="22">
        <f t="shared" si="22"/>
        <v>3</v>
      </c>
      <c r="L134" s="22">
        <f t="shared" si="22"/>
        <v>8</v>
      </c>
      <c r="M134" s="22">
        <f t="shared" si="22"/>
        <v>7</v>
      </c>
      <c r="N134" s="22">
        <f t="shared" si="22"/>
        <v>1</v>
      </c>
      <c r="O134" s="22">
        <f t="shared" si="22"/>
        <v>8</v>
      </c>
      <c r="P134" s="22">
        <f t="shared" si="22"/>
        <v>15</v>
      </c>
      <c r="Q134" s="22">
        <f t="shared" si="22"/>
        <v>6</v>
      </c>
      <c r="R134" s="22">
        <f t="shared" si="22"/>
        <v>5</v>
      </c>
      <c r="S134" s="22">
        <f t="shared" si="22"/>
        <v>6</v>
      </c>
      <c r="T134" s="22">
        <f t="shared" si="22"/>
        <v>6</v>
      </c>
      <c r="U134" s="22">
        <f t="shared" si="22"/>
        <v>3</v>
      </c>
      <c r="V134" s="22">
        <f t="shared" si="22"/>
        <v>7</v>
      </c>
      <c r="W134" s="22">
        <f t="shared" si="22"/>
        <v>10</v>
      </c>
      <c r="X134" s="22">
        <f t="shared" si="22"/>
        <v>14</v>
      </c>
      <c r="Y134" s="22">
        <f t="shared" si="22"/>
        <v>7</v>
      </c>
      <c r="Z134" s="22">
        <f t="shared" si="22"/>
        <v>9</v>
      </c>
      <c r="AA134" s="22">
        <f t="shared" si="22"/>
        <v>9</v>
      </c>
      <c r="AB134" s="22">
        <f t="shared" si="22"/>
        <v>6</v>
      </c>
      <c r="AC134" s="22">
        <f t="shared" si="22"/>
        <v>10</v>
      </c>
      <c r="AD134" s="22">
        <f t="shared" si="22"/>
        <v>3</v>
      </c>
      <c r="AE134" s="22">
        <f t="shared" si="22"/>
        <v>2</v>
      </c>
      <c r="AF134" s="22">
        <f t="shared" si="22"/>
        <v>4</v>
      </c>
      <c r="AG134" s="23">
        <f t="shared" si="17"/>
        <v>248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1</v>
      </c>
      <c r="C135" s="1">
        <f t="shared" si="23"/>
        <v>2</v>
      </c>
      <c r="D135" s="1">
        <f t="shared" si="23"/>
        <v>0</v>
      </c>
      <c r="E135" s="1">
        <f t="shared" si="23"/>
        <v>3</v>
      </c>
      <c r="F135" s="1">
        <f t="shared" si="23"/>
        <v>0</v>
      </c>
      <c r="G135" s="1">
        <f t="shared" si="23"/>
        <v>0</v>
      </c>
      <c r="H135" s="1">
        <f t="shared" si="23"/>
        <v>1</v>
      </c>
      <c r="I135" s="1">
        <f t="shared" si="23"/>
        <v>0</v>
      </c>
      <c r="J135" s="1">
        <f t="shared" si="23"/>
        <v>2</v>
      </c>
      <c r="K135" s="1">
        <f t="shared" si="23"/>
        <v>0</v>
      </c>
      <c r="L135" s="1">
        <f t="shared" si="23"/>
        <v>0</v>
      </c>
      <c r="M135" s="1">
        <f t="shared" si="23"/>
        <v>1</v>
      </c>
      <c r="N135" s="1">
        <f t="shared" si="23"/>
        <v>0</v>
      </c>
      <c r="O135" s="1">
        <f t="shared" si="23"/>
        <v>0</v>
      </c>
      <c r="P135" s="1">
        <f t="shared" si="23"/>
        <v>0</v>
      </c>
      <c r="Q135" s="1">
        <f t="shared" si="23"/>
        <v>0</v>
      </c>
      <c r="R135" s="1">
        <f t="shared" si="23"/>
        <v>0</v>
      </c>
      <c r="S135" s="1">
        <f t="shared" si="23"/>
        <v>0</v>
      </c>
      <c r="T135" s="1">
        <f t="shared" si="23"/>
        <v>1</v>
      </c>
      <c r="U135" s="1">
        <f t="shared" si="23"/>
        <v>1</v>
      </c>
      <c r="V135" s="1">
        <f t="shared" si="23"/>
        <v>0</v>
      </c>
      <c r="W135" s="1">
        <f t="shared" si="23"/>
        <v>0</v>
      </c>
      <c r="X135" s="1">
        <f t="shared" si="23"/>
        <v>0</v>
      </c>
      <c r="Y135" s="1">
        <f t="shared" si="23"/>
        <v>1</v>
      </c>
      <c r="Z135" s="1">
        <f t="shared" si="23"/>
        <v>1</v>
      </c>
      <c r="AA135" s="1">
        <f t="shared" si="23"/>
        <v>0</v>
      </c>
      <c r="AB135" s="1">
        <f t="shared" si="23"/>
        <v>1</v>
      </c>
      <c r="AC135" s="1">
        <f t="shared" si="23"/>
        <v>1</v>
      </c>
      <c r="AD135" s="1">
        <f t="shared" si="23"/>
        <v>1</v>
      </c>
      <c r="AE135" s="1">
        <f t="shared" si="23"/>
        <v>1</v>
      </c>
      <c r="AF135" s="1">
        <f t="shared" si="23"/>
        <v>0</v>
      </c>
      <c r="AG135" s="2">
        <f t="shared" si="17"/>
        <v>18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1</v>
      </c>
      <c r="C136" s="91">
        <v>2</v>
      </c>
      <c r="D136" s="91">
        <v>0</v>
      </c>
      <c r="E136" s="91">
        <v>3</v>
      </c>
      <c r="F136" s="91">
        <v>0</v>
      </c>
      <c r="G136" s="91">
        <v>0</v>
      </c>
      <c r="H136" s="91">
        <v>1</v>
      </c>
      <c r="I136" s="91">
        <v>0</v>
      </c>
      <c r="J136" s="91">
        <v>2</v>
      </c>
      <c r="K136" s="91">
        <v>0</v>
      </c>
      <c r="L136" s="91">
        <v>0</v>
      </c>
      <c r="M136" s="91">
        <v>0</v>
      </c>
      <c r="N136" s="91">
        <v>0</v>
      </c>
      <c r="O136" s="91">
        <v>0</v>
      </c>
      <c r="P136" s="91">
        <v>0</v>
      </c>
      <c r="Q136" s="91">
        <v>0</v>
      </c>
      <c r="R136" s="91">
        <v>0</v>
      </c>
      <c r="S136" s="91">
        <v>0</v>
      </c>
      <c r="T136" s="91">
        <v>1</v>
      </c>
      <c r="U136" s="91">
        <v>1</v>
      </c>
      <c r="V136" s="91">
        <v>0</v>
      </c>
      <c r="W136" s="91">
        <v>0</v>
      </c>
      <c r="X136" s="91">
        <v>0</v>
      </c>
      <c r="Y136" s="91">
        <v>1</v>
      </c>
      <c r="Z136" s="91">
        <v>1</v>
      </c>
      <c r="AA136" s="91">
        <v>0</v>
      </c>
      <c r="AB136" s="91">
        <v>1</v>
      </c>
      <c r="AC136" s="91">
        <v>1</v>
      </c>
      <c r="AD136" s="91">
        <v>1</v>
      </c>
      <c r="AE136" s="91">
        <v>1</v>
      </c>
      <c r="AF136" s="91">
        <v>0</v>
      </c>
      <c r="AG136" s="28">
        <f t="shared" si="17"/>
        <v>17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1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29">
        <f t="shared" si="17"/>
        <v>1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0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1</v>
      </c>
      <c r="C139" s="31">
        <f t="shared" si="24"/>
        <v>2</v>
      </c>
      <c r="D139" s="31">
        <f t="shared" si="24"/>
        <v>3</v>
      </c>
      <c r="E139" s="31">
        <f t="shared" si="24"/>
        <v>8</v>
      </c>
      <c r="F139" s="31">
        <f t="shared" si="24"/>
        <v>2</v>
      </c>
      <c r="G139" s="31">
        <f t="shared" si="24"/>
        <v>1</v>
      </c>
      <c r="H139" s="31">
        <f t="shared" si="24"/>
        <v>5</v>
      </c>
      <c r="I139" s="31">
        <f t="shared" si="24"/>
        <v>6</v>
      </c>
      <c r="J139" s="31">
        <f t="shared" si="24"/>
        <v>2</v>
      </c>
      <c r="K139" s="31">
        <f t="shared" si="24"/>
        <v>2</v>
      </c>
      <c r="L139" s="31">
        <f t="shared" si="24"/>
        <v>7</v>
      </c>
      <c r="M139" s="31">
        <f t="shared" si="24"/>
        <v>2</v>
      </c>
      <c r="N139" s="31">
        <f t="shared" si="24"/>
        <v>1</v>
      </c>
      <c r="O139" s="31">
        <f t="shared" si="24"/>
        <v>2</v>
      </c>
      <c r="P139" s="31">
        <f t="shared" si="24"/>
        <v>1</v>
      </c>
      <c r="Q139" s="31">
        <f t="shared" si="24"/>
        <v>3</v>
      </c>
      <c r="R139" s="31">
        <f t="shared" si="24"/>
        <v>2</v>
      </c>
      <c r="S139" s="31">
        <f t="shared" si="24"/>
        <v>2</v>
      </c>
      <c r="T139" s="31">
        <f t="shared" si="24"/>
        <v>2</v>
      </c>
      <c r="U139" s="31">
        <f t="shared" si="24"/>
        <v>5</v>
      </c>
      <c r="V139" s="31">
        <f t="shared" si="24"/>
        <v>1</v>
      </c>
      <c r="W139" s="31">
        <f t="shared" si="24"/>
        <v>5</v>
      </c>
      <c r="X139" s="31">
        <f t="shared" si="24"/>
        <v>2</v>
      </c>
      <c r="Y139" s="31">
        <f t="shared" si="24"/>
        <v>4</v>
      </c>
      <c r="Z139" s="31">
        <f t="shared" si="24"/>
        <v>3</v>
      </c>
      <c r="AA139" s="31">
        <f t="shared" si="24"/>
        <v>1</v>
      </c>
      <c r="AB139" s="31">
        <f t="shared" si="24"/>
        <v>6</v>
      </c>
      <c r="AC139" s="31">
        <f t="shared" si="24"/>
        <v>3</v>
      </c>
      <c r="AD139" s="31">
        <f t="shared" si="24"/>
        <v>2</v>
      </c>
      <c r="AE139" s="31">
        <f t="shared" si="24"/>
        <v>6</v>
      </c>
      <c r="AF139" s="31">
        <f t="shared" si="24"/>
        <v>5</v>
      </c>
      <c r="AG139" s="32">
        <f t="shared" si="17"/>
        <v>97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0</v>
      </c>
      <c r="C140" s="97">
        <v>0</v>
      </c>
      <c r="D140" s="97">
        <v>0</v>
      </c>
      <c r="E140" s="97">
        <v>0</v>
      </c>
      <c r="F140" s="97">
        <v>1</v>
      </c>
      <c r="G140" s="97">
        <v>0</v>
      </c>
      <c r="H140" s="97">
        <v>2</v>
      </c>
      <c r="I140" s="97">
        <v>1</v>
      </c>
      <c r="J140" s="97">
        <v>0</v>
      </c>
      <c r="K140" s="97">
        <v>0</v>
      </c>
      <c r="L140" s="97">
        <v>1</v>
      </c>
      <c r="M140" s="97">
        <v>1</v>
      </c>
      <c r="N140" s="97">
        <v>0</v>
      </c>
      <c r="O140" s="97">
        <v>0</v>
      </c>
      <c r="P140" s="97">
        <v>0</v>
      </c>
      <c r="Q140" s="97">
        <v>1</v>
      </c>
      <c r="R140" s="97">
        <v>0</v>
      </c>
      <c r="S140" s="97">
        <v>0</v>
      </c>
      <c r="T140" s="97">
        <v>1</v>
      </c>
      <c r="U140" s="97">
        <v>0</v>
      </c>
      <c r="V140" s="97">
        <v>0</v>
      </c>
      <c r="W140" s="97">
        <v>1</v>
      </c>
      <c r="X140" s="97">
        <v>1</v>
      </c>
      <c r="Y140" s="97">
        <v>1</v>
      </c>
      <c r="Z140" s="97">
        <v>0</v>
      </c>
      <c r="AA140" s="97">
        <v>0</v>
      </c>
      <c r="AB140" s="97">
        <v>1</v>
      </c>
      <c r="AC140" s="97">
        <v>0</v>
      </c>
      <c r="AD140" s="97">
        <v>0</v>
      </c>
      <c r="AE140" s="97">
        <v>1</v>
      </c>
      <c r="AF140" s="97">
        <v>0</v>
      </c>
      <c r="AG140" s="33">
        <f t="shared" si="17"/>
        <v>13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1</v>
      </c>
      <c r="C141" s="98">
        <v>2</v>
      </c>
      <c r="D141" s="98">
        <v>3</v>
      </c>
      <c r="E141" s="98">
        <v>8</v>
      </c>
      <c r="F141" s="98">
        <v>1</v>
      </c>
      <c r="G141" s="98">
        <v>1</v>
      </c>
      <c r="H141" s="98">
        <v>3</v>
      </c>
      <c r="I141" s="98">
        <v>5</v>
      </c>
      <c r="J141" s="98">
        <v>2</v>
      </c>
      <c r="K141" s="98">
        <v>2</v>
      </c>
      <c r="L141" s="98">
        <v>6</v>
      </c>
      <c r="M141" s="98">
        <v>1</v>
      </c>
      <c r="N141" s="98">
        <v>1</v>
      </c>
      <c r="O141" s="98">
        <v>2</v>
      </c>
      <c r="P141" s="98">
        <v>1</v>
      </c>
      <c r="Q141" s="98">
        <v>2</v>
      </c>
      <c r="R141" s="98">
        <v>2</v>
      </c>
      <c r="S141" s="98">
        <v>2</v>
      </c>
      <c r="T141" s="98">
        <v>1</v>
      </c>
      <c r="U141" s="98">
        <v>5</v>
      </c>
      <c r="V141" s="98">
        <v>1</v>
      </c>
      <c r="W141" s="98">
        <v>4</v>
      </c>
      <c r="X141" s="98">
        <v>1</v>
      </c>
      <c r="Y141" s="98">
        <v>3</v>
      </c>
      <c r="Z141" s="98">
        <v>3</v>
      </c>
      <c r="AA141" s="98">
        <v>1</v>
      </c>
      <c r="AB141" s="98">
        <v>5</v>
      </c>
      <c r="AC141" s="98">
        <v>3</v>
      </c>
      <c r="AD141" s="98">
        <v>2</v>
      </c>
      <c r="AE141" s="98">
        <v>5</v>
      </c>
      <c r="AF141" s="98">
        <v>5</v>
      </c>
      <c r="AG141" s="34">
        <f t="shared" si="17"/>
        <v>84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>
        <v>0</v>
      </c>
      <c r="AE142" s="100">
        <v>0</v>
      </c>
      <c r="AF142" s="100">
        <v>0</v>
      </c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>
        <v>0</v>
      </c>
      <c r="AE143" s="102">
        <v>0</v>
      </c>
      <c r="AF143" s="102">
        <v>0</v>
      </c>
      <c r="AG143" s="36">
        <f t="shared" si="17"/>
        <v>0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40</v>
      </c>
      <c r="C144" s="37">
        <f t="shared" si="25"/>
        <v>28</v>
      </c>
      <c r="D144" s="37">
        <f t="shared" si="25"/>
        <v>25</v>
      </c>
      <c r="E144" s="37">
        <f t="shared" si="25"/>
        <v>27</v>
      </c>
      <c r="F144" s="37">
        <f t="shared" si="25"/>
        <v>25</v>
      </c>
      <c r="G144" s="37">
        <f t="shared" si="25"/>
        <v>36</v>
      </c>
      <c r="H144" s="37">
        <f t="shared" si="25"/>
        <v>34</v>
      </c>
      <c r="I144" s="37">
        <f t="shared" si="25"/>
        <v>37</v>
      </c>
      <c r="J144" s="37">
        <f t="shared" si="25"/>
        <v>23</v>
      </c>
      <c r="K144" s="37">
        <f t="shared" si="25"/>
        <v>27</v>
      </c>
      <c r="L144" s="37">
        <f t="shared" si="25"/>
        <v>31</v>
      </c>
      <c r="M144" s="37">
        <f t="shared" si="25"/>
        <v>22</v>
      </c>
      <c r="N144" s="37">
        <f t="shared" si="25"/>
        <v>35</v>
      </c>
      <c r="O144" s="37">
        <f t="shared" si="25"/>
        <v>26</v>
      </c>
      <c r="P144" s="37">
        <f t="shared" si="25"/>
        <v>23</v>
      </c>
      <c r="Q144" s="37">
        <f t="shared" si="25"/>
        <v>16</v>
      </c>
      <c r="R144" s="37">
        <f t="shared" si="25"/>
        <v>20</v>
      </c>
      <c r="S144" s="37">
        <f t="shared" si="25"/>
        <v>13</v>
      </c>
      <c r="T144" s="37">
        <f t="shared" si="25"/>
        <v>20</v>
      </c>
      <c r="U144" s="37">
        <f t="shared" si="25"/>
        <v>26</v>
      </c>
      <c r="V144" s="37">
        <f t="shared" si="25"/>
        <v>46</v>
      </c>
      <c r="W144" s="37">
        <f t="shared" si="25"/>
        <v>16</v>
      </c>
      <c r="X144" s="37">
        <f t="shared" si="25"/>
        <v>20</v>
      </c>
      <c r="Y144" s="37">
        <f t="shared" si="25"/>
        <v>11</v>
      </c>
      <c r="Z144" s="37">
        <f t="shared" si="25"/>
        <v>7</v>
      </c>
      <c r="AA144" s="37">
        <f t="shared" si="25"/>
        <v>15</v>
      </c>
      <c r="AB144" s="37">
        <f t="shared" si="25"/>
        <v>27</v>
      </c>
      <c r="AC144" s="37">
        <f t="shared" si="25"/>
        <v>20</v>
      </c>
      <c r="AD144" s="37">
        <f t="shared" si="25"/>
        <v>22</v>
      </c>
      <c r="AE144" s="37">
        <f t="shared" si="25"/>
        <v>14</v>
      </c>
      <c r="AF144" s="37">
        <f t="shared" si="25"/>
        <v>21</v>
      </c>
      <c r="AG144" s="24">
        <f t="shared" si="17"/>
        <v>753</v>
      </c>
      <c r="AK144" s="84" t="s">
        <v>155</v>
      </c>
    </row>
    <row r="145" spans="1:37" ht="15.75" customHeight="1" x14ac:dyDescent="0.25">
      <c r="A145" s="104" t="s">
        <v>92</v>
      </c>
      <c r="B145" s="105">
        <v>4</v>
      </c>
      <c r="C145" s="105">
        <v>2</v>
      </c>
      <c r="D145" s="105">
        <v>0</v>
      </c>
      <c r="E145" s="105">
        <v>0</v>
      </c>
      <c r="F145" s="105">
        <v>2</v>
      </c>
      <c r="G145" s="105">
        <v>2</v>
      </c>
      <c r="H145" s="105">
        <v>3</v>
      </c>
      <c r="I145" s="105">
        <v>3</v>
      </c>
      <c r="J145" s="105">
        <v>2</v>
      </c>
      <c r="K145" s="105">
        <v>0</v>
      </c>
      <c r="L145" s="105">
        <v>4</v>
      </c>
      <c r="M145" s="105">
        <v>5</v>
      </c>
      <c r="N145" s="105">
        <v>3</v>
      </c>
      <c r="O145" s="105">
        <v>3</v>
      </c>
      <c r="P145" s="105">
        <v>1</v>
      </c>
      <c r="Q145" s="105">
        <v>4</v>
      </c>
      <c r="R145" s="105">
        <v>0</v>
      </c>
      <c r="S145" s="105">
        <v>2</v>
      </c>
      <c r="T145" s="105">
        <v>4</v>
      </c>
      <c r="U145" s="105">
        <v>3</v>
      </c>
      <c r="V145" s="105">
        <v>6</v>
      </c>
      <c r="W145" s="105">
        <v>3</v>
      </c>
      <c r="X145" s="105">
        <v>1</v>
      </c>
      <c r="Y145" s="105">
        <v>1</v>
      </c>
      <c r="Z145" s="105">
        <v>1</v>
      </c>
      <c r="AA145" s="105">
        <v>2</v>
      </c>
      <c r="AB145" s="105">
        <v>6</v>
      </c>
      <c r="AC145" s="105">
        <v>3</v>
      </c>
      <c r="AD145" s="105">
        <v>6</v>
      </c>
      <c r="AE145" s="105">
        <v>2</v>
      </c>
      <c r="AF145" s="105">
        <v>3</v>
      </c>
      <c r="AG145" s="38">
        <f t="shared" si="17"/>
        <v>81</v>
      </c>
      <c r="AK145" s="84" t="s">
        <v>156</v>
      </c>
    </row>
    <row r="146" spans="1:37" ht="15.75" customHeight="1" x14ac:dyDescent="0.25">
      <c r="A146" s="106" t="s">
        <v>93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1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1</v>
      </c>
      <c r="AK146" s="84" t="s">
        <v>157</v>
      </c>
    </row>
    <row r="147" spans="1:37" ht="15.75" customHeight="1" x14ac:dyDescent="0.25">
      <c r="A147" s="106" t="s">
        <v>94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1</v>
      </c>
      <c r="I147" s="77">
        <v>0</v>
      </c>
      <c r="J147" s="77">
        <v>0</v>
      </c>
      <c r="K147" s="77">
        <v>1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2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1</v>
      </c>
      <c r="AD147" s="77">
        <v>0</v>
      </c>
      <c r="AE147" s="77">
        <v>0</v>
      </c>
      <c r="AF147" s="77">
        <v>0</v>
      </c>
      <c r="AG147" s="5">
        <f t="shared" si="17"/>
        <v>5</v>
      </c>
      <c r="AK147" s="84" t="s">
        <v>158</v>
      </c>
    </row>
    <row r="148" spans="1:37" ht="15.75" customHeight="1" x14ac:dyDescent="0.25">
      <c r="A148" s="106" t="s">
        <v>95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1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1</v>
      </c>
      <c r="AK148" s="84" t="s">
        <v>159</v>
      </c>
    </row>
    <row r="149" spans="1:37" ht="15.75" customHeight="1" x14ac:dyDescent="0.25">
      <c r="A149" s="107" t="s">
        <v>96</v>
      </c>
      <c r="B149" s="108">
        <v>33</v>
      </c>
      <c r="C149" s="108">
        <v>25</v>
      </c>
      <c r="D149" s="108">
        <v>24</v>
      </c>
      <c r="E149" s="108">
        <v>27</v>
      </c>
      <c r="F149" s="108">
        <v>22</v>
      </c>
      <c r="G149" s="108">
        <v>32</v>
      </c>
      <c r="H149" s="108">
        <v>26</v>
      </c>
      <c r="I149" s="108">
        <v>34</v>
      </c>
      <c r="J149" s="108">
        <v>14</v>
      </c>
      <c r="K149" s="108">
        <v>16</v>
      </c>
      <c r="L149" s="108">
        <v>26</v>
      </c>
      <c r="M149" s="108">
        <v>10</v>
      </c>
      <c r="N149" s="108">
        <v>29</v>
      </c>
      <c r="O149" s="108">
        <v>22</v>
      </c>
      <c r="P149" s="108">
        <v>21</v>
      </c>
      <c r="Q149" s="108">
        <v>9</v>
      </c>
      <c r="R149" s="108">
        <v>19</v>
      </c>
      <c r="S149" s="108">
        <v>11</v>
      </c>
      <c r="T149" s="108">
        <v>16</v>
      </c>
      <c r="U149" s="108">
        <v>17</v>
      </c>
      <c r="V149" s="108">
        <v>25</v>
      </c>
      <c r="W149" s="108">
        <v>10</v>
      </c>
      <c r="X149" s="108">
        <v>13</v>
      </c>
      <c r="Y149" s="108">
        <v>8</v>
      </c>
      <c r="Z149" s="108">
        <v>5</v>
      </c>
      <c r="AA149" s="108">
        <v>12</v>
      </c>
      <c r="AB149" s="108">
        <v>15</v>
      </c>
      <c r="AC149" s="108">
        <v>12</v>
      </c>
      <c r="AD149" s="108">
        <v>9</v>
      </c>
      <c r="AE149" s="108">
        <v>9</v>
      </c>
      <c r="AF149" s="108">
        <v>15</v>
      </c>
      <c r="AG149" s="39">
        <f t="shared" si="17"/>
        <v>566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>
        <v>1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2</v>
      </c>
      <c r="I153" s="77">
        <v>0</v>
      </c>
      <c r="J153" s="77">
        <v>0</v>
      </c>
      <c r="K153" s="77">
        <v>7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5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1</v>
      </c>
      <c r="AD153" s="77">
        <v>0</v>
      </c>
      <c r="AE153" s="77">
        <v>0</v>
      </c>
      <c r="AF153" s="77">
        <v>0</v>
      </c>
      <c r="AG153" s="5">
        <f t="shared" si="17"/>
        <v>16</v>
      </c>
      <c r="AK153" s="109" t="s">
        <v>127</v>
      </c>
    </row>
    <row r="154" spans="1:37" ht="15.75" customHeight="1" x14ac:dyDescent="0.25">
      <c r="A154" s="76" t="s">
        <v>101</v>
      </c>
      <c r="B154" s="77">
        <v>0</v>
      </c>
      <c r="C154" s="77">
        <v>0</v>
      </c>
      <c r="D154" s="77">
        <v>0</v>
      </c>
      <c r="E154" s="77">
        <v>0</v>
      </c>
      <c r="F154" s="77">
        <v>0</v>
      </c>
      <c r="G154" s="77">
        <v>0</v>
      </c>
      <c r="H154" s="77">
        <v>0</v>
      </c>
      <c r="I154" s="77">
        <v>0</v>
      </c>
      <c r="J154" s="77">
        <v>0</v>
      </c>
      <c r="K154" s="77">
        <v>0</v>
      </c>
      <c r="L154" s="77">
        <v>0</v>
      </c>
      <c r="M154" s="77">
        <v>0</v>
      </c>
      <c r="N154" s="77">
        <v>0</v>
      </c>
      <c r="O154" s="77">
        <v>0</v>
      </c>
      <c r="P154" s="77">
        <v>1</v>
      </c>
      <c r="Q154" s="77">
        <v>0</v>
      </c>
      <c r="R154" s="77">
        <v>0</v>
      </c>
      <c r="S154" s="77">
        <v>0</v>
      </c>
      <c r="T154" s="77">
        <v>0</v>
      </c>
      <c r="U154" s="77">
        <v>0</v>
      </c>
      <c r="V154" s="77">
        <v>0</v>
      </c>
      <c r="W154" s="77">
        <v>0</v>
      </c>
      <c r="X154" s="77">
        <v>0</v>
      </c>
      <c r="Y154" s="77">
        <v>0</v>
      </c>
      <c r="Z154" s="77">
        <v>0</v>
      </c>
      <c r="AA154" s="77">
        <v>0</v>
      </c>
      <c r="AB154" s="77">
        <v>0</v>
      </c>
      <c r="AC154" s="77">
        <v>0</v>
      </c>
      <c r="AD154" s="77">
        <v>0</v>
      </c>
      <c r="AE154" s="77">
        <v>0</v>
      </c>
      <c r="AF154" s="77">
        <v>0</v>
      </c>
      <c r="AG154" s="5">
        <f t="shared" si="17"/>
        <v>1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>
        <v>1</v>
      </c>
      <c r="C158" s="111">
        <v>0</v>
      </c>
      <c r="D158" s="111">
        <v>0</v>
      </c>
      <c r="E158" s="111">
        <v>0</v>
      </c>
      <c r="F158" s="111">
        <v>0</v>
      </c>
      <c r="G158" s="111">
        <v>0</v>
      </c>
      <c r="H158" s="111">
        <v>1</v>
      </c>
      <c r="I158" s="111">
        <v>0</v>
      </c>
      <c r="J158" s="111">
        <v>0</v>
      </c>
      <c r="K158" s="111">
        <v>2</v>
      </c>
      <c r="L158" s="111">
        <v>0</v>
      </c>
      <c r="M158" s="111">
        <v>1</v>
      </c>
      <c r="N158" s="111">
        <v>3</v>
      </c>
      <c r="O158" s="111">
        <v>0</v>
      </c>
      <c r="P158" s="111">
        <v>0</v>
      </c>
      <c r="Q158" s="111">
        <v>1</v>
      </c>
      <c r="R158" s="111">
        <v>0</v>
      </c>
      <c r="S158" s="111">
        <v>0</v>
      </c>
      <c r="T158" s="111">
        <v>0</v>
      </c>
      <c r="U158" s="111">
        <v>3</v>
      </c>
      <c r="V158" s="111">
        <v>3</v>
      </c>
      <c r="W158" s="111">
        <v>3</v>
      </c>
      <c r="X158" s="111">
        <v>1</v>
      </c>
      <c r="Y158" s="111">
        <v>0</v>
      </c>
      <c r="Z158" s="111">
        <v>0</v>
      </c>
      <c r="AA158" s="111">
        <v>1</v>
      </c>
      <c r="AB158" s="111">
        <v>5</v>
      </c>
      <c r="AC158" s="111">
        <v>2</v>
      </c>
      <c r="AD158" s="111">
        <v>7</v>
      </c>
      <c r="AE158" s="111">
        <v>0</v>
      </c>
      <c r="AF158" s="111">
        <v>2</v>
      </c>
      <c r="AG158" s="40">
        <f t="shared" si="17"/>
        <v>36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0</v>
      </c>
    </row>
    <row r="163" spans="1:34" ht="15.75" customHeight="1" x14ac:dyDescent="0.25">
      <c r="A163" s="112" t="s">
        <v>110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0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>
        <v>0</v>
      </c>
      <c r="C167" s="77">
        <v>1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1</v>
      </c>
      <c r="N167" s="77">
        <v>0</v>
      </c>
      <c r="O167" s="77">
        <v>0</v>
      </c>
      <c r="P167" s="77">
        <v>0</v>
      </c>
      <c r="Q167" s="77">
        <v>0</v>
      </c>
      <c r="R167" s="77">
        <v>1</v>
      </c>
      <c r="S167" s="77">
        <v>0</v>
      </c>
      <c r="T167" s="77">
        <v>0</v>
      </c>
      <c r="U167" s="77">
        <v>0</v>
      </c>
      <c r="V167" s="77">
        <v>1</v>
      </c>
      <c r="W167" s="77">
        <v>0</v>
      </c>
      <c r="X167" s="77">
        <v>2</v>
      </c>
      <c r="Y167" s="77">
        <v>0</v>
      </c>
      <c r="Z167" s="77">
        <v>1</v>
      </c>
      <c r="AA167" s="77">
        <v>0</v>
      </c>
      <c r="AB167" s="77">
        <v>1</v>
      </c>
      <c r="AC167" s="77">
        <v>0</v>
      </c>
      <c r="AD167" s="77">
        <v>0</v>
      </c>
      <c r="AE167" s="77">
        <v>1</v>
      </c>
      <c r="AF167" s="77">
        <v>0</v>
      </c>
      <c r="AG167" s="5">
        <f t="shared" si="26"/>
        <v>9</v>
      </c>
    </row>
    <row r="168" spans="1:34" ht="15.75" customHeight="1" x14ac:dyDescent="0.25">
      <c r="A168" s="76" t="s">
        <v>115</v>
      </c>
      <c r="B168" s="113">
        <v>0</v>
      </c>
      <c r="C168" s="113">
        <v>0</v>
      </c>
      <c r="D168" s="113">
        <v>0</v>
      </c>
      <c r="E168" s="113">
        <v>0</v>
      </c>
      <c r="F168" s="113">
        <v>0</v>
      </c>
      <c r="G168" s="113">
        <v>0</v>
      </c>
      <c r="H168" s="113">
        <v>0</v>
      </c>
      <c r="I168" s="113">
        <v>0</v>
      </c>
      <c r="J168" s="113">
        <v>1</v>
      </c>
      <c r="K168" s="113">
        <v>1</v>
      </c>
      <c r="L168" s="113">
        <v>1</v>
      </c>
      <c r="M168" s="113">
        <v>0</v>
      </c>
      <c r="N168" s="113">
        <v>0</v>
      </c>
      <c r="O168" s="113">
        <v>1</v>
      </c>
      <c r="P168" s="113">
        <v>0</v>
      </c>
      <c r="Q168" s="113">
        <v>0</v>
      </c>
      <c r="R168" s="113">
        <v>0</v>
      </c>
      <c r="S168" s="113">
        <v>0</v>
      </c>
      <c r="T168" s="113">
        <v>0</v>
      </c>
      <c r="U168" s="113">
        <v>0</v>
      </c>
      <c r="V168" s="113">
        <v>3</v>
      </c>
      <c r="W168" s="113">
        <v>0</v>
      </c>
      <c r="X168" s="113">
        <v>1</v>
      </c>
      <c r="Y168" s="113">
        <v>0</v>
      </c>
      <c r="Z168" s="113">
        <v>0</v>
      </c>
      <c r="AA168" s="113">
        <v>0</v>
      </c>
      <c r="AB168" s="113">
        <v>0</v>
      </c>
      <c r="AC168" s="113">
        <v>0</v>
      </c>
      <c r="AD168" s="113">
        <v>0</v>
      </c>
      <c r="AE168" s="113">
        <v>1</v>
      </c>
      <c r="AF168" s="113">
        <v>1</v>
      </c>
      <c r="AG168" s="5">
        <f t="shared" si="26"/>
        <v>10</v>
      </c>
    </row>
    <row r="169" spans="1:34" ht="15.75" customHeight="1" x14ac:dyDescent="0.25">
      <c r="A169" s="114" t="s">
        <v>116</v>
      </c>
      <c r="B169" s="113">
        <v>1</v>
      </c>
      <c r="C169" s="113">
        <v>0</v>
      </c>
      <c r="D169" s="113">
        <v>1</v>
      </c>
      <c r="E169" s="113">
        <v>0</v>
      </c>
      <c r="F169" s="113">
        <v>1</v>
      </c>
      <c r="G169" s="113">
        <v>2</v>
      </c>
      <c r="H169" s="113">
        <v>0</v>
      </c>
      <c r="I169" s="113">
        <v>0</v>
      </c>
      <c r="J169" s="113">
        <v>6</v>
      </c>
      <c r="K169" s="113">
        <v>0</v>
      </c>
      <c r="L169" s="113">
        <v>0</v>
      </c>
      <c r="M169" s="113">
        <v>5</v>
      </c>
      <c r="N169" s="113">
        <v>0</v>
      </c>
      <c r="O169" s="113">
        <v>0</v>
      </c>
      <c r="P169" s="113">
        <v>0</v>
      </c>
      <c r="Q169" s="113">
        <v>2</v>
      </c>
      <c r="R169" s="113">
        <v>0</v>
      </c>
      <c r="S169" s="113">
        <v>0</v>
      </c>
      <c r="T169" s="113">
        <v>0</v>
      </c>
      <c r="U169" s="113">
        <v>3</v>
      </c>
      <c r="V169" s="113">
        <v>0</v>
      </c>
      <c r="W169" s="113">
        <v>0</v>
      </c>
      <c r="X169" s="113">
        <v>2</v>
      </c>
      <c r="Y169" s="113">
        <v>2</v>
      </c>
      <c r="Z169" s="113">
        <v>0</v>
      </c>
      <c r="AA169" s="113">
        <v>0</v>
      </c>
      <c r="AB169" s="113">
        <v>0</v>
      </c>
      <c r="AC169" s="113">
        <v>1</v>
      </c>
      <c r="AD169" s="113">
        <v>0</v>
      </c>
      <c r="AE169" s="113">
        <v>1</v>
      </c>
      <c r="AF169" s="113">
        <v>0</v>
      </c>
      <c r="AG169" s="5">
        <f t="shared" si="26"/>
        <v>27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154</v>
      </c>
      <c r="C171" s="41">
        <f t="shared" si="27"/>
        <v>135</v>
      </c>
      <c r="D171" s="41">
        <f t="shared" si="27"/>
        <v>129</v>
      </c>
      <c r="E171" s="41">
        <f t="shared" si="27"/>
        <v>125</v>
      </c>
      <c r="F171" s="41">
        <f t="shared" si="27"/>
        <v>123</v>
      </c>
      <c r="G171" s="41">
        <f t="shared" si="27"/>
        <v>201</v>
      </c>
      <c r="H171" s="41">
        <f t="shared" si="27"/>
        <v>182</v>
      </c>
      <c r="I171" s="41">
        <f t="shared" si="27"/>
        <v>138</v>
      </c>
      <c r="J171" s="41">
        <f t="shared" si="27"/>
        <v>123</v>
      </c>
      <c r="K171" s="41">
        <f t="shared" si="27"/>
        <v>122</v>
      </c>
      <c r="L171" s="41">
        <f t="shared" si="27"/>
        <v>134</v>
      </c>
      <c r="M171" s="41">
        <f t="shared" si="27"/>
        <v>123</v>
      </c>
      <c r="N171" s="41">
        <f t="shared" si="27"/>
        <v>172</v>
      </c>
      <c r="O171" s="41">
        <f t="shared" si="27"/>
        <v>169</v>
      </c>
      <c r="P171" s="41">
        <f t="shared" si="27"/>
        <v>132</v>
      </c>
      <c r="Q171" s="41">
        <f t="shared" si="27"/>
        <v>130</v>
      </c>
      <c r="R171" s="41">
        <f t="shared" si="27"/>
        <v>125</v>
      </c>
      <c r="S171" s="41">
        <f t="shared" si="27"/>
        <v>111</v>
      </c>
      <c r="T171" s="41">
        <f t="shared" si="27"/>
        <v>116</v>
      </c>
      <c r="U171" s="41">
        <f t="shared" si="27"/>
        <v>179</v>
      </c>
      <c r="V171" s="41">
        <f t="shared" si="27"/>
        <v>184</v>
      </c>
      <c r="W171" s="41">
        <f t="shared" si="27"/>
        <v>119</v>
      </c>
      <c r="X171" s="41">
        <f t="shared" si="27"/>
        <v>135</v>
      </c>
      <c r="Y171" s="41">
        <f t="shared" si="27"/>
        <v>113</v>
      </c>
      <c r="Z171" s="41">
        <f t="shared" si="27"/>
        <v>115</v>
      </c>
      <c r="AA171" s="41">
        <f t="shared" si="27"/>
        <v>127</v>
      </c>
      <c r="AB171" s="41">
        <f t="shared" si="27"/>
        <v>200</v>
      </c>
      <c r="AC171" s="41">
        <f t="shared" si="27"/>
        <v>166</v>
      </c>
      <c r="AD171" s="41">
        <f t="shared" si="27"/>
        <v>143</v>
      </c>
      <c r="AE171" s="41">
        <f t="shared" si="27"/>
        <v>119</v>
      </c>
      <c r="AF171" s="41">
        <f t="shared" si="27"/>
        <v>136</v>
      </c>
      <c r="AG171" s="42">
        <f t="shared" si="26"/>
        <v>4380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1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1</v>
      </c>
    </row>
    <row r="173" spans="1:34" ht="15.75" customHeight="1" x14ac:dyDescent="0.25">
      <c r="A173" s="119" t="s">
        <v>38</v>
      </c>
      <c r="B173" s="120">
        <v>2</v>
      </c>
      <c r="C173" s="120">
        <v>1</v>
      </c>
      <c r="D173" s="120">
        <v>0</v>
      </c>
      <c r="E173" s="120">
        <v>1</v>
      </c>
      <c r="F173" s="120">
        <v>0</v>
      </c>
      <c r="G173" s="120">
        <v>1</v>
      </c>
      <c r="H173" s="120">
        <v>1</v>
      </c>
      <c r="I173" s="120">
        <v>1</v>
      </c>
      <c r="J173" s="120">
        <v>2</v>
      </c>
      <c r="K173" s="120">
        <v>3</v>
      </c>
      <c r="L173" s="120">
        <v>2</v>
      </c>
      <c r="M173" s="120">
        <v>1</v>
      </c>
      <c r="N173" s="120">
        <v>0</v>
      </c>
      <c r="O173" s="120">
        <v>2</v>
      </c>
      <c r="P173" s="120">
        <v>1</v>
      </c>
      <c r="Q173" s="120">
        <v>1</v>
      </c>
      <c r="R173" s="120">
        <v>2</v>
      </c>
      <c r="S173" s="120">
        <v>1</v>
      </c>
      <c r="T173" s="120">
        <v>3</v>
      </c>
      <c r="U173" s="120">
        <v>3</v>
      </c>
      <c r="V173" s="120">
        <v>2</v>
      </c>
      <c r="W173" s="120">
        <v>0</v>
      </c>
      <c r="X173" s="120">
        <v>1</v>
      </c>
      <c r="Y173" s="120">
        <v>2</v>
      </c>
      <c r="Z173" s="120">
        <v>3</v>
      </c>
      <c r="AA173" s="120">
        <v>1</v>
      </c>
      <c r="AB173" s="120">
        <v>3</v>
      </c>
      <c r="AC173" s="120">
        <v>2</v>
      </c>
      <c r="AD173" s="120">
        <v>2</v>
      </c>
      <c r="AE173" s="120">
        <v>1</v>
      </c>
      <c r="AF173" s="120">
        <v>2</v>
      </c>
      <c r="AG173" s="44">
        <f t="shared" si="26"/>
        <v>47</v>
      </c>
    </row>
    <row r="174" spans="1:34" ht="15.75" customHeight="1" x14ac:dyDescent="0.25">
      <c r="A174" s="119" t="s">
        <v>39</v>
      </c>
      <c r="B174" s="120">
        <v>19</v>
      </c>
      <c r="C174" s="120">
        <v>16</v>
      </c>
      <c r="D174" s="120">
        <v>21</v>
      </c>
      <c r="E174" s="120">
        <v>17</v>
      </c>
      <c r="F174" s="120">
        <v>29</v>
      </c>
      <c r="G174" s="120">
        <v>15</v>
      </c>
      <c r="H174" s="120">
        <v>18</v>
      </c>
      <c r="I174" s="120">
        <v>18</v>
      </c>
      <c r="J174" s="120">
        <v>28</v>
      </c>
      <c r="K174" s="120">
        <v>17</v>
      </c>
      <c r="L174" s="120">
        <v>19</v>
      </c>
      <c r="M174" s="120">
        <v>18</v>
      </c>
      <c r="N174" s="120">
        <v>21</v>
      </c>
      <c r="O174" s="120">
        <v>13</v>
      </c>
      <c r="P174" s="120">
        <v>25</v>
      </c>
      <c r="Q174" s="120">
        <v>24</v>
      </c>
      <c r="R174" s="120">
        <v>14</v>
      </c>
      <c r="S174" s="120">
        <v>12</v>
      </c>
      <c r="T174" s="120">
        <v>20</v>
      </c>
      <c r="U174" s="120">
        <v>17</v>
      </c>
      <c r="V174" s="120">
        <v>31</v>
      </c>
      <c r="W174" s="120">
        <v>16</v>
      </c>
      <c r="X174" s="120">
        <v>28</v>
      </c>
      <c r="Y174" s="120">
        <v>17</v>
      </c>
      <c r="Z174" s="120">
        <v>17</v>
      </c>
      <c r="AA174" s="120">
        <v>16</v>
      </c>
      <c r="AB174" s="120">
        <v>27</v>
      </c>
      <c r="AC174" s="120">
        <v>24</v>
      </c>
      <c r="AD174" s="120">
        <v>26</v>
      </c>
      <c r="AE174" s="120">
        <v>16</v>
      </c>
      <c r="AF174" s="120">
        <v>25</v>
      </c>
      <c r="AG174" s="44">
        <f t="shared" si="26"/>
        <v>624</v>
      </c>
    </row>
    <row r="175" spans="1:34" ht="15.75" customHeight="1" x14ac:dyDescent="0.25">
      <c r="A175" s="119" t="s">
        <v>40</v>
      </c>
      <c r="B175" s="120">
        <v>83</v>
      </c>
      <c r="C175" s="120">
        <v>93</v>
      </c>
      <c r="D175" s="120">
        <v>82</v>
      </c>
      <c r="E175" s="120">
        <v>84</v>
      </c>
      <c r="F175" s="120">
        <v>77</v>
      </c>
      <c r="G175" s="120">
        <v>125</v>
      </c>
      <c r="H175" s="120">
        <v>113</v>
      </c>
      <c r="I175" s="120">
        <v>85</v>
      </c>
      <c r="J175" s="120">
        <v>66</v>
      </c>
      <c r="K175" s="120">
        <v>75</v>
      </c>
      <c r="L175" s="120">
        <v>72</v>
      </c>
      <c r="M175" s="120">
        <v>81</v>
      </c>
      <c r="N175" s="120">
        <v>89</v>
      </c>
      <c r="O175" s="120">
        <v>92</v>
      </c>
      <c r="P175" s="120">
        <v>74</v>
      </c>
      <c r="Q175" s="120">
        <v>66</v>
      </c>
      <c r="R175" s="120">
        <v>78</v>
      </c>
      <c r="S175" s="120">
        <v>72</v>
      </c>
      <c r="T175" s="120">
        <v>70</v>
      </c>
      <c r="U175" s="120">
        <v>102</v>
      </c>
      <c r="V175" s="120">
        <v>95</v>
      </c>
      <c r="W175" s="120">
        <v>89</v>
      </c>
      <c r="X175" s="120">
        <v>83</v>
      </c>
      <c r="Y175" s="120">
        <v>74</v>
      </c>
      <c r="Z175" s="120">
        <v>78</v>
      </c>
      <c r="AA175" s="120">
        <v>81</v>
      </c>
      <c r="AB175" s="120">
        <v>106</v>
      </c>
      <c r="AC175" s="120">
        <v>110</v>
      </c>
      <c r="AD175" s="120">
        <v>92</v>
      </c>
      <c r="AE175" s="120">
        <v>79</v>
      </c>
      <c r="AF175" s="120">
        <v>78</v>
      </c>
      <c r="AG175" s="44">
        <f t="shared" si="26"/>
        <v>2644</v>
      </c>
    </row>
    <row r="176" spans="1:34" ht="15.75" customHeight="1" thickBot="1" x14ac:dyDescent="0.3">
      <c r="A176" s="121" t="s">
        <v>41</v>
      </c>
      <c r="B176" s="122">
        <v>50</v>
      </c>
      <c r="C176" s="122">
        <v>25</v>
      </c>
      <c r="D176" s="122">
        <v>26</v>
      </c>
      <c r="E176" s="122">
        <v>23</v>
      </c>
      <c r="F176" s="122">
        <v>17</v>
      </c>
      <c r="G176" s="122">
        <v>60</v>
      </c>
      <c r="H176" s="122">
        <v>50</v>
      </c>
      <c r="I176" s="122">
        <v>34</v>
      </c>
      <c r="J176" s="122">
        <v>27</v>
      </c>
      <c r="K176" s="122">
        <v>27</v>
      </c>
      <c r="L176" s="122">
        <v>41</v>
      </c>
      <c r="M176" s="122">
        <v>23</v>
      </c>
      <c r="N176" s="122">
        <v>62</v>
      </c>
      <c r="O176" s="122">
        <v>62</v>
      </c>
      <c r="P176" s="122">
        <v>32</v>
      </c>
      <c r="Q176" s="122">
        <v>39</v>
      </c>
      <c r="R176" s="122">
        <v>31</v>
      </c>
      <c r="S176" s="122">
        <v>26</v>
      </c>
      <c r="T176" s="122">
        <v>23</v>
      </c>
      <c r="U176" s="122">
        <v>56</v>
      </c>
      <c r="V176" s="122">
        <v>56</v>
      </c>
      <c r="W176" s="122">
        <v>14</v>
      </c>
      <c r="X176" s="122">
        <v>23</v>
      </c>
      <c r="Y176" s="122">
        <v>20</v>
      </c>
      <c r="Z176" s="122">
        <v>17</v>
      </c>
      <c r="AA176" s="122">
        <v>29</v>
      </c>
      <c r="AB176" s="122">
        <v>64</v>
      </c>
      <c r="AC176" s="122">
        <v>30</v>
      </c>
      <c r="AD176" s="122">
        <v>23</v>
      </c>
      <c r="AE176" s="122">
        <v>23</v>
      </c>
      <c r="AF176" s="122">
        <v>31</v>
      </c>
      <c r="AG176" s="45">
        <f t="shared" si="26"/>
        <v>1064</v>
      </c>
    </row>
    <row r="177" spans="1:34" ht="15.75" customHeight="1" x14ac:dyDescent="0.25">
      <c r="A177" s="123" t="s">
        <v>120</v>
      </c>
      <c r="B177" s="124">
        <f>+B178+B179+B180</f>
        <v>6</v>
      </c>
      <c r="C177" s="124">
        <v>6</v>
      </c>
      <c r="D177" s="124">
        <v>1</v>
      </c>
      <c r="E177" s="124">
        <v>3</v>
      </c>
      <c r="F177" s="124">
        <v>5</v>
      </c>
      <c r="G177" s="124">
        <v>10</v>
      </c>
      <c r="H177" s="124">
        <v>4</v>
      </c>
      <c r="I177" s="124">
        <v>9</v>
      </c>
      <c r="J177" s="124">
        <v>9</v>
      </c>
      <c r="K177" s="124">
        <v>8</v>
      </c>
      <c r="L177" s="124">
        <v>6</v>
      </c>
      <c r="M177" s="124">
        <v>1</v>
      </c>
      <c r="N177" s="124">
        <v>4</v>
      </c>
      <c r="O177" s="124">
        <v>2</v>
      </c>
      <c r="P177" s="124">
        <v>2</v>
      </c>
      <c r="Q177" s="124">
        <v>7</v>
      </c>
      <c r="R177" s="124">
        <v>1</v>
      </c>
      <c r="S177" s="124">
        <v>9</v>
      </c>
      <c r="T177" s="124">
        <v>4</v>
      </c>
      <c r="U177" s="124">
        <v>6</v>
      </c>
      <c r="V177" s="124">
        <v>3</v>
      </c>
      <c r="W177" s="124">
        <v>3</v>
      </c>
      <c r="X177" s="124">
        <v>3</v>
      </c>
      <c r="Y177" s="124">
        <v>4</v>
      </c>
      <c r="Z177" s="124">
        <v>5</v>
      </c>
      <c r="AA177" s="124">
        <v>3</v>
      </c>
      <c r="AB177" s="124">
        <v>5</v>
      </c>
      <c r="AC177" s="124">
        <v>9</v>
      </c>
      <c r="AD177" s="124">
        <v>3</v>
      </c>
      <c r="AE177" s="124">
        <v>4</v>
      </c>
      <c r="AF177" s="124">
        <v>8</v>
      </c>
      <c r="AG177" s="26">
        <f t="shared" si="26"/>
        <v>153</v>
      </c>
      <c r="AH177" s="140" t="s">
        <v>121</v>
      </c>
    </row>
    <row r="178" spans="1:34" ht="15.75" customHeight="1" x14ac:dyDescent="0.25">
      <c r="A178" s="125" t="s">
        <v>122</v>
      </c>
      <c r="B178" s="126">
        <v>3</v>
      </c>
      <c r="C178" s="126">
        <v>1</v>
      </c>
      <c r="D178" s="126">
        <v>1</v>
      </c>
      <c r="E178" s="126">
        <v>0</v>
      </c>
      <c r="F178" s="126">
        <v>0</v>
      </c>
      <c r="G178" s="126">
        <v>4</v>
      </c>
      <c r="H178" s="126">
        <v>0</v>
      </c>
      <c r="I178" s="126">
        <v>3</v>
      </c>
      <c r="J178" s="126">
        <v>5</v>
      </c>
      <c r="K178" s="126">
        <v>4</v>
      </c>
      <c r="L178" s="126">
        <v>3</v>
      </c>
      <c r="M178" s="126">
        <v>0</v>
      </c>
      <c r="N178" s="126">
        <v>0</v>
      </c>
      <c r="O178" s="126">
        <v>0</v>
      </c>
      <c r="P178" s="126">
        <v>0</v>
      </c>
      <c r="Q178" s="126">
        <v>2</v>
      </c>
      <c r="R178" s="126">
        <v>0</v>
      </c>
      <c r="S178" s="126">
        <v>7</v>
      </c>
      <c r="T178" s="126">
        <v>2</v>
      </c>
      <c r="U178" s="126">
        <v>2</v>
      </c>
      <c r="V178" s="126">
        <v>0</v>
      </c>
      <c r="W178" s="126">
        <v>0</v>
      </c>
      <c r="X178" s="126">
        <v>1</v>
      </c>
      <c r="Y178" s="126">
        <v>1</v>
      </c>
      <c r="Z178" s="126">
        <v>1</v>
      </c>
      <c r="AA178" s="126">
        <v>1</v>
      </c>
      <c r="AB178" s="126">
        <v>0</v>
      </c>
      <c r="AC178" s="126">
        <v>0</v>
      </c>
      <c r="AD178" s="126">
        <v>2</v>
      </c>
      <c r="AE178" s="126">
        <v>0</v>
      </c>
      <c r="AF178" s="127">
        <v>3</v>
      </c>
      <c r="AG178" s="46">
        <f t="shared" si="26"/>
        <v>46</v>
      </c>
      <c r="AH178" s="141"/>
    </row>
    <row r="179" spans="1:34" ht="15.75" customHeight="1" x14ac:dyDescent="0.25">
      <c r="A179" s="125" t="s">
        <v>123</v>
      </c>
      <c r="B179" s="126">
        <v>3</v>
      </c>
      <c r="C179" s="126">
        <v>5</v>
      </c>
      <c r="D179" s="126"/>
      <c r="E179" s="126">
        <v>3</v>
      </c>
      <c r="F179" s="126">
        <v>5</v>
      </c>
      <c r="G179" s="126">
        <v>6</v>
      </c>
      <c r="H179" s="126">
        <v>4</v>
      </c>
      <c r="I179" s="126">
        <v>6</v>
      </c>
      <c r="J179" s="126">
        <v>4</v>
      </c>
      <c r="K179" s="126">
        <v>4</v>
      </c>
      <c r="L179" s="126">
        <v>3</v>
      </c>
      <c r="M179" s="126">
        <v>1</v>
      </c>
      <c r="N179" s="126">
        <v>4</v>
      </c>
      <c r="O179" s="126">
        <v>2</v>
      </c>
      <c r="P179" s="126">
        <v>2</v>
      </c>
      <c r="Q179" s="126">
        <v>5</v>
      </c>
      <c r="R179" s="126">
        <v>1</v>
      </c>
      <c r="S179" s="126">
        <v>2</v>
      </c>
      <c r="T179" s="126">
        <v>2</v>
      </c>
      <c r="U179" s="126">
        <v>4</v>
      </c>
      <c r="V179" s="126">
        <v>3</v>
      </c>
      <c r="W179" s="126">
        <v>3</v>
      </c>
      <c r="X179" s="126">
        <v>2</v>
      </c>
      <c r="Y179" s="126">
        <v>3</v>
      </c>
      <c r="Z179" s="126">
        <v>4</v>
      </c>
      <c r="AA179" s="126">
        <v>2</v>
      </c>
      <c r="AB179" s="126">
        <v>5</v>
      </c>
      <c r="AC179" s="126">
        <v>9</v>
      </c>
      <c r="AD179" s="126">
        <v>1</v>
      </c>
      <c r="AE179" s="126">
        <v>4</v>
      </c>
      <c r="AF179" s="127">
        <v>5</v>
      </c>
      <c r="AG179" s="46">
        <f t="shared" si="26"/>
        <v>107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KYdF37E4awa88Pr+OW2FIOW+7DdQ2OVzC4+R/y0HWupuNjEJm4tzw/g6O9gBkMieY6r0RdK0drazN+yR/iI3gA==" saltValue="OF0pUQdEKDz2hlB/cb2Tqw==" spinCount="100000" sheet="1" objects="1" scenarios="1"/>
  <dataConsolidate/>
  <mergeCells count="2">
    <mergeCell ref="A1:AG1"/>
    <mergeCell ref="AH177:AH180"/>
  </mergeCells>
  <conditionalFormatting sqref="AD29:AF52">
    <cfRule type="cellIs" dxfId="35" priority="3" operator="lessThan">
      <formula>0</formula>
    </cfRule>
  </conditionalFormatting>
  <conditionalFormatting sqref="AH171">
    <cfRule type="cellIs" dxfId="34" priority="2" operator="equal">
      <formula>"X"</formula>
    </cfRule>
  </conditionalFormatting>
  <conditionalFormatting sqref="AH1:AH1048576">
    <cfRule type="cellIs" dxfId="33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00000000-0002-0000-0200-000000000000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7"/>
  <dimension ref="A1:AK954"/>
  <sheetViews>
    <sheetView zoomScale="80" zoomScaleNormal="80" workbookViewId="0">
      <pane xSplit="1" ySplit="3" topLeftCell="B163" activePane="bottomRight" state="frozen"/>
      <selection activeCell="Q5" sqref="Q5"/>
      <selection pane="topRight" activeCell="Q5" sqref="Q5"/>
      <selection pane="bottomLeft" activeCell="Q5" sqref="Q5"/>
      <selection pane="bottomRight" activeCell="B177" sqref="B177:AF177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165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130</v>
      </c>
      <c r="C3" s="1">
        <f t="shared" si="1"/>
        <v>116</v>
      </c>
      <c r="D3" s="1">
        <f t="shared" si="1"/>
        <v>185</v>
      </c>
      <c r="E3" s="1">
        <f t="shared" si="1"/>
        <v>188</v>
      </c>
      <c r="F3" s="1">
        <f t="shared" si="1"/>
        <v>145</v>
      </c>
      <c r="G3" s="1">
        <f t="shared" si="1"/>
        <v>134</v>
      </c>
      <c r="H3" s="1">
        <f t="shared" si="1"/>
        <v>136</v>
      </c>
      <c r="I3" s="1">
        <f t="shared" si="1"/>
        <v>143</v>
      </c>
      <c r="J3" s="1">
        <f t="shared" si="1"/>
        <v>127</v>
      </c>
      <c r="K3" s="1">
        <f t="shared" si="1"/>
        <v>173</v>
      </c>
      <c r="L3" s="1">
        <f t="shared" si="1"/>
        <v>172</v>
      </c>
      <c r="M3" s="1">
        <f t="shared" si="1"/>
        <v>150</v>
      </c>
      <c r="N3" s="1">
        <f t="shared" si="1"/>
        <v>134</v>
      </c>
      <c r="O3" s="1">
        <f t="shared" si="1"/>
        <v>126</v>
      </c>
      <c r="P3" s="1">
        <f t="shared" si="1"/>
        <v>119</v>
      </c>
      <c r="Q3" s="1">
        <f t="shared" si="1"/>
        <v>132</v>
      </c>
      <c r="R3" s="1">
        <f t="shared" si="1"/>
        <v>171</v>
      </c>
      <c r="S3" s="1">
        <f t="shared" si="1"/>
        <v>175</v>
      </c>
      <c r="T3" s="1">
        <f t="shared" si="1"/>
        <v>151</v>
      </c>
      <c r="U3" s="1">
        <f t="shared" si="1"/>
        <v>148</v>
      </c>
      <c r="V3" s="1">
        <f t="shared" si="1"/>
        <v>144</v>
      </c>
      <c r="W3" s="1">
        <f t="shared" si="1"/>
        <v>131</v>
      </c>
      <c r="X3" s="1">
        <f t="shared" si="1"/>
        <v>141</v>
      </c>
      <c r="Y3" s="1">
        <f t="shared" si="1"/>
        <v>221</v>
      </c>
      <c r="Z3" s="1">
        <f t="shared" si="1"/>
        <v>191</v>
      </c>
      <c r="AA3" s="1">
        <f t="shared" si="1"/>
        <v>130</v>
      </c>
      <c r="AB3" s="1">
        <f t="shared" si="1"/>
        <v>148</v>
      </c>
      <c r="AC3" s="1">
        <f t="shared" si="1"/>
        <v>135</v>
      </c>
      <c r="AD3" s="1">
        <f t="shared" si="1"/>
        <v>143</v>
      </c>
      <c r="AE3" s="1">
        <f t="shared" si="1"/>
        <v>0</v>
      </c>
      <c r="AF3" s="1">
        <f t="shared" si="1"/>
        <v>0</v>
      </c>
      <c r="AG3" s="2">
        <f t="shared" ref="AG3:AG66" si="2">SUM(B3:AF3)</f>
        <v>4339</v>
      </c>
    </row>
    <row r="4" spans="1:33" ht="18.75" x14ac:dyDescent="0.25">
      <c r="A4" s="53" t="s">
        <v>3</v>
      </c>
      <c r="B4" s="54">
        <v>0</v>
      </c>
      <c r="C4" s="55">
        <v>0</v>
      </c>
      <c r="D4" s="55">
        <v>6</v>
      </c>
      <c r="E4" s="55">
        <v>8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3</v>
      </c>
      <c r="L4" s="55">
        <v>2</v>
      </c>
      <c r="M4" s="55">
        <v>0</v>
      </c>
      <c r="N4" s="55">
        <v>0</v>
      </c>
      <c r="O4" s="55">
        <v>0</v>
      </c>
      <c r="P4" s="55">
        <v>0</v>
      </c>
      <c r="Q4" s="55">
        <v>0</v>
      </c>
      <c r="R4" s="55">
        <v>11</v>
      </c>
      <c r="S4" s="55">
        <v>4</v>
      </c>
      <c r="T4" s="55">
        <v>0</v>
      </c>
      <c r="U4" s="55">
        <v>0</v>
      </c>
      <c r="V4" s="55">
        <v>0</v>
      </c>
      <c r="W4" s="55">
        <v>0</v>
      </c>
      <c r="X4" s="55">
        <v>0</v>
      </c>
      <c r="Y4" s="55">
        <v>8</v>
      </c>
      <c r="Z4" s="55">
        <v>7</v>
      </c>
      <c r="AA4" s="55">
        <v>0</v>
      </c>
      <c r="AB4" s="55">
        <v>0</v>
      </c>
      <c r="AC4" s="55">
        <v>0</v>
      </c>
      <c r="AD4" s="55">
        <v>0</v>
      </c>
      <c r="AE4" s="55"/>
      <c r="AF4" s="55"/>
      <c r="AG4" s="4">
        <f t="shared" si="2"/>
        <v>49</v>
      </c>
    </row>
    <row r="5" spans="1:33" ht="18.75" x14ac:dyDescent="0.25">
      <c r="A5" s="56" t="s">
        <v>4</v>
      </c>
      <c r="B5" s="54">
        <v>0</v>
      </c>
      <c r="C5" s="54">
        <v>0</v>
      </c>
      <c r="D5" s="54">
        <v>13</v>
      </c>
      <c r="E5" s="54">
        <v>6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18</v>
      </c>
      <c r="L5" s="54">
        <v>9</v>
      </c>
      <c r="M5" s="54">
        <v>0</v>
      </c>
      <c r="N5" s="54">
        <v>0</v>
      </c>
      <c r="O5" s="54">
        <v>0</v>
      </c>
      <c r="P5" s="54">
        <v>0</v>
      </c>
      <c r="Q5" s="54">
        <v>0</v>
      </c>
      <c r="R5" s="54">
        <v>10</v>
      </c>
      <c r="S5" s="54">
        <v>4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54">
        <v>14</v>
      </c>
      <c r="Z5" s="54">
        <v>5</v>
      </c>
      <c r="AA5" s="54">
        <v>0</v>
      </c>
      <c r="AB5" s="54">
        <v>0</v>
      </c>
      <c r="AC5" s="54">
        <v>0</v>
      </c>
      <c r="AD5" s="54">
        <v>0</v>
      </c>
      <c r="AE5" s="54"/>
      <c r="AF5" s="54"/>
      <c r="AG5" s="5">
        <f t="shared" si="2"/>
        <v>79</v>
      </c>
    </row>
    <row r="6" spans="1:33" ht="18.75" x14ac:dyDescent="0.25">
      <c r="A6" s="56" t="s">
        <v>5</v>
      </c>
      <c r="B6" s="54">
        <v>0</v>
      </c>
      <c r="C6" s="54">
        <v>0</v>
      </c>
      <c r="D6" s="54">
        <v>13</v>
      </c>
      <c r="E6" s="54">
        <v>10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12</v>
      </c>
      <c r="L6" s="54">
        <v>5</v>
      </c>
      <c r="M6" s="54">
        <v>0</v>
      </c>
      <c r="N6" s="54">
        <v>0</v>
      </c>
      <c r="O6" s="54">
        <v>0</v>
      </c>
      <c r="P6" s="54">
        <v>0</v>
      </c>
      <c r="Q6" s="54">
        <v>0</v>
      </c>
      <c r="R6" s="54">
        <v>5</v>
      </c>
      <c r="S6" s="54">
        <v>16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54">
        <v>16</v>
      </c>
      <c r="Z6" s="54">
        <v>17</v>
      </c>
      <c r="AA6" s="54">
        <v>0</v>
      </c>
      <c r="AB6" s="54">
        <v>0</v>
      </c>
      <c r="AC6" s="54">
        <v>0</v>
      </c>
      <c r="AD6" s="54">
        <v>0</v>
      </c>
      <c r="AE6" s="54"/>
      <c r="AF6" s="54"/>
      <c r="AG6" s="5">
        <f t="shared" si="2"/>
        <v>94</v>
      </c>
    </row>
    <row r="7" spans="1:33" ht="18.75" x14ac:dyDescent="0.25">
      <c r="A7" s="56" t="s">
        <v>6</v>
      </c>
      <c r="B7" s="54">
        <v>0</v>
      </c>
      <c r="C7" s="54">
        <v>0</v>
      </c>
      <c r="D7" s="54">
        <v>12</v>
      </c>
      <c r="E7" s="54">
        <v>11</v>
      </c>
      <c r="F7" s="54">
        <v>0</v>
      </c>
      <c r="G7" s="54">
        <v>0</v>
      </c>
      <c r="H7" s="54">
        <v>0</v>
      </c>
      <c r="I7" s="54">
        <v>0</v>
      </c>
      <c r="J7" s="54">
        <v>0</v>
      </c>
      <c r="K7" s="54">
        <v>9</v>
      </c>
      <c r="L7" s="54">
        <v>8</v>
      </c>
      <c r="M7" s="54">
        <v>0</v>
      </c>
      <c r="N7" s="54">
        <v>0</v>
      </c>
      <c r="O7" s="54">
        <v>0</v>
      </c>
      <c r="P7" s="54">
        <v>0</v>
      </c>
      <c r="Q7" s="54">
        <v>0</v>
      </c>
      <c r="R7" s="54">
        <v>14</v>
      </c>
      <c r="S7" s="54">
        <v>9</v>
      </c>
      <c r="T7" s="54">
        <v>0</v>
      </c>
      <c r="U7" s="54">
        <v>0</v>
      </c>
      <c r="V7" s="54">
        <v>0</v>
      </c>
      <c r="W7" s="54">
        <v>0</v>
      </c>
      <c r="X7" s="54">
        <v>0</v>
      </c>
      <c r="Y7" s="54">
        <v>12</v>
      </c>
      <c r="Z7" s="54">
        <v>10</v>
      </c>
      <c r="AA7" s="54">
        <v>0</v>
      </c>
      <c r="AB7" s="54">
        <v>0</v>
      </c>
      <c r="AC7" s="54">
        <v>0</v>
      </c>
      <c r="AD7" s="54">
        <v>0</v>
      </c>
      <c r="AE7" s="54"/>
      <c r="AF7" s="54"/>
      <c r="AG7" s="5">
        <f t="shared" si="2"/>
        <v>85</v>
      </c>
    </row>
    <row r="8" spans="1:33" ht="18.75" x14ac:dyDescent="0.25">
      <c r="A8" s="56" t="s">
        <v>7</v>
      </c>
      <c r="B8" s="54">
        <v>0</v>
      </c>
      <c r="C8" s="54">
        <v>0</v>
      </c>
      <c r="D8" s="54">
        <v>14</v>
      </c>
      <c r="E8" s="54">
        <v>7</v>
      </c>
      <c r="F8" s="54">
        <v>0</v>
      </c>
      <c r="G8" s="54">
        <v>0</v>
      </c>
      <c r="H8" s="54">
        <v>0</v>
      </c>
      <c r="I8" s="54">
        <v>0</v>
      </c>
      <c r="J8" s="54">
        <v>0</v>
      </c>
      <c r="K8" s="54">
        <v>10</v>
      </c>
      <c r="L8" s="54">
        <v>19</v>
      </c>
      <c r="M8" s="54">
        <v>0</v>
      </c>
      <c r="N8" s="54">
        <v>0</v>
      </c>
      <c r="O8" s="54">
        <v>0</v>
      </c>
      <c r="P8" s="54">
        <v>0</v>
      </c>
      <c r="Q8" s="54">
        <v>0</v>
      </c>
      <c r="R8" s="54">
        <v>7</v>
      </c>
      <c r="S8" s="54">
        <v>9</v>
      </c>
      <c r="T8" s="54">
        <v>0</v>
      </c>
      <c r="U8" s="54">
        <v>0</v>
      </c>
      <c r="V8" s="54">
        <v>0</v>
      </c>
      <c r="W8" s="54">
        <v>0</v>
      </c>
      <c r="X8" s="54">
        <v>0</v>
      </c>
      <c r="Y8" s="54">
        <v>9</v>
      </c>
      <c r="Z8" s="54">
        <v>11</v>
      </c>
      <c r="AA8" s="54">
        <v>0</v>
      </c>
      <c r="AB8" s="54">
        <v>0</v>
      </c>
      <c r="AC8" s="54">
        <v>0</v>
      </c>
      <c r="AD8" s="54">
        <v>0</v>
      </c>
      <c r="AE8" s="54"/>
      <c r="AF8" s="54"/>
      <c r="AG8" s="5">
        <f t="shared" si="2"/>
        <v>86</v>
      </c>
    </row>
    <row r="9" spans="1:33" ht="18.75" x14ac:dyDescent="0.25">
      <c r="A9" s="56" t="s">
        <v>8</v>
      </c>
      <c r="B9" s="54">
        <v>0</v>
      </c>
      <c r="C9" s="54">
        <v>0</v>
      </c>
      <c r="D9" s="54">
        <v>6</v>
      </c>
      <c r="E9" s="54">
        <v>10</v>
      </c>
      <c r="F9" s="54">
        <v>0</v>
      </c>
      <c r="G9" s="54">
        <v>0</v>
      </c>
      <c r="H9" s="54">
        <v>0</v>
      </c>
      <c r="I9" s="54">
        <v>0</v>
      </c>
      <c r="J9" s="54">
        <v>0</v>
      </c>
      <c r="K9" s="54">
        <v>3</v>
      </c>
      <c r="L9" s="54">
        <v>8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54">
        <v>14</v>
      </c>
      <c r="S9" s="54">
        <v>4</v>
      </c>
      <c r="T9" s="54">
        <v>0</v>
      </c>
      <c r="U9" s="54">
        <v>0</v>
      </c>
      <c r="V9" s="54">
        <v>0</v>
      </c>
      <c r="W9" s="54">
        <v>0</v>
      </c>
      <c r="X9" s="54">
        <v>0</v>
      </c>
      <c r="Y9" s="54">
        <v>16</v>
      </c>
      <c r="Z9" s="54">
        <v>6</v>
      </c>
      <c r="AA9" s="54">
        <v>0</v>
      </c>
      <c r="AB9" s="54">
        <v>0</v>
      </c>
      <c r="AC9" s="54">
        <v>0</v>
      </c>
      <c r="AD9" s="54">
        <v>0</v>
      </c>
      <c r="AE9" s="54"/>
      <c r="AF9" s="54"/>
      <c r="AG9" s="5">
        <f t="shared" si="2"/>
        <v>67</v>
      </c>
    </row>
    <row r="10" spans="1:33" ht="18.75" x14ac:dyDescent="0.25">
      <c r="A10" s="56" t="s">
        <v>9</v>
      </c>
      <c r="B10" s="54">
        <v>0</v>
      </c>
      <c r="C10" s="54">
        <v>0</v>
      </c>
      <c r="D10" s="54">
        <v>7</v>
      </c>
      <c r="E10" s="54">
        <v>9</v>
      </c>
      <c r="F10" s="54">
        <v>0</v>
      </c>
      <c r="G10" s="54">
        <v>0</v>
      </c>
      <c r="H10" s="54">
        <v>0</v>
      </c>
      <c r="I10" s="54">
        <v>0</v>
      </c>
      <c r="J10" s="54">
        <v>0</v>
      </c>
      <c r="K10" s="54">
        <v>15</v>
      </c>
      <c r="L10" s="54">
        <v>9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54">
        <v>7</v>
      </c>
      <c r="S10" s="54">
        <v>13</v>
      </c>
      <c r="T10" s="54">
        <v>0</v>
      </c>
      <c r="U10" s="54">
        <v>0</v>
      </c>
      <c r="V10" s="54">
        <v>0</v>
      </c>
      <c r="W10" s="54">
        <v>0</v>
      </c>
      <c r="X10" s="54">
        <v>0</v>
      </c>
      <c r="Y10" s="54">
        <v>9</v>
      </c>
      <c r="Z10" s="54">
        <v>9</v>
      </c>
      <c r="AA10" s="54">
        <v>0</v>
      </c>
      <c r="AB10" s="54">
        <v>0</v>
      </c>
      <c r="AC10" s="54">
        <v>0</v>
      </c>
      <c r="AD10" s="54">
        <v>0</v>
      </c>
      <c r="AE10" s="54"/>
      <c r="AF10" s="54"/>
      <c r="AG10" s="5">
        <f t="shared" si="2"/>
        <v>78</v>
      </c>
    </row>
    <row r="11" spans="1:33" ht="18.75" x14ac:dyDescent="0.25">
      <c r="A11" s="56" t="s">
        <v>10</v>
      </c>
      <c r="B11" s="54">
        <v>0</v>
      </c>
      <c r="C11" s="54">
        <v>0</v>
      </c>
      <c r="D11" s="54">
        <v>11</v>
      </c>
      <c r="E11" s="54">
        <v>10</v>
      </c>
      <c r="F11" s="54">
        <v>0</v>
      </c>
      <c r="G11" s="54">
        <v>0</v>
      </c>
      <c r="H11" s="54">
        <v>0</v>
      </c>
      <c r="I11" s="54">
        <v>0</v>
      </c>
      <c r="J11" s="54">
        <v>0</v>
      </c>
      <c r="K11" s="54">
        <v>10</v>
      </c>
      <c r="L11" s="54">
        <v>13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54">
        <v>9</v>
      </c>
      <c r="S11" s="54">
        <v>10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11</v>
      </c>
      <c r="Z11" s="54">
        <v>18</v>
      </c>
      <c r="AA11" s="54">
        <v>0</v>
      </c>
      <c r="AB11" s="54">
        <v>0</v>
      </c>
      <c r="AC11" s="54">
        <v>0</v>
      </c>
      <c r="AD11" s="54">
        <v>0</v>
      </c>
      <c r="AE11" s="54"/>
      <c r="AF11" s="54"/>
      <c r="AG11" s="5">
        <f t="shared" si="2"/>
        <v>92</v>
      </c>
    </row>
    <row r="12" spans="1:33" ht="18.75" x14ac:dyDescent="0.25">
      <c r="A12" s="56" t="s">
        <v>11</v>
      </c>
      <c r="B12" s="54">
        <v>0</v>
      </c>
      <c r="C12" s="54">
        <v>28</v>
      </c>
      <c r="D12" s="54">
        <v>26</v>
      </c>
      <c r="E12" s="54">
        <v>8</v>
      </c>
      <c r="F12" s="54">
        <v>0</v>
      </c>
      <c r="G12" s="54">
        <v>0</v>
      </c>
      <c r="H12" s="54">
        <v>0</v>
      </c>
      <c r="I12" s="54">
        <v>0</v>
      </c>
      <c r="J12" s="54">
        <v>40</v>
      </c>
      <c r="K12" s="54">
        <v>12</v>
      </c>
      <c r="L12" s="54">
        <v>18</v>
      </c>
      <c r="M12" s="54">
        <v>0</v>
      </c>
      <c r="N12" s="54">
        <v>1</v>
      </c>
      <c r="O12" s="54">
        <v>0</v>
      </c>
      <c r="P12" s="54">
        <v>0</v>
      </c>
      <c r="Q12" s="54">
        <v>45</v>
      </c>
      <c r="R12" s="54">
        <v>14</v>
      </c>
      <c r="S12" s="54">
        <v>18</v>
      </c>
      <c r="T12" s="54">
        <v>0</v>
      </c>
      <c r="U12" s="54">
        <v>0</v>
      </c>
      <c r="V12" s="54">
        <v>0</v>
      </c>
      <c r="W12" s="54">
        <v>0</v>
      </c>
      <c r="X12" s="54">
        <v>41</v>
      </c>
      <c r="Y12" s="54">
        <v>15</v>
      </c>
      <c r="Z12" s="54">
        <v>14</v>
      </c>
      <c r="AA12" s="54">
        <v>0</v>
      </c>
      <c r="AB12" s="54">
        <v>1</v>
      </c>
      <c r="AC12" s="54">
        <v>1</v>
      </c>
      <c r="AD12" s="54">
        <v>2</v>
      </c>
      <c r="AE12" s="54"/>
      <c r="AF12" s="54"/>
      <c r="AG12" s="5">
        <f t="shared" si="2"/>
        <v>284</v>
      </c>
    </row>
    <row r="13" spans="1:33" ht="18.75" x14ac:dyDescent="0.25">
      <c r="A13" s="56" t="s">
        <v>12</v>
      </c>
      <c r="B13" s="54">
        <v>37</v>
      </c>
      <c r="C13" s="54">
        <v>21</v>
      </c>
      <c r="D13" s="54">
        <v>14</v>
      </c>
      <c r="E13" s="54">
        <v>16</v>
      </c>
      <c r="F13" s="54">
        <v>52</v>
      </c>
      <c r="G13" s="54">
        <v>43</v>
      </c>
      <c r="H13" s="54">
        <v>48</v>
      </c>
      <c r="I13" s="54">
        <v>61</v>
      </c>
      <c r="J13" s="54">
        <v>14</v>
      </c>
      <c r="K13" s="54">
        <v>11</v>
      </c>
      <c r="L13" s="54">
        <v>13</v>
      </c>
      <c r="M13" s="54">
        <v>56</v>
      </c>
      <c r="N13" s="54">
        <v>46</v>
      </c>
      <c r="O13" s="54">
        <v>45</v>
      </c>
      <c r="P13" s="54">
        <v>51</v>
      </c>
      <c r="Q13" s="54">
        <v>11</v>
      </c>
      <c r="R13" s="54">
        <v>14</v>
      </c>
      <c r="S13" s="54">
        <v>21</v>
      </c>
      <c r="T13" s="54">
        <v>52</v>
      </c>
      <c r="U13" s="54">
        <v>53</v>
      </c>
      <c r="V13" s="54">
        <v>46</v>
      </c>
      <c r="W13" s="54">
        <v>49</v>
      </c>
      <c r="X13" s="54">
        <v>15</v>
      </c>
      <c r="Y13" s="54">
        <v>9</v>
      </c>
      <c r="Z13" s="54">
        <v>14</v>
      </c>
      <c r="AA13" s="54">
        <v>59</v>
      </c>
      <c r="AB13" s="54">
        <v>51</v>
      </c>
      <c r="AC13" s="54">
        <v>46</v>
      </c>
      <c r="AD13" s="54">
        <v>46</v>
      </c>
      <c r="AE13" s="54"/>
      <c r="AF13" s="54"/>
      <c r="AG13" s="5">
        <f t="shared" si="2"/>
        <v>1014</v>
      </c>
    </row>
    <row r="14" spans="1:33" ht="18.75" x14ac:dyDescent="0.25">
      <c r="A14" s="56" t="s">
        <v>13</v>
      </c>
      <c r="B14" s="54">
        <v>15</v>
      </c>
      <c r="C14" s="54">
        <v>16</v>
      </c>
      <c r="D14" s="54">
        <v>7</v>
      </c>
      <c r="E14" s="54">
        <v>8</v>
      </c>
      <c r="F14" s="54">
        <v>13</v>
      </c>
      <c r="G14" s="54">
        <v>15</v>
      </c>
      <c r="H14" s="54">
        <v>20</v>
      </c>
      <c r="I14" s="54">
        <v>8</v>
      </c>
      <c r="J14" s="54">
        <v>10</v>
      </c>
      <c r="K14" s="54">
        <v>7</v>
      </c>
      <c r="L14" s="54">
        <v>15</v>
      </c>
      <c r="M14" s="54">
        <v>17</v>
      </c>
      <c r="N14" s="54">
        <v>12</v>
      </c>
      <c r="O14" s="54">
        <v>14</v>
      </c>
      <c r="P14" s="54">
        <v>12</v>
      </c>
      <c r="Q14" s="54">
        <v>17</v>
      </c>
      <c r="R14" s="54">
        <v>4</v>
      </c>
      <c r="S14" s="54">
        <v>12</v>
      </c>
      <c r="T14" s="54">
        <v>20</v>
      </c>
      <c r="U14" s="54">
        <v>12</v>
      </c>
      <c r="V14" s="54">
        <v>18</v>
      </c>
      <c r="W14" s="54">
        <v>21</v>
      </c>
      <c r="X14" s="54">
        <v>19</v>
      </c>
      <c r="Y14" s="54">
        <v>16</v>
      </c>
      <c r="Z14" s="54">
        <v>9</v>
      </c>
      <c r="AA14" s="54">
        <v>14</v>
      </c>
      <c r="AB14" s="54">
        <v>15</v>
      </c>
      <c r="AC14" s="54">
        <v>19</v>
      </c>
      <c r="AD14" s="54">
        <v>21</v>
      </c>
      <c r="AE14" s="54"/>
      <c r="AF14" s="54"/>
      <c r="AG14" s="5">
        <f t="shared" si="2"/>
        <v>406</v>
      </c>
    </row>
    <row r="15" spans="1:33" ht="18.75" x14ac:dyDescent="0.25">
      <c r="A15" s="56" t="s">
        <v>14</v>
      </c>
      <c r="B15" s="54">
        <v>13</v>
      </c>
      <c r="C15" s="54">
        <v>11</v>
      </c>
      <c r="D15" s="54">
        <v>12</v>
      </c>
      <c r="E15" s="54">
        <v>8</v>
      </c>
      <c r="F15" s="54">
        <v>13</v>
      </c>
      <c r="G15" s="54">
        <v>11</v>
      </c>
      <c r="H15" s="54">
        <v>10</v>
      </c>
      <c r="I15" s="54">
        <v>16</v>
      </c>
      <c r="J15" s="54">
        <v>14</v>
      </c>
      <c r="K15" s="54">
        <v>12</v>
      </c>
      <c r="L15" s="54">
        <v>7</v>
      </c>
      <c r="M15" s="54">
        <v>9</v>
      </c>
      <c r="N15" s="54">
        <v>18</v>
      </c>
      <c r="O15" s="54">
        <v>8</v>
      </c>
      <c r="P15" s="54">
        <v>14</v>
      </c>
      <c r="Q15" s="54">
        <v>5</v>
      </c>
      <c r="R15" s="54">
        <v>8</v>
      </c>
      <c r="S15" s="54">
        <v>6</v>
      </c>
      <c r="T15" s="54">
        <v>14</v>
      </c>
      <c r="U15" s="54">
        <v>16</v>
      </c>
      <c r="V15" s="54">
        <v>18</v>
      </c>
      <c r="W15" s="54">
        <v>11</v>
      </c>
      <c r="X15" s="54">
        <v>13</v>
      </c>
      <c r="Y15" s="54">
        <v>15</v>
      </c>
      <c r="Z15" s="54">
        <v>8</v>
      </c>
      <c r="AA15" s="54">
        <v>14</v>
      </c>
      <c r="AB15" s="54">
        <v>17</v>
      </c>
      <c r="AC15" s="54">
        <v>10</v>
      </c>
      <c r="AD15" s="54">
        <v>12</v>
      </c>
      <c r="AE15" s="54"/>
      <c r="AF15" s="54"/>
      <c r="AG15" s="5">
        <f t="shared" si="2"/>
        <v>343</v>
      </c>
    </row>
    <row r="16" spans="1:33" ht="18.75" x14ac:dyDescent="0.25">
      <c r="A16" s="56" t="s">
        <v>15</v>
      </c>
      <c r="B16" s="54">
        <v>15</v>
      </c>
      <c r="C16" s="54">
        <v>10</v>
      </c>
      <c r="D16" s="54">
        <v>10</v>
      </c>
      <c r="E16" s="54">
        <v>10</v>
      </c>
      <c r="F16" s="54">
        <v>20</v>
      </c>
      <c r="G16" s="54">
        <v>7</v>
      </c>
      <c r="H16" s="54">
        <v>10</v>
      </c>
      <c r="I16" s="54">
        <v>9</v>
      </c>
      <c r="J16" s="54">
        <v>6</v>
      </c>
      <c r="K16" s="54">
        <v>10</v>
      </c>
      <c r="L16" s="54">
        <v>4</v>
      </c>
      <c r="M16" s="54">
        <v>19</v>
      </c>
      <c r="N16" s="54">
        <v>13</v>
      </c>
      <c r="O16" s="54">
        <v>11</v>
      </c>
      <c r="P16" s="54">
        <v>10</v>
      </c>
      <c r="Q16" s="54">
        <v>5</v>
      </c>
      <c r="R16" s="54">
        <v>4</v>
      </c>
      <c r="S16" s="54">
        <v>8</v>
      </c>
      <c r="T16" s="54">
        <v>17</v>
      </c>
      <c r="U16" s="54">
        <v>17</v>
      </c>
      <c r="V16" s="54">
        <v>13</v>
      </c>
      <c r="W16" s="54">
        <v>10</v>
      </c>
      <c r="X16" s="54">
        <v>14</v>
      </c>
      <c r="Y16" s="54">
        <v>9</v>
      </c>
      <c r="Z16" s="54">
        <v>12</v>
      </c>
      <c r="AA16" s="54">
        <v>12</v>
      </c>
      <c r="AB16" s="54">
        <v>14</v>
      </c>
      <c r="AC16" s="54">
        <v>23</v>
      </c>
      <c r="AD16" s="54">
        <v>11</v>
      </c>
      <c r="AE16" s="54"/>
      <c r="AF16" s="54"/>
      <c r="AG16" s="5">
        <f t="shared" si="2"/>
        <v>333</v>
      </c>
    </row>
    <row r="17" spans="1:33" ht="18.75" x14ac:dyDescent="0.25">
      <c r="A17" s="56" t="s">
        <v>16</v>
      </c>
      <c r="B17" s="54">
        <v>10</v>
      </c>
      <c r="C17" s="54">
        <v>5</v>
      </c>
      <c r="D17" s="54">
        <v>5</v>
      </c>
      <c r="E17" s="54">
        <v>12</v>
      </c>
      <c r="F17" s="54">
        <v>17</v>
      </c>
      <c r="G17" s="54">
        <v>14</v>
      </c>
      <c r="H17" s="54">
        <v>10</v>
      </c>
      <c r="I17" s="54">
        <v>10</v>
      </c>
      <c r="J17" s="54">
        <v>10</v>
      </c>
      <c r="K17" s="54">
        <v>10</v>
      </c>
      <c r="L17" s="54">
        <v>10</v>
      </c>
      <c r="M17" s="54">
        <v>15</v>
      </c>
      <c r="N17" s="54">
        <v>7</v>
      </c>
      <c r="O17" s="54">
        <v>10</v>
      </c>
      <c r="P17" s="54">
        <v>6</v>
      </c>
      <c r="Q17" s="54">
        <v>11</v>
      </c>
      <c r="R17" s="54">
        <v>12</v>
      </c>
      <c r="S17" s="54">
        <v>16</v>
      </c>
      <c r="T17" s="54">
        <v>10</v>
      </c>
      <c r="U17" s="54">
        <v>12</v>
      </c>
      <c r="V17" s="54">
        <v>11</v>
      </c>
      <c r="W17" s="54">
        <v>6</v>
      </c>
      <c r="X17" s="54">
        <v>10</v>
      </c>
      <c r="Y17" s="54">
        <v>17</v>
      </c>
      <c r="Z17" s="54">
        <v>10</v>
      </c>
      <c r="AA17" s="54">
        <v>9</v>
      </c>
      <c r="AB17" s="54">
        <v>19</v>
      </c>
      <c r="AC17" s="54">
        <v>13</v>
      </c>
      <c r="AD17" s="54">
        <v>9</v>
      </c>
      <c r="AE17" s="54"/>
      <c r="AF17" s="54"/>
      <c r="AG17" s="5">
        <f t="shared" si="2"/>
        <v>316</v>
      </c>
    </row>
    <row r="18" spans="1:33" ht="18.75" x14ac:dyDescent="0.25">
      <c r="A18" s="56" t="s">
        <v>17</v>
      </c>
      <c r="B18" s="54">
        <v>11</v>
      </c>
      <c r="C18" s="54">
        <v>7</v>
      </c>
      <c r="D18" s="54">
        <v>5</v>
      </c>
      <c r="E18" s="54">
        <v>4</v>
      </c>
      <c r="F18" s="54">
        <v>6</v>
      </c>
      <c r="G18" s="54">
        <v>13</v>
      </c>
      <c r="H18" s="54">
        <v>12</v>
      </c>
      <c r="I18" s="54">
        <v>16</v>
      </c>
      <c r="J18" s="54">
        <v>8</v>
      </c>
      <c r="K18" s="54">
        <v>11</v>
      </c>
      <c r="L18" s="54">
        <v>4</v>
      </c>
      <c r="M18" s="54">
        <v>11</v>
      </c>
      <c r="N18" s="54">
        <v>11</v>
      </c>
      <c r="O18" s="54">
        <v>6</v>
      </c>
      <c r="P18" s="54">
        <v>5</v>
      </c>
      <c r="Q18" s="54">
        <v>14</v>
      </c>
      <c r="R18" s="54">
        <v>9</v>
      </c>
      <c r="S18" s="54">
        <v>5</v>
      </c>
      <c r="T18" s="54">
        <v>10</v>
      </c>
      <c r="U18" s="54">
        <v>12</v>
      </c>
      <c r="V18" s="54">
        <v>13</v>
      </c>
      <c r="W18" s="54">
        <v>5</v>
      </c>
      <c r="X18" s="54">
        <v>6</v>
      </c>
      <c r="Y18" s="54">
        <v>12</v>
      </c>
      <c r="Z18" s="54">
        <v>15</v>
      </c>
      <c r="AA18" s="54">
        <v>5</v>
      </c>
      <c r="AB18" s="54">
        <v>6</v>
      </c>
      <c r="AC18" s="54">
        <v>11</v>
      </c>
      <c r="AD18" s="54">
        <v>6</v>
      </c>
      <c r="AE18" s="54"/>
      <c r="AF18" s="54"/>
      <c r="AG18" s="5">
        <f t="shared" si="2"/>
        <v>259</v>
      </c>
    </row>
    <row r="19" spans="1:33" ht="18.75" x14ac:dyDescent="0.25">
      <c r="A19" s="56" t="s">
        <v>18</v>
      </c>
      <c r="B19" s="54">
        <v>12</v>
      </c>
      <c r="C19" s="54">
        <v>9</v>
      </c>
      <c r="D19" s="54">
        <v>7</v>
      </c>
      <c r="E19" s="54">
        <v>8</v>
      </c>
      <c r="F19" s="54">
        <v>6</v>
      </c>
      <c r="G19" s="54">
        <v>13</v>
      </c>
      <c r="H19" s="54">
        <v>12</v>
      </c>
      <c r="I19" s="54">
        <v>7</v>
      </c>
      <c r="J19" s="54">
        <v>9</v>
      </c>
      <c r="K19" s="54">
        <v>10</v>
      </c>
      <c r="L19" s="54">
        <v>11</v>
      </c>
      <c r="M19" s="54">
        <v>5</v>
      </c>
      <c r="N19" s="54">
        <v>9</v>
      </c>
      <c r="O19" s="54">
        <v>8</v>
      </c>
      <c r="P19" s="54">
        <v>10</v>
      </c>
      <c r="Q19" s="54">
        <v>11</v>
      </c>
      <c r="R19" s="54">
        <v>4</v>
      </c>
      <c r="S19" s="54">
        <v>5</v>
      </c>
      <c r="T19" s="54">
        <v>5</v>
      </c>
      <c r="U19" s="54">
        <v>6</v>
      </c>
      <c r="V19" s="54">
        <v>7</v>
      </c>
      <c r="W19" s="54">
        <v>7</v>
      </c>
      <c r="X19" s="54">
        <v>11</v>
      </c>
      <c r="Y19" s="54">
        <v>13</v>
      </c>
      <c r="Z19" s="54">
        <v>7</v>
      </c>
      <c r="AA19" s="54">
        <v>7</v>
      </c>
      <c r="AB19" s="54">
        <v>7</v>
      </c>
      <c r="AC19" s="54">
        <v>6</v>
      </c>
      <c r="AD19" s="54">
        <v>11</v>
      </c>
      <c r="AE19" s="54"/>
      <c r="AF19" s="54"/>
      <c r="AG19" s="5">
        <f t="shared" si="2"/>
        <v>243</v>
      </c>
    </row>
    <row r="20" spans="1:33" ht="18.75" x14ac:dyDescent="0.25">
      <c r="A20" s="56" t="s">
        <v>19</v>
      </c>
      <c r="B20" s="54">
        <v>6</v>
      </c>
      <c r="C20" s="54">
        <v>1</v>
      </c>
      <c r="D20" s="54">
        <v>6</v>
      </c>
      <c r="E20" s="54">
        <v>11</v>
      </c>
      <c r="F20" s="54">
        <v>2</v>
      </c>
      <c r="G20" s="54">
        <v>8</v>
      </c>
      <c r="H20" s="54">
        <v>5</v>
      </c>
      <c r="I20" s="54">
        <v>5</v>
      </c>
      <c r="J20" s="54">
        <v>4</v>
      </c>
      <c r="K20" s="54">
        <v>3</v>
      </c>
      <c r="L20" s="54">
        <v>5</v>
      </c>
      <c r="M20" s="54">
        <v>9</v>
      </c>
      <c r="N20" s="54">
        <v>7</v>
      </c>
      <c r="O20" s="54">
        <v>8</v>
      </c>
      <c r="P20" s="54">
        <v>1</v>
      </c>
      <c r="Q20" s="54">
        <v>5</v>
      </c>
      <c r="R20" s="54">
        <v>7</v>
      </c>
      <c r="S20" s="54">
        <v>6</v>
      </c>
      <c r="T20" s="54">
        <v>7</v>
      </c>
      <c r="U20" s="54">
        <v>4</v>
      </c>
      <c r="V20" s="54">
        <v>7</v>
      </c>
      <c r="W20" s="54">
        <v>4</v>
      </c>
      <c r="X20" s="54">
        <v>2</v>
      </c>
      <c r="Y20" s="54">
        <v>8</v>
      </c>
      <c r="Z20" s="54">
        <v>8</v>
      </c>
      <c r="AA20" s="54">
        <v>1</v>
      </c>
      <c r="AB20" s="54">
        <v>5</v>
      </c>
      <c r="AC20" s="54">
        <v>2</v>
      </c>
      <c r="AD20" s="54">
        <v>9</v>
      </c>
      <c r="AE20" s="54"/>
      <c r="AF20" s="54"/>
      <c r="AG20" s="5">
        <f t="shared" si="2"/>
        <v>156</v>
      </c>
    </row>
    <row r="21" spans="1:33" ht="15.75" customHeight="1" x14ac:dyDescent="0.25">
      <c r="A21" s="56" t="s">
        <v>20</v>
      </c>
      <c r="B21" s="54">
        <v>4</v>
      </c>
      <c r="C21" s="54">
        <v>3</v>
      </c>
      <c r="D21" s="54">
        <v>1</v>
      </c>
      <c r="E21" s="54">
        <v>5</v>
      </c>
      <c r="F21" s="54">
        <v>4</v>
      </c>
      <c r="G21" s="54">
        <v>3</v>
      </c>
      <c r="H21" s="54">
        <v>1</v>
      </c>
      <c r="I21" s="54">
        <v>2</v>
      </c>
      <c r="J21" s="54">
        <v>3</v>
      </c>
      <c r="K21" s="54">
        <v>2</v>
      </c>
      <c r="L21" s="54">
        <v>2</v>
      </c>
      <c r="M21" s="54">
        <v>6</v>
      </c>
      <c r="N21" s="54">
        <v>1</v>
      </c>
      <c r="O21" s="54">
        <v>8</v>
      </c>
      <c r="P21" s="54">
        <v>2</v>
      </c>
      <c r="Q21" s="54">
        <v>3</v>
      </c>
      <c r="R21" s="54">
        <v>7</v>
      </c>
      <c r="S21" s="54">
        <v>3</v>
      </c>
      <c r="T21" s="54">
        <v>7</v>
      </c>
      <c r="U21" s="54">
        <v>4</v>
      </c>
      <c r="V21" s="54">
        <v>3</v>
      </c>
      <c r="W21" s="54">
        <v>4</v>
      </c>
      <c r="X21" s="54">
        <v>4</v>
      </c>
      <c r="Y21" s="54">
        <v>4</v>
      </c>
      <c r="Z21" s="54">
        <v>1</v>
      </c>
      <c r="AA21" s="54">
        <v>3</v>
      </c>
      <c r="AB21" s="54">
        <v>2</v>
      </c>
      <c r="AC21" s="54">
        <v>0</v>
      </c>
      <c r="AD21" s="54">
        <v>2</v>
      </c>
      <c r="AE21" s="54"/>
      <c r="AF21" s="54"/>
      <c r="AG21" s="5">
        <f t="shared" si="2"/>
        <v>94</v>
      </c>
    </row>
    <row r="22" spans="1:33" ht="15.75" customHeight="1" x14ac:dyDescent="0.25">
      <c r="A22" s="56" t="s">
        <v>21</v>
      </c>
      <c r="B22" s="54">
        <v>3</v>
      </c>
      <c r="C22" s="54">
        <v>1</v>
      </c>
      <c r="D22" s="54">
        <v>2</v>
      </c>
      <c r="E22" s="54">
        <v>15</v>
      </c>
      <c r="F22" s="54">
        <v>3</v>
      </c>
      <c r="G22" s="54">
        <v>1</v>
      </c>
      <c r="H22" s="54">
        <v>2</v>
      </c>
      <c r="I22" s="54">
        <v>3</v>
      </c>
      <c r="J22" s="54">
        <v>3</v>
      </c>
      <c r="K22" s="54">
        <v>1</v>
      </c>
      <c r="L22" s="54">
        <v>4</v>
      </c>
      <c r="M22" s="54">
        <v>0</v>
      </c>
      <c r="N22" s="54">
        <v>3</v>
      </c>
      <c r="O22" s="54">
        <v>1</v>
      </c>
      <c r="P22" s="54">
        <v>4</v>
      </c>
      <c r="Q22" s="54">
        <v>0</v>
      </c>
      <c r="R22" s="54">
        <v>2</v>
      </c>
      <c r="S22" s="54">
        <v>2</v>
      </c>
      <c r="T22" s="54">
        <v>1</v>
      </c>
      <c r="U22" s="54">
        <v>3</v>
      </c>
      <c r="V22" s="54">
        <v>2</v>
      </c>
      <c r="W22" s="54">
        <v>1</v>
      </c>
      <c r="X22" s="54">
        <v>1</v>
      </c>
      <c r="Y22" s="54">
        <v>3</v>
      </c>
      <c r="Z22" s="54">
        <v>0</v>
      </c>
      <c r="AA22" s="54">
        <v>1</v>
      </c>
      <c r="AB22" s="54">
        <v>3</v>
      </c>
      <c r="AC22" s="54">
        <v>1</v>
      </c>
      <c r="AD22" s="54">
        <v>6</v>
      </c>
      <c r="AE22" s="54"/>
      <c r="AF22" s="54"/>
      <c r="AG22" s="5">
        <f t="shared" si="2"/>
        <v>72</v>
      </c>
    </row>
    <row r="23" spans="1:33" ht="15.75" customHeight="1" x14ac:dyDescent="0.25">
      <c r="A23" s="56" t="s">
        <v>22</v>
      </c>
      <c r="B23" s="54">
        <v>1</v>
      </c>
      <c r="C23" s="54">
        <v>1</v>
      </c>
      <c r="D23" s="54">
        <v>0</v>
      </c>
      <c r="E23" s="54">
        <v>3</v>
      </c>
      <c r="F23" s="54">
        <v>3</v>
      </c>
      <c r="G23" s="54">
        <v>3</v>
      </c>
      <c r="H23" s="54">
        <v>2</v>
      </c>
      <c r="I23" s="54">
        <v>1</v>
      </c>
      <c r="J23" s="54">
        <v>1</v>
      </c>
      <c r="K23" s="54">
        <v>1</v>
      </c>
      <c r="L23" s="54">
        <v>0</v>
      </c>
      <c r="M23" s="54">
        <v>1</v>
      </c>
      <c r="N23" s="54">
        <v>2</v>
      </c>
      <c r="O23" s="54">
        <v>4</v>
      </c>
      <c r="P23" s="54">
        <v>3</v>
      </c>
      <c r="Q23" s="54">
        <v>2</v>
      </c>
      <c r="R23" s="54">
        <v>2</v>
      </c>
      <c r="S23" s="54">
        <v>1</v>
      </c>
      <c r="T23" s="54">
        <v>2</v>
      </c>
      <c r="U23" s="54">
        <v>5</v>
      </c>
      <c r="V23" s="54">
        <v>1</v>
      </c>
      <c r="W23" s="54">
        <v>7</v>
      </c>
      <c r="X23" s="54">
        <v>0</v>
      </c>
      <c r="Y23" s="54">
        <v>1</v>
      </c>
      <c r="Z23" s="54">
        <v>0</v>
      </c>
      <c r="AA23" s="54">
        <v>3</v>
      </c>
      <c r="AB23" s="54">
        <v>1</v>
      </c>
      <c r="AC23" s="54">
        <v>3</v>
      </c>
      <c r="AD23" s="54">
        <v>1</v>
      </c>
      <c r="AE23" s="54"/>
      <c r="AF23" s="54"/>
      <c r="AG23" s="5">
        <f t="shared" si="2"/>
        <v>55</v>
      </c>
    </row>
    <row r="24" spans="1:33" ht="15.75" customHeight="1" x14ac:dyDescent="0.25">
      <c r="A24" s="56" t="s">
        <v>23</v>
      </c>
      <c r="B24" s="54">
        <v>1</v>
      </c>
      <c r="C24" s="54">
        <v>2</v>
      </c>
      <c r="D24" s="54">
        <v>1</v>
      </c>
      <c r="E24" s="54">
        <v>1</v>
      </c>
      <c r="F24" s="54">
        <v>2</v>
      </c>
      <c r="G24" s="54">
        <v>1</v>
      </c>
      <c r="H24" s="54">
        <v>1</v>
      </c>
      <c r="I24" s="54">
        <v>1</v>
      </c>
      <c r="J24" s="54">
        <v>1</v>
      </c>
      <c r="K24" s="54">
        <v>1</v>
      </c>
      <c r="L24" s="54">
        <v>0</v>
      </c>
      <c r="M24" s="54">
        <v>0</v>
      </c>
      <c r="N24" s="54">
        <v>2</v>
      </c>
      <c r="O24" s="54">
        <v>1</v>
      </c>
      <c r="P24" s="54">
        <v>1</v>
      </c>
      <c r="Q24" s="54">
        <v>1</v>
      </c>
      <c r="R24" s="54">
        <v>1</v>
      </c>
      <c r="S24" s="54">
        <v>0</v>
      </c>
      <c r="T24" s="54">
        <v>2</v>
      </c>
      <c r="U24" s="54">
        <v>1</v>
      </c>
      <c r="V24" s="54">
        <v>0</v>
      </c>
      <c r="W24" s="54">
        <v>4</v>
      </c>
      <c r="X24" s="54">
        <v>1</v>
      </c>
      <c r="Y24" s="54">
        <v>1</v>
      </c>
      <c r="Z24" s="54">
        <v>1</v>
      </c>
      <c r="AA24" s="54">
        <v>1</v>
      </c>
      <c r="AB24" s="54">
        <v>2</v>
      </c>
      <c r="AC24" s="54">
        <v>0</v>
      </c>
      <c r="AD24" s="54">
        <v>3</v>
      </c>
      <c r="AE24" s="54"/>
      <c r="AF24" s="54"/>
      <c r="AG24" s="5">
        <f t="shared" si="2"/>
        <v>34</v>
      </c>
    </row>
    <row r="25" spans="1:33" ht="15.75" customHeight="1" x14ac:dyDescent="0.25">
      <c r="A25" s="56" t="s">
        <v>24</v>
      </c>
      <c r="B25" s="54">
        <v>1</v>
      </c>
      <c r="C25" s="54">
        <v>0</v>
      </c>
      <c r="D25" s="54">
        <v>1</v>
      </c>
      <c r="E25" s="54">
        <v>4</v>
      </c>
      <c r="F25" s="54">
        <v>3</v>
      </c>
      <c r="G25" s="54">
        <v>1</v>
      </c>
      <c r="H25" s="54">
        <v>0</v>
      </c>
      <c r="I25" s="54">
        <v>2</v>
      </c>
      <c r="J25" s="54">
        <v>4</v>
      </c>
      <c r="K25" s="54">
        <v>0</v>
      </c>
      <c r="L25" s="54">
        <v>0</v>
      </c>
      <c r="M25" s="54">
        <v>1</v>
      </c>
      <c r="N25" s="54">
        <v>2</v>
      </c>
      <c r="O25" s="54">
        <v>1</v>
      </c>
      <c r="P25" s="54">
        <v>0</v>
      </c>
      <c r="Q25" s="54">
        <v>1</v>
      </c>
      <c r="R25" s="54">
        <v>2</v>
      </c>
      <c r="S25" s="54">
        <v>1</v>
      </c>
      <c r="T25" s="54">
        <v>3</v>
      </c>
      <c r="U25" s="54">
        <v>1</v>
      </c>
      <c r="V25" s="54">
        <v>3</v>
      </c>
      <c r="W25" s="54">
        <v>0</v>
      </c>
      <c r="X25" s="54">
        <v>2</v>
      </c>
      <c r="Y25" s="54">
        <v>1</v>
      </c>
      <c r="Z25" s="54">
        <v>5</v>
      </c>
      <c r="AA25" s="54">
        <v>1</v>
      </c>
      <c r="AB25" s="54">
        <v>2</v>
      </c>
      <c r="AC25" s="54">
        <v>0</v>
      </c>
      <c r="AD25" s="54">
        <v>2</v>
      </c>
      <c r="AE25" s="54"/>
      <c r="AF25" s="54"/>
      <c r="AG25" s="5">
        <f t="shared" si="2"/>
        <v>44</v>
      </c>
    </row>
    <row r="26" spans="1:33" ht="15.75" customHeight="1" x14ac:dyDescent="0.25">
      <c r="A26" s="56" t="s">
        <v>25</v>
      </c>
      <c r="B26" s="54">
        <v>1</v>
      </c>
      <c r="C26" s="54">
        <v>1</v>
      </c>
      <c r="D26" s="54">
        <v>1</v>
      </c>
      <c r="E26" s="54">
        <v>2</v>
      </c>
      <c r="F26" s="54">
        <v>1</v>
      </c>
      <c r="G26" s="54">
        <v>1</v>
      </c>
      <c r="H26" s="54">
        <v>1</v>
      </c>
      <c r="I26" s="54">
        <v>2</v>
      </c>
      <c r="J26" s="54">
        <v>0</v>
      </c>
      <c r="K26" s="54">
        <v>1</v>
      </c>
      <c r="L26" s="54">
        <v>3</v>
      </c>
      <c r="M26" s="54">
        <v>1</v>
      </c>
      <c r="N26" s="54">
        <v>0</v>
      </c>
      <c r="O26" s="54">
        <v>1</v>
      </c>
      <c r="P26" s="54">
        <v>0</v>
      </c>
      <c r="Q26" s="54">
        <v>1</v>
      </c>
      <c r="R26" s="54">
        <v>2</v>
      </c>
      <c r="S26" s="54">
        <v>1</v>
      </c>
      <c r="T26" s="54">
        <v>1</v>
      </c>
      <c r="U26" s="54">
        <v>2</v>
      </c>
      <c r="V26" s="54">
        <v>2</v>
      </c>
      <c r="W26" s="54">
        <v>2</v>
      </c>
      <c r="X26" s="54">
        <v>1</v>
      </c>
      <c r="Y26" s="54">
        <v>0</v>
      </c>
      <c r="Z26" s="54">
        <v>2</v>
      </c>
      <c r="AA26" s="54">
        <v>0</v>
      </c>
      <c r="AB26" s="54">
        <v>3</v>
      </c>
      <c r="AC26" s="54">
        <v>0</v>
      </c>
      <c r="AD26" s="54">
        <v>2</v>
      </c>
      <c r="AE26" s="54"/>
      <c r="AF26" s="54"/>
      <c r="AG26" s="5">
        <f t="shared" si="2"/>
        <v>35</v>
      </c>
    </row>
    <row r="27" spans="1:33" ht="15.75" customHeight="1" thickBot="1" x14ac:dyDescent="0.3">
      <c r="A27" s="57" t="s">
        <v>26</v>
      </c>
      <c r="B27" s="58">
        <v>0</v>
      </c>
      <c r="C27" s="58">
        <v>0</v>
      </c>
      <c r="D27" s="58">
        <v>5</v>
      </c>
      <c r="E27" s="58">
        <v>2</v>
      </c>
      <c r="F27" s="58">
        <v>0</v>
      </c>
      <c r="G27" s="58">
        <v>0</v>
      </c>
      <c r="H27" s="58">
        <v>2</v>
      </c>
      <c r="I27" s="58">
        <v>0</v>
      </c>
      <c r="J27" s="58">
        <v>0</v>
      </c>
      <c r="K27" s="58">
        <v>1</v>
      </c>
      <c r="L27" s="58">
        <v>3</v>
      </c>
      <c r="M27" s="58">
        <v>0</v>
      </c>
      <c r="N27" s="58">
        <v>0</v>
      </c>
      <c r="O27" s="58">
        <v>0</v>
      </c>
      <c r="P27" s="58">
        <v>0</v>
      </c>
      <c r="Q27" s="58">
        <v>0</v>
      </c>
      <c r="R27" s="58">
        <v>2</v>
      </c>
      <c r="S27" s="58">
        <v>1</v>
      </c>
      <c r="T27" s="58">
        <v>0</v>
      </c>
      <c r="U27" s="58">
        <v>0</v>
      </c>
      <c r="V27" s="58">
        <v>0</v>
      </c>
      <c r="W27" s="58">
        <v>0</v>
      </c>
      <c r="X27" s="58">
        <v>1</v>
      </c>
      <c r="Y27" s="58">
        <v>2</v>
      </c>
      <c r="Z27" s="58">
        <v>2</v>
      </c>
      <c r="AA27" s="58">
        <v>0</v>
      </c>
      <c r="AB27" s="58">
        <v>0</v>
      </c>
      <c r="AC27" s="58">
        <v>0</v>
      </c>
      <c r="AD27" s="58">
        <v>0</v>
      </c>
      <c r="AE27" s="58"/>
      <c r="AF27" s="58"/>
      <c r="AG27" s="5">
        <f t="shared" si="2"/>
        <v>21</v>
      </c>
    </row>
    <row r="28" spans="1:33" ht="15.75" customHeight="1" x14ac:dyDescent="0.25">
      <c r="A28" s="59" t="s">
        <v>27</v>
      </c>
      <c r="B28" s="6">
        <f t="shared" ref="B28:AF28" si="3">SUM(B29:B52)</f>
        <v>125</v>
      </c>
      <c r="C28" s="6">
        <f t="shared" si="3"/>
        <v>113</v>
      </c>
      <c r="D28" s="6">
        <f t="shared" si="3"/>
        <v>181</v>
      </c>
      <c r="E28" s="6">
        <f t="shared" si="3"/>
        <v>182</v>
      </c>
      <c r="F28" s="6">
        <f t="shared" si="3"/>
        <v>141</v>
      </c>
      <c r="G28" s="6">
        <f t="shared" si="3"/>
        <v>129</v>
      </c>
      <c r="H28" s="6">
        <f t="shared" si="3"/>
        <v>124</v>
      </c>
      <c r="I28" s="6">
        <f t="shared" si="3"/>
        <v>120</v>
      </c>
      <c r="J28" s="6">
        <f t="shared" si="3"/>
        <v>113</v>
      </c>
      <c r="K28" s="6">
        <f t="shared" si="3"/>
        <v>161</v>
      </c>
      <c r="L28" s="6">
        <f t="shared" si="3"/>
        <v>171</v>
      </c>
      <c r="M28" s="6">
        <f t="shared" si="3"/>
        <v>141</v>
      </c>
      <c r="N28" s="6">
        <f t="shared" si="3"/>
        <v>132</v>
      </c>
      <c r="O28" s="6">
        <f t="shared" si="3"/>
        <v>120</v>
      </c>
      <c r="P28" s="6">
        <f t="shared" si="3"/>
        <v>116</v>
      </c>
      <c r="Q28" s="6">
        <f t="shared" si="3"/>
        <v>131</v>
      </c>
      <c r="R28" s="6">
        <f t="shared" si="3"/>
        <v>165</v>
      </c>
      <c r="S28" s="6">
        <f t="shared" si="3"/>
        <v>169</v>
      </c>
      <c r="T28" s="6">
        <f t="shared" si="3"/>
        <v>133</v>
      </c>
      <c r="U28" s="6">
        <f t="shared" si="3"/>
        <v>135</v>
      </c>
      <c r="V28" s="6">
        <f t="shared" si="3"/>
        <v>131</v>
      </c>
      <c r="W28" s="6">
        <f t="shared" si="3"/>
        <v>124</v>
      </c>
      <c r="X28" s="6">
        <f t="shared" si="3"/>
        <v>132</v>
      </c>
      <c r="Y28" s="6">
        <f t="shared" si="3"/>
        <v>209</v>
      </c>
      <c r="Z28" s="6">
        <f t="shared" si="3"/>
        <v>187</v>
      </c>
      <c r="AA28" s="6">
        <f t="shared" si="3"/>
        <v>122</v>
      </c>
      <c r="AB28" s="6">
        <f t="shared" si="3"/>
        <v>135</v>
      </c>
      <c r="AC28" s="6">
        <f t="shared" si="3"/>
        <v>123</v>
      </c>
      <c r="AD28" s="6">
        <f t="shared" si="3"/>
        <v>137</v>
      </c>
      <c r="AE28" s="6">
        <f t="shared" si="3"/>
        <v>0</v>
      </c>
      <c r="AF28" s="6">
        <f t="shared" si="3"/>
        <v>0</v>
      </c>
      <c r="AG28" s="7">
        <f t="shared" si="2"/>
        <v>4102</v>
      </c>
    </row>
    <row r="29" spans="1:33" ht="15.75" customHeight="1" x14ac:dyDescent="0.25">
      <c r="A29" s="53" t="s">
        <v>3</v>
      </c>
      <c r="B29" s="54">
        <v>0</v>
      </c>
      <c r="C29" s="55">
        <v>0</v>
      </c>
      <c r="D29" s="55">
        <v>8</v>
      </c>
      <c r="E29" s="55">
        <v>5</v>
      </c>
      <c r="F29" s="55">
        <v>0</v>
      </c>
      <c r="G29" s="55">
        <v>0</v>
      </c>
      <c r="H29" s="55">
        <v>0</v>
      </c>
      <c r="I29" s="55">
        <v>0</v>
      </c>
      <c r="J29" s="55">
        <v>0</v>
      </c>
      <c r="K29" s="55">
        <v>2</v>
      </c>
      <c r="L29" s="55">
        <v>2</v>
      </c>
      <c r="M29" s="55">
        <v>0</v>
      </c>
      <c r="N29" s="55">
        <v>0</v>
      </c>
      <c r="O29" s="55">
        <v>0</v>
      </c>
      <c r="P29" s="55">
        <v>0</v>
      </c>
      <c r="Q29" s="55">
        <v>0</v>
      </c>
      <c r="R29" s="55">
        <v>3</v>
      </c>
      <c r="S29" s="55">
        <v>4</v>
      </c>
      <c r="T29" s="55">
        <v>0</v>
      </c>
      <c r="U29" s="55">
        <v>0</v>
      </c>
      <c r="V29" s="55">
        <v>0</v>
      </c>
      <c r="W29" s="55">
        <v>0</v>
      </c>
      <c r="X29" s="55">
        <v>0</v>
      </c>
      <c r="Y29" s="55">
        <v>4</v>
      </c>
      <c r="Z29" s="55">
        <v>2</v>
      </c>
      <c r="AA29" s="55">
        <v>0</v>
      </c>
      <c r="AB29" s="55">
        <v>0</v>
      </c>
      <c r="AC29" s="55">
        <v>0</v>
      </c>
      <c r="AD29" s="54">
        <v>0</v>
      </c>
      <c r="AE29" s="54"/>
      <c r="AF29" s="54"/>
      <c r="AG29" s="5">
        <f t="shared" si="2"/>
        <v>30</v>
      </c>
    </row>
    <row r="30" spans="1:33" ht="15.75" customHeight="1" x14ac:dyDescent="0.25">
      <c r="A30" s="56" t="s">
        <v>4</v>
      </c>
      <c r="B30" s="54">
        <v>0</v>
      </c>
      <c r="C30" s="54">
        <v>0</v>
      </c>
      <c r="D30" s="54">
        <v>7</v>
      </c>
      <c r="E30" s="54">
        <v>6</v>
      </c>
      <c r="F30" s="54">
        <v>0</v>
      </c>
      <c r="G30" s="54">
        <v>0</v>
      </c>
      <c r="H30" s="54">
        <v>0</v>
      </c>
      <c r="I30" s="54">
        <v>0</v>
      </c>
      <c r="J30" s="54">
        <v>0</v>
      </c>
      <c r="K30" s="54">
        <v>6</v>
      </c>
      <c r="L30" s="54">
        <v>4</v>
      </c>
      <c r="M30" s="54">
        <v>0</v>
      </c>
      <c r="N30" s="54">
        <v>0</v>
      </c>
      <c r="O30" s="54">
        <v>0</v>
      </c>
      <c r="P30" s="54">
        <v>0</v>
      </c>
      <c r="Q30" s="54">
        <v>0</v>
      </c>
      <c r="R30" s="54">
        <v>11</v>
      </c>
      <c r="S30" s="54">
        <v>4</v>
      </c>
      <c r="T30" s="54">
        <v>0</v>
      </c>
      <c r="U30" s="54">
        <v>0</v>
      </c>
      <c r="V30" s="54">
        <v>0</v>
      </c>
      <c r="W30" s="54">
        <v>0</v>
      </c>
      <c r="X30" s="54">
        <v>0</v>
      </c>
      <c r="Y30" s="54">
        <v>4</v>
      </c>
      <c r="Z30" s="54">
        <v>9</v>
      </c>
      <c r="AA30" s="54">
        <v>0</v>
      </c>
      <c r="AB30" s="54">
        <v>0</v>
      </c>
      <c r="AC30" s="54">
        <v>0</v>
      </c>
      <c r="AD30" s="54">
        <v>0</v>
      </c>
      <c r="AE30" s="54"/>
      <c r="AF30" s="54"/>
      <c r="AG30" s="5">
        <f t="shared" si="2"/>
        <v>51</v>
      </c>
    </row>
    <row r="31" spans="1:33" ht="15.75" customHeight="1" x14ac:dyDescent="0.25">
      <c r="A31" s="56" t="s">
        <v>5</v>
      </c>
      <c r="B31" s="54">
        <v>0</v>
      </c>
      <c r="C31" s="54">
        <v>0</v>
      </c>
      <c r="D31" s="54">
        <v>12</v>
      </c>
      <c r="E31" s="54">
        <v>10</v>
      </c>
      <c r="F31" s="54">
        <v>0</v>
      </c>
      <c r="G31" s="54">
        <v>0</v>
      </c>
      <c r="H31" s="54">
        <v>0</v>
      </c>
      <c r="I31" s="54">
        <v>0</v>
      </c>
      <c r="J31" s="54">
        <v>0</v>
      </c>
      <c r="K31" s="54">
        <v>20</v>
      </c>
      <c r="L31" s="54">
        <v>9</v>
      </c>
      <c r="M31" s="54">
        <v>0</v>
      </c>
      <c r="N31" s="54">
        <v>0</v>
      </c>
      <c r="O31" s="54">
        <v>0</v>
      </c>
      <c r="P31" s="54">
        <v>0</v>
      </c>
      <c r="Q31" s="54">
        <v>0</v>
      </c>
      <c r="R31" s="54">
        <v>8</v>
      </c>
      <c r="S31" s="54">
        <v>8</v>
      </c>
      <c r="T31" s="54">
        <v>0</v>
      </c>
      <c r="U31" s="54">
        <v>0</v>
      </c>
      <c r="V31" s="54">
        <v>0</v>
      </c>
      <c r="W31" s="54">
        <v>0</v>
      </c>
      <c r="X31" s="54">
        <v>0</v>
      </c>
      <c r="Y31" s="54">
        <v>19</v>
      </c>
      <c r="Z31" s="54">
        <v>10</v>
      </c>
      <c r="AA31" s="54">
        <v>0</v>
      </c>
      <c r="AB31" s="54">
        <v>0</v>
      </c>
      <c r="AC31" s="54">
        <v>0</v>
      </c>
      <c r="AD31" s="54">
        <v>0</v>
      </c>
      <c r="AE31" s="54"/>
      <c r="AF31" s="54"/>
      <c r="AG31" s="5">
        <f t="shared" si="2"/>
        <v>96</v>
      </c>
    </row>
    <row r="32" spans="1:33" ht="15.75" customHeight="1" x14ac:dyDescent="0.25">
      <c r="A32" s="56" t="s">
        <v>6</v>
      </c>
      <c r="B32" s="54">
        <v>0</v>
      </c>
      <c r="C32" s="54">
        <v>0</v>
      </c>
      <c r="D32" s="54">
        <v>13</v>
      </c>
      <c r="E32" s="54">
        <v>8</v>
      </c>
      <c r="F32" s="54">
        <v>0</v>
      </c>
      <c r="G32" s="54">
        <v>0</v>
      </c>
      <c r="H32" s="54">
        <v>0</v>
      </c>
      <c r="I32" s="54">
        <v>0</v>
      </c>
      <c r="J32" s="54">
        <v>0</v>
      </c>
      <c r="K32" s="54">
        <v>6</v>
      </c>
      <c r="L32" s="54">
        <v>5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5</v>
      </c>
      <c r="S32" s="54">
        <v>11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15</v>
      </c>
      <c r="Z32" s="54">
        <v>10</v>
      </c>
      <c r="AA32" s="54">
        <v>0</v>
      </c>
      <c r="AB32" s="54">
        <v>0</v>
      </c>
      <c r="AC32" s="54">
        <v>0</v>
      </c>
      <c r="AD32" s="54">
        <v>0</v>
      </c>
      <c r="AE32" s="54"/>
      <c r="AF32" s="54"/>
      <c r="AG32" s="5">
        <f t="shared" si="2"/>
        <v>73</v>
      </c>
    </row>
    <row r="33" spans="1:33" ht="15.75" customHeight="1" x14ac:dyDescent="0.25">
      <c r="A33" s="56" t="s">
        <v>7</v>
      </c>
      <c r="B33" s="54">
        <v>0</v>
      </c>
      <c r="C33" s="54">
        <v>0</v>
      </c>
      <c r="D33" s="54">
        <v>11</v>
      </c>
      <c r="E33" s="54">
        <v>6</v>
      </c>
      <c r="F33" s="54">
        <v>0</v>
      </c>
      <c r="G33" s="54">
        <v>0</v>
      </c>
      <c r="H33" s="54">
        <v>0</v>
      </c>
      <c r="I33" s="54">
        <v>0</v>
      </c>
      <c r="J33" s="54">
        <v>0</v>
      </c>
      <c r="K33" s="54">
        <v>8</v>
      </c>
      <c r="L33" s="54">
        <v>13</v>
      </c>
      <c r="M33" s="54">
        <v>0</v>
      </c>
      <c r="N33" s="54">
        <v>0</v>
      </c>
      <c r="O33" s="54">
        <v>0</v>
      </c>
      <c r="P33" s="54">
        <v>0</v>
      </c>
      <c r="Q33" s="54">
        <v>0</v>
      </c>
      <c r="R33" s="54">
        <v>8</v>
      </c>
      <c r="S33" s="54">
        <v>8</v>
      </c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13</v>
      </c>
      <c r="Z33" s="54">
        <v>12</v>
      </c>
      <c r="AA33" s="54">
        <v>0</v>
      </c>
      <c r="AB33" s="54">
        <v>0</v>
      </c>
      <c r="AC33" s="54">
        <v>0</v>
      </c>
      <c r="AD33" s="54">
        <v>0</v>
      </c>
      <c r="AE33" s="54"/>
      <c r="AF33" s="54"/>
      <c r="AG33" s="5">
        <f t="shared" si="2"/>
        <v>79</v>
      </c>
    </row>
    <row r="34" spans="1:33" ht="15.75" customHeight="1" x14ac:dyDescent="0.25">
      <c r="A34" s="56" t="s">
        <v>8</v>
      </c>
      <c r="B34" s="54">
        <v>0</v>
      </c>
      <c r="C34" s="54">
        <v>0</v>
      </c>
      <c r="D34" s="54">
        <v>10</v>
      </c>
      <c r="E34" s="54">
        <v>10</v>
      </c>
      <c r="F34" s="54">
        <v>0</v>
      </c>
      <c r="G34" s="54">
        <v>0</v>
      </c>
      <c r="H34" s="54">
        <v>0</v>
      </c>
      <c r="I34" s="54">
        <v>0</v>
      </c>
      <c r="J34" s="54">
        <v>0</v>
      </c>
      <c r="K34" s="54">
        <v>9</v>
      </c>
      <c r="L34" s="54">
        <v>17</v>
      </c>
      <c r="M34" s="54">
        <v>0</v>
      </c>
      <c r="N34" s="54">
        <v>0</v>
      </c>
      <c r="O34" s="54">
        <v>0</v>
      </c>
      <c r="P34" s="54">
        <v>0</v>
      </c>
      <c r="Q34" s="54">
        <v>0</v>
      </c>
      <c r="R34" s="54">
        <v>18</v>
      </c>
      <c r="S34" s="54">
        <v>11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7</v>
      </c>
      <c r="Z34" s="54">
        <v>12</v>
      </c>
      <c r="AA34" s="54">
        <v>0</v>
      </c>
      <c r="AB34" s="54">
        <v>0</v>
      </c>
      <c r="AC34" s="54">
        <v>0</v>
      </c>
      <c r="AD34" s="54">
        <v>0</v>
      </c>
      <c r="AE34" s="54"/>
      <c r="AF34" s="54"/>
      <c r="AG34" s="5">
        <f t="shared" si="2"/>
        <v>94</v>
      </c>
    </row>
    <row r="35" spans="1:33" ht="15.75" customHeight="1" x14ac:dyDescent="0.25">
      <c r="A35" s="56" t="s">
        <v>9</v>
      </c>
      <c r="B35" s="54">
        <v>0</v>
      </c>
      <c r="C35" s="54">
        <v>0</v>
      </c>
      <c r="D35" s="54">
        <v>8</v>
      </c>
      <c r="E35" s="54">
        <v>11</v>
      </c>
      <c r="F35" s="54">
        <v>0</v>
      </c>
      <c r="G35" s="54">
        <v>0</v>
      </c>
      <c r="H35" s="54">
        <v>0</v>
      </c>
      <c r="I35" s="54">
        <v>0</v>
      </c>
      <c r="J35" s="54">
        <v>0</v>
      </c>
      <c r="K35" s="54">
        <v>6</v>
      </c>
      <c r="L35" s="54">
        <v>6</v>
      </c>
      <c r="M35" s="54">
        <v>0</v>
      </c>
      <c r="N35" s="54">
        <v>0</v>
      </c>
      <c r="O35" s="54">
        <v>0</v>
      </c>
      <c r="P35" s="54">
        <v>0</v>
      </c>
      <c r="Q35" s="54">
        <v>0</v>
      </c>
      <c r="R35" s="54">
        <v>6</v>
      </c>
      <c r="S35" s="54">
        <v>5</v>
      </c>
      <c r="T35" s="54">
        <v>0</v>
      </c>
      <c r="U35" s="54">
        <v>0</v>
      </c>
      <c r="V35" s="54">
        <v>0</v>
      </c>
      <c r="W35" s="54">
        <v>0</v>
      </c>
      <c r="X35" s="54">
        <v>0</v>
      </c>
      <c r="Y35" s="54">
        <v>14</v>
      </c>
      <c r="Z35" s="54">
        <v>7</v>
      </c>
      <c r="AA35" s="54">
        <v>0</v>
      </c>
      <c r="AB35" s="54">
        <v>0</v>
      </c>
      <c r="AC35" s="54">
        <v>0</v>
      </c>
      <c r="AD35" s="54">
        <v>0</v>
      </c>
      <c r="AE35" s="54"/>
      <c r="AF35" s="54"/>
      <c r="AG35" s="5">
        <f t="shared" si="2"/>
        <v>63</v>
      </c>
    </row>
    <row r="36" spans="1:33" ht="15.75" customHeight="1" x14ac:dyDescent="0.25">
      <c r="A36" s="56" t="s">
        <v>10</v>
      </c>
      <c r="B36" s="54">
        <v>0</v>
      </c>
      <c r="C36" s="54">
        <v>0</v>
      </c>
      <c r="D36" s="54">
        <v>10</v>
      </c>
      <c r="E36" s="54">
        <v>11</v>
      </c>
      <c r="F36" s="54">
        <v>0</v>
      </c>
      <c r="G36" s="54">
        <v>0</v>
      </c>
      <c r="H36" s="54">
        <v>0</v>
      </c>
      <c r="I36" s="54">
        <v>0</v>
      </c>
      <c r="J36" s="54">
        <v>0</v>
      </c>
      <c r="K36" s="54">
        <v>17</v>
      </c>
      <c r="L36" s="54">
        <v>9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54">
        <v>6</v>
      </c>
      <c r="S36" s="54">
        <v>15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13</v>
      </c>
      <c r="Z36" s="54">
        <v>7</v>
      </c>
      <c r="AA36" s="54">
        <v>0</v>
      </c>
      <c r="AB36" s="54">
        <v>0</v>
      </c>
      <c r="AC36" s="54">
        <v>0</v>
      </c>
      <c r="AD36" s="54">
        <v>0</v>
      </c>
      <c r="AE36" s="54"/>
      <c r="AF36" s="54"/>
      <c r="AG36" s="5">
        <f t="shared" si="2"/>
        <v>88</v>
      </c>
    </row>
    <row r="37" spans="1:33" ht="15.75" customHeight="1" x14ac:dyDescent="0.25">
      <c r="A37" s="56" t="s">
        <v>11</v>
      </c>
      <c r="B37" s="54">
        <v>0</v>
      </c>
      <c r="C37" s="54">
        <v>0</v>
      </c>
      <c r="D37" s="54">
        <v>14</v>
      </c>
      <c r="E37" s="54">
        <v>10</v>
      </c>
      <c r="F37" s="54">
        <v>0</v>
      </c>
      <c r="G37" s="54">
        <v>0</v>
      </c>
      <c r="H37" s="54">
        <v>0</v>
      </c>
      <c r="I37" s="54">
        <v>0</v>
      </c>
      <c r="J37" s="54">
        <v>7</v>
      </c>
      <c r="K37" s="54">
        <v>10</v>
      </c>
      <c r="L37" s="54">
        <v>13</v>
      </c>
      <c r="M37" s="54">
        <v>0</v>
      </c>
      <c r="N37" s="54">
        <v>0</v>
      </c>
      <c r="O37" s="54">
        <v>0</v>
      </c>
      <c r="P37" s="54">
        <v>0</v>
      </c>
      <c r="Q37" s="54">
        <v>0</v>
      </c>
      <c r="R37" s="54">
        <v>13</v>
      </c>
      <c r="S37" s="54">
        <v>9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15</v>
      </c>
      <c r="Z37" s="54">
        <v>16</v>
      </c>
      <c r="AA37" s="54">
        <v>0</v>
      </c>
      <c r="AB37" s="54">
        <v>0</v>
      </c>
      <c r="AC37" s="54">
        <v>0</v>
      </c>
      <c r="AD37" s="54">
        <v>0</v>
      </c>
      <c r="AE37" s="54"/>
      <c r="AF37" s="54"/>
      <c r="AG37" s="5">
        <f t="shared" si="2"/>
        <v>107</v>
      </c>
    </row>
    <row r="38" spans="1:33" ht="15.75" customHeight="1" x14ac:dyDescent="0.25">
      <c r="A38" s="56" t="s">
        <v>12</v>
      </c>
      <c r="B38" s="54">
        <v>8</v>
      </c>
      <c r="C38" s="54">
        <v>16</v>
      </c>
      <c r="D38" s="54">
        <v>20</v>
      </c>
      <c r="E38" s="54">
        <v>11</v>
      </c>
      <c r="F38" s="54">
        <v>12</v>
      </c>
      <c r="G38" s="54">
        <v>9</v>
      </c>
      <c r="H38" s="54">
        <v>9</v>
      </c>
      <c r="I38" s="54">
        <v>9</v>
      </c>
      <c r="J38" s="54">
        <v>9</v>
      </c>
      <c r="K38" s="54">
        <v>15</v>
      </c>
      <c r="L38" s="54">
        <v>17</v>
      </c>
      <c r="M38" s="54">
        <v>10</v>
      </c>
      <c r="N38" s="54">
        <v>12</v>
      </c>
      <c r="O38" s="54">
        <v>10</v>
      </c>
      <c r="P38" s="54">
        <v>15</v>
      </c>
      <c r="Q38" s="54">
        <v>14</v>
      </c>
      <c r="R38" s="54">
        <v>8</v>
      </c>
      <c r="S38" s="54">
        <v>16</v>
      </c>
      <c r="T38" s="54">
        <v>10</v>
      </c>
      <c r="U38" s="54">
        <v>8</v>
      </c>
      <c r="V38" s="54">
        <v>11</v>
      </c>
      <c r="W38" s="54">
        <v>7</v>
      </c>
      <c r="X38" s="54">
        <v>10</v>
      </c>
      <c r="Y38" s="54">
        <v>11</v>
      </c>
      <c r="Z38" s="54">
        <v>15</v>
      </c>
      <c r="AA38" s="54">
        <v>8</v>
      </c>
      <c r="AB38" s="54">
        <v>11</v>
      </c>
      <c r="AC38" s="54">
        <v>13</v>
      </c>
      <c r="AD38" s="54">
        <v>11</v>
      </c>
      <c r="AE38" s="54"/>
      <c r="AF38" s="54"/>
      <c r="AG38" s="5">
        <f t="shared" si="2"/>
        <v>335</v>
      </c>
    </row>
    <row r="39" spans="1:33" ht="15.75" customHeight="1" x14ac:dyDescent="0.25">
      <c r="A39" s="56" t="s">
        <v>13</v>
      </c>
      <c r="B39" s="54">
        <v>19</v>
      </c>
      <c r="C39" s="54">
        <v>19</v>
      </c>
      <c r="D39" s="54">
        <v>3</v>
      </c>
      <c r="E39" s="54">
        <v>9</v>
      </c>
      <c r="F39" s="54">
        <v>20</v>
      </c>
      <c r="G39" s="54">
        <v>24</v>
      </c>
      <c r="H39" s="54">
        <v>15</v>
      </c>
      <c r="I39" s="54">
        <v>11</v>
      </c>
      <c r="J39" s="54">
        <v>14</v>
      </c>
      <c r="K39" s="54">
        <v>4</v>
      </c>
      <c r="L39" s="54">
        <v>12</v>
      </c>
      <c r="M39" s="54">
        <v>23</v>
      </c>
      <c r="N39" s="54">
        <v>24</v>
      </c>
      <c r="O39" s="54">
        <v>17</v>
      </c>
      <c r="P39" s="54">
        <v>19</v>
      </c>
      <c r="Q39" s="54">
        <v>16</v>
      </c>
      <c r="R39" s="54">
        <v>14</v>
      </c>
      <c r="S39" s="54">
        <v>15</v>
      </c>
      <c r="T39" s="54">
        <v>15</v>
      </c>
      <c r="U39" s="54">
        <v>18</v>
      </c>
      <c r="V39" s="54">
        <v>16</v>
      </c>
      <c r="W39" s="54">
        <v>20</v>
      </c>
      <c r="X39" s="54">
        <v>19</v>
      </c>
      <c r="Y39" s="54">
        <v>11</v>
      </c>
      <c r="Z39" s="54">
        <v>13</v>
      </c>
      <c r="AA39" s="54">
        <v>18</v>
      </c>
      <c r="AB39" s="54">
        <v>10</v>
      </c>
      <c r="AC39" s="54">
        <v>16</v>
      </c>
      <c r="AD39" s="54">
        <v>18</v>
      </c>
      <c r="AE39" s="54"/>
      <c r="AF39" s="54"/>
      <c r="AG39" s="5">
        <f t="shared" si="2"/>
        <v>452</v>
      </c>
    </row>
    <row r="40" spans="1:33" ht="15.75" customHeight="1" x14ac:dyDescent="0.25">
      <c r="A40" s="56" t="s">
        <v>14</v>
      </c>
      <c r="B40" s="54">
        <v>30</v>
      </c>
      <c r="C40" s="54">
        <v>18</v>
      </c>
      <c r="D40" s="54">
        <v>14</v>
      </c>
      <c r="E40" s="54">
        <v>9</v>
      </c>
      <c r="F40" s="54">
        <v>25</v>
      </c>
      <c r="G40" s="54">
        <v>21</v>
      </c>
      <c r="H40" s="54">
        <v>23</v>
      </c>
      <c r="I40" s="54">
        <v>16</v>
      </c>
      <c r="J40" s="54">
        <v>14</v>
      </c>
      <c r="K40" s="54">
        <v>14</v>
      </c>
      <c r="L40" s="54">
        <v>12</v>
      </c>
      <c r="M40" s="54">
        <v>21</v>
      </c>
      <c r="N40" s="54">
        <v>25</v>
      </c>
      <c r="O40" s="54">
        <v>22</v>
      </c>
      <c r="P40" s="54">
        <v>27</v>
      </c>
      <c r="Q40" s="54">
        <v>27</v>
      </c>
      <c r="R40" s="54">
        <v>10</v>
      </c>
      <c r="S40" s="54">
        <v>16</v>
      </c>
      <c r="T40" s="54">
        <v>19</v>
      </c>
      <c r="U40" s="54">
        <v>20</v>
      </c>
      <c r="V40" s="54">
        <v>22</v>
      </c>
      <c r="W40" s="54">
        <v>22</v>
      </c>
      <c r="X40" s="54">
        <v>15</v>
      </c>
      <c r="Y40" s="54">
        <v>12</v>
      </c>
      <c r="Z40" s="54">
        <v>11</v>
      </c>
      <c r="AA40" s="54">
        <v>24</v>
      </c>
      <c r="AB40" s="54">
        <v>21</v>
      </c>
      <c r="AC40" s="54">
        <v>19</v>
      </c>
      <c r="AD40" s="54">
        <v>22</v>
      </c>
      <c r="AE40" s="54"/>
      <c r="AF40" s="54"/>
      <c r="AG40" s="5">
        <f t="shared" si="2"/>
        <v>551</v>
      </c>
    </row>
    <row r="41" spans="1:33" ht="15.75" customHeight="1" x14ac:dyDescent="0.25">
      <c r="A41" s="56" t="s">
        <v>15</v>
      </c>
      <c r="B41" s="54">
        <v>15</v>
      </c>
      <c r="C41" s="54">
        <v>14</v>
      </c>
      <c r="D41" s="54">
        <v>18</v>
      </c>
      <c r="E41" s="54">
        <v>8</v>
      </c>
      <c r="F41" s="54">
        <v>21</v>
      </c>
      <c r="G41" s="54">
        <v>15</v>
      </c>
      <c r="H41" s="54">
        <v>21</v>
      </c>
      <c r="I41" s="54">
        <v>15</v>
      </c>
      <c r="J41" s="54">
        <v>21</v>
      </c>
      <c r="K41" s="54">
        <v>6</v>
      </c>
      <c r="L41" s="54">
        <v>9</v>
      </c>
      <c r="M41" s="54">
        <v>19</v>
      </c>
      <c r="N41" s="54">
        <v>20</v>
      </c>
      <c r="O41" s="54">
        <v>14</v>
      </c>
      <c r="P41" s="54">
        <v>21</v>
      </c>
      <c r="Q41" s="54">
        <v>19</v>
      </c>
      <c r="R41" s="54">
        <v>6</v>
      </c>
      <c r="S41" s="54">
        <v>7</v>
      </c>
      <c r="T41" s="54">
        <v>15</v>
      </c>
      <c r="U41" s="54">
        <v>16</v>
      </c>
      <c r="V41" s="54">
        <v>18</v>
      </c>
      <c r="W41" s="54">
        <v>27</v>
      </c>
      <c r="X41" s="54">
        <v>27</v>
      </c>
      <c r="Y41" s="54">
        <v>10</v>
      </c>
      <c r="Z41" s="54">
        <v>11</v>
      </c>
      <c r="AA41" s="54">
        <v>21</v>
      </c>
      <c r="AB41" s="54">
        <v>16</v>
      </c>
      <c r="AC41" s="54">
        <v>21</v>
      </c>
      <c r="AD41" s="54">
        <v>26</v>
      </c>
      <c r="AE41" s="54"/>
      <c r="AF41" s="54"/>
      <c r="AG41" s="5">
        <f t="shared" si="2"/>
        <v>477</v>
      </c>
    </row>
    <row r="42" spans="1:33" ht="15.75" customHeight="1" x14ac:dyDescent="0.25">
      <c r="A42" s="56" t="s">
        <v>16</v>
      </c>
      <c r="B42" s="54">
        <v>10</v>
      </c>
      <c r="C42" s="54">
        <v>14</v>
      </c>
      <c r="D42" s="54">
        <v>6</v>
      </c>
      <c r="E42" s="54">
        <v>11</v>
      </c>
      <c r="F42" s="54">
        <v>20</v>
      </c>
      <c r="G42" s="54">
        <v>12</v>
      </c>
      <c r="H42" s="54">
        <v>18</v>
      </c>
      <c r="I42" s="54">
        <v>12</v>
      </c>
      <c r="J42" s="54">
        <v>13</v>
      </c>
      <c r="K42" s="54">
        <v>6</v>
      </c>
      <c r="L42" s="54">
        <v>9</v>
      </c>
      <c r="M42" s="54">
        <v>20</v>
      </c>
      <c r="N42" s="54">
        <v>17</v>
      </c>
      <c r="O42" s="54">
        <v>16</v>
      </c>
      <c r="P42" s="54">
        <v>6</v>
      </c>
      <c r="Q42" s="54">
        <v>5</v>
      </c>
      <c r="R42" s="54">
        <v>10</v>
      </c>
      <c r="S42" s="54">
        <v>12</v>
      </c>
      <c r="T42" s="54">
        <v>21</v>
      </c>
      <c r="U42" s="54">
        <v>11</v>
      </c>
      <c r="V42" s="54">
        <v>12</v>
      </c>
      <c r="W42" s="54">
        <v>13</v>
      </c>
      <c r="X42" s="54">
        <v>18</v>
      </c>
      <c r="Y42" s="54">
        <v>8</v>
      </c>
      <c r="Z42" s="54">
        <v>10</v>
      </c>
      <c r="AA42" s="54">
        <v>19</v>
      </c>
      <c r="AB42" s="54">
        <v>18</v>
      </c>
      <c r="AC42" s="54">
        <v>12</v>
      </c>
      <c r="AD42" s="54">
        <v>9</v>
      </c>
      <c r="AE42" s="54"/>
      <c r="AF42" s="54"/>
      <c r="AG42" s="5">
        <f t="shared" si="2"/>
        <v>368</v>
      </c>
    </row>
    <row r="43" spans="1:33" ht="15.75" customHeight="1" x14ac:dyDescent="0.25">
      <c r="A43" s="56" t="s">
        <v>17</v>
      </c>
      <c r="B43" s="54">
        <v>6</v>
      </c>
      <c r="C43" s="54">
        <v>1</v>
      </c>
      <c r="D43" s="54">
        <v>7</v>
      </c>
      <c r="E43" s="54">
        <v>5</v>
      </c>
      <c r="F43" s="54">
        <v>12</v>
      </c>
      <c r="G43" s="54">
        <v>10</v>
      </c>
      <c r="H43" s="54">
        <v>7</v>
      </c>
      <c r="I43" s="54">
        <v>13</v>
      </c>
      <c r="J43" s="54">
        <v>9</v>
      </c>
      <c r="K43" s="54">
        <v>6</v>
      </c>
      <c r="L43" s="54">
        <v>4</v>
      </c>
      <c r="M43" s="54">
        <v>8</v>
      </c>
      <c r="N43" s="54">
        <v>6</v>
      </c>
      <c r="O43" s="54">
        <v>7</v>
      </c>
      <c r="P43" s="54">
        <v>7</v>
      </c>
      <c r="Q43" s="54">
        <v>11</v>
      </c>
      <c r="R43" s="54">
        <v>9</v>
      </c>
      <c r="S43" s="54">
        <v>4</v>
      </c>
      <c r="T43" s="54">
        <v>13</v>
      </c>
      <c r="U43" s="54">
        <v>14</v>
      </c>
      <c r="V43" s="54">
        <v>10</v>
      </c>
      <c r="W43" s="54">
        <v>6</v>
      </c>
      <c r="X43" s="54">
        <v>3</v>
      </c>
      <c r="Y43" s="54">
        <v>7</v>
      </c>
      <c r="Z43" s="54">
        <v>11</v>
      </c>
      <c r="AA43" s="54">
        <v>8</v>
      </c>
      <c r="AB43" s="54">
        <v>11</v>
      </c>
      <c r="AC43" s="54">
        <v>11</v>
      </c>
      <c r="AD43" s="54">
        <v>10</v>
      </c>
      <c r="AE43" s="54"/>
      <c r="AF43" s="54"/>
      <c r="AG43" s="5">
        <f t="shared" si="2"/>
        <v>236</v>
      </c>
    </row>
    <row r="44" spans="1:33" ht="15.75" customHeight="1" x14ac:dyDescent="0.25">
      <c r="A44" s="56" t="s">
        <v>18</v>
      </c>
      <c r="B44" s="54">
        <v>6</v>
      </c>
      <c r="C44" s="54">
        <v>10</v>
      </c>
      <c r="D44" s="54">
        <v>5</v>
      </c>
      <c r="E44" s="54">
        <v>11</v>
      </c>
      <c r="F44" s="54">
        <v>9</v>
      </c>
      <c r="G44" s="54">
        <v>7</v>
      </c>
      <c r="H44" s="54">
        <v>8</v>
      </c>
      <c r="I44" s="54">
        <v>9</v>
      </c>
      <c r="J44" s="54">
        <v>5</v>
      </c>
      <c r="K44" s="54">
        <v>9</v>
      </c>
      <c r="L44" s="54">
        <v>7</v>
      </c>
      <c r="M44" s="54">
        <v>4</v>
      </c>
      <c r="N44" s="54">
        <v>8</v>
      </c>
      <c r="O44" s="54">
        <v>5</v>
      </c>
      <c r="P44" s="54">
        <v>6</v>
      </c>
      <c r="Q44" s="54">
        <v>9</v>
      </c>
      <c r="R44" s="54">
        <v>7</v>
      </c>
      <c r="S44" s="54">
        <v>4</v>
      </c>
      <c r="T44" s="54">
        <v>7</v>
      </c>
      <c r="U44" s="54">
        <v>12</v>
      </c>
      <c r="V44" s="54">
        <v>10</v>
      </c>
      <c r="W44" s="54">
        <v>6</v>
      </c>
      <c r="X44" s="54">
        <v>11</v>
      </c>
      <c r="Y44" s="54">
        <v>6</v>
      </c>
      <c r="Z44" s="54">
        <v>9</v>
      </c>
      <c r="AA44" s="54">
        <v>4</v>
      </c>
      <c r="AB44" s="54">
        <v>7</v>
      </c>
      <c r="AC44" s="54">
        <v>11</v>
      </c>
      <c r="AD44" s="54">
        <v>9</v>
      </c>
      <c r="AE44" s="54"/>
      <c r="AF44" s="54"/>
      <c r="AG44" s="5">
        <f t="shared" si="2"/>
        <v>221</v>
      </c>
    </row>
    <row r="45" spans="1:33" ht="15.75" customHeight="1" x14ac:dyDescent="0.25">
      <c r="A45" s="56" t="s">
        <v>19</v>
      </c>
      <c r="B45" s="54">
        <v>8</v>
      </c>
      <c r="C45" s="54">
        <v>6</v>
      </c>
      <c r="D45" s="54">
        <v>6</v>
      </c>
      <c r="E45" s="54">
        <v>7</v>
      </c>
      <c r="F45" s="54">
        <v>6</v>
      </c>
      <c r="G45" s="54">
        <v>11</v>
      </c>
      <c r="H45" s="54">
        <v>6</v>
      </c>
      <c r="I45" s="54">
        <v>7</v>
      </c>
      <c r="J45" s="54">
        <v>7</v>
      </c>
      <c r="K45" s="54">
        <v>7</v>
      </c>
      <c r="L45" s="54">
        <v>8</v>
      </c>
      <c r="M45" s="54">
        <v>12</v>
      </c>
      <c r="N45" s="54">
        <v>4</v>
      </c>
      <c r="O45" s="54">
        <v>9</v>
      </c>
      <c r="P45" s="54">
        <v>7</v>
      </c>
      <c r="Q45" s="54">
        <v>11</v>
      </c>
      <c r="R45" s="54">
        <v>2</v>
      </c>
      <c r="S45" s="54">
        <v>11</v>
      </c>
      <c r="T45" s="54">
        <v>9</v>
      </c>
      <c r="U45" s="54">
        <v>12</v>
      </c>
      <c r="V45" s="54">
        <v>12</v>
      </c>
      <c r="W45" s="54">
        <v>3</v>
      </c>
      <c r="X45" s="54">
        <v>6</v>
      </c>
      <c r="Y45" s="54">
        <v>9</v>
      </c>
      <c r="Z45" s="54">
        <v>8</v>
      </c>
      <c r="AA45" s="54">
        <v>11</v>
      </c>
      <c r="AB45" s="54">
        <v>9</v>
      </c>
      <c r="AC45" s="54">
        <v>12</v>
      </c>
      <c r="AD45" s="54">
        <v>10</v>
      </c>
      <c r="AE45" s="54"/>
      <c r="AF45" s="54"/>
      <c r="AG45" s="5">
        <f t="shared" si="2"/>
        <v>236</v>
      </c>
    </row>
    <row r="46" spans="1:33" ht="15.75" customHeight="1" x14ac:dyDescent="0.25">
      <c r="A46" s="56" t="s">
        <v>20</v>
      </c>
      <c r="B46" s="54">
        <v>9</v>
      </c>
      <c r="C46" s="54">
        <v>0</v>
      </c>
      <c r="D46" s="54">
        <v>2</v>
      </c>
      <c r="E46" s="54">
        <v>9</v>
      </c>
      <c r="F46" s="54">
        <v>2</v>
      </c>
      <c r="G46" s="54">
        <v>12</v>
      </c>
      <c r="H46" s="54">
        <v>10</v>
      </c>
      <c r="I46" s="54">
        <v>5</v>
      </c>
      <c r="J46" s="54">
        <v>4</v>
      </c>
      <c r="K46" s="54">
        <v>4</v>
      </c>
      <c r="L46" s="54">
        <v>4</v>
      </c>
      <c r="M46" s="54">
        <v>18</v>
      </c>
      <c r="N46" s="54">
        <v>3</v>
      </c>
      <c r="O46" s="54">
        <v>9</v>
      </c>
      <c r="P46" s="54">
        <v>4</v>
      </c>
      <c r="Q46" s="54">
        <v>9</v>
      </c>
      <c r="R46" s="54">
        <v>8</v>
      </c>
      <c r="S46" s="54">
        <v>4</v>
      </c>
      <c r="T46" s="54">
        <v>7</v>
      </c>
      <c r="U46" s="54">
        <v>5</v>
      </c>
      <c r="V46" s="54">
        <v>9</v>
      </c>
      <c r="W46" s="54">
        <v>4</v>
      </c>
      <c r="X46" s="54">
        <v>12</v>
      </c>
      <c r="Y46" s="54">
        <v>10</v>
      </c>
      <c r="Z46" s="54">
        <v>0</v>
      </c>
      <c r="AA46" s="54">
        <v>3</v>
      </c>
      <c r="AB46" s="54">
        <v>12</v>
      </c>
      <c r="AC46" s="54">
        <v>3</v>
      </c>
      <c r="AD46" s="54">
        <v>6</v>
      </c>
      <c r="AE46" s="54"/>
      <c r="AF46" s="54"/>
      <c r="AG46" s="5">
        <f t="shared" si="2"/>
        <v>187</v>
      </c>
    </row>
    <row r="47" spans="1:33" ht="15.75" customHeight="1" x14ac:dyDescent="0.25">
      <c r="A47" s="56" t="s">
        <v>21</v>
      </c>
      <c r="B47" s="54">
        <v>7</v>
      </c>
      <c r="C47" s="54">
        <v>3</v>
      </c>
      <c r="D47" s="54">
        <v>2</v>
      </c>
      <c r="E47" s="54">
        <v>3</v>
      </c>
      <c r="F47" s="54">
        <v>4</v>
      </c>
      <c r="G47" s="54">
        <v>2</v>
      </c>
      <c r="H47" s="54">
        <v>1</v>
      </c>
      <c r="I47" s="54">
        <v>6</v>
      </c>
      <c r="J47" s="54">
        <v>4</v>
      </c>
      <c r="K47" s="54">
        <v>1</v>
      </c>
      <c r="L47" s="54">
        <v>4</v>
      </c>
      <c r="M47" s="54">
        <v>3</v>
      </c>
      <c r="N47" s="54">
        <v>7</v>
      </c>
      <c r="O47" s="54">
        <v>4</v>
      </c>
      <c r="P47" s="54">
        <v>0</v>
      </c>
      <c r="Q47" s="54">
        <v>1</v>
      </c>
      <c r="R47" s="54">
        <v>4</v>
      </c>
      <c r="S47" s="54">
        <v>1</v>
      </c>
      <c r="T47" s="54">
        <v>7</v>
      </c>
      <c r="U47" s="54">
        <v>10</v>
      </c>
      <c r="V47" s="54">
        <v>5</v>
      </c>
      <c r="W47" s="54">
        <v>3</v>
      </c>
      <c r="X47" s="54">
        <v>5</v>
      </c>
      <c r="Y47" s="54">
        <v>10</v>
      </c>
      <c r="Z47" s="54">
        <v>2</v>
      </c>
      <c r="AA47" s="54">
        <v>2</v>
      </c>
      <c r="AB47" s="54">
        <v>11</v>
      </c>
      <c r="AC47" s="54">
        <v>0</v>
      </c>
      <c r="AD47" s="54">
        <v>8</v>
      </c>
      <c r="AE47" s="54"/>
      <c r="AF47" s="54"/>
      <c r="AG47" s="5">
        <f t="shared" si="2"/>
        <v>120</v>
      </c>
    </row>
    <row r="48" spans="1:33" ht="15.75" customHeight="1" x14ac:dyDescent="0.25">
      <c r="A48" s="56" t="s">
        <v>22</v>
      </c>
      <c r="B48" s="54">
        <v>4</v>
      </c>
      <c r="C48" s="54">
        <v>3</v>
      </c>
      <c r="D48" s="54">
        <v>1</v>
      </c>
      <c r="E48" s="54">
        <v>3</v>
      </c>
      <c r="F48" s="54">
        <v>4</v>
      </c>
      <c r="G48" s="54">
        <v>3</v>
      </c>
      <c r="H48" s="54">
        <v>1</v>
      </c>
      <c r="I48" s="54">
        <v>3</v>
      </c>
      <c r="J48" s="54">
        <v>0</v>
      </c>
      <c r="K48" s="54">
        <v>1</v>
      </c>
      <c r="L48" s="54">
        <v>2</v>
      </c>
      <c r="M48" s="54">
        <v>1</v>
      </c>
      <c r="N48" s="54">
        <v>2</v>
      </c>
      <c r="O48" s="54">
        <v>1</v>
      </c>
      <c r="P48" s="54">
        <v>0</v>
      </c>
      <c r="Q48" s="54">
        <v>2</v>
      </c>
      <c r="R48" s="54">
        <v>2</v>
      </c>
      <c r="S48" s="54">
        <v>2</v>
      </c>
      <c r="T48" s="54">
        <v>3</v>
      </c>
      <c r="U48" s="54">
        <v>3</v>
      </c>
      <c r="V48" s="54">
        <v>1</v>
      </c>
      <c r="W48" s="54">
        <v>4</v>
      </c>
      <c r="X48" s="54">
        <v>0</v>
      </c>
      <c r="Y48" s="54">
        <v>7</v>
      </c>
      <c r="Z48" s="54">
        <v>3</v>
      </c>
      <c r="AA48" s="54">
        <v>2</v>
      </c>
      <c r="AB48" s="54">
        <v>2</v>
      </c>
      <c r="AC48" s="54">
        <v>5</v>
      </c>
      <c r="AD48" s="54">
        <v>1</v>
      </c>
      <c r="AE48" s="54"/>
      <c r="AF48" s="54"/>
      <c r="AG48" s="5">
        <f t="shared" si="2"/>
        <v>66</v>
      </c>
    </row>
    <row r="49" spans="1:33" ht="15.75" customHeight="1" x14ac:dyDescent="0.25">
      <c r="A49" s="56" t="s">
        <v>23</v>
      </c>
      <c r="B49" s="54">
        <v>0</v>
      </c>
      <c r="C49" s="54">
        <v>1</v>
      </c>
      <c r="D49" s="54">
        <v>0</v>
      </c>
      <c r="E49" s="54">
        <v>5</v>
      </c>
      <c r="F49" s="54">
        <v>0</v>
      </c>
      <c r="G49" s="54">
        <v>2</v>
      </c>
      <c r="H49" s="54">
        <v>2</v>
      </c>
      <c r="I49" s="54">
        <v>9</v>
      </c>
      <c r="J49" s="54">
        <v>3</v>
      </c>
      <c r="K49" s="54">
        <v>1</v>
      </c>
      <c r="L49" s="54">
        <v>0</v>
      </c>
      <c r="M49" s="54">
        <v>0</v>
      </c>
      <c r="N49" s="54">
        <v>2</v>
      </c>
      <c r="O49" s="54">
        <v>3</v>
      </c>
      <c r="P49" s="54">
        <v>1</v>
      </c>
      <c r="Q49" s="54">
        <v>1</v>
      </c>
      <c r="R49" s="54">
        <v>0</v>
      </c>
      <c r="S49" s="54">
        <v>0</v>
      </c>
      <c r="T49" s="54">
        <v>3</v>
      </c>
      <c r="U49" s="54">
        <v>2</v>
      </c>
      <c r="V49" s="54">
        <v>0</v>
      </c>
      <c r="W49" s="54">
        <v>5</v>
      </c>
      <c r="X49" s="54">
        <v>0</v>
      </c>
      <c r="Y49" s="54">
        <v>1</v>
      </c>
      <c r="Z49" s="54">
        <v>0</v>
      </c>
      <c r="AA49" s="54">
        <v>1</v>
      </c>
      <c r="AB49" s="54">
        <v>0</v>
      </c>
      <c r="AC49" s="54">
        <v>0</v>
      </c>
      <c r="AD49" s="54">
        <v>3</v>
      </c>
      <c r="AE49" s="54"/>
      <c r="AF49" s="54"/>
      <c r="AG49" s="5">
        <f t="shared" si="2"/>
        <v>45</v>
      </c>
    </row>
    <row r="50" spans="1:33" ht="15.75" customHeight="1" x14ac:dyDescent="0.25">
      <c r="A50" s="56" t="s">
        <v>24</v>
      </c>
      <c r="B50" s="54">
        <v>2</v>
      </c>
      <c r="C50" s="54">
        <v>1</v>
      </c>
      <c r="D50" s="54">
        <v>1</v>
      </c>
      <c r="E50" s="54">
        <v>11</v>
      </c>
      <c r="F50" s="54">
        <v>3</v>
      </c>
      <c r="G50" s="54">
        <v>0</v>
      </c>
      <c r="H50" s="54">
        <v>0</v>
      </c>
      <c r="I50" s="54">
        <v>2</v>
      </c>
      <c r="J50" s="54">
        <v>0</v>
      </c>
      <c r="K50" s="54">
        <v>1</v>
      </c>
      <c r="L50" s="54">
        <v>0</v>
      </c>
      <c r="M50" s="54">
        <v>1</v>
      </c>
      <c r="N50" s="54">
        <v>2</v>
      </c>
      <c r="O50" s="54">
        <v>2</v>
      </c>
      <c r="P50" s="54">
        <v>3</v>
      </c>
      <c r="Q50" s="54">
        <v>0</v>
      </c>
      <c r="R50" s="54">
        <v>2</v>
      </c>
      <c r="S50" s="54">
        <v>1</v>
      </c>
      <c r="T50" s="54">
        <v>2</v>
      </c>
      <c r="U50" s="54">
        <v>0</v>
      </c>
      <c r="V50" s="54">
        <v>2</v>
      </c>
      <c r="W50" s="54">
        <v>0</v>
      </c>
      <c r="X50" s="54">
        <v>2</v>
      </c>
      <c r="Y50" s="54">
        <v>0</v>
      </c>
      <c r="Z50" s="54">
        <v>3</v>
      </c>
      <c r="AA50" s="54">
        <v>1</v>
      </c>
      <c r="AB50" s="54">
        <v>4</v>
      </c>
      <c r="AC50" s="54">
        <v>0</v>
      </c>
      <c r="AD50" s="54">
        <v>2</v>
      </c>
      <c r="AE50" s="54"/>
      <c r="AF50" s="54"/>
      <c r="AG50" s="5">
        <f t="shared" si="2"/>
        <v>48</v>
      </c>
    </row>
    <row r="51" spans="1:33" ht="15.75" customHeight="1" x14ac:dyDescent="0.25">
      <c r="A51" s="56" t="s">
        <v>25</v>
      </c>
      <c r="B51" s="54">
        <v>1</v>
      </c>
      <c r="C51" s="54">
        <v>7</v>
      </c>
      <c r="D51" s="54">
        <v>2</v>
      </c>
      <c r="E51" s="54">
        <v>1</v>
      </c>
      <c r="F51" s="54">
        <v>3</v>
      </c>
      <c r="G51" s="54">
        <v>1</v>
      </c>
      <c r="H51" s="54">
        <v>0</v>
      </c>
      <c r="I51" s="54">
        <v>3</v>
      </c>
      <c r="J51" s="54">
        <v>3</v>
      </c>
      <c r="K51" s="54">
        <v>0</v>
      </c>
      <c r="L51" s="54">
        <v>2</v>
      </c>
      <c r="M51" s="54">
        <v>1</v>
      </c>
      <c r="N51" s="54">
        <v>0</v>
      </c>
      <c r="O51" s="54">
        <v>1</v>
      </c>
      <c r="P51" s="54">
        <v>0</v>
      </c>
      <c r="Q51" s="54">
        <v>1</v>
      </c>
      <c r="R51" s="54">
        <v>2</v>
      </c>
      <c r="S51" s="54">
        <v>1</v>
      </c>
      <c r="T51" s="54">
        <v>2</v>
      </c>
      <c r="U51" s="54">
        <v>2</v>
      </c>
      <c r="V51" s="54">
        <v>2</v>
      </c>
      <c r="W51" s="54">
        <v>3</v>
      </c>
      <c r="X51" s="54">
        <v>2</v>
      </c>
      <c r="Y51" s="54">
        <v>3</v>
      </c>
      <c r="Z51" s="54">
        <v>4</v>
      </c>
      <c r="AA51" s="54">
        <v>0</v>
      </c>
      <c r="AB51" s="54">
        <v>3</v>
      </c>
      <c r="AC51" s="54">
        <v>0</v>
      </c>
      <c r="AD51" s="54">
        <v>2</v>
      </c>
      <c r="AE51" s="54"/>
      <c r="AF51" s="54"/>
      <c r="AG51" s="5">
        <f t="shared" si="2"/>
        <v>52</v>
      </c>
    </row>
    <row r="52" spans="1:33" ht="15.75" customHeight="1" thickBot="1" x14ac:dyDescent="0.3">
      <c r="A52" s="57" t="s">
        <v>26</v>
      </c>
      <c r="B52" s="58">
        <v>0</v>
      </c>
      <c r="C52" s="58">
        <v>0</v>
      </c>
      <c r="D52" s="58">
        <v>1</v>
      </c>
      <c r="E52" s="58">
        <v>2</v>
      </c>
      <c r="F52" s="58">
        <v>0</v>
      </c>
      <c r="G52" s="58">
        <v>0</v>
      </c>
      <c r="H52" s="58">
        <v>3</v>
      </c>
      <c r="I52" s="58">
        <v>0</v>
      </c>
      <c r="J52" s="58">
        <v>0</v>
      </c>
      <c r="K52" s="58">
        <v>2</v>
      </c>
      <c r="L52" s="58">
        <v>3</v>
      </c>
      <c r="M52" s="58">
        <v>0</v>
      </c>
      <c r="N52" s="58">
        <v>0</v>
      </c>
      <c r="O52" s="58">
        <v>0</v>
      </c>
      <c r="P52" s="58">
        <v>0</v>
      </c>
      <c r="Q52" s="58">
        <v>5</v>
      </c>
      <c r="R52" s="58">
        <v>3</v>
      </c>
      <c r="S52" s="58">
        <v>0</v>
      </c>
      <c r="T52" s="58">
        <v>0</v>
      </c>
      <c r="U52" s="58">
        <v>2</v>
      </c>
      <c r="V52" s="58">
        <v>1</v>
      </c>
      <c r="W52" s="58">
        <v>1</v>
      </c>
      <c r="X52" s="58">
        <v>2</v>
      </c>
      <c r="Y52" s="58">
        <v>0</v>
      </c>
      <c r="Z52" s="58">
        <v>2</v>
      </c>
      <c r="AA52" s="58">
        <v>0</v>
      </c>
      <c r="AB52" s="58">
        <v>0</v>
      </c>
      <c r="AC52" s="58">
        <v>0</v>
      </c>
      <c r="AD52" s="60">
        <v>0</v>
      </c>
      <c r="AE52" s="60"/>
      <c r="AF52" s="60"/>
      <c r="AG52" s="9">
        <f t="shared" si="2"/>
        <v>27</v>
      </c>
    </row>
    <row r="53" spans="1:33" ht="15.75" customHeight="1" thickBot="1" x14ac:dyDescent="0.3">
      <c r="A53" s="52" t="s">
        <v>28</v>
      </c>
      <c r="B53" s="1">
        <f t="shared" ref="B53:AF53" si="4">SUM(B54:B77)</f>
        <v>5</v>
      </c>
      <c r="C53" s="1">
        <f t="shared" si="4"/>
        <v>3</v>
      </c>
      <c r="D53" s="1">
        <f t="shared" si="4"/>
        <v>4</v>
      </c>
      <c r="E53" s="1">
        <f t="shared" si="4"/>
        <v>6</v>
      </c>
      <c r="F53" s="1">
        <f t="shared" si="4"/>
        <v>4</v>
      </c>
      <c r="G53" s="1">
        <f t="shared" si="4"/>
        <v>5</v>
      </c>
      <c r="H53" s="1">
        <f t="shared" si="4"/>
        <v>12</v>
      </c>
      <c r="I53" s="1">
        <f t="shared" si="4"/>
        <v>23</v>
      </c>
      <c r="J53" s="1">
        <f t="shared" si="4"/>
        <v>14</v>
      </c>
      <c r="K53" s="1">
        <f t="shared" si="4"/>
        <v>12</v>
      </c>
      <c r="L53" s="1">
        <f t="shared" si="4"/>
        <v>1</v>
      </c>
      <c r="M53" s="1">
        <f t="shared" si="4"/>
        <v>9</v>
      </c>
      <c r="N53" s="1">
        <f t="shared" si="4"/>
        <v>2</v>
      </c>
      <c r="O53" s="1">
        <f t="shared" si="4"/>
        <v>6</v>
      </c>
      <c r="P53" s="1">
        <f t="shared" si="4"/>
        <v>3</v>
      </c>
      <c r="Q53" s="1">
        <f t="shared" si="4"/>
        <v>1</v>
      </c>
      <c r="R53" s="1">
        <f t="shared" si="4"/>
        <v>6</v>
      </c>
      <c r="S53" s="1">
        <f t="shared" si="4"/>
        <v>6</v>
      </c>
      <c r="T53" s="1">
        <f t="shared" si="4"/>
        <v>18</v>
      </c>
      <c r="U53" s="1">
        <f t="shared" si="4"/>
        <v>13</v>
      </c>
      <c r="V53" s="1">
        <f t="shared" si="4"/>
        <v>13</v>
      </c>
      <c r="W53" s="1">
        <f t="shared" si="4"/>
        <v>7</v>
      </c>
      <c r="X53" s="1">
        <f t="shared" si="4"/>
        <v>9</v>
      </c>
      <c r="Y53" s="1">
        <f t="shared" si="4"/>
        <v>12</v>
      </c>
      <c r="Z53" s="1">
        <f t="shared" si="4"/>
        <v>4</v>
      </c>
      <c r="AA53" s="1">
        <f t="shared" si="4"/>
        <v>8</v>
      </c>
      <c r="AB53" s="1">
        <f t="shared" si="4"/>
        <v>13</v>
      </c>
      <c r="AC53" s="1">
        <f t="shared" si="4"/>
        <v>12</v>
      </c>
      <c r="AD53" s="1">
        <f t="shared" si="4"/>
        <v>6</v>
      </c>
      <c r="AE53" s="1">
        <f t="shared" si="4"/>
        <v>0</v>
      </c>
      <c r="AF53" s="1">
        <f t="shared" si="4"/>
        <v>0</v>
      </c>
      <c r="AG53" s="10">
        <f t="shared" si="2"/>
        <v>237</v>
      </c>
    </row>
    <row r="54" spans="1:33" ht="15.75" customHeight="1" x14ac:dyDescent="0.25">
      <c r="A54" s="56" t="s">
        <v>3</v>
      </c>
      <c r="B54" s="54">
        <v>0</v>
      </c>
      <c r="C54" s="55">
        <v>0</v>
      </c>
      <c r="D54" s="55">
        <v>1</v>
      </c>
      <c r="E54" s="55">
        <v>1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1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1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/>
      <c r="AF54" s="55"/>
      <c r="AG54" s="4">
        <f t="shared" si="2"/>
        <v>4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/>
      <c r="AF55" s="54"/>
      <c r="AG55" s="5">
        <f t="shared" si="2"/>
        <v>0</v>
      </c>
    </row>
    <row r="56" spans="1:33" ht="15.75" customHeight="1" x14ac:dyDescent="0.25">
      <c r="A56" s="56" t="s">
        <v>5</v>
      </c>
      <c r="B56" s="54">
        <v>0</v>
      </c>
      <c r="C56" s="54">
        <v>0</v>
      </c>
      <c r="D56" s="54">
        <v>0</v>
      </c>
      <c r="E56" s="54">
        <v>1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1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/>
      <c r="AF56" s="54"/>
      <c r="AG56" s="5">
        <f t="shared" si="2"/>
        <v>2</v>
      </c>
    </row>
    <row r="57" spans="1:33" ht="15.75" customHeight="1" x14ac:dyDescent="0.25">
      <c r="A57" s="56" t="s">
        <v>6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1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/>
      <c r="AF57" s="54"/>
      <c r="AG57" s="5">
        <f t="shared" si="2"/>
        <v>1</v>
      </c>
    </row>
    <row r="58" spans="1:33" ht="15.75" customHeight="1" x14ac:dyDescent="0.25">
      <c r="A58" s="56" t="s">
        <v>7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/>
      <c r="AF58" s="54"/>
      <c r="AG58" s="5">
        <f t="shared" si="2"/>
        <v>0</v>
      </c>
    </row>
    <row r="59" spans="1:33" ht="15.75" customHeight="1" x14ac:dyDescent="0.25">
      <c r="A59" s="56" t="s">
        <v>8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1</v>
      </c>
      <c r="Z59" s="54">
        <v>1</v>
      </c>
      <c r="AA59" s="54">
        <v>0</v>
      </c>
      <c r="AB59" s="54">
        <v>0</v>
      </c>
      <c r="AC59" s="54">
        <v>0</v>
      </c>
      <c r="AD59" s="54">
        <v>0</v>
      </c>
      <c r="AE59" s="54"/>
      <c r="AF59" s="54"/>
      <c r="AG59" s="5">
        <f t="shared" si="2"/>
        <v>2</v>
      </c>
    </row>
    <row r="60" spans="1:33" ht="15.75" customHeight="1" x14ac:dyDescent="0.25">
      <c r="A60" s="56" t="s">
        <v>9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/>
      <c r="AF60" s="54"/>
      <c r="AG60" s="5">
        <f t="shared" si="2"/>
        <v>0</v>
      </c>
    </row>
    <row r="61" spans="1:33" ht="15.75" customHeight="1" x14ac:dyDescent="0.25">
      <c r="A61" s="56" t="s">
        <v>10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1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/>
      <c r="AF61" s="54"/>
      <c r="AG61" s="5">
        <f t="shared" si="2"/>
        <v>1</v>
      </c>
    </row>
    <row r="62" spans="1:33" ht="15.75" customHeight="1" x14ac:dyDescent="0.25">
      <c r="A62" s="56" t="s">
        <v>11</v>
      </c>
      <c r="B62" s="54">
        <v>0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1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1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1</v>
      </c>
      <c r="Y62" s="54">
        <v>1</v>
      </c>
      <c r="Z62" s="54">
        <v>0</v>
      </c>
      <c r="AA62" s="54">
        <v>0</v>
      </c>
      <c r="AB62" s="54">
        <v>0</v>
      </c>
      <c r="AC62" s="54">
        <v>0</v>
      </c>
      <c r="AD62" s="54">
        <v>0</v>
      </c>
      <c r="AE62" s="54"/>
      <c r="AF62" s="54"/>
      <c r="AG62" s="5">
        <f t="shared" si="2"/>
        <v>4</v>
      </c>
    </row>
    <row r="63" spans="1:33" ht="15.75" customHeight="1" x14ac:dyDescent="0.25">
      <c r="A63" s="56" t="s">
        <v>12</v>
      </c>
      <c r="B63" s="54">
        <v>1</v>
      </c>
      <c r="C63" s="54">
        <v>0</v>
      </c>
      <c r="D63" s="54">
        <v>2</v>
      </c>
      <c r="E63" s="54">
        <v>2</v>
      </c>
      <c r="F63" s="54">
        <v>1</v>
      </c>
      <c r="G63" s="54">
        <v>0</v>
      </c>
      <c r="H63" s="54">
        <v>0</v>
      </c>
      <c r="I63" s="54">
        <v>0</v>
      </c>
      <c r="J63" s="54">
        <v>2</v>
      </c>
      <c r="K63" s="54">
        <v>0</v>
      </c>
      <c r="L63" s="54">
        <v>1</v>
      </c>
      <c r="M63" s="54">
        <v>2</v>
      </c>
      <c r="N63" s="54">
        <v>0</v>
      </c>
      <c r="O63" s="54">
        <v>0</v>
      </c>
      <c r="P63" s="54">
        <v>0</v>
      </c>
      <c r="Q63" s="54">
        <v>0</v>
      </c>
      <c r="R63" s="54">
        <v>0</v>
      </c>
      <c r="S63" s="54">
        <v>2</v>
      </c>
      <c r="T63" s="54">
        <v>2</v>
      </c>
      <c r="U63" s="54">
        <v>0</v>
      </c>
      <c r="V63" s="54">
        <v>0</v>
      </c>
      <c r="W63" s="54">
        <v>0</v>
      </c>
      <c r="X63" s="54">
        <v>0</v>
      </c>
      <c r="Y63" s="54">
        <v>0</v>
      </c>
      <c r="Z63" s="54">
        <v>0</v>
      </c>
      <c r="AA63" s="54">
        <v>0</v>
      </c>
      <c r="AB63" s="54">
        <v>0</v>
      </c>
      <c r="AC63" s="54">
        <v>0</v>
      </c>
      <c r="AD63" s="54">
        <v>0</v>
      </c>
      <c r="AE63" s="54"/>
      <c r="AF63" s="54"/>
      <c r="AG63" s="5">
        <f t="shared" si="2"/>
        <v>15</v>
      </c>
    </row>
    <row r="64" spans="1:33" ht="15.75" customHeight="1" x14ac:dyDescent="0.25">
      <c r="A64" s="56" t="s">
        <v>13</v>
      </c>
      <c r="B64" s="54">
        <v>1</v>
      </c>
      <c r="C64" s="54">
        <v>0</v>
      </c>
      <c r="D64" s="54">
        <v>0</v>
      </c>
      <c r="E64" s="54">
        <v>0</v>
      </c>
      <c r="F64" s="54">
        <v>0</v>
      </c>
      <c r="G64" s="54">
        <v>1</v>
      </c>
      <c r="H64" s="54">
        <v>0</v>
      </c>
      <c r="I64" s="54">
        <v>0</v>
      </c>
      <c r="J64" s="54">
        <v>0</v>
      </c>
      <c r="K64" s="54">
        <v>0</v>
      </c>
      <c r="L64" s="54">
        <v>0</v>
      </c>
      <c r="M64" s="54">
        <v>0</v>
      </c>
      <c r="N64" s="54">
        <v>0</v>
      </c>
      <c r="O64" s="54">
        <v>1</v>
      </c>
      <c r="P64" s="54">
        <v>0</v>
      </c>
      <c r="Q64" s="54">
        <v>0</v>
      </c>
      <c r="R64" s="54">
        <v>0</v>
      </c>
      <c r="S64" s="54">
        <v>0</v>
      </c>
      <c r="T64" s="54">
        <v>0</v>
      </c>
      <c r="U64" s="54">
        <v>1</v>
      </c>
      <c r="V64" s="54">
        <v>0</v>
      </c>
      <c r="W64" s="54">
        <v>1</v>
      </c>
      <c r="X64" s="54">
        <v>0</v>
      </c>
      <c r="Y64" s="54">
        <v>1</v>
      </c>
      <c r="Z64" s="54">
        <v>0</v>
      </c>
      <c r="AA64" s="54">
        <v>1</v>
      </c>
      <c r="AB64" s="54">
        <v>1</v>
      </c>
      <c r="AC64" s="54">
        <v>1</v>
      </c>
      <c r="AD64" s="54">
        <v>0</v>
      </c>
      <c r="AE64" s="54"/>
      <c r="AF64" s="54"/>
      <c r="AG64" s="5">
        <f t="shared" si="2"/>
        <v>9</v>
      </c>
    </row>
    <row r="65" spans="1:33" ht="15.75" customHeight="1" x14ac:dyDescent="0.25">
      <c r="A65" s="56" t="s">
        <v>14</v>
      </c>
      <c r="B65" s="54">
        <v>0</v>
      </c>
      <c r="C65" s="54">
        <v>2</v>
      </c>
      <c r="D65" s="54">
        <v>0</v>
      </c>
      <c r="E65" s="54">
        <v>0</v>
      </c>
      <c r="F65" s="54">
        <v>0</v>
      </c>
      <c r="G65" s="54">
        <v>0</v>
      </c>
      <c r="H65" s="54">
        <v>1</v>
      </c>
      <c r="I65" s="54">
        <v>1</v>
      </c>
      <c r="J65" s="54">
        <v>1</v>
      </c>
      <c r="K65" s="54">
        <v>1</v>
      </c>
      <c r="L65" s="54">
        <v>0</v>
      </c>
      <c r="M65" s="54">
        <v>0</v>
      </c>
      <c r="N65" s="54">
        <v>1</v>
      </c>
      <c r="O65" s="54">
        <v>0</v>
      </c>
      <c r="P65" s="54">
        <v>2</v>
      </c>
      <c r="Q65" s="54">
        <v>0</v>
      </c>
      <c r="R65" s="54">
        <v>1</v>
      </c>
      <c r="S65" s="54">
        <v>0</v>
      </c>
      <c r="T65" s="54">
        <v>1</v>
      </c>
      <c r="U65" s="54">
        <v>1</v>
      </c>
      <c r="V65" s="54">
        <v>0</v>
      </c>
      <c r="W65" s="54">
        <v>0</v>
      </c>
      <c r="X65" s="54">
        <v>1</v>
      </c>
      <c r="Y65" s="54">
        <v>1</v>
      </c>
      <c r="Z65" s="54">
        <v>0</v>
      </c>
      <c r="AA65" s="54">
        <v>2</v>
      </c>
      <c r="AB65" s="54">
        <v>2</v>
      </c>
      <c r="AC65" s="54">
        <v>0</v>
      </c>
      <c r="AD65" s="54">
        <v>3</v>
      </c>
      <c r="AE65" s="54"/>
      <c r="AF65" s="54"/>
      <c r="AG65" s="5">
        <f t="shared" si="2"/>
        <v>21</v>
      </c>
    </row>
    <row r="66" spans="1:33" ht="15.75" customHeight="1" x14ac:dyDescent="0.25">
      <c r="A66" s="56" t="s">
        <v>15</v>
      </c>
      <c r="B66" s="54">
        <v>0</v>
      </c>
      <c r="C66" s="54">
        <v>0</v>
      </c>
      <c r="D66" s="54">
        <v>0</v>
      </c>
      <c r="E66" s="54">
        <v>0</v>
      </c>
      <c r="F66" s="54">
        <v>2</v>
      </c>
      <c r="G66" s="54">
        <v>2</v>
      </c>
      <c r="H66" s="54">
        <v>2</v>
      </c>
      <c r="I66" s="54">
        <v>6</v>
      </c>
      <c r="J66" s="54">
        <v>4</v>
      </c>
      <c r="K66" s="54">
        <v>0</v>
      </c>
      <c r="L66" s="54">
        <v>0</v>
      </c>
      <c r="M66" s="54">
        <v>1</v>
      </c>
      <c r="N66" s="54">
        <v>0</v>
      </c>
      <c r="O66" s="54">
        <v>2</v>
      </c>
      <c r="P66" s="54">
        <v>0</v>
      </c>
      <c r="Q66" s="54">
        <v>0</v>
      </c>
      <c r="R66" s="54">
        <v>0</v>
      </c>
      <c r="S66" s="54">
        <v>0</v>
      </c>
      <c r="T66" s="54">
        <v>0</v>
      </c>
      <c r="U66" s="54">
        <v>2</v>
      </c>
      <c r="V66" s="54">
        <v>4</v>
      </c>
      <c r="W66" s="54">
        <v>3</v>
      </c>
      <c r="X66" s="54">
        <v>0</v>
      </c>
      <c r="Y66" s="54">
        <v>0</v>
      </c>
      <c r="Z66" s="54">
        <v>0</v>
      </c>
      <c r="AA66" s="54">
        <v>2</v>
      </c>
      <c r="AB66" s="54">
        <v>3</v>
      </c>
      <c r="AC66" s="54">
        <v>4</v>
      </c>
      <c r="AD66" s="54">
        <v>0</v>
      </c>
      <c r="AE66" s="54"/>
      <c r="AF66" s="54"/>
      <c r="AG66" s="5">
        <f t="shared" si="2"/>
        <v>37</v>
      </c>
    </row>
    <row r="67" spans="1:33" ht="15.75" customHeight="1" x14ac:dyDescent="0.25">
      <c r="A67" s="56" t="s">
        <v>16</v>
      </c>
      <c r="B67" s="54">
        <v>0</v>
      </c>
      <c r="C67" s="54">
        <v>0</v>
      </c>
      <c r="D67" s="54">
        <v>0</v>
      </c>
      <c r="E67" s="54">
        <v>1</v>
      </c>
      <c r="F67" s="54">
        <v>0</v>
      </c>
      <c r="G67" s="54">
        <v>0</v>
      </c>
      <c r="H67" s="54">
        <v>5</v>
      </c>
      <c r="I67" s="54">
        <v>1</v>
      </c>
      <c r="J67" s="54">
        <v>0</v>
      </c>
      <c r="K67" s="54">
        <v>0</v>
      </c>
      <c r="L67" s="54">
        <v>0</v>
      </c>
      <c r="M67" s="54">
        <v>4</v>
      </c>
      <c r="N67" s="54">
        <v>0</v>
      </c>
      <c r="O67" s="54">
        <v>3</v>
      </c>
      <c r="P67" s="54">
        <v>0</v>
      </c>
      <c r="Q67" s="54">
        <v>0</v>
      </c>
      <c r="R67" s="54">
        <v>0</v>
      </c>
      <c r="S67" s="54">
        <v>1</v>
      </c>
      <c r="T67" s="54">
        <v>3</v>
      </c>
      <c r="U67" s="54">
        <v>0</v>
      </c>
      <c r="V67" s="54">
        <v>4</v>
      </c>
      <c r="W67" s="54">
        <v>0</v>
      </c>
      <c r="X67" s="54">
        <v>2</v>
      </c>
      <c r="Y67" s="54">
        <v>0</v>
      </c>
      <c r="Z67" s="54">
        <v>0</v>
      </c>
      <c r="AA67" s="54">
        <v>1</v>
      </c>
      <c r="AB67" s="54">
        <v>0</v>
      </c>
      <c r="AC67" s="54">
        <v>1</v>
      </c>
      <c r="AD67" s="54">
        <v>2</v>
      </c>
      <c r="AE67" s="54"/>
      <c r="AF67" s="54"/>
      <c r="AG67" s="5">
        <f t="shared" ref="AG67:AG98" si="5">SUM(B67:AF67)</f>
        <v>28</v>
      </c>
    </row>
    <row r="68" spans="1:33" ht="15.75" customHeight="1" x14ac:dyDescent="0.25">
      <c r="A68" s="56" t="s">
        <v>17</v>
      </c>
      <c r="B68" s="54">
        <v>0</v>
      </c>
      <c r="C68" s="54">
        <v>0</v>
      </c>
      <c r="D68" s="54">
        <v>1</v>
      </c>
      <c r="E68" s="54">
        <v>0</v>
      </c>
      <c r="F68" s="54">
        <v>0</v>
      </c>
      <c r="G68" s="54">
        <v>0</v>
      </c>
      <c r="H68" s="54">
        <v>0</v>
      </c>
      <c r="I68" s="54">
        <v>5</v>
      </c>
      <c r="J68" s="54">
        <v>0</v>
      </c>
      <c r="K68" s="54">
        <v>1</v>
      </c>
      <c r="L68" s="54">
        <v>0</v>
      </c>
      <c r="M68" s="54">
        <v>0</v>
      </c>
      <c r="N68" s="54">
        <v>0</v>
      </c>
      <c r="O68" s="54">
        <v>0</v>
      </c>
      <c r="P68" s="54">
        <v>0</v>
      </c>
      <c r="Q68" s="54">
        <v>0</v>
      </c>
      <c r="R68" s="54">
        <v>0</v>
      </c>
      <c r="S68" s="54">
        <v>0</v>
      </c>
      <c r="T68" s="54">
        <v>3</v>
      </c>
      <c r="U68" s="54">
        <v>2</v>
      </c>
      <c r="V68" s="54">
        <v>0</v>
      </c>
      <c r="W68" s="54">
        <v>0</v>
      </c>
      <c r="X68" s="54">
        <v>0</v>
      </c>
      <c r="Y68" s="54">
        <v>0</v>
      </c>
      <c r="Z68" s="54">
        <v>0</v>
      </c>
      <c r="AA68" s="54">
        <v>0</v>
      </c>
      <c r="AB68" s="54">
        <v>0</v>
      </c>
      <c r="AC68" s="54">
        <v>1</v>
      </c>
      <c r="AD68" s="54">
        <v>0</v>
      </c>
      <c r="AE68" s="54"/>
      <c r="AF68" s="54"/>
      <c r="AG68" s="5">
        <f t="shared" si="5"/>
        <v>13</v>
      </c>
    </row>
    <row r="69" spans="1:33" ht="15.75" customHeight="1" x14ac:dyDescent="0.25">
      <c r="A69" s="56" t="s">
        <v>18</v>
      </c>
      <c r="B69" s="54">
        <v>0</v>
      </c>
      <c r="C69" s="54">
        <v>1</v>
      </c>
      <c r="D69" s="54">
        <v>0</v>
      </c>
      <c r="E69" s="54">
        <v>0</v>
      </c>
      <c r="F69" s="54">
        <v>0</v>
      </c>
      <c r="G69" s="54">
        <v>0</v>
      </c>
      <c r="H69" s="54">
        <v>2</v>
      </c>
      <c r="I69" s="54">
        <v>3</v>
      </c>
      <c r="J69" s="54">
        <v>1</v>
      </c>
      <c r="K69" s="54">
        <v>4</v>
      </c>
      <c r="L69" s="54">
        <v>0</v>
      </c>
      <c r="M69" s="54">
        <v>0</v>
      </c>
      <c r="N69" s="54">
        <v>0</v>
      </c>
      <c r="O69" s="54">
        <v>0</v>
      </c>
      <c r="P69" s="54">
        <v>1</v>
      </c>
      <c r="Q69" s="54">
        <v>0</v>
      </c>
      <c r="R69" s="54">
        <v>0</v>
      </c>
      <c r="S69" s="54">
        <v>0</v>
      </c>
      <c r="T69" s="54">
        <v>4</v>
      </c>
      <c r="U69" s="54">
        <v>0</v>
      </c>
      <c r="V69" s="54">
        <v>0</v>
      </c>
      <c r="W69" s="54">
        <v>1</v>
      </c>
      <c r="X69" s="54">
        <v>2</v>
      </c>
      <c r="Y69" s="54">
        <v>0</v>
      </c>
      <c r="Z69" s="54">
        <v>0</v>
      </c>
      <c r="AA69" s="54">
        <v>0</v>
      </c>
      <c r="AB69" s="54">
        <v>0</v>
      </c>
      <c r="AC69" s="54">
        <v>1</v>
      </c>
      <c r="AD69" s="54">
        <v>0</v>
      </c>
      <c r="AE69" s="54"/>
      <c r="AF69" s="54"/>
      <c r="AG69" s="5">
        <f t="shared" si="5"/>
        <v>20</v>
      </c>
    </row>
    <row r="70" spans="1:33" ht="15.75" customHeight="1" x14ac:dyDescent="0.25">
      <c r="A70" s="56" t="s">
        <v>19</v>
      </c>
      <c r="B70" s="54">
        <v>0</v>
      </c>
      <c r="C70" s="54">
        <v>0</v>
      </c>
      <c r="D70" s="54">
        <v>0</v>
      </c>
      <c r="E70" s="54">
        <v>0</v>
      </c>
      <c r="F70" s="54">
        <v>0</v>
      </c>
      <c r="G70" s="54">
        <v>1</v>
      </c>
      <c r="H70" s="54">
        <v>1</v>
      </c>
      <c r="I70" s="54">
        <v>0</v>
      </c>
      <c r="J70" s="54">
        <v>0</v>
      </c>
      <c r="K70" s="54">
        <v>0</v>
      </c>
      <c r="L70" s="54">
        <v>0</v>
      </c>
      <c r="M70" s="54">
        <v>0</v>
      </c>
      <c r="N70" s="54">
        <v>1</v>
      </c>
      <c r="O70" s="54">
        <v>0</v>
      </c>
      <c r="P70" s="54">
        <v>0</v>
      </c>
      <c r="Q70" s="54">
        <v>0</v>
      </c>
      <c r="R70" s="54">
        <v>0</v>
      </c>
      <c r="S70" s="54">
        <v>1</v>
      </c>
      <c r="T70" s="54">
        <v>0</v>
      </c>
      <c r="U70" s="54">
        <v>2</v>
      </c>
      <c r="V70" s="54">
        <v>0</v>
      </c>
      <c r="W70" s="54">
        <v>0</v>
      </c>
      <c r="X70" s="54">
        <v>0</v>
      </c>
      <c r="Y70" s="54">
        <v>1</v>
      </c>
      <c r="Z70" s="54">
        <v>1</v>
      </c>
      <c r="AA70" s="54">
        <v>0</v>
      </c>
      <c r="AB70" s="54">
        <v>1</v>
      </c>
      <c r="AC70" s="54">
        <v>2</v>
      </c>
      <c r="AD70" s="55">
        <v>1</v>
      </c>
      <c r="AE70" s="55"/>
      <c r="AF70" s="55"/>
      <c r="AG70" s="5">
        <f t="shared" si="5"/>
        <v>12</v>
      </c>
    </row>
    <row r="71" spans="1:33" ht="15.75" customHeight="1" x14ac:dyDescent="0.25">
      <c r="A71" s="56" t="s">
        <v>20</v>
      </c>
      <c r="B71" s="54">
        <v>0</v>
      </c>
      <c r="C71" s="54">
        <v>0</v>
      </c>
      <c r="D71" s="54">
        <v>0</v>
      </c>
      <c r="E71" s="54">
        <v>0</v>
      </c>
      <c r="F71" s="54">
        <v>1</v>
      </c>
      <c r="G71" s="54">
        <v>0</v>
      </c>
      <c r="H71" s="54">
        <v>0</v>
      </c>
      <c r="I71" s="54">
        <v>0</v>
      </c>
      <c r="J71" s="54">
        <v>1</v>
      </c>
      <c r="K71" s="54">
        <v>3</v>
      </c>
      <c r="L71" s="54">
        <v>0</v>
      </c>
      <c r="M71" s="54">
        <v>2</v>
      </c>
      <c r="N71" s="54">
        <v>0</v>
      </c>
      <c r="O71" s="54">
        <v>0</v>
      </c>
      <c r="P71" s="54">
        <v>0</v>
      </c>
      <c r="Q71" s="54">
        <v>0</v>
      </c>
      <c r="R71" s="54">
        <v>3</v>
      </c>
      <c r="S71" s="54">
        <v>2</v>
      </c>
      <c r="T71" s="54">
        <v>3</v>
      </c>
      <c r="U71" s="54">
        <v>0</v>
      </c>
      <c r="V71" s="54">
        <v>5</v>
      </c>
      <c r="W71" s="54">
        <v>1</v>
      </c>
      <c r="X71" s="54">
        <v>0</v>
      </c>
      <c r="Y71" s="54">
        <v>4</v>
      </c>
      <c r="Z71" s="54">
        <v>0</v>
      </c>
      <c r="AA71" s="54">
        <v>1</v>
      </c>
      <c r="AB71" s="54">
        <v>5</v>
      </c>
      <c r="AC71" s="54">
        <v>1</v>
      </c>
      <c r="AD71" s="55">
        <v>0</v>
      </c>
      <c r="AE71" s="55"/>
      <c r="AF71" s="55"/>
      <c r="AG71" s="5">
        <f t="shared" si="5"/>
        <v>32</v>
      </c>
    </row>
    <row r="72" spans="1:33" ht="15.75" customHeight="1" x14ac:dyDescent="0.25">
      <c r="A72" s="56" t="s">
        <v>21</v>
      </c>
      <c r="B72" s="54">
        <v>3</v>
      </c>
      <c r="C72" s="54">
        <v>0</v>
      </c>
      <c r="D72" s="54">
        <v>0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0</v>
      </c>
      <c r="K72" s="54">
        <v>0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0</v>
      </c>
      <c r="S72" s="54">
        <v>0</v>
      </c>
      <c r="T72" s="54">
        <v>1</v>
      </c>
      <c r="U72" s="54">
        <v>4</v>
      </c>
      <c r="V72" s="54">
        <v>0</v>
      </c>
      <c r="W72" s="54">
        <v>0</v>
      </c>
      <c r="X72" s="54">
        <v>2</v>
      </c>
      <c r="Y72" s="54">
        <v>1</v>
      </c>
      <c r="Z72" s="54">
        <v>1</v>
      </c>
      <c r="AA72" s="54">
        <v>0</v>
      </c>
      <c r="AB72" s="54">
        <v>0</v>
      </c>
      <c r="AC72" s="54">
        <v>0</v>
      </c>
      <c r="AD72" s="55">
        <v>0</v>
      </c>
      <c r="AE72" s="55"/>
      <c r="AF72" s="55"/>
      <c r="AG72" s="5">
        <f t="shared" si="5"/>
        <v>12</v>
      </c>
    </row>
    <row r="73" spans="1:33" ht="15.75" customHeight="1" x14ac:dyDescent="0.25">
      <c r="A73" s="56" t="s">
        <v>22</v>
      </c>
      <c r="B73" s="54">
        <v>0</v>
      </c>
      <c r="C73" s="54">
        <v>0</v>
      </c>
      <c r="D73" s="54">
        <v>0</v>
      </c>
      <c r="E73" s="54">
        <v>1</v>
      </c>
      <c r="F73" s="54">
        <v>0</v>
      </c>
      <c r="G73" s="54">
        <v>0</v>
      </c>
      <c r="H73" s="54">
        <v>1</v>
      </c>
      <c r="I73" s="54">
        <v>4</v>
      </c>
      <c r="J73" s="54">
        <v>1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1</v>
      </c>
      <c r="U73" s="54">
        <v>1</v>
      </c>
      <c r="V73" s="54">
        <v>0</v>
      </c>
      <c r="W73" s="54">
        <v>1</v>
      </c>
      <c r="X73" s="54">
        <v>1</v>
      </c>
      <c r="Y73" s="54">
        <v>0</v>
      </c>
      <c r="Z73" s="54">
        <v>1</v>
      </c>
      <c r="AA73" s="54">
        <v>1</v>
      </c>
      <c r="AB73" s="54">
        <v>1</v>
      </c>
      <c r="AC73" s="54">
        <v>0</v>
      </c>
      <c r="AD73" s="55">
        <v>0</v>
      </c>
      <c r="AE73" s="55"/>
      <c r="AF73" s="55"/>
      <c r="AG73" s="5">
        <f t="shared" si="5"/>
        <v>14</v>
      </c>
    </row>
    <row r="74" spans="1:33" ht="15.75" customHeight="1" x14ac:dyDescent="0.25">
      <c r="A74" s="56" t="s">
        <v>23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3</v>
      </c>
      <c r="J74" s="54">
        <v>4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1</v>
      </c>
      <c r="AD74" s="55">
        <v>0</v>
      </c>
      <c r="AE74" s="55"/>
      <c r="AF74" s="55"/>
      <c r="AG74" s="5">
        <f t="shared" si="5"/>
        <v>8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/>
      <c r="AF75" s="55"/>
      <c r="AG75" s="5">
        <f t="shared" si="5"/>
        <v>0</v>
      </c>
    </row>
    <row r="76" spans="1:33" ht="15.75" customHeight="1" x14ac:dyDescent="0.25">
      <c r="A76" s="56" t="s">
        <v>25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1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/>
      <c r="AF76" s="55"/>
      <c r="AG76" s="5">
        <f t="shared" si="5"/>
        <v>1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1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/>
      <c r="AF77" s="62"/>
      <c r="AG77" s="9">
        <f t="shared" si="5"/>
        <v>1</v>
      </c>
    </row>
    <row r="78" spans="1:33" ht="19.5" customHeight="1" thickBot="1" x14ac:dyDescent="0.3">
      <c r="A78" s="63" t="s">
        <v>29</v>
      </c>
      <c r="B78" s="11">
        <f t="shared" ref="B78:AF78" si="6">SUM(B79:B80)</f>
        <v>130</v>
      </c>
      <c r="C78" s="11">
        <f t="shared" si="6"/>
        <v>116</v>
      </c>
      <c r="D78" s="11">
        <f t="shared" si="6"/>
        <v>185</v>
      </c>
      <c r="E78" s="11">
        <f t="shared" si="6"/>
        <v>188</v>
      </c>
      <c r="F78" s="11">
        <f t="shared" si="6"/>
        <v>145</v>
      </c>
      <c r="G78" s="11">
        <f t="shared" si="6"/>
        <v>134</v>
      </c>
      <c r="H78" s="11">
        <f t="shared" si="6"/>
        <v>136</v>
      </c>
      <c r="I78" s="11">
        <f t="shared" si="6"/>
        <v>143</v>
      </c>
      <c r="J78" s="11">
        <f t="shared" si="6"/>
        <v>127</v>
      </c>
      <c r="K78" s="11">
        <f t="shared" si="6"/>
        <v>173</v>
      </c>
      <c r="L78" s="11">
        <f t="shared" si="6"/>
        <v>172</v>
      </c>
      <c r="M78" s="11">
        <f t="shared" si="6"/>
        <v>150</v>
      </c>
      <c r="N78" s="11">
        <f t="shared" si="6"/>
        <v>134</v>
      </c>
      <c r="O78" s="11">
        <f t="shared" si="6"/>
        <v>126</v>
      </c>
      <c r="P78" s="11">
        <f t="shared" si="6"/>
        <v>119</v>
      </c>
      <c r="Q78" s="11">
        <f t="shared" si="6"/>
        <v>132</v>
      </c>
      <c r="R78" s="11">
        <f t="shared" si="6"/>
        <v>171</v>
      </c>
      <c r="S78" s="11">
        <f t="shared" si="6"/>
        <v>175</v>
      </c>
      <c r="T78" s="11">
        <f t="shared" si="6"/>
        <v>151</v>
      </c>
      <c r="U78" s="11">
        <f t="shared" si="6"/>
        <v>148</v>
      </c>
      <c r="V78" s="11">
        <f t="shared" si="6"/>
        <v>144</v>
      </c>
      <c r="W78" s="11">
        <f t="shared" si="6"/>
        <v>131</v>
      </c>
      <c r="X78" s="11">
        <f t="shared" si="6"/>
        <v>141</v>
      </c>
      <c r="Y78" s="11">
        <f t="shared" si="6"/>
        <v>221</v>
      </c>
      <c r="Z78" s="11">
        <f t="shared" si="6"/>
        <v>191</v>
      </c>
      <c r="AA78" s="11">
        <f t="shared" si="6"/>
        <v>130</v>
      </c>
      <c r="AB78" s="11">
        <f t="shared" si="6"/>
        <v>148</v>
      </c>
      <c r="AC78" s="11">
        <f t="shared" si="6"/>
        <v>135</v>
      </c>
      <c r="AD78" s="11">
        <f t="shared" si="6"/>
        <v>143</v>
      </c>
      <c r="AE78" s="11">
        <f t="shared" si="6"/>
        <v>0</v>
      </c>
      <c r="AF78" s="11">
        <f t="shared" si="6"/>
        <v>0</v>
      </c>
      <c r="AG78" s="10">
        <f t="shared" si="5"/>
        <v>4339</v>
      </c>
    </row>
    <row r="79" spans="1:33" ht="19.5" customHeight="1" x14ac:dyDescent="0.25">
      <c r="A79" s="64" t="s">
        <v>30</v>
      </c>
      <c r="B79" s="3">
        <f t="shared" ref="B79" si="7">SUM(B4:B27)-B80</f>
        <v>130</v>
      </c>
      <c r="C79" s="3">
        <f t="shared" ref="C79" si="8">SUM(C4:C27)-C80</f>
        <v>116</v>
      </c>
      <c r="D79" s="3">
        <f t="shared" ref="D79:AF79" si="9">SUM(D4:D27)-D80</f>
        <v>185</v>
      </c>
      <c r="E79" s="3">
        <f t="shared" si="9"/>
        <v>188</v>
      </c>
      <c r="F79" s="3">
        <f t="shared" si="9"/>
        <v>145</v>
      </c>
      <c r="G79" s="3">
        <f t="shared" si="9"/>
        <v>134</v>
      </c>
      <c r="H79" s="3">
        <f t="shared" si="9"/>
        <v>136</v>
      </c>
      <c r="I79" s="3">
        <f t="shared" si="9"/>
        <v>143</v>
      </c>
      <c r="J79" s="3">
        <f t="shared" si="9"/>
        <v>127</v>
      </c>
      <c r="K79" s="3">
        <f t="shared" si="9"/>
        <v>173</v>
      </c>
      <c r="L79" s="3">
        <f t="shared" si="9"/>
        <v>172</v>
      </c>
      <c r="M79" s="3">
        <f t="shared" si="9"/>
        <v>150</v>
      </c>
      <c r="N79" s="3">
        <f t="shared" si="9"/>
        <v>134</v>
      </c>
      <c r="O79" s="3">
        <f t="shared" si="9"/>
        <v>126</v>
      </c>
      <c r="P79" s="3">
        <f t="shared" si="9"/>
        <v>119</v>
      </c>
      <c r="Q79" s="3">
        <f t="shared" si="9"/>
        <v>132</v>
      </c>
      <c r="R79" s="3">
        <f t="shared" si="9"/>
        <v>171</v>
      </c>
      <c r="S79" s="3">
        <f t="shared" si="9"/>
        <v>175</v>
      </c>
      <c r="T79" s="3">
        <f t="shared" si="9"/>
        <v>151</v>
      </c>
      <c r="U79" s="3">
        <f t="shared" si="9"/>
        <v>148</v>
      </c>
      <c r="V79" s="3">
        <f t="shared" si="9"/>
        <v>144</v>
      </c>
      <c r="W79" s="3">
        <f t="shared" si="9"/>
        <v>131</v>
      </c>
      <c r="X79" s="3">
        <f t="shared" si="9"/>
        <v>141</v>
      </c>
      <c r="Y79" s="3">
        <f t="shared" si="9"/>
        <v>221</v>
      </c>
      <c r="Z79" s="3">
        <f t="shared" si="9"/>
        <v>191</v>
      </c>
      <c r="AA79" s="3">
        <f t="shared" si="9"/>
        <v>130</v>
      </c>
      <c r="AB79" s="3">
        <f t="shared" si="9"/>
        <v>148</v>
      </c>
      <c r="AC79" s="3">
        <f t="shared" si="9"/>
        <v>135</v>
      </c>
      <c r="AD79" s="3">
        <f t="shared" si="9"/>
        <v>143</v>
      </c>
      <c r="AE79" s="3">
        <f t="shared" si="9"/>
        <v>0</v>
      </c>
      <c r="AF79" s="3">
        <f t="shared" si="9"/>
        <v>0</v>
      </c>
      <c r="AG79" s="4">
        <f t="shared" si="5"/>
        <v>4339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5</v>
      </c>
      <c r="C81" s="12">
        <f t="shared" si="10"/>
        <v>3</v>
      </c>
      <c r="D81" s="12">
        <f t="shared" si="10"/>
        <v>4</v>
      </c>
      <c r="E81" s="12">
        <f t="shared" si="10"/>
        <v>6</v>
      </c>
      <c r="F81" s="12">
        <f t="shared" si="10"/>
        <v>4</v>
      </c>
      <c r="G81" s="12">
        <f t="shared" si="10"/>
        <v>5</v>
      </c>
      <c r="H81" s="12">
        <f t="shared" si="10"/>
        <v>12</v>
      </c>
      <c r="I81" s="12">
        <f t="shared" si="10"/>
        <v>23</v>
      </c>
      <c r="J81" s="12">
        <f t="shared" si="10"/>
        <v>14</v>
      </c>
      <c r="K81" s="12">
        <f t="shared" si="10"/>
        <v>12</v>
      </c>
      <c r="L81" s="12">
        <f t="shared" si="10"/>
        <v>1</v>
      </c>
      <c r="M81" s="12">
        <f t="shared" si="10"/>
        <v>9</v>
      </c>
      <c r="N81" s="12">
        <f t="shared" si="10"/>
        <v>2</v>
      </c>
      <c r="O81" s="12">
        <f t="shared" si="10"/>
        <v>6</v>
      </c>
      <c r="P81" s="12">
        <f t="shared" si="10"/>
        <v>3</v>
      </c>
      <c r="Q81" s="12">
        <f t="shared" si="10"/>
        <v>1</v>
      </c>
      <c r="R81" s="12">
        <f t="shared" si="10"/>
        <v>6</v>
      </c>
      <c r="S81" s="12">
        <f t="shared" si="10"/>
        <v>6</v>
      </c>
      <c r="T81" s="12">
        <f t="shared" si="10"/>
        <v>18</v>
      </c>
      <c r="U81" s="12">
        <f t="shared" si="10"/>
        <v>13</v>
      </c>
      <c r="V81" s="12">
        <f t="shared" si="10"/>
        <v>13</v>
      </c>
      <c r="W81" s="12">
        <f t="shared" si="10"/>
        <v>7</v>
      </c>
      <c r="X81" s="12">
        <f t="shared" si="10"/>
        <v>9</v>
      </c>
      <c r="Y81" s="12">
        <f t="shared" si="10"/>
        <v>12</v>
      </c>
      <c r="Z81" s="12">
        <f t="shared" si="10"/>
        <v>4</v>
      </c>
      <c r="AA81" s="12">
        <f t="shared" si="10"/>
        <v>8</v>
      </c>
      <c r="AB81" s="12">
        <f t="shared" si="10"/>
        <v>13</v>
      </c>
      <c r="AC81" s="12">
        <f t="shared" si="10"/>
        <v>12</v>
      </c>
      <c r="AD81" s="12">
        <f t="shared" si="10"/>
        <v>6</v>
      </c>
      <c r="AE81" s="12">
        <f t="shared" si="10"/>
        <v>0</v>
      </c>
      <c r="AF81" s="12">
        <f t="shared" si="10"/>
        <v>0</v>
      </c>
      <c r="AG81" s="10">
        <f t="shared" si="5"/>
        <v>237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1</v>
      </c>
      <c r="E82" s="3">
        <f t="shared" si="11"/>
        <v>2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3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0</v>
      </c>
      <c r="Q82" s="3">
        <f t="shared" si="11"/>
        <v>1</v>
      </c>
      <c r="R82" s="3">
        <f t="shared" si="11"/>
        <v>2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0</v>
      </c>
      <c r="W82" s="3">
        <f t="shared" si="11"/>
        <v>0</v>
      </c>
      <c r="X82" s="3">
        <f t="shared" si="11"/>
        <v>1</v>
      </c>
      <c r="Y82" s="3">
        <f t="shared" si="11"/>
        <v>3</v>
      </c>
      <c r="Z82" s="3">
        <f t="shared" si="11"/>
        <v>1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14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5</v>
      </c>
      <c r="C83" s="8">
        <f t="shared" si="12"/>
        <v>3</v>
      </c>
      <c r="D83" s="8">
        <f t="shared" si="12"/>
        <v>3</v>
      </c>
      <c r="E83" s="8">
        <f t="shared" si="12"/>
        <v>4</v>
      </c>
      <c r="F83" s="8">
        <f t="shared" si="12"/>
        <v>4</v>
      </c>
      <c r="G83" s="8">
        <f t="shared" si="12"/>
        <v>5</v>
      </c>
      <c r="H83" s="8">
        <f t="shared" si="12"/>
        <v>12</v>
      </c>
      <c r="I83" s="8">
        <f t="shared" si="12"/>
        <v>23</v>
      </c>
      <c r="J83" s="8">
        <f t="shared" si="12"/>
        <v>14</v>
      </c>
      <c r="K83" s="8">
        <f t="shared" si="12"/>
        <v>9</v>
      </c>
      <c r="L83" s="8">
        <f t="shared" si="12"/>
        <v>1</v>
      </c>
      <c r="M83" s="8">
        <f t="shared" si="12"/>
        <v>9</v>
      </c>
      <c r="N83" s="8">
        <f t="shared" si="12"/>
        <v>2</v>
      </c>
      <c r="O83" s="8">
        <f t="shared" si="12"/>
        <v>6</v>
      </c>
      <c r="P83" s="8">
        <f t="shared" si="12"/>
        <v>3</v>
      </c>
      <c r="Q83" s="8">
        <f t="shared" si="12"/>
        <v>0</v>
      </c>
      <c r="R83" s="8">
        <f t="shared" si="12"/>
        <v>4</v>
      </c>
      <c r="S83" s="8">
        <f t="shared" si="12"/>
        <v>6</v>
      </c>
      <c r="T83" s="8">
        <f t="shared" si="12"/>
        <v>18</v>
      </c>
      <c r="U83" s="8">
        <f t="shared" si="12"/>
        <v>13</v>
      </c>
      <c r="V83" s="8">
        <f t="shared" si="12"/>
        <v>13</v>
      </c>
      <c r="W83" s="8">
        <f t="shared" si="12"/>
        <v>7</v>
      </c>
      <c r="X83" s="8">
        <f t="shared" si="12"/>
        <v>8</v>
      </c>
      <c r="Y83" s="8">
        <f t="shared" si="12"/>
        <v>9</v>
      </c>
      <c r="Z83" s="8">
        <f t="shared" si="12"/>
        <v>3</v>
      </c>
      <c r="AA83" s="8">
        <f t="shared" si="12"/>
        <v>8</v>
      </c>
      <c r="AB83" s="8">
        <f t="shared" si="12"/>
        <v>13</v>
      </c>
      <c r="AC83" s="8">
        <f t="shared" si="12"/>
        <v>12</v>
      </c>
      <c r="AD83" s="8">
        <f t="shared" si="12"/>
        <v>6</v>
      </c>
      <c r="AE83" s="8">
        <f t="shared" si="12"/>
        <v>0</v>
      </c>
      <c r="AF83" s="8">
        <f t="shared" si="12"/>
        <v>0</v>
      </c>
      <c r="AG83" s="5">
        <f t="shared" si="5"/>
        <v>223</v>
      </c>
    </row>
    <row r="84" spans="1:34" ht="15.75" customHeight="1" thickBot="1" x14ac:dyDescent="0.3">
      <c r="A84" s="67" t="s">
        <v>33</v>
      </c>
      <c r="B84" s="14">
        <f t="shared" ref="B84:AF84" si="13">SUM(B85:B86)</f>
        <v>5</v>
      </c>
      <c r="C84" s="14">
        <f t="shared" si="13"/>
        <v>3</v>
      </c>
      <c r="D84" s="14">
        <f t="shared" si="13"/>
        <v>4</v>
      </c>
      <c r="E84" s="14">
        <f t="shared" si="13"/>
        <v>6</v>
      </c>
      <c r="F84" s="14">
        <f t="shared" si="13"/>
        <v>4</v>
      </c>
      <c r="G84" s="14">
        <f t="shared" si="13"/>
        <v>5</v>
      </c>
      <c r="H84" s="14">
        <f t="shared" si="13"/>
        <v>12</v>
      </c>
      <c r="I84" s="14">
        <f t="shared" si="13"/>
        <v>23</v>
      </c>
      <c r="J84" s="14">
        <f t="shared" si="13"/>
        <v>14</v>
      </c>
      <c r="K84" s="14">
        <f t="shared" si="13"/>
        <v>12</v>
      </c>
      <c r="L84" s="14">
        <f t="shared" si="13"/>
        <v>1</v>
      </c>
      <c r="M84" s="14">
        <f t="shared" si="13"/>
        <v>9</v>
      </c>
      <c r="N84" s="14">
        <f t="shared" si="13"/>
        <v>2</v>
      </c>
      <c r="O84" s="14">
        <f t="shared" si="13"/>
        <v>6</v>
      </c>
      <c r="P84" s="14">
        <f t="shared" si="13"/>
        <v>3</v>
      </c>
      <c r="Q84" s="14">
        <f t="shared" si="13"/>
        <v>1</v>
      </c>
      <c r="R84" s="14">
        <f t="shared" si="13"/>
        <v>6</v>
      </c>
      <c r="S84" s="14">
        <f t="shared" si="13"/>
        <v>6</v>
      </c>
      <c r="T84" s="14">
        <f t="shared" si="13"/>
        <v>18</v>
      </c>
      <c r="U84" s="14">
        <f t="shared" si="13"/>
        <v>13</v>
      </c>
      <c r="V84" s="14">
        <f t="shared" si="13"/>
        <v>13</v>
      </c>
      <c r="W84" s="14">
        <f t="shared" si="13"/>
        <v>7</v>
      </c>
      <c r="X84" s="14">
        <f t="shared" si="13"/>
        <v>9</v>
      </c>
      <c r="Y84" s="14">
        <f t="shared" si="13"/>
        <v>12</v>
      </c>
      <c r="Z84" s="14">
        <f t="shared" si="13"/>
        <v>4</v>
      </c>
      <c r="AA84" s="14">
        <f t="shared" si="13"/>
        <v>8</v>
      </c>
      <c r="AB84" s="14">
        <f t="shared" si="13"/>
        <v>13</v>
      </c>
      <c r="AC84" s="14">
        <f t="shared" si="13"/>
        <v>12</v>
      </c>
      <c r="AD84" s="14">
        <f t="shared" si="13"/>
        <v>6</v>
      </c>
      <c r="AE84" s="14">
        <f t="shared" si="13"/>
        <v>0</v>
      </c>
      <c r="AF84" s="14">
        <f t="shared" si="13"/>
        <v>0</v>
      </c>
      <c r="AG84" s="15">
        <f t="shared" si="5"/>
        <v>237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0</v>
      </c>
      <c r="C85" s="69">
        <v>0</v>
      </c>
      <c r="D85" s="69">
        <v>0</v>
      </c>
      <c r="E85" s="69">
        <v>2</v>
      </c>
      <c r="F85" s="69">
        <v>1</v>
      </c>
      <c r="G85" s="69">
        <v>1</v>
      </c>
      <c r="H85" s="69">
        <v>2</v>
      </c>
      <c r="I85" s="69">
        <v>2</v>
      </c>
      <c r="J85" s="69">
        <v>4</v>
      </c>
      <c r="K85" s="69">
        <v>4</v>
      </c>
      <c r="L85" s="69">
        <v>0</v>
      </c>
      <c r="M85" s="69">
        <v>0</v>
      </c>
      <c r="N85" s="69">
        <v>1</v>
      </c>
      <c r="O85" s="69">
        <v>0</v>
      </c>
      <c r="P85" s="69">
        <v>0</v>
      </c>
      <c r="Q85" s="69">
        <v>0</v>
      </c>
      <c r="R85" s="69">
        <v>0</v>
      </c>
      <c r="S85" s="69">
        <v>2</v>
      </c>
      <c r="T85" s="69">
        <v>6</v>
      </c>
      <c r="U85" s="69">
        <v>3</v>
      </c>
      <c r="V85" s="69">
        <v>2</v>
      </c>
      <c r="W85" s="69">
        <v>2</v>
      </c>
      <c r="X85" s="69">
        <v>3</v>
      </c>
      <c r="Y85" s="69">
        <v>3</v>
      </c>
      <c r="Z85" s="69">
        <v>1</v>
      </c>
      <c r="AA85" s="69">
        <v>3</v>
      </c>
      <c r="AB85" s="69">
        <v>3</v>
      </c>
      <c r="AC85" s="69">
        <v>1</v>
      </c>
      <c r="AD85" s="69">
        <v>2</v>
      </c>
      <c r="AE85" s="69"/>
      <c r="AF85" s="69"/>
      <c r="AG85" s="16">
        <f t="shared" si="5"/>
        <v>48</v>
      </c>
    </row>
    <row r="86" spans="1:34" ht="15.75" customHeight="1" thickBot="1" x14ac:dyDescent="0.3">
      <c r="A86" s="70" t="s">
        <v>35</v>
      </c>
      <c r="B86" s="71">
        <v>5</v>
      </c>
      <c r="C86" s="71">
        <v>3</v>
      </c>
      <c r="D86" s="71">
        <v>4</v>
      </c>
      <c r="E86" s="71">
        <v>4</v>
      </c>
      <c r="F86" s="71">
        <v>3</v>
      </c>
      <c r="G86" s="71">
        <v>4</v>
      </c>
      <c r="H86" s="71">
        <v>10</v>
      </c>
      <c r="I86" s="71">
        <v>21</v>
      </c>
      <c r="J86" s="71">
        <v>10</v>
      </c>
      <c r="K86" s="71">
        <v>8</v>
      </c>
      <c r="L86" s="71">
        <v>1</v>
      </c>
      <c r="M86" s="71">
        <v>9</v>
      </c>
      <c r="N86" s="71">
        <v>1</v>
      </c>
      <c r="O86" s="71">
        <v>6</v>
      </c>
      <c r="P86" s="71">
        <v>3</v>
      </c>
      <c r="Q86" s="71">
        <v>1</v>
      </c>
      <c r="R86" s="71">
        <v>6</v>
      </c>
      <c r="S86" s="71">
        <v>4</v>
      </c>
      <c r="T86" s="71">
        <v>12</v>
      </c>
      <c r="U86" s="71">
        <v>10</v>
      </c>
      <c r="V86" s="71">
        <v>11</v>
      </c>
      <c r="W86" s="71">
        <v>5</v>
      </c>
      <c r="X86" s="71">
        <v>6</v>
      </c>
      <c r="Y86" s="71">
        <v>9</v>
      </c>
      <c r="Z86" s="71">
        <v>3</v>
      </c>
      <c r="AA86" s="71">
        <v>5</v>
      </c>
      <c r="AB86" s="71">
        <v>10</v>
      </c>
      <c r="AC86" s="71">
        <v>11</v>
      </c>
      <c r="AD86" s="71">
        <v>4</v>
      </c>
      <c r="AE86" s="71"/>
      <c r="AF86" s="71"/>
      <c r="AG86" s="17">
        <f t="shared" si="5"/>
        <v>189</v>
      </c>
    </row>
    <row r="87" spans="1:34" ht="15.75" customHeight="1" thickBot="1" x14ac:dyDescent="0.3">
      <c r="A87" s="72" t="s">
        <v>36</v>
      </c>
      <c r="B87" s="18">
        <f t="shared" ref="B87:AF87" si="14">SUM(B88:B92)</f>
        <v>5</v>
      </c>
      <c r="C87" s="18">
        <f t="shared" si="14"/>
        <v>3</v>
      </c>
      <c r="D87" s="18">
        <f t="shared" si="14"/>
        <v>4</v>
      </c>
      <c r="E87" s="18">
        <f t="shared" si="14"/>
        <v>6</v>
      </c>
      <c r="F87" s="18">
        <f t="shared" si="14"/>
        <v>4</v>
      </c>
      <c r="G87" s="18">
        <f t="shared" si="14"/>
        <v>5</v>
      </c>
      <c r="H87" s="18">
        <f t="shared" si="14"/>
        <v>12</v>
      </c>
      <c r="I87" s="18">
        <f t="shared" si="14"/>
        <v>23</v>
      </c>
      <c r="J87" s="18">
        <f t="shared" si="14"/>
        <v>14</v>
      </c>
      <c r="K87" s="18">
        <f t="shared" si="14"/>
        <v>12</v>
      </c>
      <c r="L87" s="18">
        <f t="shared" si="14"/>
        <v>1</v>
      </c>
      <c r="M87" s="18">
        <f t="shared" si="14"/>
        <v>9</v>
      </c>
      <c r="N87" s="18">
        <f t="shared" si="14"/>
        <v>2</v>
      </c>
      <c r="O87" s="18">
        <f t="shared" si="14"/>
        <v>6</v>
      </c>
      <c r="P87" s="18">
        <f t="shared" si="14"/>
        <v>3</v>
      </c>
      <c r="Q87" s="18">
        <f t="shared" si="14"/>
        <v>1</v>
      </c>
      <c r="R87" s="18">
        <f t="shared" si="14"/>
        <v>6</v>
      </c>
      <c r="S87" s="18">
        <f t="shared" si="14"/>
        <v>6</v>
      </c>
      <c r="T87" s="18">
        <f t="shared" si="14"/>
        <v>18</v>
      </c>
      <c r="U87" s="18">
        <f t="shared" si="14"/>
        <v>13</v>
      </c>
      <c r="V87" s="18">
        <f t="shared" si="14"/>
        <v>13</v>
      </c>
      <c r="W87" s="18">
        <f t="shared" si="14"/>
        <v>7</v>
      </c>
      <c r="X87" s="18">
        <f t="shared" si="14"/>
        <v>9</v>
      </c>
      <c r="Y87" s="18">
        <f t="shared" si="14"/>
        <v>12</v>
      </c>
      <c r="Z87" s="18">
        <f t="shared" si="14"/>
        <v>4</v>
      </c>
      <c r="AA87" s="18">
        <f t="shared" si="14"/>
        <v>8</v>
      </c>
      <c r="AB87" s="18">
        <f t="shared" si="14"/>
        <v>13</v>
      </c>
      <c r="AC87" s="18">
        <f t="shared" si="14"/>
        <v>12</v>
      </c>
      <c r="AD87" s="18">
        <f t="shared" si="14"/>
        <v>6</v>
      </c>
      <c r="AE87" s="18">
        <f t="shared" si="14"/>
        <v>0</v>
      </c>
      <c r="AF87" s="18">
        <f t="shared" si="14"/>
        <v>0</v>
      </c>
      <c r="AG87" s="19">
        <f t="shared" si="5"/>
        <v>237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2</v>
      </c>
      <c r="C88" s="60">
        <v>1</v>
      </c>
      <c r="D88" s="60">
        <v>3</v>
      </c>
      <c r="E88" s="60">
        <v>5</v>
      </c>
      <c r="F88" s="60">
        <v>1</v>
      </c>
      <c r="G88" s="60">
        <v>2</v>
      </c>
      <c r="H88" s="60">
        <v>4</v>
      </c>
      <c r="I88" s="60">
        <v>4</v>
      </c>
      <c r="J88" s="60">
        <v>3</v>
      </c>
      <c r="K88" s="60">
        <v>8</v>
      </c>
      <c r="L88" s="60">
        <v>0</v>
      </c>
      <c r="M88" s="60">
        <v>2</v>
      </c>
      <c r="N88" s="60">
        <v>1</v>
      </c>
      <c r="O88" s="60">
        <v>2</v>
      </c>
      <c r="P88" s="60">
        <v>2</v>
      </c>
      <c r="Q88" s="60">
        <v>1</v>
      </c>
      <c r="R88" s="60">
        <v>6</v>
      </c>
      <c r="S88" s="60">
        <v>4</v>
      </c>
      <c r="T88" s="60">
        <v>5</v>
      </c>
      <c r="U88" s="60">
        <v>2</v>
      </c>
      <c r="V88" s="60">
        <v>3</v>
      </c>
      <c r="W88" s="60">
        <v>4</v>
      </c>
      <c r="X88" s="60">
        <v>3</v>
      </c>
      <c r="Y88" s="60">
        <v>5</v>
      </c>
      <c r="Z88" s="60">
        <v>2</v>
      </c>
      <c r="AA88" s="60">
        <v>3</v>
      </c>
      <c r="AB88" s="60">
        <v>4</v>
      </c>
      <c r="AC88" s="60">
        <v>3</v>
      </c>
      <c r="AD88" s="60">
        <v>1</v>
      </c>
      <c r="AE88" s="60"/>
      <c r="AF88" s="60"/>
      <c r="AG88" s="4">
        <f t="shared" si="5"/>
        <v>86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/>
      <c r="AF89" s="60"/>
      <c r="AG89" s="5">
        <f t="shared" si="5"/>
        <v>0</v>
      </c>
    </row>
    <row r="90" spans="1:34" ht="15.75" customHeight="1" x14ac:dyDescent="0.25">
      <c r="A90" s="74" t="s">
        <v>39</v>
      </c>
      <c r="B90" s="60">
        <v>0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60">
        <v>0</v>
      </c>
      <c r="I90" s="60">
        <v>1</v>
      </c>
      <c r="J90" s="60">
        <v>1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/>
      <c r="AF90" s="60"/>
      <c r="AG90" s="5">
        <f t="shared" si="5"/>
        <v>2</v>
      </c>
    </row>
    <row r="91" spans="1:34" ht="15.75" customHeight="1" x14ac:dyDescent="0.25">
      <c r="A91" s="74" t="s">
        <v>40</v>
      </c>
      <c r="B91" s="60">
        <v>3</v>
      </c>
      <c r="C91" s="60">
        <v>0</v>
      </c>
      <c r="D91" s="60">
        <v>1</v>
      </c>
      <c r="E91" s="60">
        <v>1</v>
      </c>
      <c r="F91" s="60">
        <v>1</v>
      </c>
      <c r="G91" s="60">
        <v>0</v>
      </c>
      <c r="H91" s="60">
        <v>2</v>
      </c>
      <c r="I91" s="60">
        <v>10</v>
      </c>
      <c r="J91" s="60">
        <v>6</v>
      </c>
      <c r="K91" s="60">
        <v>0</v>
      </c>
      <c r="L91" s="60">
        <v>0</v>
      </c>
      <c r="M91" s="60">
        <v>2</v>
      </c>
      <c r="N91" s="60">
        <v>0</v>
      </c>
      <c r="O91" s="60">
        <v>2</v>
      </c>
      <c r="P91" s="60">
        <v>0</v>
      </c>
      <c r="Q91" s="60">
        <v>0</v>
      </c>
      <c r="R91" s="60">
        <v>0</v>
      </c>
      <c r="S91" s="60">
        <v>0</v>
      </c>
      <c r="T91" s="60">
        <v>7</v>
      </c>
      <c r="U91" s="60">
        <v>7</v>
      </c>
      <c r="V91" s="60">
        <v>5</v>
      </c>
      <c r="W91" s="60">
        <v>0</v>
      </c>
      <c r="X91" s="60">
        <v>4</v>
      </c>
      <c r="Y91" s="60">
        <v>4</v>
      </c>
      <c r="Z91" s="60">
        <v>1</v>
      </c>
      <c r="AA91" s="60">
        <v>5</v>
      </c>
      <c r="AB91" s="60">
        <v>7</v>
      </c>
      <c r="AC91" s="60">
        <v>5</v>
      </c>
      <c r="AD91" s="60">
        <v>3</v>
      </c>
      <c r="AE91" s="60"/>
      <c r="AF91" s="60"/>
      <c r="AG91" s="5">
        <f t="shared" si="5"/>
        <v>76</v>
      </c>
    </row>
    <row r="92" spans="1:34" ht="15.75" customHeight="1" thickBot="1" x14ac:dyDescent="0.3">
      <c r="A92" s="74" t="s">
        <v>41</v>
      </c>
      <c r="B92" s="60">
        <v>0</v>
      </c>
      <c r="C92" s="60">
        <v>2</v>
      </c>
      <c r="D92" s="60">
        <v>0</v>
      </c>
      <c r="E92" s="60">
        <v>0</v>
      </c>
      <c r="F92" s="60">
        <v>2</v>
      </c>
      <c r="G92" s="60">
        <v>3</v>
      </c>
      <c r="H92" s="60">
        <v>6</v>
      </c>
      <c r="I92" s="60">
        <v>8</v>
      </c>
      <c r="J92" s="60">
        <v>4</v>
      </c>
      <c r="K92" s="60">
        <v>4</v>
      </c>
      <c r="L92" s="60">
        <v>1</v>
      </c>
      <c r="M92" s="60">
        <v>5</v>
      </c>
      <c r="N92" s="60">
        <v>1</v>
      </c>
      <c r="O92" s="60">
        <v>2</v>
      </c>
      <c r="P92" s="60">
        <v>1</v>
      </c>
      <c r="Q92" s="60">
        <v>0</v>
      </c>
      <c r="R92" s="60">
        <v>0</v>
      </c>
      <c r="S92" s="60">
        <v>2</v>
      </c>
      <c r="T92" s="60">
        <v>6</v>
      </c>
      <c r="U92" s="60">
        <v>4</v>
      </c>
      <c r="V92" s="60">
        <v>5</v>
      </c>
      <c r="W92" s="60">
        <v>3</v>
      </c>
      <c r="X92" s="60">
        <v>2</v>
      </c>
      <c r="Y92" s="60">
        <v>3</v>
      </c>
      <c r="Z92" s="60">
        <v>1</v>
      </c>
      <c r="AA92" s="60">
        <v>0</v>
      </c>
      <c r="AB92" s="60">
        <v>2</v>
      </c>
      <c r="AC92" s="60">
        <v>4</v>
      </c>
      <c r="AD92" s="60">
        <v>2</v>
      </c>
      <c r="AE92" s="60"/>
      <c r="AF92" s="60"/>
      <c r="AG92" s="5">
        <f t="shared" si="5"/>
        <v>73</v>
      </c>
    </row>
    <row r="93" spans="1:34" ht="15.75" customHeight="1" x14ac:dyDescent="0.25">
      <c r="A93" s="75" t="s">
        <v>42</v>
      </c>
      <c r="B93" s="20">
        <f t="shared" ref="B93:AF93" si="15">+B94+B100</f>
        <v>125</v>
      </c>
      <c r="C93" s="20">
        <f t="shared" si="15"/>
        <v>113</v>
      </c>
      <c r="D93" s="20">
        <f t="shared" si="15"/>
        <v>181</v>
      </c>
      <c r="E93" s="20">
        <f t="shared" si="15"/>
        <v>182</v>
      </c>
      <c r="F93" s="20">
        <f t="shared" si="15"/>
        <v>141</v>
      </c>
      <c r="G93" s="20">
        <f t="shared" si="15"/>
        <v>129</v>
      </c>
      <c r="H93" s="20">
        <f t="shared" si="15"/>
        <v>124</v>
      </c>
      <c r="I93" s="20">
        <f t="shared" si="15"/>
        <v>120</v>
      </c>
      <c r="J93" s="20">
        <f t="shared" si="15"/>
        <v>113</v>
      </c>
      <c r="K93" s="20">
        <f t="shared" si="15"/>
        <v>161</v>
      </c>
      <c r="L93" s="20">
        <f t="shared" si="15"/>
        <v>171</v>
      </c>
      <c r="M93" s="20">
        <f t="shared" si="15"/>
        <v>141</v>
      </c>
      <c r="N93" s="20">
        <f t="shared" si="15"/>
        <v>132</v>
      </c>
      <c r="O93" s="20">
        <f t="shared" si="15"/>
        <v>120</v>
      </c>
      <c r="P93" s="20">
        <f t="shared" si="15"/>
        <v>116</v>
      </c>
      <c r="Q93" s="20">
        <f t="shared" si="15"/>
        <v>131</v>
      </c>
      <c r="R93" s="20">
        <f t="shared" si="15"/>
        <v>165</v>
      </c>
      <c r="S93" s="20">
        <f t="shared" si="15"/>
        <v>169</v>
      </c>
      <c r="T93" s="20">
        <f t="shared" si="15"/>
        <v>133</v>
      </c>
      <c r="U93" s="20">
        <f t="shared" si="15"/>
        <v>135</v>
      </c>
      <c r="V93" s="20">
        <f t="shared" si="15"/>
        <v>131</v>
      </c>
      <c r="W93" s="20">
        <f t="shared" si="15"/>
        <v>124</v>
      </c>
      <c r="X93" s="20">
        <f t="shared" si="15"/>
        <v>132</v>
      </c>
      <c r="Y93" s="20">
        <f t="shared" si="15"/>
        <v>209</v>
      </c>
      <c r="Z93" s="20">
        <f t="shared" si="15"/>
        <v>187</v>
      </c>
      <c r="AA93" s="20">
        <f t="shared" si="15"/>
        <v>122</v>
      </c>
      <c r="AB93" s="20">
        <f t="shared" si="15"/>
        <v>135</v>
      </c>
      <c r="AC93" s="20">
        <f t="shared" si="15"/>
        <v>123</v>
      </c>
      <c r="AD93" s="20">
        <f t="shared" si="15"/>
        <v>137</v>
      </c>
      <c r="AE93" s="20">
        <f t="shared" si="15"/>
        <v>0</v>
      </c>
      <c r="AF93" s="20">
        <f t="shared" si="15"/>
        <v>0</v>
      </c>
      <c r="AG93" s="5">
        <f t="shared" si="5"/>
        <v>4102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21</v>
      </c>
      <c r="C94" s="21">
        <f t="shared" si="16"/>
        <v>14</v>
      </c>
      <c r="D94" s="21">
        <f t="shared" si="16"/>
        <v>13</v>
      </c>
      <c r="E94" s="21">
        <f t="shared" si="16"/>
        <v>15</v>
      </c>
      <c r="F94" s="21">
        <f t="shared" si="16"/>
        <v>11</v>
      </c>
      <c r="G94" s="21">
        <f t="shared" si="16"/>
        <v>12</v>
      </c>
      <c r="H94" s="21">
        <f t="shared" si="16"/>
        <v>20</v>
      </c>
      <c r="I94" s="21">
        <f t="shared" si="16"/>
        <v>13</v>
      </c>
      <c r="J94" s="21">
        <f t="shared" si="16"/>
        <v>17</v>
      </c>
      <c r="K94" s="21">
        <f t="shared" si="16"/>
        <v>21</v>
      </c>
      <c r="L94" s="21">
        <f t="shared" si="16"/>
        <v>27</v>
      </c>
      <c r="M94" s="21">
        <f t="shared" si="16"/>
        <v>13</v>
      </c>
      <c r="N94" s="21">
        <f t="shared" si="16"/>
        <v>13</v>
      </c>
      <c r="O94" s="21">
        <f t="shared" si="16"/>
        <v>10</v>
      </c>
      <c r="P94" s="21">
        <f t="shared" si="16"/>
        <v>16</v>
      </c>
      <c r="Q94" s="21">
        <f t="shared" si="16"/>
        <v>11</v>
      </c>
      <c r="R94" s="21">
        <f t="shared" si="16"/>
        <v>16</v>
      </c>
      <c r="S94" s="21">
        <f t="shared" si="16"/>
        <v>18</v>
      </c>
      <c r="T94" s="21">
        <f t="shared" si="16"/>
        <v>8</v>
      </c>
      <c r="U94" s="21">
        <f t="shared" si="16"/>
        <v>12</v>
      </c>
      <c r="V94" s="21">
        <f t="shared" si="16"/>
        <v>14</v>
      </c>
      <c r="W94" s="21">
        <f t="shared" si="16"/>
        <v>8</v>
      </c>
      <c r="X94" s="21">
        <f t="shared" si="16"/>
        <v>11</v>
      </c>
      <c r="Y94" s="21">
        <f t="shared" si="16"/>
        <v>17</v>
      </c>
      <c r="Z94" s="21">
        <f t="shared" si="16"/>
        <v>16</v>
      </c>
      <c r="AA94" s="21">
        <f t="shared" si="16"/>
        <v>13</v>
      </c>
      <c r="AB94" s="21">
        <f t="shared" si="16"/>
        <v>8</v>
      </c>
      <c r="AC94" s="21">
        <f t="shared" si="16"/>
        <v>14</v>
      </c>
      <c r="AD94" s="21">
        <f t="shared" si="16"/>
        <v>10</v>
      </c>
      <c r="AE94" s="21">
        <f t="shared" si="16"/>
        <v>0</v>
      </c>
      <c r="AF94" s="21">
        <f t="shared" si="16"/>
        <v>0</v>
      </c>
      <c r="AG94" s="5">
        <f t="shared" si="5"/>
        <v>412</v>
      </c>
    </row>
    <row r="95" spans="1:34" ht="15.75" customHeight="1" x14ac:dyDescent="0.25">
      <c r="A95" s="78" t="s">
        <v>44</v>
      </c>
      <c r="B95" s="54">
        <v>0</v>
      </c>
      <c r="C95" s="54">
        <v>0</v>
      </c>
      <c r="D95" s="54">
        <v>0</v>
      </c>
      <c r="E95" s="54">
        <v>1</v>
      </c>
      <c r="F95" s="54">
        <v>2</v>
      </c>
      <c r="G95" s="54">
        <v>1</v>
      </c>
      <c r="H95" s="54">
        <v>0</v>
      </c>
      <c r="I95" s="54">
        <v>1</v>
      </c>
      <c r="J95" s="54">
        <v>0</v>
      </c>
      <c r="K95" s="54">
        <v>0</v>
      </c>
      <c r="L95" s="54">
        <v>0</v>
      </c>
      <c r="M95" s="54">
        <v>2</v>
      </c>
      <c r="N95" s="54">
        <v>0</v>
      </c>
      <c r="O95" s="54">
        <v>0</v>
      </c>
      <c r="P95" s="54">
        <v>0</v>
      </c>
      <c r="Q95" s="54">
        <v>0</v>
      </c>
      <c r="R95" s="54">
        <v>0</v>
      </c>
      <c r="S95" s="54">
        <v>0</v>
      </c>
      <c r="T95" s="54">
        <v>0</v>
      </c>
      <c r="U95" s="54">
        <v>0</v>
      </c>
      <c r="V95" s="54">
        <v>1</v>
      </c>
      <c r="W95" s="54">
        <v>0</v>
      </c>
      <c r="X95" s="54">
        <v>0</v>
      </c>
      <c r="Y95" s="54">
        <v>0</v>
      </c>
      <c r="Z95" s="54">
        <v>1</v>
      </c>
      <c r="AA95" s="54">
        <v>0</v>
      </c>
      <c r="AB95" s="54">
        <v>0</v>
      </c>
      <c r="AC95" s="54">
        <v>1</v>
      </c>
      <c r="AD95" s="54">
        <v>0</v>
      </c>
      <c r="AE95" s="54"/>
      <c r="AF95" s="54"/>
      <c r="AG95" s="5">
        <f t="shared" si="5"/>
        <v>10</v>
      </c>
    </row>
    <row r="96" spans="1:34" ht="15.75" customHeight="1" x14ac:dyDescent="0.25">
      <c r="A96" s="79" t="s">
        <v>45</v>
      </c>
      <c r="B96" s="54">
        <v>3</v>
      </c>
      <c r="C96" s="54">
        <v>1</v>
      </c>
      <c r="D96" s="54">
        <v>2</v>
      </c>
      <c r="E96" s="54">
        <v>0</v>
      </c>
      <c r="F96" s="54">
        <v>0</v>
      </c>
      <c r="G96" s="54">
        <v>1</v>
      </c>
      <c r="H96" s="54">
        <v>0</v>
      </c>
      <c r="I96" s="54">
        <v>0</v>
      </c>
      <c r="J96" s="54">
        <v>1</v>
      </c>
      <c r="K96" s="54">
        <v>2</v>
      </c>
      <c r="L96" s="54">
        <v>1</v>
      </c>
      <c r="M96" s="54">
        <v>0</v>
      </c>
      <c r="N96" s="54">
        <v>0</v>
      </c>
      <c r="O96" s="54">
        <v>1</v>
      </c>
      <c r="P96" s="54">
        <v>1</v>
      </c>
      <c r="Q96" s="54">
        <v>0</v>
      </c>
      <c r="R96" s="54">
        <v>0</v>
      </c>
      <c r="S96" s="54">
        <v>2</v>
      </c>
      <c r="T96" s="54">
        <v>1</v>
      </c>
      <c r="U96" s="54">
        <v>2</v>
      </c>
      <c r="V96" s="54">
        <v>1</v>
      </c>
      <c r="W96" s="54">
        <v>0</v>
      </c>
      <c r="X96" s="54">
        <v>0</v>
      </c>
      <c r="Y96" s="54">
        <v>1</v>
      </c>
      <c r="Z96" s="54">
        <v>2</v>
      </c>
      <c r="AA96" s="54">
        <v>1</v>
      </c>
      <c r="AB96" s="54">
        <v>1</v>
      </c>
      <c r="AC96" s="54">
        <v>0</v>
      </c>
      <c r="AD96" s="54">
        <v>0</v>
      </c>
      <c r="AE96" s="54"/>
      <c r="AF96" s="54"/>
      <c r="AG96" s="5">
        <f t="shared" si="5"/>
        <v>24</v>
      </c>
    </row>
    <row r="97" spans="1:33" ht="15.75" customHeight="1" x14ac:dyDescent="0.25">
      <c r="A97" s="80" t="s">
        <v>46</v>
      </c>
      <c r="B97" s="54">
        <v>2</v>
      </c>
      <c r="C97" s="54">
        <v>3</v>
      </c>
      <c r="D97" s="54">
        <v>2</v>
      </c>
      <c r="E97" s="54">
        <v>1</v>
      </c>
      <c r="F97" s="54">
        <v>0</v>
      </c>
      <c r="G97" s="54">
        <v>2</v>
      </c>
      <c r="H97" s="54">
        <v>1</v>
      </c>
      <c r="I97" s="54">
        <v>1</v>
      </c>
      <c r="J97" s="54">
        <v>5</v>
      </c>
      <c r="K97" s="54">
        <v>2</v>
      </c>
      <c r="L97" s="54">
        <v>6</v>
      </c>
      <c r="M97" s="54">
        <v>2</v>
      </c>
      <c r="N97" s="54">
        <v>1</v>
      </c>
      <c r="O97" s="54">
        <v>2</v>
      </c>
      <c r="P97" s="54">
        <v>3</v>
      </c>
      <c r="Q97" s="54">
        <v>2</v>
      </c>
      <c r="R97" s="54">
        <v>2</v>
      </c>
      <c r="S97" s="54">
        <v>1</v>
      </c>
      <c r="T97" s="54">
        <v>1</v>
      </c>
      <c r="U97" s="54">
        <v>2</v>
      </c>
      <c r="V97" s="54">
        <v>1</v>
      </c>
      <c r="W97" s="54">
        <v>2</v>
      </c>
      <c r="X97" s="54">
        <v>3</v>
      </c>
      <c r="Y97" s="54">
        <v>3</v>
      </c>
      <c r="Z97" s="54">
        <v>2</v>
      </c>
      <c r="AA97" s="54">
        <v>1</v>
      </c>
      <c r="AB97" s="54">
        <v>2</v>
      </c>
      <c r="AC97" s="54">
        <v>2</v>
      </c>
      <c r="AD97" s="54">
        <v>1</v>
      </c>
      <c r="AE97" s="54"/>
      <c r="AF97" s="54"/>
      <c r="AG97" s="5">
        <f t="shared" si="5"/>
        <v>58</v>
      </c>
    </row>
    <row r="98" spans="1:33" ht="15.75" customHeight="1" x14ac:dyDescent="0.25">
      <c r="A98" s="81" t="s">
        <v>47</v>
      </c>
      <c r="B98" s="54">
        <v>6</v>
      </c>
      <c r="C98" s="54">
        <v>5</v>
      </c>
      <c r="D98" s="54">
        <v>7</v>
      </c>
      <c r="E98" s="54">
        <v>3</v>
      </c>
      <c r="F98" s="54">
        <v>7</v>
      </c>
      <c r="G98" s="54">
        <v>3</v>
      </c>
      <c r="H98" s="54">
        <v>11</v>
      </c>
      <c r="I98" s="54">
        <v>4</v>
      </c>
      <c r="J98" s="54">
        <v>6</v>
      </c>
      <c r="K98" s="54">
        <v>10</v>
      </c>
      <c r="L98" s="54">
        <v>11</v>
      </c>
      <c r="M98" s="54">
        <v>5</v>
      </c>
      <c r="N98" s="54">
        <v>6</v>
      </c>
      <c r="O98" s="54">
        <v>2</v>
      </c>
      <c r="P98" s="54">
        <v>10</v>
      </c>
      <c r="Q98" s="54">
        <v>3</v>
      </c>
      <c r="R98" s="54">
        <v>9</v>
      </c>
      <c r="S98" s="54">
        <v>8</v>
      </c>
      <c r="T98" s="54">
        <v>4</v>
      </c>
      <c r="U98" s="54">
        <v>3</v>
      </c>
      <c r="V98" s="54">
        <v>3</v>
      </c>
      <c r="W98" s="54">
        <v>3</v>
      </c>
      <c r="X98" s="54">
        <v>4</v>
      </c>
      <c r="Y98" s="54">
        <v>6</v>
      </c>
      <c r="Z98" s="54">
        <v>3</v>
      </c>
      <c r="AA98" s="54">
        <v>8</v>
      </c>
      <c r="AB98" s="54">
        <v>2</v>
      </c>
      <c r="AC98" s="54">
        <v>8</v>
      </c>
      <c r="AD98" s="54">
        <v>4</v>
      </c>
      <c r="AE98" s="54"/>
      <c r="AF98" s="54"/>
      <c r="AG98" s="5">
        <f t="shared" si="5"/>
        <v>164</v>
      </c>
    </row>
    <row r="99" spans="1:33" ht="15.75" customHeight="1" x14ac:dyDescent="0.25">
      <c r="A99" s="82" t="s">
        <v>48</v>
      </c>
      <c r="B99" s="54">
        <v>10</v>
      </c>
      <c r="C99" s="54">
        <v>5</v>
      </c>
      <c r="D99" s="54">
        <v>2</v>
      </c>
      <c r="E99" s="54">
        <v>10</v>
      </c>
      <c r="F99" s="54">
        <v>2</v>
      </c>
      <c r="G99" s="54">
        <v>5</v>
      </c>
      <c r="H99" s="54">
        <v>8</v>
      </c>
      <c r="I99" s="54">
        <v>7</v>
      </c>
      <c r="J99" s="54">
        <v>5</v>
      </c>
      <c r="K99" s="54">
        <v>7</v>
      </c>
      <c r="L99" s="54">
        <v>9</v>
      </c>
      <c r="M99" s="54">
        <v>4</v>
      </c>
      <c r="N99" s="54">
        <v>6</v>
      </c>
      <c r="O99" s="54">
        <v>5</v>
      </c>
      <c r="P99" s="54">
        <v>2</v>
      </c>
      <c r="Q99" s="54">
        <v>6</v>
      </c>
      <c r="R99" s="54">
        <v>5</v>
      </c>
      <c r="S99" s="54">
        <v>7</v>
      </c>
      <c r="T99" s="54">
        <v>2</v>
      </c>
      <c r="U99" s="54">
        <v>5</v>
      </c>
      <c r="V99" s="54">
        <v>8</v>
      </c>
      <c r="W99" s="54">
        <v>3</v>
      </c>
      <c r="X99" s="54">
        <v>4</v>
      </c>
      <c r="Y99" s="54">
        <v>7</v>
      </c>
      <c r="Z99" s="54">
        <v>8</v>
      </c>
      <c r="AA99" s="54">
        <v>3</v>
      </c>
      <c r="AB99" s="54">
        <v>3</v>
      </c>
      <c r="AC99" s="54">
        <v>3</v>
      </c>
      <c r="AD99" s="54">
        <v>5</v>
      </c>
      <c r="AE99" s="54"/>
      <c r="AF99" s="54"/>
      <c r="AG99" s="5">
        <f t="shared" ref="AG99:AG162" si="17">SUM(B99:AF99)</f>
        <v>156</v>
      </c>
    </row>
    <row r="100" spans="1:33" ht="15.75" customHeight="1" x14ac:dyDescent="0.25">
      <c r="A100" s="76" t="s">
        <v>49</v>
      </c>
      <c r="B100" s="21">
        <f t="shared" ref="B100:AF100" si="18">SUM(B101:B115)</f>
        <v>104</v>
      </c>
      <c r="C100" s="21">
        <f t="shared" si="18"/>
        <v>99</v>
      </c>
      <c r="D100" s="21">
        <f t="shared" si="18"/>
        <v>168</v>
      </c>
      <c r="E100" s="21">
        <f t="shared" si="18"/>
        <v>167</v>
      </c>
      <c r="F100" s="21">
        <f t="shared" si="18"/>
        <v>130</v>
      </c>
      <c r="G100" s="21">
        <f t="shared" si="18"/>
        <v>117</v>
      </c>
      <c r="H100" s="21">
        <f t="shared" si="18"/>
        <v>104</v>
      </c>
      <c r="I100" s="21">
        <f t="shared" si="18"/>
        <v>107</v>
      </c>
      <c r="J100" s="21">
        <f t="shared" si="18"/>
        <v>96</v>
      </c>
      <c r="K100" s="21">
        <f t="shared" si="18"/>
        <v>140</v>
      </c>
      <c r="L100" s="21">
        <f t="shared" si="18"/>
        <v>144</v>
      </c>
      <c r="M100" s="21">
        <f t="shared" si="18"/>
        <v>128</v>
      </c>
      <c r="N100" s="21">
        <f t="shared" si="18"/>
        <v>119</v>
      </c>
      <c r="O100" s="21">
        <f t="shared" si="18"/>
        <v>110</v>
      </c>
      <c r="P100" s="21">
        <f t="shared" si="18"/>
        <v>100</v>
      </c>
      <c r="Q100" s="21">
        <f t="shared" si="18"/>
        <v>120</v>
      </c>
      <c r="R100" s="21">
        <f t="shared" si="18"/>
        <v>149</v>
      </c>
      <c r="S100" s="21">
        <f t="shared" si="18"/>
        <v>151</v>
      </c>
      <c r="T100" s="21">
        <f t="shared" si="18"/>
        <v>125</v>
      </c>
      <c r="U100" s="21">
        <f t="shared" si="18"/>
        <v>123</v>
      </c>
      <c r="V100" s="21">
        <f t="shared" si="18"/>
        <v>117</v>
      </c>
      <c r="W100" s="21">
        <f t="shared" si="18"/>
        <v>116</v>
      </c>
      <c r="X100" s="21">
        <f t="shared" si="18"/>
        <v>121</v>
      </c>
      <c r="Y100" s="21">
        <f t="shared" si="18"/>
        <v>192</v>
      </c>
      <c r="Z100" s="21">
        <f t="shared" si="18"/>
        <v>171</v>
      </c>
      <c r="AA100" s="21">
        <f t="shared" si="18"/>
        <v>109</v>
      </c>
      <c r="AB100" s="21">
        <f t="shared" si="18"/>
        <v>127</v>
      </c>
      <c r="AC100" s="21">
        <f t="shared" si="18"/>
        <v>109</v>
      </c>
      <c r="AD100" s="21">
        <f t="shared" si="18"/>
        <v>127</v>
      </c>
      <c r="AE100" s="21">
        <f t="shared" si="18"/>
        <v>0</v>
      </c>
      <c r="AF100" s="21">
        <f t="shared" si="18"/>
        <v>0</v>
      </c>
      <c r="AG100" s="5">
        <f t="shared" si="17"/>
        <v>3690</v>
      </c>
    </row>
    <row r="101" spans="1:33" ht="15.75" customHeight="1" x14ac:dyDescent="0.25">
      <c r="A101" s="82" t="s">
        <v>50</v>
      </c>
      <c r="B101" s="54">
        <v>9</v>
      </c>
      <c r="C101" s="54">
        <v>5</v>
      </c>
      <c r="D101" s="54">
        <v>9</v>
      </c>
      <c r="E101" s="54">
        <v>13</v>
      </c>
      <c r="F101" s="54">
        <v>9</v>
      </c>
      <c r="G101" s="54">
        <v>6</v>
      </c>
      <c r="H101" s="54">
        <v>7</v>
      </c>
      <c r="I101" s="54">
        <v>11</v>
      </c>
      <c r="J101" s="54">
        <v>10</v>
      </c>
      <c r="K101" s="54">
        <v>13</v>
      </c>
      <c r="L101" s="54">
        <v>7</v>
      </c>
      <c r="M101" s="54">
        <v>10</v>
      </c>
      <c r="N101" s="54">
        <v>7</v>
      </c>
      <c r="O101" s="54">
        <v>6</v>
      </c>
      <c r="P101" s="54">
        <v>9</v>
      </c>
      <c r="Q101" s="54">
        <v>7</v>
      </c>
      <c r="R101" s="54">
        <v>14</v>
      </c>
      <c r="S101" s="54">
        <v>9</v>
      </c>
      <c r="T101" s="54">
        <v>7</v>
      </c>
      <c r="U101" s="54">
        <v>11</v>
      </c>
      <c r="V101" s="54">
        <v>13</v>
      </c>
      <c r="W101" s="54">
        <v>9</v>
      </c>
      <c r="X101" s="54">
        <v>5</v>
      </c>
      <c r="Y101" s="54">
        <v>11</v>
      </c>
      <c r="Z101" s="54">
        <v>15</v>
      </c>
      <c r="AA101" s="54">
        <v>8</v>
      </c>
      <c r="AB101" s="54">
        <v>8</v>
      </c>
      <c r="AC101" s="54">
        <v>4</v>
      </c>
      <c r="AD101" s="54">
        <v>12</v>
      </c>
      <c r="AE101" s="54"/>
      <c r="AF101" s="54"/>
      <c r="AG101" s="5">
        <f t="shared" si="17"/>
        <v>264</v>
      </c>
    </row>
    <row r="102" spans="1:33" ht="15.75" customHeight="1" x14ac:dyDescent="0.25">
      <c r="A102" s="82" t="s">
        <v>51</v>
      </c>
      <c r="B102" s="54">
        <v>14</v>
      </c>
      <c r="C102" s="54">
        <v>7</v>
      </c>
      <c r="D102" s="54">
        <v>10</v>
      </c>
      <c r="E102" s="54">
        <v>20</v>
      </c>
      <c r="F102" s="54">
        <v>15</v>
      </c>
      <c r="G102" s="54">
        <v>14</v>
      </c>
      <c r="H102" s="54">
        <v>7</v>
      </c>
      <c r="I102" s="54">
        <v>7</v>
      </c>
      <c r="J102" s="54">
        <v>12</v>
      </c>
      <c r="K102" s="54">
        <v>9</v>
      </c>
      <c r="L102" s="54">
        <v>9</v>
      </c>
      <c r="M102" s="54">
        <v>11</v>
      </c>
      <c r="N102" s="54">
        <v>8</v>
      </c>
      <c r="O102" s="54">
        <v>17</v>
      </c>
      <c r="P102" s="54">
        <v>11</v>
      </c>
      <c r="Q102" s="54">
        <v>9</v>
      </c>
      <c r="R102" s="54">
        <v>16</v>
      </c>
      <c r="S102" s="54">
        <v>12</v>
      </c>
      <c r="T102" s="54">
        <v>9</v>
      </c>
      <c r="U102" s="54">
        <v>13</v>
      </c>
      <c r="V102" s="54">
        <v>9</v>
      </c>
      <c r="W102" s="54">
        <v>9</v>
      </c>
      <c r="X102" s="54">
        <v>12</v>
      </c>
      <c r="Y102" s="54">
        <v>14</v>
      </c>
      <c r="Z102" s="54">
        <v>7</v>
      </c>
      <c r="AA102" s="54">
        <v>6</v>
      </c>
      <c r="AB102" s="54">
        <v>12</v>
      </c>
      <c r="AC102" s="54">
        <v>10</v>
      </c>
      <c r="AD102" s="54">
        <v>13</v>
      </c>
      <c r="AE102" s="54"/>
      <c r="AF102" s="54"/>
      <c r="AG102" s="5">
        <f t="shared" si="17"/>
        <v>322</v>
      </c>
    </row>
    <row r="103" spans="1:33" ht="15.75" customHeight="1" x14ac:dyDescent="0.25">
      <c r="A103" s="78" t="s">
        <v>52</v>
      </c>
      <c r="B103" s="54">
        <v>7</v>
      </c>
      <c r="C103" s="54">
        <v>9</v>
      </c>
      <c r="D103" s="54">
        <v>10</v>
      </c>
      <c r="E103" s="54">
        <v>10</v>
      </c>
      <c r="F103" s="54">
        <v>8</v>
      </c>
      <c r="G103" s="54">
        <v>8</v>
      </c>
      <c r="H103" s="54">
        <v>12</v>
      </c>
      <c r="I103" s="54">
        <v>4</v>
      </c>
      <c r="J103" s="54">
        <v>6</v>
      </c>
      <c r="K103" s="54">
        <v>11</v>
      </c>
      <c r="L103" s="54">
        <v>11</v>
      </c>
      <c r="M103" s="54">
        <v>9</v>
      </c>
      <c r="N103" s="54">
        <v>7</v>
      </c>
      <c r="O103" s="54">
        <v>7</v>
      </c>
      <c r="P103" s="54">
        <v>6</v>
      </c>
      <c r="Q103" s="54">
        <v>7</v>
      </c>
      <c r="R103" s="54">
        <v>12</v>
      </c>
      <c r="S103" s="54">
        <v>12</v>
      </c>
      <c r="T103" s="54">
        <v>15</v>
      </c>
      <c r="U103" s="54">
        <v>9</v>
      </c>
      <c r="V103" s="54">
        <v>16</v>
      </c>
      <c r="W103" s="54">
        <v>12</v>
      </c>
      <c r="X103" s="54">
        <v>13</v>
      </c>
      <c r="Y103" s="54">
        <v>20</v>
      </c>
      <c r="Z103" s="54">
        <v>19</v>
      </c>
      <c r="AA103" s="54">
        <v>13</v>
      </c>
      <c r="AB103" s="54">
        <v>16</v>
      </c>
      <c r="AC103" s="54">
        <v>12</v>
      </c>
      <c r="AD103" s="54">
        <v>11</v>
      </c>
      <c r="AE103" s="54"/>
      <c r="AF103" s="54"/>
      <c r="AG103" s="5">
        <f t="shared" si="17"/>
        <v>312</v>
      </c>
    </row>
    <row r="104" spans="1:33" ht="15.75" customHeight="1" x14ac:dyDescent="0.25">
      <c r="A104" s="78" t="s">
        <v>53</v>
      </c>
      <c r="B104" s="54">
        <v>9</v>
      </c>
      <c r="C104" s="54">
        <v>9</v>
      </c>
      <c r="D104" s="54">
        <v>10</v>
      </c>
      <c r="E104" s="54">
        <v>14</v>
      </c>
      <c r="F104" s="54">
        <v>12</v>
      </c>
      <c r="G104" s="54">
        <v>8</v>
      </c>
      <c r="H104" s="54">
        <v>10</v>
      </c>
      <c r="I104" s="54">
        <v>5</v>
      </c>
      <c r="J104" s="54">
        <v>5</v>
      </c>
      <c r="K104" s="54">
        <v>10</v>
      </c>
      <c r="L104" s="54">
        <v>8</v>
      </c>
      <c r="M104" s="54">
        <v>9</v>
      </c>
      <c r="N104" s="54">
        <v>9</v>
      </c>
      <c r="O104" s="54">
        <v>9</v>
      </c>
      <c r="P104" s="54">
        <v>7</v>
      </c>
      <c r="Q104" s="54">
        <v>11</v>
      </c>
      <c r="R104" s="54">
        <v>8</v>
      </c>
      <c r="S104" s="54">
        <v>15</v>
      </c>
      <c r="T104" s="54">
        <v>8</v>
      </c>
      <c r="U104" s="54">
        <v>6</v>
      </c>
      <c r="V104" s="54">
        <v>9</v>
      </c>
      <c r="W104" s="54">
        <v>5</v>
      </c>
      <c r="X104" s="54">
        <v>12</v>
      </c>
      <c r="Y104" s="54">
        <v>16</v>
      </c>
      <c r="Z104" s="54">
        <v>14</v>
      </c>
      <c r="AA104" s="54">
        <v>6</v>
      </c>
      <c r="AB104" s="54">
        <v>9</v>
      </c>
      <c r="AC104" s="54">
        <v>3</v>
      </c>
      <c r="AD104" s="54">
        <v>9</v>
      </c>
      <c r="AE104" s="54"/>
      <c r="AF104" s="54"/>
      <c r="AG104" s="5">
        <f t="shared" si="17"/>
        <v>265</v>
      </c>
    </row>
    <row r="105" spans="1:33" ht="15.75" customHeight="1" x14ac:dyDescent="0.25">
      <c r="A105" s="78" t="s">
        <v>54</v>
      </c>
      <c r="B105" s="54">
        <v>3</v>
      </c>
      <c r="C105" s="54">
        <v>6</v>
      </c>
      <c r="D105" s="54">
        <v>20</v>
      </c>
      <c r="E105" s="54">
        <v>11</v>
      </c>
      <c r="F105" s="54">
        <v>8</v>
      </c>
      <c r="G105" s="54">
        <v>11</v>
      </c>
      <c r="H105" s="54">
        <v>7</v>
      </c>
      <c r="I105" s="54">
        <v>3</v>
      </c>
      <c r="J105" s="54">
        <v>5</v>
      </c>
      <c r="K105" s="54">
        <v>8</v>
      </c>
      <c r="L105" s="54">
        <v>10</v>
      </c>
      <c r="M105" s="54">
        <v>9</v>
      </c>
      <c r="N105" s="54">
        <v>12</v>
      </c>
      <c r="O105" s="54">
        <v>6</v>
      </c>
      <c r="P105" s="54">
        <v>7</v>
      </c>
      <c r="Q105" s="54">
        <v>6</v>
      </c>
      <c r="R105" s="54">
        <v>15</v>
      </c>
      <c r="S105" s="54">
        <v>12</v>
      </c>
      <c r="T105" s="54">
        <v>5</v>
      </c>
      <c r="U105" s="54">
        <v>9</v>
      </c>
      <c r="V105" s="54">
        <v>11</v>
      </c>
      <c r="W105" s="54">
        <v>13</v>
      </c>
      <c r="X105" s="54">
        <v>8</v>
      </c>
      <c r="Y105" s="54">
        <v>9</v>
      </c>
      <c r="Z105" s="54">
        <v>17</v>
      </c>
      <c r="AA105" s="54">
        <v>6</v>
      </c>
      <c r="AB105" s="54">
        <v>3</v>
      </c>
      <c r="AC105" s="54">
        <v>14</v>
      </c>
      <c r="AD105" s="54">
        <v>16</v>
      </c>
      <c r="AE105" s="54"/>
      <c r="AF105" s="54"/>
      <c r="AG105" s="5">
        <f t="shared" si="17"/>
        <v>270</v>
      </c>
    </row>
    <row r="106" spans="1:33" ht="15.75" customHeight="1" x14ac:dyDescent="0.25">
      <c r="A106" s="78" t="s">
        <v>55</v>
      </c>
      <c r="B106" s="54">
        <v>9</v>
      </c>
      <c r="C106" s="54">
        <v>13</v>
      </c>
      <c r="D106" s="54">
        <v>8</v>
      </c>
      <c r="E106" s="54">
        <v>8</v>
      </c>
      <c r="F106" s="54">
        <v>8</v>
      </c>
      <c r="G106" s="54">
        <v>8</v>
      </c>
      <c r="H106" s="54">
        <v>10</v>
      </c>
      <c r="I106" s="54">
        <v>4</v>
      </c>
      <c r="J106" s="54">
        <v>2</v>
      </c>
      <c r="K106" s="54">
        <v>9</v>
      </c>
      <c r="L106" s="54">
        <v>17</v>
      </c>
      <c r="M106" s="54">
        <v>9</v>
      </c>
      <c r="N106" s="54">
        <v>11</v>
      </c>
      <c r="O106" s="54">
        <v>9</v>
      </c>
      <c r="P106" s="54">
        <v>6</v>
      </c>
      <c r="Q106" s="54">
        <v>14</v>
      </c>
      <c r="R106" s="54">
        <v>9</v>
      </c>
      <c r="S106" s="54">
        <v>6</v>
      </c>
      <c r="T106" s="54">
        <v>9</v>
      </c>
      <c r="U106" s="54">
        <v>10</v>
      </c>
      <c r="V106" s="54">
        <v>5</v>
      </c>
      <c r="W106" s="54">
        <v>11</v>
      </c>
      <c r="X106" s="54">
        <v>15</v>
      </c>
      <c r="Y106" s="54">
        <v>16</v>
      </c>
      <c r="Z106" s="54">
        <v>16</v>
      </c>
      <c r="AA106" s="54">
        <v>13</v>
      </c>
      <c r="AB106" s="54">
        <v>6</v>
      </c>
      <c r="AC106" s="54">
        <v>9</v>
      </c>
      <c r="AD106" s="54">
        <v>13</v>
      </c>
      <c r="AE106" s="54"/>
      <c r="AF106" s="54"/>
      <c r="AG106" s="5">
        <f t="shared" si="17"/>
        <v>283</v>
      </c>
    </row>
    <row r="107" spans="1:33" ht="15.75" customHeight="1" x14ac:dyDescent="0.25">
      <c r="A107" s="78" t="s">
        <v>56</v>
      </c>
      <c r="B107" s="54">
        <v>8</v>
      </c>
      <c r="C107" s="54">
        <v>9</v>
      </c>
      <c r="D107" s="54">
        <v>10</v>
      </c>
      <c r="E107" s="54">
        <v>11</v>
      </c>
      <c r="F107" s="54">
        <v>11</v>
      </c>
      <c r="G107" s="54">
        <v>6</v>
      </c>
      <c r="H107" s="54">
        <v>10</v>
      </c>
      <c r="I107" s="54">
        <v>10</v>
      </c>
      <c r="J107" s="54">
        <v>7</v>
      </c>
      <c r="K107" s="54">
        <v>8</v>
      </c>
      <c r="L107" s="54">
        <v>11</v>
      </c>
      <c r="M107" s="54">
        <v>10</v>
      </c>
      <c r="N107" s="54">
        <v>7</v>
      </c>
      <c r="O107" s="54">
        <v>4</v>
      </c>
      <c r="P107" s="54">
        <v>10</v>
      </c>
      <c r="Q107" s="54">
        <v>9</v>
      </c>
      <c r="R107" s="54">
        <v>16</v>
      </c>
      <c r="S107" s="54">
        <v>9</v>
      </c>
      <c r="T107" s="54">
        <v>8</v>
      </c>
      <c r="U107" s="54">
        <v>7</v>
      </c>
      <c r="V107" s="54">
        <v>12</v>
      </c>
      <c r="W107" s="54">
        <v>8</v>
      </c>
      <c r="X107" s="54">
        <v>7</v>
      </c>
      <c r="Y107" s="54">
        <v>14</v>
      </c>
      <c r="Z107" s="54">
        <v>12</v>
      </c>
      <c r="AA107" s="54">
        <v>5</v>
      </c>
      <c r="AB107" s="54">
        <v>10</v>
      </c>
      <c r="AC107" s="54">
        <v>12</v>
      </c>
      <c r="AD107" s="54">
        <v>12</v>
      </c>
      <c r="AE107" s="54"/>
      <c r="AF107" s="54"/>
      <c r="AG107" s="5">
        <f t="shared" si="17"/>
        <v>273</v>
      </c>
    </row>
    <row r="108" spans="1:33" ht="15.75" customHeight="1" x14ac:dyDescent="0.25">
      <c r="A108" s="78" t="s">
        <v>57</v>
      </c>
      <c r="B108" s="54">
        <v>10</v>
      </c>
      <c r="C108" s="54">
        <v>11</v>
      </c>
      <c r="D108" s="54">
        <v>17</v>
      </c>
      <c r="E108" s="54">
        <v>19</v>
      </c>
      <c r="F108" s="54">
        <v>8</v>
      </c>
      <c r="G108" s="54">
        <v>12</v>
      </c>
      <c r="H108" s="54">
        <v>7</v>
      </c>
      <c r="I108" s="54">
        <v>12</v>
      </c>
      <c r="J108" s="54">
        <v>7</v>
      </c>
      <c r="K108" s="54">
        <v>14</v>
      </c>
      <c r="L108" s="54">
        <v>15</v>
      </c>
      <c r="M108" s="54">
        <v>11</v>
      </c>
      <c r="N108" s="54">
        <v>11</v>
      </c>
      <c r="O108" s="54">
        <v>11</v>
      </c>
      <c r="P108" s="54">
        <v>9</v>
      </c>
      <c r="Q108" s="54">
        <v>10</v>
      </c>
      <c r="R108" s="54">
        <v>9</v>
      </c>
      <c r="S108" s="54">
        <v>18</v>
      </c>
      <c r="T108" s="54">
        <v>8</v>
      </c>
      <c r="U108" s="54">
        <v>11</v>
      </c>
      <c r="V108" s="54">
        <v>7</v>
      </c>
      <c r="W108" s="54">
        <v>11</v>
      </c>
      <c r="X108" s="54">
        <v>7</v>
      </c>
      <c r="Y108" s="54">
        <v>20</v>
      </c>
      <c r="Z108" s="54">
        <v>17</v>
      </c>
      <c r="AA108" s="54">
        <v>9</v>
      </c>
      <c r="AB108" s="54">
        <v>8</v>
      </c>
      <c r="AC108" s="54">
        <v>8</v>
      </c>
      <c r="AD108" s="54">
        <v>6</v>
      </c>
      <c r="AE108" s="54"/>
      <c r="AF108" s="54"/>
      <c r="AG108" s="5">
        <f t="shared" si="17"/>
        <v>323</v>
      </c>
    </row>
    <row r="109" spans="1:33" ht="15.75" customHeight="1" x14ac:dyDescent="0.25">
      <c r="A109" s="78" t="s">
        <v>58</v>
      </c>
      <c r="B109" s="54">
        <v>6</v>
      </c>
      <c r="C109" s="54">
        <v>5</v>
      </c>
      <c r="D109" s="54">
        <v>15</v>
      </c>
      <c r="E109" s="54">
        <v>17</v>
      </c>
      <c r="F109" s="54">
        <v>7</v>
      </c>
      <c r="G109" s="54">
        <v>13</v>
      </c>
      <c r="H109" s="54">
        <v>8</v>
      </c>
      <c r="I109" s="54">
        <v>11</v>
      </c>
      <c r="J109" s="54">
        <v>11</v>
      </c>
      <c r="K109" s="54">
        <v>13</v>
      </c>
      <c r="L109" s="54">
        <v>12</v>
      </c>
      <c r="M109" s="54">
        <v>8</v>
      </c>
      <c r="N109" s="54">
        <v>11</v>
      </c>
      <c r="O109" s="54">
        <v>15</v>
      </c>
      <c r="P109" s="54">
        <v>4</v>
      </c>
      <c r="Q109" s="54">
        <v>7</v>
      </c>
      <c r="R109" s="54">
        <v>7</v>
      </c>
      <c r="S109" s="54">
        <v>17</v>
      </c>
      <c r="T109" s="54">
        <v>15</v>
      </c>
      <c r="U109" s="54">
        <v>10</v>
      </c>
      <c r="V109" s="54">
        <v>7</v>
      </c>
      <c r="W109" s="54">
        <v>11</v>
      </c>
      <c r="X109" s="54">
        <v>8</v>
      </c>
      <c r="Y109" s="54">
        <v>11</v>
      </c>
      <c r="Z109" s="54">
        <v>13</v>
      </c>
      <c r="AA109" s="54">
        <v>11</v>
      </c>
      <c r="AB109" s="54">
        <v>15</v>
      </c>
      <c r="AC109" s="54">
        <v>5</v>
      </c>
      <c r="AD109" s="54">
        <v>6</v>
      </c>
      <c r="AE109" s="54"/>
      <c r="AF109" s="54"/>
      <c r="AG109" s="5">
        <f t="shared" si="17"/>
        <v>299</v>
      </c>
    </row>
    <row r="110" spans="1:33" ht="15.75" customHeight="1" x14ac:dyDescent="0.25">
      <c r="A110" s="78" t="s">
        <v>59</v>
      </c>
      <c r="B110" s="54">
        <v>9</v>
      </c>
      <c r="C110" s="54">
        <v>6</v>
      </c>
      <c r="D110" s="54">
        <v>15</v>
      </c>
      <c r="E110" s="54">
        <v>7</v>
      </c>
      <c r="F110" s="54">
        <v>15</v>
      </c>
      <c r="G110" s="54">
        <v>10</v>
      </c>
      <c r="H110" s="54">
        <v>8</v>
      </c>
      <c r="I110" s="54">
        <v>10</v>
      </c>
      <c r="J110" s="54">
        <v>7</v>
      </c>
      <c r="K110" s="54">
        <v>10</v>
      </c>
      <c r="L110" s="54">
        <v>8</v>
      </c>
      <c r="M110" s="54">
        <v>13</v>
      </c>
      <c r="N110" s="54">
        <v>10</v>
      </c>
      <c r="O110" s="54">
        <v>6</v>
      </c>
      <c r="P110" s="54">
        <v>5</v>
      </c>
      <c r="Q110" s="54">
        <v>9</v>
      </c>
      <c r="R110" s="54">
        <v>14</v>
      </c>
      <c r="S110" s="54">
        <v>10</v>
      </c>
      <c r="T110" s="54">
        <v>11</v>
      </c>
      <c r="U110" s="54">
        <v>10</v>
      </c>
      <c r="V110" s="54">
        <v>10</v>
      </c>
      <c r="W110" s="54">
        <v>9</v>
      </c>
      <c r="X110" s="54">
        <v>7</v>
      </c>
      <c r="Y110" s="54">
        <v>13</v>
      </c>
      <c r="Z110" s="54">
        <v>11</v>
      </c>
      <c r="AA110" s="54">
        <v>7</v>
      </c>
      <c r="AB110" s="54">
        <v>14</v>
      </c>
      <c r="AC110" s="54">
        <v>6</v>
      </c>
      <c r="AD110" s="54">
        <v>4</v>
      </c>
      <c r="AE110" s="54"/>
      <c r="AF110" s="54"/>
      <c r="AG110" s="5">
        <f t="shared" si="17"/>
        <v>274</v>
      </c>
    </row>
    <row r="111" spans="1:33" ht="15.75" customHeight="1" x14ac:dyDescent="0.25">
      <c r="A111" s="78" t="s">
        <v>60</v>
      </c>
      <c r="B111" s="54">
        <v>6</v>
      </c>
      <c r="C111" s="54">
        <v>8</v>
      </c>
      <c r="D111" s="54">
        <v>9</v>
      </c>
      <c r="E111" s="54">
        <v>9</v>
      </c>
      <c r="F111" s="54">
        <v>10</v>
      </c>
      <c r="G111" s="54">
        <v>5</v>
      </c>
      <c r="H111" s="54">
        <v>5</v>
      </c>
      <c r="I111" s="54">
        <v>7</v>
      </c>
      <c r="J111" s="54">
        <v>9</v>
      </c>
      <c r="K111" s="54">
        <v>6</v>
      </c>
      <c r="L111" s="54">
        <v>8</v>
      </c>
      <c r="M111" s="54">
        <v>9</v>
      </c>
      <c r="N111" s="54">
        <v>10</v>
      </c>
      <c r="O111" s="54">
        <v>6</v>
      </c>
      <c r="P111" s="54">
        <v>7</v>
      </c>
      <c r="Q111" s="54">
        <v>4</v>
      </c>
      <c r="R111" s="54">
        <v>7</v>
      </c>
      <c r="S111" s="54">
        <v>7</v>
      </c>
      <c r="T111" s="54">
        <v>7</v>
      </c>
      <c r="U111" s="54">
        <v>5</v>
      </c>
      <c r="V111" s="54">
        <v>6</v>
      </c>
      <c r="W111" s="54">
        <v>3</v>
      </c>
      <c r="X111" s="54">
        <v>5</v>
      </c>
      <c r="Y111" s="54">
        <v>13</v>
      </c>
      <c r="Z111" s="54">
        <v>10</v>
      </c>
      <c r="AA111" s="54">
        <v>6</v>
      </c>
      <c r="AB111" s="54">
        <v>7</v>
      </c>
      <c r="AC111" s="54">
        <v>5</v>
      </c>
      <c r="AD111" s="54">
        <v>7</v>
      </c>
      <c r="AE111" s="54"/>
      <c r="AF111" s="54"/>
      <c r="AG111" s="5">
        <f t="shared" si="17"/>
        <v>206</v>
      </c>
    </row>
    <row r="112" spans="1:33" ht="15.75" customHeight="1" x14ac:dyDescent="0.25">
      <c r="A112" s="78" t="s">
        <v>61</v>
      </c>
      <c r="B112" s="54">
        <v>6</v>
      </c>
      <c r="C112" s="54">
        <v>5</v>
      </c>
      <c r="D112" s="54">
        <v>14</v>
      </c>
      <c r="E112" s="54">
        <v>10</v>
      </c>
      <c r="F112" s="54">
        <v>4</v>
      </c>
      <c r="G112" s="54">
        <v>3</v>
      </c>
      <c r="H112" s="54">
        <v>5</v>
      </c>
      <c r="I112" s="54">
        <v>6</v>
      </c>
      <c r="J112" s="54">
        <v>6</v>
      </c>
      <c r="K112" s="54">
        <v>11</v>
      </c>
      <c r="L112" s="54">
        <v>9</v>
      </c>
      <c r="M112" s="54">
        <v>5</v>
      </c>
      <c r="N112" s="54">
        <v>7</v>
      </c>
      <c r="O112" s="54">
        <v>4</v>
      </c>
      <c r="P112" s="54">
        <v>11</v>
      </c>
      <c r="Q112" s="54">
        <v>7</v>
      </c>
      <c r="R112" s="54">
        <v>6</v>
      </c>
      <c r="S112" s="54">
        <v>9</v>
      </c>
      <c r="T112" s="54">
        <v>5</v>
      </c>
      <c r="U112" s="54">
        <v>9</v>
      </c>
      <c r="V112" s="54">
        <v>5</v>
      </c>
      <c r="W112" s="54">
        <v>7</v>
      </c>
      <c r="X112" s="54">
        <v>8</v>
      </c>
      <c r="Y112" s="54">
        <v>11</v>
      </c>
      <c r="Z112" s="54">
        <v>5</v>
      </c>
      <c r="AA112" s="54">
        <v>6</v>
      </c>
      <c r="AB112" s="54">
        <v>9</v>
      </c>
      <c r="AC112" s="54">
        <v>3</v>
      </c>
      <c r="AD112" s="54">
        <v>4</v>
      </c>
      <c r="AE112" s="54"/>
      <c r="AF112" s="54"/>
      <c r="AG112" s="5">
        <f t="shared" si="17"/>
        <v>200</v>
      </c>
    </row>
    <row r="113" spans="1:37" ht="15.75" customHeight="1" x14ac:dyDescent="0.25">
      <c r="A113" s="78" t="s">
        <v>62</v>
      </c>
      <c r="B113" s="54">
        <v>3</v>
      </c>
      <c r="C113" s="54">
        <v>0</v>
      </c>
      <c r="D113" s="54">
        <v>11</v>
      </c>
      <c r="E113" s="54">
        <v>6</v>
      </c>
      <c r="F113" s="54">
        <v>5</v>
      </c>
      <c r="G113" s="54">
        <v>4</v>
      </c>
      <c r="H113" s="54">
        <v>3</v>
      </c>
      <c r="I113" s="54">
        <v>8</v>
      </c>
      <c r="J113" s="54">
        <v>7</v>
      </c>
      <c r="K113" s="54">
        <v>7</v>
      </c>
      <c r="L113" s="54">
        <v>5</v>
      </c>
      <c r="M113" s="54">
        <v>7</v>
      </c>
      <c r="N113" s="54">
        <v>3</v>
      </c>
      <c r="O113" s="54">
        <v>2</v>
      </c>
      <c r="P113" s="54">
        <v>2</v>
      </c>
      <c r="Q113" s="54">
        <v>11</v>
      </c>
      <c r="R113" s="54">
        <v>8</v>
      </c>
      <c r="S113" s="54">
        <v>3</v>
      </c>
      <c r="T113" s="54">
        <v>9</v>
      </c>
      <c r="U113" s="54">
        <v>4</v>
      </c>
      <c r="V113" s="54">
        <v>2</v>
      </c>
      <c r="W113" s="54">
        <v>6</v>
      </c>
      <c r="X113" s="54">
        <v>7</v>
      </c>
      <c r="Y113" s="54">
        <v>14</v>
      </c>
      <c r="Z113" s="54">
        <v>5</v>
      </c>
      <c r="AA113" s="54">
        <v>6</v>
      </c>
      <c r="AB113" s="54">
        <v>6</v>
      </c>
      <c r="AC113" s="54">
        <v>11</v>
      </c>
      <c r="AD113" s="54">
        <v>6</v>
      </c>
      <c r="AE113" s="54"/>
      <c r="AF113" s="54"/>
      <c r="AG113" s="5">
        <f t="shared" si="17"/>
        <v>171</v>
      </c>
    </row>
    <row r="114" spans="1:37" ht="15.75" customHeight="1" x14ac:dyDescent="0.25">
      <c r="A114" s="78" t="s">
        <v>63</v>
      </c>
      <c r="B114" s="54">
        <v>5</v>
      </c>
      <c r="C114" s="54">
        <v>6</v>
      </c>
      <c r="D114" s="54">
        <v>10</v>
      </c>
      <c r="E114" s="54">
        <v>12</v>
      </c>
      <c r="F114" s="54">
        <v>10</v>
      </c>
      <c r="G114" s="54">
        <v>9</v>
      </c>
      <c r="H114" s="54">
        <v>5</v>
      </c>
      <c r="I114" s="54">
        <v>9</v>
      </c>
      <c r="J114" s="54">
        <v>2</v>
      </c>
      <c r="K114" s="54">
        <v>11</v>
      </c>
      <c r="L114" s="54">
        <v>14</v>
      </c>
      <c r="M114" s="54">
        <v>8</v>
      </c>
      <c r="N114" s="54">
        <v>6</v>
      </c>
      <c r="O114" s="54">
        <v>8</v>
      </c>
      <c r="P114" s="54">
        <v>6</v>
      </c>
      <c r="Q114" s="54">
        <v>9</v>
      </c>
      <c r="R114" s="54">
        <v>8</v>
      </c>
      <c r="S114" s="54">
        <v>12</v>
      </c>
      <c r="T114" s="54">
        <v>9</v>
      </c>
      <c r="U114" s="54">
        <v>9</v>
      </c>
      <c r="V114" s="54">
        <v>5</v>
      </c>
      <c r="W114" s="54">
        <v>2</v>
      </c>
      <c r="X114" s="54">
        <v>7</v>
      </c>
      <c r="Y114" s="54">
        <v>10</v>
      </c>
      <c r="Z114" s="54">
        <v>10</v>
      </c>
      <c r="AA114" s="54">
        <v>7</v>
      </c>
      <c r="AB114" s="54">
        <v>4</v>
      </c>
      <c r="AC114" s="54">
        <v>7</v>
      </c>
      <c r="AD114" s="54">
        <v>8</v>
      </c>
      <c r="AE114" s="54"/>
      <c r="AF114" s="54"/>
      <c r="AG114" s="5">
        <f t="shared" si="17"/>
        <v>228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26</v>
      </c>
      <c r="C116" s="20">
        <f t="shared" si="19"/>
        <v>21</v>
      </c>
      <c r="D116" s="20">
        <f t="shared" si="19"/>
        <v>31</v>
      </c>
      <c r="E116" s="20">
        <f t="shared" si="19"/>
        <v>40</v>
      </c>
      <c r="F116" s="20">
        <f t="shared" si="19"/>
        <v>33</v>
      </c>
      <c r="G116" s="20">
        <f t="shared" si="19"/>
        <v>31</v>
      </c>
      <c r="H116" s="20">
        <f t="shared" si="19"/>
        <v>28</v>
      </c>
      <c r="I116" s="20">
        <f t="shared" si="19"/>
        <v>33</v>
      </c>
      <c r="J116" s="20">
        <f t="shared" si="19"/>
        <v>21</v>
      </c>
      <c r="K116" s="20">
        <f t="shared" si="19"/>
        <v>36</v>
      </c>
      <c r="L116" s="20">
        <f t="shared" si="19"/>
        <v>37</v>
      </c>
      <c r="M116" s="20">
        <f t="shared" si="19"/>
        <v>42</v>
      </c>
      <c r="N116" s="20">
        <f t="shared" si="19"/>
        <v>34</v>
      </c>
      <c r="O116" s="20">
        <f t="shared" si="19"/>
        <v>35</v>
      </c>
      <c r="P116" s="20">
        <f t="shared" si="19"/>
        <v>24</v>
      </c>
      <c r="Q116" s="20">
        <f t="shared" si="19"/>
        <v>31</v>
      </c>
      <c r="R116" s="20">
        <f t="shared" si="19"/>
        <v>47</v>
      </c>
      <c r="S116" s="20">
        <f t="shared" si="19"/>
        <v>31</v>
      </c>
      <c r="T116" s="20">
        <f t="shared" si="19"/>
        <v>43</v>
      </c>
      <c r="U116" s="20">
        <f t="shared" si="19"/>
        <v>32</v>
      </c>
      <c r="V116" s="20">
        <f t="shared" si="19"/>
        <v>21</v>
      </c>
      <c r="W116" s="20">
        <f t="shared" si="19"/>
        <v>23</v>
      </c>
      <c r="X116" s="20">
        <f t="shared" si="19"/>
        <v>24</v>
      </c>
      <c r="Y116" s="20">
        <f t="shared" si="19"/>
        <v>50</v>
      </c>
      <c r="Z116" s="20">
        <f t="shared" si="19"/>
        <v>42</v>
      </c>
      <c r="AA116" s="20">
        <f t="shared" si="19"/>
        <v>35</v>
      </c>
      <c r="AB116" s="20">
        <f t="shared" si="19"/>
        <v>27</v>
      </c>
      <c r="AC116" s="20">
        <f t="shared" si="19"/>
        <v>24</v>
      </c>
      <c r="AD116" s="20">
        <f t="shared" si="19"/>
        <v>28</v>
      </c>
      <c r="AE116" s="20">
        <f t="shared" si="19"/>
        <v>0</v>
      </c>
      <c r="AF116" s="20">
        <f t="shared" si="19"/>
        <v>0</v>
      </c>
      <c r="AG116" s="5">
        <f t="shared" si="17"/>
        <v>930</v>
      </c>
      <c r="AK116" s="84">
        <v>612</v>
      </c>
    </row>
    <row r="117" spans="1:37" ht="15.75" customHeight="1" x14ac:dyDescent="0.25">
      <c r="A117" s="85" t="s">
        <v>65</v>
      </c>
      <c r="B117" s="54">
        <v>26</v>
      </c>
      <c r="C117" s="54">
        <v>20</v>
      </c>
      <c r="D117" s="54">
        <v>29</v>
      </c>
      <c r="E117" s="54">
        <v>40</v>
      </c>
      <c r="F117" s="54">
        <v>30</v>
      </c>
      <c r="G117" s="54">
        <v>29</v>
      </c>
      <c r="H117" s="54">
        <v>24</v>
      </c>
      <c r="I117" s="54">
        <v>31</v>
      </c>
      <c r="J117" s="54">
        <v>20</v>
      </c>
      <c r="K117" s="54">
        <v>36</v>
      </c>
      <c r="L117" s="54">
        <v>36</v>
      </c>
      <c r="M117" s="54">
        <v>40</v>
      </c>
      <c r="N117" s="54">
        <v>33</v>
      </c>
      <c r="O117" s="54">
        <v>33</v>
      </c>
      <c r="P117" s="54">
        <v>24</v>
      </c>
      <c r="Q117" s="54">
        <v>31</v>
      </c>
      <c r="R117" s="54">
        <v>46</v>
      </c>
      <c r="S117" s="54">
        <v>30</v>
      </c>
      <c r="T117" s="54">
        <v>40</v>
      </c>
      <c r="U117" s="54">
        <v>32</v>
      </c>
      <c r="V117" s="54">
        <v>20</v>
      </c>
      <c r="W117" s="54">
        <v>23</v>
      </c>
      <c r="X117" s="54">
        <v>23</v>
      </c>
      <c r="Y117" s="54">
        <v>49</v>
      </c>
      <c r="Z117" s="54">
        <v>40</v>
      </c>
      <c r="AA117" s="54">
        <v>32</v>
      </c>
      <c r="AB117" s="54">
        <v>26</v>
      </c>
      <c r="AC117" s="54">
        <v>23</v>
      </c>
      <c r="AD117" s="54">
        <v>27</v>
      </c>
      <c r="AE117" s="54"/>
      <c r="AF117" s="54"/>
      <c r="AG117" s="5">
        <f t="shared" si="17"/>
        <v>893</v>
      </c>
      <c r="AK117" s="84">
        <v>613</v>
      </c>
    </row>
    <row r="118" spans="1:37" ht="15.75" customHeight="1" thickBot="1" x14ac:dyDescent="0.3">
      <c r="A118" s="86" t="s">
        <v>77</v>
      </c>
      <c r="B118" s="87">
        <v>0</v>
      </c>
      <c r="C118" s="87">
        <v>1</v>
      </c>
      <c r="D118" s="87">
        <v>2</v>
      </c>
      <c r="E118" s="87">
        <v>0</v>
      </c>
      <c r="F118" s="87">
        <v>3</v>
      </c>
      <c r="G118" s="87">
        <v>2</v>
      </c>
      <c r="H118" s="87">
        <v>4</v>
      </c>
      <c r="I118" s="87">
        <v>2</v>
      </c>
      <c r="J118" s="87">
        <v>1</v>
      </c>
      <c r="K118" s="87">
        <v>0</v>
      </c>
      <c r="L118" s="87">
        <v>1</v>
      </c>
      <c r="M118" s="87">
        <v>2</v>
      </c>
      <c r="N118" s="87">
        <v>1</v>
      </c>
      <c r="O118" s="87">
        <v>2</v>
      </c>
      <c r="P118" s="87">
        <v>0</v>
      </c>
      <c r="Q118" s="87">
        <v>0</v>
      </c>
      <c r="R118" s="87">
        <v>1</v>
      </c>
      <c r="S118" s="87">
        <v>1</v>
      </c>
      <c r="T118" s="87">
        <v>3</v>
      </c>
      <c r="U118" s="87">
        <v>0</v>
      </c>
      <c r="V118" s="87">
        <v>1</v>
      </c>
      <c r="W118" s="87">
        <v>0</v>
      </c>
      <c r="X118" s="87">
        <v>1</v>
      </c>
      <c r="Y118" s="87">
        <v>1</v>
      </c>
      <c r="Z118" s="87">
        <v>2</v>
      </c>
      <c r="AA118" s="87">
        <v>3</v>
      </c>
      <c r="AB118" s="87">
        <v>1</v>
      </c>
      <c r="AC118" s="87">
        <v>1</v>
      </c>
      <c r="AD118" s="87">
        <v>1</v>
      </c>
      <c r="AE118" s="87"/>
      <c r="AF118" s="87"/>
      <c r="AG118" s="5">
        <f t="shared" si="17"/>
        <v>37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125</v>
      </c>
      <c r="C119" s="20">
        <f t="shared" si="20"/>
        <v>113</v>
      </c>
      <c r="D119" s="20">
        <f t="shared" si="20"/>
        <v>181</v>
      </c>
      <c r="E119" s="20">
        <f t="shared" si="20"/>
        <v>182</v>
      </c>
      <c r="F119" s="20">
        <f t="shared" si="20"/>
        <v>141</v>
      </c>
      <c r="G119" s="20">
        <f t="shared" si="20"/>
        <v>129</v>
      </c>
      <c r="H119" s="20">
        <f t="shared" si="20"/>
        <v>124</v>
      </c>
      <c r="I119" s="20">
        <f t="shared" si="20"/>
        <v>120</v>
      </c>
      <c r="J119" s="20">
        <f t="shared" si="20"/>
        <v>113</v>
      </c>
      <c r="K119" s="20">
        <f t="shared" si="20"/>
        <v>161</v>
      </c>
      <c r="L119" s="20">
        <f t="shared" si="20"/>
        <v>171</v>
      </c>
      <c r="M119" s="20">
        <f t="shared" si="20"/>
        <v>141</v>
      </c>
      <c r="N119" s="20">
        <f t="shared" si="20"/>
        <v>132</v>
      </c>
      <c r="O119" s="20">
        <f t="shared" si="20"/>
        <v>120</v>
      </c>
      <c r="P119" s="20">
        <f t="shared" si="20"/>
        <v>116</v>
      </c>
      <c r="Q119" s="20">
        <f t="shared" si="20"/>
        <v>131</v>
      </c>
      <c r="R119" s="20">
        <f t="shared" si="20"/>
        <v>165</v>
      </c>
      <c r="S119" s="20">
        <f t="shared" si="20"/>
        <v>169</v>
      </c>
      <c r="T119" s="20">
        <f t="shared" si="20"/>
        <v>133</v>
      </c>
      <c r="U119" s="20">
        <f t="shared" si="20"/>
        <v>135</v>
      </c>
      <c r="V119" s="20">
        <f t="shared" si="20"/>
        <v>131</v>
      </c>
      <c r="W119" s="20">
        <f t="shared" si="20"/>
        <v>124</v>
      </c>
      <c r="X119" s="20">
        <f t="shared" si="20"/>
        <v>132</v>
      </c>
      <c r="Y119" s="20">
        <f t="shared" si="20"/>
        <v>209</v>
      </c>
      <c r="Z119" s="20">
        <f t="shared" si="20"/>
        <v>187</v>
      </c>
      <c r="AA119" s="20">
        <f t="shared" si="20"/>
        <v>122</v>
      </c>
      <c r="AB119" s="20">
        <f t="shared" si="20"/>
        <v>135</v>
      </c>
      <c r="AC119" s="20">
        <f t="shared" si="20"/>
        <v>123</v>
      </c>
      <c r="AD119" s="20">
        <f t="shared" si="20"/>
        <v>137</v>
      </c>
      <c r="AE119" s="20">
        <f t="shared" si="20"/>
        <v>0</v>
      </c>
      <c r="AF119" s="20">
        <f t="shared" si="20"/>
        <v>0</v>
      </c>
      <c r="AG119" s="7">
        <f t="shared" si="17"/>
        <v>4102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24</v>
      </c>
      <c r="C120" s="54">
        <v>20</v>
      </c>
      <c r="D120" s="54">
        <v>28</v>
      </c>
      <c r="E120" s="54">
        <v>39</v>
      </c>
      <c r="F120" s="54">
        <v>29</v>
      </c>
      <c r="G120" s="54">
        <v>29</v>
      </c>
      <c r="H120" s="54">
        <v>22</v>
      </c>
      <c r="I120" s="54">
        <v>25</v>
      </c>
      <c r="J120" s="54">
        <v>18</v>
      </c>
      <c r="K120" s="54">
        <v>34</v>
      </c>
      <c r="L120" s="54">
        <v>36</v>
      </c>
      <c r="M120" s="54">
        <v>38</v>
      </c>
      <c r="N120" s="54">
        <v>33</v>
      </c>
      <c r="O120" s="54">
        <v>31</v>
      </c>
      <c r="P120" s="54">
        <v>24</v>
      </c>
      <c r="Q120" s="54">
        <v>30</v>
      </c>
      <c r="R120" s="54">
        <v>45</v>
      </c>
      <c r="S120" s="54">
        <v>30</v>
      </c>
      <c r="T120" s="54">
        <v>37</v>
      </c>
      <c r="U120" s="54">
        <v>29</v>
      </c>
      <c r="V120" s="54">
        <v>17</v>
      </c>
      <c r="W120" s="54">
        <v>21</v>
      </c>
      <c r="X120" s="54">
        <v>20</v>
      </c>
      <c r="Y120" s="54">
        <v>47</v>
      </c>
      <c r="Z120" s="54">
        <v>40</v>
      </c>
      <c r="AA120" s="54">
        <v>30</v>
      </c>
      <c r="AB120" s="54">
        <v>23</v>
      </c>
      <c r="AC120" s="54">
        <v>22</v>
      </c>
      <c r="AD120" s="54">
        <v>26</v>
      </c>
      <c r="AE120" s="54"/>
      <c r="AF120" s="54"/>
      <c r="AG120" s="5">
        <f t="shared" si="17"/>
        <v>847</v>
      </c>
      <c r="AK120" s="88" t="s">
        <v>131</v>
      </c>
    </row>
    <row r="121" spans="1:37" ht="15.75" customHeight="1" x14ac:dyDescent="0.25">
      <c r="A121" s="85" t="s">
        <v>66</v>
      </c>
      <c r="B121" s="54">
        <v>8</v>
      </c>
      <c r="C121" s="54">
        <v>4</v>
      </c>
      <c r="D121" s="54">
        <v>6</v>
      </c>
      <c r="E121" s="54">
        <v>13</v>
      </c>
      <c r="F121" s="54">
        <v>5</v>
      </c>
      <c r="G121" s="54">
        <v>4</v>
      </c>
      <c r="H121" s="54">
        <v>4</v>
      </c>
      <c r="I121" s="54">
        <v>4</v>
      </c>
      <c r="J121" s="54">
        <v>3</v>
      </c>
      <c r="K121" s="54">
        <v>7</v>
      </c>
      <c r="L121" s="54">
        <v>9</v>
      </c>
      <c r="M121" s="54">
        <v>8</v>
      </c>
      <c r="N121" s="54">
        <v>3</v>
      </c>
      <c r="O121" s="54">
        <v>2</v>
      </c>
      <c r="P121" s="54">
        <v>7</v>
      </c>
      <c r="Q121" s="54">
        <v>3</v>
      </c>
      <c r="R121" s="54">
        <v>3</v>
      </c>
      <c r="S121" s="54">
        <v>3</v>
      </c>
      <c r="T121" s="54">
        <v>3</v>
      </c>
      <c r="U121" s="54">
        <v>2</v>
      </c>
      <c r="V121" s="54">
        <v>1</v>
      </c>
      <c r="W121" s="54">
        <v>5</v>
      </c>
      <c r="X121" s="54">
        <v>3</v>
      </c>
      <c r="Y121" s="54">
        <v>11</v>
      </c>
      <c r="Z121" s="54">
        <v>7</v>
      </c>
      <c r="AA121" s="54">
        <v>5</v>
      </c>
      <c r="AB121" s="54">
        <v>7</v>
      </c>
      <c r="AC121" s="54">
        <v>10</v>
      </c>
      <c r="AD121" s="54">
        <v>7</v>
      </c>
      <c r="AE121" s="54"/>
      <c r="AF121" s="54"/>
      <c r="AG121" s="5">
        <f t="shared" si="17"/>
        <v>157</v>
      </c>
      <c r="AK121" s="84" t="s">
        <v>132</v>
      </c>
    </row>
    <row r="122" spans="1:37" ht="15.75" customHeight="1" x14ac:dyDescent="0.25">
      <c r="A122" s="85" t="s">
        <v>67</v>
      </c>
      <c r="B122" s="54">
        <v>7</v>
      </c>
      <c r="C122" s="54">
        <v>10</v>
      </c>
      <c r="D122" s="54">
        <v>11</v>
      </c>
      <c r="E122" s="54">
        <v>8</v>
      </c>
      <c r="F122" s="54">
        <v>11</v>
      </c>
      <c r="G122" s="54">
        <v>7</v>
      </c>
      <c r="H122" s="54">
        <v>4</v>
      </c>
      <c r="I122" s="54">
        <v>7</v>
      </c>
      <c r="J122" s="54">
        <v>8</v>
      </c>
      <c r="K122" s="54">
        <v>9</v>
      </c>
      <c r="L122" s="54">
        <v>9</v>
      </c>
      <c r="M122" s="54">
        <v>14</v>
      </c>
      <c r="N122" s="54">
        <v>6</v>
      </c>
      <c r="O122" s="54">
        <v>4</v>
      </c>
      <c r="P122" s="54">
        <v>7</v>
      </c>
      <c r="Q122" s="54">
        <v>6</v>
      </c>
      <c r="R122" s="54">
        <v>7</v>
      </c>
      <c r="S122" s="54">
        <v>7</v>
      </c>
      <c r="T122" s="54">
        <v>9</v>
      </c>
      <c r="U122" s="54">
        <v>9</v>
      </c>
      <c r="V122" s="54">
        <v>6</v>
      </c>
      <c r="W122" s="54">
        <v>6</v>
      </c>
      <c r="X122" s="54">
        <v>4</v>
      </c>
      <c r="Y122" s="54">
        <v>12</v>
      </c>
      <c r="Z122" s="54">
        <v>8</v>
      </c>
      <c r="AA122" s="54">
        <v>3</v>
      </c>
      <c r="AB122" s="54">
        <v>6</v>
      </c>
      <c r="AC122" s="54">
        <v>7</v>
      </c>
      <c r="AD122" s="54">
        <v>6</v>
      </c>
      <c r="AE122" s="54"/>
      <c r="AF122" s="54"/>
      <c r="AG122" s="5">
        <f t="shared" si="17"/>
        <v>218</v>
      </c>
      <c r="AK122" s="88" t="s">
        <v>133</v>
      </c>
    </row>
    <row r="123" spans="1:37" ht="15.75" customHeight="1" x14ac:dyDescent="0.25">
      <c r="A123" s="85" t="s">
        <v>68</v>
      </c>
      <c r="B123" s="54">
        <v>5</v>
      </c>
      <c r="C123" s="54">
        <v>4</v>
      </c>
      <c r="D123" s="54">
        <v>9</v>
      </c>
      <c r="E123" s="54">
        <v>12</v>
      </c>
      <c r="F123" s="54">
        <v>8</v>
      </c>
      <c r="G123" s="54">
        <v>4</v>
      </c>
      <c r="H123" s="54">
        <v>5</v>
      </c>
      <c r="I123" s="54">
        <v>3</v>
      </c>
      <c r="J123" s="54">
        <v>3</v>
      </c>
      <c r="K123" s="54">
        <v>5</v>
      </c>
      <c r="L123" s="54">
        <v>13</v>
      </c>
      <c r="M123" s="54">
        <v>5</v>
      </c>
      <c r="N123" s="54">
        <v>3</v>
      </c>
      <c r="O123" s="54">
        <v>5</v>
      </c>
      <c r="P123" s="54">
        <v>6</v>
      </c>
      <c r="Q123" s="54">
        <v>5</v>
      </c>
      <c r="R123" s="54">
        <v>3</v>
      </c>
      <c r="S123" s="54">
        <v>9</v>
      </c>
      <c r="T123" s="54">
        <v>7</v>
      </c>
      <c r="U123" s="54">
        <v>6</v>
      </c>
      <c r="V123" s="54">
        <v>7</v>
      </c>
      <c r="W123" s="54">
        <v>5</v>
      </c>
      <c r="X123" s="54">
        <v>7</v>
      </c>
      <c r="Y123" s="54">
        <v>10</v>
      </c>
      <c r="Z123" s="54">
        <v>9</v>
      </c>
      <c r="AA123" s="54">
        <v>5</v>
      </c>
      <c r="AB123" s="54">
        <v>3</v>
      </c>
      <c r="AC123" s="54">
        <v>6</v>
      </c>
      <c r="AD123" s="54">
        <v>8</v>
      </c>
      <c r="AE123" s="54"/>
      <c r="AF123" s="54"/>
      <c r="AG123" s="5">
        <f t="shared" si="17"/>
        <v>180</v>
      </c>
      <c r="AK123" s="84" t="s">
        <v>134</v>
      </c>
    </row>
    <row r="124" spans="1:37" ht="15.75" customHeight="1" x14ac:dyDescent="0.25">
      <c r="A124" s="85" t="s">
        <v>69</v>
      </c>
      <c r="B124" s="54">
        <v>5</v>
      </c>
      <c r="C124" s="54">
        <v>10</v>
      </c>
      <c r="D124" s="54">
        <v>10</v>
      </c>
      <c r="E124" s="54">
        <v>8</v>
      </c>
      <c r="F124" s="54">
        <v>9</v>
      </c>
      <c r="G124" s="54">
        <v>6</v>
      </c>
      <c r="H124" s="54">
        <v>4</v>
      </c>
      <c r="I124" s="54">
        <v>11</v>
      </c>
      <c r="J124" s="54">
        <v>7</v>
      </c>
      <c r="K124" s="54">
        <v>6</v>
      </c>
      <c r="L124" s="54">
        <v>10</v>
      </c>
      <c r="M124" s="54">
        <v>10</v>
      </c>
      <c r="N124" s="54">
        <v>4</v>
      </c>
      <c r="O124" s="54">
        <v>10</v>
      </c>
      <c r="P124" s="54">
        <v>4</v>
      </c>
      <c r="Q124" s="54">
        <v>8</v>
      </c>
      <c r="R124" s="54">
        <v>9</v>
      </c>
      <c r="S124" s="54">
        <v>10</v>
      </c>
      <c r="T124" s="54">
        <v>9</v>
      </c>
      <c r="U124" s="54">
        <v>5</v>
      </c>
      <c r="V124" s="54">
        <v>5</v>
      </c>
      <c r="W124" s="54">
        <v>5</v>
      </c>
      <c r="X124" s="54">
        <v>7</v>
      </c>
      <c r="Y124" s="54">
        <v>3</v>
      </c>
      <c r="Z124" s="54">
        <v>9</v>
      </c>
      <c r="AA124" s="54">
        <v>8</v>
      </c>
      <c r="AB124" s="54">
        <v>11</v>
      </c>
      <c r="AC124" s="54">
        <v>5</v>
      </c>
      <c r="AD124" s="54">
        <v>5</v>
      </c>
      <c r="AE124" s="54"/>
      <c r="AF124" s="54"/>
      <c r="AG124" s="5">
        <f t="shared" si="17"/>
        <v>213</v>
      </c>
      <c r="AK124" s="88" t="s">
        <v>135</v>
      </c>
    </row>
    <row r="125" spans="1:37" ht="15.75" customHeight="1" x14ac:dyDescent="0.25">
      <c r="A125" s="85" t="s">
        <v>70</v>
      </c>
      <c r="B125" s="54">
        <v>61</v>
      </c>
      <c r="C125" s="54">
        <v>46</v>
      </c>
      <c r="D125" s="54">
        <v>86</v>
      </c>
      <c r="E125" s="54">
        <v>68</v>
      </c>
      <c r="F125" s="54">
        <v>58</v>
      </c>
      <c r="G125" s="54">
        <v>58</v>
      </c>
      <c r="H125" s="54">
        <v>65</v>
      </c>
      <c r="I125" s="54">
        <v>53</v>
      </c>
      <c r="J125" s="54">
        <v>54</v>
      </c>
      <c r="K125" s="54">
        <v>81</v>
      </c>
      <c r="L125" s="54">
        <v>64</v>
      </c>
      <c r="M125" s="54">
        <v>45</v>
      </c>
      <c r="N125" s="54">
        <v>63</v>
      </c>
      <c r="O125" s="54">
        <v>49</v>
      </c>
      <c r="P125" s="54">
        <v>48</v>
      </c>
      <c r="Q125" s="54">
        <v>47</v>
      </c>
      <c r="R125" s="54">
        <v>73</v>
      </c>
      <c r="S125" s="54">
        <v>82</v>
      </c>
      <c r="T125" s="54">
        <v>42</v>
      </c>
      <c r="U125" s="54">
        <v>67</v>
      </c>
      <c r="V125" s="54">
        <v>73</v>
      </c>
      <c r="W125" s="54">
        <v>61</v>
      </c>
      <c r="X125" s="54">
        <v>71</v>
      </c>
      <c r="Y125" s="54">
        <v>100</v>
      </c>
      <c r="Z125" s="54">
        <v>91</v>
      </c>
      <c r="AA125" s="54">
        <v>47</v>
      </c>
      <c r="AB125" s="54">
        <v>68</v>
      </c>
      <c r="AC125" s="54">
        <v>54</v>
      </c>
      <c r="AD125" s="54">
        <v>65</v>
      </c>
      <c r="AE125" s="54"/>
      <c r="AF125" s="54"/>
      <c r="AG125" s="5">
        <f t="shared" si="17"/>
        <v>1840</v>
      </c>
      <c r="AK125" s="88" t="s">
        <v>136</v>
      </c>
    </row>
    <row r="126" spans="1:37" ht="15.75" customHeight="1" x14ac:dyDescent="0.25">
      <c r="A126" s="85" t="s">
        <v>71</v>
      </c>
      <c r="B126" s="54">
        <v>1</v>
      </c>
      <c r="C126" s="54">
        <v>5</v>
      </c>
      <c r="D126" s="54">
        <v>3</v>
      </c>
      <c r="E126" s="54">
        <v>9</v>
      </c>
      <c r="F126" s="54">
        <v>1</v>
      </c>
      <c r="G126" s="54">
        <v>1</v>
      </c>
      <c r="H126" s="54">
        <v>2</v>
      </c>
      <c r="I126" s="54">
        <v>2</v>
      </c>
      <c r="J126" s="54">
        <v>0</v>
      </c>
      <c r="K126" s="54">
        <v>6</v>
      </c>
      <c r="L126" s="54">
        <v>3</v>
      </c>
      <c r="M126" s="54">
        <v>2</v>
      </c>
      <c r="N126" s="54">
        <v>1</v>
      </c>
      <c r="O126" s="54">
        <v>0</v>
      </c>
      <c r="P126" s="54">
        <v>2</v>
      </c>
      <c r="Q126" s="54">
        <v>5</v>
      </c>
      <c r="R126" s="54">
        <v>4</v>
      </c>
      <c r="S126" s="54">
        <v>4</v>
      </c>
      <c r="T126" s="54">
        <v>2</v>
      </c>
      <c r="U126" s="54">
        <v>1</v>
      </c>
      <c r="V126" s="54">
        <v>1</v>
      </c>
      <c r="W126" s="54">
        <v>4</v>
      </c>
      <c r="X126" s="54">
        <v>1</v>
      </c>
      <c r="Y126" s="54">
        <v>3</v>
      </c>
      <c r="Z126" s="54">
        <v>3</v>
      </c>
      <c r="AA126" s="54">
        <v>2</v>
      </c>
      <c r="AB126" s="54">
        <v>1</v>
      </c>
      <c r="AC126" s="54">
        <v>3</v>
      </c>
      <c r="AD126" s="54">
        <v>3</v>
      </c>
      <c r="AE126" s="54"/>
      <c r="AF126" s="54"/>
      <c r="AG126" s="5">
        <f t="shared" si="17"/>
        <v>75</v>
      </c>
      <c r="AK126" s="84" t="s">
        <v>137</v>
      </c>
    </row>
    <row r="127" spans="1:37" ht="15.75" customHeight="1" x14ac:dyDescent="0.25">
      <c r="A127" s="85" t="s">
        <v>72</v>
      </c>
      <c r="B127" s="54">
        <v>0</v>
      </c>
      <c r="C127" s="54">
        <v>1</v>
      </c>
      <c r="D127" s="54">
        <v>2</v>
      </c>
      <c r="E127" s="54">
        <v>4</v>
      </c>
      <c r="F127" s="54">
        <v>0</v>
      </c>
      <c r="G127" s="54">
        <v>1</v>
      </c>
      <c r="H127" s="54">
        <v>0</v>
      </c>
      <c r="I127" s="54">
        <v>0</v>
      </c>
      <c r="J127" s="54">
        <v>2</v>
      </c>
      <c r="K127" s="54">
        <v>0</v>
      </c>
      <c r="L127" s="54">
        <v>1</v>
      </c>
      <c r="M127" s="54">
        <v>0</v>
      </c>
      <c r="N127" s="54">
        <v>0</v>
      </c>
      <c r="O127" s="54">
        <v>0</v>
      </c>
      <c r="P127" s="54">
        <v>2</v>
      </c>
      <c r="Q127" s="54">
        <v>3</v>
      </c>
      <c r="R127" s="54">
        <v>0</v>
      </c>
      <c r="S127" s="54">
        <v>2</v>
      </c>
      <c r="T127" s="54">
        <v>3</v>
      </c>
      <c r="U127" s="54">
        <v>0</v>
      </c>
      <c r="V127" s="54">
        <v>1</v>
      </c>
      <c r="W127" s="54">
        <v>0</v>
      </c>
      <c r="X127" s="54">
        <v>1</v>
      </c>
      <c r="Y127" s="54">
        <v>1</v>
      </c>
      <c r="Z127" s="54">
        <v>3</v>
      </c>
      <c r="AA127" s="54">
        <v>2</v>
      </c>
      <c r="AB127" s="54">
        <v>0</v>
      </c>
      <c r="AC127" s="54">
        <v>1</v>
      </c>
      <c r="AD127" s="54">
        <v>0</v>
      </c>
      <c r="AE127" s="54"/>
      <c r="AF127" s="54"/>
      <c r="AG127" s="5">
        <f t="shared" si="17"/>
        <v>30</v>
      </c>
      <c r="AK127" s="88" t="s">
        <v>138</v>
      </c>
    </row>
    <row r="128" spans="1:37" ht="15.75" customHeight="1" x14ac:dyDescent="0.25">
      <c r="A128" s="56" t="s">
        <v>73</v>
      </c>
      <c r="B128" s="54">
        <v>4</v>
      </c>
      <c r="C128" s="54">
        <v>1</v>
      </c>
      <c r="D128" s="54">
        <v>3</v>
      </c>
      <c r="E128" s="54">
        <v>1</v>
      </c>
      <c r="F128" s="54">
        <v>0</v>
      </c>
      <c r="G128" s="54">
        <v>2</v>
      </c>
      <c r="H128" s="54">
        <v>3</v>
      </c>
      <c r="I128" s="54">
        <v>2</v>
      </c>
      <c r="J128" s="54">
        <v>1</v>
      </c>
      <c r="K128" s="54">
        <v>1</v>
      </c>
      <c r="L128" s="54">
        <v>0</v>
      </c>
      <c r="M128" s="54">
        <v>0</v>
      </c>
      <c r="N128" s="54">
        <v>2</v>
      </c>
      <c r="O128" s="54">
        <v>3</v>
      </c>
      <c r="P128" s="54">
        <v>2</v>
      </c>
      <c r="Q128" s="54">
        <v>4</v>
      </c>
      <c r="R128" s="54">
        <v>1</v>
      </c>
      <c r="S128" s="54">
        <v>2</v>
      </c>
      <c r="T128" s="54">
        <v>1</v>
      </c>
      <c r="U128" s="54">
        <v>3</v>
      </c>
      <c r="V128" s="54">
        <v>4</v>
      </c>
      <c r="W128" s="54">
        <v>4</v>
      </c>
      <c r="X128" s="54">
        <v>6</v>
      </c>
      <c r="Y128" s="54">
        <v>2</v>
      </c>
      <c r="Z128" s="54">
        <v>3</v>
      </c>
      <c r="AA128" s="54">
        <v>4</v>
      </c>
      <c r="AB128" s="54">
        <v>1</v>
      </c>
      <c r="AC128" s="54">
        <v>1</v>
      </c>
      <c r="AD128" s="54">
        <v>1</v>
      </c>
      <c r="AE128" s="54"/>
      <c r="AF128" s="54"/>
      <c r="AG128" s="5">
        <f t="shared" si="17"/>
        <v>62</v>
      </c>
      <c r="AK128" s="88" t="s">
        <v>139</v>
      </c>
    </row>
    <row r="129" spans="1:37" ht="15.75" customHeight="1" x14ac:dyDescent="0.25">
      <c r="A129" s="56" t="s">
        <v>74</v>
      </c>
      <c r="B129" s="54">
        <v>1</v>
      </c>
      <c r="C129" s="54">
        <v>0</v>
      </c>
      <c r="D129" s="54">
        <v>0</v>
      </c>
      <c r="E129" s="54">
        <v>4</v>
      </c>
      <c r="F129" s="54">
        <v>0</v>
      </c>
      <c r="G129" s="54">
        <v>0</v>
      </c>
      <c r="H129" s="54">
        <v>0</v>
      </c>
      <c r="I129" s="54">
        <v>1</v>
      </c>
      <c r="J129" s="54">
        <v>0</v>
      </c>
      <c r="K129" s="54">
        <v>2</v>
      </c>
      <c r="L129" s="54">
        <v>2</v>
      </c>
      <c r="M129" s="54">
        <v>2</v>
      </c>
      <c r="N129" s="54">
        <v>0</v>
      </c>
      <c r="O129" s="54">
        <v>2</v>
      </c>
      <c r="P129" s="54">
        <v>1</v>
      </c>
      <c r="Q129" s="54">
        <v>1</v>
      </c>
      <c r="R129" s="54">
        <v>2</v>
      </c>
      <c r="S129" s="54">
        <v>0</v>
      </c>
      <c r="T129" s="54">
        <v>1</v>
      </c>
      <c r="U129" s="54">
        <v>0</v>
      </c>
      <c r="V129" s="54">
        <v>2</v>
      </c>
      <c r="W129" s="54">
        <v>1</v>
      </c>
      <c r="X129" s="54">
        <v>0</v>
      </c>
      <c r="Y129" s="54">
        <v>4</v>
      </c>
      <c r="Z129" s="54">
        <v>2</v>
      </c>
      <c r="AA129" s="54">
        <v>0</v>
      </c>
      <c r="AB129" s="54">
        <v>2</v>
      </c>
      <c r="AC129" s="54">
        <v>0</v>
      </c>
      <c r="AD129" s="54">
        <v>0</v>
      </c>
      <c r="AE129" s="54"/>
      <c r="AF129" s="54"/>
      <c r="AG129" s="5">
        <f t="shared" si="17"/>
        <v>30</v>
      </c>
      <c r="AK129" s="84" t="s">
        <v>140</v>
      </c>
    </row>
    <row r="130" spans="1:37" ht="15.75" customHeight="1" x14ac:dyDescent="0.25">
      <c r="A130" s="56" t="s">
        <v>75</v>
      </c>
      <c r="B130" s="54">
        <v>0</v>
      </c>
      <c r="C130" s="54">
        <v>1</v>
      </c>
      <c r="D130" s="54">
        <v>1</v>
      </c>
      <c r="E130" s="54">
        <v>2</v>
      </c>
      <c r="F130" s="54">
        <v>0</v>
      </c>
      <c r="G130" s="54">
        <v>0</v>
      </c>
      <c r="H130" s="54">
        <v>0</v>
      </c>
      <c r="I130" s="54">
        <v>1</v>
      </c>
      <c r="J130" s="54">
        <v>0</v>
      </c>
      <c r="K130" s="54">
        <v>2</v>
      </c>
      <c r="L130" s="54">
        <v>1</v>
      </c>
      <c r="M130" s="54">
        <v>0</v>
      </c>
      <c r="N130" s="54">
        <v>0</v>
      </c>
      <c r="O130" s="54">
        <v>0</v>
      </c>
      <c r="P130" s="54">
        <v>2</v>
      </c>
      <c r="Q130" s="54">
        <v>0</v>
      </c>
      <c r="R130" s="54">
        <v>0</v>
      </c>
      <c r="S130" s="54">
        <v>1</v>
      </c>
      <c r="T130" s="54">
        <v>0</v>
      </c>
      <c r="U130" s="54">
        <v>0</v>
      </c>
      <c r="V130" s="54">
        <v>1</v>
      </c>
      <c r="W130" s="54">
        <v>0</v>
      </c>
      <c r="X130" s="54">
        <v>1</v>
      </c>
      <c r="Y130" s="54">
        <v>2</v>
      </c>
      <c r="Z130" s="54">
        <v>1</v>
      </c>
      <c r="AA130" s="54">
        <v>0</v>
      </c>
      <c r="AB130" s="54">
        <v>1</v>
      </c>
      <c r="AC130" s="54">
        <v>0</v>
      </c>
      <c r="AD130" s="54">
        <v>0</v>
      </c>
      <c r="AE130" s="54"/>
      <c r="AF130" s="54"/>
      <c r="AG130" s="5">
        <f t="shared" si="17"/>
        <v>17</v>
      </c>
      <c r="AK130" s="84" t="s">
        <v>141</v>
      </c>
    </row>
    <row r="131" spans="1:37" ht="15.75" customHeight="1" x14ac:dyDescent="0.25">
      <c r="A131" s="85" t="s">
        <v>76</v>
      </c>
      <c r="B131" s="54">
        <v>1</v>
      </c>
      <c r="C131" s="54">
        <v>5</v>
      </c>
      <c r="D131" s="54">
        <v>9</v>
      </c>
      <c r="E131" s="54">
        <v>7</v>
      </c>
      <c r="F131" s="54">
        <v>7</v>
      </c>
      <c r="G131" s="54">
        <v>7</v>
      </c>
      <c r="H131" s="54">
        <v>6</v>
      </c>
      <c r="I131" s="54">
        <v>4</v>
      </c>
      <c r="J131" s="54">
        <v>3</v>
      </c>
      <c r="K131" s="54">
        <v>4</v>
      </c>
      <c r="L131" s="54">
        <v>8</v>
      </c>
      <c r="M131" s="54">
        <v>10</v>
      </c>
      <c r="N131" s="54">
        <v>8</v>
      </c>
      <c r="O131" s="54">
        <v>7</v>
      </c>
      <c r="P131" s="54">
        <v>2</v>
      </c>
      <c r="Q131" s="54">
        <v>11</v>
      </c>
      <c r="R131" s="54">
        <v>9</v>
      </c>
      <c r="S131" s="54">
        <v>3</v>
      </c>
      <c r="T131" s="54">
        <v>10</v>
      </c>
      <c r="U131" s="54">
        <v>7</v>
      </c>
      <c r="V131" s="54">
        <v>7</v>
      </c>
      <c r="W131" s="54">
        <v>7</v>
      </c>
      <c r="X131" s="54">
        <v>7</v>
      </c>
      <c r="Y131" s="54">
        <v>5</v>
      </c>
      <c r="Z131" s="54">
        <v>8</v>
      </c>
      <c r="AA131" s="54">
        <v>8</v>
      </c>
      <c r="AB131" s="54">
        <v>5</v>
      </c>
      <c r="AC131" s="54">
        <v>7</v>
      </c>
      <c r="AD131" s="54">
        <v>5</v>
      </c>
      <c r="AE131" s="54"/>
      <c r="AF131" s="54"/>
      <c r="AG131" s="5">
        <f t="shared" si="17"/>
        <v>187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8</v>
      </c>
      <c r="C132" s="87">
        <v>6</v>
      </c>
      <c r="D132" s="87">
        <v>13</v>
      </c>
      <c r="E132" s="87">
        <v>7</v>
      </c>
      <c r="F132" s="87">
        <v>13</v>
      </c>
      <c r="G132" s="87">
        <v>10</v>
      </c>
      <c r="H132" s="87">
        <v>9</v>
      </c>
      <c r="I132" s="87">
        <v>7</v>
      </c>
      <c r="J132" s="87">
        <v>14</v>
      </c>
      <c r="K132" s="87">
        <v>4</v>
      </c>
      <c r="L132" s="87">
        <v>15</v>
      </c>
      <c r="M132" s="87">
        <v>7</v>
      </c>
      <c r="N132" s="87">
        <v>9</v>
      </c>
      <c r="O132" s="87">
        <v>7</v>
      </c>
      <c r="P132" s="87">
        <v>9</v>
      </c>
      <c r="Q132" s="87">
        <v>8</v>
      </c>
      <c r="R132" s="87">
        <v>9</v>
      </c>
      <c r="S132" s="87">
        <v>16</v>
      </c>
      <c r="T132" s="87">
        <v>9</v>
      </c>
      <c r="U132" s="87">
        <v>6</v>
      </c>
      <c r="V132" s="87">
        <v>6</v>
      </c>
      <c r="W132" s="87">
        <v>5</v>
      </c>
      <c r="X132" s="87">
        <v>4</v>
      </c>
      <c r="Y132" s="87">
        <v>9</v>
      </c>
      <c r="Z132" s="87">
        <v>3</v>
      </c>
      <c r="AA132" s="87">
        <v>8</v>
      </c>
      <c r="AB132" s="87">
        <v>7</v>
      </c>
      <c r="AC132" s="87">
        <v>7</v>
      </c>
      <c r="AD132" s="87">
        <v>11</v>
      </c>
      <c r="AE132" s="87"/>
      <c r="AF132" s="87"/>
      <c r="AG132" s="9">
        <f t="shared" si="17"/>
        <v>246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125</v>
      </c>
      <c r="C133" s="14">
        <f t="shared" si="21"/>
        <v>113</v>
      </c>
      <c r="D133" s="14">
        <f t="shared" si="21"/>
        <v>181</v>
      </c>
      <c r="E133" s="14">
        <f t="shared" si="21"/>
        <v>182</v>
      </c>
      <c r="F133" s="14">
        <f t="shared" si="21"/>
        <v>141</v>
      </c>
      <c r="G133" s="14">
        <f t="shared" si="21"/>
        <v>129</v>
      </c>
      <c r="H133" s="14">
        <f t="shared" si="21"/>
        <v>124</v>
      </c>
      <c r="I133" s="14">
        <f t="shared" si="21"/>
        <v>120</v>
      </c>
      <c r="J133" s="14">
        <f t="shared" si="21"/>
        <v>113</v>
      </c>
      <c r="K133" s="14">
        <f t="shared" si="21"/>
        <v>161</v>
      </c>
      <c r="L133" s="14">
        <f t="shared" si="21"/>
        <v>171</v>
      </c>
      <c r="M133" s="14">
        <f t="shared" si="21"/>
        <v>141</v>
      </c>
      <c r="N133" s="14">
        <f t="shared" si="21"/>
        <v>132</v>
      </c>
      <c r="O133" s="14">
        <f t="shared" si="21"/>
        <v>120</v>
      </c>
      <c r="P133" s="14">
        <f t="shared" si="21"/>
        <v>116</v>
      </c>
      <c r="Q133" s="14">
        <f t="shared" si="21"/>
        <v>131</v>
      </c>
      <c r="R133" s="14">
        <f t="shared" si="21"/>
        <v>165</v>
      </c>
      <c r="S133" s="14">
        <f t="shared" si="21"/>
        <v>169</v>
      </c>
      <c r="T133" s="14">
        <f t="shared" si="21"/>
        <v>133</v>
      </c>
      <c r="U133" s="14">
        <f t="shared" si="21"/>
        <v>135</v>
      </c>
      <c r="V133" s="14">
        <f t="shared" si="21"/>
        <v>131</v>
      </c>
      <c r="W133" s="14">
        <f t="shared" si="21"/>
        <v>124</v>
      </c>
      <c r="X133" s="14">
        <f t="shared" si="21"/>
        <v>132</v>
      </c>
      <c r="Y133" s="14">
        <f t="shared" si="21"/>
        <v>209</v>
      </c>
      <c r="Z133" s="14">
        <f t="shared" si="21"/>
        <v>187</v>
      </c>
      <c r="AA133" s="14">
        <f t="shared" si="21"/>
        <v>122</v>
      </c>
      <c r="AB133" s="14">
        <f t="shared" si="21"/>
        <v>135</v>
      </c>
      <c r="AC133" s="14">
        <f t="shared" si="21"/>
        <v>123</v>
      </c>
      <c r="AD133" s="14">
        <f t="shared" si="21"/>
        <v>137</v>
      </c>
      <c r="AE133" s="14">
        <f t="shared" si="21"/>
        <v>0</v>
      </c>
      <c r="AF133" s="14">
        <f t="shared" si="21"/>
        <v>0</v>
      </c>
      <c r="AG133" s="10">
        <f t="shared" si="17"/>
        <v>4102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5</v>
      </c>
      <c r="C134" s="22">
        <f t="shared" si="22"/>
        <v>3</v>
      </c>
      <c r="D134" s="22">
        <f t="shared" si="22"/>
        <v>4</v>
      </c>
      <c r="E134" s="22">
        <f t="shared" si="22"/>
        <v>6</v>
      </c>
      <c r="F134" s="22">
        <f t="shared" si="22"/>
        <v>4</v>
      </c>
      <c r="G134" s="22">
        <f t="shared" si="22"/>
        <v>5</v>
      </c>
      <c r="H134" s="22">
        <f t="shared" si="22"/>
        <v>12</v>
      </c>
      <c r="I134" s="22">
        <f t="shared" si="22"/>
        <v>23</v>
      </c>
      <c r="J134" s="22">
        <f t="shared" si="22"/>
        <v>14</v>
      </c>
      <c r="K134" s="22">
        <f t="shared" si="22"/>
        <v>12</v>
      </c>
      <c r="L134" s="22">
        <f t="shared" si="22"/>
        <v>1</v>
      </c>
      <c r="M134" s="22">
        <f t="shared" si="22"/>
        <v>9</v>
      </c>
      <c r="N134" s="22">
        <f t="shared" si="22"/>
        <v>2</v>
      </c>
      <c r="O134" s="22">
        <f t="shared" si="22"/>
        <v>6</v>
      </c>
      <c r="P134" s="22">
        <f t="shared" si="22"/>
        <v>3</v>
      </c>
      <c r="Q134" s="22">
        <f t="shared" si="22"/>
        <v>1</v>
      </c>
      <c r="R134" s="22">
        <f t="shared" si="22"/>
        <v>6</v>
      </c>
      <c r="S134" s="22">
        <f t="shared" si="22"/>
        <v>6</v>
      </c>
      <c r="T134" s="22">
        <f t="shared" si="22"/>
        <v>18</v>
      </c>
      <c r="U134" s="22">
        <f t="shared" si="22"/>
        <v>13</v>
      </c>
      <c r="V134" s="22">
        <f t="shared" si="22"/>
        <v>13</v>
      </c>
      <c r="W134" s="22">
        <f t="shared" si="22"/>
        <v>7</v>
      </c>
      <c r="X134" s="22">
        <f t="shared" si="22"/>
        <v>9</v>
      </c>
      <c r="Y134" s="22">
        <f t="shared" si="22"/>
        <v>12</v>
      </c>
      <c r="Z134" s="22">
        <f t="shared" si="22"/>
        <v>4</v>
      </c>
      <c r="AA134" s="22">
        <f t="shared" si="22"/>
        <v>8</v>
      </c>
      <c r="AB134" s="22">
        <f t="shared" si="22"/>
        <v>13</v>
      </c>
      <c r="AC134" s="22">
        <f t="shared" si="22"/>
        <v>12</v>
      </c>
      <c r="AD134" s="22">
        <f t="shared" si="22"/>
        <v>6</v>
      </c>
      <c r="AE134" s="22">
        <f t="shared" si="22"/>
        <v>0</v>
      </c>
      <c r="AF134" s="22">
        <f t="shared" si="22"/>
        <v>0</v>
      </c>
      <c r="AG134" s="23">
        <f t="shared" si="17"/>
        <v>237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0</v>
      </c>
      <c r="E135" s="1">
        <f t="shared" si="23"/>
        <v>2</v>
      </c>
      <c r="F135" s="1">
        <f t="shared" si="23"/>
        <v>0</v>
      </c>
      <c r="G135" s="1">
        <f t="shared" si="23"/>
        <v>1</v>
      </c>
      <c r="H135" s="1">
        <f t="shared" si="23"/>
        <v>0</v>
      </c>
      <c r="I135" s="1">
        <f t="shared" si="23"/>
        <v>1</v>
      </c>
      <c r="J135" s="1">
        <f t="shared" si="23"/>
        <v>0</v>
      </c>
      <c r="K135" s="1">
        <f t="shared" si="23"/>
        <v>1</v>
      </c>
      <c r="L135" s="1">
        <f t="shared" si="23"/>
        <v>0</v>
      </c>
      <c r="M135" s="1">
        <f t="shared" si="23"/>
        <v>0</v>
      </c>
      <c r="N135" s="1">
        <f t="shared" si="23"/>
        <v>1</v>
      </c>
      <c r="O135" s="1">
        <f t="shared" si="23"/>
        <v>0</v>
      </c>
      <c r="P135" s="1">
        <f t="shared" si="23"/>
        <v>0</v>
      </c>
      <c r="Q135" s="1">
        <f t="shared" si="23"/>
        <v>1</v>
      </c>
      <c r="R135" s="1">
        <f t="shared" si="23"/>
        <v>2</v>
      </c>
      <c r="S135" s="1">
        <f t="shared" si="23"/>
        <v>0</v>
      </c>
      <c r="T135" s="1">
        <f t="shared" si="23"/>
        <v>0</v>
      </c>
      <c r="U135" s="1">
        <f t="shared" si="23"/>
        <v>0</v>
      </c>
      <c r="V135" s="1">
        <f t="shared" si="23"/>
        <v>1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2</v>
      </c>
      <c r="AA135" s="1">
        <f t="shared" si="23"/>
        <v>0</v>
      </c>
      <c r="AB135" s="1">
        <f t="shared" si="23"/>
        <v>1</v>
      </c>
      <c r="AC135" s="1">
        <f t="shared" si="23"/>
        <v>0</v>
      </c>
      <c r="AD135" s="1">
        <f t="shared" si="23"/>
        <v>0</v>
      </c>
      <c r="AE135" s="1">
        <f t="shared" si="23"/>
        <v>0</v>
      </c>
      <c r="AF135" s="1">
        <f t="shared" si="23"/>
        <v>0</v>
      </c>
      <c r="AG135" s="2">
        <f t="shared" si="17"/>
        <v>13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0</v>
      </c>
      <c r="C136" s="91">
        <v>0</v>
      </c>
      <c r="D136" s="91">
        <v>0</v>
      </c>
      <c r="E136" s="91">
        <v>2</v>
      </c>
      <c r="F136" s="91">
        <v>0</v>
      </c>
      <c r="G136" s="91">
        <v>1</v>
      </c>
      <c r="H136" s="91">
        <v>0</v>
      </c>
      <c r="I136" s="91">
        <v>1</v>
      </c>
      <c r="J136" s="91">
        <v>0</v>
      </c>
      <c r="K136" s="91">
        <v>0</v>
      </c>
      <c r="L136" s="91">
        <v>0</v>
      </c>
      <c r="M136" s="91">
        <v>0</v>
      </c>
      <c r="N136" s="91">
        <v>1</v>
      </c>
      <c r="O136" s="91">
        <v>0</v>
      </c>
      <c r="P136" s="91">
        <v>0</v>
      </c>
      <c r="Q136" s="91">
        <v>1</v>
      </c>
      <c r="R136" s="91">
        <v>2</v>
      </c>
      <c r="S136" s="91">
        <v>0</v>
      </c>
      <c r="T136" s="91">
        <v>0</v>
      </c>
      <c r="U136" s="91">
        <v>0</v>
      </c>
      <c r="V136" s="91">
        <v>1</v>
      </c>
      <c r="W136" s="91">
        <v>0</v>
      </c>
      <c r="X136" s="91">
        <v>0</v>
      </c>
      <c r="Y136" s="91">
        <v>0</v>
      </c>
      <c r="Z136" s="91">
        <v>2</v>
      </c>
      <c r="AA136" s="91">
        <v>0</v>
      </c>
      <c r="AB136" s="91">
        <v>1</v>
      </c>
      <c r="AC136" s="91">
        <v>0</v>
      </c>
      <c r="AD136" s="91">
        <v>0</v>
      </c>
      <c r="AE136" s="91"/>
      <c r="AF136" s="91"/>
      <c r="AG136" s="28">
        <f t="shared" si="17"/>
        <v>12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1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/>
      <c r="AF137" s="93"/>
      <c r="AG137" s="29">
        <f t="shared" si="17"/>
        <v>1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/>
      <c r="AF138" s="95"/>
      <c r="AG138" s="30">
        <f t="shared" si="17"/>
        <v>0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1</v>
      </c>
      <c r="C139" s="31">
        <f t="shared" si="24"/>
        <v>3</v>
      </c>
      <c r="D139" s="31">
        <f t="shared" si="24"/>
        <v>6</v>
      </c>
      <c r="E139" s="31">
        <f t="shared" si="24"/>
        <v>1</v>
      </c>
      <c r="F139" s="31">
        <f t="shared" si="24"/>
        <v>4</v>
      </c>
      <c r="G139" s="31">
        <f t="shared" si="24"/>
        <v>3</v>
      </c>
      <c r="H139" s="31">
        <f t="shared" si="24"/>
        <v>5</v>
      </c>
      <c r="I139" s="31">
        <f t="shared" si="24"/>
        <v>3</v>
      </c>
      <c r="J139" s="31">
        <f t="shared" si="24"/>
        <v>1</v>
      </c>
      <c r="K139" s="31">
        <f t="shared" si="24"/>
        <v>3</v>
      </c>
      <c r="L139" s="31">
        <f t="shared" si="24"/>
        <v>5</v>
      </c>
      <c r="M139" s="31">
        <f t="shared" si="24"/>
        <v>1</v>
      </c>
      <c r="N139" s="31">
        <f t="shared" si="24"/>
        <v>9</v>
      </c>
      <c r="O139" s="31">
        <f t="shared" si="24"/>
        <v>4</v>
      </c>
      <c r="P139" s="31">
        <f t="shared" si="24"/>
        <v>4</v>
      </c>
      <c r="Q139" s="31">
        <f t="shared" si="24"/>
        <v>6</v>
      </c>
      <c r="R139" s="31">
        <f t="shared" si="24"/>
        <v>4</v>
      </c>
      <c r="S139" s="31">
        <f t="shared" si="24"/>
        <v>5</v>
      </c>
      <c r="T139" s="31">
        <f t="shared" si="24"/>
        <v>5</v>
      </c>
      <c r="U139" s="31">
        <f t="shared" si="24"/>
        <v>5</v>
      </c>
      <c r="V139" s="31">
        <f t="shared" si="24"/>
        <v>3</v>
      </c>
      <c r="W139" s="31">
        <f t="shared" si="24"/>
        <v>1</v>
      </c>
      <c r="X139" s="31">
        <f t="shared" si="24"/>
        <v>7</v>
      </c>
      <c r="Y139" s="31">
        <f t="shared" si="24"/>
        <v>2</v>
      </c>
      <c r="Z139" s="31">
        <f t="shared" si="24"/>
        <v>3</v>
      </c>
      <c r="AA139" s="31">
        <f t="shared" si="24"/>
        <v>3</v>
      </c>
      <c r="AB139" s="31">
        <f t="shared" si="24"/>
        <v>3</v>
      </c>
      <c r="AC139" s="31">
        <f t="shared" si="24"/>
        <v>1</v>
      </c>
      <c r="AD139" s="31">
        <f t="shared" si="24"/>
        <v>5</v>
      </c>
      <c r="AE139" s="31">
        <f t="shared" si="24"/>
        <v>0</v>
      </c>
      <c r="AF139" s="31">
        <f t="shared" si="24"/>
        <v>0</v>
      </c>
      <c r="AG139" s="32">
        <f t="shared" si="17"/>
        <v>106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0</v>
      </c>
      <c r="C140" s="97">
        <v>2</v>
      </c>
      <c r="D140" s="97">
        <v>0</v>
      </c>
      <c r="E140" s="97">
        <v>0</v>
      </c>
      <c r="F140" s="97">
        <v>1</v>
      </c>
      <c r="G140" s="97">
        <v>0</v>
      </c>
      <c r="H140" s="97">
        <v>0</v>
      </c>
      <c r="I140" s="97">
        <v>1</v>
      </c>
      <c r="J140" s="97">
        <v>0</v>
      </c>
      <c r="K140" s="97">
        <v>0</v>
      </c>
      <c r="L140" s="97">
        <v>1</v>
      </c>
      <c r="M140" s="97">
        <v>0</v>
      </c>
      <c r="N140" s="97">
        <v>2</v>
      </c>
      <c r="O140" s="97">
        <v>1</v>
      </c>
      <c r="P140" s="97">
        <v>1</v>
      </c>
      <c r="Q140" s="97">
        <v>1</v>
      </c>
      <c r="R140" s="97">
        <v>1</v>
      </c>
      <c r="S140" s="97">
        <v>0</v>
      </c>
      <c r="T140" s="97">
        <v>0</v>
      </c>
      <c r="U140" s="97">
        <v>1</v>
      </c>
      <c r="V140" s="97">
        <v>0</v>
      </c>
      <c r="W140" s="97">
        <v>0</v>
      </c>
      <c r="X140" s="97">
        <v>0</v>
      </c>
      <c r="Y140" s="97">
        <v>0</v>
      </c>
      <c r="Z140" s="97">
        <v>0</v>
      </c>
      <c r="AA140" s="97">
        <v>1</v>
      </c>
      <c r="AB140" s="97">
        <v>0</v>
      </c>
      <c r="AC140" s="97">
        <v>0</v>
      </c>
      <c r="AD140" s="97">
        <v>0</v>
      </c>
      <c r="AE140" s="97"/>
      <c r="AF140" s="97"/>
      <c r="AG140" s="33">
        <f t="shared" si="17"/>
        <v>13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1</v>
      </c>
      <c r="C141" s="98">
        <v>1</v>
      </c>
      <c r="D141" s="98">
        <v>6</v>
      </c>
      <c r="E141" s="98">
        <v>1</v>
      </c>
      <c r="F141" s="98">
        <v>3</v>
      </c>
      <c r="G141" s="98">
        <v>3</v>
      </c>
      <c r="H141" s="98">
        <v>5</v>
      </c>
      <c r="I141" s="98">
        <v>2</v>
      </c>
      <c r="J141" s="98">
        <v>1</v>
      </c>
      <c r="K141" s="98">
        <v>3</v>
      </c>
      <c r="L141" s="98">
        <v>4</v>
      </c>
      <c r="M141" s="98">
        <v>1</v>
      </c>
      <c r="N141" s="98">
        <v>7</v>
      </c>
      <c r="O141" s="98">
        <v>3</v>
      </c>
      <c r="P141" s="98">
        <v>3</v>
      </c>
      <c r="Q141" s="98">
        <v>5</v>
      </c>
      <c r="R141" s="98">
        <v>3</v>
      </c>
      <c r="S141" s="98">
        <v>5</v>
      </c>
      <c r="T141" s="98">
        <v>5</v>
      </c>
      <c r="U141" s="98">
        <v>4</v>
      </c>
      <c r="V141" s="98">
        <v>3</v>
      </c>
      <c r="W141" s="98">
        <v>1</v>
      </c>
      <c r="X141" s="98">
        <v>7</v>
      </c>
      <c r="Y141" s="98">
        <v>2</v>
      </c>
      <c r="Z141" s="98">
        <v>3</v>
      </c>
      <c r="AA141" s="98">
        <v>2</v>
      </c>
      <c r="AB141" s="98">
        <v>3</v>
      </c>
      <c r="AC141" s="98">
        <v>1</v>
      </c>
      <c r="AD141" s="98">
        <v>5</v>
      </c>
      <c r="AE141" s="98"/>
      <c r="AF141" s="98"/>
      <c r="AG141" s="34">
        <f t="shared" si="17"/>
        <v>93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>
        <v>0</v>
      </c>
      <c r="AE142" s="100">
        <v>0</v>
      </c>
      <c r="AF142" s="100">
        <v>0</v>
      </c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>
        <v>0</v>
      </c>
      <c r="AE143" s="102">
        <v>0</v>
      </c>
      <c r="AF143" s="102">
        <v>0</v>
      </c>
      <c r="AG143" s="36">
        <f t="shared" si="17"/>
        <v>0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14</v>
      </c>
      <c r="C144" s="37">
        <f t="shared" si="25"/>
        <v>14</v>
      </c>
      <c r="D144" s="37">
        <f t="shared" si="25"/>
        <v>26</v>
      </c>
      <c r="E144" s="37">
        <f t="shared" si="25"/>
        <v>21</v>
      </c>
      <c r="F144" s="37">
        <f t="shared" si="25"/>
        <v>19</v>
      </c>
      <c r="G144" s="37">
        <f t="shared" si="25"/>
        <v>18</v>
      </c>
      <c r="H144" s="37">
        <f t="shared" si="25"/>
        <v>21</v>
      </c>
      <c r="I144" s="37">
        <f t="shared" si="25"/>
        <v>14</v>
      </c>
      <c r="J144" s="37">
        <f t="shared" si="25"/>
        <v>7</v>
      </c>
      <c r="K144" s="37">
        <f t="shared" si="25"/>
        <v>20</v>
      </c>
      <c r="L144" s="37">
        <f t="shared" si="25"/>
        <v>24</v>
      </c>
      <c r="M144" s="37">
        <f t="shared" si="25"/>
        <v>25</v>
      </c>
      <c r="N144" s="37">
        <f t="shared" si="25"/>
        <v>20</v>
      </c>
      <c r="O144" s="37">
        <f t="shared" si="25"/>
        <v>13</v>
      </c>
      <c r="P144" s="37">
        <f t="shared" si="25"/>
        <v>16</v>
      </c>
      <c r="Q144" s="37">
        <f t="shared" si="25"/>
        <v>21</v>
      </c>
      <c r="R144" s="37">
        <f t="shared" si="25"/>
        <v>19</v>
      </c>
      <c r="S144" s="37">
        <f t="shared" si="25"/>
        <v>30</v>
      </c>
      <c r="T144" s="37">
        <f t="shared" si="25"/>
        <v>16</v>
      </c>
      <c r="U144" s="37">
        <f t="shared" si="25"/>
        <v>13</v>
      </c>
      <c r="V144" s="37">
        <f t="shared" si="25"/>
        <v>27</v>
      </c>
      <c r="W144" s="37">
        <f t="shared" si="25"/>
        <v>13</v>
      </c>
      <c r="X144" s="37">
        <f t="shared" si="25"/>
        <v>20</v>
      </c>
      <c r="Y144" s="37">
        <f t="shared" si="25"/>
        <v>23</v>
      </c>
      <c r="Z144" s="37">
        <f t="shared" si="25"/>
        <v>35</v>
      </c>
      <c r="AA144" s="37">
        <f t="shared" si="25"/>
        <v>15</v>
      </c>
      <c r="AB144" s="37">
        <f t="shared" si="25"/>
        <v>21</v>
      </c>
      <c r="AC144" s="37">
        <f t="shared" si="25"/>
        <v>20</v>
      </c>
      <c r="AD144" s="37">
        <f t="shared" si="25"/>
        <v>28</v>
      </c>
      <c r="AE144" s="37">
        <f t="shared" si="25"/>
        <v>0</v>
      </c>
      <c r="AF144" s="37">
        <f t="shared" si="25"/>
        <v>0</v>
      </c>
      <c r="AG144" s="24">
        <f t="shared" si="17"/>
        <v>573</v>
      </c>
      <c r="AK144" s="84" t="s">
        <v>155</v>
      </c>
    </row>
    <row r="145" spans="1:37" ht="15.75" customHeight="1" x14ac:dyDescent="0.25">
      <c r="A145" s="104" t="s">
        <v>92</v>
      </c>
      <c r="B145" s="105">
        <v>2</v>
      </c>
      <c r="C145" s="105">
        <v>4</v>
      </c>
      <c r="D145" s="105">
        <v>1</v>
      </c>
      <c r="E145" s="105">
        <v>7</v>
      </c>
      <c r="F145" s="105">
        <v>6</v>
      </c>
      <c r="G145" s="105">
        <v>2</v>
      </c>
      <c r="H145" s="105">
        <v>3</v>
      </c>
      <c r="I145" s="105">
        <v>4</v>
      </c>
      <c r="J145" s="105">
        <v>0</v>
      </c>
      <c r="K145" s="105">
        <v>0</v>
      </c>
      <c r="L145" s="105">
        <v>7</v>
      </c>
      <c r="M145" s="105">
        <v>0</v>
      </c>
      <c r="N145" s="105">
        <v>1</v>
      </c>
      <c r="O145" s="105">
        <v>1</v>
      </c>
      <c r="P145" s="105">
        <v>2</v>
      </c>
      <c r="Q145" s="105">
        <v>4</v>
      </c>
      <c r="R145" s="105">
        <v>4</v>
      </c>
      <c r="S145" s="105">
        <v>6</v>
      </c>
      <c r="T145" s="105">
        <v>3</v>
      </c>
      <c r="U145" s="105">
        <v>2</v>
      </c>
      <c r="V145" s="105">
        <v>4</v>
      </c>
      <c r="W145" s="105">
        <v>2</v>
      </c>
      <c r="X145" s="105">
        <v>1</v>
      </c>
      <c r="Y145" s="105">
        <v>4</v>
      </c>
      <c r="Z145" s="105">
        <v>3</v>
      </c>
      <c r="AA145" s="105">
        <v>4</v>
      </c>
      <c r="AB145" s="105">
        <v>1</v>
      </c>
      <c r="AC145" s="105">
        <v>4</v>
      </c>
      <c r="AD145" s="105">
        <v>8</v>
      </c>
      <c r="AE145" s="105"/>
      <c r="AF145" s="105"/>
      <c r="AG145" s="38">
        <f t="shared" si="17"/>
        <v>90</v>
      </c>
      <c r="AK145" s="84" t="s">
        <v>156</v>
      </c>
    </row>
    <row r="146" spans="1:37" ht="15.75" customHeight="1" x14ac:dyDescent="0.25">
      <c r="A146" s="106" t="s">
        <v>93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/>
      <c r="AF146" s="77"/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/>
      <c r="AF147" s="77"/>
      <c r="AG147" s="5">
        <f t="shared" si="17"/>
        <v>0</v>
      </c>
      <c r="AK147" s="84" t="s">
        <v>158</v>
      </c>
    </row>
    <row r="148" spans="1:37" ht="15.75" customHeight="1" x14ac:dyDescent="0.25">
      <c r="A148" s="106" t="s">
        <v>95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/>
      <c r="AF148" s="77"/>
      <c r="AG148" s="5">
        <f t="shared" si="17"/>
        <v>0</v>
      </c>
      <c r="AK148" s="84" t="s">
        <v>159</v>
      </c>
    </row>
    <row r="149" spans="1:37" ht="15.75" customHeight="1" x14ac:dyDescent="0.25">
      <c r="A149" s="107" t="s">
        <v>96</v>
      </c>
      <c r="B149" s="108">
        <v>10</v>
      </c>
      <c r="C149" s="108">
        <v>8</v>
      </c>
      <c r="D149" s="108">
        <v>18</v>
      </c>
      <c r="E149" s="108">
        <v>14</v>
      </c>
      <c r="F149" s="108">
        <v>12</v>
      </c>
      <c r="G149" s="108">
        <v>12</v>
      </c>
      <c r="H149" s="108">
        <v>16</v>
      </c>
      <c r="I149" s="108">
        <v>10</v>
      </c>
      <c r="J149" s="108">
        <v>7</v>
      </c>
      <c r="K149" s="108">
        <v>16</v>
      </c>
      <c r="L149" s="108">
        <v>14</v>
      </c>
      <c r="M149" s="108">
        <v>23</v>
      </c>
      <c r="N149" s="108">
        <v>18</v>
      </c>
      <c r="O149" s="108">
        <v>10</v>
      </c>
      <c r="P149" s="108">
        <v>12</v>
      </c>
      <c r="Q149" s="108">
        <v>15</v>
      </c>
      <c r="R149" s="108">
        <v>12</v>
      </c>
      <c r="S149" s="108">
        <v>24</v>
      </c>
      <c r="T149" s="108">
        <v>13</v>
      </c>
      <c r="U149" s="108">
        <v>11</v>
      </c>
      <c r="V149" s="108">
        <v>21</v>
      </c>
      <c r="W149" s="108">
        <v>9</v>
      </c>
      <c r="X149" s="108">
        <v>17</v>
      </c>
      <c r="Y149" s="108">
        <v>15</v>
      </c>
      <c r="Z149" s="108">
        <v>29</v>
      </c>
      <c r="AA149" s="108">
        <v>11</v>
      </c>
      <c r="AB149" s="108">
        <v>18</v>
      </c>
      <c r="AC149" s="108">
        <v>14</v>
      </c>
      <c r="AD149" s="108">
        <v>18</v>
      </c>
      <c r="AE149" s="108"/>
      <c r="AF149" s="108"/>
      <c r="AG149" s="39">
        <f t="shared" si="17"/>
        <v>427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1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/>
      <c r="AF153" s="77"/>
      <c r="AG153" s="5">
        <f t="shared" si="17"/>
        <v>1</v>
      </c>
      <c r="AK153" s="109" t="s">
        <v>127</v>
      </c>
    </row>
    <row r="154" spans="1:37" ht="15.75" customHeight="1" x14ac:dyDescent="0.25">
      <c r="A154" s="76" t="s">
        <v>101</v>
      </c>
      <c r="B154" s="77">
        <v>0</v>
      </c>
      <c r="C154" s="77">
        <v>0</v>
      </c>
      <c r="D154" s="77">
        <v>0</v>
      </c>
      <c r="E154" s="77">
        <v>0</v>
      </c>
      <c r="F154" s="77">
        <v>0</v>
      </c>
      <c r="G154" s="77">
        <v>0</v>
      </c>
      <c r="H154" s="77">
        <v>0</v>
      </c>
      <c r="I154" s="77">
        <v>0</v>
      </c>
      <c r="J154" s="77">
        <v>0</v>
      </c>
      <c r="K154" s="77">
        <v>0</v>
      </c>
      <c r="L154" s="77">
        <v>0</v>
      </c>
      <c r="M154" s="77">
        <v>0</v>
      </c>
      <c r="N154" s="77">
        <v>0</v>
      </c>
      <c r="O154" s="77">
        <v>0</v>
      </c>
      <c r="P154" s="77">
        <v>0</v>
      </c>
      <c r="Q154" s="77">
        <v>0</v>
      </c>
      <c r="R154" s="77">
        <v>0</v>
      </c>
      <c r="S154" s="77">
        <v>0</v>
      </c>
      <c r="T154" s="77">
        <v>0</v>
      </c>
      <c r="U154" s="77">
        <v>0</v>
      </c>
      <c r="V154" s="77">
        <v>0</v>
      </c>
      <c r="W154" s="77">
        <v>0</v>
      </c>
      <c r="X154" s="77">
        <v>0</v>
      </c>
      <c r="Y154" s="77">
        <v>0</v>
      </c>
      <c r="Z154" s="77">
        <v>0</v>
      </c>
      <c r="AA154" s="77">
        <v>0</v>
      </c>
      <c r="AB154" s="77">
        <v>0</v>
      </c>
      <c r="AC154" s="77">
        <v>0</v>
      </c>
      <c r="AD154" s="77">
        <v>0</v>
      </c>
      <c r="AE154" s="77"/>
      <c r="AF154" s="77"/>
      <c r="AG154" s="5">
        <f t="shared" si="17"/>
        <v>0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>
        <v>0</v>
      </c>
      <c r="C158" s="111">
        <v>1</v>
      </c>
      <c r="D158" s="111">
        <v>3</v>
      </c>
      <c r="E158" s="111">
        <v>0</v>
      </c>
      <c r="F158" s="111">
        <v>0</v>
      </c>
      <c r="G158" s="111">
        <v>1</v>
      </c>
      <c r="H158" s="111">
        <v>1</v>
      </c>
      <c r="I158" s="111">
        <v>0</v>
      </c>
      <c r="J158" s="111">
        <v>0</v>
      </c>
      <c r="K158" s="111">
        <v>2</v>
      </c>
      <c r="L158" s="111">
        <v>2</v>
      </c>
      <c r="M158" s="111">
        <v>2</v>
      </c>
      <c r="N158" s="111">
        <v>0</v>
      </c>
      <c r="O158" s="111">
        <v>1</v>
      </c>
      <c r="P158" s="111">
        <v>1</v>
      </c>
      <c r="Q158" s="111">
        <v>2</v>
      </c>
      <c r="R158" s="111">
        <v>0</v>
      </c>
      <c r="S158" s="111">
        <v>0</v>
      </c>
      <c r="T158" s="111">
        <v>0</v>
      </c>
      <c r="U158" s="111">
        <v>0</v>
      </c>
      <c r="V158" s="111">
        <v>0</v>
      </c>
      <c r="W158" s="111">
        <v>1</v>
      </c>
      <c r="X158" s="111">
        <v>0</v>
      </c>
      <c r="Y158" s="111">
        <v>3</v>
      </c>
      <c r="Z158" s="111">
        <v>1</v>
      </c>
      <c r="AA158" s="111">
        <v>0</v>
      </c>
      <c r="AB158" s="111">
        <v>0</v>
      </c>
      <c r="AC158" s="111">
        <v>0</v>
      </c>
      <c r="AD158" s="111">
        <v>2</v>
      </c>
      <c r="AE158" s="111"/>
      <c r="AF158" s="111"/>
      <c r="AG158" s="40">
        <f t="shared" si="17"/>
        <v>23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>
        <v>0</v>
      </c>
      <c r="C162" s="77">
        <v>0</v>
      </c>
      <c r="D162" s="77">
        <v>0</v>
      </c>
      <c r="E162" s="77">
        <v>0</v>
      </c>
      <c r="F162" s="77">
        <v>1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/>
      <c r="AF162" s="77"/>
      <c r="AG162" s="5">
        <f t="shared" si="17"/>
        <v>1</v>
      </c>
    </row>
    <row r="163" spans="1:34" ht="15.75" customHeight="1" x14ac:dyDescent="0.25">
      <c r="A163" s="112" t="s">
        <v>110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/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/>
      <c r="AF165" s="77"/>
      <c r="AG165" s="5">
        <f t="shared" si="26"/>
        <v>0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>
        <v>1</v>
      </c>
      <c r="C167" s="77">
        <v>0</v>
      </c>
      <c r="D167" s="77">
        <v>1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1</v>
      </c>
      <c r="L167" s="77">
        <v>0</v>
      </c>
      <c r="M167" s="77">
        <v>0</v>
      </c>
      <c r="N167" s="77">
        <v>0</v>
      </c>
      <c r="O167" s="77">
        <v>1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1</v>
      </c>
      <c r="W167" s="77">
        <v>0</v>
      </c>
      <c r="X167" s="77">
        <v>1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/>
      <c r="AF167" s="77"/>
      <c r="AG167" s="5">
        <f t="shared" si="26"/>
        <v>6</v>
      </c>
    </row>
    <row r="168" spans="1:34" ht="15.75" customHeight="1" x14ac:dyDescent="0.25">
      <c r="A168" s="76" t="s">
        <v>115</v>
      </c>
      <c r="B168" s="113">
        <v>0</v>
      </c>
      <c r="C168" s="113">
        <v>0</v>
      </c>
      <c r="D168" s="113">
        <v>3</v>
      </c>
      <c r="E168" s="113">
        <v>0</v>
      </c>
      <c r="F168" s="113">
        <v>0</v>
      </c>
      <c r="G168" s="113">
        <v>1</v>
      </c>
      <c r="H168" s="113">
        <v>0</v>
      </c>
      <c r="I168" s="113">
        <v>0</v>
      </c>
      <c r="J168" s="113">
        <v>0</v>
      </c>
      <c r="K168" s="113">
        <v>1</v>
      </c>
      <c r="L168" s="113">
        <v>0</v>
      </c>
      <c r="M168" s="113">
        <v>0</v>
      </c>
      <c r="N168" s="113">
        <v>0</v>
      </c>
      <c r="O168" s="113">
        <v>0</v>
      </c>
      <c r="P168" s="113">
        <v>0</v>
      </c>
      <c r="Q168" s="113">
        <v>0</v>
      </c>
      <c r="R168" s="113">
        <v>2</v>
      </c>
      <c r="S168" s="113">
        <v>0</v>
      </c>
      <c r="T168" s="113">
        <v>0</v>
      </c>
      <c r="U168" s="113">
        <v>0</v>
      </c>
      <c r="V168" s="113">
        <v>1</v>
      </c>
      <c r="W168" s="113">
        <v>1</v>
      </c>
      <c r="X168" s="113">
        <v>0</v>
      </c>
      <c r="Y168" s="113">
        <v>0</v>
      </c>
      <c r="Z168" s="113">
        <v>1</v>
      </c>
      <c r="AA168" s="113">
        <v>0</v>
      </c>
      <c r="AB168" s="113">
        <v>1</v>
      </c>
      <c r="AC168" s="113">
        <v>1</v>
      </c>
      <c r="AD168" s="113">
        <v>0</v>
      </c>
      <c r="AE168" s="113"/>
      <c r="AF168" s="113"/>
      <c r="AG168" s="5">
        <f t="shared" si="26"/>
        <v>12</v>
      </c>
    </row>
    <row r="169" spans="1:34" ht="15.75" customHeight="1" x14ac:dyDescent="0.25">
      <c r="A169" s="114" t="s">
        <v>116</v>
      </c>
      <c r="B169" s="113">
        <v>1</v>
      </c>
      <c r="C169" s="113">
        <v>1</v>
      </c>
      <c r="D169" s="113">
        <v>0</v>
      </c>
      <c r="E169" s="113">
        <v>0</v>
      </c>
      <c r="F169" s="113">
        <v>0</v>
      </c>
      <c r="G169" s="113">
        <v>2</v>
      </c>
      <c r="H169" s="113">
        <v>1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1</v>
      </c>
      <c r="O169" s="113">
        <v>0</v>
      </c>
      <c r="P169" s="113">
        <v>1</v>
      </c>
      <c r="Q169" s="113">
        <v>0</v>
      </c>
      <c r="R169" s="113">
        <v>1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1</v>
      </c>
      <c r="Y169" s="113">
        <v>1</v>
      </c>
      <c r="Z169" s="113">
        <v>1</v>
      </c>
      <c r="AA169" s="113">
        <v>0</v>
      </c>
      <c r="AB169" s="113">
        <v>1</v>
      </c>
      <c r="AC169" s="113">
        <v>1</v>
      </c>
      <c r="AD169" s="113">
        <v>0</v>
      </c>
      <c r="AE169" s="113"/>
      <c r="AF169" s="113"/>
      <c r="AG169" s="5">
        <f t="shared" si="26"/>
        <v>13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125</v>
      </c>
      <c r="C171" s="41">
        <f t="shared" si="27"/>
        <v>113</v>
      </c>
      <c r="D171" s="41">
        <f t="shared" si="27"/>
        <v>181</v>
      </c>
      <c r="E171" s="41">
        <f t="shared" si="27"/>
        <v>182</v>
      </c>
      <c r="F171" s="41">
        <f t="shared" si="27"/>
        <v>141</v>
      </c>
      <c r="G171" s="41">
        <f t="shared" si="27"/>
        <v>129</v>
      </c>
      <c r="H171" s="41">
        <f t="shared" si="27"/>
        <v>124</v>
      </c>
      <c r="I171" s="41">
        <f t="shared" si="27"/>
        <v>120</v>
      </c>
      <c r="J171" s="41">
        <f t="shared" si="27"/>
        <v>113</v>
      </c>
      <c r="K171" s="41">
        <f t="shared" si="27"/>
        <v>161</v>
      </c>
      <c r="L171" s="41">
        <f t="shared" si="27"/>
        <v>171</v>
      </c>
      <c r="M171" s="41">
        <f t="shared" si="27"/>
        <v>141</v>
      </c>
      <c r="N171" s="41">
        <f t="shared" si="27"/>
        <v>132</v>
      </c>
      <c r="O171" s="41">
        <f t="shared" si="27"/>
        <v>120</v>
      </c>
      <c r="P171" s="41">
        <f t="shared" si="27"/>
        <v>116</v>
      </c>
      <c r="Q171" s="41">
        <f t="shared" si="27"/>
        <v>131</v>
      </c>
      <c r="R171" s="41">
        <f t="shared" si="27"/>
        <v>165</v>
      </c>
      <c r="S171" s="41">
        <f t="shared" si="27"/>
        <v>169</v>
      </c>
      <c r="T171" s="41">
        <f t="shared" si="27"/>
        <v>133</v>
      </c>
      <c r="U171" s="41">
        <f t="shared" si="27"/>
        <v>135</v>
      </c>
      <c r="V171" s="41">
        <f t="shared" si="27"/>
        <v>131</v>
      </c>
      <c r="W171" s="41">
        <f t="shared" si="27"/>
        <v>124</v>
      </c>
      <c r="X171" s="41">
        <f t="shared" si="27"/>
        <v>132</v>
      </c>
      <c r="Y171" s="41">
        <f t="shared" si="27"/>
        <v>209</v>
      </c>
      <c r="Z171" s="41">
        <f t="shared" si="27"/>
        <v>187</v>
      </c>
      <c r="AA171" s="41">
        <f t="shared" si="27"/>
        <v>122</v>
      </c>
      <c r="AB171" s="41">
        <f t="shared" si="27"/>
        <v>135</v>
      </c>
      <c r="AC171" s="41">
        <f t="shared" si="27"/>
        <v>123</v>
      </c>
      <c r="AD171" s="41">
        <f t="shared" si="27"/>
        <v>137</v>
      </c>
      <c r="AE171" s="41">
        <f t="shared" si="27"/>
        <v>0</v>
      </c>
      <c r="AF171" s="41">
        <f t="shared" si="27"/>
        <v>0</v>
      </c>
      <c r="AG171" s="42">
        <f t="shared" si="26"/>
        <v>4102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1</v>
      </c>
      <c r="F172" s="118">
        <v>0</v>
      </c>
      <c r="G172" s="118">
        <v>0</v>
      </c>
      <c r="H172" s="118">
        <v>0</v>
      </c>
      <c r="I172" s="118">
        <v>0</v>
      </c>
      <c r="J172" s="118">
        <v>2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/>
      <c r="AF172" s="118"/>
      <c r="AG172" s="43">
        <f t="shared" si="26"/>
        <v>3</v>
      </c>
    </row>
    <row r="173" spans="1:34" ht="15.75" customHeight="1" x14ac:dyDescent="0.25">
      <c r="A173" s="119" t="s">
        <v>38</v>
      </c>
      <c r="B173" s="120">
        <v>2</v>
      </c>
      <c r="C173" s="120">
        <v>0</v>
      </c>
      <c r="D173" s="120">
        <v>0</v>
      </c>
      <c r="E173" s="120">
        <v>1</v>
      </c>
      <c r="F173" s="120">
        <v>2</v>
      </c>
      <c r="G173" s="120">
        <v>0</v>
      </c>
      <c r="H173" s="120">
        <v>2</v>
      </c>
      <c r="I173" s="120">
        <v>2</v>
      </c>
      <c r="J173" s="120">
        <v>3</v>
      </c>
      <c r="K173" s="120">
        <v>1</v>
      </c>
      <c r="L173" s="120">
        <v>2</v>
      </c>
      <c r="M173" s="120">
        <v>1</v>
      </c>
      <c r="N173" s="120">
        <v>1</v>
      </c>
      <c r="O173" s="120">
        <v>1</v>
      </c>
      <c r="P173" s="120">
        <v>3</v>
      </c>
      <c r="Q173" s="120">
        <v>0</v>
      </c>
      <c r="R173" s="120">
        <v>0</v>
      </c>
      <c r="S173" s="120">
        <v>1</v>
      </c>
      <c r="T173" s="120">
        <v>2</v>
      </c>
      <c r="U173" s="120">
        <v>2</v>
      </c>
      <c r="V173" s="120">
        <v>5</v>
      </c>
      <c r="W173" s="120">
        <v>1</v>
      </c>
      <c r="X173" s="120">
        <v>1</v>
      </c>
      <c r="Y173" s="120">
        <v>0</v>
      </c>
      <c r="Z173" s="120">
        <v>2</v>
      </c>
      <c r="AA173" s="120">
        <v>0</v>
      </c>
      <c r="AB173" s="120">
        <v>5</v>
      </c>
      <c r="AC173" s="120">
        <v>2</v>
      </c>
      <c r="AD173" s="120">
        <v>1</v>
      </c>
      <c r="AE173" s="120"/>
      <c r="AF173" s="120"/>
      <c r="AG173" s="44">
        <f t="shared" si="26"/>
        <v>43</v>
      </c>
    </row>
    <row r="174" spans="1:34" ht="15.75" customHeight="1" x14ac:dyDescent="0.25">
      <c r="A174" s="119" t="s">
        <v>39</v>
      </c>
      <c r="B174" s="120">
        <v>14</v>
      </c>
      <c r="C174" s="120">
        <v>12</v>
      </c>
      <c r="D174" s="120">
        <v>21</v>
      </c>
      <c r="E174" s="120">
        <v>23</v>
      </c>
      <c r="F174" s="120">
        <v>25</v>
      </c>
      <c r="G174" s="120">
        <v>17</v>
      </c>
      <c r="H174" s="120">
        <v>17</v>
      </c>
      <c r="I174" s="120">
        <v>34</v>
      </c>
      <c r="J174" s="120">
        <v>22</v>
      </c>
      <c r="K174" s="120">
        <v>21</v>
      </c>
      <c r="L174" s="120">
        <v>24</v>
      </c>
      <c r="M174" s="120">
        <v>16</v>
      </c>
      <c r="N174" s="120">
        <v>14</v>
      </c>
      <c r="O174" s="120">
        <v>17</v>
      </c>
      <c r="P174" s="120">
        <v>17</v>
      </c>
      <c r="Q174" s="120">
        <v>23</v>
      </c>
      <c r="R174" s="120">
        <v>15</v>
      </c>
      <c r="S174" s="120">
        <v>20</v>
      </c>
      <c r="T174" s="120">
        <v>20</v>
      </c>
      <c r="U174" s="120">
        <v>23</v>
      </c>
      <c r="V174" s="120">
        <v>24</v>
      </c>
      <c r="W174" s="120">
        <v>9</v>
      </c>
      <c r="X174" s="120">
        <v>10</v>
      </c>
      <c r="Y174" s="120">
        <v>22</v>
      </c>
      <c r="Z174" s="120">
        <v>18</v>
      </c>
      <c r="AA174" s="120">
        <v>22</v>
      </c>
      <c r="AB174" s="120">
        <v>21</v>
      </c>
      <c r="AC174" s="120">
        <v>12</v>
      </c>
      <c r="AD174" s="120">
        <v>24</v>
      </c>
      <c r="AE174" s="120"/>
      <c r="AF174" s="120"/>
      <c r="AG174" s="44">
        <f t="shared" si="26"/>
        <v>557</v>
      </c>
    </row>
    <row r="175" spans="1:34" ht="15.75" customHeight="1" x14ac:dyDescent="0.25">
      <c r="A175" s="119" t="s">
        <v>40</v>
      </c>
      <c r="B175" s="120">
        <v>78</v>
      </c>
      <c r="C175" s="120">
        <v>69</v>
      </c>
      <c r="D175" s="120">
        <v>113</v>
      </c>
      <c r="E175" s="120">
        <v>112</v>
      </c>
      <c r="F175" s="120">
        <v>82</v>
      </c>
      <c r="G175" s="120">
        <v>85</v>
      </c>
      <c r="H175" s="120">
        <v>77</v>
      </c>
      <c r="I175" s="120">
        <v>64</v>
      </c>
      <c r="J175" s="120">
        <v>63</v>
      </c>
      <c r="K175" s="120">
        <v>97</v>
      </c>
      <c r="L175" s="120">
        <v>115</v>
      </c>
      <c r="M175" s="120">
        <v>93</v>
      </c>
      <c r="N175" s="120">
        <v>78</v>
      </c>
      <c r="O175" s="120">
        <v>81</v>
      </c>
      <c r="P175" s="120">
        <v>70</v>
      </c>
      <c r="Q175" s="120">
        <v>76</v>
      </c>
      <c r="R175" s="120">
        <v>86</v>
      </c>
      <c r="S175" s="120">
        <v>109</v>
      </c>
      <c r="T175" s="120">
        <v>88</v>
      </c>
      <c r="U175" s="120">
        <v>77</v>
      </c>
      <c r="V175" s="120">
        <v>75</v>
      </c>
      <c r="W175" s="120">
        <v>74</v>
      </c>
      <c r="X175" s="120">
        <v>90</v>
      </c>
      <c r="Y175" s="120">
        <v>147</v>
      </c>
      <c r="Z175" s="120">
        <v>112</v>
      </c>
      <c r="AA175" s="120">
        <v>83</v>
      </c>
      <c r="AB175" s="120">
        <v>85</v>
      </c>
      <c r="AC175" s="120">
        <v>88</v>
      </c>
      <c r="AD175" s="120">
        <v>77</v>
      </c>
      <c r="AE175" s="120"/>
      <c r="AF175" s="120"/>
      <c r="AG175" s="44">
        <f t="shared" si="26"/>
        <v>2544</v>
      </c>
    </row>
    <row r="176" spans="1:34" ht="15.75" customHeight="1" thickBot="1" x14ac:dyDescent="0.3">
      <c r="A176" s="121" t="s">
        <v>41</v>
      </c>
      <c r="B176" s="122">
        <v>31</v>
      </c>
      <c r="C176" s="122">
        <v>32</v>
      </c>
      <c r="D176" s="122">
        <v>47</v>
      </c>
      <c r="E176" s="122">
        <v>45</v>
      </c>
      <c r="F176" s="122">
        <v>32</v>
      </c>
      <c r="G176" s="122">
        <v>27</v>
      </c>
      <c r="H176" s="122">
        <v>28</v>
      </c>
      <c r="I176" s="122">
        <v>20</v>
      </c>
      <c r="J176" s="122">
        <v>23</v>
      </c>
      <c r="K176" s="122">
        <v>42</v>
      </c>
      <c r="L176" s="122">
        <v>30</v>
      </c>
      <c r="M176" s="122">
        <v>31</v>
      </c>
      <c r="N176" s="122">
        <v>39</v>
      </c>
      <c r="O176" s="122">
        <v>21</v>
      </c>
      <c r="P176" s="122">
        <v>26</v>
      </c>
      <c r="Q176" s="122">
        <v>32</v>
      </c>
      <c r="R176" s="122">
        <v>64</v>
      </c>
      <c r="S176" s="122">
        <v>39</v>
      </c>
      <c r="T176" s="122">
        <v>23</v>
      </c>
      <c r="U176" s="122">
        <v>33</v>
      </c>
      <c r="V176" s="122">
        <v>27</v>
      </c>
      <c r="W176" s="122">
        <v>40</v>
      </c>
      <c r="X176" s="122">
        <v>31</v>
      </c>
      <c r="Y176" s="122">
        <v>40</v>
      </c>
      <c r="Z176" s="122">
        <v>55</v>
      </c>
      <c r="AA176" s="122">
        <v>17</v>
      </c>
      <c r="AB176" s="122">
        <v>24</v>
      </c>
      <c r="AC176" s="122">
        <v>21</v>
      </c>
      <c r="AD176" s="122">
        <v>35</v>
      </c>
      <c r="AE176" s="122"/>
      <c r="AF176" s="122"/>
      <c r="AG176" s="45">
        <f t="shared" si="26"/>
        <v>955</v>
      </c>
    </row>
    <row r="177" spans="1:34" ht="15.75" customHeight="1" x14ac:dyDescent="0.25">
      <c r="A177" s="123" t="s">
        <v>120</v>
      </c>
      <c r="B177" s="124">
        <f>+B178+B179+B180</f>
        <v>1</v>
      </c>
      <c r="C177" s="124">
        <f t="shared" ref="C177:AF177" si="28">+C178+C179+C180</f>
        <v>4</v>
      </c>
      <c r="D177" s="124">
        <f t="shared" si="28"/>
        <v>4</v>
      </c>
      <c r="E177" s="124">
        <f t="shared" si="28"/>
        <v>1</v>
      </c>
      <c r="F177" s="124">
        <f t="shared" si="28"/>
        <v>5</v>
      </c>
      <c r="G177" s="124">
        <f t="shared" si="28"/>
        <v>0</v>
      </c>
      <c r="H177" s="124">
        <f t="shared" si="28"/>
        <v>4</v>
      </c>
      <c r="I177" s="124">
        <f t="shared" si="28"/>
        <v>6</v>
      </c>
      <c r="J177" s="124">
        <f t="shared" si="28"/>
        <v>7</v>
      </c>
      <c r="K177" s="124">
        <f t="shared" si="28"/>
        <v>2</v>
      </c>
      <c r="L177" s="124">
        <f t="shared" si="28"/>
        <v>4</v>
      </c>
      <c r="M177" s="124">
        <f t="shared" si="28"/>
        <v>0</v>
      </c>
      <c r="N177" s="124">
        <f t="shared" si="28"/>
        <v>8</v>
      </c>
      <c r="O177" s="124">
        <f t="shared" si="28"/>
        <v>7</v>
      </c>
      <c r="P177" s="124">
        <f t="shared" si="28"/>
        <v>9</v>
      </c>
      <c r="Q177" s="124">
        <f t="shared" si="28"/>
        <v>2</v>
      </c>
      <c r="R177" s="124">
        <f t="shared" si="28"/>
        <v>2</v>
      </c>
      <c r="S177" s="124">
        <f t="shared" si="28"/>
        <v>2</v>
      </c>
      <c r="T177" s="124">
        <f t="shared" si="28"/>
        <v>5</v>
      </c>
      <c r="U177" s="124">
        <f t="shared" si="28"/>
        <v>4</v>
      </c>
      <c r="V177" s="124">
        <f t="shared" si="28"/>
        <v>6</v>
      </c>
      <c r="W177" s="124">
        <f t="shared" si="28"/>
        <v>3</v>
      </c>
      <c r="X177" s="124">
        <f t="shared" si="28"/>
        <v>6</v>
      </c>
      <c r="Y177" s="124">
        <f t="shared" si="28"/>
        <v>3</v>
      </c>
      <c r="Z177" s="124">
        <f t="shared" si="28"/>
        <v>2</v>
      </c>
      <c r="AA177" s="124">
        <f t="shared" si="28"/>
        <v>4</v>
      </c>
      <c r="AB177" s="124">
        <f t="shared" si="28"/>
        <v>6</v>
      </c>
      <c r="AC177" s="124">
        <f t="shared" si="28"/>
        <v>0</v>
      </c>
      <c r="AD177" s="124">
        <f t="shared" si="28"/>
        <v>2</v>
      </c>
      <c r="AE177" s="124">
        <f t="shared" si="28"/>
        <v>0</v>
      </c>
      <c r="AF177" s="124">
        <f t="shared" si="28"/>
        <v>0</v>
      </c>
      <c r="AG177" s="26">
        <f t="shared" si="26"/>
        <v>109</v>
      </c>
      <c r="AH177" s="140" t="s">
        <v>121</v>
      </c>
    </row>
    <row r="178" spans="1:34" ht="15.75" customHeight="1" x14ac:dyDescent="0.25">
      <c r="A178" s="125" t="s">
        <v>122</v>
      </c>
      <c r="B178" s="126">
        <v>0</v>
      </c>
      <c r="C178" s="126">
        <v>1</v>
      </c>
      <c r="D178" s="126">
        <v>1</v>
      </c>
      <c r="E178" s="126">
        <v>0</v>
      </c>
      <c r="F178" s="126">
        <v>0</v>
      </c>
      <c r="G178" s="126">
        <v>0</v>
      </c>
      <c r="H178" s="126">
        <v>0</v>
      </c>
      <c r="I178" s="126">
        <v>0</v>
      </c>
      <c r="J178" s="126">
        <v>2</v>
      </c>
      <c r="K178" s="126">
        <v>1</v>
      </c>
      <c r="L178" s="126">
        <v>1</v>
      </c>
      <c r="M178" s="126">
        <v>0</v>
      </c>
      <c r="N178" s="126">
        <v>4</v>
      </c>
      <c r="O178" s="126">
        <v>3</v>
      </c>
      <c r="P178" s="126">
        <v>2</v>
      </c>
      <c r="Q178" s="126">
        <v>2</v>
      </c>
      <c r="R178" s="126">
        <v>1</v>
      </c>
      <c r="S178" s="126">
        <v>0</v>
      </c>
      <c r="T178" s="126">
        <v>2</v>
      </c>
      <c r="U178" s="126">
        <v>2</v>
      </c>
      <c r="V178" s="126">
        <v>1</v>
      </c>
      <c r="W178" s="126">
        <v>2</v>
      </c>
      <c r="X178" s="126">
        <v>3</v>
      </c>
      <c r="Y178" s="126">
        <v>0</v>
      </c>
      <c r="Z178" s="126">
        <v>1</v>
      </c>
      <c r="AA178" s="126">
        <v>2</v>
      </c>
      <c r="AB178" s="126">
        <v>3</v>
      </c>
      <c r="AC178" s="126">
        <v>0</v>
      </c>
      <c r="AD178" s="126">
        <v>0</v>
      </c>
      <c r="AE178" s="126"/>
      <c r="AF178" s="127"/>
      <c r="AG178" s="46">
        <f t="shared" si="26"/>
        <v>34</v>
      </c>
      <c r="AH178" s="141"/>
    </row>
    <row r="179" spans="1:34" ht="15.75" customHeight="1" x14ac:dyDescent="0.25">
      <c r="A179" s="125" t="s">
        <v>123</v>
      </c>
      <c r="B179" s="126">
        <v>1</v>
      </c>
      <c r="C179" s="126">
        <v>3</v>
      </c>
      <c r="D179" s="126">
        <v>3</v>
      </c>
      <c r="E179" s="126">
        <v>1</v>
      </c>
      <c r="F179" s="126">
        <v>5</v>
      </c>
      <c r="G179" s="126">
        <v>0</v>
      </c>
      <c r="H179" s="126">
        <v>4</v>
      </c>
      <c r="I179" s="126">
        <v>6</v>
      </c>
      <c r="J179" s="126">
        <v>5</v>
      </c>
      <c r="K179" s="126">
        <v>1</v>
      </c>
      <c r="L179" s="126">
        <v>3</v>
      </c>
      <c r="M179" s="126">
        <v>0</v>
      </c>
      <c r="N179" s="126">
        <v>4</v>
      </c>
      <c r="O179" s="126">
        <v>4</v>
      </c>
      <c r="P179" s="126">
        <v>7</v>
      </c>
      <c r="Q179" s="126">
        <v>0</v>
      </c>
      <c r="R179" s="126">
        <v>1</v>
      </c>
      <c r="S179" s="126">
        <v>2</v>
      </c>
      <c r="T179" s="126">
        <v>3</v>
      </c>
      <c r="U179" s="126">
        <v>2</v>
      </c>
      <c r="V179" s="126">
        <v>5</v>
      </c>
      <c r="W179" s="126">
        <v>1</v>
      </c>
      <c r="X179" s="126">
        <v>3</v>
      </c>
      <c r="Y179" s="126">
        <v>3</v>
      </c>
      <c r="Z179" s="126">
        <v>1</v>
      </c>
      <c r="AA179" s="126">
        <v>2</v>
      </c>
      <c r="AB179" s="126">
        <v>3</v>
      </c>
      <c r="AC179" s="126">
        <v>0</v>
      </c>
      <c r="AD179" s="126">
        <v>2</v>
      </c>
      <c r="AE179" s="126"/>
      <c r="AF179" s="127"/>
      <c r="AG179" s="46">
        <f t="shared" si="26"/>
        <v>75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KYdF37E4awa88Pr+OW2FIOW+7DdQ2OVzC4+R/y0HWupuNjEJm4tzw/g6O9gBkMieY6r0RdK0drazN+yR/iI3gA==" saltValue="OF0pUQdEKDz2hlB/cb2Tqw==" spinCount="100000" sheet="1" objects="1" scenarios="1"/>
  <dataConsolidate/>
  <mergeCells count="2">
    <mergeCell ref="A1:AG1"/>
    <mergeCell ref="AH177:AH180"/>
  </mergeCells>
  <conditionalFormatting sqref="AD29:AF52">
    <cfRule type="cellIs" dxfId="32" priority="3" operator="lessThan">
      <formula>0</formula>
    </cfRule>
  </conditionalFormatting>
  <conditionalFormatting sqref="AH171">
    <cfRule type="cellIs" dxfId="31" priority="2" operator="equal">
      <formula>"X"</formula>
    </cfRule>
  </conditionalFormatting>
  <conditionalFormatting sqref="AH1:AH1048576">
    <cfRule type="cellIs" dxfId="30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00000000-0002-0000-0300-000000000000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8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AD15" sqref="AD15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0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152</v>
      </c>
      <c r="C3" s="1">
        <f t="shared" si="1"/>
        <v>172</v>
      </c>
      <c r="D3" s="1">
        <f t="shared" si="1"/>
        <v>181</v>
      </c>
      <c r="E3" s="1">
        <f t="shared" si="1"/>
        <v>148</v>
      </c>
      <c r="F3" s="1">
        <f t="shared" si="1"/>
        <v>136</v>
      </c>
      <c r="G3" s="1">
        <f t="shared" si="1"/>
        <v>125</v>
      </c>
      <c r="H3" s="1">
        <f t="shared" si="1"/>
        <v>122</v>
      </c>
      <c r="I3" s="1">
        <f t="shared" si="1"/>
        <v>114</v>
      </c>
      <c r="J3" s="1">
        <f t="shared" si="1"/>
        <v>190</v>
      </c>
      <c r="K3" s="1">
        <f t="shared" si="1"/>
        <v>188</v>
      </c>
      <c r="L3" s="1">
        <f t="shared" si="1"/>
        <v>150</v>
      </c>
      <c r="M3" s="1">
        <f t="shared" si="1"/>
        <v>122</v>
      </c>
      <c r="N3" s="1">
        <f t="shared" si="1"/>
        <v>127</v>
      </c>
      <c r="O3" s="1">
        <f t="shared" si="1"/>
        <v>161</v>
      </c>
      <c r="P3" s="1">
        <f t="shared" si="1"/>
        <v>136</v>
      </c>
      <c r="Q3" s="1">
        <f t="shared" si="1"/>
        <v>220</v>
      </c>
      <c r="R3" s="1">
        <f t="shared" si="1"/>
        <v>170</v>
      </c>
      <c r="S3" s="1">
        <f t="shared" si="1"/>
        <v>179</v>
      </c>
      <c r="T3" s="1">
        <f t="shared" si="1"/>
        <v>150</v>
      </c>
      <c r="U3" s="1">
        <f t="shared" si="1"/>
        <v>97</v>
      </c>
      <c r="V3" s="1">
        <f t="shared" si="1"/>
        <v>156</v>
      </c>
      <c r="W3" s="1">
        <f t="shared" si="1"/>
        <v>139</v>
      </c>
      <c r="X3" s="1">
        <f t="shared" si="1"/>
        <v>191</v>
      </c>
      <c r="Y3" s="1">
        <f t="shared" si="1"/>
        <v>176</v>
      </c>
      <c r="Z3" s="1">
        <f t="shared" si="1"/>
        <v>184</v>
      </c>
      <c r="AA3" s="1">
        <f t="shared" si="1"/>
        <v>148</v>
      </c>
      <c r="AB3" s="1">
        <f t="shared" si="1"/>
        <v>155</v>
      </c>
      <c r="AC3" s="1">
        <f t="shared" si="1"/>
        <v>135</v>
      </c>
      <c r="AD3" s="1">
        <f t="shared" si="1"/>
        <v>188</v>
      </c>
      <c r="AE3" s="1">
        <f t="shared" si="1"/>
        <v>175</v>
      </c>
      <c r="AF3" s="1">
        <f t="shared" si="1"/>
        <v>184</v>
      </c>
      <c r="AG3" s="2">
        <f t="shared" ref="AG3:AG66" si="2">SUM(B3:AF3)</f>
        <v>4871</v>
      </c>
    </row>
    <row r="4" spans="1:33" ht="18.75" x14ac:dyDescent="0.25">
      <c r="A4" s="53" t="s">
        <v>3</v>
      </c>
      <c r="B4" s="54">
        <v>0</v>
      </c>
      <c r="C4" s="55">
        <v>9</v>
      </c>
      <c r="D4" s="55">
        <v>3</v>
      </c>
      <c r="E4" s="55">
        <v>0</v>
      </c>
      <c r="F4" s="55">
        <v>0</v>
      </c>
      <c r="G4" s="55">
        <v>0</v>
      </c>
      <c r="H4" s="55">
        <v>0</v>
      </c>
      <c r="I4" s="55">
        <v>0</v>
      </c>
      <c r="J4" s="55">
        <v>13</v>
      </c>
      <c r="K4" s="55">
        <v>6</v>
      </c>
      <c r="L4" s="55">
        <v>0</v>
      </c>
      <c r="M4" s="55">
        <v>0</v>
      </c>
      <c r="N4" s="55">
        <v>0</v>
      </c>
      <c r="O4" s="55">
        <v>0</v>
      </c>
      <c r="P4" s="55">
        <v>0</v>
      </c>
      <c r="Q4" s="55">
        <v>8</v>
      </c>
      <c r="R4" s="55">
        <v>2</v>
      </c>
      <c r="S4" s="55">
        <v>0</v>
      </c>
      <c r="T4" s="55">
        <v>0</v>
      </c>
      <c r="U4" s="55">
        <v>0</v>
      </c>
      <c r="V4" s="55">
        <v>0</v>
      </c>
      <c r="W4" s="55">
        <v>0</v>
      </c>
      <c r="X4" s="55">
        <v>6</v>
      </c>
      <c r="Y4" s="55">
        <v>3</v>
      </c>
      <c r="Z4" s="55">
        <v>0</v>
      </c>
      <c r="AA4" s="55">
        <v>0</v>
      </c>
      <c r="AB4" s="55">
        <v>0</v>
      </c>
      <c r="AC4" s="55">
        <v>0</v>
      </c>
      <c r="AD4" s="55">
        <v>7</v>
      </c>
      <c r="AE4" s="55">
        <v>3</v>
      </c>
      <c r="AF4" s="55">
        <v>1</v>
      </c>
      <c r="AG4" s="4">
        <f t="shared" si="2"/>
        <v>61</v>
      </c>
    </row>
    <row r="5" spans="1:33" ht="18.75" x14ac:dyDescent="0.25">
      <c r="A5" s="56" t="s">
        <v>4</v>
      </c>
      <c r="B5" s="54">
        <v>0</v>
      </c>
      <c r="C5" s="54">
        <v>14</v>
      </c>
      <c r="D5" s="54">
        <v>8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11</v>
      </c>
      <c r="K5" s="54">
        <v>8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12</v>
      </c>
      <c r="R5" s="54">
        <v>9</v>
      </c>
      <c r="S5" s="54">
        <v>0</v>
      </c>
      <c r="T5" s="54">
        <v>0</v>
      </c>
      <c r="U5" s="54">
        <v>0</v>
      </c>
      <c r="V5" s="54">
        <v>0</v>
      </c>
      <c r="W5" s="54">
        <v>0</v>
      </c>
      <c r="X5" s="54">
        <v>14</v>
      </c>
      <c r="Y5" s="54">
        <v>4</v>
      </c>
      <c r="Z5" s="54">
        <v>0</v>
      </c>
      <c r="AA5" s="54">
        <v>0</v>
      </c>
      <c r="AB5" s="54">
        <v>0</v>
      </c>
      <c r="AC5" s="54">
        <v>0</v>
      </c>
      <c r="AD5" s="54">
        <v>7</v>
      </c>
      <c r="AE5" s="54">
        <v>13</v>
      </c>
      <c r="AF5" s="54">
        <v>10</v>
      </c>
      <c r="AG5" s="5">
        <f t="shared" si="2"/>
        <v>110</v>
      </c>
    </row>
    <row r="6" spans="1:33" ht="18.75" x14ac:dyDescent="0.25">
      <c r="A6" s="56" t="s">
        <v>5</v>
      </c>
      <c r="B6" s="54">
        <v>0</v>
      </c>
      <c r="C6" s="54">
        <v>11</v>
      </c>
      <c r="D6" s="54">
        <v>11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13</v>
      </c>
      <c r="K6" s="54">
        <v>8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18</v>
      </c>
      <c r="R6" s="54">
        <v>12</v>
      </c>
      <c r="S6" s="54">
        <v>0</v>
      </c>
      <c r="T6" s="54">
        <v>0</v>
      </c>
      <c r="U6" s="54">
        <v>0</v>
      </c>
      <c r="V6" s="54">
        <v>0</v>
      </c>
      <c r="W6" s="54">
        <v>0</v>
      </c>
      <c r="X6" s="54">
        <v>7</v>
      </c>
      <c r="Y6" s="54">
        <v>9</v>
      </c>
      <c r="Z6" s="54">
        <v>0</v>
      </c>
      <c r="AA6" s="54">
        <v>0</v>
      </c>
      <c r="AB6" s="54">
        <v>0</v>
      </c>
      <c r="AC6" s="54">
        <v>0</v>
      </c>
      <c r="AD6" s="54">
        <v>14</v>
      </c>
      <c r="AE6" s="54">
        <v>8</v>
      </c>
      <c r="AF6" s="54">
        <v>9</v>
      </c>
      <c r="AG6" s="5">
        <f t="shared" si="2"/>
        <v>120</v>
      </c>
    </row>
    <row r="7" spans="1:33" ht="18.75" x14ac:dyDescent="0.25">
      <c r="A7" s="56" t="s">
        <v>6</v>
      </c>
      <c r="B7" s="54">
        <v>0</v>
      </c>
      <c r="C7" s="54">
        <v>14</v>
      </c>
      <c r="D7" s="54">
        <v>14</v>
      </c>
      <c r="E7" s="54">
        <v>0</v>
      </c>
      <c r="F7" s="54">
        <v>0</v>
      </c>
      <c r="G7" s="54">
        <v>0</v>
      </c>
      <c r="H7" s="54">
        <v>0</v>
      </c>
      <c r="I7" s="54">
        <v>0</v>
      </c>
      <c r="J7" s="54">
        <v>19</v>
      </c>
      <c r="K7" s="54">
        <v>14</v>
      </c>
      <c r="L7" s="54">
        <v>0</v>
      </c>
      <c r="M7" s="54">
        <v>0</v>
      </c>
      <c r="N7" s="54">
        <v>0</v>
      </c>
      <c r="O7" s="54">
        <v>0</v>
      </c>
      <c r="P7" s="54">
        <v>0</v>
      </c>
      <c r="Q7" s="54">
        <v>15</v>
      </c>
      <c r="R7" s="54">
        <v>17</v>
      </c>
      <c r="S7" s="54">
        <v>0</v>
      </c>
      <c r="T7" s="54">
        <v>0</v>
      </c>
      <c r="U7" s="54">
        <v>0</v>
      </c>
      <c r="V7" s="54">
        <v>0</v>
      </c>
      <c r="W7" s="54">
        <v>0</v>
      </c>
      <c r="X7" s="54">
        <v>12</v>
      </c>
      <c r="Y7" s="54">
        <v>15</v>
      </c>
      <c r="Z7" s="54">
        <v>0</v>
      </c>
      <c r="AA7" s="54">
        <v>0</v>
      </c>
      <c r="AB7" s="54">
        <v>0</v>
      </c>
      <c r="AC7" s="54">
        <v>0</v>
      </c>
      <c r="AD7" s="54">
        <v>18</v>
      </c>
      <c r="AE7" s="54">
        <v>14</v>
      </c>
      <c r="AF7" s="54">
        <v>16</v>
      </c>
      <c r="AG7" s="5">
        <f t="shared" si="2"/>
        <v>168</v>
      </c>
    </row>
    <row r="8" spans="1:33" ht="18.75" x14ac:dyDescent="0.25">
      <c r="A8" s="56" t="s">
        <v>7</v>
      </c>
      <c r="B8" s="54">
        <v>0</v>
      </c>
      <c r="C8" s="54">
        <v>11</v>
      </c>
      <c r="D8" s="54">
        <v>12</v>
      </c>
      <c r="E8" s="54">
        <v>0</v>
      </c>
      <c r="F8" s="54">
        <v>0</v>
      </c>
      <c r="G8" s="54">
        <v>0</v>
      </c>
      <c r="H8" s="54">
        <v>0</v>
      </c>
      <c r="I8" s="54">
        <v>0</v>
      </c>
      <c r="J8" s="54">
        <v>10</v>
      </c>
      <c r="K8" s="54">
        <v>14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17</v>
      </c>
      <c r="R8" s="54">
        <v>12</v>
      </c>
      <c r="S8" s="54">
        <v>0</v>
      </c>
      <c r="T8" s="54">
        <v>0</v>
      </c>
      <c r="U8" s="54">
        <v>0</v>
      </c>
      <c r="V8" s="54">
        <v>0</v>
      </c>
      <c r="W8" s="54">
        <v>0</v>
      </c>
      <c r="X8" s="54">
        <v>15</v>
      </c>
      <c r="Y8" s="54">
        <v>17</v>
      </c>
      <c r="Z8" s="54">
        <v>0</v>
      </c>
      <c r="AA8" s="54">
        <v>0</v>
      </c>
      <c r="AB8" s="54">
        <v>0</v>
      </c>
      <c r="AC8" s="54">
        <v>0</v>
      </c>
      <c r="AD8" s="54">
        <v>11</v>
      </c>
      <c r="AE8" s="54">
        <v>15</v>
      </c>
      <c r="AF8" s="54">
        <v>9</v>
      </c>
      <c r="AG8" s="5">
        <f t="shared" si="2"/>
        <v>143</v>
      </c>
    </row>
    <row r="9" spans="1:33" ht="18.75" x14ac:dyDescent="0.25">
      <c r="A9" s="56" t="s">
        <v>8</v>
      </c>
      <c r="B9" s="54">
        <v>0</v>
      </c>
      <c r="C9" s="54">
        <v>10</v>
      </c>
      <c r="D9" s="54">
        <v>9</v>
      </c>
      <c r="E9" s="54">
        <v>0</v>
      </c>
      <c r="F9" s="54">
        <v>0</v>
      </c>
      <c r="G9" s="54">
        <v>0</v>
      </c>
      <c r="H9" s="54">
        <v>0</v>
      </c>
      <c r="I9" s="54">
        <v>0</v>
      </c>
      <c r="J9" s="54">
        <v>11</v>
      </c>
      <c r="K9" s="54">
        <v>14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13</v>
      </c>
      <c r="R9" s="54">
        <v>2</v>
      </c>
      <c r="S9" s="54">
        <v>0</v>
      </c>
      <c r="T9" s="54">
        <v>0</v>
      </c>
      <c r="U9" s="54">
        <v>0</v>
      </c>
      <c r="V9" s="54">
        <v>0</v>
      </c>
      <c r="W9" s="54">
        <v>0</v>
      </c>
      <c r="X9" s="54">
        <v>16</v>
      </c>
      <c r="Y9" s="54">
        <v>10</v>
      </c>
      <c r="Z9" s="54">
        <v>0</v>
      </c>
      <c r="AA9" s="54">
        <v>0</v>
      </c>
      <c r="AB9" s="54">
        <v>0</v>
      </c>
      <c r="AC9" s="54">
        <v>0</v>
      </c>
      <c r="AD9" s="54">
        <v>12</v>
      </c>
      <c r="AE9" s="54">
        <v>3</v>
      </c>
      <c r="AF9" s="54">
        <v>8</v>
      </c>
      <c r="AG9" s="5">
        <f t="shared" si="2"/>
        <v>108</v>
      </c>
    </row>
    <row r="10" spans="1:33" ht="18.75" x14ac:dyDescent="0.25">
      <c r="A10" s="56" t="s">
        <v>9</v>
      </c>
      <c r="B10" s="54">
        <v>0</v>
      </c>
      <c r="C10" s="54">
        <v>8</v>
      </c>
      <c r="D10" s="54">
        <v>9</v>
      </c>
      <c r="E10" s="54">
        <v>0</v>
      </c>
      <c r="F10" s="54">
        <v>0</v>
      </c>
      <c r="G10" s="54">
        <v>0</v>
      </c>
      <c r="H10" s="54">
        <v>0</v>
      </c>
      <c r="I10" s="54">
        <v>0</v>
      </c>
      <c r="J10" s="54">
        <v>13</v>
      </c>
      <c r="K10" s="54">
        <v>8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16</v>
      </c>
      <c r="R10" s="54">
        <v>16</v>
      </c>
      <c r="S10" s="54">
        <v>0</v>
      </c>
      <c r="T10" s="54">
        <v>0</v>
      </c>
      <c r="U10" s="54">
        <v>0</v>
      </c>
      <c r="V10" s="54">
        <v>0</v>
      </c>
      <c r="W10" s="54">
        <v>0</v>
      </c>
      <c r="X10" s="54">
        <v>15</v>
      </c>
      <c r="Y10" s="54">
        <v>7</v>
      </c>
      <c r="Z10" s="54">
        <v>0</v>
      </c>
      <c r="AA10" s="54">
        <v>0</v>
      </c>
      <c r="AB10" s="54">
        <v>0</v>
      </c>
      <c r="AC10" s="54">
        <v>0</v>
      </c>
      <c r="AD10" s="54">
        <v>4</v>
      </c>
      <c r="AE10" s="54">
        <v>11</v>
      </c>
      <c r="AF10" s="54">
        <v>11</v>
      </c>
      <c r="AG10" s="5">
        <f t="shared" si="2"/>
        <v>118</v>
      </c>
    </row>
    <row r="11" spans="1:33" ht="18.75" x14ac:dyDescent="0.25">
      <c r="A11" s="56" t="s">
        <v>10</v>
      </c>
      <c r="B11" s="54">
        <v>0</v>
      </c>
      <c r="C11" s="54">
        <v>8</v>
      </c>
      <c r="D11" s="54">
        <v>12</v>
      </c>
      <c r="E11" s="54">
        <v>0</v>
      </c>
      <c r="F11" s="54">
        <v>0</v>
      </c>
      <c r="G11" s="54">
        <v>0</v>
      </c>
      <c r="H11" s="54">
        <v>0</v>
      </c>
      <c r="I11" s="54">
        <v>1</v>
      </c>
      <c r="J11" s="54">
        <v>13</v>
      </c>
      <c r="K11" s="54">
        <v>8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16</v>
      </c>
      <c r="R11" s="54">
        <v>12</v>
      </c>
      <c r="S11" s="54">
        <v>0</v>
      </c>
      <c r="T11" s="54">
        <v>0</v>
      </c>
      <c r="U11" s="54">
        <v>0</v>
      </c>
      <c r="V11" s="54">
        <v>0</v>
      </c>
      <c r="W11" s="54">
        <v>5</v>
      </c>
      <c r="X11" s="54">
        <v>12</v>
      </c>
      <c r="Y11" s="54">
        <v>10</v>
      </c>
      <c r="Z11" s="54">
        <v>0</v>
      </c>
      <c r="AA11" s="54">
        <v>0</v>
      </c>
      <c r="AB11" s="54">
        <v>0</v>
      </c>
      <c r="AC11" s="54">
        <v>0</v>
      </c>
      <c r="AD11" s="54">
        <v>13</v>
      </c>
      <c r="AE11" s="54">
        <v>8</v>
      </c>
      <c r="AF11" s="54">
        <v>12</v>
      </c>
      <c r="AG11" s="5">
        <f t="shared" si="2"/>
        <v>130</v>
      </c>
    </row>
    <row r="12" spans="1:33" ht="18.75" x14ac:dyDescent="0.25">
      <c r="A12" s="56" t="s">
        <v>11</v>
      </c>
      <c r="B12" s="54">
        <v>42</v>
      </c>
      <c r="C12" s="54">
        <v>11</v>
      </c>
      <c r="D12" s="54">
        <v>11</v>
      </c>
      <c r="E12" s="54">
        <v>0</v>
      </c>
      <c r="F12" s="54">
        <v>0</v>
      </c>
      <c r="G12" s="54">
        <v>0</v>
      </c>
      <c r="H12" s="54">
        <v>1</v>
      </c>
      <c r="I12" s="54">
        <v>35</v>
      </c>
      <c r="J12" s="54">
        <v>11</v>
      </c>
      <c r="K12" s="54">
        <v>17</v>
      </c>
      <c r="L12" s="54">
        <v>0</v>
      </c>
      <c r="M12" s="54">
        <v>1</v>
      </c>
      <c r="N12" s="54">
        <v>1</v>
      </c>
      <c r="O12" s="54">
        <v>2</v>
      </c>
      <c r="P12" s="54">
        <v>41</v>
      </c>
      <c r="Q12" s="54">
        <v>9</v>
      </c>
      <c r="R12" s="54">
        <v>14</v>
      </c>
      <c r="S12" s="54">
        <v>2</v>
      </c>
      <c r="T12" s="54">
        <v>2</v>
      </c>
      <c r="U12" s="54">
        <v>1</v>
      </c>
      <c r="V12" s="54">
        <v>7</v>
      </c>
      <c r="W12" s="54">
        <v>40</v>
      </c>
      <c r="X12" s="54">
        <v>7</v>
      </c>
      <c r="Y12" s="54">
        <v>12</v>
      </c>
      <c r="Z12" s="54">
        <v>3</v>
      </c>
      <c r="AA12" s="54">
        <v>1</v>
      </c>
      <c r="AB12" s="54">
        <v>5</v>
      </c>
      <c r="AC12" s="54">
        <v>3</v>
      </c>
      <c r="AD12" s="54">
        <v>16</v>
      </c>
      <c r="AE12" s="54">
        <v>11</v>
      </c>
      <c r="AF12" s="54">
        <v>10</v>
      </c>
      <c r="AG12" s="5">
        <f t="shared" si="2"/>
        <v>316</v>
      </c>
    </row>
    <row r="13" spans="1:33" ht="18.75" x14ac:dyDescent="0.25">
      <c r="A13" s="56" t="s">
        <v>12</v>
      </c>
      <c r="B13" s="54">
        <v>15</v>
      </c>
      <c r="C13" s="54">
        <v>14</v>
      </c>
      <c r="D13" s="54">
        <v>12</v>
      </c>
      <c r="E13" s="54">
        <v>61</v>
      </c>
      <c r="F13" s="54">
        <v>50</v>
      </c>
      <c r="G13" s="54">
        <v>43</v>
      </c>
      <c r="H13" s="54">
        <v>37</v>
      </c>
      <c r="I13" s="54">
        <v>18</v>
      </c>
      <c r="J13" s="54">
        <v>14</v>
      </c>
      <c r="K13" s="54">
        <v>22</v>
      </c>
      <c r="L13" s="54">
        <v>58</v>
      </c>
      <c r="M13" s="54">
        <v>44</v>
      </c>
      <c r="N13" s="54">
        <v>50</v>
      </c>
      <c r="O13" s="54">
        <v>46</v>
      </c>
      <c r="P13" s="54">
        <v>23</v>
      </c>
      <c r="Q13" s="54">
        <v>11</v>
      </c>
      <c r="R13" s="54">
        <v>13</v>
      </c>
      <c r="S13" s="54">
        <v>65</v>
      </c>
      <c r="T13" s="54">
        <v>65</v>
      </c>
      <c r="U13" s="54">
        <v>32</v>
      </c>
      <c r="V13" s="54">
        <v>64</v>
      </c>
      <c r="W13" s="54">
        <v>18</v>
      </c>
      <c r="X13" s="54">
        <v>15</v>
      </c>
      <c r="Y13" s="54">
        <v>13</v>
      </c>
      <c r="Z13" s="54">
        <v>73</v>
      </c>
      <c r="AA13" s="54">
        <v>54</v>
      </c>
      <c r="AB13" s="54">
        <v>44</v>
      </c>
      <c r="AC13" s="54">
        <v>51</v>
      </c>
      <c r="AD13" s="54">
        <v>18</v>
      </c>
      <c r="AE13" s="54">
        <v>21</v>
      </c>
      <c r="AF13" s="54">
        <v>14</v>
      </c>
      <c r="AG13" s="5">
        <f t="shared" si="2"/>
        <v>1078</v>
      </c>
    </row>
    <row r="14" spans="1:33" ht="18.75" x14ac:dyDescent="0.25">
      <c r="A14" s="56" t="s">
        <v>13</v>
      </c>
      <c r="B14" s="54">
        <v>19</v>
      </c>
      <c r="C14" s="54">
        <v>8</v>
      </c>
      <c r="D14" s="54">
        <v>8</v>
      </c>
      <c r="E14" s="54">
        <v>20</v>
      </c>
      <c r="F14" s="54">
        <v>14</v>
      </c>
      <c r="G14" s="54">
        <v>19</v>
      </c>
      <c r="H14" s="54">
        <v>5</v>
      </c>
      <c r="I14" s="54">
        <v>7</v>
      </c>
      <c r="J14" s="54">
        <v>7</v>
      </c>
      <c r="K14" s="54">
        <v>11</v>
      </c>
      <c r="L14" s="54">
        <v>19</v>
      </c>
      <c r="M14" s="54">
        <v>20</v>
      </c>
      <c r="N14" s="54">
        <v>14</v>
      </c>
      <c r="O14" s="54">
        <v>26</v>
      </c>
      <c r="P14" s="54">
        <v>10</v>
      </c>
      <c r="Q14" s="54">
        <v>12</v>
      </c>
      <c r="R14" s="54">
        <v>4</v>
      </c>
      <c r="S14" s="54">
        <v>19</v>
      </c>
      <c r="T14" s="54">
        <v>19</v>
      </c>
      <c r="U14" s="54">
        <v>17</v>
      </c>
      <c r="V14" s="54">
        <v>18</v>
      </c>
      <c r="W14" s="54">
        <v>15</v>
      </c>
      <c r="X14" s="54">
        <v>13</v>
      </c>
      <c r="Y14" s="54">
        <v>6</v>
      </c>
      <c r="Z14" s="54">
        <v>33</v>
      </c>
      <c r="AA14" s="54">
        <v>16</v>
      </c>
      <c r="AB14" s="54">
        <v>19</v>
      </c>
      <c r="AC14" s="54">
        <v>14</v>
      </c>
      <c r="AD14" s="54">
        <v>14</v>
      </c>
      <c r="AE14" s="54">
        <v>3</v>
      </c>
      <c r="AF14" s="54">
        <v>19</v>
      </c>
      <c r="AG14" s="5">
        <f t="shared" si="2"/>
        <v>448</v>
      </c>
    </row>
    <row r="15" spans="1:33" ht="18.75" x14ac:dyDescent="0.25">
      <c r="A15" s="56" t="s">
        <v>14</v>
      </c>
      <c r="B15" s="54">
        <v>11</v>
      </c>
      <c r="C15" s="54">
        <v>5</v>
      </c>
      <c r="D15" s="54">
        <v>14</v>
      </c>
      <c r="E15" s="54">
        <v>13</v>
      </c>
      <c r="F15" s="54">
        <v>15</v>
      </c>
      <c r="G15" s="54">
        <v>13</v>
      </c>
      <c r="H15" s="54">
        <v>18</v>
      </c>
      <c r="I15" s="54">
        <v>10</v>
      </c>
      <c r="J15" s="54">
        <v>7</v>
      </c>
      <c r="K15" s="54">
        <v>5</v>
      </c>
      <c r="L15" s="54">
        <v>20</v>
      </c>
      <c r="M15" s="54">
        <v>12</v>
      </c>
      <c r="N15" s="54">
        <v>12</v>
      </c>
      <c r="O15" s="54">
        <v>16</v>
      </c>
      <c r="P15" s="54">
        <v>16</v>
      </c>
      <c r="Q15" s="54">
        <v>12</v>
      </c>
      <c r="R15" s="54">
        <v>17</v>
      </c>
      <c r="S15" s="54">
        <v>19</v>
      </c>
      <c r="T15" s="54">
        <v>18</v>
      </c>
      <c r="U15" s="54">
        <v>10</v>
      </c>
      <c r="V15" s="54">
        <v>16</v>
      </c>
      <c r="W15" s="54">
        <v>7</v>
      </c>
      <c r="X15" s="54">
        <v>7</v>
      </c>
      <c r="Y15" s="54">
        <v>6</v>
      </c>
      <c r="Z15" s="54">
        <v>21</v>
      </c>
      <c r="AA15" s="54">
        <v>19</v>
      </c>
      <c r="AB15" s="54">
        <v>27</v>
      </c>
      <c r="AC15" s="54">
        <v>8</v>
      </c>
      <c r="AD15" s="54">
        <v>8</v>
      </c>
      <c r="AE15" s="54">
        <v>9</v>
      </c>
      <c r="AF15" s="54">
        <v>9</v>
      </c>
      <c r="AG15" s="5">
        <f t="shared" si="2"/>
        <v>400</v>
      </c>
    </row>
    <row r="16" spans="1:33" ht="18.75" x14ac:dyDescent="0.25">
      <c r="A16" s="56" t="s">
        <v>15</v>
      </c>
      <c r="B16" s="54">
        <v>11</v>
      </c>
      <c r="C16" s="54">
        <v>7</v>
      </c>
      <c r="D16" s="54">
        <v>12</v>
      </c>
      <c r="E16" s="54">
        <v>11</v>
      </c>
      <c r="F16" s="54">
        <v>18</v>
      </c>
      <c r="G16" s="54">
        <v>11</v>
      </c>
      <c r="H16" s="54">
        <v>21</v>
      </c>
      <c r="I16" s="54">
        <v>14</v>
      </c>
      <c r="J16" s="54">
        <v>9</v>
      </c>
      <c r="K16" s="54">
        <v>10</v>
      </c>
      <c r="L16" s="54">
        <v>10</v>
      </c>
      <c r="M16" s="54">
        <v>18</v>
      </c>
      <c r="N16" s="54">
        <v>12</v>
      </c>
      <c r="O16" s="54">
        <v>17</v>
      </c>
      <c r="P16" s="54">
        <v>14</v>
      </c>
      <c r="Q16" s="54">
        <v>11</v>
      </c>
      <c r="R16" s="54">
        <v>9</v>
      </c>
      <c r="S16" s="54">
        <v>21</v>
      </c>
      <c r="T16" s="54">
        <v>11</v>
      </c>
      <c r="U16" s="54">
        <v>10</v>
      </c>
      <c r="V16" s="54">
        <v>13</v>
      </c>
      <c r="W16" s="54">
        <v>17</v>
      </c>
      <c r="X16" s="54">
        <v>14</v>
      </c>
      <c r="Y16" s="54">
        <v>13</v>
      </c>
      <c r="Z16" s="54">
        <v>20</v>
      </c>
      <c r="AA16" s="54">
        <v>15</v>
      </c>
      <c r="AB16" s="54">
        <v>17</v>
      </c>
      <c r="AC16" s="54">
        <v>13</v>
      </c>
      <c r="AD16" s="54">
        <v>8</v>
      </c>
      <c r="AE16" s="54">
        <v>7</v>
      </c>
      <c r="AF16" s="54">
        <v>13</v>
      </c>
      <c r="AG16" s="5">
        <f t="shared" si="2"/>
        <v>407</v>
      </c>
    </row>
    <row r="17" spans="1:33" ht="18.75" x14ac:dyDescent="0.25">
      <c r="A17" s="56" t="s">
        <v>16</v>
      </c>
      <c r="B17" s="54">
        <v>14</v>
      </c>
      <c r="C17" s="54">
        <v>4</v>
      </c>
      <c r="D17" s="54">
        <v>8</v>
      </c>
      <c r="E17" s="54">
        <v>10</v>
      </c>
      <c r="F17" s="54">
        <v>9</v>
      </c>
      <c r="G17" s="54">
        <v>16</v>
      </c>
      <c r="H17" s="54">
        <v>18</v>
      </c>
      <c r="I17" s="54">
        <v>8</v>
      </c>
      <c r="J17" s="54">
        <v>14</v>
      </c>
      <c r="K17" s="54">
        <v>11</v>
      </c>
      <c r="L17" s="54">
        <v>13</v>
      </c>
      <c r="M17" s="54">
        <v>9</v>
      </c>
      <c r="N17" s="54">
        <v>12</v>
      </c>
      <c r="O17" s="54">
        <v>16</v>
      </c>
      <c r="P17" s="54">
        <v>9</v>
      </c>
      <c r="Q17" s="54">
        <v>12</v>
      </c>
      <c r="R17" s="54">
        <v>11</v>
      </c>
      <c r="S17" s="54">
        <v>14</v>
      </c>
      <c r="T17" s="54">
        <v>12</v>
      </c>
      <c r="U17" s="54">
        <v>9</v>
      </c>
      <c r="V17" s="54">
        <v>13</v>
      </c>
      <c r="W17" s="54">
        <v>13</v>
      </c>
      <c r="X17" s="54">
        <v>6</v>
      </c>
      <c r="Y17" s="54">
        <v>12</v>
      </c>
      <c r="Z17" s="54">
        <v>10</v>
      </c>
      <c r="AA17" s="54">
        <v>16</v>
      </c>
      <c r="AB17" s="54">
        <v>13</v>
      </c>
      <c r="AC17" s="54">
        <v>7</v>
      </c>
      <c r="AD17" s="54">
        <v>8</v>
      </c>
      <c r="AE17" s="54">
        <v>13</v>
      </c>
      <c r="AF17" s="54">
        <v>10</v>
      </c>
      <c r="AG17" s="5">
        <f t="shared" si="2"/>
        <v>350</v>
      </c>
    </row>
    <row r="18" spans="1:33" ht="18.75" x14ac:dyDescent="0.25">
      <c r="A18" s="56" t="s">
        <v>17</v>
      </c>
      <c r="B18" s="54">
        <v>15</v>
      </c>
      <c r="C18" s="54">
        <v>12</v>
      </c>
      <c r="D18" s="54">
        <v>11</v>
      </c>
      <c r="E18" s="54">
        <v>7</v>
      </c>
      <c r="F18" s="54">
        <v>5</v>
      </c>
      <c r="G18" s="54">
        <v>10</v>
      </c>
      <c r="H18" s="54">
        <v>7</v>
      </c>
      <c r="I18" s="54">
        <v>12</v>
      </c>
      <c r="J18" s="54">
        <v>6</v>
      </c>
      <c r="K18" s="54">
        <v>9</v>
      </c>
      <c r="L18" s="54">
        <v>9</v>
      </c>
      <c r="M18" s="54">
        <v>7</v>
      </c>
      <c r="N18" s="54">
        <v>10</v>
      </c>
      <c r="O18" s="54">
        <v>19</v>
      </c>
      <c r="P18" s="54">
        <v>11</v>
      </c>
      <c r="Q18" s="54">
        <v>8</v>
      </c>
      <c r="R18" s="54">
        <v>6</v>
      </c>
      <c r="S18" s="54">
        <v>20</v>
      </c>
      <c r="T18" s="54">
        <v>10</v>
      </c>
      <c r="U18" s="54">
        <v>4</v>
      </c>
      <c r="V18" s="54">
        <v>13</v>
      </c>
      <c r="W18" s="54">
        <v>11</v>
      </c>
      <c r="X18" s="54">
        <v>10</v>
      </c>
      <c r="Y18" s="54">
        <v>14</v>
      </c>
      <c r="Z18" s="54">
        <v>10</v>
      </c>
      <c r="AA18" s="54">
        <v>12</v>
      </c>
      <c r="AB18" s="54">
        <v>13</v>
      </c>
      <c r="AC18" s="54">
        <v>14</v>
      </c>
      <c r="AD18" s="54">
        <v>7</v>
      </c>
      <c r="AE18" s="54">
        <v>11</v>
      </c>
      <c r="AF18" s="54">
        <v>3</v>
      </c>
      <c r="AG18" s="5">
        <f t="shared" si="2"/>
        <v>316</v>
      </c>
    </row>
    <row r="19" spans="1:33" ht="18.75" x14ac:dyDescent="0.25">
      <c r="A19" s="56" t="s">
        <v>18</v>
      </c>
      <c r="B19" s="54">
        <v>12</v>
      </c>
      <c r="C19" s="54">
        <v>8</v>
      </c>
      <c r="D19" s="54">
        <v>11</v>
      </c>
      <c r="E19" s="54">
        <v>6</v>
      </c>
      <c r="F19" s="54">
        <v>12</v>
      </c>
      <c r="G19" s="54">
        <v>4</v>
      </c>
      <c r="H19" s="54">
        <v>4</v>
      </c>
      <c r="I19" s="54">
        <v>4</v>
      </c>
      <c r="J19" s="54">
        <v>7</v>
      </c>
      <c r="K19" s="54">
        <v>6</v>
      </c>
      <c r="L19" s="54">
        <v>10</v>
      </c>
      <c r="M19" s="54">
        <v>4</v>
      </c>
      <c r="N19" s="54">
        <v>4</v>
      </c>
      <c r="O19" s="54">
        <v>8</v>
      </c>
      <c r="P19" s="54">
        <v>6</v>
      </c>
      <c r="Q19" s="54">
        <v>12</v>
      </c>
      <c r="R19" s="54">
        <v>2</v>
      </c>
      <c r="S19" s="54">
        <v>6</v>
      </c>
      <c r="T19" s="54">
        <v>4</v>
      </c>
      <c r="U19" s="54">
        <v>5</v>
      </c>
      <c r="V19" s="54">
        <v>3</v>
      </c>
      <c r="W19" s="54">
        <v>3</v>
      </c>
      <c r="X19" s="54">
        <v>6</v>
      </c>
      <c r="Y19" s="54">
        <v>6</v>
      </c>
      <c r="Z19" s="54">
        <v>8</v>
      </c>
      <c r="AA19" s="54">
        <v>5</v>
      </c>
      <c r="AB19" s="54">
        <v>10</v>
      </c>
      <c r="AC19" s="54">
        <v>13</v>
      </c>
      <c r="AD19" s="54">
        <v>4</v>
      </c>
      <c r="AE19" s="54">
        <v>3</v>
      </c>
      <c r="AF19" s="54">
        <v>4</v>
      </c>
      <c r="AG19" s="5">
        <f t="shared" si="2"/>
        <v>200</v>
      </c>
    </row>
    <row r="20" spans="1:33" ht="18.75" x14ac:dyDescent="0.25">
      <c r="A20" s="56" t="s">
        <v>19</v>
      </c>
      <c r="B20" s="54">
        <v>3</v>
      </c>
      <c r="C20" s="54">
        <v>9</v>
      </c>
      <c r="D20" s="54">
        <v>5</v>
      </c>
      <c r="E20" s="54">
        <v>5</v>
      </c>
      <c r="F20" s="54">
        <v>6</v>
      </c>
      <c r="G20" s="54">
        <v>3</v>
      </c>
      <c r="H20" s="54">
        <v>1</v>
      </c>
      <c r="I20" s="54">
        <v>3</v>
      </c>
      <c r="J20" s="54">
        <v>2</v>
      </c>
      <c r="K20" s="54">
        <v>8</v>
      </c>
      <c r="L20" s="54">
        <v>1</v>
      </c>
      <c r="M20" s="54">
        <v>1</v>
      </c>
      <c r="N20" s="54">
        <v>4</v>
      </c>
      <c r="O20" s="54">
        <v>6</v>
      </c>
      <c r="P20" s="54">
        <v>2</v>
      </c>
      <c r="Q20" s="54">
        <v>3</v>
      </c>
      <c r="R20" s="54">
        <v>4</v>
      </c>
      <c r="S20" s="54">
        <v>4</v>
      </c>
      <c r="T20" s="54">
        <v>2</v>
      </c>
      <c r="U20" s="54">
        <v>0</v>
      </c>
      <c r="V20" s="54">
        <v>5</v>
      </c>
      <c r="W20" s="54">
        <v>2</v>
      </c>
      <c r="X20" s="54">
        <v>3</v>
      </c>
      <c r="Y20" s="54">
        <v>3</v>
      </c>
      <c r="Z20" s="54">
        <v>1</v>
      </c>
      <c r="AA20" s="54">
        <v>2</v>
      </c>
      <c r="AB20" s="54">
        <v>2</v>
      </c>
      <c r="AC20" s="54">
        <v>2</v>
      </c>
      <c r="AD20" s="54">
        <v>6</v>
      </c>
      <c r="AE20" s="54">
        <v>5</v>
      </c>
      <c r="AF20" s="54">
        <v>5</v>
      </c>
      <c r="AG20" s="5">
        <f t="shared" si="2"/>
        <v>108</v>
      </c>
    </row>
    <row r="21" spans="1:33" ht="15.75" customHeight="1" x14ac:dyDescent="0.25">
      <c r="A21" s="56" t="s">
        <v>20</v>
      </c>
      <c r="B21" s="54">
        <v>5</v>
      </c>
      <c r="C21" s="54">
        <v>1</v>
      </c>
      <c r="D21" s="54">
        <v>5</v>
      </c>
      <c r="E21" s="54">
        <v>5</v>
      </c>
      <c r="F21" s="54">
        <v>4</v>
      </c>
      <c r="G21" s="54">
        <v>2</v>
      </c>
      <c r="H21" s="54">
        <v>5</v>
      </c>
      <c r="I21" s="54">
        <v>1</v>
      </c>
      <c r="J21" s="54">
        <v>1</v>
      </c>
      <c r="K21" s="54">
        <v>3</v>
      </c>
      <c r="L21" s="54">
        <v>4</v>
      </c>
      <c r="M21" s="54">
        <v>1</v>
      </c>
      <c r="N21" s="54">
        <v>2</v>
      </c>
      <c r="O21" s="54">
        <v>2</v>
      </c>
      <c r="P21" s="54">
        <v>3</v>
      </c>
      <c r="Q21" s="54">
        <v>2</v>
      </c>
      <c r="R21" s="54">
        <v>2</v>
      </c>
      <c r="S21" s="54">
        <v>4</v>
      </c>
      <c r="T21" s="54">
        <v>2</v>
      </c>
      <c r="U21" s="54">
        <v>3</v>
      </c>
      <c r="V21" s="54">
        <v>1</v>
      </c>
      <c r="W21" s="54">
        <v>3</v>
      </c>
      <c r="X21" s="54">
        <v>3</v>
      </c>
      <c r="Y21" s="54">
        <v>4</v>
      </c>
      <c r="Z21" s="54">
        <v>2</v>
      </c>
      <c r="AA21" s="54">
        <v>3</v>
      </c>
      <c r="AB21" s="54">
        <v>0</v>
      </c>
      <c r="AC21" s="54">
        <v>3</v>
      </c>
      <c r="AD21" s="54">
        <v>6</v>
      </c>
      <c r="AE21" s="54">
        <v>4</v>
      </c>
      <c r="AF21" s="54">
        <v>4</v>
      </c>
      <c r="AG21" s="5">
        <f t="shared" si="2"/>
        <v>90</v>
      </c>
    </row>
    <row r="22" spans="1:33" ht="15.75" customHeight="1" x14ac:dyDescent="0.25">
      <c r="A22" s="56" t="s">
        <v>21</v>
      </c>
      <c r="B22" s="54">
        <v>2</v>
      </c>
      <c r="C22" s="54">
        <v>2</v>
      </c>
      <c r="D22" s="54">
        <v>2</v>
      </c>
      <c r="E22" s="54">
        <v>1</v>
      </c>
      <c r="F22" s="54">
        <v>0</v>
      </c>
      <c r="G22" s="54">
        <v>3</v>
      </c>
      <c r="H22" s="54">
        <v>2</v>
      </c>
      <c r="I22" s="54">
        <v>0</v>
      </c>
      <c r="J22" s="54">
        <v>1</v>
      </c>
      <c r="K22" s="54">
        <v>0</v>
      </c>
      <c r="L22" s="54">
        <v>4</v>
      </c>
      <c r="M22" s="54">
        <v>2</v>
      </c>
      <c r="N22" s="54">
        <v>2</v>
      </c>
      <c r="O22" s="54">
        <v>1</v>
      </c>
      <c r="P22" s="54">
        <v>1</v>
      </c>
      <c r="Q22" s="54">
        <v>4</v>
      </c>
      <c r="R22" s="54">
        <v>2</v>
      </c>
      <c r="S22" s="54">
        <v>1</v>
      </c>
      <c r="T22" s="54">
        <v>0</v>
      </c>
      <c r="U22" s="54">
        <v>2</v>
      </c>
      <c r="V22" s="54">
        <v>1</v>
      </c>
      <c r="W22" s="54">
        <v>0</v>
      </c>
      <c r="X22" s="54">
        <v>1</v>
      </c>
      <c r="Y22" s="54">
        <v>3</v>
      </c>
      <c r="Z22" s="54">
        <v>2</v>
      </c>
      <c r="AA22" s="54">
        <v>3</v>
      </c>
      <c r="AB22" s="54">
        <v>1</v>
      </c>
      <c r="AC22" s="54">
        <v>3</v>
      </c>
      <c r="AD22" s="54">
        <v>1</v>
      </c>
      <c r="AE22" s="54">
        <v>4</v>
      </c>
      <c r="AF22" s="54">
        <v>3</v>
      </c>
      <c r="AG22" s="5">
        <f t="shared" si="2"/>
        <v>54</v>
      </c>
    </row>
    <row r="23" spans="1:33" ht="15.75" customHeight="1" x14ac:dyDescent="0.25">
      <c r="A23" s="56" t="s">
        <v>22</v>
      </c>
      <c r="B23" s="54">
        <v>0</v>
      </c>
      <c r="C23" s="54">
        <v>1</v>
      </c>
      <c r="D23" s="54">
        <v>0</v>
      </c>
      <c r="E23" s="54">
        <v>3</v>
      </c>
      <c r="F23" s="54">
        <v>0</v>
      </c>
      <c r="G23" s="54">
        <v>0</v>
      </c>
      <c r="H23" s="54">
        <v>2</v>
      </c>
      <c r="I23" s="54">
        <v>0</v>
      </c>
      <c r="J23" s="54">
        <v>2</v>
      </c>
      <c r="K23" s="54">
        <v>0</v>
      </c>
      <c r="L23" s="54">
        <v>2</v>
      </c>
      <c r="M23" s="54">
        <v>2</v>
      </c>
      <c r="N23" s="54">
        <v>1</v>
      </c>
      <c r="O23" s="54">
        <v>1</v>
      </c>
      <c r="P23" s="54">
        <v>0</v>
      </c>
      <c r="Q23" s="54">
        <v>6</v>
      </c>
      <c r="R23" s="54">
        <v>0</v>
      </c>
      <c r="S23" s="54">
        <v>2</v>
      </c>
      <c r="T23" s="54">
        <v>4</v>
      </c>
      <c r="U23" s="54">
        <v>1</v>
      </c>
      <c r="V23" s="54">
        <v>1</v>
      </c>
      <c r="W23" s="54">
        <v>1</v>
      </c>
      <c r="X23" s="54">
        <v>2</v>
      </c>
      <c r="Y23" s="54">
        <v>1</v>
      </c>
      <c r="Z23" s="54">
        <v>0</v>
      </c>
      <c r="AA23" s="54">
        <v>0</v>
      </c>
      <c r="AB23" s="54">
        <v>2</v>
      </c>
      <c r="AC23" s="54">
        <v>3</v>
      </c>
      <c r="AD23" s="54">
        <v>3</v>
      </c>
      <c r="AE23" s="54">
        <v>2</v>
      </c>
      <c r="AF23" s="54">
        <v>0</v>
      </c>
      <c r="AG23" s="5">
        <f t="shared" si="2"/>
        <v>42</v>
      </c>
    </row>
    <row r="24" spans="1:33" ht="15.75" customHeight="1" x14ac:dyDescent="0.25">
      <c r="A24" s="56" t="s">
        <v>23</v>
      </c>
      <c r="B24" s="54">
        <v>2</v>
      </c>
      <c r="C24" s="54">
        <v>1</v>
      </c>
      <c r="D24" s="54">
        <v>2</v>
      </c>
      <c r="E24" s="54">
        <v>1</v>
      </c>
      <c r="F24" s="54">
        <v>2</v>
      </c>
      <c r="G24" s="54">
        <v>0</v>
      </c>
      <c r="H24" s="54">
        <v>1</v>
      </c>
      <c r="I24" s="54">
        <v>1</v>
      </c>
      <c r="J24" s="54">
        <v>3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1</v>
      </c>
      <c r="R24" s="54">
        <v>1</v>
      </c>
      <c r="S24" s="54">
        <v>1</v>
      </c>
      <c r="T24" s="54">
        <v>1</v>
      </c>
      <c r="U24" s="54">
        <v>1</v>
      </c>
      <c r="V24" s="54">
        <v>1</v>
      </c>
      <c r="W24" s="54">
        <v>1</v>
      </c>
      <c r="X24" s="54">
        <v>1</v>
      </c>
      <c r="Y24" s="54">
        <v>4</v>
      </c>
      <c r="Z24" s="54">
        <v>0</v>
      </c>
      <c r="AA24" s="54">
        <v>0</v>
      </c>
      <c r="AB24" s="54">
        <v>1</v>
      </c>
      <c r="AC24" s="54">
        <v>0</v>
      </c>
      <c r="AD24" s="54">
        <v>1</v>
      </c>
      <c r="AE24" s="54">
        <v>1</v>
      </c>
      <c r="AF24" s="54">
        <v>5</v>
      </c>
      <c r="AG24" s="5">
        <f t="shared" si="2"/>
        <v>33</v>
      </c>
    </row>
    <row r="25" spans="1:33" ht="15.75" customHeight="1" x14ac:dyDescent="0.25">
      <c r="A25" s="56" t="s">
        <v>24</v>
      </c>
      <c r="B25" s="54">
        <v>1</v>
      </c>
      <c r="C25" s="54">
        <v>1</v>
      </c>
      <c r="D25" s="54">
        <v>1</v>
      </c>
      <c r="E25" s="54">
        <v>0</v>
      </c>
      <c r="F25" s="54">
        <v>0</v>
      </c>
      <c r="G25" s="54">
        <v>0</v>
      </c>
      <c r="H25" s="54">
        <v>0</v>
      </c>
      <c r="I25" s="54">
        <v>0</v>
      </c>
      <c r="J25" s="54">
        <v>0</v>
      </c>
      <c r="K25" s="54">
        <v>3</v>
      </c>
      <c r="L25" s="54">
        <v>0</v>
      </c>
      <c r="M25" s="54">
        <v>0</v>
      </c>
      <c r="N25" s="54">
        <v>3</v>
      </c>
      <c r="O25" s="54">
        <v>0</v>
      </c>
      <c r="P25" s="54">
        <v>0</v>
      </c>
      <c r="Q25" s="54">
        <v>0</v>
      </c>
      <c r="R25" s="54">
        <v>3</v>
      </c>
      <c r="S25" s="54">
        <v>1</v>
      </c>
      <c r="T25" s="54">
        <v>0</v>
      </c>
      <c r="U25" s="54">
        <v>0</v>
      </c>
      <c r="V25" s="54">
        <v>0</v>
      </c>
      <c r="W25" s="54">
        <v>2</v>
      </c>
      <c r="X25" s="54">
        <v>1</v>
      </c>
      <c r="Y25" s="54">
        <v>2</v>
      </c>
      <c r="Z25" s="54">
        <v>1</v>
      </c>
      <c r="AA25" s="54">
        <v>1</v>
      </c>
      <c r="AB25" s="54">
        <v>1</v>
      </c>
      <c r="AC25" s="54">
        <v>1</v>
      </c>
      <c r="AD25" s="54">
        <v>0</v>
      </c>
      <c r="AE25" s="54">
        <v>3</v>
      </c>
      <c r="AF25" s="54">
        <v>1</v>
      </c>
      <c r="AG25" s="5">
        <f t="shared" si="2"/>
        <v>26</v>
      </c>
    </row>
    <row r="26" spans="1:33" ht="15.75" customHeight="1" x14ac:dyDescent="0.25">
      <c r="A26" s="56" t="s">
        <v>25</v>
      </c>
      <c r="B26" s="54">
        <v>0</v>
      </c>
      <c r="C26" s="54">
        <v>1</v>
      </c>
      <c r="D26" s="54">
        <v>0</v>
      </c>
      <c r="E26" s="54">
        <v>5</v>
      </c>
      <c r="F26" s="54">
        <v>1</v>
      </c>
      <c r="G26" s="54">
        <v>1</v>
      </c>
      <c r="H26" s="54">
        <v>0</v>
      </c>
      <c r="I26" s="54">
        <v>0</v>
      </c>
      <c r="J26" s="54">
        <v>0</v>
      </c>
      <c r="K26" s="54">
        <v>3</v>
      </c>
      <c r="L26" s="54">
        <v>0</v>
      </c>
      <c r="M26" s="54">
        <v>1</v>
      </c>
      <c r="N26" s="54">
        <v>0</v>
      </c>
      <c r="O26" s="54">
        <v>1</v>
      </c>
      <c r="P26" s="54">
        <v>0</v>
      </c>
      <c r="Q26" s="54">
        <v>0</v>
      </c>
      <c r="R26" s="54">
        <v>0</v>
      </c>
      <c r="S26" s="54">
        <v>0</v>
      </c>
      <c r="T26" s="54">
        <v>0</v>
      </c>
      <c r="U26" s="54">
        <v>2</v>
      </c>
      <c r="V26" s="54">
        <v>0</v>
      </c>
      <c r="W26" s="54">
        <v>1</v>
      </c>
      <c r="X26" s="54">
        <v>3</v>
      </c>
      <c r="Y26" s="54">
        <v>2</v>
      </c>
      <c r="Z26" s="54">
        <v>0</v>
      </c>
      <c r="AA26" s="54">
        <v>1</v>
      </c>
      <c r="AB26" s="54">
        <v>0</v>
      </c>
      <c r="AC26" s="54">
        <v>0</v>
      </c>
      <c r="AD26" s="54">
        <v>1</v>
      </c>
      <c r="AE26" s="54">
        <v>3</v>
      </c>
      <c r="AF26" s="54">
        <v>3</v>
      </c>
      <c r="AG26" s="5">
        <f t="shared" si="2"/>
        <v>29</v>
      </c>
    </row>
    <row r="27" spans="1:33" ht="15.75" customHeight="1" thickBot="1" x14ac:dyDescent="0.3">
      <c r="A27" s="57" t="s">
        <v>26</v>
      </c>
      <c r="B27" s="58">
        <v>0</v>
      </c>
      <c r="C27" s="58">
        <v>2</v>
      </c>
      <c r="D27" s="58">
        <v>1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3</v>
      </c>
      <c r="K27" s="58">
        <v>0</v>
      </c>
      <c r="L27" s="58">
        <v>0</v>
      </c>
      <c r="M27" s="58">
        <v>0</v>
      </c>
      <c r="N27" s="58">
        <v>0</v>
      </c>
      <c r="O27" s="58">
        <v>0</v>
      </c>
      <c r="P27" s="58">
        <v>0</v>
      </c>
      <c r="Q27" s="58">
        <v>2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2</v>
      </c>
      <c r="Y27" s="58">
        <v>0</v>
      </c>
      <c r="Z27" s="58">
        <v>0</v>
      </c>
      <c r="AA27" s="58">
        <v>0</v>
      </c>
      <c r="AB27" s="58">
        <v>0</v>
      </c>
      <c r="AC27" s="58">
        <v>0</v>
      </c>
      <c r="AD27" s="58">
        <v>1</v>
      </c>
      <c r="AE27" s="58">
        <v>0</v>
      </c>
      <c r="AF27" s="58">
        <v>5</v>
      </c>
      <c r="AG27" s="5">
        <f t="shared" si="2"/>
        <v>16</v>
      </c>
    </row>
    <row r="28" spans="1:33" ht="15.75" customHeight="1" x14ac:dyDescent="0.25">
      <c r="A28" s="59" t="s">
        <v>27</v>
      </c>
      <c r="B28" s="6">
        <f t="shared" ref="B28:AF28" si="3">SUM(B29:B52)</f>
        <v>135</v>
      </c>
      <c r="C28" s="6">
        <f t="shared" si="3"/>
        <v>171</v>
      </c>
      <c r="D28" s="6">
        <f t="shared" si="3"/>
        <v>175</v>
      </c>
      <c r="E28" s="6">
        <f t="shared" si="3"/>
        <v>141</v>
      </c>
      <c r="F28" s="6">
        <f t="shared" si="3"/>
        <v>128</v>
      </c>
      <c r="G28" s="6">
        <f t="shared" si="3"/>
        <v>117</v>
      </c>
      <c r="H28" s="6">
        <f t="shared" si="3"/>
        <v>116</v>
      </c>
      <c r="I28" s="6">
        <f t="shared" si="3"/>
        <v>111</v>
      </c>
      <c r="J28" s="6">
        <f t="shared" si="3"/>
        <v>185</v>
      </c>
      <c r="K28" s="6">
        <f t="shared" si="3"/>
        <v>177</v>
      </c>
      <c r="L28" s="6">
        <f t="shared" si="3"/>
        <v>149</v>
      </c>
      <c r="M28" s="6">
        <f t="shared" si="3"/>
        <v>111</v>
      </c>
      <c r="N28" s="6">
        <f t="shared" si="3"/>
        <v>121</v>
      </c>
      <c r="O28" s="6">
        <f t="shared" si="3"/>
        <v>148</v>
      </c>
      <c r="P28" s="6">
        <f t="shared" si="3"/>
        <v>123</v>
      </c>
      <c r="Q28" s="6">
        <f t="shared" si="3"/>
        <v>212</v>
      </c>
      <c r="R28" s="6">
        <f t="shared" si="3"/>
        <v>168</v>
      </c>
      <c r="S28" s="6">
        <f t="shared" si="3"/>
        <v>156</v>
      </c>
      <c r="T28" s="6">
        <f t="shared" si="3"/>
        <v>139</v>
      </c>
      <c r="U28" s="6">
        <f t="shared" si="3"/>
        <v>94</v>
      </c>
      <c r="V28" s="6">
        <f t="shared" si="3"/>
        <v>129</v>
      </c>
      <c r="W28" s="6">
        <f t="shared" si="3"/>
        <v>132</v>
      </c>
      <c r="X28" s="6">
        <f t="shared" si="3"/>
        <v>186</v>
      </c>
      <c r="Y28" s="6">
        <f t="shared" si="3"/>
        <v>174</v>
      </c>
      <c r="Z28" s="6">
        <f t="shared" si="3"/>
        <v>153</v>
      </c>
      <c r="AA28" s="6">
        <f t="shared" si="3"/>
        <v>123</v>
      </c>
      <c r="AB28" s="6">
        <f t="shared" si="3"/>
        <v>145</v>
      </c>
      <c r="AC28" s="6">
        <f t="shared" si="3"/>
        <v>129</v>
      </c>
      <c r="AD28" s="6">
        <f t="shared" si="3"/>
        <v>180</v>
      </c>
      <c r="AE28" s="6">
        <f t="shared" si="3"/>
        <v>172</v>
      </c>
      <c r="AF28" s="6">
        <f t="shared" si="3"/>
        <v>171</v>
      </c>
      <c r="AG28" s="7">
        <f t="shared" si="2"/>
        <v>4571</v>
      </c>
    </row>
    <row r="29" spans="1:33" ht="15.75" customHeight="1" x14ac:dyDescent="0.25">
      <c r="A29" s="53" t="s">
        <v>3</v>
      </c>
      <c r="B29" s="54">
        <v>0</v>
      </c>
      <c r="C29" s="55">
        <v>4</v>
      </c>
      <c r="D29" s="55">
        <v>3</v>
      </c>
      <c r="E29" s="55">
        <v>0</v>
      </c>
      <c r="F29" s="55">
        <v>0</v>
      </c>
      <c r="G29" s="55">
        <v>0</v>
      </c>
      <c r="H29" s="55">
        <v>0</v>
      </c>
      <c r="I29" s="55">
        <v>0</v>
      </c>
      <c r="J29" s="55">
        <v>4</v>
      </c>
      <c r="K29" s="55">
        <v>3</v>
      </c>
      <c r="L29" s="55">
        <v>0</v>
      </c>
      <c r="M29" s="55">
        <v>0</v>
      </c>
      <c r="N29" s="55">
        <v>0</v>
      </c>
      <c r="O29" s="55">
        <v>0</v>
      </c>
      <c r="P29" s="55">
        <v>0</v>
      </c>
      <c r="Q29" s="55">
        <v>5</v>
      </c>
      <c r="R29" s="55">
        <v>2</v>
      </c>
      <c r="S29" s="55">
        <v>0</v>
      </c>
      <c r="T29" s="55">
        <v>0</v>
      </c>
      <c r="U29" s="55">
        <v>0</v>
      </c>
      <c r="V29" s="55">
        <v>0</v>
      </c>
      <c r="W29" s="55">
        <v>0</v>
      </c>
      <c r="X29" s="55">
        <v>0</v>
      </c>
      <c r="Y29" s="55">
        <v>0</v>
      </c>
      <c r="Z29" s="55">
        <v>0</v>
      </c>
      <c r="AA29" s="55">
        <v>0</v>
      </c>
      <c r="AB29" s="55">
        <v>0</v>
      </c>
      <c r="AC29" s="55">
        <v>0</v>
      </c>
      <c r="AD29" s="54">
        <v>6</v>
      </c>
      <c r="AE29" s="54">
        <v>2</v>
      </c>
      <c r="AF29" s="54">
        <v>2</v>
      </c>
      <c r="AG29" s="5">
        <f t="shared" si="2"/>
        <v>31</v>
      </c>
    </row>
    <row r="30" spans="1:33" ht="15.75" customHeight="1" x14ac:dyDescent="0.25">
      <c r="A30" s="56" t="s">
        <v>4</v>
      </c>
      <c r="B30" s="54">
        <v>0</v>
      </c>
      <c r="C30" s="54">
        <v>10</v>
      </c>
      <c r="D30" s="54">
        <v>5</v>
      </c>
      <c r="E30" s="54">
        <v>0</v>
      </c>
      <c r="F30" s="54">
        <v>0</v>
      </c>
      <c r="G30" s="54">
        <v>0</v>
      </c>
      <c r="H30" s="54">
        <v>0</v>
      </c>
      <c r="I30" s="54">
        <v>0</v>
      </c>
      <c r="J30" s="54">
        <v>13</v>
      </c>
      <c r="K30" s="54">
        <v>5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5</v>
      </c>
      <c r="R30" s="54">
        <v>3</v>
      </c>
      <c r="S30" s="54">
        <v>0</v>
      </c>
      <c r="T30" s="54">
        <v>0</v>
      </c>
      <c r="U30" s="54">
        <v>0</v>
      </c>
      <c r="V30" s="54">
        <v>0</v>
      </c>
      <c r="W30" s="54">
        <v>0</v>
      </c>
      <c r="X30" s="54">
        <v>7</v>
      </c>
      <c r="Y30" s="54">
        <v>3</v>
      </c>
      <c r="Z30" s="54">
        <v>0</v>
      </c>
      <c r="AA30" s="54">
        <v>0</v>
      </c>
      <c r="AB30" s="54">
        <v>0</v>
      </c>
      <c r="AC30" s="54">
        <v>0</v>
      </c>
      <c r="AD30" s="54">
        <v>8</v>
      </c>
      <c r="AE30" s="54">
        <v>6</v>
      </c>
      <c r="AF30" s="54">
        <v>7</v>
      </c>
      <c r="AG30" s="5">
        <f t="shared" si="2"/>
        <v>72</v>
      </c>
    </row>
    <row r="31" spans="1:33" ht="15.75" customHeight="1" x14ac:dyDescent="0.25">
      <c r="A31" s="56" t="s">
        <v>5</v>
      </c>
      <c r="B31" s="54">
        <v>0</v>
      </c>
      <c r="C31" s="54">
        <v>16</v>
      </c>
      <c r="D31" s="54">
        <v>12</v>
      </c>
      <c r="E31" s="54">
        <v>0</v>
      </c>
      <c r="F31" s="54">
        <v>0</v>
      </c>
      <c r="G31" s="54">
        <v>0</v>
      </c>
      <c r="H31" s="54">
        <v>0</v>
      </c>
      <c r="I31" s="54">
        <v>0</v>
      </c>
      <c r="J31" s="54">
        <v>13</v>
      </c>
      <c r="K31" s="54">
        <v>10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15</v>
      </c>
      <c r="R31" s="54">
        <v>14</v>
      </c>
      <c r="S31" s="54">
        <v>0</v>
      </c>
      <c r="T31" s="54">
        <v>0</v>
      </c>
      <c r="U31" s="54">
        <v>0</v>
      </c>
      <c r="V31" s="54">
        <v>0</v>
      </c>
      <c r="W31" s="54">
        <v>0</v>
      </c>
      <c r="X31" s="54">
        <v>14</v>
      </c>
      <c r="Y31" s="54">
        <v>6</v>
      </c>
      <c r="Z31" s="54">
        <v>0</v>
      </c>
      <c r="AA31" s="54">
        <v>0</v>
      </c>
      <c r="AB31" s="54">
        <v>0</v>
      </c>
      <c r="AC31" s="54">
        <v>0</v>
      </c>
      <c r="AD31" s="54">
        <v>10</v>
      </c>
      <c r="AE31" s="54">
        <v>11</v>
      </c>
      <c r="AF31" s="54">
        <v>8</v>
      </c>
      <c r="AG31" s="5">
        <f t="shared" si="2"/>
        <v>129</v>
      </c>
    </row>
    <row r="32" spans="1:33" ht="15.75" customHeight="1" x14ac:dyDescent="0.25">
      <c r="A32" s="56" t="s">
        <v>6</v>
      </c>
      <c r="B32" s="54">
        <v>0</v>
      </c>
      <c r="C32" s="54">
        <v>13</v>
      </c>
      <c r="D32" s="54">
        <v>9</v>
      </c>
      <c r="E32" s="54">
        <v>0</v>
      </c>
      <c r="F32" s="54">
        <v>0</v>
      </c>
      <c r="G32" s="54">
        <v>0</v>
      </c>
      <c r="H32" s="54">
        <v>0</v>
      </c>
      <c r="I32" s="54">
        <v>0</v>
      </c>
      <c r="J32" s="54">
        <v>14</v>
      </c>
      <c r="K32" s="54">
        <v>11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17</v>
      </c>
      <c r="R32" s="54">
        <v>10</v>
      </c>
      <c r="S32" s="54">
        <v>0</v>
      </c>
      <c r="T32" s="54">
        <v>0</v>
      </c>
      <c r="U32" s="54">
        <v>0</v>
      </c>
      <c r="V32" s="54">
        <v>0</v>
      </c>
      <c r="W32" s="54">
        <v>0</v>
      </c>
      <c r="X32" s="54">
        <v>10</v>
      </c>
      <c r="Y32" s="54">
        <v>10</v>
      </c>
      <c r="Z32" s="54">
        <v>0</v>
      </c>
      <c r="AA32" s="54">
        <v>0</v>
      </c>
      <c r="AB32" s="54">
        <v>0</v>
      </c>
      <c r="AC32" s="54">
        <v>0</v>
      </c>
      <c r="AD32" s="54">
        <v>14</v>
      </c>
      <c r="AE32" s="54">
        <v>8</v>
      </c>
      <c r="AF32" s="54">
        <v>6</v>
      </c>
      <c r="AG32" s="5">
        <f t="shared" si="2"/>
        <v>122</v>
      </c>
    </row>
    <row r="33" spans="1:33" ht="15.75" customHeight="1" x14ac:dyDescent="0.25">
      <c r="A33" s="56" t="s">
        <v>7</v>
      </c>
      <c r="B33" s="54">
        <v>0</v>
      </c>
      <c r="C33" s="54">
        <v>11</v>
      </c>
      <c r="D33" s="54">
        <v>16</v>
      </c>
      <c r="E33" s="54">
        <v>0</v>
      </c>
      <c r="F33" s="54">
        <v>0</v>
      </c>
      <c r="G33" s="54">
        <v>0</v>
      </c>
      <c r="H33" s="54">
        <v>0</v>
      </c>
      <c r="I33" s="54">
        <v>0</v>
      </c>
      <c r="J33" s="54">
        <v>8</v>
      </c>
      <c r="K33" s="54">
        <v>13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7</v>
      </c>
      <c r="R33" s="54">
        <v>16</v>
      </c>
      <c r="S33" s="54">
        <v>0</v>
      </c>
      <c r="T33" s="54">
        <v>0</v>
      </c>
      <c r="U33" s="54">
        <v>0</v>
      </c>
      <c r="V33" s="54">
        <v>0</v>
      </c>
      <c r="W33" s="54">
        <v>0</v>
      </c>
      <c r="X33" s="54">
        <v>13</v>
      </c>
      <c r="Y33" s="54">
        <v>12</v>
      </c>
      <c r="Z33" s="54">
        <v>0</v>
      </c>
      <c r="AA33" s="54">
        <v>0</v>
      </c>
      <c r="AB33" s="54">
        <v>0</v>
      </c>
      <c r="AC33" s="54">
        <v>0</v>
      </c>
      <c r="AD33" s="54">
        <v>17</v>
      </c>
      <c r="AE33" s="54">
        <v>6</v>
      </c>
      <c r="AF33" s="54">
        <v>10</v>
      </c>
      <c r="AG33" s="5">
        <f t="shared" si="2"/>
        <v>129</v>
      </c>
    </row>
    <row r="34" spans="1:33" ht="15.75" customHeight="1" x14ac:dyDescent="0.25">
      <c r="A34" s="56" t="s">
        <v>8</v>
      </c>
      <c r="B34" s="54">
        <v>0</v>
      </c>
      <c r="C34" s="54">
        <v>7</v>
      </c>
      <c r="D34" s="54">
        <v>10</v>
      </c>
      <c r="E34" s="54">
        <v>0</v>
      </c>
      <c r="F34" s="54">
        <v>0</v>
      </c>
      <c r="G34" s="54">
        <v>0</v>
      </c>
      <c r="H34" s="54">
        <v>0</v>
      </c>
      <c r="I34" s="54">
        <v>0</v>
      </c>
      <c r="J34" s="54">
        <v>12</v>
      </c>
      <c r="K34" s="54">
        <v>8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17</v>
      </c>
      <c r="R34" s="54">
        <v>8</v>
      </c>
      <c r="S34" s="54">
        <v>0</v>
      </c>
      <c r="T34" s="54">
        <v>0</v>
      </c>
      <c r="U34" s="54">
        <v>0</v>
      </c>
      <c r="V34" s="54">
        <v>0</v>
      </c>
      <c r="W34" s="54">
        <v>0</v>
      </c>
      <c r="X34" s="54">
        <v>6</v>
      </c>
      <c r="Y34" s="54">
        <v>13</v>
      </c>
      <c r="Z34" s="54">
        <v>0</v>
      </c>
      <c r="AA34" s="54">
        <v>0</v>
      </c>
      <c r="AB34" s="54">
        <v>0</v>
      </c>
      <c r="AC34" s="54">
        <v>0</v>
      </c>
      <c r="AD34" s="54">
        <v>8</v>
      </c>
      <c r="AE34" s="54">
        <v>6</v>
      </c>
      <c r="AF34" s="54">
        <v>6</v>
      </c>
      <c r="AG34" s="5">
        <f t="shared" si="2"/>
        <v>101</v>
      </c>
    </row>
    <row r="35" spans="1:33" ht="15.75" customHeight="1" x14ac:dyDescent="0.25">
      <c r="A35" s="56" t="s">
        <v>9</v>
      </c>
      <c r="B35" s="54">
        <v>0</v>
      </c>
      <c r="C35" s="54">
        <v>11</v>
      </c>
      <c r="D35" s="54">
        <v>7</v>
      </c>
      <c r="E35" s="54">
        <v>0</v>
      </c>
      <c r="F35" s="54">
        <v>0</v>
      </c>
      <c r="G35" s="54">
        <v>0</v>
      </c>
      <c r="H35" s="54">
        <v>0</v>
      </c>
      <c r="I35" s="54">
        <v>0</v>
      </c>
      <c r="J35" s="54">
        <v>6</v>
      </c>
      <c r="K35" s="54">
        <v>13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10</v>
      </c>
      <c r="R35" s="54">
        <v>9</v>
      </c>
      <c r="S35" s="54">
        <v>0</v>
      </c>
      <c r="T35" s="54">
        <v>0</v>
      </c>
      <c r="U35" s="54">
        <v>0</v>
      </c>
      <c r="V35" s="54">
        <v>0</v>
      </c>
      <c r="W35" s="54">
        <v>0</v>
      </c>
      <c r="X35" s="54">
        <v>9</v>
      </c>
      <c r="Y35" s="54">
        <v>17</v>
      </c>
      <c r="Z35" s="54">
        <v>0</v>
      </c>
      <c r="AA35" s="54">
        <v>0</v>
      </c>
      <c r="AB35" s="54">
        <v>0</v>
      </c>
      <c r="AC35" s="54">
        <v>0</v>
      </c>
      <c r="AD35" s="54">
        <v>10</v>
      </c>
      <c r="AE35" s="54">
        <v>8</v>
      </c>
      <c r="AF35" s="54">
        <v>8</v>
      </c>
      <c r="AG35" s="5">
        <f t="shared" si="2"/>
        <v>108</v>
      </c>
    </row>
    <row r="36" spans="1:33" ht="15.75" customHeight="1" x14ac:dyDescent="0.25">
      <c r="A36" s="56" t="s">
        <v>10</v>
      </c>
      <c r="B36" s="54">
        <v>0</v>
      </c>
      <c r="C36" s="54">
        <v>11</v>
      </c>
      <c r="D36" s="54">
        <v>9</v>
      </c>
      <c r="E36" s="54">
        <v>0</v>
      </c>
      <c r="F36" s="54">
        <v>0</v>
      </c>
      <c r="G36" s="54">
        <v>0</v>
      </c>
      <c r="H36" s="54">
        <v>0</v>
      </c>
      <c r="I36" s="54">
        <v>0</v>
      </c>
      <c r="J36" s="54">
        <v>19</v>
      </c>
      <c r="K36" s="54">
        <v>7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19</v>
      </c>
      <c r="R36" s="54">
        <v>7</v>
      </c>
      <c r="S36" s="54">
        <v>0</v>
      </c>
      <c r="T36" s="54">
        <v>0</v>
      </c>
      <c r="U36" s="54">
        <v>0</v>
      </c>
      <c r="V36" s="54">
        <v>0</v>
      </c>
      <c r="W36" s="54">
        <v>0</v>
      </c>
      <c r="X36" s="54">
        <v>9</v>
      </c>
      <c r="Y36" s="54">
        <v>8</v>
      </c>
      <c r="Z36" s="54">
        <v>0</v>
      </c>
      <c r="AA36" s="54">
        <v>0</v>
      </c>
      <c r="AB36" s="54">
        <v>0</v>
      </c>
      <c r="AC36" s="54">
        <v>0</v>
      </c>
      <c r="AD36" s="54">
        <v>9</v>
      </c>
      <c r="AE36" s="54">
        <v>9</v>
      </c>
      <c r="AF36" s="54">
        <v>12</v>
      </c>
      <c r="AG36" s="5">
        <f t="shared" si="2"/>
        <v>119</v>
      </c>
    </row>
    <row r="37" spans="1:33" ht="15.75" customHeight="1" x14ac:dyDescent="0.25">
      <c r="A37" s="56" t="s">
        <v>11</v>
      </c>
      <c r="B37" s="54">
        <v>5</v>
      </c>
      <c r="C37" s="54">
        <v>8</v>
      </c>
      <c r="D37" s="54">
        <v>12</v>
      </c>
      <c r="E37" s="54">
        <v>0</v>
      </c>
      <c r="F37" s="54">
        <v>0</v>
      </c>
      <c r="G37" s="54">
        <v>0</v>
      </c>
      <c r="H37" s="54">
        <v>0</v>
      </c>
      <c r="I37" s="54">
        <v>5</v>
      </c>
      <c r="J37" s="54">
        <v>6</v>
      </c>
      <c r="K37" s="54">
        <v>8</v>
      </c>
      <c r="L37" s="54">
        <v>0</v>
      </c>
      <c r="M37" s="54">
        <v>0</v>
      </c>
      <c r="N37" s="54">
        <v>0</v>
      </c>
      <c r="O37" s="54">
        <v>0</v>
      </c>
      <c r="P37" s="54">
        <v>6</v>
      </c>
      <c r="Q37" s="54">
        <v>12</v>
      </c>
      <c r="R37" s="54">
        <v>14</v>
      </c>
      <c r="S37" s="54">
        <v>0</v>
      </c>
      <c r="T37" s="54">
        <v>0</v>
      </c>
      <c r="U37" s="54">
        <v>0</v>
      </c>
      <c r="V37" s="54">
        <v>0</v>
      </c>
      <c r="W37" s="54">
        <v>6</v>
      </c>
      <c r="X37" s="54">
        <v>12</v>
      </c>
      <c r="Y37" s="54">
        <v>10</v>
      </c>
      <c r="Z37" s="54">
        <v>0</v>
      </c>
      <c r="AA37" s="54">
        <v>0</v>
      </c>
      <c r="AB37" s="54">
        <v>0</v>
      </c>
      <c r="AC37" s="54">
        <v>0</v>
      </c>
      <c r="AD37" s="54">
        <v>8</v>
      </c>
      <c r="AE37" s="54">
        <v>12</v>
      </c>
      <c r="AF37" s="54">
        <v>8</v>
      </c>
      <c r="AG37" s="5">
        <f t="shared" si="2"/>
        <v>132</v>
      </c>
    </row>
    <row r="38" spans="1:33" ht="15.75" customHeight="1" x14ac:dyDescent="0.25">
      <c r="A38" s="56" t="s">
        <v>12</v>
      </c>
      <c r="B38" s="54">
        <v>12</v>
      </c>
      <c r="C38" s="54">
        <v>13</v>
      </c>
      <c r="D38" s="54">
        <v>9</v>
      </c>
      <c r="E38" s="54">
        <v>13</v>
      </c>
      <c r="F38" s="54">
        <v>8</v>
      </c>
      <c r="G38" s="54">
        <v>10</v>
      </c>
      <c r="H38" s="54">
        <v>5</v>
      </c>
      <c r="I38" s="54">
        <v>10</v>
      </c>
      <c r="J38" s="54">
        <v>15</v>
      </c>
      <c r="K38" s="54">
        <v>11</v>
      </c>
      <c r="L38" s="54">
        <v>13</v>
      </c>
      <c r="M38" s="54">
        <v>4</v>
      </c>
      <c r="N38" s="54">
        <v>8</v>
      </c>
      <c r="O38" s="54">
        <v>10</v>
      </c>
      <c r="P38" s="54">
        <v>8</v>
      </c>
      <c r="Q38" s="54">
        <v>11</v>
      </c>
      <c r="R38" s="54">
        <v>11</v>
      </c>
      <c r="S38" s="54">
        <v>13</v>
      </c>
      <c r="T38" s="54">
        <v>6</v>
      </c>
      <c r="U38" s="54">
        <v>9</v>
      </c>
      <c r="V38" s="54">
        <v>9</v>
      </c>
      <c r="W38" s="54">
        <v>11</v>
      </c>
      <c r="X38" s="54">
        <v>14</v>
      </c>
      <c r="Y38" s="54">
        <v>11</v>
      </c>
      <c r="Z38" s="54">
        <v>13</v>
      </c>
      <c r="AA38" s="54">
        <v>6</v>
      </c>
      <c r="AB38" s="54">
        <v>8</v>
      </c>
      <c r="AC38" s="54">
        <v>11</v>
      </c>
      <c r="AD38" s="54">
        <v>18</v>
      </c>
      <c r="AE38" s="54">
        <v>9</v>
      </c>
      <c r="AF38" s="54">
        <v>13</v>
      </c>
      <c r="AG38" s="5">
        <f t="shared" si="2"/>
        <v>322</v>
      </c>
    </row>
    <row r="39" spans="1:33" ht="15.75" customHeight="1" x14ac:dyDescent="0.25">
      <c r="A39" s="56" t="s">
        <v>13</v>
      </c>
      <c r="B39" s="54">
        <v>15</v>
      </c>
      <c r="C39" s="54">
        <v>8</v>
      </c>
      <c r="D39" s="54">
        <v>12</v>
      </c>
      <c r="E39" s="54">
        <v>19</v>
      </c>
      <c r="F39" s="54">
        <v>25</v>
      </c>
      <c r="G39" s="54">
        <v>22</v>
      </c>
      <c r="H39" s="54">
        <v>11</v>
      </c>
      <c r="I39" s="54">
        <v>14</v>
      </c>
      <c r="J39" s="54">
        <v>10</v>
      </c>
      <c r="K39" s="54">
        <v>7</v>
      </c>
      <c r="L39" s="54">
        <v>17</v>
      </c>
      <c r="M39" s="54">
        <v>7</v>
      </c>
      <c r="N39" s="54">
        <v>18</v>
      </c>
      <c r="O39" s="54">
        <v>16</v>
      </c>
      <c r="P39" s="54">
        <v>18</v>
      </c>
      <c r="Q39" s="54">
        <v>3</v>
      </c>
      <c r="R39" s="54">
        <v>15</v>
      </c>
      <c r="S39" s="54">
        <v>15</v>
      </c>
      <c r="T39" s="54">
        <v>16</v>
      </c>
      <c r="U39" s="54">
        <v>10</v>
      </c>
      <c r="V39" s="54">
        <v>17</v>
      </c>
      <c r="W39" s="54">
        <v>17</v>
      </c>
      <c r="X39" s="54">
        <v>9</v>
      </c>
      <c r="Y39" s="54">
        <v>11</v>
      </c>
      <c r="Z39" s="54">
        <v>20</v>
      </c>
      <c r="AA39" s="54">
        <v>7</v>
      </c>
      <c r="AB39" s="54">
        <v>20</v>
      </c>
      <c r="AC39" s="54">
        <v>19</v>
      </c>
      <c r="AD39" s="54">
        <v>8</v>
      </c>
      <c r="AE39" s="54">
        <v>13</v>
      </c>
      <c r="AF39" s="54">
        <v>10</v>
      </c>
      <c r="AG39" s="5">
        <f t="shared" si="2"/>
        <v>429</v>
      </c>
    </row>
    <row r="40" spans="1:33" ht="15.75" customHeight="1" x14ac:dyDescent="0.25">
      <c r="A40" s="56" t="s">
        <v>14</v>
      </c>
      <c r="B40" s="54">
        <v>18</v>
      </c>
      <c r="C40" s="54">
        <v>2</v>
      </c>
      <c r="D40" s="54">
        <v>11</v>
      </c>
      <c r="E40" s="54">
        <v>22</v>
      </c>
      <c r="F40" s="54">
        <v>18</v>
      </c>
      <c r="G40" s="54">
        <v>18</v>
      </c>
      <c r="H40" s="54">
        <v>19</v>
      </c>
      <c r="I40" s="54">
        <v>17</v>
      </c>
      <c r="J40" s="54">
        <v>2</v>
      </c>
      <c r="K40" s="54">
        <v>17</v>
      </c>
      <c r="L40" s="54">
        <v>23</v>
      </c>
      <c r="M40" s="54">
        <v>14</v>
      </c>
      <c r="N40" s="54">
        <v>22</v>
      </c>
      <c r="O40" s="54">
        <v>14</v>
      </c>
      <c r="P40" s="54">
        <v>19</v>
      </c>
      <c r="Q40" s="54">
        <v>12</v>
      </c>
      <c r="R40" s="54">
        <v>10</v>
      </c>
      <c r="S40" s="54">
        <v>22</v>
      </c>
      <c r="T40" s="54">
        <v>23</v>
      </c>
      <c r="U40" s="54">
        <v>20</v>
      </c>
      <c r="V40" s="54">
        <v>20</v>
      </c>
      <c r="W40" s="54">
        <v>18</v>
      </c>
      <c r="X40" s="54">
        <v>15</v>
      </c>
      <c r="Y40" s="54">
        <v>7</v>
      </c>
      <c r="Z40" s="54">
        <v>25</v>
      </c>
      <c r="AA40" s="54">
        <v>22</v>
      </c>
      <c r="AB40" s="54">
        <v>25</v>
      </c>
      <c r="AC40" s="54">
        <v>20</v>
      </c>
      <c r="AD40" s="54">
        <v>8</v>
      </c>
      <c r="AE40" s="54">
        <v>15</v>
      </c>
      <c r="AF40" s="54">
        <v>9</v>
      </c>
      <c r="AG40" s="5">
        <f t="shared" si="2"/>
        <v>507</v>
      </c>
    </row>
    <row r="41" spans="1:33" ht="15.75" customHeight="1" x14ac:dyDescent="0.25">
      <c r="A41" s="56" t="s">
        <v>15</v>
      </c>
      <c r="B41" s="54">
        <v>22</v>
      </c>
      <c r="C41" s="54">
        <v>7</v>
      </c>
      <c r="D41" s="54">
        <v>12</v>
      </c>
      <c r="E41" s="54">
        <v>20</v>
      </c>
      <c r="F41" s="54">
        <v>14</v>
      </c>
      <c r="G41" s="54">
        <v>21</v>
      </c>
      <c r="H41" s="54">
        <v>18</v>
      </c>
      <c r="I41" s="54">
        <v>22</v>
      </c>
      <c r="J41" s="54">
        <v>17</v>
      </c>
      <c r="K41" s="54">
        <v>14</v>
      </c>
      <c r="L41" s="54">
        <v>25</v>
      </c>
      <c r="M41" s="54">
        <v>19</v>
      </c>
      <c r="N41" s="54">
        <v>24</v>
      </c>
      <c r="O41" s="54">
        <v>29</v>
      </c>
      <c r="P41" s="54">
        <v>19</v>
      </c>
      <c r="Q41" s="54">
        <v>19</v>
      </c>
      <c r="R41" s="54">
        <v>13</v>
      </c>
      <c r="S41" s="54">
        <v>20</v>
      </c>
      <c r="T41" s="54">
        <v>17</v>
      </c>
      <c r="U41" s="54">
        <v>15</v>
      </c>
      <c r="V41" s="54">
        <v>13</v>
      </c>
      <c r="W41" s="54">
        <v>16</v>
      </c>
      <c r="X41" s="54">
        <v>20</v>
      </c>
      <c r="Y41" s="54">
        <v>10</v>
      </c>
      <c r="Z41" s="54">
        <v>26</v>
      </c>
      <c r="AA41" s="54">
        <v>19</v>
      </c>
      <c r="AB41" s="54">
        <v>17</v>
      </c>
      <c r="AC41" s="54">
        <v>20</v>
      </c>
      <c r="AD41" s="54">
        <v>14</v>
      </c>
      <c r="AE41" s="54">
        <v>15</v>
      </c>
      <c r="AF41" s="54">
        <v>8</v>
      </c>
      <c r="AG41" s="5">
        <f t="shared" si="2"/>
        <v>545</v>
      </c>
    </row>
    <row r="42" spans="1:33" ht="15.75" customHeight="1" x14ac:dyDescent="0.25">
      <c r="A42" s="56" t="s">
        <v>16</v>
      </c>
      <c r="B42" s="54">
        <v>16</v>
      </c>
      <c r="C42" s="54">
        <v>11</v>
      </c>
      <c r="D42" s="54">
        <v>9</v>
      </c>
      <c r="E42" s="54">
        <v>16</v>
      </c>
      <c r="F42" s="54">
        <v>11</v>
      </c>
      <c r="G42" s="54">
        <v>14</v>
      </c>
      <c r="H42" s="54">
        <v>19</v>
      </c>
      <c r="I42" s="54">
        <v>19</v>
      </c>
      <c r="J42" s="54">
        <v>12</v>
      </c>
      <c r="K42" s="54">
        <v>12</v>
      </c>
      <c r="L42" s="54">
        <v>26</v>
      </c>
      <c r="M42" s="54">
        <v>17</v>
      </c>
      <c r="N42" s="54">
        <v>16</v>
      </c>
      <c r="O42" s="54">
        <v>23</v>
      </c>
      <c r="P42" s="54">
        <v>13</v>
      </c>
      <c r="Q42" s="54">
        <v>17</v>
      </c>
      <c r="R42" s="54">
        <v>11</v>
      </c>
      <c r="S42" s="54">
        <v>15</v>
      </c>
      <c r="T42" s="54">
        <v>12</v>
      </c>
      <c r="U42" s="54">
        <v>17</v>
      </c>
      <c r="V42" s="54">
        <v>16</v>
      </c>
      <c r="W42" s="54">
        <v>21</v>
      </c>
      <c r="X42" s="54">
        <v>11</v>
      </c>
      <c r="Y42" s="54">
        <v>13</v>
      </c>
      <c r="Z42" s="54">
        <v>19</v>
      </c>
      <c r="AA42" s="54">
        <v>14</v>
      </c>
      <c r="AB42" s="54">
        <v>17</v>
      </c>
      <c r="AC42" s="54">
        <v>16</v>
      </c>
      <c r="AD42" s="54">
        <v>8</v>
      </c>
      <c r="AE42" s="54">
        <v>9</v>
      </c>
      <c r="AF42" s="54">
        <v>10</v>
      </c>
      <c r="AG42" s="5">
        <f t="shared" si="2"/>
        <v>460</v>
      </c>
    </row>
    <row r="43" spans="1:33" ht="15.75" customHeight="1" x14ac:dyDescent="0.25">
      <c r="A43" s="56" t="s">
        <v>17</v>
      </c>
      <c r="B43" s="54">
        <v>8</v>
      </c>
      <c r="C43" s="54">
        <v>9</v>
      </c>
      <c r="D43" s="54">
        <v>8</v>
      </c>
      <c r="E43" s="54">
        <v>11</v>
      </c>
      <c r="F43" s="54">
        <v>13</v>
      </c>
      <c r="G43" s="54">
        <v>7</v>
      </c>
      <c r="H43" s="54">
        <v>14</v>
      </c>
      <c r="I43" s="54">
        <v>13</v>
      </c>
      <c r="J43" s="54">
        <v>11</v>
      </c>
      <c r="K43" s="54">
        <v>5</v>
      </c>
      <c r="L43" s="54">
        <v>16</v>
      </c>
      <c r="M43" s="54">
        <v>24</v>
      </c>
      <c r="N43" s="54">
        <v>9</v>
      </c>
      <c r="O43" s="54">
        <v>25</v>
      </c>
      <c r="P43" s="54">
        <v>10</v>
      </c>
      <c r="Q43" s="54">
        <v>12</v>
      </c>
      <c r="R43" s="54">
        <v>7</v>
      </c>
      <c r="S43" s="54">
        <v>19</v>
      </c>
      <c r="T43" s="54">
        <v>15</v>
      </c>
      <c r="U43" s="54">
        <v>6</v>
      </c>
      <c r="V43" s="54">
        <v>15</v>
      </c>
      <c r="W43" s="54">
        <v>9</v>
      </c>
      <c r="X43" s="54">
        <v>12</v>
      </c>
      <c r="Y43" s="54">
        <v>10</v>
      </c>
      <c r="Z43" s="54">
        <v>11</v>
      </c>
      <c r="AA43" s="54">
        <v>15</v>
      </c>
      <c r="AB43" s="54">
        <v>7</v>
      </c>
      <c r="AC43" s="54">
        <v>7</v>
      </c>
      <c r="AD43" s="54">
        <v>6</v>
      </c>
      <c r="AE43" s="54">
        <v>9</v>
      </c>
      <c r="AF43" s="54">
        <v>15</v>
      </c>
      <c r="AG43" s="5">
        <f t="shared" si="2"/>
        <v>358</v>
      </c>
    </row>
    <row r="44" spans="1:33" ht="15.75" customHeight="1" x14ac:dyDescent="0.25">
      <c r="A44" s="56" t="s">
        <v>18</v>
      </c>
      <c r="B44" s="54">
        <v>10</v>
      </c>
      <c r="C44" s="54">
        <v>7</v>
      </c>
      <c r="D44" s="54">
        <v>10</v>
      </c>
      <c r="E44" s="54">
        <v>4</v>
      </c>
      <c r="F44" s="54">
        <v>11</v>
      </c>
      <c r="G44" s="54">
        <v>7</v>
      </c>
      <c r="H44" s="54">
        <v>11</v>
      </c>
      <c r="I44" s="54">
        <v>4</v>
      </c>
      <c r="J44" s="54">
        <v>8</v>
      </c>
      <c r="K44" s="54">
        <v>11</v>
      </c>
      <c r="L44" s="54">
        <v>11</v>
      </c>
      <c r="M44" s="54">
        <v>13</v>
      </c>
      <c r="N44" s="54">
        <v>8</v>
      </c>
      <c r="O44" s="54">
        <v>9</v>
      </c>
      <c r="P44" s="54">
        <v>9</v>
      </c>
      <c r="Q44" s="54">
        <v>5</v>
      </c>
      <c r="R44" s="54">
        <v>6</v>
      </c>
      <c r="S44" s="54">
        <v>13</v>
      </c>
      <c r="T44" s="54">
        <v>13</v>
      </c>
      <c r="U44" s="54">
        <v>7</v>
      </c>
      <c r="V44" s="54">
        <v>9</v>
      </c>
      <c r="W44" s="54">
        <v>5</v>
      </c>
      <c r="X44" s="54">
        <v>5</v>
      </c>
      <c r="Y44" s="54">
        <v>13</v>
      </c>
      <c r="Z44" s="54">
        <v>9</v>
      </c>
      <c r="AA44" s="54">
        <v>7</v>
      </c>
      <c r="AB44" s="54">
        <v>10</v>
      </c>
      <c r="AC44" s="54">
        <v>8</v>
      </c>
      <c r="AD44" s="54">
        <v>8</v>
      </c>
      <c r="AE44" s="54">
        <v>8</v>
      </c>
      <c r="AF44" s="54">
        <v>10</v>
      </c>
      <c r="AG44" s="5">
        <f t="shared" si="2"/>
        <v>269</v>
      </c>
    </row>
    <row r="45" spans="1:33" ht="15.75" customHeight="1" x14ac:dyDescent="0.25">
      <c r="A45" s="56" t="s">
        <v>19</v>
      </c>
      <c r="B45" s="54">
        <v>10</v>
      </c>
      <c r="C45" s="54">
        <v>4</v>
      </c>
      <c r="D45" s="54">
        <v>9</v>
      </c>
      <c r="E45" s="54">
        <v>10</v>
      </c>
      <c r="F45" s="54">
        <v>12</v>
      </c>
      <c r="G45" s="54">
        <v>5</v>
      </c>
      <c r="H45" s="54">
        <v>8</v>
      </c>
      <c r="I45" s="54">
        <v>2</v>
      </c>
      <c r="J45" s="54">
        <v>3</v>
      </c>
      <c r="K45" s="54">
        <v>11</v>
      </c>
      <c r="L45" s="54">
        <v>8</v>
      </c>
      <c r="M45" s="54">
        <v>3</v>
      </c>
      <c r="N45" s="54">
        <v>7</v>
      </c>
      <c r="O45" s="54">
        <v>11</v>
      </c>
      <c r="P45" s="54">
        <v>8</v>
      </c>
      <c r="Q45" s="54">
        <v>8</v>
      </c>
      <c r="R45" s="54">
        <v>2</v>
      </c>
      <c r="S45" s="54">
        <v>11</v>
      </c>
      <c r="T45" s="54">
        <v>13</v>
      </c>
      <c r="U45" s="54">
        <v>2</v>
      </c>
      <c r="V45" s="54">
        <v>11</v>
      </c>
      <c r="W45" s="54">
        <v>8</v>
      </c>
      <c r="X45" s="54">
        <v>4</v>
      </c>
      <c r="Y45" s="54">
        <v>4</v>
      </c>
      <c r="Z45" s="54">
        <v>8</v>
      </c>
      <c r="AA45" s="54">
        <v>5</v>
      </c>
      <c r="AB45" s="54">
        <v>13</v>
      </c>
      <c r="AC45" s="54">
        <v>10</v>
      </c>
      <c r="AD45" s="54">
        <v>3</v>
      </c>
      <c r="AE45" s="54">
        <v>9</v>
      </c>
      <c r="AF45" s="54">
        <v>11</v>
      </c>
      <c r="AG45" s="5">
        <f t="shared" si="2"/>
        <v>233</v>
      </c>
    </row>
    <row r="46" spans="1:33" ht="15.75" customHeight="1" x14ac:dyDescent="0.25">
      <c r="A46" s="56" t="s">
        <v>20</v>
      </c>
      <c r="B46" s="54">
        <v>10</v>
      </c>
      <c r="C46" s="54">
        <v>3</v>
      </c>
      <c r="D46" s="54">
        <v>5</v>
      </c>
      <c r="E46" s="54">
        <v>10</v>
      </c>
      <c r="F46" s="54">
        <v>7</v>
      </c>
      <c r="G46" s="54">
        <v>8</v>
      </c>
      <c r="H46" s="54">
        <v>0</v>
      </c>
      <c r="I46" s="54">
        <v>4</v>
      </c>
      <c r="J46" s="54">
        <v>2</v>
      </c>
      <c r="K46" s="54">
        <v>5</v>
      </c>
      <c r="L46" s="54">
        <v>4</v>
      </c>
      <c r="M46" s="54">
        <v>1</v>
      </c>
      <c r="N46" s="54">
        <v>2</v>
      </c>
      <c r="O46" s="54">
        <v>8</v>
      </c>
      <c r="P46" s="54">
        <v>12</v>
      </c>
      <c r="Q46" s="54">
        <v>2</v>
      </c>
      <c r="R46" s="54">
        <v>4</v>
      </c>
      <c r="S46" s="54">
        <v>9</v>
      </c>
      <c r="T46" s="54">
        <v>11</v>
      </c>
      <c r="U46" s="54">
        <v>1</v>
      </c>
      <c r="V46" s="54">
        <v>12</v>
      </c>
      <c r="W46" s="54">
        <v>8</v>
      </c>
      <c r="X46" s="54">
        <v>0</v>
      </c>
      <c r="Y46" s="54">
        <v>4</v>
      </c>
      <c r="Z46" s="54">
        <v>13</v>
      </c>
      <c r="AA46" s="54">
        <v>9</v>
      </c>
      <c r="AB46" s="54">
        <v>10</v>
      </c>
      <c r="AC46" s="54">
        <v>3</v>
      </c>
      <c r="AD46" s="54">
        <v>6</v>
      </c>
      <c r="AE46" s="54">
        <v>4</v>
      </c>
      <c r="AF46" s="54">
        <v>1</v>
      </c>
      <c r="AG46" s="5">
        <f t="shared" si="2"/>
        <v>178</v>
      </c>
    </row>
    <row r="47" spans="1:33" ht="15.75" customHeight="1" x14ac:dyDescent="0.25">
      <c r="A47" s="56" t="s">
        <v>21</v>
      </c>
      <c r="B47" s="54">
        <v>3</v>
      </c>
      <c r="C47" s="54">
        <v>5</v>
      </c>
      <c r="D47" s="54">
        <v>4</v>
      </c>
      <c r="E47" s="54">
        <v>5</v>
      </c>
      <c r="F47" s="54">
        <v>6</v>
      </c>
      <c r="G47" s="54">
        <v>3</v>
      </c>
      <c r="H47" s="54">
        <v>8</v>
      </c>
      <c r="I47" s="54">
        <v>0</v>
      </c>
      <c r="J47" s="54">
        <v>1</v>
      </c>
      <c r="K47" s="54">
        <v>0</v>
      </c>
      <c r="L47" s="54">
        <v>3</v>
      </c>
      <c r="M47" s="54">
        <v>1</v>
      </c>
      <c r="N47" s="54">
        <v>3</v>
      </c>
      <c r="O47" s="54">
        <v>1</v>
      </c>
      <c r="P47" s="54">
        <v>1</v>
      </c>
      <c r="Q47" s="54">
        <v>2</v>
      </c>
      <c r="R47" s="54">
        <v>2</v>
      </c>
      <c r="S47" s="54">
        <v>12</v>
      </c>
      <c r="T47" s="54">
        <v>5</v>
      </c>
      <c r="U47" s="54">
        <v>2</v>
      </c>
      <c r="V47" s="54">
        <v>3</v>
      </c>
      <c r="W47" s="54">
        <v>3</v>
      </c>
      <c r="X47" s="54">
        <v>6</v>
      </c>
      <c r="Y47" s="54">
        <v>3</v>
      </c>
      <c r="Z47" s="54">
        <v>8</v>
      </c>
      <c r="AA47" s="54">
        <v>15</v>
      </c>
      <c r="AB47" s="54">
        <v>14</v>
      </c>
      <c r="AC47" s="54">
        <v>5</v>
      </c>
      <c r="AD47" s="54">
        <v>5</v>
      </c>
      <c r="AE47" s="54">
        <v>4</v>
      </c>
      <c r="AF47" s="54">
        <v>6</v>
      </c>
      <c r="AG47" s="5">
        <f t="shared" si="2"/>
        <v>139</v>
      </c>
    </row>
    <row r="48" spans="1:33" ht="15.75" customHeight="1" x14ac:dyDescent="0.25">
      <c r="A48" s="56" t="s">
        <v>22</v>
      </c>
      <c r="B48" s="54">
        <v>3</v>
      </c>
      <c r="C48" s="54">
        <v>5</v>
      </c>
      <c r="D48" s="54">
        <v>0</v>
      </c>
      <c r="E48" s="54">
        <v>4</v>
      </c>
      <c r="F48" s="54">
        <v>0</v>
      </c>
      <c r="G48" s="54">
        <v>1</v>
      </c>
      <c r="H48" s="54">
        <v>0</v>
      </c>
      <c r="I48" s="54">
        <v>0</v>
      </c>
      <c r="J48" s="54">
        <v>2</v>
      </c>
      <c r="K48" s="54">
        <v>0</v>
      </c>
      <c r="L48" s="54">
        <v>2</v>
      </c>
      <c r="M48" s="54">
        <v>2</v>
      </c>
      <c r="N48" s="54">
        <v>1</v>
      </c>
      <c r="O48" s="54">
        <v>1</v>
      </c>
      <c r="P48" s="54">
        <v>0</v>
      </c>
      <c r="Q48" s="54">
        <v>7</v>
      </c>
      <c r="R48" s="54">
        <v>0</v>
      </c>
      <c r="S48" s="54">
        <v>5</v>
      </c>
      <c r="T48" s="54">
        <v>1</v>
      </c>
      <c r="U48" s="54">
        <v>2</v>
      </c>
      <c r="V48" s="54">
        <v>3</v>
      </c>
      <c r="W48" s="54">
        <v>6</v>
      </c>
      <c r="X48" s="54">
        <v>2</v>
      </c>
      <c r="Y48" s="54">
        <v>1</v>
      </c>
      <c r="Z48" s="54">
        <v>0</v>
      </c>
      <c r="AA48" s="54">
        <v>2</v>
      </c>
      <c r="AB48" s="54">
        <v>2</v>
      </c>
      <c r="AC48" s="54">
        <v>9</v>
      </c>
      <c r="AD48" s="54">
        <v>2</v>
      </c>
      <c r="AE48" s="54">
        <v>3</v>
      </c>
      <c r="AF48" s="54">
        <v>0</v>
      </c>
      <c r="AG48" s="5">
        <f t="shared" si="2"/>
        <v>66</v>
      </c>
    </row>
    <row r="49" spans="1:33" ht="15.75" customHeight="1" x14ac:dyDescent="0.25">
      <c r="A49" s="56" t="s">
        <v>23</v>
      </c>
      <c r="B49" s="54">
        <v>0</v>
      </c>
      <c r="C49" s="54">
        <v>1</v>
      </c>
      <c r="D49" s="54">
        <v>2</v>
      </c>
      <c r="E49" s="54">
        <v>1</v>
      </c>
      <c r="F49" s="54">
        <v>1</v>
      </c>
      <c r="G49" s="54">
        <v>0</v>
      </c>
      <c r="H49" s="54">
        <v>3</v>
      </c>
      <c r="I49" s="54">
        <v>1</v>
      </c>
      <c r="J49" s="54">
        <v>2</v>
      </c>
      <c r="K49" s="54">
        <v>0</v>
      </c>
      <c r="L49" s="54">
        <v>1</v>
      </c>
      <c r="M49" s="54">
        <v>1</v>
      </c>
      <c r="N49" s="54">
        <v>0</v>
      </c>
      <c r="O49" s="54">
        <v>0</v>
      </c>
      <c r="P49" s="54">
        <v>0</v>
      </c>
      <c r="Q49" s="54">
        <v>7</v>
      </c>
      <c r="R49" s="54">
        <v>1</v>
      </c>
      <c r="S49" s="54">
        <v>0</v>
      </c>
      <c r="T49" s="54">
        <v>7</v>
      </c>
      <c r="U49" s="54">
        <v>1</v>
      </c>
      <c r="V49" s="54">
        <v>0</v>
      </c>
      <c r="W49" s="54">
        <v>0</v>
      </c>
      <c r="X49" s="54">
        <v>1</v>
      </c>
      <c r="Y49" s="54">
        <v>2</v>
      </c>
      <c r="Z49" s="54">
        <v>0</v>
      </c>
      <c r="AA49" s="54">
        <v>0</v>
      </c>
      <c r="AB49" s="54">
        <v>0</v>
      </c>
      <c r="AC49" s="54">
        <v>0</v>
      </c>
      <c r="AD49" s="54">
        <v>1</v>
      </c>
      <c r="AE49" s="54">
        <v>1</v>
      </c>
      <c r="AF49" s="54">
        <v>3</v>
      </c>
      <c r="AG49" s="5">
        <f t="shared" si="2"/>
        <v>37</v>
      </c>
    </row>
    <row r="50" spans="1:33" ht="15.75" customHeight="1" x14ac:dyDescent="0.25">
      <c r="A50" s="56" t="s">
        <v>24</v>
      </c>
      <c r="B50" s="54">
        <v>3</v>
      </c>
      <c r="C50" s="54">
        <v>1</v>
      </c>
      <c r="D50" s="54">
        <v>0</v>
      </c>
      <c r="E50" s="54">
        <v>1</v>
      </c>
      <c r="F50" s="54">
        <v>1</v>
      </c>
      <c r="G50" s="54">
        <v>0</v>
      </c>
      <c r="H50" s="54">
        <v>0</v>
      </c>
      <c r="I50" s="54">
        <v>0</v>
      </c>
      <c r="J50" s="54">
        <v>5</v>
      </c>
      <c r="K50" s="54">
        <v>1</v>
      </c>
      <c r="L50" s="54">
        <v>0</v>
      </c>
      <c r="M50" s="54">
        <v>0</v>
      </c>
      <c r="N50" s="54">
        <v>2</v>
      </c>
      <c r="O50" s="54">
        <v>0</v>
      </c>
      <c r="P50" s="54">
        <v>0</v>
      </c>
      <c r="Q50" s="54">
        <v>0</v>
      </c>
      <c r="R50" s="54">
        <v>3</v>
      </c>
      <c r="S50" s="54">
        <v>2</v>
      </c>
      <c r="T50" s="54">
        <v>0</v>
      </c>
      <c r="U50" s="54">
        <v>0</v>
      </c>
      <c r="V50" s="54">
        <v>1</v>
      </c>
      <c r="W50" s="54">
        <v>2</v>
      </c>
      <c r="X50" s="54">
        <v>0</v>
      </c>
      <c r="Y50" s="54">
        <v>4</v>
      </c>
      <c r="Z50" s="54">
        <v>1</v>
      </c>
      <c r="AA50" s="54">
        <v>0</v>
      </c>
      <c r="AB50" s="54">
        <v>1</v>
      </c>
      <c r="AC50" s="54">
        <v>0</v>
      </c>
      <c r="AD50" s="54">
        <v>1</v>
      </c>
      <c r="AE50" s="54">
        <v>1</v>
      </c>
      <c r="AF50" s="54">
        <v>3</v>
      </c>
      <c r="AG50" s="5">
        <f t="shared" si="2"/>
        <v>33</v>
      </c>
    </row>
    <row r="51" spans="1:33" ht="15.75" customHeight="1" x14ac:dyDescent="0.25">
      <c r="A51" s="56" t="s">
        <v>25</v>
      </c>
      <c r="B51" s="54">
        <v>0</v>
      </c>
      <c r="C51" s="54">
        <v>0</v>
      </c>
      <c r="D51" s="54">
        <v>1</v>
      </c>
      <c r="E51" s="54">
        <v>3</v>
      </c>
      <c r="F51" s="54">
        <v>1</v>
      </c>
      <c r="G51" s="54">
        <v>1</v>
      </c>
      <c r="H51" s="54">
        <v>0</v>
      </c>
      <c r="I51" s="54">
        <v>0</v>
      </c>
      <c r="J51" s="54">
        <v>0</v>
      </c>
      <c r="K51" s="54">
        <v>4</v>
      </c>
      <c r="L51" s="54">
        <v>0</v>
      </c>
      <c r="M51" s="54">
        <v>5</v>
      </c>
      <c r="N51" s="54">
        <v>1</v>
      </c>
      <c r="O51" s="54">
        <v>0</v>
      </c>
      <c r="P51" s="54">
        <v>0</v>
      </c>
      <c r="Q51" s="54">
        <v>0</v>
      </c>
      <c r="R51" s="54">
        <v>0</v>
      </c>
      <c r="S51" s="54">
        <v>0</v>
      </c>
      <c r="T51" s="54">
        <v>0</v>
      </c>
      <c r="U51" s="54">
        <v>2</v>
      </c>
      <c r="V51" s="54">
        <v>0</v>
      </c>
      <c r="W51" s="54">
        <v>1</v>
      </c>
      <c r="X51" s="54">
        <v>2</v>
      </c>
      <c r="Y51" s="54">
        <v>1</v>
      </c>
      <c r="Z51" s="54">
        <v>0</v>
      </c>
      <c r="AA51" s="54">
        <v>2</v>
      </c>
      <c r="AB51" s="54">
        <v>1</v>
      </c>
      <c r="AC51" s="54">
        <v>1</v>
      </c>
      <c r="AD51" s="54">
        <v>0</v>
      </c>
      <c r="AE51" s="54">
        <v>3</v>
      </c>
      <c r="AF51" s="54">
        <v>3</v>
      </c>
      <c r="AG51" s="5">
        <f t="shared" si="2"/>
        <v>32</v>
      </c>
    </row>
    <row r="52" spans="1:33" ht="15.75" customHeight="1" thickBot="1" x14ac:dyDescent="0.3">
      <c r="A52" s="57" t="s">
        <v>26</v>
      </c>
      <c r="B52" s="58">
        <v>0</v>
      </c>
      <c r="C52" s="58">
        <v>4</v>
      </c>
      <c r="D52" s="58">
        <v>0</v>
      </c>
      <c r="E52" s="58">
        <v>2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1</v>
      </c>
      <c r="L52" s="58">
        <v>0</v>
      </c>
      <c r="M52" s="58">
        <v>0</v>
      </c>
      <c r="N52" s="58">
        <v>0</v>
      </c>
      <c r="O52" s="58">
        <v>1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1</v>
      </c>
      <c r="X52" s="58">
        <v>5</v>
      </c>
      <c r="Y52" s="58">
        <v>1</v>
      </c>
      <c r="Z52" s="58">
        <v>0</v>
      </c>
      <c r="AA52" s="58">
        <v>0</v>
      </c>
      <c r="AB52" s="58">
        <v>0</v>
      </c>
      <c r="AC52" s="58">
        <v>0</v>
      </c>
      <c r="AD52" s="60">
        <v>2</v>
      </c>
      <c r="AE52" s="60">
        <v>1</v>
      </c>
      <c r="AF52" s="60">
        <v>2</v>
      </c>
      <c r="AG52" s="9">
        <f t="shared" si="2"/>
        <v>20</v>
      </c>
    </row>
    <row r="53" spans="1:33" ht="15.75" customHeight="1" thickBot="1" x14ac:dyDescent="0.3">
      <c r="A53" s="52" t="s">
        <v>28</v>
      </c>
      <c r="B53" s="1">
        <f t="shared" ref="B53:AF53" si="4">SUM(B54:B77)</f>
        <v>17</v>
      </c>
      <c r="C53" s="1">
        <f t="shared" si="4"/>
        <v>1</v>
      </c>
      <c r="D53" s="1">
        <f t="shared" si="4"/>
        <v>6</v>
      </c>
      <c r="E53" s="1">
        <f t="shared" si="4"/>
        <v>7</v>
      </c>
      <c r="F53" s="1">
        <f t="shared" si="4"/>
        <v>8</v>
      </c>
      <c r="G53" s="1">
        <f t="shared" si="4"/>
        <v>8</v>
      </c>
      <c r="H53" s="1">
        <f t="shared" si="4"/>
        <v>6</v>
      </c>
      <c r="I53" s="1">
        <f t="shared" si="4"/>
        <v>3</v>
      </c>
      <c r="J53" s="1">
        <f t="shared" si="4"/>
        <v>5</v>
      </c>
      <c r="K53" s="1">
        <f t="shared" si="4"/>
        <v>11</v>
      </c>
      <c r="L53" s="1">
        <f t="shared" si="4"/>
        <v>1</v>
      </c>
      <c r="M53" s="1">
        <f t="shared" si="4"/>
        <v>11</v>
      </c>
      <c r="N53" s="1">
        <f t="shared" si="4"/>
        <v>6</v>
      </c>
      <c r="O53" s="1">
        <f t="shared" si="4"/>
        <v>13</v>
      </c>
      <c r="P53" s="1">
        <f t="shared" si="4"/>
        <v>13</v>
      </c>
      <c r="Q53" s="1">
        <f t="shared" si="4"/>
        <v>8</v>
      </c>
      <c r="R53" s="1">
        <f t="shared" si="4"/>
        <v>2</v>
      </c>
      <c r="S53" s="1">
        <f t="shared" si="4"/>
        <v>23</v>
      </c>
      <c r="T53" s="1">
        <f t="shared" si="4"/>
        <v>11</v>
      </c>
      <c r="U53" s="1">
        <f t="shared" si="4"/>
        <v>3</v>
      </c>
      <c r="V53" s="1">
        <f t="shared" si="4"/>
        <v>27</v>
      </c>
      <c r="W53" s="1">
        <f t="shared" si="4"/>
        <v>7</v>
      </c>
      <c r="X53" s="1">
        <f t="shared" si="4"/>
        <v>5</v>
      </c>
      <c r="Y53" s="1">
        <f t="shared" si="4"/>
        <v>2</v>
      </c>
      <c r="Z53" s="1">
        <f t="shared" si="4"/>
        <v>31</v>
      </c>
      <c r="AA53" s="1">
        <f t="shared" si="4"/>
        <v>25</v>
      </c>
      <c r="AB53" s="1">
        <f t="shared" si="4"/>
        <v>10</v>
      </c>
      <c r="AC53" s="1">
        <f t="shared" si="4"/>
        <v>6</v>
      </c>
      <c r="AD53" s="1">
        <f t="shared" si="4"/>
        <v>8</v>
      </c>
      <c r="AE53" s="1">
        <f t="shared" si="4"/>
        <v>3</v>
      </c>
      <c r="AF53" s="1">
        <f t="shared" si="4"/>
        <v>13</v>
      </c>
      <c r="AG53" s="10">
        <f t="shared" si="2"/>
        <v>300</v>
      </c>
    </row>
    <row r="54" spans="1:33" ht="15.75" customHeight="1" x14ac:dyDescent="0.25">
      <c r="A54" s="56" t="s">
        <v>3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1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1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1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1</v>
      </c>
    </row>
    <row r="56" spans="1:33" ht="15.75" customHeight="1" x14ac:dyDescent="0.25">
      <c r="A56" s="56" t="s">
        <v>5</v>
      </c>
      <c r="B56" s="54">
        <v>0</v>
      </c>
      <c r="C56" s="54">
        <v>0</v>
      </c>
      <c r="D56" s="54">
        <v>1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1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2</v>
      </c>
    </row>
    <row r="57" spans="1:33" ht="15.75" customHeight="1" x14ac:dyDescent="0.25">
      <c r="A57" s="56" t="s">
        <v>6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0</v>
      </c>
    </row>
    <row r="58" spans="1:33" ht="15.75" customHeight="1" x14ac:dyDescent="0.25">
      <c r="A58" s="56" t="s">
        <v>7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1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1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>
        <v>0</v>
      </c>
      <c r="AG58" s="5">
        <f t="shared" si="2"/>
        <v>2</v>
      </c>
    </row>
    <row r="59" spans="1:33" ht="15.75" customHeight="1" x14ac:dyDescent="0.25">
      <c r="A59" s="56" t="s">
        <v>8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>
        <v>0</v>
      </c>
      <c r="AG59" s="5">
        <f t="shared" si="2"/>
        <v>0</v>
      </c>
    </row>
    <row r="60" spans="1:33" ht="15.75" customHeight="1" x14ac:dyDescent="0.25">
      <c r="A60" s="56" t="s">
        <v>9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1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2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1</v>
      </c>
      <c r="AE60" s="54">
        <v>0</v>
      </c>
      <c r="AF60" s="54">
        <v>1</v>
      </c>
      <c r="AG60" s="5">
        <f t="shared" si="2"/>
        <v>5</v>
      </c>
    </row>
    <row r="61" spans="1:33" ht="15.75" customHeight="1" x14ac:dyDescent="0.25">
      <c r="A61" s="56" t="s">
        <v>10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2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3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1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1</v>
      </c>
      <c r="AF61" s="54">
        <v>1</v>
      </c>
      <c r="AG61" s="5">
        <f t="shared" si="2"/>
        <v>8</v>
      </c>
    </row>
    <row r="62" spans="1:33" ht="15.75" customHeight="1" x14ac:dyDescent="0.25">
      <c r="A62" s="56" t="s">
        <v>11</v>
      </c>
      <c r="B62" s="54">
        <v>0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1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1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1</v>
      </c>
      <c r="X62" s="54">
        <v>0</v>
      </c>
      <c r="Y62" s="54">
        <v>0</v>
      </c>
      <c r="Z62" s="54">
        <v>0</v>
      </c>
      <c r="AA62" s="54">
        <v>0</v>
      </c>
      <c r="AB62" s="54">
        <v>0</v>
      </c>
      <c r="AC62" s="54">
        <v>0</v>
      </c>
      <c r="AD62" s="54">
        <v>1</v>
      </c>
      <c r="AE62" s="54">
        <v>0</v>
      </c>
      <c r="AF62" s="54">
        <v>1</v>
      </c>
      <c r="AG62" s="5">
        <f t="shared" si="2"/>
        <v>5</v>
      </c>
    </row>
    <row r="63" spans="1:33" ht="15.75" customHeight="1" x14ac:dyDescent="0.25">
      <c r="A63" s="56" t="s">
        <v>12</v>
      </c>
      <c r="B63" s="54">
        <v>2</v>
      </c>
      <c r="C63" s="54">
        <v>0</v>
      </c>
      <c r="D63" s="54">
        <v>1</v>
      </c>
      <c r="E63" s="54">
        <v>0</v>
      </c>
      <c r="F63" s="54">
        <v>0</v>
      </c>
      <c r="G63" s="54">
        <v>1</v>
      </c>
      <c r="H63" s="54">
        <v>0</v>
      </c>
      <c r="I63" s="54">
        <v>0</v>
      </c>
      <c r="J63" s="54">
        <v>1</v>
      </c>
      <c r="K63" s="54">
        <v>6</v>
      </c>
      <c r="L63" s="54">
        <v>0</v>
      </c>
      <c r="M63" s="54">
        <v>0</v>
      </c>
      <c r="N63" s="54">
        <v>1</v>
      </c>
      <c r="O63" s="54">
        <v>2</v>
      </c>
      <c r="P63" s="54">
        <v>1</v>
      </c>
      <c r="Q63" s="54">
        <v>0</v>
      </c>
      <c r="R63" s="54">
        <v>0</v>
      </c>
      <c r="S63" s="54">
        <v>0</v>
      </c>
      <c r="T63" s="54">
        <v>0</v>
      </c>
      <c r="U63" s="54">
        <v>1</v>
      </c>
      <c r="V63" s="54">
        <v>1</v>
      </c>
      <c r="W63" s="54">
        <v>0</v>
      </c>
      <c r="X63" s="54">
        <v>2</v>
      </c>
      <c r="Y63" s="54">
        <v>0</v>
      </c>
      <c r="Z63" s="54">
        <v>0</v>
      </c>
      <c r="AA63" s="54">
        <v>1</v>
      </c>
      <c r="AB63" s="54">
        <v>0</v>
      </c>
      <c r="AC63" s="54">
        <v>0</v>
      </c>
      <c r="AD63" s="54">
        <v>0</v>
      </c>
      <c r="AE63" s="54">
        <v>1</v>
      </c>
      <c r="AF63" s="54">
        <v>0</v>
      </c>
      <c r="AG63" s="5">
        <f t="shared" si="2"/>
        <v>21</v>
      </c>
    </row>
    <row r="64" spans="1:33" ht="15.75" customHeight="1" x14ac:dyDescent="0.25">
      <c r="A64" s="56" t="s">
        <v>13</v>
      </c>
      <c r="B64" s="54">
        <v>0</v>
      </c>
      <c r="C64" s="54">
        <v>0</v>
      </c>
      <c r="D64" s="54">
        <v>0</v>
      </c>
      <c r="E64" s="54">
        <v>0</v>
      </c>
      <c r="F64" s="54">
        <v>2</v>
      </c>
      <c r="G64" s="54">
        <v>1</v>
      </c>
      <c r="H64" s="54">
        <v>0</v>
      </c>
      <c r="I64" s="54">
        <v>0</v>
      </c>
      <c r="J64" s="54">
        <v>0</v>
      </c>
      <c r="K64" s="54">
        <v>1</v>
      </c>
      <c r="L64" s="54">
        <v>0</v>
      </c>
      <c r="M64" s="54">
        <v>1</v>
      </c>
      <c r="N64" s="54">
        <v>0</v>
      </c>
      <c r="O64" s="54">
        <v>1</v>
      </c>
      <c r="P64" s="54">
        <v>0</v>
      </c>
      <c r="Q64" s="54">
        <v>1</v>
      </c>
      <c r="R64" s="54">
        <v>1</v>
      </c>
      <c r="S64" s="54">
        <v>2</v>
      </c>
      <c r="T64" s="54">
        <v>1</v>
      </c>
      <c r="U64" s="54">
        <v>0</v>
      </c>
      <c r="V64" s="54">
        <v>2</v>
      </c>
      <c r="W64" s="54">
        <v>0</v>
      </c>
      <c r="X64" s="54">
        <v>0</v>
      </c>
      <c r="Y64" s="54">
        <v>0</v>
      </c>
      <c r="Z64" s="54">
        <v>2</v>
      </c>
      <c r="AA64" s="54">
        <v>2</v>
      </c>
      <c r="AB64" s="54">
        <v>0</v>
      </c>
      <c r="AC64" s="54">
        <v>0</v>
      </c>
      <c r="AD64" s="54">
        <v>1</v>
      </c>
      <c r="AE64" s="54">
        <v>0</v>
      </c>
      <c r="AF64" s="54">
        <v>2</v>
      </c>
      <c r="AG64" s="5">
        <f t="shared" si="2"/>
        <v>20</v>
      </c>
    </row>
    <row r="65" spans="1:33" ht="15.75" customHeight="1" x14ac:dyDescent="0.25">
      <c r="A65" s="56" t="s">
        <v>14</v>
      </c>
      <c r="B65" s="54">
        <v>0</v>
      </c>
      <c r="C65" s="54">
        <v>0</v>
      </c>
      <c r="D65" s="54">
        <v>0</v>
      </c>
      <c r="E65" s="54">
        <v>0</v>
      </c>
      <c r="F65" s="54">
        <v>2</v>
      </c>
      <c r="G65" s="54">
        <v>0</v>
      </c>
      <c r="H65" s="54">
        <v>1</v>
      </c>
      <c r="I65" s="54">
        <v>0</v>
      </c>
      <c r="J65" s="54">
        <v>0</v>
      </c>
      <c r="K65" s="54">
        <v>0</v>
      </c>
      <c r="L65" s="54">
        <v>1</v>
      </c>
      <c r="M65" s="54">
        <v>0</v>
      </c>
      <c r="N65" s="54">
        <v>1</v>
      </c>
      <c r="O65" s="54">
        <v>0</v>
      </c>
      <c r="P65" s="54">
        <v>2</v>
      </c>
      <c r="Q65" s="54">
        <v>0</v>
      </c>
      <c r="R65" s="54">
        <v>0</v>
      </c>
      <c r="S65" s="54">
        <v>0</v>
      </c>
      <c r="T65" s="54">
        <v>2</v>
      </c>
      <c r="U65" s="54">
        <v>0</v>
      </c>
      <c r="V65" s="54">
        <v>1</v>
      </c>
      <c r="W65" s="54">
        <v>2</v>
      </c>
      <c r="X65" s="54">
        <v>0</v>
      </c>
      <c r="Y65" s="54">
        <v>0</v>
      </c>
      <c r="Z65" s="54">
        <v>3</v>
      </c>
      <c r="AA65" s="54">
        <v>0</v>
      </c>
      <c r="AB65" s="54">
        <v>3</v>
      </c>
      <c r="AC65" s="54">
        <v>1</v>
      </c>
      <c r="AD65" s="54">
        <v>0</v>
      </c>
      <c r="AE65" s="54">
        <v>1</v>
      </c>
      <c r="AF65" s="54">
        <v>0</v>
      </c>
      <c r="AG65" s="5">
        <f t="shared" si="2"/>
        <v>20</v>
      </c>
    </row>
    <row r="66" spans="1:33" ht="15.75" customHeight="1" x14ac:dyDescent="0.25">
      <c r="A66" s="56" t="s">
        <v>15</v>
      </c>
      <c r="B66" s="54">
        <v>8</v>
      </c>
      <c r="C66" s="54">
        <v>0</v>
      </c>
      <c r="D66" s="54">
        <v>0</v>
      </c>
      <c r="E66" s="54">
        <v>2</v>
      </c>
      <c r="F66" s="54">
        <v>2</v>
      </c>
      <c r="G66" s="54">
        <v>3</v>
      </c>
      <c r="H66" s="54">
        <v>1</v>
      </c>
      <c r="I66" s="54">
        <v>2</v>
      </c>
      <c r="J66" s="54">
        <v>0</v>
      </c>
      <c r="K66" s="54">
        <v>0</v>
      </c>
      <c r="L66" s="54">
        <v>0</v>
      </c>
      <c r="M66" s="54">
        <v>3</v>
      </c>
      <c r="N66" s="54">
        <v>3</v>
      </c>
      <c r="O66" s="54">
        <v>8</v>
      </c>
      <c r="P66" s="54">
        <v>3</v>
      </c>
      <c r="Q66" s="54">
        <v>0</v>
      </c>
      <c r="R66" s="54">
        <v>1</v>
      </c>
      <c r="S66" s="54">
        <v>2</v>
      </c>
      <c r="T66" s="54">
        <v>0</v>
      </c>
      <c r="U66" s="54">
        <v>0</v>
      </c>
      <c r="V66" s="54">
        <v>2</v>
      </c>
      <c r="W66" s="54">
        <v>0</v>
      </c>
      <c r="X66" s="54">
        <v>0</v>
      </c>
      <c r="Y66" s="54">
        <v>0</v>
      </c>
      <c r="Z66" s="54">
        <v>2</v>
      </c>
      <c r="AA66" s="54">
        <v>2</v>
      </c>
      <c r="AB66" s="54">
        <v>3</v>
      </c>
      <c r="AC66" s="54">
        <v>3</v>
      </c>
      <c r="AD66" s="54">
        <v>1</v>
      </c>
      <c r="AE66" s="54">
        <v>0</v>
      </c>
      <c r="AF66" s="54">
        <v>3</v>
      </c>
      <c r="AG66" s="5">
        <f t="shared" si="2"/>
        <v>54</v>
      </c>
    </row>
    <row r="67" spans="1:33" ht="15.75" customHeight="1" x14ac:dyDescent="0.25">
      <c r="A67" s="56" t="s">
        <v>16</v>
      </c>
      <c r="B67" s="54">
        <v>0</v>
      </c>
      <c r="C67" s="54">
        <v>0</v>
      </c>
      <c r="D67" s="54">
        <v>1</v>
      </c>
      <c r="E67" s="54">
        <v>1</v>
      </c>
      <c r="F67" s="54">
        <v>1</v>
      </c>
      <c r="G67" s="54">
        <v>0</v>
      </c>
      <c r="H67" s="54">
        <v>0</v>
      </c>
      <c r="I67" s="54">
        <v>1</v>
      </c>
      <c r="J67" s="54">
        <v>0</v>
      </c>
      <c r="K67" s="54">
        <v>0</v>
      </c>
      <c r="L67" s="54">
        <v>0</v>
      </c>
      <c r="M67" s="54">
        <v>5</v>
      </c>
      <c r="N67" s="54">
        <v>0</v>
      </c>
      <c r="O67" s="54">
        <v>2</v>
      </c>
      <c r="P67" s="54">
        <v>4</v>
      </c>
      <c r="Q67" s="54">
        <v>0</v>
      </c>
      <c r="R67" s="54">
        <v>0</v>
      </c>
      <c r="S67" s="54">
        <v>7</v>
      </c>
      <c r="T67" s="54">
        <v>1</v>
      </c>
      <c r="U67" s="54">
        <v>1</v>
      </c>
      <c r="V67" s="54">
        <v>8</v>
      </c>
      <c r="W67" s="54">
        <v>0</v>
      </c>
      <c r="X67" s="54">
        <v>0</v>
      </c>
      <c r="Y67" s="54">
        <v>0</v>
      </c>
      <c r="Z67" s="54">
        <v>4</v>
      </c>
      <c r="AA67" s="54">
        <v>2</v>
      </c>
      <c r="AB67" s="54">
        <v>0</v>
      </c>
      <c r="AC67" s="54">
        <v>0</v>
      </c>
      <c r="AD67" s="54">
        <v>0</v>
      </c>
      <c r="AE67" s="54">
        <v>0</v>
      </c>
      <c r="AF67" s="54">
        <v>0</v>
      </c>
      <c r="AG67" s="5">
        <f t="shared" ref="AG67:AG98" si="5">SUM(B67:AF67)</f>
        <v>38</v>
      </c>
    </row>
    <row r="68" spans="1:33" ht="15.75" customHeight="1" x14ac:dyDescent="0.25">
      <c r="A68" s="56" t="s">
        <v>17</v>
      </c>
      <c r="B68" s="54">
        <v>0</v>
      </c>
      <c r="C68" s="54">
        <v>0</v>
      </c>
      <c r="D68" s="54">
        <v>1</v>
      </c>
      <c r="E68" s="54">
        <v>1</v>
      </c>
      <c r="F68" s="54">
        <v>0</v>
      </c>
      <c r="G68" s="54">
        <v>0</v>
      </c>
      <c r="H68" s="54">
        <v>3</v>
      </c>
      <c r="I68" s="54">
        <v>0</v>
      </c>
      <c r="J68" s="54">
        <v>0</v>
      </c>
      <c r="K68" s="54">
        <v>0</v>
      </c>
      <c r="L68" s="54">
        <v>0</v>
      </c>
      <c r="M68" s="54">
        <v>1</v>
      </c>
      <c r="N68" s="54">
        <v>1</v>
      </c>
      <c r="O68" s="54">
        <v>0</v>
      </c>
      <c r="P68" s="54">
        <v>0</v>
      </c>
      <c r="Q68" s="54">
        <v>0</v>
      </c>
      <c r="R68" s="54">
        <v>0</v>
      </c>
      <c r="S68" s="54">
        <v>2</v>
      </c>
      <c r="T68" s="54">
        <v>1</v>
      </c>
      <c r="U68" s="54">
        <v>0</v>
      </c>
      <c r="V68" s="54">
        <v>6</v>
      </c>
      <c r="W68" s="54">
        <v>1</v>
      </c>
      <c r="X68" s="54">
        <v>0</v>
      </c>
      <c r="Y68" s="54">
        <v>0</v>
      </c>
      <c r="Z68" s="54">
        <v>2</v>
      </c>
      <c r="AA68" s="54">
        <v>3</v>
      </c>
      <c r="AB68" s="54">
        <v>1</v>
      </c>
      <c r="AC68" s="54">
        <v>1</v>
      </c>
      <c r="AD68" s="54">
        <v>2</v>
      </c>
      <c r="AE68" s="54">
        <v>0</v>
      </c>
      <c r="AF68" s="54">
        <v>5</v>
      </c>
      <c r="AG68" s="5">
        <f t="shared" si="5"/>
        <v>31</v>
      </c>
    </row>
    <row r="69" spans="1:33" ht="15.75" customHeight="1" x14ac:dyDescent="0.25">
      <c r="A69" s="56" t="s">
        <v>18</v>
      </c>
      <c r="B69" s="54">
        <v>0</v>
      </c>
      <c r="C69" s="54">
        <v>0</v>
      </c>
      <c r="D69" s="54">
        <v>1</v>
      </c>
      <c r="E69" s="54">
        <v>0</v>
      </c>
      <c r="F69" s="54">
        <v>1</v>
      </c>
      <c r="G69" s="54">
        <v>0</v>
      </c>
      <c r="H69" s="54">
        <v>1</v>
      </c>
      <c r="I69" s="54">
        <v>0</v>
      </c>
      <c r="J69" s="54">
        <v>0</v>
      </c>
      <c r="K69" s="54">
        <v>1</v>
      </c>
      <c r="L69" s="54">
        <v>0</v>
      </c>
      <c r="M69" s="54">
        <v>1</v>
      </c>
      <c r="N69" s="54">
        <v>0</v>
      </c>
      <c r="O69" s="54">
        <v>0</v>
      </c>
      <c r="P69" s="54">
        <v>3</v>
      </c>
      <c r="Q69" s="54">
        <v>0</v>
      </c>
      <c r="R69" s="54">
        <v>0</v>
      </c>
      <c r="S69" s="54">
        <v>0</v>
      </c>
      <c r="T69" s="54">
        <v>5</v>
      </c>
      <c r="U69" s="54">
        <v>0</v>
      </c>
      <c r="V69" s="54">
        <v>0</v>
      </c>
      <c r="W69" s="54">
        <v>0</v>
      </c>
      <c r="X69" s="54">
        <v>0</v>
      </c>
      <c r="Y69" s="54">
        <v>2</v>
      </c>
      <c r="Z69" s="54">
        <v>7</v>
      </c>
      <c r="AA69" s="54">
        <v>0</v>
      </c>
      <c r="AB69" s="54">
        <v>0</v>
      </c>
      <c r="AC69" s="54">
        <v>0</v>
      </c>
      <c r="AD69" s="54">
        <v>0</v>
      </c>
      <c r="AE69" s="54">
        <v>0</v>
      </c>
      <c r="AF69" s="54">
        <v>0</v>
      </c>
      <c r="AG69" s="5">
        <f t="shared" si="5"/>
        <v>22</v>
      </c>
    </row>
    <row r="70" spans="1:33" ht="15.75" customHeight="1" x14ac:dyDescent="0.25">
      <c r="A70" s="56" t="s">
        <v>19</v>
      </c>
      <c r="B70" s="54">
        <v>1</v>
      </c>
      <c r="C70" s="54">
        <v>0</v>
      </c>
      <c r="D70" s="54">
        <v>1</v>
      </c>
      <c r="E70" s="54">
        <v>1</v>
      </c>
      <c r="F70" s="54">
        <v>0</v>
      </c>
      <c r="G70" s="54">
        <v>2</v>
      </c>
      <c r="H70" s="54">
        <v>0</v>
      </c>
      <c r="I70" s="54">
        <v>0</v>
      </c>
      <c r="J70" s="54">
        <v>0</v>
      </c>
      <c r="K70" s="54">
        <v>0</v>
      </c>
      <c r="L70" s="54">
        <v>0</v>
      </c>
      <c r="M70" s="54">
        <v>0</v>
      </c>
      <c r="N70" s="54">
        <v>0</v>
      </c>
      <c r="O70" s="54">
        <v>0</v>
      </c>
      <c r="P70" s="54">
        <v>0</v>
      </c>
      <c r="Q70" s="54">
        <v>0</v>
      </c>
      <c r="R70" s="54">
        <v>0</v>
      </c>
      <c r="S70" s="54">
        <v>5</v>
      </c>
      <c r="T70" s="54">
        <v>1</v>
      </c>
      <c r="U70" s="54">
        <v>0</v>
      </c>
      <c r="V70" s="54">
        <v>0</v>
      </c>
      <c r="W70" s="54">
        <v>0</v>
      </c>
      <c r="X70" s="54">
        <v>0</v>
      </c>
      <c r="Y70" s="54">
        <v>0</v>
      </c>
      <c r="Z70" s="54">
        <v>4</v>
      </c>
      <c r="AA70" s="54">
        <v>8</v>
      </c>
      <c r="AB70" s="54">
        <v>0</v>
      </c>
      <c r="AC70" s="54">
        <v>1</v>
      </c>
      <c r="AD70" s="55">
        <v>0</v>
      </c>
      <c r="AE70" s="55">
        <v>0</v>
      </c>
      <c r="AF70" s="55">
        <v>0</v>
      </c>
      <c r="AG70" s="5">
        <f t="shared" si="5"/>
        <v>24</v>
      </c>
    </row>
    <row r="71" spans="1:33" ht="15.75" customHeight="1" x14ac:dyDescent="0.25">
      <c r="A71" s="56" t="s">
        <v>20</v>
      </c>
      <c r="B71" s="54">
        <v>4</v>
      </c>
      <c r="C71" s="54">
        <v>0</v>
      </c>
      <c r="D71" s="54">
        <v>0</v>
      </c>
      <c r="E71" s="54">
        <v>2</v>
      </c>
      <c r="F71" s="54">
        <v>0</v>
      </c>
      <c r="G71" s="54">
        <v>0</v>
      </c>
      <c r="H71" s="54">
        <v>0</v>
      </c>
      <c r="I71" s="54">
        <v>0</v>
      </c>
      <c r="J71" s="54">
        <v>0</v>
      </c>
      <c r="K71" s="54">
        <v>0</v>
      </c>
      <c r="L71" s="54">
        <v>0</v>
      </c>
      <c r="M71" s="54">
        <v>0</v>
      </c>
      <c r="N71" s="54">
        <v>0</v>
      </c>
      <c r="O71" s="54">
        <v>0</v>
      </c>
      <c r="P71" s="54">
        <v>0</v>
      </c>
      <c r="Q71" s="54">
        <v>0</v>
      </c>
      <c r="R71" s="54">
        <v>0</v>
      </c>
      <c r="S71" s="54">
        <v>1</v>
      </c>
      <c r="T71" s="54">
        <v>0</v>
      </c>
      <c r="U71" s="54">
        <v>1</v>
      </c>
      <c r="V71" s="54">
        <v>2</v>
      </c>
      <c r="W71" s="54">
        <v>0</v>
      </c>
      <c r="X71" s="54">
        <v>0</v>
      </c>
      <c r="Y71" s="54">
        <v>0</v>
      </c>
      <c r="Z71" s="54">
        <v>7</v>
      </c>
      <c r="AA71" s="54">
        <v>7</v>
      </c>
      <c r="AB71" s="54">
        <v>2</v>
      </c>
      <c r="AC71" s="54">
        <v>0</v>
      </c>
      <c r="AD71" s="55">
        <v>0</v>
      </c>
      <c r="AE71" s="55">
        <v>0</v>
      </c>
      <c r="AF71" s="55">
        <v>0</v>
      </c>
      <c r="AG71" s="5">
        <f t="shared" si="5"/>
        <v>26</v>
      </c>
    </row>
    <row r="72" spans="1:33" ht="15.75" customHeight="1" x14ac:dyDescent="0.25">
      <c r="A72" s="56" t="s">
        <v>21</v>
      </c>
      <c r="B72" s="54">
        <v>0</v>
      </c>
      <c r="C72" s="54">
        <v>1</v>
      </c>
      <c r="D72" s="54">
        <v>0</v>
      </c>
      <c r="E72" s="54">
        <v>0</v>
      </c>
      <c r="F72" s="54">
        <v>0</v>
      </c>
      <c r="G72" s="54">
        <v>1</v>
      </c>
      <c r="H72" s="54">
        <v>0</v>
      </c>
      <c r="I72" s="54">
        <v>0</v>
      </c>
      <c r="J72" s="54">
        <v>0</v>
      </c>
      <c r="K72" s="54">
        <v>0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0</v>
      </c>
      <c r="S72" s="54">
        <v>4</v>
      </c>
      <c r="T72" s="54">
        <v>0</v>
      </c>
      <c r="U72" s="54">
        <v>0</v>
      </c>
      <c r="V72" s="54">
        <v>5</v>
      </c>
      <c r="W72" s="54">
        <v>3</v>
      </c>
      <c r="X72" s="54">
        <v>1</v>
      </c>
      <c r="Y72" s="54">
        <v>0</v>
      </c>
      <c r="Z72" s="54">
        <v>0</v>
      </c>
      <c r="AA72" s="54">
        <v>0</v>
      </c>
      <c r="AB72" s="54">
        <v>1</v>
      </c>
      <c r="AC72" s="54">
        <v>0</v>
      </c>
      <c r="AD72" s="55">
        <v>2</v>
      </c>
      <c r="AE72" s="55">
        <v>0</v>
      </c>
      <c r="AF72" s="55">
        <v>0</v>
      </c>
      <c r="AG72" s="5">
        <f t="shared" si="5"/>
        <v>18</v>
      </c>
    </row>
    <row r="73" spans="1:33" ht="15.75" customHeight="1" x14ac:dyDescent="0.25">
      <c r="A73" s="56" t="s">
        <v>22</v>
      </c>
      <c r="B73" s="54">
        <v>2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>
        <v>0</v>
      </c>
      <c r="AG73" s="5">
        <f t="shared" si="5"/>
        <v>2</v>
      </c>
    </row>
    <row r="74" spans="1:33" ht="15.75" customHeight="1" x14ac:dyDescent="0.25">
      <c r="A74" s="56" t="s">
        <v>23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0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0</v>
      </c>
    </row>
    <row r="76" spans="1:33" ht="15.75" customHeight="1" x14ac:dyDescent="0.25">
      <c r="A76" s="56" t="s">
        <v>25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0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0</v>
      </c>
    </row>
    <row r="78" spans="1:33" ht="19.5" customHeight="1" thickBot="1" x14ac:dyDescent="0.3">
      <c r="A78" s="63" t="s">
        <v>29</v>
      </c>
      <c r="B78" s="11">
        <f t="shared" ref="B78:AF78" si="6">SUM(B79:B80)</f>
        <v>152</v>
      </c>
      <c r="C78" s="11">
        <f t="shared" si="6"/>
        <v>172</v>
      </c>
      <c r="D78" s="11">
        <f t="shared" si="6"/>
        <v>181</v>
      </c>
      <c r="E78" s="11">
        <f t="shared" si="6"/>
        <v>148</v>
      </c>
      <c r="F78" s="11">
        <f t="shared" si="6"/>
        <v>136</v>
      </c>
      <c r="G78" s="11">
        <f t="shared" si="6"/>
        <v>125</v>
      </c>
      <c r="H78" s="11">
        <f t="shared" si="6"/>
        <v>122</v>
      </c>
      <c r="I78" s="11">
        <f t="shared" si="6"/>
        <v>114</v>
      </c>
      <c r="J78" s="11">
        <f t="shared" si="6"/>
        <v>190</v>
      </c>
      <c r="K78" s="11">
        <f t="shared" si="6"/>
        <v>188</v>
      </c>
      <c r="L78" s="11">
        <f t="shared" si="6"/>
        <v>150</v>
      </c>
      <c r="M78" s="11">
        <f t="shared" si="6"/>
        <v>122</v>
      </c>
      <c r="N78" s="11">
        <f t="shared" si="6"/>
        <v>127</v>
      </c>
      <c r="O78" s="11">
        <f t="shared" si="6"/>
        <v>161</v>
      </c>
      <c r="P78" s="11">
        <f t="shared" si="6"/>
        <v>136</v>
      </c>
      <c r="Q78" s="11">
        <f t="shared" si="6"/>
        <v>220</v>
      </c>
      <c r="R78" s="11">
        <f t="shared" si="6"/>
        <v>170</v>
      </c>
      <c r="S78" s="11">
        <f t="shared" si="6"/>
        <v>179</v>
      </c>
      <c r="T78" s="11">
        <f t="shared" si="6"/>
        <v>150</v>
      </c>
      <c r="U78" s="11">
        <f t="shared" si="6"/>
        <v>97</v>
      </c>
      <c r="V78" s="11">
        <f t="shared" si="6"/>
        <v>156</v>
      </c>
      <c r="W78" s="11">
        <f t="shared" si="6"/>
        <v>139</v>
      </c>
      <c r="X78" s="11">
        <f t="shared" si="6"/>
        <v>191</v>
      </c>
      <c r="Y78" s="11">
        <f t="shared" si="6"/>
        <v>176</v>
      </c>
      <c r="Z78" s="11">
        <f t="shared" si="6"/>
        <v>184</v>
      </c>
      <c r="AA78" s="11">
        <f t="shared" si="6"/>
        <v>148</v>
      </c>
      <c r="AB78" s="11">
        <f t="shared" si="6"/>
        <v>155</v>
      </c>
      <c r="AC78" s="11">
        <f t="shared" si="6"/>
        <v>135</v>
      </c>
      <c r="AD78" s="11">
        <f t="shared" si="6"/>
        <v>188</v>
      </c>
      <c r="AE78" s="11">
        <f t="shared" si="6"/>
        <v>175</v>
      </c>
      <c r="AF78" s="11">
        <f t="shared" si="6"/>
        <v>184</v>
      </c>
      <c r="AG78" s="10">
        <f t="shared" si="5"/>
        <v>4871</v>
      </c>
    </row>
    <row r="79" spans="1:33" ht="19.5" customHeight="1" x14ac:dyDescent="0.25">
      <c r="A79" s="64" t="s">
        <v>30</v>
      </c>
      <c r="B79" s="3">
        <f t="shared" ref="B79" si="7">SUM(B4:B27)-B80</f>
        <v>152</v>
      </c>
      <c r="C79" s="3">
        <f t="shared" ref="C79" si="8">SUM(C4:C27)-C80</f>
        <v>172</v>
      </c>
      <c r="D79" s="3">
        <f t="shared" ref="D79:AF79" si="9">SUM(D4:D27)-D80</f>
        <v>181</v>
      </c>
      <c r="E79" s="3">
        <f t="shared" si="9"/>
        <v>148</v>
      </c>
      <c r="F79" s="3">
        <f t="shared" si="9"/>
        <v>136</v>
      </c>
      <c r="G79" s="3">
        <f t="shared" si="9"/>
        <v>125</v>
      </c>
      <c r="H79" s="3">
        <f t="shared" si="9"/>
        <v>122</v>
      </c>
      <c r="I79" s="3">
        <f t="shared" si="9"/>
        <v>114</v>
      </c>
      <c r="J79" s="3">
        <f t="shared" si="9"/>
        <v>190</v>
      </c>
      <c r="K79" s="3">
        <f t="shared" si="9"/>
        <v>188</v>
      </c>
      <c r="L79" s="3">
        <f t="shared" si="9"/>
        <v>150</v>
      </c>
      <c r="M79" s="3">
        <f t="shared" si="9"/>
        <v>122</v>
      </c>
      <c r="N79" s="3">
        <f t="shared" si="9"/>
        <v>127</v>
      </c>
      <c r="O79" s="3">
        <f t="shared" si="9"/>
        <v>161</v>
      </c>
      <c r="P79" s="3">
        <f t="shared" si="9"/>
        <v>136</v>
      </c>
      <c r="Q79" s="3">
        <f t="shared" si="9"/>
        <v>220</v>
      </c>
      <c r="R79" s="3">
        <f t="shared" si="9"/>
        <v>170</v>
      </c>
      <c r="S79" s="3">
        <f t="shared" si="9"/>
        <v>179</v>
      </c>
      <c r="T79" s="3">
        <f t="shared" si="9"/>
        <v>150</v>
      </c>
      <c r="U79" s="3">
        <f t="shared" si="9"/>
        <v>97</v>
      </c>
      <c r="V79" s="3">
        <f t="shared" si="9"/>
        <v>156</v>
      </c>
      <c r="W79" s="3">
        <f t="shared" si="9"/>
        <v>139</v>
      </c>
      <c r="X79" s="3">
        <f t="shared" si="9"/>
        <v>191</v>
      </c>
      <c r="Y79" s="3">
        <f t="shared" si="9"/>
        <v>176</v>
      </c>
      <c r="Z79" s="3">
        <f t="shared" si="9"/>
        <v>184</v>
      </c>
      <c r="AA79" s="3">
        <f t="shared" si="9"/>
        <v>148</v>
      </c>
      <c r="AB79" s="3">
        <f t="shared" si="9"/>
        <v>155</v>
      </c>
      <c r="AC79" s="3">
        <f t="shared" si="9"/>
        <v>135</v>
      </c>
      <c r="AD79" s="3">
        <f t="shared" si="9"/>
        <v>188</v>
      </c>
      <c r="AE79" s="3">
        <f t="shared" si="9"/>
        <v>175</v>
      </c>
      <c r="AF79" s="3">
        <f t="shared" si="9"/>
        <v>184</v>
      </c>
      <c r="AG79" s="4">
        <f t="shared" si="5"/>
        <v>4871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17</v>
      </c>
      <c r="C81" s="12">
        <f t="shared" si="10"/>
        <v>1</v>
      </c>
      <c r="D81" s="12">
        <f t="shared" si="10"/>
        <v>6</v>
      </c>
      <c r="E81" s="12">
        <f t="shared" si="10"/>
        <v>7</v>
      </c>
      <c r="F81" s="12">
        <f t="shared" si="10"/>
        <v>8</v>
      </c>
      <c r="G81" s="12">
        <f t="shared" si="10"/>
        <v>8</v>
      </c>
      <c r="H81" s="12">
        <f t="shared" si="10"/>
        <v>6</v>
      </c>
      <c r="I81" s="12">
        <f t="shared" si="10"/>
        <v>3</v>
      </c>
      <c r="J81" s="12">
        <f t="shared" si="10"/>
        <v>5</v>
      </c>
      <c r="K81" s="12">
        <f t="shared" si="10"/>
        <v>11</v>
      </c>
      <c r="L81" s="12">
        <f t="shared" si="10"/>
        <v>1</v>
      </c>
      <c r="M81" s="12">
        <f t="shared" si="10"/>
        <v>11</v>
      </c>
      <c r="N81" s="12">
        <f t="shared" si="10"/>
        <v>6</v>
      </c>
      <c r="O81" s="12">
        <f t="shared" si="10"/>
        <v>13</v>
      </c>
      <c r="P81" s="12">
        <f t="shared" si="10"/>
        <v>13</v>
      </c>
      <c r="Q81" s="12">
        <f t="shared" si="10"/>
        <v>8</v>
      </c>
      <c r="R81" s="12">
        <f t="shared" si="10"/>
        <v>2</v>
      </c>
      <c r="S81" s="12">
        <f t="shared" si="10"/>
        <v>23</v>
      </c>
      <c r="T81" s="12">
        <f t="shared" si="10"/>
        <v>11</v>
      </c>
      <c r="U81" s="12">
        <f t="shared" si="10"/>
        <v>3</v>
      </c>
      <c r="V81" s="12">
        <f t="shared" si="10"/>
        <v>27</v>
      </c>
      <c r="W81" s="12">
        <f t="shared" si="10"/>
        <v>7</v>
      </c>
      <c r="X81" s="12">
        <f t="shared" si="10"/>
        <v>5</v>
      </c>
      <c r="Y81" s="12">
        <f t="shared" si="10"/>
        <v>2</v>
      </c>
      <c r="Z81" s="12">
        <f t="shared" si="10"/>
        <v>31</v>
      </c>
      <c r="AA81" s="12">
        <f t="shared" si="10"/>
        <v>25</v>
      </c>
      <c r="AB81" s="12">
        <f t="shared" si="10"/>
        <v>10</v>
      </c>
      <c r="AC81" s="12">
        <f t="shared" si="10"/>
        <v>6</v>
      </c>
      <c r="AD81" s="12">
        <f t="shared" si="10"/>
        <v>8</v>
      </c>
      <c r="AE81" s="12">
        <f t="shared" si="10"/>
        <v>3</v>
      </c>
      <c r="AF81" s="12">
        <f t="shared" si="10"/>
        <v>13</v>
      </c>
      <c r="AG81" s="10">
        <f t="shared" si="5"/>
        <v>300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1</v>
      </c>
      <c r="E82" s="3">
        <f t="shared" si="11"/>
        <v>0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4</v>
      </c>
      <c r="K82" s="3">
        <f t="shared" si="11"/>
        <v>3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0</v>
      </c>
      <c r="Q82" s="3">
        <f t="shared" si="11"/>
        <v>7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0</v>
      </c>
      <c r="W82" s="3">
        <f t="shared" si="11"/>
        <v>1</v>
      </c>
      <c r="X82" s="3">
        <f t="shared" si="11"/>
        <v>2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2</v>
      </c>
      <c r="AE82" s="3">
        <f t="shared" si="11"/>
        <v>1</v>
      </c>
      <c r="AF82" s="3">
        <f t="shared" si="11"/>
        <v>3</v>
      </c>
      <c r="AG82" s="4">
        <f t="shared" si="5"/>
        <v>24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17</v>
      </c>
      <c r="C83" s="8">
        <f t="shared" si="12"/>
        <v>1</v>
      </c>
      <c r="D83" s="8">
        <f t="shared" si="12"/>
        <v>5</v>
      </c>
      <c r="E83" s="8">
        <f t="shared" si="12"/>
        <v>7</v>
      </c>
      <c r="F83" s="8">
        <f t="shared" si="12"/>
        <v>8</v>
      </c>
      <c r="G83" s="8">
        <f t="shared" si="12"/>
        <v>8</v>
      </c>
      <c r="H83" s="8">
        <f t="shared" si="12"/>
        <v>6</v>
      </c>
      <c r="I83" s="8">
        <f t="shared" si="12"/>
        <v>3</v>
      </c>
      <c r="J83" s="8">
        <f t="shared" si="12"/>
        <v>1</v>
      </c>
      <c r="K83" s="8">
        <f t="shared" si="12"/>
        <v>8</v>
      </c>
      <c r="L83" s="8">
        <f t="shared" si="12"/>
        <v>1</v>
      </c>
      <c r="M83" s="8">
        <f t="shared" si="12"/>
        <v>11</v>
      </c>
      <c r="N83" s="8">
        <f t="shared" si="12"/>
        <v>6</v>
      </c>
      <c r="O83" s="8">
        <f t="shared" si="12"/>
        <v>13</v>
      </c>
      <c r="P83" s="8">
        <f t="shared" si="12"/>
        <v>13</v>
      </c>
      <c r="Q83" s="8">
        <f t="shared" si="12"/>
        <v>1</v>
      </c>
      <c r="R83" s="8">
        <f t="shared" si="12"/>
        <v>2</v>
      </c>
      <c r="S83" s="8">
        <f t="shared" si="12"/>
        <v>23</v>
      </c>
      <c r="T83" s="8">
        <f t="shared" si="12"/>
        <v>11</v>
      </c>
      <c r="U83" s="8">
        <f t="shared" si="12"/>
        <v>3</v>
      </c>
      <c r="V83" s="8">
        <f t="shared" si="12"/>
        <v>27</v>
      </c>
      <c r="W83" s="8">
        <f t="shared" si="12"/>
        <v>6</v>
      </c>
      <c r="X83" s="8">
        <f t="shared" si="12"/>
        <v>3</v>
      </c>
      <c r="Y83" s="8">
        <f t="shared" si="12"/>
        <v>2</v>
      </c>
      <c r="Z83" s="8">
        <f t="shared" si="12"/>
        <v>31</v>
      </c>
      <c r="AA83" s="8">
        <f t="shared" si="12"/>
        <v>25</v>
      </c>
      <c r="AB83" s="8">
        <f t="shared" si="12"/>
        <v>10</v>
      </c>
      <c r="AC83" s="8">
        <f t="shared" si="12"/>
        <v>6</v>
      </c>
      <c r="AD83" s="8">
        <f t="shared" si="12"/>
        <v>6</v>
      </c>
      <c r="AE83" s="8">
        <f t="shared" si="12"/>
        <v>2</v>
      </c>
      <c r="AF83" s="8">
        <f t="shared" si="12"/>
        <v>10</v>
      </c>
      <c r="AG83" s="5">
        <f t="shared" si="5"/>
        <v>276</v>
      </c>
    </row>
    <row r="84" spans="1:34" ht="15.75" customHeight="1" thickBot="1" x14ac:dyDescent="0.3">
      <c r="A84" s="67" t="s">
        <v>33</v>
      </c>
      <c r="B84" s="14">
        <f t="shared" ref="B84:AF84" si="13">SUM(B85:B86)</f>
        <v>17</v>
      </c>
      <c r="C84" s="14">
        <f t="shared" si="13"/>
        <v>1</v>
      </c>
      <c r="D84" s="14">
        <f t="shared" si="13"/>
        <v>6</v>
      </c>
      <c r="E84" s="14">
        <f t="shared" si="13"/>
        <v>7</v>
      </c>
      <c r="F84" s="14">
        <f t="shared" si="13"/>
        <v>8</v>
      </c>
      <c r="G84" s="14">
        <f t="shared" si="13"/>
        <v>8</v>
      </c>
      <c r="H84" s="14">
        <f t="shared" si="13"/>
        <v>6</v>
      </c>
      <c r="I84" s="14">
        <f t="shared" si="13"/>
        <v>3</v>
      </c>
      <c r="J84" s="14">
        <f t="shared" si="13"/>
        <v>5</v>
      </c>
      <c r="K84" s="14">
        <f t="shared" si="13"/>
        <v>11</v>
      </c>
      <c r="L84" s="14">
        <f t="shared" si="13"/>
        <v>1</v>
      </c>
      <c r="M84" s="14">
        <f t="shared" si="13"/>
        <v>11</v>
      </c>
      <c r="N84" s="14">
        <f t="shared" si="13"/>
        <v>6</v>
      </c>
      <c r="O84" s="14">
        <f t="shared" si="13"/>
        <v>13</v>
      </c>
      <c r="P84" s="14">
        <f t="shared" si="13"/>
        <v>13</v>
      </c>
      <c r="Q84" s="14">
        <f t="shared" si="13"/>
        <v>8</v>
      </c>
      <c r="R84" s="14">
        <f t="shared" si="13"/>
        <v>2</v>
      </c>
      <c r="S84" s="14">
        <f t="shared" si="13"/>
        <v>23</v>
      </c>
      <c r="T84" s="14">
        <f t="shared" si="13"/>
        <v>11</v>
      </c>
      <c r="U84" s="14">
        <f t="shared" si="13"/>
        <v>3</v>
      </c>
      <c r="V84" s="14">
        <f t="shared" si="13"/>
        <v>27</v>
      </c>
      <c r="W84" s="14">
        <f t="shared" si="13"/>
        <v>7</v>
      </c>
      <c r="X84" s="14">
        <f t="shared" si="13"/>
        <v>5</v>
      </c>
      <c r="Y84" s="14">
        <f t="shared" si="13"/>
        <v>2</v>
      </c>
      <c r="Z84" s="14">
        <f t="shared" si="13"/>
        <v>31</v>
      </c>
      <c r="AA84" s="14">
        <f t="shared" si="13"/>
        <v>25</v>
      </c>
      <c r="AB84" s="14">
        <f t="shared" si="13"/>
        <v>10</v>
      </c>
      <c r="AC84" s="14">
        <f t="shared" si="13"/>
        <v>6</v>
      </c>
      <c r="AD84" s="14">
        <f t="shared" si="13"/>
        <v>8</v>
      </c>
      <c r="AE84" s="14">
        <f t="shared" si="13"/>
        <v>3</v>
      </c>
      <c r="AF84" s="14">
        <f t="shared" si="13"/>
        <v>13</v>
      </c>
      <c r="AG84" s="15">
        <f t="shared" si="5"/>
        <v>300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3</v>
      </c>
      <c r="C85" s="69">
        <v>0</v>
      </c>
      <c r="D85" s="69">
        <v>1</v>
      </c>
      <c r="E85" s="69">
        <v>1</v>
      </c>
      <c r="F85" s="69">
        <v>1</v>
      </c>
      <c r="G85" s="69">
        <v>0</v>
      </c>
      <c r="H85" s="69">
        <v>1</v>
      </c>
      <c r="I85" s="69">
        <v>1</v>
      </c>
      <c r="J85" s="69">
        <v>0</v>
      </c>
      <c r="K85" s="69">
        <v>3</v>
      </c>
      <c r="L85" s="69">
        <v>0</v>
      </c>
      <c r="M85" s="69">
        <v>2</v>
      </c>
      <c r="N85" s="69">
        <v>0</v>
      </c>
      <c r="O85" s="69">
        <v>4</v>
      </c>
      <c r="P85" s="69">
        <v>0</v>
      </c>
      <c r="Q85" s="69">
        <v>4</v>
      </c>
      <c r="R85" s="69">
        <v>0</v>
      </c>
      <c r="S85" s="69">
        <v>4</v>
      </c>
      <c r="T85" s="69">
        <v>3</v>
      </c>
      <c r="U85" s="69">
        <v>0</v>
      </c>
      <c r="V85" s="69">
        <v>9</v>
      </c>
      <c r="W85" s="69">
        <v>2</v>
      </c>
      <c r="X85" s="69">
        <v>1</v>
      </c>
      <c r="Y85" s="69">
        <v>0</v>
      </c>
      <c r="Z85" s="69">
        <v>9</v>
      </c>
      <c r="AA85" s="69">
        <v>4</v>
      </c>
      <c r="AB85" s="69">
        <v>1</v>
      </c>
      <c r="AC85" s="69">
        <v>0</v>
      </c>
      <c r="AD85" s="69">
        <v>2</v>
      </c>
      <c r="AE85" s="69">
        <v>1</v>
      </c>
      <c r="AF85" s="69">
        <v>2</v>
      </c>
      <c r="AG85" s="16">
        <f t="shared" si="5"/>
        <v>59</v>
      </c>
    </row>
    <row r="86" spans="1:34" ht="15.75" customHeight="1" thickBot="1" x14ac:dyDescent="0.3">
      <c r="A86" s="70" t="s">
        <v>35</v>
      </c>
      <c r="B86" s="71">
        <v>14</v>
      </c>
      <c r="C86" s="71">
        <v>1</v>
      </c>
      <c r="D86" s="71">
        <v>5</v>
      </c>
      <c r="E86" s="71">
        <v>6</v>
      </c>
      <c r="F86" s="71">
        <v>7</v>
      </c>
      <c r="G86" s="71">
        <v>8</v>
      </c>
      <c r="H86" s="71">
        <v>5</v>
      </c>
      <c r="I86" s="71">
        <v>2</v>
      </c>
      <c r="J86" s="71">
        <v>5</v>
      </c>
      <c r="K86" s="71">
        <v>8</v>
      </c>
      <c r="L86" s="71">
        <v>1</v>
      </c>
      <c r="M86" s="71">
        <v>9</v>
      </c>
      <c r="N86" s="71">
        <v>6</v>
      </c>
      <c r="O86" s="71">
        <v>9</v>
      </c>
      <c r="P86" s="71">
        <v>13</v>
      </c>
      <c r="Q86" s="71">
        <v>4</v>
      </c>
      <c r="R86" s="71">
        <v>2</v>
      </c>
      <c r="S86" s="71">
        <v>19</v>
      </c>
      <c r="T86" s="71">
        <v>8</v>
      </c>
      <c r="U86" s="71">
        <v>3</v>
      </c>
      <c r="V86" s="71">
        <v>18</v>
      </c>
      <c r="W86" s="71">
        <v>5</v>
      </c>
      <c r="X86" s="71">
        <v>4</v>
      </c>
      <c r="Y86" s="71">
        <v>2</v>
      </c>
      <c r="Z86" s="71">
        <v>22</v>
      </c>
      <c r="AA86" s="71">
        <v>21</v>
      </c>
      <c r="AB86" s="71">
        <v>9</v>
      </c>
      <c r="AC86" s="71">
        <v>6</v>
      </c>
      <c r="AD86" s="71">
        <v>6</v>
      </c>
      <c r="AE86" s="71">
        <v>2</v>
      </c>
      <c r="AF86" s="71">
        <v>11</v>
      </c>
      <c r="AG86" s="17">
        <f t="shared" si="5"/>
        <v>241</v>
      </c>
    </row>
    <row r="87" spans="1:34" ht="15.75" customHeight="1" thickBot="1" x14ac:dyDescent="0.3">
      <c r="A87" s="72" t="s">
        <v>36</v>
      </c>
      <c r="B87" s="18">
        <f t="shared" ref="B87:AF87" si="14">SUM(B88:B92)</f>
        <v>17</v>
      </c>
      <c r="C87" s="18">
        <f t="shared" si="14"/>
        <v>1</v>
      </c>
      <c r="D87" s="18">
        <f t="shared" si="14"/>
        <v>6</v>
      </c>
      <c r="E87" s="18">
        <f t="shared" si="14"/>
        <v>7</v>
      </c>
      <c r="F87" s="18">
        <f t="shared" si="14"/>
        <v>8</v>
      </c>
      <c r="G87" s="18">
        <f t="shared" si="14"/>
        <v>8</v>
      </c>
      <c r="H87" s="18">
        <f t="shared" si="14"/>
        <v>6</v>
      </c>
      <c r="I87" s="18">
        <f t="shared" si="14"/>
        <v>3</v>
      </c>
      <c r="J87" s="18">
        <f t="shared" si="14"/>
        <v>5</v>
      </c>
      <c r="K87" s="18">
        <f t="shared" si="14"/>
        <v>11</v>
      </c>
      <c r="L87" s="18">
        <f t="shared" si="14"/>
        <v>1</v>
      </c>
      <c r="M87" s="18">
        <f t="shared" si="14"/>
        <v>11</v>
      </c>
      <c r="N87" s="18">
        <f t="shared" si="14"/>
        <v>6</v>
      </c>
      <c r="O87" s="18">
        <f t="shared" si="14"/>
        <v>13</v>
      </c>
      <c r="P87" s="18">
        <f t="shared" si="14"/>
        <v>13</v>
      </c>
      <c r="Q87" s="18">
        <f t="shared" si="14"/>
        <v>8</v>
      </c>
      <c r="R87" s="18">
        <f t="shared" si="14"/>
        <v>2</v>
      </c>
      <c r="S87" s="18">
        <f t="shared" si="14"/>
        <v>23</v>
      </c>
      <c r="T87" s="18">
        <f t="shared" si="14"/>
        <v>11</v>
      </c>
      <c r="U87" s="18">
        <f t="shared" si="14"/>
        <v>3</v>
      </c>
      <c r="V87" s="18">
        <f t="shared" si="14"/>
        <v>27</v>
      </c>
      <c r="W87" s="18">
        <f t="shared" si="14"/>
        <v>7</v>
      </c>
      <c r="X87" s="18">
        <f t="shared" si="14"/>
        <v>5</v>
      </c>
      <c r="Y87" s="18">
        <f t="shared" si="14"/>
        <v>2</v>
      </c>
      <c r="Z87" s="18">
        <f t="shared" si="14"/>
        <v>31</v>
      </c>
      <c r="AA87" s="18">
        <f t="shared" si="14"/>
        <v>25</v>
      </c>
      <c r="AB87" s="18">
        <f t="shared" si="14"/>
        <v>10</v>
      </c>
      <c r="AC87" s="18">
        <f t="shared" si="14"/>
        <v>6</v>
      </c>
      <c r="AD87" s="18">
        <f t="shared" si="14"/>
        <v>8</v>
      </c>
      <c r="AE87" s="18">
        <f t="shared" si="14"/>
        <v>3</v>
      </c>
      <c r="AF87" s="18">
        <f t="shared" si="14"/>
        <v>13</v>
      </c>
      <c r="AG87" s="19">
        <f t="shared" si="5"/>
        <v>300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2</v>
      </c>
      <c r="C88" s="60">
        <v>1</v>
      </c>
      <c r="D88" s="60">
        <v>5</v>
      </c>
      <c r="E88" s="60">
        <v>0</v>
      </c>
      <c r="F88" s="60">
        <v>3</v>
      </c>
      <c r="G88" s="60">
        <v>2</v>
      </c>
      <c r="H88" s="60">
        <v>1</v>
      </c>
      <c r="I88" s="60">
        <v>1</v>
      </c>
      <c r="J88" s="60">
        <v>2</v>
      </c>
      <c r="K88" s="60">
        <v>9</v>
      </c>
      <c r="L88" s="60">
        <v>1</v>
      </c>
      <c r="M88" s="60">
        <v>2</v>
      </c>
      <c r="N88" s="60">
        <v>3</v>
      </c>
      <c r="O88" s="60">
        <v>3</v>
      </c>
      <c r="P88" s="60">
        <v>2</v>
      </c>
      <c r="Q88" s="60">
        <v>4</v>
      </c>
      <c r="R88" s="60">
        <v>1</v>
      </c>
      <c r="S88" s="60">
        <v>4</v>
      </c>
      <c r="T88" s="60">
        <v>2</v>
      </c>
      <c r="U88" s="60">
        <v>2</v>
      </c>
      <c r="V88" s="60">
        <v>4</v>
      </c>
      <c r="W88" s="60">
        <v>2</v>
      </c>
      <c r="X88" s="60">
        <v>1</v>
      </c>
      <c r="Y88" s="60">
        <v>1</v>
      </c>
      <c r="Z88" s="60">
        <v>5</v>
      </c>
      <c r="AA88" s="60">
        <v>4</v>
      </c>
      <c r="AB88" s="60">
        <v>2</v>
      </c>
      <c r="AC88" s="60">
        <v>2</v>
      </c>
      <c r="AD88" s="60">
        <v>5</v>
      </c>
      <c r="AE88" s="60">
        <v>2</v>
      </c>
      <c r="AF88" s="60">
        <v>3</v>
      </c>
      <c r="AG88" s="4">
        <f t="shared" si="5"/>
        <v>81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0</v>
      </c>
    </row>
    <row r="90" spans="1:34" ht="15.75" customHeight="1" x14ac:dyDescent="0.25">
      <c r="A90" s="74" t="s">
        <v>39</v>
      </c>
      <c r="B90" s="60">
        <v>0</v>
      </c>
      <c r="C90" s="60">
        <v>0</v>
      </c>
      <c r="D90" s="60">
        <v>1</v>
      </c>
      <c r="E90" s="60">
        <v>0</v>
      </c>
      <c r="F90" s="60">
        <v>0</v>
      </c>
      <c r="G90" s="60">
        <v>0</v>
      </c>
      <c r="H90" s="60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1</v>
      </c>
      <c r="AC90" s="60">
        <v>0</v>
      </c>
      <c r="AD90" s="60">
        <v>0</v>
      </c>
      <c r="AE90" s="60">
        <v>0</v>
      </c>
      <c r="AF90" s="60">
        <v>0</v>
      </c>
      <c r="AG90" s="5">
        <f t="shared" si="5"/>
        <v>2</v>
      </c>
    </row>
    <row r="91" spans="1:34" ht="15.75" customHeight="1" x14ac:dyDescent="0.25">
      <c r="A91" s="74" t="s">
        <v>40</v>
      </c>
      <c r="B91" s="60">
        <v>7</v>
      </c>
      <c r="C91" s="60">
        <v>0</v>
      </c>
      <c r="D91" s="60">
        <v>0</v>
      </c>
      <c r="E91" s="60">
        <v>1</v>
      </c>
      <c r="F91" s="60">
        <v>2</v>
      </c>
      <c r="G91" s="60">
        <v>0</v>
      </c>
      <c r="H91" s="60">
        <v>3</v>
      </c>
      <c r="I91" s="60">
        <v>0</v>
      </c>
      <c r="J91" s="60">
        <v>1</v>
      </c>
      <c r="K91" s="60">
        <v>2</v>
      </c>
      <c r="L91" s="60">
        <v>0</v>
      </c>
      <c r="M91" s="60">
        <v>4</v>
      </c>
      <c r="N91" s="60">
        <v>0</v>
      </c>
      <c r="O91" s="60">
        <v>8</v>
      </c>
      <c r="P91" s="60">
        <v>4</v>
      </c>
      <c r="Q91" s="60">
        <v>1</v>
      </c>
      <c r="R91" s="60">
        <v>1</v>
      </c>
      <c r="S91" s="60">
        <v>11</v>
      </c>
      <c r="T91" s="60">
        <v>2</v>
      </c>
      <c r="U91" s="60">
        <v>0</v>
      </c>
      <c r="V91" s="60">
        <v>17</v>
      </c>
      <c r="W91" s="60">
        <v>3</v>
      </c>
      <c r="X91" s="60">
        <v>3</v>
      </c>
      <c r="Y91" s="60">
        <v>0</v>
      </c>
      <c r="Z91" s="60">
        <v>8</v>
      </c>
      <c r="AA91" s="60">
        <v>16</v>
      </c>
      <c r="AB91" s="60">
        <v>3</v>
      </c>
      <c r="AC91" s="60">
        <v>1</v>
      </c>
      <c r="AD91" s="60">
        <v>1</v>
      </c>
      <c r="AE91" s="60">
        <v>1</v>
      </c>
      <c r="AF91" s="60">
        <v>6</v>
      </c>
      <c r="AG91" s="5">
        <f t="shared" si="5"/>
        <v>106</v>
      </c>
    </row>
    <row r="92" spans="1:34" ht="15.75" customHeight="1" thickBot="1" x14ac:dyDescent="0.3">
      <c r="A92" s="74" t="s">
        <v>41</v>
      </c>
      <c r="B92" s="60">
        <v>8</v>
      </c>
      <c r="C92" s="60">
        <v>0</v>
      </c>
      <c r="D92" s="60">
        <v>0</v>
      </c>
      <c r="E92" s="60">
        <v>6</v>
      </c>
      <c r="F92" s="60">
        <v>3</v>
      </c>
      <c r="G92" s="60">
        <v>6</v>
      </c>
      <c r="H92" s="60">
        <v>2</v>
      </c>
      <c r="I92" s="60">
        <v>2</v>
      </c>
      <c r="J92" s="60">
        <v>2</v>
      </c>
      <c r="K92" s="60">
        <v>0</v>
      </c>
      <c r="L92" s="60">
        <v>0</v>
      </c>
      <c r="M92" s="60">
        <v>5</v>
      </c>
      <c r="N92" s="60">
        <v>3</v>
      </c>
      <c r="O92" s="60">
        <v>2</v>
      </c>
      <c r="P92" s="60">
        <v>7</v>
      </c>
      <c r="Q92" s="60">
        <v>3</v>
      </c>
      <c r="R92" s="60">
        <v>0</v>
      </c>
      <c r="S92" s="60">
        <v>8</v>
      </c>
      <c r="T92" s="60">
        <v>7</v>
      </c>
      <c r="U92" s="60">
        <v>1</v>
      </c>
      <c r="V92" s="60">
        <v>6</v>
      </c>
      <c r="W92" s="60">
        <v>2</v>
      </c>
      <c r="X92" s="60">
        <v>1</v>
      </c>
      <c r="Y92" s="60">
        <v>1</v>
      </c>
      <c r="Z92" s="60">
        <v>18</v>
      </c>
      <c r="AA92" s="60">
        <v>5</v>
      </c>
      <c r="AB92" s="60">
        <v>4</v>
      </c>
      <c r="AC92" s="60">
        <v>3</v>
      </c>
      <c r="AD92" s="60">
        <v>2</v>
      </c>
      <c r="AE92" s="60">
        <v>0</v>
      </c>
      <c r="AF92" s="60">
        <v>4</v>
      </c>
      <c r="AG92" s="5">
        <f t="shared" si="5"/>
        <v>111</v>
      </c>
    </row>
    <row r="93" spans="1:34" ht="15.75" customHeight="1" x14ac:dyDescent="0.25">
      <c r="A93" s="75" t="s">
        <v>42</v>
      </c>
      <c r="B93" s="20">
        <f t="shared" ref="B93:AF93" si="15">+B94+B100</f>
        <v>135</v>
      </c>
      <c r="C93" s="20">
        <f t="shared" si="15"/>
        <v>171</v>
      </c>
      <c r="D93" s="20">
        <f t="shared" si="15"/>
        <v>175</v>
      </c>
      <c r="E93" s="20">
        <f t="shared" si="15"/>
        <v>141</v>
      </c>
      <c r="F93" s="20">
        <f t="shared" si="15"/>
        <v>128</v>
      </c>
      <c r="G93" s="20">
        <f t="shared" si="15"/>
        <v>117</v>
      </c>
      <c r="H93" s="20">
        <f t="shared" si="15"/>
        <v>116</v>
      </c>
      <c r="I93" s="20">
        <f t="shared" si="15"/>
        <v>111</v>
      </c>
      <c r="J93" s="20">
        <f t="shared" si="15"/>
        <v>185</v>
      </c>
      <c r="K93" s="20">
        <f t="shared" si="15"/>
        <v>177</v>
      </c>
      <c r="L93" s="20">
        <f t="shared" si="15"/>
        <v>149</v>
      </c>
      <c r="M93" s="20">
        <f t="shared" si="15"/>
        <v>111</v>
      </c>
      <c r="N93" s="20">
        <f t="shared" si="15"/>
        <v>121</v>
      </c>
      <c r="O93" s="20">
        <f t="shared" si="15"/>
        <v>148</v>
      </c>
      <c r="P93" s="20">
        <f t="shared" si="15"/>
        <v>123</v>
      </c>
      <c r="Q93" s="20">
        <f t="shared" si="15"/>
        <v>212</v>
      </c>
      <c r="R93" s="20">
        <f t="shared" si="15"/>
        <v>168</v>
      </c>
      <c r="S93" s="20">
        <f t="shared" si="15"/>
        <v>156</v>
      </c>
      <c r="T93" s="20">
        <f t="shared" si="15"/>
        <v>139</v>
      </c>
      <c r="U93" s="20">
        <f t="shared" si="15"/>
        <v>94</v>
      </c>
      <c r="V93" s="20">
        <f t="shared" si="15"/>
        <v>129</v>
      </c>
      <c r="W93" s="20">
        <f t="shared" si="15"/>
        <v>132</v>
      </c>
      <c r="X93" s="20">
        <f t="shared" si="15"/>
        <v>186</v>
      </c>
      <c r="Y93" s="20">
        <f t="shared" si="15"/>
        <v>174</v>
      </c>
      <c r="Z93" s="20">
        <f t="shared" si="15"/>
        <v>153</v>
      </c>
      <c r="AA93" s="20">
        <f t="shared" si="15"/>
        <v>123</v>
      </c>
      <c r="AB93" s="20">
        <f t="shared" si="15"/>
        <v>145</v>
      </c>
      <c r="AC93" s="20">
        <f t="shared" si="15"/>
        <v>129</v>
      </c>
      <c r="AD93" s="20">
        <f t="shared" si="15"/>
        <v>180</v>
      </c>
      <c r="AE93" s="20">
        <f t="shared" si="15"/>
        <v>172</v>
      </c>
      <c r="AF93" s="20">
        <f t="shared" si="15"/>
        <v>171</v>
      </c>
      <c r="AG93" s="5">
        <f t="shared" si="5"/>
        <v>4571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14</v>
      </c>
      <c r="C94" s="21">
        <f t="shared" si="16"/>
        <v>17</v>
      </c>
      <c r="D94" s="21">
        <f t="shared" si="16"/>
        <v>15</v>
      </c>
      <c r="E94" s="21">
        <f t="shared" si="16"/>
        <v>13</v>
      </c>
      <c r="F94" s="21">
        <f t="shared" si="16"/>
        <v>11</v>
      </c>
      <c r="G94" s="21">
        <f t="shared" si="16"/>
        <v>13</v>
      </c>
      <c r="H94" s="21">
        <f t="shared" si="16"/>
        <v>12</v>
      </c>
      <c r="I94" s="21">
        <f t="shared" si="16"/>
        <v>11</v>
      </c>
      <c r="J94" s="21">
        <f t="shared" si="16"/>
        <v>18</v>
      </c>
      <c r="K94" s="21">
        <f t="shared" si="16"/>
        <v>25</v>
      </c>
      <c r="L94" s="21">
        <f t="shared" si="16"/>
        <v>17</v>
      </c>
      <c r="M94" s="21">
        <f t="shared" si="16"/>
        <v>20</v>
      </c>
      <c r="N94" s="21">
        <f t="shared" si="16"/>
        <v>17</v>
      </c>
      <c r="O94" s="21">
        <f t="shared" si="16"/>
        <v>36</v>
      </c>
      <c r="P94" s="21">
        <f t="shared" si="16"/>
        <v>22</v>
      </c>
      <c r="Q94" s="21">
        <f t="shared" si="16"/>
        <v>44</v>
      </c>
      <c r="R94" s="21">
        <f t="shared" si="16"/>
        <v>43</v>
      </c>
      <c r="S94" s="21">
        <f t="shared" si="16"/>
        <v>32</v>
      </c>
      <c r="T94" s="21">
        <f t="shared" si="16"/>
        <v>29</v>
      </c>
      <c r="U94" s="21">
        <f t="shared" si="16"/>
        <v>15</v>
      </c>
      <c r="V94" s="21">
        <f t="shared" si="16"/>
        <v>26</v>
      </c>
      <c r="W94" s="21">
        <f t="shared" si="16"/>
        <v>21</v>
      </c>
      <c r="X94" s="21">
        <f t="shared" si="16"/>
        <v>42</v>
      </c>
      <c r="Y94" s="21">
        <f t="shared" si="16"/>
        <v>44</v>
      </c>
      <c r="Z94" s="21">
        <f t="shared" si="16"/>
        <v>32</v>
      </c>
      <c r="AA94" s="21">
        <f t="shared" si="16"/>
        <v>25</v>
      </c>
      <c r="AB94" s="21">
        <f t="shared" si="16"/>
        <v>20</v>
      </c>
      <c r="AC94" s="21">
        <f t="shared" si="16"/>
        <v>21</v>
      </c>
      <c r="AD94" s="21">
        <f t="shared" si="16"/>
        <v>25</v>
      </c>
      <c r="AE94" s="21">
        <f t="shared" si="16"/>
        <v>19</v>
      </c>
      <c r="AF94" s="21">
        <f t="shared" si="16"/>
        <v>31</v>
      </c>
      <c r="AG94" s="5">
        <f t="shared" si="5"/>
        <v>730</v>
      </c>
    </row>
    <row r="95" spans="1:34" ht="15.75" customHeight="1" x14ac:dyDescent="0.25">
      <c r="A95" s="78" t="s">
        <v>44</v>
      </c>
      <c r="B95" s="54">
        <v>0</v>
      </c>
      <c r="C95" s="54">
        <v>0</v>
      </c>
      <c r="D95" s="54">
        <v>1</v>
      </c>
      <c r="E95" s="54">
        <v>1</v>
      </c>
      <c r="F95" s="54">
        <v>0</v>
      </c>
      <c r="G95" s="54">
        <v>0</v>
      </c>
      <c r="H95" s="54">
        <v>1</v>
      </c>
      <c r="I95" s="54">
        <v>0</v>
      </c>
      <c r="J95" s="54">
        <v>1</v>
      </c>
      <c r="K95" s="54">
        <v>1</v>
      </c>
      <c r="L95" s="54">
        <v>1</v>
      </c>
      <c r="M95" s="54">
        <v>0</v>
      </c>
      <c r="N95" s="54">
        <v>0</v>
      </c>
      <c r="O95" s="54">
        <v>1</v>
      </c>
      <c r="P95" s="54">
        <v>0</v>
      </c>
      <c r="Q95" s="54">
        <v>1</v>
      </c>
      <c r="R95" s="54">
        <v>1</v>
      </c>
      <c r="S95" s="54">
        <v>1</v>
      </c>
      <c r="T95" s="54">
        <v>0</v>
      </c>
      <c r="U95" s="54">
        <v>1</v>
      </c>
      <c r="V95" s="54">
        <v>0</v>
      </c>
      <c r="W95" s="54">
        <v>0</v>
      </c>
      <c r="X95" s="54">
        <v>0</v>
      </c>
      <c r="Y95" s="54">
        <v>1</v>
      </c>
      <c r="Z95" s="54">
        <v>2</v>
      </c>
      <c r="AA95" s="54">
        <v>1</v>
      </c>
      <c r="AB95" s="54">
        <v>0</v>
      </c>
      <c r="AC95" s="54">
        <v>1</v>
      </c>
      <c r="AD95" s="54">
        <v>2</v>
      </c>
      <c r="AE95" s="54">
        <v>0</v>
      </c>
      <c r="AF95" s="54">
        <v>0</v>
      </c>
      <c r="AG95" s="5">
        <f t="shared" si="5"/>
        <v>18</v>
      </c>
    </row>
    <row r="96" spans="1:34" ht="15.75" customHeight="1" x14ac:dyDescent="0.25">
      <c r="A96" s="79" t="s">
        <v>45</v>
      </c>
      <c r="B96" s="54">
        <v>0</v>
      </c>
      <c r="C96" s="54">
        <v>0</v>
      </c>
      <c r="D96" s="54">
        <v>0</v>
      </c>
      <c r="E96" s="54">
        <v>0</v>
      </c>
      <c r="F96" s="54">
        <v>2</v>
      </c>
      <c r="G96" s="54">
        <v>3</v>
      </c>
      <c r="H96" s="54">
        <v>0</v>
      </c>
      <c r="I96" s="54">
        <v>0</v>
      </c>
      <c r="J96" s="54">
        <v>1</v>
      </c>
      <c r="K96" s="54">
        <v>3</v>
      </c>
      <c r="L96" s="54">
        <v>0</v>
      </c>
      <c r="M96" s="54">
        <v>0</v>
      </c>
      <c r="N96" s="54">
        <v>0</v>
      </c>
      <c r="O96" s="54">
        <v>1</v>
      </c>
      <c r="P96" s="54">
        <v>2</v>
      </c>
      <c r="Q96" s="54">
        <v>0</v>
      </c>
      <c r="R96" s="54">
        <v>2</v>
      </c>
      <c r="S96" s="54">
        <v>0</v>
      </c>
      <c r="T96" s="54">
        <v>2</v>
      </c>
      <c r="U96" s="54">
        <v>0</v>
      </c>
      <c r="V96" s="54">
        <v>0</v>
      </c>
      <c r="W96" s="54">
        <v>0</v>
      </c>
      <c r="X96" s="54">
        <v>4</v>
      </c>
      <c r="Y96" s="54">
        <v>2</v>
      </c>
      <c r="Z96" s="54">
        <v>1</v>
      </c>
      <c r="AA96" s="54">
        <v>2</v>
      </c>
      <c r="AB96" s="54">
        <v>2</v>
      </c>
      <c r="AC96" s="54">
        <v>1</v>
      </c>
      <c r="AD96" s="54">
        <v>3</v>
      </c>
      <c r="AE96" s="54">
        <v>0</v>
      </c>
      <c r="AF96" s="54">
        <v>1</v>
      </c>
      <c r="AG96" s="5">
        <f t="shared" si="5"/>
        <v>32</v>
      </c>
    </row>
    <row r="97" spans="1:33" ht="15.75" customHeight="1" x14ac:dyDescent="0.25">
      <c r="A97" s="80" t="s">
        <v>46</v>
      </c>
      <c r="B97" s="54">
        <v>1</v>
      </c>
      <c r="C97" s="54">
        <v>4</v>
      </c>
      <c r="D97" s="54">
        <v>2</v>
      </c>
      <c r="E97" s="54">
        <v>1</v>
      </c>
      <c r="F97" s="54">
        <v>2</v>
      </c>
      <c r="G97" s="54">
        <v>1</v>
      </c>
      <c r="H97" s="54">
        <v>2</v>
      </c>
      <c r="I97" s="54">
        <v>2</v>
      </c>
      <c r="J97" s="54">
        <v>3</v>
      </c>
      <c r="K97" s="54">
        <v>6</v>
      </c>
      <c r="L97" s="54">
        <v>1</v>
      </c>
      <c r="M97" s="54">
        <v>2</v>
      </c>
      <c r="N97" s="54">
        <v>4</v>
      </c>
      <c r="O97" s="54">
        <v>5</v>
      </c>
      <c r="P97" s="54">
        <v>5</v>
      </c>
      <c r="Q97" s="54">
        <v>8</v>
      </c>
      <c r="R97" s="54">
        <v>6</v>
      </c>
      <c r="S97" s="54">
        <v>4</v>
      </c>
      <c r="T97" s="54">
        <v>0</v>
      </c>
      <c r="U97" s="54">
        <v>2</v>
      </c>
      <c r="V97" s="54">
        <v>3</v>
      </c>
      <c r="W97" s="54">
        <v>7</v>
      </c>
      <c r="X97" s="54">
        <v>12</v>
      </c>
      <c r="Y97" s="54">
        <v>6</v>
      </c>
      <c r="Z97" s="54">
        <v>2</v>
      </c>
      <c r="AA97" s="54">
        <v>5</v>
      </c>
      <c r="AB97" s="54">
        <v>2</v>
      </c>
      <c r="AC97" s="54">
        <v>5</v>
      </c>
      <c r="AD97" s="54">
        <v>4</v>
      </c>
      <c r="AE97" s="54">
        <v>1</v>
      </c>
      <c r="AF97" s="54">
        <v>5</v>
      </c>
      <c r="AG97" s="5">
        <f t="shared" si="5"/>
        <v>113</v>
      </c>
    </row>
    <row r="98" spans="1:33" ht="15.75" customHeight="1" x14ac:dyDescent="0.25">
      <c r="A98" s="81" t="s">
        <v>47</v>
      </c>
      <c r="B98" s="54">
        <v>3</v>
      </c>
      <c r="C98" s="54">
        <v>5</v>
      </c>
      <c r="D98" s="54">
        <v>6</v>
      </c>
      <c r="E98" s="54">
        <v>6</v>
      </c>
      <c r="F98" s="54">
        <v>2</v>
      </c>
      <c r="G98" s="54">
        <v>3</v>
      </c>
      <c r="H98" s="54">
        <v>7</v>
      </c>
      <c r="I98" s="54">
        <v>5</v>
      </c>
      <c r="J98" s="54">
        <v>5</v>
      </c>
      <c r="K98" s="54">
        <v>12</v>
      </c>
      <c r="L98" s="54">
        <v>7</v>
      </c>
      <c r="M98" s="54">
        <v>9</v>
      </c>
      <c r="N98" s="54">
        <v>6</v>
      </c>
      <c r="O98" s="54">
        <v>17</v>
      </c>
      <c r="P98" s="54">
        <v>8</v>
      </c>
      <c r="Q98" s="54">
        <v>17</v>
      </c>
      <c r="R98" s="54">
        <v>15</v>
      </c>
      <c r="S98" s="54">
        <v>12</v>
      </c>
      <c r="T98" s="54">
        <v>14</v>
      </c>
      <c r="U98" s="54">
        <v>5</v>
      </c>
      <c r="V98" s="54">
        <v>12</v>
      </c>
      <c r="W98" s="54">
        <v>7</v>
      </c>
      <c r="X98" s="54">
        <v>15</v>
      </c>
      <c r="Y98" s="54">
        <v>25</v>
      </c>
      <c r="Z98" s="54">
        <v>12</v>
      </c>
      <c r="AA98" s="54">
        <v>6</v>
      </c>
      <c r="AB98" s="54">
        <v>12</v>
      </c>
      <c r="AC98" s="54">
        <v>8</v>
      </c>
      <c r="AD98" s="54">
        <v>8</v>
      </c>
      <c r="AE98" s="54">
        <v>9</v>
      </c>
      <c r="AF98" s="54">
        <v>13</v>
      </c>
      <c r="AG98" s="5">
        <f t="shared" si="5"/>
        <v>291</v>
      </c>
    </row>
    <row r="99" spans="1:33" ht="15.75" customHeight="1" x14ac:dyDescent="0.25">
      <c r="A99" s="82" t="s">
        <v>48</v>
      </c>
      <c r="B99" s="54">
        <v>10</v>
      </c>
      <c r="C99" s="54">
        <v>8</v>
      </c>
      <c r="D99" s="54">
        <v>6</v>
      </c>
      <c r="E99" s="54">
        <v>5</v>
      </c>
      <c r="F99" s="54">
        <v>5</v>
      </c>
      <c r="G99" s="54">
        <v>6</v>
      </c>
      <c r="H99" s="54">
        <v>2</v>
      </c>
      <c r="I99" s="54">
        <v>4</v>
      </c>
      <c r="J99" s="54">
        <v>8</v>
      </c>
      <c r="K99" s="54">
        <v>3</v>
      </c>
      <c r="L99" s="54">
        <v>8</v>
      </c>
      <c r="M99" s="54">
        <v>9</v>
      </c>
      <c r="N99" s="54">
        <v>7</v>
      </c>
      <c r="O99" s="54">
        <v>12</v>
      </c>
      <c r="P99" s="54">
        <v>7</v>
      </c>
      <c r="Q99" s="54">
        <v>18</v>
      </c>
      <c r="R99" s="54">
        <v>19</v>
      </c>
      <c r="S99" s="54">
        <v>15</v>
      </c>
      <c r="T99" s="54">
        <v>13</v>
      </c>
      <c r="U99" s="54">
        <v>7</v>
      </c>
      <c r="V99" s="54">
        <v>11</v>
      </c>
      <c r="W99" s="54">
        <v>7</v>
      </c>
      <c r="X99" s="54">
        <v>11</v>
      </c>
      <c r="Y99" s="54">
        <v>10</v>
      </c>
      <c r="Z99" s="54">
        <v>15</v>
      </c>
      <c r="AA99" s="54">
        <v>11</v>
      </c>
      <c r="AB99" s="54">
        <v>4</v>
      </c>
      <c r="AC99" s="54">
        <v>6</v>
      </c>
      <c r="AD99" s="54">
        <v>8</v>
      </c>
      <c r="AE99" s="54">
        <v>9</v>
      </c>
      <c r="AF99" s="54">
        <v>12</v>
      </c>
      <c r="AG99" s="5">
        <f t="shared" ref="AG99:AG162" si="17">SUM(B99:AF99)</f>
        <v>276</v>
      </c>
    </row>
    <row r="100" spans="1:33" ht="15.75" customHeight="1" x14ac:dyDescent="0.25">
      <c r="A100" s="76" t="s">
        <v>49</v>
      </c>
      <c r="B100" s="21">
        <f t="shared" ref="B100:AF100" si="18">SUM(B101:B115)</f>
        <v>121</v>
      </c>
      <c r="C100" s="21">
        <f t="shared" si="18"/>
        <v>154</v>
      </c>
      <c r="D100" s="21">
        <f t="shared" si="18"/>
        <v>160</v>
      </c>
      <c r="E100" s="21">
        <f t="shared" si="18"/>
        <v>128</v>
      </c>
      <c r="F100" s="21">
        <f t="shared" si="18"/>
        <v>117</v>
      </c>
      <c r="G100" s="21">
        <f t="shared" si="18"/>
        <v>104</v>
      </c>
      <c r="H100" s="21">
        <f t="shared" si="18"/>
        <v>104</v>
      </c>
      <c r="I100" s="21">
        <f t="shared" si="18"/>
        <v>100</v>
      </c>
      <c r="J100" s="21">
        <f t="shared" si="18"/>
        <v>167</v>
      </c>
      <c r="K100" s="21">
        <f t="shared" si="18"/>
        <v>152</v>
      </c>
      <c r="L100" s="21">
        <f t="shared" si="18"/>
        <v>132</v>
      </c>
      <c r="M100" s="21">
        <f t="shared" si="18"/>
        <v>91</v>
      </c>
      <c r="N100" s="21">
        <f t="shared" si="18"/>
        <v>104</v>
      </c>
      <c r="O100" s="21">
        <f t="shared" si="18"/>
        <v>112</v>
      </c>
      <c r="P100" s="21">
        <f t="shared" si="18"/>
        <v>101</v>
      </c>
      <c r="Q100" s="21">
        <f t="shared" si="18"/>
        <v>168</v>
      </c>
      <c r="R100" s="21">
        <f t="shared" si="18"/>
        <v>125</v>
      </c>
      <c r="S100" s="21">
        <f t="shared" si="18"/>
        <v>124</v>
      </c>
      <c r="T100" s="21">
        <f t="shared" si="18"/>
        <v>110</v>
      </c>
      <c r="U100" s="21">
        <f t="shared" si="18"/>
        <v>79</v>
      </c>
      <c r="V100" s="21">
        <f t="shared" si="18"/>
        <v>103</v>
      </c>
      <c r="W100" s="21">
        <f t="shared" si="18"/>
        <v>111</v>
      </c>
      <c r="X100" s="21">
        <f t="shared" si="18"/>
        <v>144</v>
      </c>
      <c r="Y100" s="21">
        <f t="shared" si="18"/>
        <v>130</v>
      </c>
      <c r="Z100" s="21">
        <f t="shared" si="18"/>
        <v>121</v>
      </c>
      <c r="AA100" s="21">
        <f t="shared" si="18"/>
        <v>98</v>
      </c>
      <c r="AB100" s="21">
        <f t="shared" si="18"/>
        <v>125</v>
      </c>
      <c r="AC100" s="21">
        <f t="shared" si="18"/>
        <v>108</v>
      </c>
      <c r="AD100" s="21">
        <f t="shared" si="18"/>
        <v>155</v>
      </c>
      <c r="AE100" s="21">
        <f t="shared" si="18"/>
        <v>153</v>
      </c>
      <c r="AF100" s="21">
        <f t="shared" si="18"/>
        <v>140</v>
      </c>
      <c r="AG100" s="5">
        <f t="shared" si="17"/>
        <v>3841</v>
      </c>
    </row>
    <row r="101" spans="1:33" ht="15.75" customHeight="1" x14ac:dyDescent="0.25">
      <c r="A101" s="82" t="s">
        <v>50</v>
      </c>
      <c r="B101" s="54">
        <v>9</v>
      </c>
      <c r="C101" s="54">
        <v>9</v>
      </c>
      <c r="D101" s="54">
        <v>8</v>
      </c>
      <c r="E101" s="54">
        <v>4</v>
      </c>
      <c r="F101" s="54">
        <v>6</v>
      </c>
      <c r="G101" s="54">
        <v>5</v>
      </c>
      <c r="H101" s="54">
        <v>5</v>
      </c>
      <c r="I101" s="54">
        <v>3</v>
      </c>
      <c r="J101" s="54">
        <v>4</v>
      </c>
      <c r="K101" s="54">
        <v>13</v>
      </c>
      <c r="L101" s="54">
        <v>6</v>
      </c>
      <c r="M101" s="54">
        <v>7</v>
      </c>
      <c r="N101" s="54">
        <v>11</v>
      </c>
      <c r="O101" s="54">
        <v>8</v>
      </c>
      <c r="P101" s="54">
        <v>8</v>
      </c>
      <c r="Q101" s="54">
        <v>10</v>
      </c>
      <c r="R101" s="54">
        <v>12</v>
      </c>
      <c r="S101" s="54">
        <v>24</v>
      </c>
      <c r="T101" s="54">
        <v>15</v>
      </c>
      <c r="U101" s="54">
        <v>12</v>
      </c>
      <c r="V101" s="54">
        <v>8</v>
      </c>
      <c r="W101" s="54">
        <v>11</v>
      </c>
      <c r="X101" s="54">
        <v>8</v>
      </c>
      <c r="Y101" s="54">
        <v>7</v>
      </c>
      <c r="Z101" s="54">
        <v>13</v>
      </c>
      <c r="AA101" s="54">
        <v>14</v>
      </c>
      <c r="AB101" s="54">
        <v>18</v>
      </c>
      <c r="AC101" s="54">
        <v>12</v>
      </c>
      <c r="AD101" s="54">
        <v>8</v>
      </c>
      <c r="AE101" s="54">
        <v>11</v>
      </c>
      <c r="AF101" s="54">
        <v>11</v>
      </c>
      <c r="AG101" s="5">
        <f t="shared" si="17"/>
        <v>300</v>
      </c>
    </row>
    <row r="102" spans="1:33" ht="15.75" customHeight="1" x14ac:dyDescent="0.25">
      <c r="A102" s="82" t="s">
        <v>51</v>
      </c>
      <c r="B102" s="54">
        <v>10</v>
      </c>
      <c r="C102" s="54">
        <v>8</v>
      </c>
      <c r="D102" s="54">
        <v>20</v>
      </c>
      <c r="E102" s="54">
        <v>10</v>
      </c>
      <c r="F102" s="54">
        <v>12</v>
      </c>
      <c r="G102" s="54">
        <v>6</v>
      </c>
      <c r="H102" s="54">
        <v>12</v>
      </c>
      <c r="I102" s="54">
        <v>10</v>
      </c>
      <c r="J102" s="54">
        <v>12</v>
      </c>
      <c r="K102" s="54">
        <v>11</v>
      </c>
      <c r="L102" s="54">
        <v>16</v>
      </c>
      <c r="M102" s="54">
        <v>5</v>
      </c>
      <c r="N102" s="54">
        <v>8</v>
      </c>
      <c r="O102" s="54">
        <v>15</v>
      </c>
      <c r="P102" s="54">
        <v>11</v>
      </c>
      <c r="Q102" s="54">
        <v>8</v>
      </c>
      <c r="R102" s="54">
        <v>13</v>
      </c>
      <c r="S102" s="54">
        <v>12</v>
      </c>
      <c r="T102" s="54">
        <v>9</v>
      </c>
      <c r="U102" s="54">
        <v>12</v>
      </c>
      <c r="V102" s="54">
        <v>6</v>
      </c>
      <c r="W102" s="54">
        <v>8</v>
      </c>
      <c r="X102" s="54">
        <v>11</v>
      </c>
      <c r="Y102" s="54">
        <v>10</v>
      </c>
      <c r="Z102" s="54">
        <v>16</v>
      </c>
      <c r="AA102" s="54">
        <v>5</v>
      </c>
      <c r="AB102" s="54">
        <v>17</v>
      </c>
      <c r="AC102" s="54">
        <v>8</v>
      </c>
      <c r="AD102" s="54">
        <v>16</v>
      </c>
      <c r="AE102" s="54">
        <v>17</v>
      </c>
      <c r="AF102" s="54">
        <v>15</v>
      </c>
      <c r="AG102" s="5">
        <f t="shared" si="17"/>
        <v>349</v>
      </c>
    </row>
    <row r="103" spans="1:33" ht="15.75" customHeight="1" x14ac:dyDescent="0.25">
      <c r="A103" s="78" t="s">
        <v>52</v>
      </c>
      <c r="B103" s="54">
        <v>15</v>
      </c>
      <c r="C103" s="54">
        <v>13</v>
      </c>
      <c r="D103" s="54">
        <v>18</v>
      </c>
      <c r="E103" s="54">
        <v>10</v>
      </c>
      <c r="F103" s="54">
        <v>11</v>
      </c>
      <c r="G103" s="54">
        <v>4</v>
      </c>
      <c r="H103" s="54">
        <v>10</v>
      </c>
      <c r="I103" s="54">
        <v>4</v>
      </c>
      <c r="J103" s="54">
        <v>12</v>
      </c>
      <c r="K103" s="54">
        <v>15</v>
      </c>
      <c r="L103" s="54">
        <v>17</v>
      </c>
      <c r="M103" s="54">
        <v>0</v>
      </c>
      <c r="N103" s="54">
        <v>9</v>
      </c>
      <c r="O103" s="54">
        <v>4</v>
      </c>
      <c r="P103" s="54">
        <v>10</v>
      </c>
      <c r="Q103" s="54">
        <v>15</v>
      </c>
      <c r="R103" s="54">
        <v>12</v>
      </c>
      <c r="S103" s="54">
        <v>10</v>
      </c>
      <c r="T103" s="54">
        <v>7</v>
      </c>
      <c r="U103" s="54">
        <v>4</v>
      </c>
      <c r="V103" s="54">
        <v>8</v>
      </c>
      <c r="W103" s="54">
        <v>10</v>
      </c>
      <c r="X103" s="54">
        <v>12</v>
      </c>
      <c r="Y103" s="54">
        <v>11</v>
      </c>
      <c r="Z103" s="54">
        <v>12</v>
      </c>
      <c r="AA103" s="54">
        <v>8</v>
      </c>
      <c r="AB103" s="54">
        <v>11</v>
      </c>
      <c r="AC103" s="54">
        <v>14</v>
      </c>
      <c r="AD103" s="54">
        <v>19</v>
      </c>
      <c r="AE103" s="54">
        <v>11</v>
      </c>
      <c r="AF103" s="54">
        <v>22</v>
      </c>
      <c r="AG103" s="5">
        <f t="shared" si="17"/>
        <v>338</v>
      </c>
    </row>
    <row r="104" spans="1:33" ht="15.75" customHeight="1" x14ac:dyDescent="0.25">
      <c r="A104" s="78" t="s">
        <v>53</v>
      </c>
      <c r="B104" s="54">
        <v>7</v>
      </c>
      <c r="C104" s="54">
        <v>10</v>
      </c>
      <c r="D104" s="54">
        <v>15</v>
      </c>
      <c r="E104" s="54">
        <v>14</v>
      </c>
      <c r="F104" s="54">
        <v>8</v>
      </c>
      <c r="G104" s="54">
        <v>9</v>
      </c>
      <c r="H104" s="54">
        <v>7</v>
      </c>
      <c r="I104" s="54">
        <v>7</v>
      </c>
      <c r="J104" s="54">
        <v>13</v>
      </c>
      <c r="K104" s="54">
        <v>15</v>
      </c>
      <c r="L104" s="54">
        <v>10</v>
      </c>
      <c r="M104" s="54">
        <v>10</v>
      </c>
      <c r="N104" s="54">
        <v>5</v>
      </c>
      <c r="O104" s="54">
        <v>9</v>
      </c>
      <c r="P104" s="54">
        <v>9</v>
      </c>
      <c r="Q104" s="54">
        <v>15</v>
      </c>
      <c r="R104" s="54">
        <v>9</v>
      </c>
      <c r="S104" s="54">
        <v>7</v>
      </c>
      <c r="T104" s="54">
        <v>9</v>
      </c>
      <c r="U104" s="54">
        <v>8</v>
      </c>
      <c r="V104" s="54">
        <v>9</v>
      </c>
      <c r="W104" s="54">
        <v>8</v>
      </c>
      <c r="X104" s="54">
        <v>16</v>
      </c>
      <c r="Y104" s="54">
        <v>13</v>
      </c>
      <c r="Z104" s="54">
        <v>7</v>
      </c>
      <c r="AA104" s="54">
        <v>4</v>
      </c>
      <c r="AB104" s="54">
        <v>8</v>
      </c>
      <c r="AC104" s="54">
        <v>10</v>
      </c>
      <c r="AD104" s="54">
        <v>14</v>
      </c>
      <c r="AE104" s="54">
        <v>14</v>
      </c>
      <c r="AF104" s="54">
        <v>10</v>
      </c>
      <c r="AG104" s="5">
        <f t="shared" si="17"/>
        <v>309</v>
      </c>
    </row>
    <row r="105" spans="1:33" ht="15.75" customHeight="1" x14ac:dyDescent="0.25">
      <c r="A105" s="78" t="s">
        <v>54</v>
      </c>
      <c r="B105" s="54">
        <v>5</v>
      </c>
      <c r="C105" s="54">
        <v>7</v>
      </c>
      <c r="D105" s="54">
        <v>13</v>
      </c>
      <c r="E105" s="54">
        <v>5</v>
      </c>
      <c r="F105" s="54">
        <v>9</v>
      </c>
      <c r="G105" s="54">
        <v>11</v>
      </c>
      <c r="H105" s="54">
        <v>8</v>
      </c>
      <c r="I105" s="54">
        <v>10</v>
      </c>
      <c r="J105" s="54">
        <v>5</v>
      </c>
      <c r="K105" s="54">
        <v>11</v>
      </c>
      <c r="L105" s="54">
        <v>9</v>
      </c>
      <c r="M105" s="54">
        <v>9</v>
      </c>
      <c r="N105" s="54">
        <v>9</v>
      </c>
      <c r="O105" s="54">
        <v>9</v>
      </c>
      <c r="P105" s="54">
        <v>2</v>
      </c>
      <c r="Q105" s="54">
        <v>13</v>
      </c>
      <c r="R105" s="54">
        <v>14</v>
      </c>
      <c r="S105" s="54">
        <v>12</v>
      </c>
      <c r="T105" s="54">
        <v>8</v>
      </c>
      <c r="U105" s="54">
        <v>4</v>
      </c>
      <c r="V105" s="54">
        <v>12</v>
      </c>
      <c r="W105" s="54">
        <v>7</v>
      </c>
      <c r="X105" s="54">
        <v>5</v>
      </c>
      <c r="Y105" s="54">
        <v>12</v>
      </c>
      <c r="Z105" s="54">
        <v>5</v>
      </c>
      <c r="AA105" s="54">
        <v>8</v>
      </c>
      <c r="AB105" s="54">
        <v>11</v>
      </c>
      <c r="AC105" s="54">
        <v>14</v>
      </c>
      <c r="AD105" s="54">
        <v>14</v>
      </c>
      <c r="AE105" s="54">
        <v>10</v>
      </c>
      <c r="AF105" s="54">
        <v>8</v>
      </c>
      <c r="AG105" s="5">
        <f t="shared" si="17"/>
        <v>279</v>
      </c>
    </row>
    <row r="106" spans="1:33" ht="15.75" customHeight="1" x14ac:dyDescent="0.25">
      <c r="A106" s="78" t="s">
        <v>55</v>
      </c>
      <c r="B106" s="54">
        <v>12</v>
      </c>
      <c r="C106" s="54">
        <v>15</v>
      </c>
      <c r="D106" s="54">
        <v>11</v>
      </c>
      <c r="E106" s="54">
        <v>10</v>
      </c>
      <c r="F106" s="54">
        <v>8</v>
      </c>
      <c r="G106" s="54">
        <v>6</v>
      </c>
      <c r="H106" s="54">
        <v>4</v>
      </c>
      <c r="I106" s="54">
        <v>7</v>
      </c>
      <c r="J106" s="54">
        <v>12</v>
      </c>
      <c r="K106" s="54">
        <v>11</v>
      </c>
      <c r="L106" s="54">
        <v>9</v>
      </c>
      <c r="M106" s="54">
        <v>7</v>
      </c>
      <c r="N106" s="54">
        <v>9</v>
      </c>
      <c r="O106" s="54">
        <v>7</v>
      </c>
      <c r="P106" s="54">
        <v>9</v>
      </c>
      <c r="Q106" s="54">
        <v>12</v>
      </c>
      <c r="R106" s="54">
        <v>8</v>
      </c>
      <c r="S106" s="54">
        <v>6</v>
      </c>
      <c r="T106" s="54">
        <v>5</v>
      </c>
      <c r="U106" s="54">
        <v>8</v>
      </c>
      <c r="V106" s="54">
        <v>6</v>
      </c>
      <c r="W106" s="54">
        <v>14</v>
      </c>
      <c r="X106" s="54">
        <v>15</v>
      </c>
      <c r="Y106" s="54">
        <v>5</v>
      </c>
      <c r="Z106" s="54">
        <v>11</v>
      </c>
      <c r="AA106" s="54">
        <v>10</v>
      </c>
      <c r="AB106" s="54">
        <v>7</v>
      </c>
      <c r="AC106" s="54">
        <v>3</v>
      </c>
      <c r="AD106" s="54">
        <v>9</v>
      </c>
      <c r="AE106" s="54">
        <v>5</v>
      </c>
      <c r="AF106" s="54">
        <v>10</v>
      </c>
      <c r="AG106" s="5">
        <f t="shared" si="17"/>
        <v>271</v>
      </c>
    </row>
    <row r="107" spans="1:33" ht="15.75" customHeight="1" x14ac:dyDescent="0.25">
      <c r="A107" s="78" t="s">
        <v>56</v>
      </c>
      <c r="B107" s="54">
        <v>7</v>
      </c>
      <c r="C107" s="54">
        <v>8</v>
      </c>
      <c r="D107" s="54">
        <v>8</v>
      </c>
      <c r="E107" s="54">
        <v>11</v>
      </c>
      <c r="F107" s="54">
        <v>6</v>
      </c>
      <c r="G107" s="54">
        <v>3</v>
      </c>
      <c r="H107" s="54">
        <v>8</v>
      </c>
      <c r="I107" s="54">
        <v>8</v>
      </c>
      <c r="J107" s="54">
        <v>13</v>
      </c>
      <c r="K107" s="54">
        <v>9</v>
      </c>
      <c r="L107" s="54">
        <v>7</v>
      </c>
      <c r="M107" s="54">
        <v>7</v>
      </c>
      <c r="N107" s="54">
        <v>8</v>
      </c>
      <c r="O107" s="54">
        <v>6</v>
      </c>
      <c r="P107" s="54">
        <v>12</v>
      </c>
      <c r="Q107" s="54">
        <v>7</v>
      </c>
      <c r="R107" s="54">
        <v>16</v>
      </c>
      <c r="S107" s="54">
        <v>7</v>
      </c>
      <c r="T107" s="54">
        <v>8</v>
      </c>
      <c r="U107" s="54">
        <v>5</v>
      </c>
      <c r="V107" s="54">
        <v>7</v>
      </c>
      <c r="W107" s="54">
        <v>5</v>
      </c>
      <c r="X107" s="54">
        <v>13</v>
      </c>
      <c r="Y107" s="54">
        <v>10</v>
      </c>
      <c r="Z107" s="54">
        <v>4</v>
      </c>
      <c r="AA107" s="54">
        <v>5</v>
      </c>
      <c r="AB107" s="54">
        <v>9</v>
      </c>
      <c r="AC107" s="54">
        <v>7</v>
      </c>
      <c r="AD107" s="54">
        <v>9</v>
      </c>
      <c r="AE107" s="54">
        <v>15</v>
      </c>
      <c r="AF107" s="54">
        <v>9</v>
      </c>
      <c r="AG107" s="5">
        <f t="shared" si="17"/>
        <v>257</v>
      </c>
    </row>
    <row r="108" spans="1:33" ht="15.75" customHeight="1" x14ac:dyDescent="0.25">
      <c r="A108" s="78" t="s">
        <v>57</v>
      </c>
      <c r="B108" s="54">
        <v>7</v>
      </c>
      <c r="C108" s="54">
        <v>14</v>
      </c>
      <c r="D108" s="54">
        <v>8</v>
      </c>
      <c r="E108" s="54">
        <v>10</v>
      </c>
      <c r="F108" s="54">
        <v>12</v>
      </c>
      <c r="G108" s="54">
        <v>13</v>
      </c>
      <c r="H108" s="54">
        <v>6</v>
      </c>
      <c r="I108" s="54">
        <v>13</v>
      </c>
      <c r="J108" s="54">
        <v>9</v>
      </c>
      <c r="K108" s="54">
        <v>11</v>
      </c>
      <c r="L108" s="54">
        <v>11</v>
      </c>
      <c r="M108" s="54">
        <v>8</v>
      </c>
      <c r="N108" s="54">
        <v>6</v>
      </c>
      <c r="O108" s="54">
        <v>10</v>
      </c>
      <c r="P108" s="54">
        <v>7</v>
      </c>
      <c r="Q108" s="54">
        <v>16</v>
      </c>
      <c r="R108" s="54">
        <v>10</v>
      </c>
      <c r="S108" s="54">
        <v>10</v>
      </c>
      <c r="T108" s="54">
        <v>11</v>
      </c>
      <c r="U108" s="54">
        <v>7</v>
      </c>
      <c r="V108" s="54">
        <v>13</v>
      </c>
      <c r="W108" s="54">
        <v>7</v>
      </c>
      <c r="X108" s="54">
        <v>16</v>
      </c>
      <c r="Y108" s="54">
        <v>6</v>
      </c>
      <c r="Z108" s="54">
        <v>14</v>
      </c>
      <c r="AA108" s="54">
        <v>7</v>
      </c>
      <c r="AB108" s="54">
        <v>5</v>
      </c>
      <c r="AC108" s="54">
        <v>7</v>
      </c>
      <c r="AD108" s="54">
        <v>11</v>
      </c>
      <c r="AE108" s="54">
        <v>13</v>
      </c>
      <c r="AF108" s="54">
        <v>8</v>
      </c>
      <c r="AG108" s="5">
        <f t="shared" si="17"/>
        <v>306</v>
      </c>
    </row>
    <row r="109" spans="1:33" ht="15.75" customHeight="1" x14ac:dyDescent="0.25">
      <c r="A109" s="78" t="s">
        <v>58</v>
      </c>
      <c r="B109" s="54">
        <v>16</v>
      </c>
      <c r="C109" s="54">
        <v>13</v>
      </c>
      <c r="D109" s="54">
        <v>18</v>
      </c>
      <c r="E109" s="54">
        <v>14</v>
      </c>
      <c r="F109" s="54">
        <v>8</v>
      </c>
      <c r="G109" s="54">
        <v>11</v>
      </c>
      <c r="H109" s="54">
        <v>15</v>
      </c>
      <c r="I109" s="54">
        <v>12</v>
      </c>
      <c r="J109" s="54">
        <v>23</v>
      </c>
      <c r="K109" s="54">
        <v>16</v>
      </c>
      <c r="L109" s="54">
        <v>13</v>
      </c>
      <c r="M109" s="54">
        <v>8</v>
      </c>
      <c r="N109" s="54">
        <v>10</v>
      </c>
      <c r="O109" s="54">
        <v>9</v>
      </c>
      <c r="P109" s="54">
        <v>10</v>
      </c>
      <c r="Q109" s="54">
        <v>18</v>
      </c>
      <c r="R109" s="54">
        <v>11</v>
      </c>
      <c r="S109" s="54">
        <v>8</v>
      </c>
      <c r="T109" s="54">
        <v>11</v>
      </c>
      <c r="U109" s="54">
        <v>8</v>
      </c>
      <c r="V109" s="54">
        <v>4</v>
      </c>
      <c r="W109" s="54">
        <v>9</v>
      </c>
      <c r="X109" s="54">
        <v>8</v>
      </c>
      <c r="Y109" s="54">
        <v>15</v>
      </c>
      <c r="Z109" s="54">
        <v>7</v>
      </c>
      <c r="AA109" s="54">
        <v>8</v>
      </c>
      <c r="AB109" s="54">
        <v>11</v>
      </c>
      <c r="AC109" s="54">
        <v>7</v>
      </c>
      <c r="AD109" s="54">
        <v>13</v>
      </c>
      <c r="AE109" s="54">
        <v>16</v>
      </c>
      <c r="AF109" s="54">
        <v>13</v>
      </c>
      <c r="AG109" s="5">
        <f t="shared" si="17"/>
        <v>363</v>
      </c>
    </row>
    <row r="110" spans="1:33" ht="15.75" customHeight="1" x14ac:dyDescent="0.25">
      <c r="A110" s="78" t="s">
        <v>59</v>
      </c>
      <c r="B110" s="54">
        <v>8</v>
      </c>
      <c r="C110" s="54">
        <v>14</v>
      </c>
      <c r="D110" s="54">
        <v>12</v>
      </c>
      <c r="E110" s="54">
        <v>11</v>
      </c>
      <c r="F110" s="54">
        <v>12</v>
      </c>
      <c r="G110" s="54">
        <v>7</v>
      </c>
      <c r="H110" s="54">
        <v>6</v>
      </c>
      <c r="I110" s="54">
        <v>9</v>
      </c>
      <c r="J110" s="54">
        <v>15</v>
      </c>
      <c r="K110" s="54">
        <v>6</v>
      </c>
      <c r="L110" s="54">
        <v>14</v>
      </c>
      <c r="M110" s="54">
        <v>8</v>
      </c>
      <c r="N110" s="54">
        <v>7</v>
      </c>
      <c r="O110" s="54">
        <v>7</v>
      </c>
      <c r="P110" s="54">
        <v>9</v>
      </c>
      <c r="Q110" s="54">
        <v>14</v>
      </c>
      <c r="R110" s="54">
        <v>9</v>
      </c>
      <c r="S110" s="54">
        <v>6</v>
      </c>
      <c r="T110" s="54">
        <v>9</v>
      </c>
      <c r="U110" s="54">
        <v>3</v>
      </c>
      <c r="V110" s="54">
        <v>10</v>
      </c>
      <c r="W110" s="54">
        <v>8</v>
      </c>
      <c r="X110" s="54">
        <v>11</v>
      </c>
      <c r="Y110" s="54">
        <v>8</v>
      </c>
      <c r="Z110" s="54">
        <v>8</v>
      </c>
      <c r="AA110" s="54">
        <v>7</v>
      </c>
      <c r="AB110" s="54">
        <v>8</v>
      </c>
      <c r="AC110" s="54">
        <v>7</v>
      </c>
      <c r="AD110" s="54">
        <v>9</v>
      </c>
      <c r="AE110" s="54">
        <v>9</v>
      </c>
      <c r="AF110" s="54">
        <v>12</v>
      </c>
      <c r="AG110" s="5">
        <f t="shared" si="17"/>
        <v>283</v>
      </c>
    </row>
    <row r="111" spans="1:33" ht="15.75" customHeight="1" x14ac:dyDescent="0.25">
      <c r="A111" s="78" t="s">
        <v>60</v>
      </c>
      <c r="B111" s="54">
        <v>10</v>
      </c>
      <c r="C111" s="54">
        <v>9</v>
      </c>
      <c r="D111" s="54">
        <v>5</v>
      </c>
      <c r="E111" s="54">
        <v>12</v>
      </c>
      <c r="F111" s="54">
        <v>5</v>
      </c>
      <c r="G111" s="54">
        <v>8</v>
      </c>
      <c r="H111" s="54">
        <v>7</v>
      </c>
      <c r="I111" s="54">
        <v>6</v>
      </c>
      <c r="J111" s="54">
        <v>14</v>
      </c>
      <c r="K111" s="54">
        <v>10</v>
      </c>
      <c r="L111" s="54">
        <v>9</v>
      </c>
      <c r="M111" s="54">
        <v>8</v>
      </c>
      <c r="N111" s="54">
        <v>4</v>
      </c>
      <c r="O111" s="54">
        <v>3</v>
      </c>
      <c r="P111" s="54">
        <v>3</v>
      </c>
      <c r="Q111" s="54">
        <v>12</v>
      </c>
      <c r="R111" s="54">
        <v>5</v>
      </c>
      <c r="S111" s="54">
        <v>7</v>
      </c>
      <c r="T111" s="54">
        <v>9</v>
      </c>
      <c r="U111" s="54">
        <v>3</v>
      </c>
      <c r="V111" s="54">
        <v>3</v>
      </c>
      <c r="W111" s="54">
        <v>7</v>
      </c>
      <c r="X111" s="54">
        <v>10</v>
      </c>
      <c r="Y111" s="54">
        <v>11</v>
      </c>
      <c r="Z111" s="54">
        <v>9</v>
      </c>
      <c r="AA111" s="54">
        <v>9</v>
      </c>
      <c r="AB111" s="54">
        <v>4</v>
      </c>
      <c r="AC111" s="54">
        <v>7</v>
      </c>
      <c r="AD111" s="54">
        <v>15</v>
      </c>
      <c r="AE111" s="54">
        <v>7</v>
      </c>
      <c r="AF111" s="54">
        <v>6</v>
      </c>
      <c r="AG111" s="5">
        <f t="shared" si="17"/>
        <v>237</v>
      </c>
    </row>
    <row r="112" spans="1:33" ht="15.75" customHeight="1" x14ac:dyDescent="0.25">
      <c r="A112" s="78" t="s">
        <v>61</v>
      </c>
      <c r="B112" s="54">
        <v>3</v>
      </c>
      <c r="C112" s="54">
        <v>10</v>
      </c>
      <c r="D112" s="54">
        <v>4</v>
      </c>
      <c r="E112" s="54">
        <v>8</v>
      </c>
      <c r="F112" s="54">
        <v>5</v>
      </c>
      <c r="G112" s="54">
        <v>9</v>
      </c>
      <c r="H112" s="54">
        <v>5</v>
      </c>
      <c r="I112" s="54">
        <v>7</v>
      </c>
      <c r="J112" s="54">
        <v>12</v>
      </c>
      <c r="K112" s="54">
        <v>4</v>
      </c>
      <c r="L112" s="54">
        <v>4</v>
      </c>
      <c r="M112" s="54">
        <v>7</v>
      </c>
      <c r="N112" s="54">
        <v>5</v>
      </c>
      <c r="O112" s="54">
        <v>9</v>
      </c>
      <c r="P112" s="54">
        <v>3</v>
      </c>
      <c r="Q112" s="54">
        <v>12</v>
      </c>
      <c r="R112" s="54">
        <v>1</v>
      </c>
      <c r="S112" s="54">
        <v>6</v>
      </c>
      <c r="T112" s="54">
        <v>3</v>
      </c>
      <c r="U112" s="54">
        <v>0</v>
      </c>
      <c r="V112" s="54">
        <v>3</v>
      </c>
      <c r="W112" s="54">
        <v>6</v>
      </c>
      <c r="X112" s="54">
        <v>7</v>
      </c>
      <c r="Y112" s="54">
        <v>8</v>
      </c>
      <c r="Z112" s="54">
        <v>5</v>
      </c>
      <c r="AA112" s="54">
        <v>3</v>
      </c>
      <c r="AB112" s="54">
        <v>4</v>
      </c>
      <c r="AC112" s="54">
        <v>5</v>
      </c>
      <c r="AD112" s="54">
        <v>8</v>
      </c>
      <c r="AE112" s="54">
        <v>6</v>
      </c>
      <c r="AF112" s="54">
        <v>1</v>
      </c>
      <c r="AG112" s="5">
        <f t="shared" si="17"/>
        <v>173</v>
      </c>
    </row>
    <row r="113" spans="1:37" ht="15.75" customHeight="1" x14ac:dyDescent="0.25">
      <c r="A113" s="78" t="s">
        <v>62</v>
      </c>
      <c r="B113" s="54">
        <v>6</v>
      </c>
      <c r="C113" s="54">
        <v>13</v>
      </c>
      <c r="D113" s="54">
        <v>8</v>
      </c>
      <c r="E113" s="54">
        <v>4</v>
      </c>
      <c r="F113" s="54">
        <v>8</v>
      </c>
      <c r="G113" s="54">
        <v>3</v>
      </c>
      <c r="H113" s="54">
        <v>5</v>
      </c>
      <c r="I113" s="54">
        <v>3</v>
      </c>
      <c r="J113" s="54">
        <v>7</v>
      </c>
      <c r="K113" s="54">
        <v>8</v>
      </c>
      <c r="L113" s="54">
        <v>3</v>
      </c>
      <c r="M113" s="54">
        <v>5</v>
      </c>
      <c r="N113" s="54">
        <v>9</v>
      </c>
      <c r="O113" s="54">
        <v>4</v>
      </c>
      <c r="P113" s="54">
        <v>6</v>
      </c>
      <c r="Q113" s="54">
        <v>9</v>
      </c>
      <c r="R113" s="54">
        <v>2</v>
      </c>
      <c r="S113" s="54">
        <v>2</v>
      </c>
      <c r="T113" s="54">
        <v>2</v>
      </c>
      <c r="U113" s="54">
        <v>4</v>
      </c>
      <c r="V113" s="54">
        <v>6</v>
      </c>
      <c r="W113" s="54">
        <v>8</v>
      </c>
      <c r="X113" s="54">
        <v>6</v>
      </c>
      <c r="Y113" s="54">
        <v>4</v>
      </c>
      <c r="Z113" s="54">
        <v>4</v>
      </c>
      <c r="AA113" s="54">
        <v>2</v>
      </c>
      <c r="AB113" s="54">
        <v>7</v>
      </c>
      <c r="AC113" s="54">
        <v>3</v>
      </c>
      <c r="AD113" s="54">
        <v>6</v>
      </c>
      <c r="AE113" s="54">
        <v>7</v>
      </c>
      <c r="AF113" s="54">
        <v>4</v>
      </c>
      <c r="AG113" s="5">
        <f t="shared" si="17"/>
        <v>168</v>
      </c>
    </row>
    <row r="114" spans="1:37" ht="15.75" customHeight="1" x14ac:dyDescent="0.25">
      <c r="A114" s="78" t="s">
        <v>63</v>
      </c>
      <c r="B114" s="54">
        <v>6</v>
      </c>
      <c r="C114" s="54">
        <v>11</v>
      </c>
      <c r="D114" s="54">
        <v>12</v>
      </c>
      <c r="E114" s="54">
        <v>5</v>
      </c>
      <c r="F114" s="54">
        <v>7</v>
      </c>
      <c r="G114" s="54">
        <v>9</v>
      </c>
      <c r="H114" s="54">
        <v>6</v>
      </c>
      <c r="I114" s="54">
        <v>1</v>
      </c>
      <c r="J114" s="54">
        <v>16</v>
      </c>
      <c r="K114" s="54">
        <v>12</v>
      </c>
      <c r="L114" s="54">
        <v>4</v>
      </c>
      <c r="M114" s="54">
        <v>2</v>
      </c>
      <c r="N114" s="54">
        <v>4</v>
      </c>
      <c r="O114" s="54">
        <v>12</v>
      </c>
      <c r="P114" s="54">
        <v>2</v>
      </c>
      <c r="Q114" s="54">
        <v>7</v>
      </c>
      <c r="R114" s="54">
        <v>3</v>
      </c>
      <c r="S114" s="54">
        <v>7</v>
      </c>
      <c r="T114" s="54">
        <v>4</v>
      </c>
      <c r="U114" s="54">
        <v>1</v>
      </c>
      <c r="V114" s="54">
        <v>8</v>
      </c>
      <c r="W114" s="54">
        <v>3</v>
      </c>
      <c r="X114" s="54">
        <v>6</v>
      </c>
      <c r="Y114" s="54">
        <v>10</v>
      </c>
      <c r="Z114" s="54">
        <v>6</v>
      </c>
      <c r="AA114" s="54">
        <v>8</v>
      </c>
      <c r="AB114" s="54">
        <v>5</v>
      </c>
      <c r="AC114" s="54">
        <v>4</v>
      </c>
      <c r="AD114" s="54">
        <v>4</v>
      </c>
      <c r="AE114" s="54">
        <v>12</v>
      </c>
      <c r="AF114" s="54">
        <v>11</v>
      </c>
      <c r="AG114" s="5">
        <f t="shared" si="17"/>
        <v>208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19</v>
      </c>
      <c r="C116" s="20">
        <f t="shared" si="19"/>
        <v>31</v>
      </c>
      <c r="D116" s="20">
        <f t="shared" si="19"/>
        <v>40</v>
      </c>
      <c r="E116" s="20">
        <f t="shared" si="19"/>
        <v>33</v>
      </c>
      <c r="F116" s="20">
        <f t="shared" si="19"/>
        <v>23</v>
      </c>
      <c r="G116" s="20">
        <f t="shared" si="19"/>
        <v>25</v>
      </c>
      <c r="H116" s="20">
        <f t="shared" si="19"/>
        <v>26</v>
      </c>
      <c r="I116" s="20">
        <f t="shared" si="19"/>
        <v>23</v>
      </c>
      <c r="J116" s="20">
        <f t="shared" si="19"/>
        <v>42</v>
      </c>
      <c r="K116" s="20">
        <f t="shared" si="19"/>
        <v>37</v>
      </c>
      <c r="L116" s="20">
        <f t="shared" si="19"/>
        <v>32</v>
      </c>
      <c r="M116" s="20">
        <f t="shared" si="19"/>
        <v>21</v>
      </c>
      <c r="N116" s="20">
        <f t="shared" si="19"/>
        <v>28</v>
      </c>
      <c r="O116" s="20">
        <f t="shared" si="19"/>
        <v>38</v>
      </c>
      <c r="P116" s="20">
        <f t="shared" si="19"/>
        <v>30</v>
      </c>
      <c r="Q116" s="20">
        <f t="shared" si="19"/>
        <v>53</v>
      </c>
      <c r="R116" s="20">
        <f t="shared" si="19"/>
        <v>38</v>
      </c>
      <c r="S116" s="20">
        <f t="shared" si="19"/>
        <v>38</v>
      </c>
      <c r="T116" s="20">
        <f t="shared" si="19"/>
        <v>31</v>
      </c>
      <c r="U116" s="20">
        <f t="shared" si="19"/>
        <v>9</v>
      </c>
      <c r="V116" s="20">
        <f t="shared" si="19"/>
        <v>32</v>
      </c>
      <c r="W116" s="20">
        <f t="shared" si="19"/>
        <v>27</v>
      </c>
      <c r="X116" s="20">
        <f t="shared" si="19"/>
        <v>40</v>
      </c>
      <c r="Y116" s="20">
        <f t="shared" si="19"/>
        <v>45</v>
      </c>
      <c r="Z116" s="20">
        <f t="shared" si="19"/>
        <v>38</v>
      </c>
      <c r="AA116" s="20">
        <f t="shared" si="19"/>
        <v>27</v>
      </c>
      <c r="AB116" s="20">
        <f t="shared" si="19"/>
        <v>27</v>
      </c>
      <c r="AC116" s="20">
        <f t="shared" si="19"/>
        <v>22</v>
      </c>
      <c r="AD116" s="20">
        <f t="shared" si="19"/>
        <v>37</v>
      </c>
      <c r="AE116" s="20">
        <f t="shared" si="19"/>
        <v>35</v>
      </c>
      <c r="AF116" s="20">
        <f t="shared" si="19"/>
        <v>35</v>
      </c>
      <c r="AG116" s="5">
        <f t="shared" si="17"/>
        <v>982</v>
      </c>
      <c r="AK116" s="84">
        <v>612</v>
      </c>
    </row>
    <row r="117" spans="1:37" ht="15.75" customHeight="1" x14ac:dyDescent="0.25">
      <c r="A117" s="85" t="s">
        <v>65</v>
      </c>
      <c r="B117" s="54">
        <v>18</v>
      </c>
      <c r="C117" s="54">
        <v>31</v>
      </c>
      <c r="D117" s="54">
        <v>39</v>
      </c>
      <c r="E117" s="54">
        <v>32</v>
      </c>
      <c r="F117" s="54">
        <v>23</v>
      </c>
      <c r="G117" s="54">
        <v>23</v>
      </c>
      <c r="H117" s="54">
        <v>26</v>
      </c>
      <c r="I117" s="54">
        <v>23</v>
      </c>
      <c r="J117" s="54">
        <v>41</v>
      </c>
      <c r="K117" s="54">
        <v>35</v>
      </c>
      <c r="L117" s="54">
        <v>32</v>
      </c>
      <c r="M117" s="54">
        <v>20</v>
      </c>
      <c r="N117" s="54">
        <v>28</v>
      </c>
      <c r="O117" s="54">
        <v>36</v>
      </c>
      <c r="P117" s="54">
        <v>30</v>
      </c>
      <c r="Q117" s="54">
        <v>47</v>
      </c>
      <c r="R117" s="54">
        <v>33</v>
      </c>
      <c r="S117" s="54">
        <v>36</v>
      </c>
      <c r="T117" s="54">
        <v>31</v>
      </c>
      <c r="U117" s="54">
        <v>9</v>
      </c>
      <c r="V117" s="54">
        <v>32</v>
      </c>
      <c r="W117" s="54">
        <v>27</v>
      </c>
      <c r="X117" s="54">
        <v>39</v>
      </c>
      <c r="Y117" s="54">
        <v>44</v>
      </c>
      <c r="Z117" s="54">
        <v>36</v>
      </c>
      <c r="AA117" s="54">
        <v>27</v>
      </c>
      <c r="AB117" s="54">
        <v>26</v>
      </c>
      <c r="AC117" s="54">
        <v>21</v>
      </c>
      <c r="AD117" s="54">
        <v>35</v>
      </c>
      <c r="AE117" s="54">
        <v>33</v>
      </c>
      <c r="AF117" s="54">
        <v>34</v>
      </c>
      <c r="AG117" s="5">
        <f t="shared" si="17"/>
        <v>947</v>
      </c>
      <c r="AK117" s="84">
        <v>613</v>
      </c>
    </row>
    <row r="118" spans="1:37" ht="15.75" customHeight="1" thickBot="1" x14ac:dyDescent="0.3">
      <c r="A118" s="86" t="s">
        <v>77</v>
      </c>
      <c r="B118" s="87">
        <v>1</v>
      </c>
      <c r="C118" s="87">
        <v>0</v>
      </c>
      <c r="D118" s="87">
        <v>1</v>
      </c>
      <c r="E118" s="87">
        <v>1</v>
      </c>
      <c r="F118" s="87">
        <v>0</v>
      </c>
      <c r="G118" s="87">
        <v>2</v>
      </c>
      <c r="H118" s="87">
        <v>0</v>
      </c>
      <c r="I118" s="87">
        <v>0</v>
      </c>
      <c r="J118" s="87">
        <v>1</v>
      </c>
      <c r="K118" s="87">
        <v>2</v>
      </c>
      <c r="L118" s="87">
        <v>0</v>
      </c>
      <c r="M118" s="87">
        <v>1</v>
      </c>
      <c r="N118" s="87">
        <v>0</v>
      </c>
      <c r="O118" s="87">
        <v>2</v>
      </c>
      <c r="P118" s="87">
        <v>0</v>
      </c>
      <c r="Q118" s="87">
        <v>6</v>
      </c>
      <c r="R118" s="87">
        <v>5</v>
      </c>
      <c r="S118" s="87">
        <v>2</v>
      </c>
      <c r="T118" s="87">
        <v>0</v>
      </c>
      <c r="U118" s="87">
        <v>0</v>
      </c>
      <c r="V118" s="87">
        <v>0</v>
      </c>
      <c r="W118" s="87">
        <v>0</v>
      </c>
      <c r="X118" s="87">
        <v>1</v>
      </c>
      <c r="Y118" s="87">
        <v>1</v>
      </c>
      <c r="Z118" s="87">
        <v>2</v>
      </c>
      <c r="AA118" s="87">
        <v>0</v>
      </c>
      <c r="AB118" s="87">
        <v>1</v>
      </c>
      <c r="AC118" s="87">
        <v>1</v>
      </c>
      <c r="AD118" s="87">
        <v>2</v>
      </c>
      <c r="AE118" s="87">
        <v>2</v>
      </c>
      <c r="AF118" s="87">
        <v>1</v>
      </c>
      <c r="AG118" s="5">
        <f t="shared" si="17"/>
        <v>35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135</v>
      </c>
      <c r="C119" s="20">
        <f t="shared" si="20"/>
        <v>171</v>
      </c>
      <c r="D119" s="20">
        <f t="shared" si="20"/>
        <v>175</v>
      </c>
      <c r="E119" s="20">
        <f t="shared" si="20"/>
        <v>141</v>
      </c>
      <c r="F119" s="20">
        <f t="shared" si="20"/>
        <v>128</v>
      </c>
      <c r="G119" s="20">
        <f t="shared" si="20"/>
        <v>117</v>
      </c>
      <c r="H119" s="20">
        <f t="shared" si="20"/>
        <v>116</v>
      </c>
      <c r="I119" s="20">
        <f t="shared" si="20"/>
        <v>111</v>
      </c>
      <c r="J119" s="20">
        <f t="shared" si="20"/>
        <v>185</v>
      </c>
      <c r="K119" s="20">
        <f t="shared" si="20"/>
        <v>177</v>
      </c>
      <c r="L119" s="20">
        <f t="shared" si="20"/>
        <v>149</v>
      </c>
      <c r="M119" s="20">
        <f t="shared" si="20"/>
        <v>111</v>
      </c>
      <c r="N119" s="20">
        <f t="shared" si="20"/>
        <v>121</v>
      </c>
      <c r="O119" s="20">
        <f t="shared" si="20"/>
        <v>148</v>
      </c>
      <c r="P119" s="20">
        <f t="shared" si="20"/>
        <v>123</v>
      </c>
      <c r="Q119" s="20">
        <f t="shared" si="20"/>
        <v>212</v>
      </c>
      <c r="R119" s="20">
        <f t="shared" si="20"/>
        <v>168</v>
      </c>
      <c r="S119" s="20">
        <f t="shared" si="20"/>
        <v>156</v>
      </c>
      <c r="T119" s="20">
        <f t="shared" si="20"/>
        <v>139</v>
      </c>
      <c r="U119" s="20">
        <f t="shared" si="20"/>
        <v>94</v>
      </c>
      <c r="V119" s="20">
        <f t="shared" si="20"/>
        <v>129</v>
      </c>
      <c r="W119" s="20">
        <f t="shared" si="20"/>
        <v>132</v>
      </c>
      <c r="X119" s="20">
        <f t="shared" si="20"/>
        <v>186</v>
      </c>
      <c r="Y119" s="20">
        <f t="shared" si="20"/>
        <v>174</v>
      </c>
      <c r="Z119" s="20">
        <f t="shared" si="20"/>
        <v>153</v>
      </c>
      <c r="AA119" s="20">
        <f t="shared" si="20"/>
        <v>123</v>
      </c>
      <c r="AB119" s="20">
        <f t="shared" si="20"/>
        <v>145</v>
      </c>
      <c r="AC119" s="20">
        <f t="shared" si="20"/>
        <v>129</v>
      </c>
      <c r="AD119" s="20">
        <f t="shared" si="20"/>
        <v>180</v>
      </c>
      <c r="AE119" s="20">
        <f t="shared" si="20"/>
        <v>172</v>
      </c>
      <c r="AF119" s="20">
        <f t="shared" si="20"/>
        <v>171</v>
      </c>
      <c r="AG119" s="7">
        <f t="shared" si="17"/>
        <v>4571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16</v>
      </c>
      <c r="C120" s="54">
        <v>31</v>
      </c>
      <c r="D120" s="54">
        <v>38</v>
      </c>
      <c r="E120" s="54">
        <v>31</v>
      </c>
      <c r="F120" s="54">
        <v>23</v>
      </c>
      <c r="G120" s="54">
        <v>23</v>
      </c>
      <c r="H120" s="54">
        <v>26</v>
      </c>
      <c r="I120" s="54">
        <v>23</v>
      </c>
      <c r="J120" s="54">
        <v>41</v>
      </c>
      <c r="K120" s="54">
        <v>34</v>
      </c>
      <c r="L120" s="54">
        <v>32</v>
      </c>
      <c r="M120" s="54">
        <v>18</v>
      </c>
      <c r="N120" s="54">
        <v>26</v>
      </c>
      <c r="O120" s="54">
        <v>32</v>
      </c>
      <c r="P120" s="54">
        <v>29</v>
      </c>
      <c r="Q120" s="54">
        <v>46</v>
      </c>
      <c r="R120" s="54">
        <v>33</v>
      </c>
      <c r="S120" s="54">
        <v>29</v>
      </c>
      <c r="T120" s="54">
        <v>31</v>
      </c>
      <c r="U120" s="54">
        <v>9</v>
      </c>
      <c r="V120" s="54">
        <v>27</v>
      </c>
      <c r="W120" s="54">
        <v>26</v>
      </c>
      <c r="X120" s="54">
        <v>37</v>
      </c>
      <c r="Y120" s="54">
        <v>43</v>
      </c>
      <c r="Z120" s="54">
        <v>33</v>
      </c>
      <c r="AA120" s="54">
        <v>21</v>
      </c>
      <c r="AB120" s="54">
        <v>26</v>
      </c>
      <c r="AC120" s="54">
        <v>18</v>
      </c>
      <c r="AD120" s="54">
        <v>35</v>
      </c>
      <c r="AE120" s="54">
        <v>33</v>
      </c>
      <c r="AF120" s="54">
        <v>32</v>
      </c>
      <c r="AG120" s="5">
        <f t="shared" si="17"/>
        <v>902</v>
      </c>
      <c r="AK120" s="88" t="s">
        <v>131</v>
      </c>
    </row>
    <row r="121" spans="1:37" ht="15.75" customHeight="1" x14ac:dyDescent="0.25">
      <c r="A121" s="85" t="s">
        <v>66</v>
      </c>
      <c r="B121" s="54">
        <v>9</v>
      </c>
      <c r="C121" s="54">
        <v>7</v>
      </c>
      <c r="D121" s="54">
        <v>5</v>
      </c>
      <c r="E121" s="54">
        <v>8</v>
      </c>
      <c r="F121" s="54">
        <v>4</v>
      </c>
      <c r="G121" s="54">
        <v>6</v>
      </c>
      <c r="H121" s="54">
        <v>5</v>
      </c>
      <c r="I121" s="54">
        <v>2</v>
      </c>
      <c r="J121" s="54">
        <v>7</v>
      </c>
      <c r="K121" s="54">
        <v>7</v>
      </c>
      <c r="L121" s="54">
        <v>3</v>
      </c>
      <c r="M121" s="54">
        <v>1</v>
      </c>
      <c r="N121" s="54">
        <v>3</v>
      </c>
      <c r="O121" s="54">
        <v>4</v>
      </c>
      <c r="P121" s="54">
        <v>3</v>
      </c>
      <c r="Q121" s="54">
        <v>6</v>
      </c>
      <c r="R121" s="54">
        <v>3</v>
      </c>
      <c r="S121" s="54">
        <v>6</v>
      </c>
      <c r="T121" s="54">
        <v>3</v>
      </c>
      <c r="U121" s="54">
        <v>2</v>
      </c>
      <c r="V121" s="54">
        <v>6</v>
      </c>
      <c r="W121" s="54">
        <v>4</v>
      </c>
      <c r="X121" s="54">
        <v>7</v>
      </c>
      <c r="Y121" s="54">
        <v>2</v>
      </c>
      <c r="Z121" s="54">
        <v>8</v>
      </c>
      <c r="AA121" s="54">
        <v>6</v>
      </c>
      <c r="AB121" s="54">
        <v>6</v>
      </c>
      <c r="AC121" s="54">
        <v>3</v>
      </c>
      <c r="AD121" s="54">
        <v>3</v>
      </c>
      <c r="AE121" s="54">
        <v>5</v>
      </c>
      <c r="AF121" s="54">
        <v>3</v>
      </c>
      <c r="AG121" s="5">
        <f t="shared" si="17"/>
        <v>147</v>
      </c>
      <c r="AK121" s="84" t="s">
        <v>132</v>
      </c>
    </row>
    <row r="122" spans="1:37" ht="15.75" customHeight="1" x14ac:dyDescent="0.25">
      <c r="A122" s="85" t="s">
        <v>67</v>
      </c>
      <c r="B122" s="54">
        <v>3</v>
      </c>
      <c r="C122" s="54">
        <v>7</v>
      </c>
      <c r="D122" s="54">
        <v>3</v>
      </c>
      <c r="E122" s="54">
        <v>8</v>
      </c>
      <c r="F122" s="54">
        <v>3</v>
      </c>
      <c r="G122" s="54">
        <v>5</v>
      </c>
      <c r="H122" s="54">
        <v>4</v>
      </c>
      <c r="I122" s="54">
        <v>3</v>
      </c>
      <c r="J122" s="54">
        <v>4</v>
      </c>
      <c r="K122" s="54">
        <v>5</v>
      </c>
      <c r="L122" s="54">
        <v>6</v>
      </c>
      <c r="M122" s="54">
        <v>6</v>
      </c>
      <c r="N122" s="54">
        <v>8</v>
      </c>
      <c r="O122" s="54">
        <v>7</v>
      </c>
      <c r="P122" s="54">
        <v>2</v>
      </c>
      <c r="Q122" s="54">
        <v>17</v>
      </c>
      <c r="R122" s="54">
        <v>7</v>
      </c>
      <c r="S122" s="54">
        <v>7</v>
      </c>
      <c r="T122" s="54">
        <v>5</v>
      </c>
      <c r="U122" s="54">
        <v>4</v>
      </c>
      <c r="V122" s="54">
        <v>14</v>
      </c>
      <c r="W122" s="54">
        <v>11</v>
      </c>
      <c r="X122" s="54">
        <v>5</v>
      </c>
      <c r="Y122" s="54">
        <v>12</v>
      </c>
      <c r="Z122" s="54">
        <v>8</v>
      </c>
      <c r="AA122" s="54">
        <v>8</v>
      </c>
      <c r="AB122" s="54">
        <v>11</v>
      </c>
      <c r="AC122" s="54">
        <v>9</v>
      </c>
      <c r="AD122" s="54">
        <v>5</v>
      </c>
      <c r="AE122" s="54">
        <v>13</v>
      </c>
      <c r="AF122" s="54">
        <v>9</v>
      </c>
      <c r="AG122" s="5">
        <f t="shared" si="17"/>
        <v>219</v>
      </c>
      <c r="AK122" s="88" t="s">
        <v>133</v>
      </c>
    </row>
    <row r="123" spans="1:37" ht="15.75" customHeight="1" x14ac:dyDescent="0.25">
      <c r="A123" s="85" t="s">
        <v>68</v>
      </c>
      <c r="B123" s="54">
        <v>7</v>
      </c>
      <c r="C123" s="54">
        <v>1</v>
      </c>
      <c r="D123" s="54">
        <v>11</v>
      </c>
      <c r="E123" s="54">
        <v>6</v>
      </c>
      <c r="F123" s="54">
        <v>7</v>
      </c>
      <c r="G123" s="54">
        <v>5</v>
      </c>
      <c r="H123" s="54">
        <v>17</v>
      </c>
      <c r="I123" s="54">
        <v>8</v>
      </c>
      <c r="J123" s="54">
        <v>7</v>
      </c>
      <c r="K123" s="54">
        <v>14</v>
      </c>
      <c r="L123" s="54">
        <v>8</v>
      </c>
      <c r="M123" s="54">
        <v>5</v>
      </c>
      <c r="N123" s="54">
        <v>10</v>
      </c>
      <c r="O123" s="54">
        <v>11</v>
      </c>
      <c r="P123" s="54">
        <v>5</v>
      </c>
      <c r="Q123" s="54">
        <v>7</v>
      </c>
      <c r="R123" s="54">
        <v>8</v>
      </c>
      <c r="S123" s="54">
        <v>12</v>
      </c>
      <c r="T123" s="54">
        <v>7</v>
      </c>
      <c r="U123" s="54">
        <v>7</v>
      </c>
      <c r="V123" s="54">
        <v>11</v>
      </c>
      <c r="W123" s="54">
        <v>6</v>
      </c>
      <c r="X123" s="54">
        <v>6</v>
      </c>
      <c r="Y123" s="54">
        <v>7</v>
      </c>
      <c r="Z123" s="54">
        <v>4</v>
      </c>
      <c r="AA123" s="54">
        <v>8</v>
      </c>
      <c r="AB123" s="54">
        <v>7</v>
      </c>
      <c r="AC123" s="54">
        <v>10</v>
      </c>
      <c r="AD123" s="54">
        <v>10</v>
      </c>
      <c r="AE123" s="54">
        <v>8</v>
      </c>
      <c r="AF123" s="54">
        <v>9</v>
      </c>
      <c r="AG123" s="5">
        <f t="shared" si="17"/>
        <v>249</v>
      </c>
      <c r="AK123" s="84" t="s">
        <v>134</v>
      </c>
    </row>
    <row r="124" spans="1:37" ht="15.75" customHeight="1" x14ac:dyDescent="0.25">
      <c r="A124" s="85" t="s">
        <v>69</v>
      </c>
      <c r="B124" s="54">
        <v>10</v>
      </c>
      <c r="C124" s="54">
        <v>8</v>
      </c>
      <c r="D124" s="54">
        <v>14</v>
      </c>
      <c r="E124" s="54">
        <v>10</v>
      </c>
      <c r="F124" s="54">
        <v>8</v>
      </c>
      <c r="G124" s="54">
        <v>5</v>
      </c>
      <c r="H124" s="54">
        <v>6</v>
      </c>
      <c r="I124" s="54">
        <v>6</v>
      </c>
      <c r="J124" s="54">
        <v>9</v>
      </c>
      <c r="K124" s="54">
        <v>10</v>
      </c>
      <c r="L124" s="54">
        <v>11</v>
      </c>
      <c r="M124" s="54">
        <v>14</v>
      </c>
      <c r="N124" s="54">
        <v>9</v>
      </c>
      <c r="O124" s="54">
        <v>7</v>
      </c>
      <c r="P124" s="54">
        <v>11</v>
      </c>
      <c r="Q124" s="54">
        <v>8</v>
      </c>
      <c r="R124" s="54">
        <v>15</v>
      </c>
      <c r="S124" s="54">
        <v>11</v>
      </c>
      <c r="T124" s="54">
        <v>9</v>
      </c>
      <c r="U124" s="54">
        <v>8</v>
      </c>
      <c r="V124" s="54">
        <v>3</v>
      </c>
      <c r="W124" s="54">
        <v>4</v>
      </c>
      <c r="X124" s="54">
        <v>9</v>
      </c>
      <c r="Y124" s="54">
        <v>11</v>
      </c>
      <c r="Z124" s="54">
        <v>7</v>
      </c>
      <c r="AA124" s="54">
        <v>3</v>
      </c>
      <c r="AB124" s="54">
        <v>7</v>
      </c>
      <c r="AC124" s="54">
        <v>4</v>
      </c>
      <c r="AD124" s="54">
        <v>13</v>
      </c>
      <c r="AE124" s="54">
        <v>14</v>
      </c>
      <c r="AF124" s="54">
        <v>14</v>
      </c>
      <c r="AG124" s="5">
        <f t="shared" si="17"/>
        <v>278</v>
      </c>
      <c r="AK124" s="88" t="s">
        <v>135</v>
      </c>
    </row>
    <row r="125" spans="1:37" ht="15.75" customHeight="1" x14ac:dyDescent="0.25">
      <c r="A125" s="85" t="s">
        <v>70</v>
      </c>
      <c r="B125" s="54">
        <v>62</v>
      </c>
      <c r="C125" s="54">
        <v>94</v>
      </c>
      <c r="D125" s="54">
        <v>77</v>
      </c>
      <c r="E125" s="54">
        <v>56</v>
      </c>
      <c r="F125" s="54">
        <v>67</v>
      </c>
      <c r="G125" s="54">
        <v>56</v>
      </c>
      <c r="H125" s="54">
        <v>43</v>
      </c>
      <c r="I125" s="54">
        <v>47</v>
      </c>
      <c r="J125" s="54">
        <v>95</v>
      </c>
      <c r="K125" s="54">
        <v>78</v>
      </c>
      <c r="L125" s="54">
        <v>64</v>
      </c>
      <c r="M125" s="54">
        <v>57</v>
      </c>
      <c r="N125" s="54">
        <v>52</v>
      </c>
      <c r="O125" s="54">
        <v>63</v>
      </c>
      <c r="P125" s="54">
        <v>61</v>
      </c>
      <c r="Q125" s="54">
        <v>95</v>
      </c>
      <c r="R125" s="54">
        <v>70</v>
      </c>
      <c r="S125" s="54">
        <v>71</v>
      </c>
      <c r="T125" s="54">
        <v>69</v>
      </c>
      <c r="U125" s="54">
        <v>47</v>
      </c>
      <c r="V125" s="54">
        <v>48</v>
      </c>
      <c r="W125" s="54">
        <v>62</v>
      </c>
      <c r="X125" s="54">
        <v>101</v>
      </c>
      <c r="Y125" s="54">
        <v>81</v>
      </c>
      <c r="Z125" s="54">
        <v>65</v>
      </c>
      <c r="AA125" s="54">
        <v>58</v>
      </c>
      <c r="AB125" s="54">
        <v>66</v>
      </c>
      <c r="AC125" s="54">
        <v>72</v>
      </c>
      <c r="AD125" s="54">
        <v>80</v>
      </c>
      <c r="AE125" s="54">
        <v>71</v>
      </c>
      <c r="AF125" s="54">
        <v>81</v>
      </c>
      <c r="AG125" s="5">
        <f t="shared" si="17"/>
        <v>2109</v>
      </c>
      <c r="AK125" s="88" t="s">
        <v>136</v>
      </c>
    </row>
    <row r="126" spans="1:37" ht="15.75" customHeight="1" x14ac:dyDescent="0.25">
      <c r="A126" s="85" t="s">
        <v>71</v>
      </c>
      <c r="B126" s="54">
        <v>4</v>
      </c>
      <c r="C126" s="54">
        <v>4</v>
      </c>
      <c r="D126" s="54">
        <v>2</v>
      </c>
      <c r="E126" s="54">
        <v>6</v>
      </c>
      <c r="F126" s="54">
        <v>2</v>
      </c>
      <c r="G126" s="54">
        <v>2</v>
      </c>
      <c r="H126" s="54">
        <v>2</v>
      </c>
      <c r="I126" s="54">
        <v>4</v>
      </c>
      <c r="J126" s="54">
        <v>3</v>
      </c>
      <c r="K126" s="54">
        <v>4</v>
      </c>
      <c r="L126" s="54">
        <v>3</v>
      </c>
      <c r="M126" s="54">
        <v>2</v>
      </c>
      <c r="N126" s="54">
        <v>3</v>
      </c>
      <c r="O126" s="54">
        <v>4</v>
      </c>
      <c r="P126" s="54">
        <v>2</v>
      </c>
      <c r="Q126" s="54">
        <v>7</v>
      </c>
      <c r="R126" s="54">
        <v>6</v>
      </c>
      <c r="S126" s="54">
        <v>2</v>
      </c>
      <c r="T126" s="54">
        <v>2</v>
      </c>
      <c r="U126" s="54">
        <v>5</v>
      </c>
      <c r="V126" s="54">
        <v>5</v>
      </c>
      <c r="W126" s="54">
        <v>3</v>
      </c>
      <c r="X126" s="54">
        <v>3</v>
      </c>
      <c r="Y126" s="54">
        <v>2</v>
      </c>
      <c r="Z126" s="54">
        <v>3</v>
      </c>
      <c r="AA126" s="54">
        <v>1</v>
      </c>
      <c r="AB126" s="54">
        <v>3</v>
      </c>
      <c r="AC126" s="54">
        <v>1</v>
      </c>
      <c r="AD126" s="54">
        <v>5</v>
      </c>
      <c r="AE126" s="54">
        <v>3</v>
      </c>
      <c r="AF126" s="54">
        <v>1</v>
      </c>
      <c r="AG126" s="5">
        <f t="shared" si="17"/>
        <v>99</v>
      </c>
      <c r="AK126" s="84" t="s">
        <v>137</v>
      </c>
    </row>
    <row r="127" spans="1:37" ht="15.75" customHeight="1" x14ac:dyDescent="0.25">
      <c r="A127" s="85" t="s">
        <v>72</v>
      </c>
      <c r="B127" s="54">
        <v>3</v>
      </c>
      <c r="C127" s="54">
        <v>1</v>
      </c>
      <c r="D127" s="54">
        <v>0</v>
      </c>
      <c r="E127" s="54">
        <v>2</v>
      </c>
      <c r="F127" s="54">
        <v>3</v>
      </c>
      <c r="G127" s="54">
        <v>2</v>
      </c>
      <c r="H127" s="54">
        <v>0</v>
      </c>
      <c r="I127" s="54">
        <v>2</v>
      </c>
      <c r="J127" s="54">
        <v>1</v>
      </c>
      <c r="K127" s="54">
        <v>1</v>
      </c>
      <c r="L127" s="54">
        <v>4</v>
      </c>
      <c r="M127" s="54">
        <v>1</v>
      </c>
      <c r="N127" s="54">
        <v>0</v>
      </c>
      <c r="O127" s="54">
        <v>1</v>
      </c>
      <c r="P127" s="54">
        <v>2</v>
      </c>
      <c r="Q127" s="54">
        <v>3</v>
      </c>
      <c r="R127" s="54">
        <v>1</v>
      </c>
      <c r="S127" s="54">
        <v>3</v>
      </c>
      <c r="T127" s="54">
        <v>0</v>
      </c>
      <c r="U127" s="54">
        <v>0</v>
      </c>
      <c r="V127" s="54">
        <v>2</v>
      </c>
      <c r="W127" s="54">
        <v>1</v>
      </c>
      <c r="X127" s="54">
        <v>0</v>
      </c>
      <c r="Y127" s="54">
        <v>2</v>
      </c>
      <c r="Z127" s="54">
        <v>3</v>
      </c>
      <c r="AA127" s="54">
        <v>1</v>
      </c>
      <c r="AB127" s="54">
        <v>1</v>
      </c>
      <c r="AC127" s="54">
        <v>2</v>
      </c>
      <c r="AD127" s="54">
        <v>4</v>
      </c>
      <c r="AE127" s="54">
        <v>0</v>
      </c>
      <c r="AF127" s="54">
        <v>2</v>
      </c>
      <c r="AG127" s="5">
        <f t="shared" si="17"/>
        <v>48</v>
      </c>
      <c r="AK127" s="88" t="s">
        <v>138</v>
      </c>
    </row>
    <row r="128" spans="1:37" ht="15.75" customHeight="1" x14ac:dyDescent="0.25">
      <c r="A128" s="56" t="s">
        <v>73</v>
      </c>
      <c r="B128" s="54">
        <v>0</v>
      </c>
      <c r="C128" s="54">
        <v>3</v>
      </c>
      <c r="D128" s="54">
        <v>0</v>
      </c>
      <c r="E128" s="54">
        <v>1</v>
      </c>
      <c r="F128" s="54">
        <v>2</v>
      </c>
      <c r="G128" s="54">
        <v>1</v>
      </c>
      <c r="H128" s="54">
        <v>1</v>
      </c>
      <c r="I128" s="54">
        <v>1</v>
      </c>
      <c r="J128" s="54">
        <v>3</v>
      </c>
      <c r="K128" s="54">
        <v>1</v>
      </c>
      <c r="L128" s="54">
        <v>1</v>
      </c>
      <c r="M128" s="54">
        <v>1</v>
      </c>
      <c r="N128" s="54">
        <v>1</v>
      </c>
      <c r="O128" s="54">
        <v>1</v>
      </c>
      <c r="P128" s="54">
        <v>0</v>
      </c>
      <c r="Q128" s="54">
        <v>1</v>
      </c>
      <c r="R128" s="54">
        <v>3</v>
      </c>
      <c r="S128" s="54">
        <v>1</v>
      </c>
      <c r="T128" s="54">
        <v>2</v>
      </c>
      <c r="U128" s="54">
        <v>2</v>
      </c>
      <c r="V128" s="54">
        <v>0</v>
      </c>
      <c r="W128" s="54">
        <v>4</v>
      </c>
      <c r="X128" s="54">
        <v>4</v>
      </c>
      <c r="Y128" s="54">
        <v>2</v>
      </c>
      <c r="Z128" s="54">
        <v>2</v>
      </c>
      <c r="AA128" s="54">
        <v>2</v>
      </c>
      <c r="AB128" s="54">
        <v>0</v>
      </c>
      <c r="AC128" s="54">
        <v>1</v>
      </c>
      <c r="AD128" s="54">
        <v>3</v>
      </c>
      <c r="AE128" s="54">
        <v>3</v>
      </c>
      <c r="AF128" s="54">
        <v>0</v>
      </c>
      <c r="AG128" s="5">
        <f t="shared" si="17"/>
        <v>47</v>
      </c>
      <c r="AK128" s="88" t="s">
        <v>139</v>
      </c>
    </row>
    <row r="129" spans="1:37" ht="15.75" customHeight="1" x14ac:dyDescent="0.25">
      <c r="A129" s="56" t="s">
        <v>74</v>
      </c>
      <c r="B129" s="54">
        <v>0</v>
      </c>
      <c r="C129" s="54">
        <v>0</v>
      </c>
      <c r="D129" s="54">
        <v>1</v>
      </c>
      <c r="E129" s="54">
        <v>0</v>
      </c>
      <c r="F129" s="54">
        <v>0</v>
      </c>
      <c r="G129" s="54">
        <v>1</v>
      </c>
      <c r="H129" s="54">
        <v>1</v>
      </c>
      <c r="I129" s="54">
        <v>0</v>
      </c>
      <c r="J129" s="54">
        <v>3</v>
      </c>
      <c r="K129" s="54">
        <v>2</v>
      </c>
      <c r="L129" s="54">
        <v>4</v>
      </c>
      <c r="M129" s="54">
        <v>0</v>
      </c>
      <c r="N129" s="54">
        <v>1</v>
      </c>
      <c r="O129" s="54">
        <v>0</v>
      </c>
      <c r="P129" s="54">
        <v>0</v>
      </c>
      <c r="Q129" s="54">
        <v>1</v>
      </c>
      <c r="R129" s="54">
        <v>0</v>
      </c>
      <c r="S129" s="54">
        <v>1</v>
      </c>
      <c r="T129" s="54">
        <v>1</v>
      </c>
      <c r="U129" s="54">
        <v>1</v>
      </c>
      <c r="V129" s="54">
        <v>0</v>
      </c>
      <c r="W129" s="54">
        <v>0</v>
      </c>
      <c r="X129" s="54">
        <v>2</v>
      </c>
      <c r="Y129" s="54">
        <v>1</v>
      </c>
      <c r="Z129" s="54">
        <v>1</v>
      </c>
      <c r="AA129" s="54">
        <v>0</v>
      </c>
      <c r="AB129" s="54">
        <v>1</v>
      </c>
      <c r="AC129" s="54">
        <v>1</v>
      </c>
      <c r="AD129" s="54">
        <v>1</v>
      </c>
      <c r="AE129" s="54">
        <v>1</v>
      </c>
      <c r="AF129" s="54">
        <v>1</v>
      </c>
      <c r="AG129" s="5">
        <f t="shared" si="17"/>
        <v>26</v>
      </c>
      <c r="AK129" s="84" t="s">
        <v>140</v>
      </c>
    </row>
    <row r="130" spans="1:37" ht="15.75" customHeight="1" x14ac:dyDescent="0.25">
      <c r="A130" s="56" t="s">
        <v>75</v>
      </c>
      <c r="B130" s="54">
        <v>2</v>
      </c>
      <c r="C130" s="54">
        <v>1</v>
      </c>
      <c r="D130" s="54">
        <v>1</v>
      </c>
      <c r="E130" s="54">
        <v>0</v>
      </c>
      <c r="F130" s="54">
        <v>0</v>
      </c>
      <c r="G130" s="54">
        <v>0</v>
      </c>
      <c r="H130" s="54">
        <v>0</v>
      </c>
      <c r="I130" s="54">
        <v>1</v>
      </c>
      <c r="J130" s="54">
        <v>0</v>
      </c>
      <c r="K130" s="54">
        <v>0</v>
      </c>
      <c r="L130" s="54">
        <v>0</v>
      </c>
      <c r="M130" s="54">
        <v>0</v>
      </c>
      <c r="N130" s="54">
        <v>1</v>
      </c>
      <c r="O130" s="54">
        <v>0</v>
      </c>
      <c r="P130" s="54">
        <v>0</v>
      </c>
      <c r="Q130" s="54">
        <v>1</v>
      </c>
      <c r="R130" s="54">
        <v>1</v>
      </c>
      <c r="S130" s="54">
        <v>0</v>
      </c>
      <c r="T130" s="54">
        <v>1</v>
      </c>
      <c r="U130" s="54">
        <v>0</v>
      </c>
      <c r="V130" s="54">
        <v>1</v>
      </c>
      <c r="W130" s="54">
        <v>2</v>
      </c>
      <c r="X130" s="54">
        <v>0</v>
      </c>
      <c r="Y130" s="54">
        <v>0</v>
      </c>
      <c r="Z130" s="54">
        <v>1</v>
      </c>
      <c r="AA130" s="54">
        <v>0</v>
      </c>
      <c r="AB130" s="54">
        <v>0</v>
      </c>
      <c r="AC130" s="54">
        <v>1</v>
      </c>
      <c r="AD130" s="54">
        <v>1</v>
      </c>
      <c r="AE130" s="54">
        <v>1</v>
      </c>
      <c r="AF130" s="54">
        <v>1</v>
      </c>
      <c r="AG130" s="5">
        <f t="shared" si="17"/>
        <v>17</v>
      </c>
      <c r="AK130" s="84" t="s">
        <v>141</v>
      </c>
    </row>
    <row r="131" spans="1:37" ht="15.75" customHeight="1" x14ac:dyDescent="0.25">
      <c r="A131" s="85" t="s">
        <v>76</v>
      </c>
      <c r="B131" s="54">
        <v>10</v>
      </c>
      <c r="C131" s="54">
        <v>2</v>
      </c>
      <c r="D131" s="54">
        <v>13</v>
      </c>
      <c r="E131" s="54">
        <v>7</v>
      </c>
      <c r="F131" s="54">
        <v>3</v>
      </c>
      <c r="G131" s="54">
        <v>7</v>
      </c>
      <c r="H131" s="54">
        <v>8</v>
      </c>
      <c r="I131" s="54">
        <v>9</v>
      </c>
      <c r="J131" s="54">
        <v>5</v>
      </c>
      <c r="K131" s="54">
        <v>9</v>
      </c>
      <c r="L131" s="54">
        <v>9</v>
      </c>
      <c r="M131" s="54">
        <v>4</v>
      </c>
      <c r="N131" s="54">
        <v>5</v>
      </c>
      <c r="O131" s="54">
        <v>12</v>
      </c>
      <c r="P131" s="54">
        <v>4</v>
      </c>
      <c r="Q131" s="54">
        <v>10</v>
      </c>
      <c r="R131" s="54">
        <v>14</v>
      </c>
      <c r="S131" s="54">
        <v>6</v>
      </c>
      <c r="T131" s="54">
        <v>2</v>
      </c>
      <c r="U131" s="54">
        <v>4</v>
      </c>
      <c r="V131" s="54">
        <v>7</v>
      </c>
      <c r="W131" s="54">
        <v>4</v>
      </c>
      <c r="X131" s="54">
        <v>5</v>
      </c>
      <c r="Y131" s="54">
        <v>6</v>
      </c>
      <c r="Z131" s="54">
        <v>13</v>
      </c>
      <c r="AA131" s="54">
        <v>7</v>
      </c>
      <c r="AB131" s="54">
        <v>6</v>
      </c>
      <c r="AC131" s="54">
        <v>5</v>
      </c>
      <c r="AD131" s="54">
        <v>7</v>
      </c>
      <c r="AE131" s="54">
        <v>7</v>
      </c>
      <c r="AF131" s="54">
        <v>4</v>
      </c>
      <c r="AG131" s="5">
        <f t="shared" si="17"/>
        <v>214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9</v>
      </c>
      <c r="C132" s="87">
        <v>12</v>
      </c>
      <c r="D132" s="87">
        <v>10</v>
      </c>
      <c r="E132" s="87">
        <v>6</v>
      </c>
      <c r="F132" s="87">
        <v>6</v>
      </c>
      <c r="G132" s="87">
        <v>4</v>
      </c>
      <c r="H132" s="87">
        <v>3</v>
      </c>
      <c r="I132" s="87">
        <v>5</v>
      </c>
      <c r="J132" s="87">
        <v>7</v>
      </c>
      <c r="K132" s="87">
        <v>12</v>
      </c>
      <c r="L132" s="87">
        <v>4</v>
      </c>
      <c r="M132" s="87">
        <v>2</v>
      </c>
      <c r="N132" s="87">
        <v>2</v>
      </c>
      <c r="O132" s="87">
        <v>6</v>
      </c>
      <c r="P132" s="87">
        <v>4</v>
      </c>
      <c r="Q132" s="87">
        <v>10</v>
      </c>
      <c r="R132" s="87">
        <v>7</v>
      </c>
      <c r="S132" s="87">
        <v>7</v>
      </c>
      <c r="T132" s="87">
        <v>7</v>
      </c>
      <c r="U132" s="87">
        <v>5</v>
      </c>
      <c r="V132" s="87">
        <v>5</v>
      </c>
      <c r="W132" s="87">
        <v>5</v>
      </c>
      <c r="X132" s="87">
        <v>7</v>
      </c>
      <c r="Y132" s="87">
        <v>5</v>
      </c>
      <c r="Z132" s="87">
        <v>5</v>
      </c>
      <c r="AA132" s="87">
        <v>8</v>
      </c>
      <c r="AB132" s="87">
        <v>11</v>
      </c>
      <c r="AC132" s="87">
        <v>2</v>
      </c>
      <c r="AD132" s="87">
        <v>13</v>
      </c>
      <c r="AE132" s="87">
        <v>13</v>
      </c>
      <c r="AF132" s="87">
        <v>14</v>
      </c>
      <c r="AG132" s="9">
        <f t="shared" si="17"/>
        <v>216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135</v>
      </c>
      <c r="C133" s="14">
        <f t="shared" si="21"/>
        <v>171</v>
      </c>
      <c r="D133" s="14">
        <f t="shared" si="21"/>
        <v>175</v>
      </c>
      <c r="E133" s="14">
        <f t="shared" si="21"/>
        <v>141</v>
      </c>
      <c r="F133" s="14">
        <f t="shared" si="21"/>
        <v>128</v>
      </c>
      <c r="G133" s="14">
        <f t="shared" si="21"/>
        <v>117</v>
      </c>
      <c r="H133" s="14">
        <f t="shared" si="21"/>
        <v>116</v>
      </c>
      <c r="I133" s="14">
        <f t="shared" si="21"/>
        <v>111</v>
      </c>
      <c r="J133" s="14">
        <f t="shared" si="21"/>
        <v>185</v>
      </c>
      <c r="K133" s="14">
        <f t="shared" si="21"/>
        <v>177</v>
      </c>
      <c r="L133" s="14">
        <f t="shared" si="21"/>
        <v>149</v>
      </c>
      <c r="M133" s="14">
        <f t="shared" si="21"/>
        <v>111</v>
      </c>
      <c r="N133" s="14">
        <f t="shared" si="21"/>
        <v>121</v>
      </c>
      <c r="O133" s="14">
        <f t="shared" si="21"/>
        <v>148</v>
      </c>
      <c r="P133" s="14">
        <f t="shared" si="21"/>
        <v>123</v>
      </c>
      <c r="Q133" s="14">
        <f t="shared" si="21"/>
        <v>212</v>
      </c>
      <c r="R133" s="14">
        <f t="shared" si="21"/>
        <v>168</v>
      </c>
      <c r="S133" s="14">
        <f t="shared" si="21"/>
        <v>156</v>
      </c>
      <c r="T133" s="14">
        <f t="shared" si="21"/>
        <v>139</v>
      </c>
      <c r="U133" s="14">
        <f t="shared" si="21"/>
        <v>94</v>
      </c>
      <c r="V133" s="14">
        <f t="shared" si="21"/>
        <v>129</v>
      </c>
      <c r="W133" s="14">
        <f t="shared" si="21"/>
        <v>132</v>
      </c>
      <c r="X133" s="14">
        <f t="shared" si="21"/>
        <v>186</v>
      </c>
      <c r="Y133" s="14">
        <f t="shared" si="21"/>
        <v>174</v>
      </c>
      <c r="Z133" s="14">
        <f t="shared" si="21"/>
        <v>153</v>
      </c>
      <c r="AA133" s="14">
        <f t="shared" si="21"/>
        <v>123</v>
      </c>
      <c r="AB133" s="14">
        <f t="shared" si="21"/>
        <v>145</v>
      </c>
      <c r="AC133" s="14">
        <f t="shared" si="21"/>
        <v>129</v>
      </c>
      <c r="AD133" s="14">
        <f t="shared" si="21"/>
        <v>180</v>
      </c>
      <c r="AE133" s="14">
        <f t="shared" si="21"/>
        <v>172</v>
      </c>
      <c r="AF133" s="14">
        <f t="shared" si="21"/>
        <v>171</v>
      </c>
      <c r="AG133" s="10">
        <f t="shared" si="17"/>
        <v>4571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17</v>
      </c>
      <c r="C134" s="22">
        <f t="shared" si="22"/>
        <v>1</v>
      </c>
      <c r="D134" s="22">
        <f t="shared" si="22"/>
        <v>6</v>
      </c>
      <c r="E134" s="22">
        <f t="shared" si="22"/>
        <v>7</v>
      </c>
      <c r="F134" s="22">
        <f t="shared" si="22"/>
        <v>8</v>
      </c>
      <c r="G134" s="22">
        <f t="shared" si="22"/>
        <v>8</v>
      </c>
      <c r="H134" s="22">
        <f t="shared" si="22"/>
        <v>6</v>
      </c>
      <c r="I134" s="22">
        <f t="shared" si="22"/>
        <v>3</v>
      </c>
      <c r="J134" s="22">
        <f t="shared" si="22"/>
        <v>5</v>
      </c>
      <c r="K134" s="22">
        <f t="shared" si="22"/>
        <v>11</v>
      </c>
      <c r="L134" s="22">
        <f t="shared" si="22"/>
        <v>1</v>
      </c>
      <c r="M134" s="22">
        <f t="shared" si="22"/>
        <v>11</v>
      </c>
      <c r="N134" s="22">
        <f t="shared" si="22"/>
        <v>6</v>
      </c>
      <c r="O134" s="22">
        <f t="shared" si="22"/>
        <v>13</v>
      </c>
      <c r="P134" s="22">
        <f t="shared" si="22"/>
        <v>13</v>
      </c>
      <c r="Q134" s="22">
        <f t="shared" si="22"/>
        <v>8</v>
      </c>
      <c r="R134" s="22">
        <f t="shared" si="22"/>
        <v>2</v>
      </c>
      <c r="S134" s="22">
        <f t="shared" si="22"/>
        <v>23</v>
      </c>
      <c r="T134" s="22">
        <f t="shared" si="22"/>
        <v>11</v>
      </c>
      <c r="U134" s="22">
        <f t="shared" si="22"/>
        <v>3</v>
      </c>
      <c r="V134" s="22">
        <f t="shared" si="22"/>
        <v>27</v>
      </c>
      <c r="W134" s="22">
        <f t="shared" si="22"/>
        <v>7</v>
      </c>
      <c r="X134" s="22">
        <f t="shared" si="22"/>
        <v>5</v>
      </c>
      <c r="Y134" s="22">
        <f t="shared" si="22"/>
        <v>2</v>
      </c>
      <c r="Z134" s="22">
        <f t="shared" si="22"/>
        <v>31</v>
      </c>
      <c r="AA134" s="22">
        <f t="shared" si="22"/>
        <v>25</v>
      </c>
      <c r="AB134" s="22">
        <f t="shared" si="22"/>
        <v>10</v>
      </c>
      <c r="AC134" s="22">
        <f t="shared" si="22"/>
        <v>6</v>
      </c>
      <c r="AD134" s="22">
        <f t="shared" si="22"/>
        <v>8</v>
      </c>
      <c r="AE134" s="22">
        <f t="shared" si="22"/>
        <v>3</v>
      </c>
      <c r="AF134" s="22">
        <f t="shared" si="22"/>
        <v>13</v>
      </c>
      <c r="AG134" s="23">
        <f t="shared" si="17"/>
        <v>300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0</v>
      </c>
      <c r="C135" s="1">
        <f t="shared" si="23"/>
        <v>1</v>
      </c>
      <c r="D135" s="1">
        <f t="shared" si="23"/>
        <v>1</v>
      </c>
      <c r="E135" s="1">
        <f t="shared" si="23"/>
        <v>0</v>
      </c>
      <c r="F135" s="1">
        <f t="shared" si="23"/>
        <v>0</v>
      </c>
      <c r="G135" s="1">
        <f t="shared" si="23"/>
        <v>3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1</v>
      </c>
      <c r="L135" s="1">
        <f t="shared" si="23"/>
        <v>0</v>
      </c>
      <c r="M135" s="1">
        <f t="shared" si="23"/>
        <v>0</v>
      </c>
      <c r="N135" s="1">
        <f t="shared" si="23"/>
        <v>0</v>
      </c>
      <c r="O135" s="1">
        <f t="shared" si="23"/>
        <v>1</v>
      </c>
      <c r="P135" s="1">
        <f t="shared" si="23"/>
        <v>0</v>
      </c>
      <c r="Q135" s="1">
        <f t="shared" si="23"/>
        <v>1</v>
      </c>
      <c r="R135" s="1">
        <f t="shared" si="23"/>
        <v>3</v>
      </c>
      <c r="S135" s="1">
        <f t="shared" si="23"/>
        <v>0</v>
      </c>
      <c r="T135" s="1">
        <f t="shared" si="23"/>
        <v>1</v>
      </c>
      <c r="U135" s="1">
        <f t="shared" si="23"/>
        <v>0</v>
      </c>
      <c r="V135" s="1">
        <f t="shared" si="23"/>
        <v>1</v>
      </c>
      <c r="W135" s="1">
        <f t="shared" si="23"/>
        <v>1</v>
      </c>
      <c r="X135" s="1">
        <f t="shared" si="23"/>
        <v>1</v>
      </c>
      <c r="Y135" s="1">
        <f t="shared" si="23"/>
        <v>1</v>
      </c>
      <c r="Z135" s="1">
        <f t="shared" si="23"/>
        <v>0</v>
      </c>
      <c r="AA135" s="1">
        <f t="shared" si="23"/>
        <v>0</v>
      </c>
      <c r="AB135" s="1">
        <f t="shared" si="23"/>
        <v>0</v>
      </c>
      <c r="AC135" s="1">
        <f t="shared" si="23"/>
        <v>0</v>
      </c>
      <c r="AD135" s="1">
        <f t="shared" si="23"/>
        <v>2</v>
      </c>
      <c r="AE135" s="1">
        <f t="shared" si="23"/>
        <v>0</v>
      </c>
      <c r="AF135" s="1">
        <f t="shared" si="23"/>
        <v>0</v>
      </c>
      <c r="AG135" s="2">
        <f t="shared" si="17"/>
        <v>18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0</v>
      </c>
      <c r="C136" s="91">
        <v>1</v>
      </c>
      <c r="D136" s="91">
        <v>1</v>
      </c>
      <c r="E136" s="91">
        <v>0</v>
      </c>
      <c r="F136" s="91">
        <v>0</v>
      </c>
      <c r="G136" s="91">
        <v>2</v>
      </c>
      <c r="H136" s="91">
        <v>0</v>
      </c>
      <c r="I136" s="91">
        <v>0</v>
      </c>
      <c r="J136" s="91">
        <v>0</v>
      </c>
      <c r="K136" s="91">
        <v>0</v>
      </c>
      <c r="L136" s="91">
        <v>0</v>
      </c>
      <c r="M136" s="91">
        <v>0</v>
      </c>
      <c r="N136" s="91">
        <v>0</v>
      </c>
      <c r="O136" s="91">
        <v>1</v>
      </c>
      <c r="P136" s="91">
        <v>0</v>
      </c>
      <c r="Q136" s="91">
        <v>1</v>
      </c>
      <c r="R136" s="91">
        <v>3</v>
      </c>
      <c r="S136" s="91">
        <v>0</v>
      </c>
      <c r="T136" s="91">
        <v>0</v>
      </c>
      <c r="U136" s="91">
        <v>0</v>
      </c>
      <c r="V136" s="91">
        <v>1</v>
      </c>
      <c r="W136" s="91">
        <v>1</v>
      </c>
      <c r="X136" s="91">
        <v>0</v>
      </c>
      <c r="Y136" s="91">
        <v>1</v>
      </c>
      <c r="Z136" s="91">
        <v>0</v>
      </c>
      <c r="AA136" s="91">
        <v>0</v>
      </c>
      <c r="AB136" s="91">
        <v>0</v>
      </c>
      <c r="AC136" s="91">
        <v>0</v>
      </c>
      <c r="AD136" s="91">
        <v>2</v>
      </c>
      <c r="AE136" s="91">
        <v>0</v>
      </c>
      <c r="AF136" s="91">
        <v>0</v>
      </c>
      <c r="AG136" s="28">
        <f t="shared" si="17"/>
        <v>14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1</v>
      </c>
      <c r="U137" s="93">
        <v>0</v>
      </c>
      <c r="V137" s="93">
        <v>0</v>
      </c>
      <c r="W137" s="93">
        <v>0</v>
      </c>
      <c r="X137" s="93">
        <v>1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29">
        <f t="shared" si="17"/>
        <v>2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1</v>
      </c>
      <c r="H138" s="95">
        <v>0</v>
      </c>
      <c r="I138" s="95">
        <v>0</v>
      </c>
      <c r="J138" s="95">
        <v>0</v>
      </c>
      <c r="K138" s="95">
        <v>1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2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1</v>
      </c>
      <c r="C139" s="31">
        <f t="shared" si="24"/>
        <v>3</v>
      </c>
      <c r="D139" s="31">
        <f t="shared" si="24"/>
        <v>6</v>
      </c>
      <c r="E139" s="31">
        <f t="shared" si="24"/>
        <v>2</v>
      </c>
      <c r="F139" s="31">
        <f t="shared" si="24"/>
        <v>0</v>
      </c>
      <c r="G139" s="31">
        <f t="shared" si="24"/>
        <v>4</v>
      </c>
      <c r="H139" s="31">
        <f t="shared" si="24"/>
        <v>2</v>
      </c>
      <c r="I139" s="31">
        <f t="shared" si="24"/>
        <v>3</v>
      </c>
      <c r="J139" s="31">
        <f t="shared" si="24"/>
        <v>9</v>
      </c>
      <c r="K139" s="31">
        <f t="shared" si="24"/>
        <v>7</v>
      </c>
      <c r="L139" s="31">
        <f t="shared" si="24"/>
        <v>5</v>
      </c>
      <c r="M139" s="31">
        <f t="shared" si="24"/>
        <v>2</v>
      </c>
      <c r="N139" s="31">
        <f t="shared" si="24"/>
        <v>3</v>
      </c>
      <c r="O139" s="31">
        <f t="shared" si="24"/>
        <v>1</v>
      </c>
      <c r="P139" s="31">
        <f t="shared" si="24"/>
        <v>7</v>
      </c>
      <c r="Q139" s="31">
        <f t="shared" si="24"/>
        <v>9</v>
      </c>
      <c r="R139" s="31">
        <f t="shared" si="24"/>
        <v>1</v>
      </c>
      <c r="S139" s="31">
        <f t="shared" si="24"/>
        <v>3</v>
      </c>
      <c r="T139" s="31">
        <f t="shared" si="24"/>
        <v>2</v>
      </c>
      <c r="U139" s="31">
        <f t="shared" si="24"/>
        <v>0</v>
      </c>
      <c r="V139" s="31">
        <f t="shared" si="24"/>
        <v>6</v>
      </c>
      <c r="W139" s="31">
        <f t="shared" si="24"/>
        <v>7</v>
      </c>
      <c r="X139" s="31">
        <f t="shared" si="24"/>
        <v>2</v>
      </c>
      <c r="Y139" s="31">
        <f t="shared" si="24"/>
        <v>6</v>
      </c>
      <c r="Z139" s="31">
        <f t="shared" si="24"/>
        <v>0</v>
      </c>
      <c r="AA139" s="31">
        <f t="shared" si="24"/>
        <v>3</v>
      </c>
      <c r="AB139" s="31">
        <f t="shared" si="24"/>
        <v>3</v>
      </c>
      <c r="AC139" s="31">
        <f t="shared" si="24"/>
        <v>6</v>
      </c>
      <c r="AD139" s="31">
        <f t="shared" si="24"/>
        <v>6</v>
      </c>
      <c r="AE139" s="31">
        <f t="shared" si="24"/>
        <v>2</v>
      </c>
      <c r="AF139" s="31">
        <f t="shared" si="24"/>
        <v>3</v>
      </c>
      <c r="AG139" s="32">
        <f t="shared" si="17"/>
        <v>114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0</v>
      </c>
      <c r="C140" s="97">
        <v>0</v>
      </c>
      <c r="D140" s="97">
        <v>0</v>
      </c>
      <c r="E140" s="97">
        <v>0</v>
      </c>
      <c r="F140" s="97">
        <v>0</v>
      </c>
      <c r="G140" s="97">
        <v>1</v>
      </c>
      <c r="H140" s="97">
        <v>0</v>
      </c>
      <c r="I140" s="97">
        <v>0</v>
      </c>
      <c r="J140" s="97">
        <v>2</v>
      </c>
      <c r="K140" s="97">
        <v>0</v>
      </c>
      <c r="L140" s="97">
        <v>0</v>
      </c>
      <c r="M140" s="97">
        <v>0</v>
      </c>
      <c r="N140" s="97">
        <v>1</v>
      </c>
      <c r="O140" s="97">
        <v>1</v>
      </c>
      <c r="P140" s="97">
        <v>1</v>
      </c>
      <c r="Q140" s="97">
        <v>2</v>
      </c>
      <c r="R140" s="97">
        <v>0</v>
      </c>
      <c r="S140" s="97">
        <v>0</v>
      </c>
      <c r="T140" s="97">
        <v>0</v>
      </c>
      <c r="U140" s="97">
        <v>0</v>
      </c>
      <c r="V140" s="97">
        <v>1</v>
      </c>
      <c r="W140" s="97">
        <v>1</v>
      </c>
      <c r="X140" s="97">
        <v>0</v>
      </c>
      <c r="Y140" s="97">
        <v>0</v>
      </c>
      <c r="Z140" s="97">
        <v>0</v>
      </c>
      <c r="AA140" s="97">
        <v>1</v>
      </c>
      <c r="AB140" s="97">
        <v>0</v>
      </c>
      <c r="AC140" s="97">
        <v>1</v>
      </c>
      <c r="AD140" s="97">
        <v>0</v>
      </c>
      <c r="AE140" s="97">
        <v>0</v>
      </c>
      <c r="AF140" s="97">
        <v>0</v>
      </c>
      <c r="AG140" s="33">
        <f t="shared" si="17"/>
        <v>12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1</v>
      </c>
      <c r="C141" s="98">
        <v>3</v>
      </c>
      <c r="D141" s="98">
        <v>6</v>
      </c>
      <c r="E141" s="98">
        <v>2</v>
      </c>
      <c r="F141" s="98">
        <v>0</v>
      </c>
      <c r="G141" s="98">
        <v>3</v>
      </c>
      <c r="H141" s="98">
        <v>2</v>
      </c>
      <c r="I141" s="98">
        <v>3</v>
      </c>
      <c r="J141" s="98">
        <v>7</v>
      </c>
      <c r="K141" s="98">
        <v>7</v>
      </c>
      <c r="L141" s="98">
        <v>5</v>
      </c>
      <c r="M141" s="98">
        <v>2</v>
      </c>
      <c r="N141" s="98">
        <v>2</v>
      </c>
      <c r="O141" s="98">
        <v>0</v>
      </c>
      <c r="P141" s="98">
        <v>6</v>
      </c>
      <c r="Q141" s="98">
        <v>7</v>
      </c>
      <c r="R141" s="98">
        <v>1</v>
      </c>
      <c r="S141" s="98">
        <v>3</v>
      </c>
      <c r="T141" s="98">
        <v>2</v>
      </c>
      <c r="U141" s="98">
        <v>0</v>
      </c>
      <c r="V141" s="98">
        <v>5</v>
      </c>
      <c r="W141" s="98">
        <v>6</v>
      </c>
      <c r="X141" s="98">
        <v>2</v>
      </c>
      <c r="Y141" s="98">
        <v>6</v>
      </c>
      <c r="Z141" s="98">
        <v>0</v>
      </c>
      <c r="AA141" s="98">
        <v>2</v>
      </c>
      <c r="AB141" s="98">
        <v>3</v>
      </c>
      <c r="AC141" s="98">
        <v>5</v>
      </c>
      <c r="AD141" s="98">
        <v>6</v>
      </c>
      <c r="AE141" s="98">
        <v>2</v>
      </c>
      <c r="AF141" s="98">
        <v>3</v>
      </c>
      <c r="AG141" s="34">
        <f t="shared" si="17"/>
        <v>102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>
        <v>0</v>
      </c>
      <c r="AE142" s="100">
        <v>0</v>
      </c>
      <c r="AF142" s="100">
        <v>0</v>
      </c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>
        <v>0</v>
      </c>
      <c r="AE143" s="102">
        <v>0</v>
      </c>
      <c r="AF143" s="102">
        <v>0</v>
      </c>
      <c r="AG143" s="36">
        <f t="shared" si="17"/>
        <v>0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14</v>
      </c>
      <c r="C144" s="37">
        <f t="shared" si="25"/>
        <v>33</v>
      </c>
      <c r="D144" s="37">
        <f t="shared" si="25"/>
        <v>46</v>
      </c>
      <c r="E144" s="37">
        <f t="shared" si="25"/>
        <v>26</v>
      </c>
      <c r="F144" s="37">
        <f t="shared" si="25"/>
        <v>32</v>
      </c>
      <c r="G144" s="37">
        <f t="shared" si="25"/>
        <v>23</v>
      </c>
      <c r="H144" s="37">
        <f t="shared" si="25"/>
        <v>35</v>
      </c>
      <c r="I144" s="37">
        <f t="shared" si="25"/>
        <v>27</v>
      </c>
      <c r="J144" s="37">
        <f t="shared" si="25"/>
        <v>24</v>
      </c>
      <c r="K144" s="37">
        <f t="shared" si="25"/>
        <v>36</v>
      </c>
      <c r="L144" s="37">
        <f t="shared" si="25"/>
        <v>34</v>
      </c>
      <c r="M144" s="37">
        <f t="shared" si="25"/>
        <v>20</v>
      </c>
      <c r="N144" s="37">
        <f t="shared" si="25"/>
        <v>21</v>
      </c>
      <c r="O144" s="37">
        <f t="shared" si="25"/>
        <v>23</v>
      </c>
      <c r="P144" s="37">
        <f t="shared" si="25"/>
        <v>31</v>
      </c>
      <c r="Q144" s="37">
        <f t="shared" si="25"/>
        <v>51</v>
      </c>
      <c r="R144" s="37">
        <f t="shared" si="25"/>
        <v>63</v>
      </c>
      <c r="S144" s="37">
        <f t="shared" si="25"/>
        <v>49</v>
      </c>
      <c r="T144" s="37">
        <f t="shared" si="25"/>
        <v>47</v>
      </c>
      <c r="U144" s="37">
        <f t="shared" si="25"/>
        <v>23</v>
      </c>
      <c r="V144" s="37">
        <f t="shared" si="25"/>
        <v>44</v>
      </c>
      <c r="W144" s="37">
        <f t="shared" si="25"/>
        <v>29</v>
      </c>
      <c r="X144" s="37">
        <f t="shared" si="25"/>
        <v>57</v>
      </c>
      <c r="Y144" s="37">
        <f t="shared" si="25"/>
        <v>50</v>
      </c>
      <c r="Z144" s="37">
        <f t="shared" si="25"/>
        <v>44</v>
      </c>
      <c r="AA144" s="37">
        <f t="shared" si="25"/>
        <v>22</v>
      </c>
      <c r="AB144" s="37">
        <f t="shared" si="25"/>
        <v>31</v>
      </c>
      <c r="AC144" s="37">
        <f t="shared" si="25"/>
        <v>23</v>
      </c>
      <c r="AD144" s="37">
        <f t="shared" si="25"/>
        <v>46</v>
      </c>
      <c r="AE144" s="37">
        <f t="shared" si="25"/>
        <v>36</v>
      </c>
      <c r="AF144" s="37">
        <f t="shared" si="25"/>
        <v>37</v>
      </c>
      <c r="AG144" s="24">
        <f t="shared" si="17"/>
        <v>1077</v>
      </c>
      <c r="AK144" s="84" t="s">
        <v>155</v>
      </c>
    </row>
    <row r="145" spans="1:37" ht="15.75" customHeight="1" x14ac:dyDescent="0.25">
      <c r="A145" s="104" t="s">
        <v>92</v>
      </c>
      <c r="B145" s="105">
        <v>1</v>
      </c>
      <c r="C145" s="105">
        <v>5</v>
      </c>
      <c r="D145" s="105">
        <v>4</v>
      </c>
      <c r="E145" s="105">
        <v>3</v>
      </c>
      <c r="F145" s="105">
        <v>6</v>
      </c>
      <c r="G145" s="105">
        <v>2</v>
      </c>
      <c r="H145" s="105">
        <v>7</v>
      </c>
      <c r="I145" s="105">
        <v>1</v>
      </c>
      <c r="J145" s="105">
        <v>4</v>
      </c>
      <c r="K145" s="105">
        <v>4</v>
      </c>
      <c r="L145" s="105">
        <v>5</v>
      </c>
      <c r="M145" s="105">
        <v>0</v>
      </c>
      <c r="N145" s="105">
        <v>1</v>
      </c>
      <c r="O145" s="105">
        <v>3</v>
      </c>
      <c r="P145" s="105">
        <v>0</v>
      </c>
      <c r="Q145" s="105">
        <v>4</v>
      </c>
      <c r="R145" s="105">
        <v>5</v>
      </c>
      <c r="S145" s="105">
        <v>5</v>
      </c>
      <c r="T145" s="105">
        <v>1</v>
      </c>
      <c r="U145" s="105">
        <v>2</v>
      </c>
      <c r="V145" s="105">
        <v>4</v>
      </c>
      <c r="W145" s="105">
        <v>0</v>
      </c>
      <c r="X145" s="105">
        <v>3</v>
      </c>
      <c r="Y145" s="105">
        <v>1</v>
      </c>
      <c r="Z145" s="105">
        <v>4</v>
      </c>
      <c r="AA145" s="105">
        <v>2</v>
      </c>
      <c r="AB145" s="105">
        <v>3</v>
      </c>
      <c r="AC145" s="105">
        <v>2</v>
      </c>
      <c r="AD145" s="105">
        <v>6</v>
      </c>
      <c r="AE145" s="105">
        <v>5</v>
      </c>
      <c r="AF145" s="105">
        <v>2</v>
      </c>
      <c r="AG145" s="38">
        <f t="shared" si="17"/>
        <v>95</v>
      </c>
      <c r="AK145" s="84" t="s">
        <v>156</v>
      </c>
    </row>
    <row r="146" spans="1:37" ht="15.75" customHeight="1" x14ac:dyDescent="0.25">
      <c r="A146" s="106" t="s">
        <v>93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>
        <v>0</v>
      </c>
      <c r="C147" s="77">
        <v>0</v>
      </c>
      <c r="D147" s="77">
        <v>1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1</v>
      </c>
      <c r="AG147" s="5">
        <f t="shared" si="17"/>
        <v>2</v>
      </c>
      <c r="AK147" s="84" t="s">
        <v>158</v>
      </c>
    </row>
    <row r="148" spans="1:37" ht="15.75" customHeight="1" x14ac:dyDescent="0.25">
      <c r="A148" s="106" t="s">
        <v>95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1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1</v>
      </c>
      <c r="AK148" s="84" t="s">
        <v>159</v>
      </c>
    </row>
    <row r="149" spans="1:37" ht="15.75" customHeight="1" x14ac:dyDescent="0.25">
      <c r="A149" s="107" t="s">
        <v>96</v>
      </c>
      <c r="B149" s="108">
        <v>10</v>
      </c>
      <c r="C149" s="108">
        <v>26</v>
      </c>
      <c r="D149" s="108">
        <v>37</v>
      </c>
      <c r="E149" s="108">
        <v>23</v>
      </c>
      <c r="F149" s="108">
        <v>22</v>
      </c>
      <c r="G149" s="108">
        <v>20</v>
      </c>
      <c r="H149" s="108">
        <v>19</v>
      </c>
      <c r="I149" s="108">
        <v>23</v>
      </c>
      <c r="J149" s="108">
        <v>18</v>
      </c>
      <c r="K149" s="108">
        <v>27</v>
      </c>
      <c r="L149" s="108">
        <v>29</v>
      </c>
      <c r="M149" s="108">
        <v>18</v>
      </c>
      <c r="N149" s="108">
        <v>18</v>
      </c>
      <c r="O149" s="108">
        <v>13</v>
      </c>
      <c r="P149" s="108">
        <v>22</v>
      </c>
      <c r="Q149" s="108">
        <v>40</v>
      </c>
      <c r="R149" s="108">
        <v>52</v>
      </c>
      <c r="S149" s="108">
        <v>41</v>
      </c>
      <c r="T149" s="108">
        <v>44</v>
      </c>
      <c r="U149" s="108">
        <v>20</v>
      </c>
      <c r="V149" s="108">
        <v>35</v>
      </c>
      <c r="W149" s="108">
        <v>28</v>
      </c>
      <c r="X149" s="108">
        <v>51</v>
      </c>
      <c r="Y149" s="108">
        <v>44</v>
      </c>
      <c r="Z149" s="108">
        <v>37</v>
      </c>
      <c r="AA149" s="108">
        <v>14</v>
      </c>
      <c r="AB149" s="108">
        <v>25</v>
      </c>
      <c r="AC149" s="108">
        <v>19</v>
      </c>
      <c r="AD149" s="108">
        <v>38</v>
      </c>
      <c r="AE149" s="108">
        <v>30</v>
      </c>
      <c r="AF149" s="108">
        <v>28</v>
      </c>
      <c r="AG149" s="39">
        <f t="shared" si="17"/>
        <v>871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>
        <v>0</v>
      </c>
      <c r="C153" s="77">
        <v>0</v>
      </c>
      <c r="D153" s="77">
        <v>2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3</v>
      </c>
      <c r="AG153" s="5">
        <f t="shared" si="17"/>
        <v>5</v>
      </c>
      <c r="AK153" s="109" t="s">
        <v>127</v>
      </c>
    </row>
    <row r="154" spans="1:37" ht="15.75" customHeight="1" x14ac:dyDescent="0.25">
      <c r="A154" s="76" t="s">
        <v>101</v>
      </c>
      <c r="B154" s="77">
        <v>0</v>
      </c>
      <c r="C154" s="77">
        <v>0</v>
      </c>
      <c r="D154" s="77">
        <v>0</v>
      </c>
      <c r="E154" s="77">
        <v>0</v>
      </c>
      <c r="F154" s="77">
        <v>0</v>
      </c>
      <c r="G154" s="77">
        <v>1</v>
      </c>
      <c r="H154" s="77">
        <v>1</v>
      </c>
      <c r="I154" s="77">
        <v>2</v>
      </c>
      <c r="J154" s="77">
        <v>0</v>
      </c>
      <c r="K154" s="77">
        <v>0</v>
      </c>
      <c r="L154" s="77">
        <v>0</v>
      </c>
      <c r="M154" s="77">
        <v>2</v>
      </c>
      <c r="N154" s="77">
        <v>0</v>
      </c>
      <c r="O154" s="77">
        <v>4</v>
      </c>
      <c r="P154" s="77">
        <v>3</v>
      </c>
      <c r="Q154" s="77">
        <v>0</v>
      </c>
      <c r="R154" s="77">
        <v>0</v>
      </c>
      <c r="S154" s="77">
        <v>3</v>
      </c>
      <c r="T154" s="77">
        <v>2</v>
      </c>
      <c r="U154" s="77">
        <v>1</v>
      </c>
      <c r="V154" s="77">
        <v>2</v>
      </c>
      <c r="W154" s="77">
        <v>0</v>
      </c>
      <c r="X154" s="77">
        <v>1</v>
      </c>
      <c r="Y154" s="77">
        <v>0</v>
      </c>
      <c r="Z154" s="77">
        <v>3</v>
      </c>
      <c r="AA154" s="77">
        <v>3</v>
      </c>
      <c r="AB154" s="77">
        <v>1</v>
      </c>
      <c r="AC154" s="77">
        <v>1</v>
      </c>
      <c r="AD154" s="77">
        <v>0</v>
      </c>
      <c r="AE154" s="77">
        <v>0</v>
      </c>
      <c r="AF154" s="77">
        <v>0</v>
      </c>
      <c r="AG154" s="5">
        <f t="shared" si="17"/>
        <v>30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>
        <v>3</v>
      </c>
      <c r="C158" s="111">
        <v>2</v>
      </c>
      <c r="D158" s="111">
        <v>1</v>
      </c>
      <c r="E158" s="111">
        <v>0</v>
      </c>
      <c r="F158" s="111">
        <v>1</v>
      </c>
      <c r="G158" s="111">
        <v>0</v>
      </c>
      <c r="H158" s="111">
        <v>2</v>
      </c>
      <c r="I158" s="111">
        <v>0</v>
      </c>
      <c r="J158" s="111">
        <v>1</v>
      </c>
      <c r="K158" s="111">
        <v>3</v>
      </c>
      <c r="L158" s="111">
        <v>0</v>
      </c>
      <c r="M158" s="111">
        <v>0</v>
      </c>
      <c r="N158" s="111">
        <v>1</v>
      </c>
      <c r="O158" s="111">
        <v>1</v>
      </c>
      <c r="P158" s="111">
        <v>0</v>
      </c>
      <c r="Q158" s="111">
        <v>6</v>
      </c>
      <c r="R158" s="111">
        <v>1</v>
      </c>
      <c r="S158" s="111">
        <v>0</v>
      </c>
      <c r="T158" s="111">
        <v>0</v>
      </c>
      <c r="U158" s="111">
        <v>0</v>
      </c>
      <c r="V158" s="111">
        <v>2</v>
      </c>
      <c r="W158" s="111">
        <v>0</v>
      </c>
      <c r="X158" s="111">
        <v>0</v>
      </c>
      <c r="Y158" s="111">
        <v>2</v>
      </c>
      <c r="Z158" s="111">
        <v>0</v>
      </c>
      <c r="AA158" s="111">
        <v>1</v>
      </c>
      <c r="AB158" s="111">
        <v>1</v>
      </c>
      <c r="AC158" s="111">
        <v>0</v>
      </c>
      <c r="AD158" s="111">
        <v>0</v>
      </c>
      <c r="AE158" s="111">
        <v>0</v>
      </c>
      <c r="AF158" s="111">
        <v>0</v>
      </c>
      <c r="AG158" s="40">
        <f t="shared" si="17"/>
        <v>28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1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1</v>
      </c>
    </row>
    <row r="163" spans="1:34" ht="15.75" customHeight="1" x14ac:dyDescent="0.25">
      <c r="A163" s="112" t="s">
        <v>110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1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1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>
        <v>0</v>
      </c>
      <c r="C167" s="77">
        <v>0</v>
      </c>
      <c r="D167" s="77">
        <v>0</v>
      </c>
      <c r="E167" s="77">
        <v>0</v>
      </c>
      <c r="F167" s="77">
        <v>1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1</v>
      </c>
      <c r="S167" s="77">
        <v>0</v>
      </c>
      <c r="T167" s="77">
        <v>0</v>
      </c>
      <c r="U167" s="77">
        <v>0</v>
      </c>
      <c r="V167" s="77">
        <v>1</v>
      </c>
      <c r="W167" s="77">
        <v>1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>
        <v>1</v>
      </c>
      <c r="AG167" s="5">
        <f t="shared" si="26"/>
        <v>5</v>
      </c>
    </row>
    <row r="168" spans="1:34" ht="15.75" customHeight="1" x14ac:dyDescent="0.25">
      <c r="A168" s="76" t="s">
        <v>115</v>
      </c>
      <c r="B168" s="113">
        <v>0</v>
      </c>
      <c r="C168" s="113">
        <v>0</v>
      </c>
      <c r="D168" s="113">
        <v>0</v>
      </c>
      <c r="E168" s="113">
        <v>0</v>
      </c>
      <c r="F168" s="113">
        <v>0</v>
      </c>
      <c r="G168" s="113">
        <v>0</v>
      </c>
      <c r="H168" s="113">
        <v>6</v>
      </c>
      <c r="I168" s="113">
        <v>1</v>
      </c>
      <c r="J168" s="113">
        <v>0</v>
      </c>
      <c r="K168" s="113">
        <v>0</v>
      </c>
      <c r="L168" s="113">
        <v>0</v>
      </c>
      <c r="M168" s="113">
        <v>0</v>
      </c>
      <c r="N168" s="113">
        <v>1</v>
      </c>
      <c r="O168" s="113">
        <v>2</v>
      </c>
      <c r="P168" s="113">
        <v>0</v>
      </c>
      <c r="Q168" s="113">
        <v>1</v>
      </c>
      <c r="R168" s="113">
        <v>3</v>
      </c>
      <c r="S168" s="113">
        <v>0</v>
      </c>
      <c r="T168" s="113">
        <v>0</v>
      </c>
      <c r="U168" s="113">
        <v>0</v>
      </c>
      <c r="V168" s="113">
        <v>0</v>
      </c>
      <c r="W168" s="113">
        <v>0</v>
      </c>
      <c r="X168" s="113">
        <v>1</v>
      </c>
      <c r="Y168" s="113">
        <v>2</v>
      </c>
      <c r="Z168" s="113">
        <v>0</v>
      </c>
      <c r="AA168" s="113">
        <v>1</v>
      </c>
      <c r="AB168" s="113">
        <v>0</v>
      </c>
      <c r="AC168" s="113">
        <v>0</v>
      </c>
      <c r="AD168" s="113">
        <v>2</v>
      </c>
      <c r="AE168" s="113">
        <v>1</v>
      </c>
      <c r="AF168" s="113">
        <v>2</v>
      </c>
      <c r="AG168" s="5">
        <f t="shared" si="26"/>
        <v>23</v>
      </c>
    </row>
    <row r="169" spans="1:34" ht="15.75" customHeight="1" x14ac:dyDescent="0.25">
      <c r="A169" s="114" t="s">
        <v>116</v>
      </c>
      <c r="B169" s="113">
        <v>0</v>
      </c>
      <c r="C169" s="113">
        <v>0</v>
      </c>
      <c r="D169" s="113">
        <v>1</v>
      </c>
      <c r="E169" s="113">
        <v>0</v>
      </c>
      <c r="F169" s="113">
        <v>2</v>
      </c>
      <c r="G169" s="113">
        <v>0</v>
      </c>
      <c r="H169" s="113">
        <v>0</v>
      </c>
      <c r="I169" s="113">
        <v>0</v>
      </c>
      <c r="J169" s="113">
        <v>0</v>
      </c>
      <c r="K169" s="113">
        <v>1</v>
      </c>
      <c r="L169" s="113">
        <v>0</v>
      </c>
      <c r="M169" s="113">
        <v>0</v>
      </c>
      <c r="N169" s="113">
        <v>0</v>
      </c>
      <c r="O169" s="113">
        <v>0</v>
      </c>
      <c r="P169" s="113">
        <v>6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1</v>
      </c>
      <c r="Y169" s="113">
        <v>1</v>
      </c>
      <c r="Z169" s="113">
        <v>0</v>
      </c>
      <c r="AA169" s="113">
        <v>1</v>
      </c>
      <c r="AB169" s="113">
        <v>1</v>
      </c>
      <c r="AC169" s="113">
        <v>1</v>
      </c>
      <c r="AD169" s="113">
        <v>0</v>
      </c>
      <c r="AE169" s="113">
        <v>0</v>
      </c>
      <c r="AF169" s="113">
        <v>0</v>
      </c>
      <c r="AG169" s="5">
        <f t="shared" si="26"/>
        <v>15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135</v>
      </c>
      <c r="C171" s="41">
        <f t="shared" si="27"/>
        <v>171</v>
      </c>
      <c r="D171" s="41">
        <f t="shared" si="27"/>
        <v>175</v>
      </c>
      <c r="E171" s="41">
        <f t="shared" si="27"/>
        <v>141</v>
      </c>
      <c r="F171" s="41">
        <f t="shared" si="27"/>
        <v>128</v>
      </c>
      <c r="G171" s="41">
        <f t="shared" si="27"/>
        <v>117</v>
      </c>
      <c r="H171" s="41">
        <f t="shared" si="27"/>
        <v>116</v>
      </c>
      <c r="I171" s="41">
        <f t="shared" si="27"/>
        <v>111</v>
      </c>
      <c r="J171" s="41">
        <f t="shared" si="27"/>
        <v>185</v>
      </c>
      <c r="K171" s="41">
        <f t="shared" si="27"/>
        <v>177</v>
      </c>
      <c r="L171" s="41">
        <f t="shared" si="27"/>
        <v>149</v>
      </c>
      <c r="M171" s="41">
        <f t="shared" si="27"/>
        <v>111</v>
      </c>
      <c r="N171" s="41">
        <f t="shared" si="27"/>
        <v>121</v>
      </c>
      <c r="O171" s="41">
        <f t="shared" si="27"/>
        <v>148</v>
      </c>
      <c r="P171" s="41">
        <f t="shared" si="27"/>
        <v>123</v>
      </c>
      <c r="Q171" s="41">
        <f t="shared" si="27"/>
        <v>212</v>
      </c>
      <c r="R171" s="41">
        <f t="shared" si="27"/>
        <v>168</v>
      </c>
      <c r="S171" s="41">
        <f t="shared" si="27"/>
        <v>156</v>
      </c>
      <c r="T171" s="41">
        <f t="shared" si="27"/>
        <v>139</v>
      </c>
      <c r="U171" s="41">
        <f t="shared" si="27"/>
        <v>94</v>
      </c>
      <c r="V171" s="41">
        <f t="shared" si="27"/>
        <v>129</v>
      </c>
      <c r="W171" s="41">
        <f t="shared" si="27"/>
        <v>132</v>
      </c>
      <c r="X171" s="41">
        <f t="shared" si="27"/>
        <v>186</v>
      </c>
      <c r="Y171" s="41">
        <f t="shared" si="27"/>
        <v>174</v>
      </c>
      <c r="Z171" s="41">
        <f t="shared" si="27"/>
        <v>153</v>
      </c>
      <c r="AA171" s="41">
        <f t="shared" si="27"/>
        <v>123</v>
      </c>
      <c r="AB171" s="41">
        <f t="shared" si="27"/>
        <v>145</v>
      </c>
      <c r="AC171" s="41">
        <f t="shared" si="27"/>
        <v>129</v>
      </c>
      <c r="AD171" s="41">
        <f t="shared" si="27"/>
        <v>180</v>
      </c>
      <c r="AE171" s="41">
        <f t="shared" si="27"/>
        <v>172</v>
      </c>
      <c r="AF171" s="41">
        <f t="shared" si="27"/>
        <v>171</v>
      </c>
      <c r="AG171" s="42">
        <f t="shared" si="26"/>
        <v>4571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1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1</v>
      </c>
    </row>
    <row r="173" spans="1:34" ht="15.75" customHeight="1" x14ac:dyDescent="0.25">
      <c r="A173" s="119" t="s">
        <v>38</v>
      </c>
      <c r="B173" s="120">
        <v>1</v>
      </c>
      <c r="C173" s="120">
        <v>1</v>
      </c>
      <c r="D173" s="120">
        <v>0</v>
      </c>
      <c r="E173" s="120">
        <v>0</v>
      </c>
      <c r="F173" s="120">
        <v>1</v>
      </c>
      <c r="G173" s="120">
        <v>1</v>
      </c>
      <c r="H173" s="120">
        <v>3</v>
      </c>
      <c r="I173" s="120">
        <v>2</v>
      </c>
      <c r="J173" s="120">
        <v>1</v>
      </c>
      <c r="K173" s="120">
        <v>3</v>
      </c>
      <c r="L173" s="120">
        <v>1</v>
      </c>
      <c r="M173" s="120">
        <v>1</v>
      </c>
      <c r="N173" s="120">
        <v>2</v>
      </c>
      <c r="O173" s="120">
        <v>1</v>
      </c>
      <c r="P173" s="120">
        <v>4</v>
      </c>
      <c r="Q173" s="120">
        <v>3</v>
      </c>
      <c r="R173" s="120">
        <v>0</v>
      </c>
      <c r="S173" s="120">
        <v>2</v>
      </c>
      <c r="T173" s="120">
        <v>1</v>
      </c>
      <c r="U173" s="120">
        <v>0</v>
      </c>
      <c r="V173" s="120">
        <v>3</v>
      </c>
      <c r="W173" s="120">
        <v>2</v>
      </c>
      <c r="X173" s="120">
        <v>0</v>
      </c>
      <c r="Y173" s="120">
        <v>1</v>
      </c>
      <c r="Z173" s="120">
        <v>1</v>
      </c>
      <c r="AA173" s="120">
        <v>2</v>
      </c>
      <c r="AB173" s="120">
        <v>3</v>
      </c>
      <c r="AC173" s="120">
        <v>4</v>
      </c>
      <c r="AD173" s="120">
        <v>2</v>
      </c>
      <c r="AE173" s="120">
        <v>1</v>
      </c>
      <c r="AF173" s="120">
        <v>0</v>
      </c>
      <c r="AG173" s="44">
        <f t="shared" si="26"/>
        <v>47</v>
      </c>
    </row>
    <row r="174" spans="1:34" ht="15.75" customHeight="1" x14ac:dyDescent="0.25">
      <c r="A174" s="119" t="s">
        <v>39</v>
      </c>
      <c r="B174" s="120">
        <v>18</v>
      </c>
      <c r="C174" s="120">
        <v>25</v>
      </c>
      <c r="D174" s="120">
        <v>22</v>
      </c>
      <c r="E174" s="120">
        <v>22</v>
      </c>
      <c r="F174" s="120">
        <v>18</v>
      </c>
      <c r="G174" s="120">
        <v>15</v>
      </c>
      <c r="H174" s="120">
        <v>25</v>
      </c>
      <c r="I174" s="120">
        <v>15</v>
      </c>
      <c r="J174" s="120">
        <v>27</v>
      </c>
      <c r="K174" s="120">
        <v>35</v>
      </c>
      <c r="L174" s="120">
        <v>15</v>
      </c>
      <c r="M174" s="120">
        <v>18</v>
      </c>
      <c r="N174" s="120">
        <v>15</v>
      </c>
      <c r="O174" s="120">
        <v>17</v>
      </c>
      <c r="P174" s="120">
        <v>22</v>
      </c>
      <c r="Q174" s="120">
        <v>39</v>
      </c>
      <c r="R174" s="120">
        <v>22</v>
      </c>
      <c r="S174" s="120">
        <v>21</v>
      </c>
      <c r="T174" s="120">
        <v>25</v>
      </c>
      <c r="U174" s="120">
        <v>12</v>
      </c>
      <c r="V174" s="120">
        <v>24</v>
      </c>
      <c r="W174" s="120">
        <v>19</v>
      </c>
      <c r="X174" s="120">
        <v>19</v>
      </c>
      <c r="Y174" s="120">
        <v>22</v>
      </c>
      <c r="Z174" s="120">
        <v>25</v>
      </c>
      <c r="AA174" s="120">
        <v>20</v>
      </c>
      <c r="AB174" s="120">
        <v>23</v>
      </c>
      <c r="AC174" s="120">
        <v>22</v>
      </c>
      <c r="AD174" s="120">
        <v>22</v>
      </c>
      <c r="AE174" s="120">
        <v>22</v>
      </c>
      <c r="AF174" s="120">
        <v>14</v>
      </c>
      <c r="AG174" s="44">
        <f t="shared" si="26"/>
        <v>660</v>
      </c>
    </row>
    <row r="175" spans="1:34" ht="15.75" customHeight="1" x14ac:dyDescent="0.25">
      <c r="A175" s="119" t="s">
        <v>40</v>
      </c>
      <c r="B175" s="120">
        <v>91</v>
      </c>
      <c r="C175" s="120">
        <v>108</v>
      </c>
      <c r="D175" s="120">
        <v>93</v>
      </c>
      <c r="E175" s="120">
        <v>77</v>
      </c>
      <c r="F175" s="120">
        <v>78</v>
      </c>
      <c r="G175" s="120">
        <v>65</v>
      </c>
      <c r="H175" s="120">
        <v>72</v>
      </c>
      <c r="I175" s="120">
        <v>61</v>
      </c>
      <c r="J175" s="120">
        <v>107</v>
      </c>
      <c r="K175" s="120">
        <v>97</v>
      </c>
      <c r="L175" s="120">
        <v>114</v>
      </c>
      <c r="M175" s="120">
        <v>78</v>
      </c>
      <c r="N175" s="120">
        <v>79</v>
      </c>
      <c r="O175" s="120">
        <v>115</v>
      </c>
      <c r="P175" s="120">
        <v>73</v>
      </c>
      <c r="Q175" s="120">
        <v>133</v>
      </c>
      <c r="R175" s="120">
        <v>104</v>
      </c>
      <c r="S175" s="120">
        <v>113</v>
      </c>
      <c r="T175" s="120">
        <v>83</v>
      </c>
      <c r="U175" s="120">
        <v>47</v>
      </c>
      <c r="V175" s="120">
        <v>83</v>
      </c>
      <c r="W175" s="120">
        <v>69</v>
      </c>
      <c r="X175" s="120">
        <v>123</v>
      </c>
      <c r="Y175" s="120">
        <v>127</v>
      </c>
      <c r="Z175" s="120">
        <v>95</v>
      </c>
      <c r="AA175" s="120">
        <v>82</v>
      </c>
      <c r="AB175" s="120">
        <v>72</v>
      </c>
      <c r="AC175" s="120">
        <v>72</v>
      </c>
      <c r="AD175" s="120">
        <v>91</v>
      </c>
      <c r="AE175" s="120">
        <v>118</v>
      </c>
      <c r="AF175" s="120">
        <v>117</v>
      </c>
      <c r="AG175" s="44">
        <f t="shared" si="26"/>
        <v>2837</v>
      </c>
    </row>
    <row r="176" spans="1:34" ht="15.75" customHeight="1" thickBot="1" x14ac:dyDescent="0.3">
      <c r="A176" s="121" t="s">
        <v>41</v>
      </c>
      <c r="B176" s="122">
        <v>25</v>
      </c>
      <c r="C176" s="122">
        <v>37</v>
      </c>
      <c r="D176" s="122">
        <v>60</v>
      </c>
      <c r="E176" s="122">
        <v>42</v>
      </c>
      <c r="F176" s="122">
        <v>31</v>
      </c>
      <c r="G176" s="122">
        <v>36</v>
      </c>
      <c r="H176" s="122">
        <v>16</v>
      </c>
      <c r="I176" s="122">
        <v>33</v>
      </c>
      <c r="J176" s="122">
        <v>50</v>
      </c>
      <c r="K176" s="122">
        <v>42</v>
      </c>
      <c r="L176" s="122">
        <v>19</v>
      </c>
      <c r="M176" s="122">
        <v>14</v>
      </c>
      <c r="N176" s="122">
        <v>25</v>
      </c>
      <c r="O176" s="122">
        <v>15</v>
      </c>
      <c r="P176" s="122">
        <v>24</v>
      </c>
      <c r="Q176" s="122">
        <v>37</v>
      </c>
      <c r="R176" s="122">
        <v>42</v>
      </c>
      <c r="S176" s="122">
        <v>20</v>
      </c>
      <c r="T176" s="122">
        <v>29</v>
      </c>
      <c r="U176" s="122">
        <v>35</v>
      </c>
      <c r="V176" s="122">
        <v>19</v>
      </c>
      <c r="W176" s="122">
        <v>42</v>
      </c>
      <c r="X176" s="122">
        <v>44</v>
      </c>
      <c r="Y176" s="122">
        <v>24</v>
      </c>
      <c r="Z176" s="122">
        <v>32</v>
      </c>
      <c r="AA176" s="122">
        <v>19</v>
      </c>
      <c r="AB176" s="122">
        <v>47</v>
      </c>
      <c r="AC176" s="122">
        <v>31</v>
      </c>
      <c r="AD176" s="122">
        <v>65</v>
      </c>
      <c r="AE176" s="122">
        <v>31</v>
      </c>
      <c r="AF176" s="122">
        <v>40</v>
      </c>
      <c r="AG176" s="45">
        <f t="shared" si="26"/>
        <v>1026</v>
      </c>
    </row>
    <row r="177" spans="1:34" ht="15.75" customHeight="1" x14ac:dyDescent="0.25">
      <c r="A177" s="123" t="s">
        <v>120</v>
      </c>
      <c r="B177" s="124">
        <f>+B178+B179+B180</f>
        <v>5</v>
      </c>
      <c r="C177" s="124">
        <f t="shared" ref="C177:AF177" si="28">+C178+C179+C180</f>
        <v>4</v>
      </c>
      <c r="D177" s="124">
        <f t="shared" si="28"/>
        <v>3</v>
      </c>
      <c r="E177" s="124">
        <f t="shared" si="28"/>
        <v>5</v>
      </c>
      <c r="F177" s="124">
        <f t="shared" si="28"/>
        <v>1</v>
      </c>
      <c r="G177" s="124">
        <f t="shared" si="28"/>
        <v>5</v>
      </c>
      <c r="H177" s="124">
        <f t="shared" si="28"/>
        <v>2</v>
      </c>
      <c r="I177" s="124">
        <f t="shared" si="28"/>
        <v>7</v>
      </c>
      <c r="J177" s="124">
        <f t="shared" si="28"/>
        <v>6</v>
      </c>
      <c r="K177" s="124">
        <f t="shared" si="28"/>
        <v>7</v>
      </c>
      <c r="L177" s="124">
        <f t="shared" si="28"/>
        <v>1</v>
      </c>
      <c r="M177" s="124">
        <f t="shared" si="28"/>
        <v>5</v>
      </c>
      <c r="N177" s="124">
        <f t="shared" si="28"/>
        <v>3</v>
      </c>
      <c r="O177" s="124">
        <f t="shared" si="28"/>
        <v>4</v>
      </c>
      <c r="P177" s="124">
        <f t="shared" si="28"/>
        <v>5</v>
      </c>
      <c r="Q177" s="124">
        <f t="shared" si="28"/>
        <v>3</v>
      </c>
      <c r="R177" s="124">
        <f t="shared" si="28"/>
        <v>4</v>
      </c>
      <c r="S177" s="124">
        <f t="shared" si="28"/>
        <v>0</v>
      </c>
      <c r="T177" s="124">
        <f t="shared" si="28"/>
        <v>0</v>
      </c>
      <c r="U177" s="124">
        <f t="shared" si="28"/>
        <v>0</v>
      </c>
      <c r="V177" s="124">
        <f t="shared" si="28"/>
        <v>0</v>
      </c>
      <c r="W177" s="124">
        <f t="shared" si="28"/>
        <v>0</v>
      </c>
      <c r="X177" s="124">
        <f t="shared" si="28"/>
        <v>0</v>
      </c>
      <c r="Y177" s="124">
        <f t="shared" si="28"/>
        <v>0</v>
      </c>
      <c r="Z177" s="124">
        <f t="shared" si="28"/>
        <v>0</v>
      </c>
      <c r="AA177" s="124">
        <f t="shared" si="28"/>
        <v>0</v>
      </c>
      <c r="AB177" s="124">
        <f t="shared" si="28"/>
        <v>0</v>
      </c>
      <c r="AC177" s="124">
        <f t="shared" si="28"/>
        <v>0</v>
      </c>
      <c r="AD177" s="124">
        <f t="shared" si="28"/>
        <v>0</v>
      </c>
      <c r="AE177" s="124">
        <f t="shared" si="28"/>
        <v>0</v>
      </c>
      <c r="AF177" s="124">
        <f t="shared" si="28"/>
        <v>0</v>
      </c>
      <c r="AG177" s="26">
        <f t="shared" si="26"/>
        <v>70</v>
      </c>
      <c r="AH177" s="140" t="s">
        <v>176</v>
      </c>
    </row>
    <row r="178" spans="1:34" ht="15.75" customHeight="1" x14ac:dyDescent="0.25">
      <c r="A178" s="125" t="s">
        <v>122</v>
      </c>
      <c r="B178" s="126">
        <v>3</v>
      </c>
      <c r="C178" s="126">
        <v>1</v>
      </c>
      <c r="D178" s="126">
        <v>1</v>
      </c>
      <c r="E178" s="126">
        <v>1</v>
      </c>
      <c r="F178" s="126">
        <v>0</v>
      </c>
      <c r="G178" s="126">
        <v>0</v>
      </c>
      <c r="H178" s="126">
        <v>0</v>
      </c>
      <c r="I178" s="126">
        <v>0</v>
      </c>
      <c r="J178" s="126">
        <v>1</v>
      </c>
      <c r="K178" s="126">
        <v>1</v>
      </c>
      <c r="L178" s="126">
        <v>0</v>
      </c>
      <c r="M178" s="126">
        <v>1</v>
      </c>
      <c r="N178" s="126">
        <v>2</v>
      </c>
      <c r="O178" s="126">
        <v>0</v>
      </c>
      <c r="P178" s="126">
        <v>0</v>
      </c>
      <c r="Q178" s="126">
        <v>1</v>
      </c>
      <c r="R178" s="126">
        <v>1</v>
      </c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13</v>
      </c>
      <c r="AH178" s="141"/>
    </row>
    <row r="179" spans="1:34" ht="15.75" customHeight="1" x14ac:dyDescent="0.25">
      <c r="A179" s="125" t="s">
        <v>123</v>
      </c>
      <c r="B179" s="126">
        <v>2</v>
      </c>
      <c r="C179" s="126">
        <v>3</v>
      </c>
      <c r="D179" s="126">
        <v>2</v>
      </c>
      <c r="E179" s="126">
        <v>4</v>
      </c>
      <c r="F179" s="126">
        <v>1</v>
      </c>
      <c r="G179" s="126">
        <v>5</v>
      </c>
      <c r="H179" s="126">
        <v>2</v>
      </c>
      <c r="I179" s="126">
        <v>7</v>
      </c>
      <c r="J179" s="126">
        <v>5</v>
      </c>
      <c r="K179" s="126">
        <v>6</v>
      </c>
      <c r="L179" s="126">
        <v>1</v>
      </c>
      <c r="M179" s="126">
        <v>4</v>
      </c>
      <c r="N179" s="126">
        <v>1</v>
      </c>
      <c r="O179" s="126">
        <v>4</v>
      </c>
      <c r="P179" s="126">
        <v>5</v>
      </c>
      <c r="Q179" s="126">
        <v>2</v>
      </c>
      <c r="R179" s="126">
        <v>3</v>
      </c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57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BrLa5yr4Gbw+YGlyLPzfnpmrjq+3is70bB7FZNxIi3jwrTqqF/X69Os8dsiiWLn7RN24Ui98ul/Rt0SUvDvJhg==" saltValue="IXyait0bRsA0AHU9ifaVDA==" spinCount="100000" sheet="1" objects="1" scenarios="1"/>
  <dataConsolidate/>
  <mergeCells count="2">
    <mergeCell ref="A1:AG1"/>
    <mergeCell ref="AH177:AH180"/>
  </mergeCells>
  <conditionalFormatting sqref="AD29:AF52">
    <cfRule type="cellIs" dxfId="29" priority="3" operator="lessThan">
      <formula>0</formula>
    </cfRule>
  </conditionalFormatting>
  <conditionalFormatting sqref="AH171">
    <cfRule type="cellIs" dxfId="28" priority="2" operator="equal">
      <formula>"X"</formula>
    </cfRule>
  </conditionalFormatting>
  <conditionalFormatting sqref="AH1:AH1048576">
    <cfRule type="cellIs" dxfId="27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00000000-0002-0000-0400-000000000000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9E650-0735-4A85-B260-5A48A1724C93}">
  <sheetPr codeName="Hoja19"/>
  <dimension ref="A1:AK954"/>
  <sheetViews>
    <sheetView zoomScale="80" zoomScaleNormal="80" workbookViewId="0">
      <pane xSplit="1" ySplit="3" topLeftCell="B26" activePane="bottomRight" state="frozen"/>
      <selection activeCell="Q5" sqref="Q5"/>
      <selection pane="topRight" activeCell="Q5" sqref="Q5"/>
      <selection pane="bottomLeft" activeCell="Q5" sqref="Q5"/>
      <selection pane="bottomRight" activeCell="AG53" sqref="AG53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167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140</v>
      </c>
      <c r="C3" s="1">
        <f t="shared" si="1"/>
        <v>119</v>
      </c>
      <c r="D3" s="1">
        <f t="shared" si="1"/>
        <v>149</v>
      </c>
      <c r="E3" s="1">
        <f t="shared" si="1"/>
        <v>127</v>
      </c>
      <c r="F3" s="1">
        <f t="shared" si="1"/>
        <v>145</v>
      </c>
      <c r="G3" s="1">
        <f t="shared" si="1"/>
        <v>183</v>
      </c>
      <c r="H3" s="1">
        <f t="shared" si="1"/>
        <v>205</v>
      </c>
      <c r="I3" s="1">
        <f t="shared" si="1"/>
        <v>156</v>
      </c>
      <c r="J3" s="1">
        <f t="shared" si="1"/>
        <v>114</v>
      </c>
      <c r="K3" s="1">
        <f t="shared" si="1"/>
        <v>133</v>
      </c>
      <c r="L3" s="1">
        <f t="shared" si="1"/>
        <v>159</v>
      </c>
      <c r="M3" s="1">
        <f t="shared" si="1"/>
        <v>125</v>
      </c>
      <c r="N3" s="1">
        <f t="shared" si="1"/>
        <v>197</v>
      </c>
      <c r="O3" s="1">
        <f t="shared" si="1"/>
        <v>202</v>
      </c>
      <c r="P3" s="1">
        <f t="shared" si="1"/>
        <v>185</v>
      </c>
      <c r="Q3" s="1">
        <f t="shared" si="1"/>
        <v>152</v>
      </c>
      <c r="R3" s="1">
        <f t="shared" si="1"/>
        <v>153</v>
      </c>
      <c r="S3" s="1">
        <f t="shared" si="1"/>
        <v>157</v>
      </c>
      <c r="T3" s="1">
        <f t="shared" si="1"/>
        <v>142</v>
      </c>
      <c r="U3" s="1">
        <f t="shared" si="1"/>
        <v>210</v>
      </c>
      <c r="V3" s="1">
        <f t="shared" si="1"/>
        <v>215</v>
      </c>
      <c r="W3" s="1">
        <f t="shared" si="1"/>
        <v>178</v>
      </c>
      <c r="X3" s="1">
        <f t="shared" si="1"/>
        <v>155</v>
      </c>
      <c r="Y3" s="1">
        <f t="shared" si="1"/>
        <v>170</v>
      </c>
      <c r="Z3" s="1">
        <f t="shared" si="1"/>
        <v>115</v>
      </c>
      <c r="AA3" s="1">
        <f t="shared" si="1"/>
        <v>142</v>
      </c>
      <c r="AB3" s="1">
        <f t="shared" si="1"/>
        <v>210</v>
      </c>
      <c r="AC3" s="1">
        <f t="shared" si="1"/>
        <v>210</v>
      </c>
      <c r="AD3" s="1">
        <f t="shared" si="1"/>
        <v>147</v>
      </c>
      <c r="AE3" s="1">
        <f t="shared" si="1"/>
        <v>134</v>
      </c>
      <c r="AF3" s="1">
        <f t="shared" si="1"/>
        <v>0</v>
      </c>
      <c r="AG3" s="2">
        <f t="shared" ref="AG3:AG66" si="2">SUM(B3:AF3)</f>
        <v>4829</v>
      </c>
    </row>
    <row r="4" spans="1:33" ht="18.75" x14ac:dyDescent="0.25">
      <c r="A4" s="53" t="s">
        <v>3</v>
      </c>
      <c r="B4" s="54">
        <v>0</v>
      </c>
      <c r="C4" s="55">
        <v>0</v>
      </c>
      <c r="D4" s="55">
        <v>0</v>
      </c>
      <c r="E4" s="55">
        <v>0</v>
      </c>
      <c r="F4" s="55">
        <v>0</v>
      </c>
      <c r="G4" s="55">
        <v>6</v>
      </c>
      <c r="H4" s="55">
        <v>4</v>
      </c>
      <c r="I4" s="55">
        <v>0</v>
      </c>
      <c r="J4" s="55">
        <v>0</v>
      </c>
      <c r="K4" s="55">
        <v>0</v>
      </c>
      <c r="L4" s="55">
        <v>0</v>
      </c>
      <c r="M4" s="55">
        <v>0</v>
      </c>
      <c r="N4" s="55">
        <v>8</v>
      </c>
      <c r="O4" s="55">
        <v>9</v>
      </c>
      <c r="P4" s="55">
        <v>0</v>
      </c>
      <c r="Q4" s="55">
        <v>0</v>
      </c>
      <c r="R4" s="55">
        <v>0</v>
      </c>
      <c r="S4" s="55">
        <v>0</v>
      </c>
      <c r="T4" s="55">
        <v>0</v>
      </c>
      <c r="U4" s="55">
        <v>11</v>
      </c>
      <c r="V4" s="55">
        <v>7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7</v>
      </c>
      <c r="AC4" s="55">
        <v>7</v>
      </c>
      <c r="AD4" s="55">
        <v>0</v>
      </c>
      <c r="AE4" s="55">
        <v>0</v>
      </c>
      <c r="AF4" s="55"/>
      <c r="AG4" s="4">
        <f t="shared" si="2"/>
        <v>59</v>
      </c>
    </row>
    <row r="5" spans="1:33" ht="18.75" x14ac:dyDescent="0.25">
      <c r="A5" s="56" t="s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13</v>
      </c>
      <c r="H5" s="54">
        <v>7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19</v>
      </c>
      <c r="O5" s="54">
        <v>12</v>
      </c>
      <c r="P5" s="54">
        <v>0</v>
      </c>
      <c r="Q5" s="54">
        <v>0</v>
      </c>
      <c r="R5" s="54">
        <v>0</v>
      </c>
      <c r="S5" s="54">
        <v>0</v>
      </c>
      <c r="T5" s="54">
        <v>0</v>
      </c>
      <c r="U5" s="54">
        <v>12</v>
      </c>
      <c r="V5" s="54">
        <v>8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13</v>
      </c>
      <c r="AC5" s="54">
        <v>13</v>
      </c>
      <c r="AD5" s="54">
        <v>0</v>
      </c>
      <c r="AE5" s="54">
        <v>0</v>
      </c>
      <c r="AF5" s="54"/>
      <c r="AG5" s="5">
        <f t="shared" si="2"/>
        <v>97</v>
      </c>
    </row>
    <row r="6" spans="1:33" ht="18.75" x14ac:dyDescent="0.25">
      <c r="A6" s="56" t="s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  <c r="G6" s="54">
        <v>13</v>
      </c>
      <c r="H6" s="54">
        <v>20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16</v>
      </c>
      <c r="O6" s="54">
        <v>17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21</v>
      </c>
      <c r="V6" s="54">
        <v>18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17</v>
      </c>
      <c r="AC6" s="54">
        <v>17</v>
      </c>
      <c r="AD6" s="54">
        <v>0</v>
      </c>
      <c r="AE6" s="54">
        <v>0</v>
      </c>
      <c r="AF6" s="54"/>
      <c r="AG6" s="5">
        <f t="shared" si="2"/>
        <v>139</v>
      </c>
    </row>
    <row r="7" spans="1:33" ht="18.75" x14ac:dyDescent="0.25">
      <c r="A7" s="56" t="s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  <c r="G7" s="54">
        <v>9</v>
      </c>
      <c r="H7" s="54">
        <v>19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17</v>
      </c>
      <c r="O7" s="54">
        <v>16</v>
      </c>
      <c r="P7" s="54">
        <v>0</v>
      </c>
      <c r="Q7" s="54">
        <v>0</v>
      </c>
      <c r="R7" s="54">
        <v>0</v>
      </c>
      <c r="S7" s="54">
        <v>0</v>
      </c>
      <c r="T7" s="54">
        <v>0</v>
      </c>
      <c r="U7" s="54">
        <v>17</v>
      </c>
      <c r="V7" s="54">
        <v>17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10</v>
      </c>
      <c r="AC7" s="54">
        <v>10</v>
      </c>
      <c r="AD7" s="54">
        <v>0</v>
      </c>
      <c r="AE7" s="54">
        <v>0</v>
      </c>
      <c r="AF7" s="54"/>
      <c r="AG7" s="5">
        <f t="shared" si="2"/>
        <v>115</v>
      </c>
    </row>
    <row r="8" spans="1:33" ht="18.75" x14ac:dyDescent="0.25">
      <c r="A8" s="56" t="s">
        <v>7</v>
      </c>
      <c r="B8" s="54">
        <v>0</v>
      </c>
      <c r="C8" s="54">
        <v>0</v>
      </c>
      <c r="D8" s="54">
        <v>0</v>
      </c>
      <c r="E8" s="54">
        <v>0</v>
      </c>
      <c r="F8" s="54">
        <v>0</v>
      </c>
      <c r="G8" s="54">
        <v>15</v>
      </c>
      <c r="H8" s="54">
        <v>14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9</v>
      </c>
      <c r="O8" s="54">
        <v>21</v>
      </c>
      <c r="P8" s="54">
        <v>0</v>
      </c>
      <c r="Q8" s="54">
        <v>0</v>
      </c>
      <c r="R8" s="54">
        <v>0</v>
      </c>
      <c r="S8" s="54">
        <v>0</v>
      </c>
      <c r="T8" s="54">
        <v>0</v>
      </c>
      <c r="U8" s="54">
        <v>12</v>
      </c>
      <c r="V8" s="54">
        <v>19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13</v>
      </c>
      <c r="AC8" s="54">
        <v>13</v>
      </c>
      <c r="AD8" s="54">
        <v>0</v>
      </c>
      <c r="AE8" s="54">
        <v>0</v>
      </c>
      <c r="AF8" s="54"/>
      <c r="AG8" s="5">
        <f t="shared" si="2"/>
        <v>116</v>
      </c>
    </row>
    <row r="9" spans="1:33" ht="18.75" x14ac:dyDescent="0.25">
      <c r="A9" s="56" t="s">
        <v>8</v>
      </c>
      <c r="B9" s="54">
        <v>0</v>
      </c>
      <c r="C9" s="54">
        <v>0</v>
      </c>
      <c r="D9" s="54">
        <v>0</v>
      </c>
      <c r="E9" s="54">
        <v>0</v>
      </c>
      <c r="F9" s="54">
        <v>0</v>
      </c>
      <c r="G9" s="54">
        <v>11</v>
      </c>
      <c r="H9" s="54">
        <v>9</v>
      </c>
      <c r="I9" s="54">
        <v>0</v>
      </c>
      <c r="J9" s="54">
        <v>0</v>
      </c>
      <c r="K9" s="54">
        <v>0</v>
      </c>
      <c r="L9" s="54">
        <v>0</v>
      </c>
      <c r="M9" s="54">
        <v>0</v>
      </c>
      <c r="N9" s="54">
        <v>8</v>
      </c>
      <c r="O9" s="54">
        <v>12</v>
      </c>
      <c r="P9" s="54">
        <v>0</v>
      </c>
      <c r="Q9" s="54">
        <v>0</v>
      </c>
      <c r="R9" s="54">
        <v>0</v>
      </c>
      <c r="S9" s="54">
        <v>0</v>
      </c>
      <c r="T9" s="54">
        <v>0</v>
      </c>
      <c r="U9" s="54">
        <v>17</v>
      </c>
      <c r="V9" s="54">
        <v>15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18</v>
      </c>
      <c r="AC9" s="54">
        <v>18</v>
      </c>
      <c r="AD9" s="54">
        <v>0</v>
      </c>
      <c r="AE9" s="54">
        <v>0</v>
      </c>
      <c r="AF9" s="54"/>
      <c r="AG9" s="5">
        <f t="shared" si="2"/>
        <v>108</v>
      </c>
    </row>
    <row r="10" spans="1:33" ht="18.75" x14ac:dyDescent="0.25">
      <c r="A10" s="56" t="s">
        <v>9</v>
      </c>
      <c r="B10" s="54">
        <v>0</v>
      </c>
      <c r="C10" s="54">
        <v>0</v>
      </c>
      <c r="D10" s="54">
        <v>0</v>
      </c>
      <c r="E10" s="54">
        <v>0</v>
      </c>
      <c r="F10" s="54">
        <v>0</v>
      </c>
      <c r="G10" s="54">
        <v>10</v>
      </c>
      <c r="H10" s="54">
        <v>11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  <c r="N10" s="54">
        <v>11</v>
      </c>
      <c r="O10" s="54">
        <v>13</v>
      </c>
      <c r="P10" s="54">
        <v>0</v>
      </c>
      <c r="Q10" s="54">
        <v>0</v>
      </c>
      <c r="R10" s="54">
        <v>0</v>
      </c>
      <c r="S10" s="54">
        <v>0</v>
      </c>
      <c r="T10" s="54">
        <v>0</v>
      </c>
      <c r="U10" s="54">
        <v>16</v>
      </c>
      <c r="V10" s="54">
        <v>8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10</v>
      </c>
      <c r="AC10" s="54">
        <v>10</v>
      </c>
      <c r="AD10" s="54">
        <v>0</v>
      </c>
      <c r="AE10" s="54">
        <v>0</v>
      </c>
      <c r="AF10" s="54"/>
      <c r="AG10" s="5">
        <f t="shared" si="2"/>
        <v>89</v>
      </c>
    </row>
    <row r="11" spans="1:33" ht="18.75" x14ac:dyDescent="0.25">
      <c r="A11" s="56" t="s">
        <v>10</v>
      </c>
      <c r="B11" s="54">
        <v>0</v>
      </c>
      <c r="C11" s="54">
        <v>0</v>
      </c>
      <c r="D11" s="54">
        <v>0</v>
      </c>
      <c r="E11" s="54">
        <v>0</v>
      </c>
      <c r="F11" s="54">
        <v>3</v>
      </c>
      <c r="G11" s="54">
        <v>11</v>
      </c>
      <c r="H11" s="54">
        <v>13</v>
      </c>
      <c r="I11" s="54">
        <v>0</v>
      </c>
      <c r="J11" s="54">
        <v>0</v>
      </c>
      <c r="K11" s="54">
        <v>0</v>
      </c>
      <c r="L11" s="54">
        <v>0</v>
      </c>
      <c r="M11" s="54">
        <v>0</v>
      </c>
      <c r="N11" s="54">
        <v>6</v>
      </c>
      <c r="O11" s="54">
        <v>7</v>
      </c>
      <c r="P11" s="54">
        <v>0</v>
      </c>
      <c r="Q11" s="54">
        <v>0</v>
      </c>
      <c r="R11" s="54">
        <v>0</v>
      </c>
      <c r="S11" s="54">
        <v>0</v>
      </c>
      <c r="T11" s="54">
        <v>2</v>
      </c>
      <c r="U11" s="54">
        <v>12</v>
      </c>
      <c r="V11" s="54">
        <v>15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15</v>
      </c>
      <c r="AC11" s="54">
        <v>15</v>
      </c>
      <c r="AD11" s="54">
        <v>0</v>
      </c>
      <c r="AE11" s="54">
        <v>0</v>
      </c>
      <c r="AF11" s="54"/>
      <c r="AG11" s="5">
        <f t="shared" si="2"/>
        <v>99</v>
      </c>
    </row>
    <row r="12" spans="1:33" ht="18.75" x14ac:dyDescent="0.25">
      <c r="A12" s="56" t="s">
        <v>11</v>
      </c>
      <c r="B12" s="54">
        <v>2</v>
      </c>
      <c r="C12" s="54">
        <v>4</v>
      </c>
      <c r="D12" s="54">
        <v>11</v>
      </c>
      <c r="E12" s="54">
        <v>5</v>
      </c>
      <c r="F12" s="54">
        <v>44</v>
      </c>
      <c r="G12" s="54">
        <v>14</v>
      </c>
      <c r="H12" s="54">
        <v>18</v>
      </c>
      <c r="I12" s="54">
        <v>6</v>
      </c>
      <c r="J12" s="54">
        <v>11</v>
      </c>
      <c r="K12" s="54">
        <v>6</v>
      </c>
      <c r="L12" s="54">
        <v>8</v>
      </c>
      <c r="M12" s="54">
        <v>35</v>
      </c>
      <c r="N12" s="54">
        <v>15</v>
      </c>
      <c r="O12" s="54">
        <v>16</v>
      </c>
      <c r="P12" s="54">
        <v>0</v>
      </c>
      <c r="Q12" s="54">
        <v>1</v>
      </c>
      <c r="R12" s="54">
        <v>1</v>
      </c>
      <c r="S12" s="54">
        <v>3</v>
      </c>
      <c r="T12" s="54">
        <v>42</v>
      </c>
      <c r="U12" s="54">
        <v>14</v>
      </c>
      <c r="V12" s="54">
        <v>18</v>
      </c>
      <c r="W12" s="54">
        <v>5</v>
      </c>
      <c r="X12" s="54">
        <v>4</v>
      </c>
      <c r="Y12" s="54">
        <v>4</v>
      </c>
      <c r="Z12" s="54">
        <v>3</v>
      </c>
      <c r="AA12" s="54">
        <v>50</v>
      </c>
      <c r="AB12" s="54">
        <v>19</v>
      </c>
      <c r="AC12" s="54">
        <v>19</v>
      </c>
      <c r="AD12" s="54">
        <v>1</v>
      </c>
      <c r="AE12" s="54">
        <v>1</v>
      </c>
      <c r="AF12" s="54"/>
      <c r="AG12" s="5">
        <f t="shared" si="2"/>
        <v>380</v>
      </c>
    </row>
    <row r="13" spans="1:33" ht="18.75" x14ac:dyDescent="0.25">
      <c r="A13" s="56" t="s">
        <v>12</v>
      </c>
      <c r="B13" s="54">
        <v>47</v>
      </c>
      <c r="C13" s="54">
        <v>37</v>
      </c>
      <c r="D13" s="54">
        <v>48</v>
      </c>
      <c r="E13" s="54">
        <v>51</v>
      </c>
      <c r="F13" s="54">
        <v>16</v>
      </c>
      <c r="G13" s="54">
        <v>12</v>
      </c>
      <c r="H13" s="54">
        <v>25</v>
      </c>
      <c r="I13" s="54">
        <v>60</v>
      </c>
      <c r="J13" s="54">
        <v>44</v>
      </c>
      <c r="K13" s="54">
        <v>60</v>
      </c>
      <c r="L13" s="54">
        <v>55</v>
      </c>
      <c r="M13" s="54">
        <v>16</v>
      </c>
      <c r="N13" s="54">
        <v>15</v>
      </c>
      <c r="O13" s="54">
        <v>15</v>
      </c>
      <c r="P13" s="54">
        <v>83</v>
      </c>
      <c r="Q13" s="54">
        <v>72</v>
      </c>
      <c r="R13" s="54">
        <v>61</v>
      </c>
      <c r="S13" s="54">
        <v>76</v>
      </c>
      <c r="T13" s="54">
        <v>29</v>
      </c>
      <c r="U13" s="54">
        <v>16</v>
      </c>
      <c r="V13" s="54">
        <v>12</v>
      </c>
      <c r="W13" s="54">
        <v>65</v>
      </c>
      <c r="X13" s="54">
        <v>63</v>
      </c>
      <c r="Y13" s="54">
        <v>80</v>
      </c>
      <c r="Z13" s="54">
        <v>44</v>
      </c>
      <c r="AA13" s="54">
        <v>24</v>
      </c>
      <c r="AB13" s="54">
        <v>16</v>
      </c>
      <c r="AC13" s="54">
        <v>16</v>
      </c>
      <c r="AD13" s="54">
        <v>53</v>
      </c>
      <c r="AE13" s="54">
        <v>52</v>
      </c>
      <c r="AF13" s="54"/>
      <c r="AG13" s="5">
        <f t="shared" si="2"/>
        <v>1263</v>
      </c>
    </row>
    <row r="14" spans="1:33" ht="18.75" x14ac:dyDescent="0.25">
      <c r="A14" s="56" t="s">
        <v>13</v>
      </c>
      <c r="B14" s="54">
        <v>22</v>
      </c>
      <c r="C14" s="54">
        <v>18</v>
      </c>
      <c r="D14" s="54">
        <v>21</v>
      </c>
      <c r="E14" s="54">
        <v>15</v>
      </c>
      <c r="F14" s="54">
        <v>15</v>
      </c>
      <c r="G14" s="54">
        <v>14</v>
      </c>
      <c r="H14" s="54">
        <v>13</v>
      </c>
      <c r="I14" s="54">
        <v>17</v>
      </c>
      <c r="J14" s="54">
        <v>17</v>
      </c>
      <c r="K14" s="54">
        <v>22</v>
      </c>
      <c r="L14" s="54">
        <v>26</v>
      </c>
      <c r="M14" s="54">
        <v>6</v>
      </c>
      <c r="N14" s="54">
        <v>14</v>
      </c>
      <c r="O14" s="54">
        <v>13</v>
      </c>
      <c r="P14" s="54">
        <v>31</v>
      </c>
      <c r="Q14" s="54">
        <v>13</v>
      </c>
      <c r="R14" s="54">
        <v>26</v>
      </c>
      <c r="S14" s="54">
        <v>15</v>
      </c>
      <c r="T14" s="54">
        <v>13</v>
      </c>
      <c r="U14" s="54">
        <v>13</v>
      </c>
      <c r="V14" s="54">
        <v>11</v>
      </c>
      <c r="W14" s="54">
        <v>24</v>
      </c>
      <c r="X14" s="54">
        <v>18</v>
      </c>
      <c r="Y14" s="54">
        <v>23</v>
      </c>
      <c r="Z14" s="54">
        <v>20</v>
      </c>
      <c r="AA14" s="54">
        <v>11</v>
      </c>
      <c r="AB14" s="54">
        <v>14</v>
      </c>
      <c r="AC14" s="54">
        <v>14</v>
      </c>
      <c r="AD14" s="54">
        <v>23</v>
      </c>
      <c r="AE14" s="54">
        <v>21</v>
      </c>
      <c r="AF14" s="54"/>
      <c r="AG14" s="5">
        <f t="shared" si="2"/>
        <v>523</v>
      </c>
    </row>
    <row r="15" spans="1:33" ht="18.75" x14ac:dyDescent="0.25">
      <c r="A15" s="56" t="s">
        <v>14</v>
      </c>
      <c r="B15" s="54">
        <v>13</v>
      </c>
      <c r="C15" s="54">
        <v>16</v>
      </c>
      <c r="D15" s="54">
        <v>19</v>
      </c>
      <c r="E15" s="54">
        <v>11</v>
      </c>
      <c r="F15" s="54">
        <v>18</v>
      </c>
      <c r="G15" s="54">
        <v>7</v>
      </c>
      <c r="H15" s="54">
        <v>8</v>
      </c>
      <c r="I15" s="54">
        <v>18</v>
      </c>
      <c r="J15" s="54">
        <v>7</v>
      </c>
      <c r="K15" s="54">
        <v>9</v>
      </c>
      <c r="L15" s="54">
        <v>16</v>
      </c>
      <c r="M15" s="54">
        <v>15</v>
      </c>
      <c r="N15" s="54">
        <v>7</v>
      </c>
      <c r="O15" s="54">
        <v>6</v>
      </c>
      <c r="P15" s="54">
        <v>21</v>
      </c>
      <c r="Q15" s="54">
        <v>15</v>
      </c>
      <c r="R15" s="54">
        <v>17</v>
      </c>
      <c r="S15" s="54">
        <v>16</v>
      </c>
      <c r="T15" s="54">
        <v>10</v>
      </c>
      <c r="U15" s="54">
        <v>8</v>
      </c>
      <c r="V15" s="54">
        <v>14</v>
      </c>
      <c r="W15" s="54">
        <v>22</v>
      </c>
      <c r="X15" s="54">
        <v>22</v>
      </c>
      <c r="Y15" s="54">
        <v>11</v>
      </c>
      <c r="Z15" s="54">
        <v>12</v>
      </c>
      <c r="AA15" s="54">
        <v>13</v>
      </c>
      <c r="AB15" s="54">
        <v>12</v>
      </c>
      <c r="AC15" s="54">
        <v>12</v>
      </c>
      <c r="AD15" s="54">
        <v>22</v>
      </c>
      <c r="AE15" s="54">
        <v>16</v>
      </c>
      <c r="AF15" s="54"/>
      <c r="AG15" s="5">
        <f t="shared" si="2"/>
        <v>413</v>
      </c>
    </row>
    <row r="16" spans="1:33" ht="18.75" x14ac:dyDescent="0.25">
      <c r="A16" s="56" t="s">
        <v>15</v>
      </c>
      <c r="B16" s="54">
        <v>21</v>
      </c>
      <c r="C16" s="54">
        <v>17</v>
      </c>
      <c r="D16" s="54">
        <v>12</v>
      </c>
      <c r="E16" s="54">
        <v>15</v>
      </c>
      <c r="F16" s="54">
        <v>5</v>
      </c>
      <c r="G16" s="54">
        <v>7</v>
      </c>
      <c r="H16" s="54">
        <v>16</v>
      </c>
      <c r="I16" s="54">
        <v>19</v>
      </c>
      <c r="J16" s="54">
        <v>8</v>
      </c>
      <c r="K16" s="54">
        <v>9</v>
      </c>
      <c r="L16" s="54">
        <v>9</v>
      </c>
      <c r="M16" s="54">
        <v>19</v>
      </c>
      <c r="N16" s="54">
        <v>10</v>
      </c>
      <c r="O16" s="54">
        <v>7</v>
      </c>
      <c r="P16" s="54">
        <v>10</v>
      </c>
      <c r="Q16" s="54">
        <v>14</v>
      </c>
      <c r="R16" s="54">
        <v>12</v>
      </c>
      <c r="S16" s="54">
        <v>13</v>
      </c>
      <c r="T16" s="54">
        <v>10</v>
      </c>
      <c r="U16" s="54">
        <v>6</v>
      </c>
      <c r="V16" s="54">
        <v>8</v>
      </c>
      <c r="W16" s="54">
        <v>18</v>
      </c>
      <c r="X16" s="54">
        <v>12</v>
      </c>
      <c r="Y16" s="54">
        <v>17</v>
      </c>
      <c r="Z16" s="54">
        <v>7</v>
      </c>
      <c r="AA16" s="54">
        <v>10</v>
      </c>
      <c r="AB16" s="54">
        <v>8</v>
      </c>
      <c r="AC16" s="54">
        <v>8</v>
      </c>
      <c r="AD16" s="54">
        <v>13</v>
      </c>
      <c r="AE16" s="54">
        <v>10</v>
      </c>
      <c r="AF16" s="54"/>
      <c r="AG16" s="5">
        <f t="shared" si="2"/>
        <v>350</v>
      </c>
    </row>
    <row r="17" spans="1:33" ht="18.75" x14ac:dyDescent="0.25">
      <c r="A17" s="56" t="s">
        <v>16</v>
      </c>
      <c r="B17" s="54">
        <v>7</v>
      </c>
      <c r="C17" s="54">
        <v>6</v>
      </c>
      <c r="D17" s="54">
        <v>18</v>
      </c>
      <c r="E17" s="54">
        <v>5</v>
      </c>
      <c r="F17" s="54">
        <v>17</v>
      </c>
      <c r="G17" s="54">
        <v>8</v>
      </c>
      <c r="H17" s="54">
        <v>10</v>
      </c>
      <c r="I17" s="54">
        <v>9</v>
      </c>
      <c r="J17" s="54">
        <v>6</v>
      </c>
      <c r="K17" s="54">
        <v>4</v>
      </c>
      <c r="L17" s="54">
        <v>9</v>
      </c>
      <c r="M17" s="54">
        <v>6</v>
      </c>
      <c r="N17" s="54">
        <v>12</v>
      </c>
      <c r="O17" s="54">
        <v>8</v>
      </c>
      <c r="P17" s="54">
        <v>15</v>
      </c>
      <c r="Q17" s="54">
        <v>17</v>
      </c>
      <c r="R17" s="54">
        <v>12</v>
      </c>
      <c r="S17" s="54">
        <v>8</v>
      </c>
      <c r="T17" s="54">
        <v>9</v>
      </c>
      <c r="U17" s="54">
        <v>9</v>
      </c>
      <c r="V17" s="54">
        <v>7</v>
      </c>
      <c r="W17" s="54">
        <v>6</v>
      </c>
      <c r="X17" s="54">
        <v>8</v>
      </c>
      <c r="Y17" s="54">
        <v>7</v>
      </c>
      <c r="Z17" s="54">
        <v>6</v>
      </c>
      <c r="AA17" s="54">
        <v>8</v>
      </c>
      <c r="AB17" s="54">
        <v>9</v>
      </c>
      <c r="AC17" s="54">
        <v>9</v>
      </c>
      <c r="AD17" s="54">
        <v>13</v>
      </c>
      <c r="AE17" s="54">
        <v>10</v>
      </c>
      <c r="AF17" s="54"/>
      <c r="AG17" s="5">
        <f t="shared" si="2"/>
        <v>278</v>
      </c>
    </row>
    <row r="18" spans="1:33" ht="18.75" x14ac:dyDescent="0.25">
      <c r="A18" s="56" t="s">
        <v>17</v>
      </c>
      <c r="B18" s="54">
        <v>6</v>
      </c>
      <c r="C18" s="54">
        <v>6</v>
      </c>
      <c r="D18" s="54">
        <v>9</v>
      </c>
      <c r="E18" s="54">
        <v>8</v>
      </c>
      <c r="F18" s="54">
        <v>10</v>
      </c>
      <c r="G18" s="54">
        <v>5</v>
      </c>
      <c r="H18" s="54">
        <v>3</v>
      </c>
      <c r="I18" s="54">
        <v>8</v>
      </c>
      <c r="J18" s="54">
        <v>8</v>
      </c>
      <c r="K18" s="54">
        <v>7</v>
      </c>
      <c r="L18" s="54">
        <v>14</v>
      </c>
      <c r="M18" s="54">
        <v>8</v>
      </c>
      <c r="N18" s="54">
        <v>6</v>
      </c>
      <c r="O18" s="54">
        <v>7</v>
      </c>
      <c r="P18" s="54">
        <v>8</v>
      </c>
      <c r="Q18" s="54">
        <v>6</v>
      </c>
      <c r="R18" s="54">
        <v>7</v>
      </c>
      <c r="S18" s="54">
        <v>5</v>
      </c>
      <c r="T18" s="54">
        <v>9</v>
      </c>
      <c r="U18" s="54">
        <v>7</v>
      </c>
      <c r="V18" s="54">
        <v>5</v>
      </c>
      <c r="W18" s="54">
        <v>12</v>
      </c>
      <c r="X18" s="54">
        <v>6</v>
      </c>
      <c r="Y18" s="54">
        <v>7</v>
      </c>
      <c r="Z18" s="54">
        <v>9</v>
      </c>
      <c r="AA18" s="54">
        <v>8</v>
      </c>
      <c r="AB18" s="54">
        <v>9</v>
      </c>
      <c r="AC18" s="54">
        <v>9</v>
      </c>
      <c r="AD18" s="54">
        <v>1</v>
      </c>
      <c r="AE18" s="54">
        <v>6</v>
      </c>
      <c r="AF18" s="54"/>
      <c r="AG18" s="5">
        <f t="shared" si="2"/>
        <v>219</v>
      </c>
    </row>
    <row r="19" spans="1:33" ht="18.75" x14ac:dyDescent="0.25">
      <c r="A19" s="56" t="s">
        <v>18</v>
      </c>
      <c r="B19" s="54">
        <v>8</v>
      </c>
      <c r="C19" s="54">
        <v>2</v>
      </c>
      <c r="D19" s="54">
        <v>6</v>
      </c>
      <c r="E19" s="54">
        <v>5</v>
      </c>
      <c r="F19" s="54">
        <v>5</v>
      </c>
      <c r="G19" s="54">
        <v>16</v>
      </c>
      <c r="H19" s="54">
        <v>4</v>
      </c>
      <c r="I19" s="54">
        <v>7</v>
      </c>
      <c r="J19" s="54">
        <v>5</v>
      </c>
      <c r="K19" s="54">
        <v>2</v>
      </c>
      <c r="L19" s="54">
        <v>8</v>
      </c>
      <c r="M19" s="54">
        <v>7</v>
      </c>
      <c r="N19" s="54">
        <v>7</v>
      </c>
      <c r="O19" s="54">
        <v>5</v>
      </c>
      <c r="P19" s="54">
        <v>5</v>
      </c>
      <c r="Q19" s="54">
        <v>2</v>
      </c>
      <c r="R19" s="54">
        <v>6</v>
      </c>
      <c r="S19" s="54">
        <v>5</v>
      </c>
      <c r="T19" s="54">
        <v>6</v>
      </c>
      <c r="U19" s="54">
        <v>2</v>
      </c>
      <c r="V19" s="54">
        <v>7</v>
      </c>
      <c r="W19" s="54">
        <v>9</v>
      </c>
      <c r="X19" s="54">
        <v>7</v>
      </c>
      <c r="Y19" s="54">
        <v>7</v>
      </c>
      <c r="Z19" s="54">
        <v>3</v>
      </c>
      <c r="AA19" s="54">
        <v>6</v>
      </c>
      <c r="AB19" s="54">
        <v>2</v>
      </c>
      <c r="AC19" s="54">
        <v>2</v>
      </c>
      <c r="AD19" s="54">
        <v>10</v>
      </c>
      <c r="AE19" s="54">
        <v>7</v>
      </c>
      <c r="AF19" s="54"/>
      <c r="AG19" s="5">
        <f t="shared" si="2"/>
        <v>173</v>
      </c>
    </row>
    <row r="20" spans="1:33" ht="18.75" x14ac:dyDescent="0.25">
      <c r="A20" s="56" t="s">
        <v>19</v>
      </c>
      <c r="B20" s="54">
        <v>4</v>
      </c>
      <c r="C20" s="54">
        <v>7</v>
      </c>
      <c r="D20" s="54">
        <v>0</v>
      </c>
      <c r="E20" s="54">
        <v>4</v>
      </c>
      <c r="F20" s="54">
        <v>5</v>
      </c>
      <c r="G20" s="54">
        <v>4</v>
      </c>
      <c r="H20" s="54">
        <v>4</v>
      </c>
      <c r="I20" s="54">
        <v>4</v>
      </c>
      <c r="J20" s="54">
        <v>2</v>
      </c>
      <c r="K20" s="54">
        <v>1</v>
      </c>
      <c r="L20" s="54">
        <v>3</v>
      </c>
      <c r="M20" s="54">
        <v>2</v>
      </c>
      <c r="N20" s="54">
        <v>3</v>
      </c>
      <c r="O20" s="54">
        <v>1</v>
      </c>
      <c r="P20" s="54">
        <v>4</v>
      </c>
      <c r="Q20" s="54">
        <v>5</v>
      </c>
      <c r="R20" s="54">
        <v>6</v>
      </c>
      <c r="S20" s="54">
        <v>3</v>
      </c>
      <c r="T20" s="54">
        <v>3</v>
      </c>
      <c r="U20" s="54">
        <v>4</v>
      </c>
      <c r="V20" s="54">
        <v>7</v>
      </c>
      <c r="W20" s="54">
        <v>3</v>
      </c>
      <c r="X20" s="54">
        <v>5</v>
      </c>
      <c r="Y20" s="54">
        <v>2</v>
      </c>
      <c r="Z20" s="54">
        <v>1</v>
      </c>
      <c r="AA20" s="54">
        <v>4</v>
      </c>
      <c r="AB20" s="54">
        <v>6</v>
      </c>
      <c r="AC20" s="54">
        <v>6</v>
      </c>
      <c r="AD20" s="54">
        <v>3</v>
      </c>
      <c r="AE20" s="54">
        <v>2</v>
      </c>
      <c r="AF20" s="54"/>
      <c r="AG20" s="5">
        <f t="shared" si="2"/>
        <v>108</v>
      </c>
    </row>
    <row r="21" spans="1:33" ht="15.75" customHeight="1" x14ac:dyDescent="0.25">
      <c r="A21" s="56" t="s">
        <v>20</v>
      </c>
      <c r="B21" s="54">
        <v>2</v>
      </c>
      <c r="C21" s="54">
        <v>5</v>
      </c>
      <c r="D21" s="54">
        <v>1</v>
      </c>
      <c r="E21" s="54">
        <v>2</v>
      </c>
      <c r="F21" s="54">
        <v>0</v>
      </c>
      <c r="G21" s="54">
        <v>2</v>
      </c>
      <c r="H21" s="54">
        <v>2</v>
      </c>
      <c r="I21" s="54">
        <v>4</v>
      </c>
      <c r="J21" s="54">
        <v>1</v>
      </c>
      <c r="K21" s="54">
        <v>4</v>
      </c>
      <c r="L21" s="54">
        <v>3</v>
      </c>
      <c r="M21" s="54">
        <v>2</v>
      </c>
      <c r="N21" s="54">
        <v>4</v>
      </c>
      <c r="O21" s="54">
        <v>4</v>
      </c>
      <c r="P21" s="54">
        <v>1</v>
      </c>
      <c r="Q21" s="54">
        <v>1</v>
      </c>
      <c r="R21" s="54">
        <v>0</v>
      </c>
      <c r="S21" s="54">
        <v>3</v>
      </c>
      <c r="T21" s="54">
        <v>2</v>
      </c>
      <c r="U21" s="54">
        <v>2</v>
      </c>
      <c r="V21" s="54">
        <v>5</v>
      </c>
      <c r="W21" s="54">
        <v>3</v>
      </c>
      <c r="X21" s="54">
        <v>3</v>
      </c>
      <c r="Y21" s="54">
        <v>2</v>
      </c>
      <c r="Z21" s="54">
        <v>2</v>
      </c>
      <c r="AA21" s="54">
        <v>2</v>
      </c>
      <c r="AB21" s="54">
        <v>6</v>
      </c>
      <c r="AC21" s="54">
        <v>6</v>
      </c>
      <c r="AD21" s="54">
        <v>2</v>
      </c>
      <c r="AE21" s="54">
        <v>2</v>
      </c>
      <c r="AF21" s="54"/>
      <c r="AG21" s="5">
        <f t="shared" si="2"/>
        <v>78</v>
      </c>
    </row>
    <row r="22" spans="1:33" ht="15.75" customHeight="1" x14ac:dyDescent="0.25">
      <c r="A22" s="56" t="s">
        <v>21</v>
      </c>
      <c r="B22" s="54">
        <v>2</v>
      </c>
      <c r="C22" s="54">
        <v>0</v>
      </c>
      <c r="D22" s="54">
        <v>1</v>
      </c>
      <c r="E22" s="54">
        <v>3</v>
      </c>
      <c r="F22" s="54">
        <v>3</v>
      </c>
      <c r="G22" s="54">
        <v>0</v>
      </c>
      <c r="H22" s="54">
        <v>1</v>
      </c>
      <c r="I22" s="54">
        <v>2</v>
      </c>
      <c r="J22" s="54">
        <v>1</v>
      </c>
      <c r="K22" s="54">
        <v>0</v>
      </c>
      <c r="L22" s="54">
        <v>1</v>
      </c>
      <c r="M22" s="54">
        <v>5</v>
      </c>
      <c r="N22" s="54">
        <v>2</v>
      </c>
      <c r="O22" s="54">
        <v>1</v>
      </c>
      <c r="P22" s="54">
        <v>3</v>
      </c>
      <c r="Q22" s="54">
        <v>1</v>
      </c>
      <c r="R22" s="54">
        <v>1</v>
      </c>
      <c r="S22" s="54">
        <v>2</v>
      </c>
      <c r="T22" s="54">
        <v>3</v>
      </c>
      <c r="U22" s="54">
        <v>2</v>
      </c>
      <c r="V22" s="54">
        <v>2</v>
      </c>
      <c r="W22" s="54">
        <v>6</v>
      </c>
      <c r="X22" s="54">
        <v>4</v>
      </c>
      <c r="Y22" s="54">
        <v>2</v>
      </c>
      <c r="Z22" s="54">
        <v>1</v>
      </c>
      <c r="AA22" s="54">
        <v>3</v>
      </c>
      <c r="AB22" s="54">
        <v>1</v>
      </c>
      <c r="AC22" s="54">
        <v>1</v>
      </c>
      <c r="AD22" s="54">
        <v>0</v>
      </c>
      <c r="AE22" s="54">
        <v>2</v>
      </c>
      <c r="AF22" s="54"/>
      <c r="AG22" s="5">
        <f t="shared" si="2"/>
        <v>56</v>
      </c>
    </row>
    <row r="23" spans="1:33" ht="15.75" customHeight="1" x14ac:dyDescent="0.25">
      <c r="A23" s="56" t="s">
        <v>22</v>
      </c>
      <c r="B23" s="54">
        <v>2</v>
      </c>
      <c r="C23" s="54">
        <v>0</v>
      </c>
      <c r="D23" s="54">
        <v>2</v>
      </c>
      <c r="E23" s="54">
        <v>0</v>
      </c>
      <c r="F23" s="54">
        <v>3</v>
      </c>
      <c r="G23" s="54">
        <v>3</v>
      </c>
      <c r="H23" s="54">
        <v>2</v>
      </c>
      <c r="I23" s="54">
        <v>1</v>
      </c>
      <c r="J23" s="54">
        <v>0</v>
      </c>
      <c r="K23" s="54">
        <v>4</v>
      </c>
      <c r="L23" s="54">
        <v>3</v>
      </c>
      <c r="M23" s="54">
        <v>1</v>
      </c>
      <c r="N23" s="54">
        <v>1</v>
      </c>
      <c r="O23" s="54">
        <v>4</v>
      </c>
      <c r="P23" s="54">
        <v>0</v>
      </c>
      <c r="Q23" s="54">
        <v>3</v>
      </c>
      <c r="R23" s="54">
        <v>1</v>
      </c>
      <c r="S23" s="54">
        <v>2</v>
      </c>
      <c r="T23" s="54">
        <v>1</v>
      </c>
      <c r="U23" s="54">
        <v>2</v>
      </c>
      <c r="V23" s="54">
        <v>5</v>
      </c>
      <c r="W23" s="54">
        <v>3</v>
      </c>
      <c r="X23" s="54">
        <v>0</v>
      </c>
      <c r="Y23" s="54">
        <v>2</v>
      </c>
      <c r="Z23" s="54">
        <v>2</v>
      </c>
      <c r="AA23" s="54">
        <v>0</v>
      </c>
      <c r="AB23" s="54">
        <v>0</v>
      </c>
      <c r="AC23" s="54">
        <v>0</v>
      </c>
      <c r="AD23" s="54">
        <v>0</v>
      </c>
      <c r="AE23" s="54">
        <v>2</v>
      </c>
      <c r="AF23" s="54"/>
      <c r="AG23" s="5">
        <f t="shared" si="2"/>
        <v>49</v>
      </c>
    </row>
    <row r="24" spans="1:33" ht="15.75" customHeight="1" x14ac:dyDescent="0.25">
      <c r="A24" s="56" t="s">
        <v>23</v>
      </c>
      <c r="B24" s="54">
        <v>3</v>
      </c>
      <c r="C24" s="54">
        <v>1</v>
      </c>
      <c r="D24" s="54">
        <v>1</v>
      </c>
      <c r="E24" s="54">
        <v>2</v>
      </c>
      <c r="F24" s="54">
        <v>0</v>
      </c>
      <c r="G24" s="54">
        <v>1</v>
      </c>
      <c r="H24" s="54">
        <v>1</v>
      </c>
      <c r="I24" s="54">
        <v>1</v>
      </c>
      <c r="J24" s="54">
        <v>1</v>
      </c>
      <c r="K24" s="54">
        <v>1</v>
      </c>
      <c r="L24" s="54">
        <v>2</v>
      </c>
      <c r="M24" s="54">
        <v>1</v>
      </c>
      <c r="N24" s="54">
        <v>4</v>
      </c>
      <c r="O24" s="54">
        <v>2</v>
      </c>
      <c r="P24" s="54">
        <v>1</v>
      </c>
      <c r="Q24" s="54">
        <v>0</v>
      </c>
      <c r="R24" s="54">
        <v>2</v>
      </c>
      <c r="S24" s="54">
        <v>1</v>
      </c>
      <c r="T24" s="54">
        <v>1</v>
      </c>
      <c r="U24" s="54">
        <v>1</v>
      </c>
      <c r="V24" s="54">
        <v>2</v>
      </c>
      <c r="W24" s="54">
        <v>0</v>
      </c>
      <c r="X24" s="54">
        <v>1</v>
      </c>
      <c r="Y24" s="54">
        <v>2</v>
      </c>
      <c r="Z24" s="54">
        <v>3</v>
      </c>
      <c r="AA24" s="54">
        <v>1</v>
      </c>
      <c r="AB24" s="54">
        <v>2</v>
      </c>
      <c r="AC24" s="54">
        <v>2</v>
      </c>
      <c r="AD24" s="54">
        <v>0</v>
      </c>
      <c r="AE24" s="54">
        <v>1</v>
      </c>
      <c r="AF24" s="54"/>
      <c r="AG24" s="5">
        <f t="shared" si="2"/>
        <v>41</v>
      </c>
    </row>
    <row r="25" spans="1:33" ht="15.75" customHeight="1" x14ac:dyDescent="0.25">
      <c r="A25" s="56" t="s">
        <v>24</v>
      </c>
      <c r="B25" s="54">
        <v>0</v>
      </c>
      <c r="C25" s="54">
        <v>0</v>
      </c>
      <c r="D25" s="54">
        <v>0</v>
      </c>
      <c r="E25" s="54">
        <v>0</v>
      </c>
      <c r="F25" s="54">
        <v>1</v>
      </c>
      <c r="G25" s="54">
        <v>0</v>
      </c>
      <c r="H25" s="54">
        <v>0</v>
      </c>
      <c r="I25" s="54">
        <v>0</v>
      </c>
      <c r="J25" s="54">
        <v>2</v>
      </c>
      <c r="K25" s="54">
        <v>2</v>
      </c>
      <c r="L25" s="54">
        <v>2</v>
      </c>
      <c r="M25" s="54">
        <v>2</v>
      </c>
      <c r="N25" s="54">
        <v>1</v>
      </c>
      <c r="O25" s="54">
        <v>2</v>
      </c>
      <c r="P25" s="54">
        <v>1</v>
      </c>
      <c r="Q25" s="54">
        <v>1</v>
      </c>
      <c r="R25" s="54">
        <v>1</v>
      </c>
      <c r="S25" s="54">
        <v>3</v>
      </c>
      <c r="T25" s="54">
        <v>0</v>
      </c>
      <c r="U25" s="54">
        <v>1</v>
      </c>
      <c r="V25" s="54">
        <v>1</v>
      </c>
      <c r="W25" s="54">
        <v>1</v>
      </c>
      <c r="X25" s="54">
        <v>1</v>
      </c>
      <c r="Y25" s="54">
        <v>1</v>
      </c>
      <c r="Z25" s="54">
        <v>1</v>
      </c>
      <c r="AA25" s="54">
        <v>0</v>
      </c>
      <c r="AB25" s="54">
        <v>1</v>
      </c>
      <c r="AC25" s="54">
        <v>1</v>
      </c>
      <c r="AD25" s="54">
        <v>2</v>
      </c>
      <c r="AE25" s="54">
        <v>0</v>
      </c>
      <c r="AF25" s="54"/>
      <c r="AG25" s="5">
        <f t="shared" si="2"/>
        <v>28</v>
      </c>
    </row>
    <row r="26" spans="1:33" ht="15.75" customHeight="1" x14ac:dyDescent="0.25">
      <c r="A26" s="56" t="s">
        <v>25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54">
        <v>0</v>
      </c>
      <c r="H26" s="54">
        <v>0</v>
      </c>
      <c r="I26" s="54">
        <v>0</v>
      </c>
      <c r="J26" s="54">
        <v>1</v>
      </c>
      <c r="K26" s="54">
        <v>2</v>
      </c>
      <c r="L26" s="54">
        <v>0</v>
      </c>
      <c r="M26" s="54">
        <v>0</v>
      </c>
      <c r="N26" s="54">
        <v>1</v>
      </c>
      <c r="O26" s="54">
        <v>0</v>
      </c>
      <c r="P26" s="54">
        <v>1</v>
      </c>
      <c r="Q26" s="54">
        <v>1</v>
      </c>
      <c r="R26" s="54">
        <v>0</v>
      </c>
      <c r="S26" s="54">
        <v>2</v>
      </c>
      <c r="T26" s="54">
        <v>2</v>
      </c>
      <c r="U26" s="54">
        <v>1</v>
      </c>
      <c r="V26" s="54">
        <v>1</v>
      </c>
      <c r="W26" s="54">
        <v>1</v>
      </c>
      <c r="X26" s="54">
        <v>1</v>
      </c>
      <c r="Y26" s="54">
        <v>3</v>
      </c>
      <c r="Z26" s="54">
        <v>1</v>
      </c>
      <c r="AA26" s="54">
        <v>2</v>
      </c>
      <c r="AB26" s="54">
        <v>1</v>
      </c>
      <c r="AC26" s="54">
        <v>1</v>
      </c>
      <c r="AD26" s="54">
        <v>3</v>
      </c>
      <c r="AE26" s="54">
        <v>2</v>
      </c>
      <c r="AF26" s="54"/>
      <c r="AG26" s="5">
        <f t="shared" si="2"/>
        <v>29</v>
      </c>
    </row>
    <row r="27" spans="1:33" ht="15.75" customHeight="1" thickBot="1" x14ac:dyDescent="0.3">
      <c r="A27" s="57" t="s">
        <v>26</v>
      </c>
      <c r="B27" s="58">
        <v>0</v>
      </c>
      <c r="C27" s="58">
        <v>0</v>
      </c>
      <c r="D27" s="58">
        <v>0</v>
      </c>
      <c r="E27" s="58">
        <v>0</v>
      </c>
      <c r="F27" s="58">
        <v>0</v>
      </c>
      <c r="G27" s="58">
        <v>2</v>
      </c>
      <c r="H27" s="58">
        <v>1</v>
      </c>
      <c r="I27" s="58">
        <v>0</v>
      </c>
      <c r="J27" s="58">
        <v>0</v>
      </c>
      <c r="K27" s="58">
        <v>0</v>
      </c>
      <c r="L27" s="58">
        <v>0</v>
      </c>
      <c r="M27" s="58">
        <v>0</v>
      </c>
      <c r="N27" s="58">
        <v>1</v>
      </c>
      <c r="O27" s="58">
        <v>4</v>
      </c>
      <c r="P27" s="58">
        <v>1</v>
      </c>
      <c r="Q27" s="58">
        <v>0</v>
      </c>
      <c r="R27" s="58">
        <v>0</v>
      </c>
      <c r="S27" s="58">
        <v>0</v>
      </c>
      <c r="T27" s="58">
        <v>0</v>
      </c>
      <c r="U27" s="58">
        <v>4</v>
      </c>
      <c r="V27" s="58">
        <v>3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B27" s="58">
        <v>1</v>
      </c>
      <c r="AC27" s="58">
        <v>1</v>
      </c>
      <c r="AD27" s="58">
        <v>1</v>
      </c>
      <c r="AE27" s="58">
        <v>0</v>
      </c>
      <c r="AF27" s="58"/>
      <c r="AG27" s="5">
        <f t="shared" si="2"/>
        <v>19</v>
      </c>
    </row>
    <row r="28" spans="1:33" ht="15.75" customHeight="1" x14ac:dyDescent="0.25">
      <c r="A28" s="59" t="s">
        <v>27</v>
      </c>
      <c r="B28" s="6">
        <f t="shared" ref="B28:AF28" si="3">SUM(B29:B52)</f>
        <v>136</v>
      </c>
      <c r="C28" s="6">
        <f t="shared" si="3"/>
        <v>115</v>
      </c>
      <c r="D28" s="6">
        <f t="shared" si="3"/>
        <v>142</v>
      </c>
      <c r="E28" s="6">
        <f t="shared" si="3"/>
        <v>120</v>
      </c>
      <c r="F28" s="6">
        <f t="shared" si="3"/>
        <v>130</v>
      </c>
      <c r="G28" s="6">
        <f t="shared" si="3"/>
        <v>178</v>
      </c>
      <c r="H28" s="6">
        <f t="shared" si="3"/>
        <v>198</v>
      </c>
      <c r="I28" s="6">
        <f t="shared" si="3"/>
        <v>131</v>
      </c>
      <c r="J28" s="6">
        <f t="shared" si="3"/>
        <v>108</v>
      </c>
      <c r="K28" s="6">
        <f t="shared" si="3"/>
        <v>118</v>
      </c>
      <c r="L28" s="6">
        <f t="shared" si="3"/>
        <v>129</v>
      </c>
      <c r="M28" s="6">
        <f t="shared" si="3"/>
        <v>113</v>
      </c>
      <c r="N28" s="6">
        <f t="shared" si="3"/>
        <v>192</v>
      </c>
      <c r="O28" s="6">
        <f t="shared" si="3"/>
        <v>185</v>
      </c>
      <c r="P28" s="6">
        <f t="shared" si="3"/>
        <v>146</v>
      </c>
      <c r="Q28" s="6">
        <f t="shared" si="3"/>
        <v>134</v>
      </c>
      <c r="R28" s="6">
        <f t="shared" si="3"/>
        <v>137</v>
      </c>
      <c r="S28" s="6">
        <f t="shared" si="3"/>
        <v>135</v>
      </c>
      <c r="T28" s="6">
        <f t="shared" si="3"/>
        <v>136</v>
      </c>
      <c r="U28" s="6">
        <f t="shared" si="3"/>
        <v>204</v>
      </c>
      <c r="V28" s="6">
        <f t="shared" si="3"/>
        <v>194</v>
      </c>
      <c r="W28" s="6">
        <f t="shared" si="3"/>
        <v>164</v>
      </c>
      <c r="X28" s="6">
        <f t="shared" si="3"/>
        <v>128</v>
      </c>
      <c r="Y28" s="6">
        <f t="shared" si="3"/>
        <v>137</v>
      </c>
      <c r="Z28" s="6">
        <f t="shared" si="3"/>
        <v>111</v>
      </c>
      <c r="AA28" s="6">
        <f t="shared" si="3"/>
        <v>127</v>
      </c>
      <c r="AB28" s="6">
        <f t="shared" si="3"/>
        <v>204</v>
      </c>
      <c r="AC28" s="6">
        <f t="shared" si="3"/>
        <v>204</v>
      </c>
      <c r="AD28" s="6">
        <f t="shared" si="3"/>
        <v>142</v>
      </c>
      <c r="AE28" s="6">
        <f t="shared" si="3"/>
        <v>129</v>
      </c>
      <c r="AF28" s="6">
        <f t="shared" si="3"/>
        <v>0</v>
      </c>
      <c r="AG28" s="7">
        <f t="shared" si="2"/>
        <v>4427</v>
      </c>
    </row>
    <row r="29" spans="1:33" ht="15.75" customHeight="1" x14ac:dyDescent="0.25">
      <c r="A29" s="53" t="s">
        <v>3</v>
      </c>
      <c r="B29" s="54">
        <v>0</v>
      </c>
      <c r="C29" s="55">
        <v>0</v>
      </c>
      <c r="D29" s="55">
        <v>0</v>
      </c>
      <c r="E29" s="55">
        <v>0</v>
      </c>
      <c r="F29" s="55">
        <v>0</v>
      </c>
      <c r="G29" s="55">
        <v>4</v>
      </c>
      <c r="H29" s="55">
        <v>2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5">
        <v>6</v>
      </c>
      <c r="O29" s="55">
        <v>6</v>
      </c>
      <c r="P29" s="55">
        <v>0</v>
      </c>
      <c r="Q29" s="55">
        <v>0</v>
      </c>
      <c r="R29" s="55">
        <v>0</v>
      </c>
      <c r="S29" s="55">
        <v>0</v>
      </c>
      <c r="T29" s="55">
        <v>0</v>
      </c>
      <c r="U29" s="55">
        <v>8</v>
      </c>
      <c r="V29" s="55">
        <v>3</v>
      </c>
      <c r="W29" s="55">
        <v>0</v>
      </c>
      <c r="X29" s="55">
        <v>0</v>
      </c>
      <c r="Y29" s="55">
        <v>0</v>
      </c>
      <c r="Z29" s="55">
        <v>0</v>
      </c>
      <c r="AA29" s="55">
        <v>0</v>
      </c>
      <c r="AB29" s="55">
        <v>5</v>
      </c>
      <c r="AC29" s="55">
        <v>5</v>
      </c>
      <c r="AD29" s="54">
        <v>0</v>
      </c>
      <c r="AE29" s="54">
        <v>0</v>
      </c>
      <c r="AF29" s="54"/>
      <c r="AG29" s="5">
        <f t="shared" si="2"/>
        <v>39</v>
      </c>
    </row>
    <row r="30" spans="1:33" ht="15.75" customHeight="1" x14ac:dyDescent="0.25">
      <c r="A30" s="56" t="s">
        <v>4</v>
      </c>
      <c r="B30" s="54">
        <v>0</v>
      </c>
      <c r="C30" s="54">
        <v>0</v>
      </c>
      <c r="D30" s="54">
        <v>0</v>
      </c>
      <c r="E30" s="54">
        <v>0</v>
      </c>
      <c r="F30" s="54">
        <v>0</v>
      </c>
      <c r="G30" s="54">
        <v>8</v>
      </c>
      <c r="H30" s="54">
        <v>6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18</v>
      </c>
      <c r="O30" s="54">
        <v>7</v>
      </c>
      <c r="P30" s="54">
        <v>0</v>
      </c>
      <c r="Q30" s="54">
        <v>0</v>
      </c>
      <c r="R30" s="54">
        <v>0</v>
      </c>
      <c r="S30" s="54">
        <v>0</v>
      </c>
      <c r="T30" s="54">
        <v>0</v>
      </c>
      <c r="U30" s="54">
        <v>7</v>
      </c>
      <c r="V30" s="54">
        <v>8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5</v>
      </c>
      <c r="AC30" s="54">
        <v>5</v>
      </c>
      <c r="AD30" s="54">
        <v>0</v>
      </c>
      <c r="AE30" s="54">
        <v>0</v>
      </c>
      <c r="AF30" s="54"/>
      <c r="AG30" s="5">
        <f t="shared" si="2"/>
        <v>64</v>
      </c>
    </row>
    <row r="31" spans="1:33" ht="15.75" customHeight="1" x14ac:dyDescent="0.25">
      <c r="A31" s="56" t="s">
        <v>5</v>
      </c>
      <c r="B31" s="54">
        <v>0</v>
      </c>
      <c r="C31" s="54">
        <v>0</v>
      </c>
      <c r="D31" s="54">
        <v>0</v>
      </c>
      <c r="E31" s="54">
        <v>0</v>
      </c>
      <c r="F31" s="54">
        <v>0</v>
      </c>
      <c r="G31" s="54">
        <v>15</v>
      </c>
      <c r="H31" s="54">
        <v>12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19</v>
      </c>
      <c r="O31" s="54">
        <v>12</v>
      </c>
      <c r="P31" s="54">
        <v>0</v>
      </c>
      <c r="Q31" s="54">
        <v>0</v>
      </c>
      <c r="R31" s="54">
        <v>0</v>
      </c>
      <c r="S31" s="54">
        <v>0</v>
      </c>
      <c r="T31" s="54">
        <v>0</v>
      </c>
      <c r="U31" s="54">
        <v>13</v>
      </c>
      <c r="V31" s="54">
        <v>7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13</v>
      </c>
      <c r="AC31" s="54">
        <v>13</v>
      </c>
      <c r="AD31" s="54">
        <v>0</v>
      </c>
      <c r="AE31" s="54">
        <v>0</v>
      </c>
      <c r="AF31" s="54"/>
      <c r="AG31" s="5">
        <f t="shared" si="2"/>
        <v>104</v>
      </c>
    </row>
    <row r="32" spans="1:33" ht="15.75" customHeight="1" x14ac:dyDescent="0.25">
      <c r="A32" s="56" t="s">
        <v>6</v>
      </c>
      <c r="B32" s="54">
        <v>0</v>
      </c>
      <c r="C32" s="54">
        <v>0</v>
      </c>
      <c r="D32" s="54">
        <v>0</v>
      </c>
      <c r="E32" s="54">
        <v>0</v>
      </c>
      <c r="F32" s="54">
        <v>0</v>
      </c>
      <c r="G32" s="54">
        <v>8</v>
      </c>
      <c r="H32" s="54">
        <v>13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7</v>
      </c>
      <c r="O32" s="54">
        <v>13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13</v>
      </c>
      <c r="V32" s="54">
        <v>12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13</v>
      </c>
      <c r="AC32" s="54">
        <v>13</v>
      </c>
      <c r="AD32" s="54">
        <v>0</v>
      </c>
      <c r="AE32" s="54">
        <v>0</v>
      </c>
      <c r="AF32" s="54"/>
      <c r="AG32" s="5">
        <f t="shared" si="2"/>
        <v>92</v>
      </c>
    </row>
    <row r="33" spans="1:33" ht="15.75" customHeight="1" x14ac:dyDescent="0.25">
      <c r="A33" s="56" t="s">
        <v>7</v>
      </c>
      <c r="B33" s="54">
        <v>0</v>
      </c>
      <c r="C33" s="54">
        <v>0</v>
      </c>
      <c r="D33" s="54">
        <v>0</v>
      </c>
      <c r="E33" s="54">
        <v>0</v>
      </c>
      <c r="F33" s="54">
        <v>0</v>
      </c>
      <c r="G33" s="54">
        <v>14</v>
      </c>
      <c r="H33" s="54">
        <v>8</v>
      </c>
      <c r="I33" s="54">
        <v>0</v>
      </c>
      <c r="J33" s="54">
        <v>0</v>
      </c>
      <c r="K33" s="54">
        <v>0</v>
      </c>
      <c r="L33" s="54">
        <v>0</v>
      </c>
      <c r="M33" s="54">
        <v>0</v>
      </c>
      <c r="N33" s="54">
        <v>18</v>
      </c>
      <c r="O33" s="54">
        <v>14</v>
      </c>
      <c r="P33" s="54">
        <v>0</v>
      </c>
      <c r="Q33" s="54">
        <v>0</v>
      </c>
      <c r="R33" s="54">
        <v>0</v>
      </c>
      <c r="S33" s="54">
        <v>0</v>
      </c>
      <c r="T33" s="54">
        <v>0</v>
      </c>
      <c r="U33" s="54">
        <v>12</v>
      </c>
      <c r="V33" s="54">
        <v>7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7</v>
      </c>
      <c r="AC33" s="54">
        <v>7</v>
      </c>
      <c r="AD33" s="54">
        <v>0</v>
      </c>
      <c r="AE33" s="54">
        <v>0</v>
      </c>
      <c r="AF33" s="54"/>
      <c r="AG33" s="5">
        <f t="shared" si="2"/>
        <v>87</v>
      </c>
    </row>
    <row r="34" spans="1:33" ht="15.75" customHeight="1" x14ac:dyDescent="0.25">
      <c r="A34" s="56" t="s">
        <v>8</v>
      </c>
      <c r="B34" s="54">
        <v>0</v>
      </c>
      <c r="C34" s="54">
        <v>0</v>
      </c>
      <c r="D34" s="54">
        <v>0</v>
      </c>
      <c r="E34" s="54">
        <v>0</v>
      </c>
      <c r="F34" s="54">
        <v>0</v>
      </c>
      <c r="G34" s="54">
        <v>14</v>
      </c>
      <c r="H34" s="54">
        <v>14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6</v>
      </c>
      <c r="O34" s="54">
        <v>10</v>
      </c>
      <c r="P34" s="54">
        <v>0</v>
      </c>
      <c r="Q34" s="54">
        <v>0</v>
      </c>
      <c r="R34" s="54">
        <v>0</v>
      </c>
      <c r="S34" s="54">
        <v>0</v>
      </c>
      <c r="T34" s="54">
        <v>0</v>
      </c>
      <c r="U34" s="54">
        <v>16</v>
      </c>
      <c r="V34" s="54">
        <v>12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14</v>
      </c>
      <c r="AC34" s="54">
        <v>14</v>
      </c>
      <c r="AD34" s="54">
        <v>0</v>
      </c>
      <c r="AE34" s="54">
        <v>0</v>
      </c>
      <c r="AF34" s="54"/>
      <c r="AG34" s="5">
        <f t="shared" si="2"/>
        <v>100</v>
      </c>
    </row>
    <row r="35" spans="1:33" ht="15.75" customHeight="1" x14ac:dyDescent="0.25">
      <c r="A35" s="56" t="s">
        <v>9</v>
      </c>
      <c r="B35" s="54">
        <v>0</v>
      </c>
      <c r="C35" s="54">
        <v>0</v>
      </c>
      <c r="D35" s="54">
        <v>0</v>
      </c>
      <c r="E35" s="54">
        <v>0</v>
      </c>
      <c r="F35" s="54">
        <v>0</v>
      </c>
      <c r="G35" s="54">
        <v>8</v>
      </c>
      <c r="H35" s="54">
        <v>16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11</v>
      </c>
      <c r="O35" s="54">
        <v>11</v>
      </c>
      <c r="P35" s="54">
        <v>0</v>
      </c>
      <c r="Q35" s="54">
        <v>0</v>
      </c>
      <c r="R35" s="54">
        <v>0</v>
      </c>
      <c r="S35" s="54">
        <v>0</v>
      </c>
      <c r="T35" s="54">
        <v>0</v>
      </c>
      <c r="U35" s="54">
        <v>14</v>
      </c>
      <c r="V35" s="54">
        <v>10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11</v>
      </c>
      <c r="AC35" s="54">
        <v>11</v>
      </c>
      <c r="AD35" s="54">
        <v>0</v>
      </c>
      <c r="AE35" s="54">
        <v>0</v>
      </c>
      <c r="AF35" s="54"/>
      <c r="AG35" s="5">
        <f t="shared" si="2"/>
        <v>92</v>
      </c>
    </row>
    <row r="36" spans="1:33" ht="15.75" customHeight="1" x14ac:dyDescent="0.25">
      <c r="A36" s="56" t="s">
        <v>10</v>
      </c>
      <c r="B36" s="54">
        <v>0</v>
      </c>
      <c r="C36" s="54">
        <v>0</v>
      </c>
      <c r="D36" s="54">
        <v>0</v>
      </c>
      <c r="E36" s="54">
        <v>0</v>
      </c>
      <c r="F36" s="54">
        <v>0</v>
      </c>
      <c r="G36" s="54">
        <v>10</v>
      </c>
      <c r="H36" s="54">
        <v>10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5</v>
      </c>
      <c r="O36" s="54">
        <v>4</v>
      </c>
      <c r="P36" s="54">
        <v>0</v>
      </c>
      <c r="Q36" s="54">
        <v>0</v>
      </c>
      <c r="R36" s="54">
        <v>0</v>
      </c>
      <c r="S36" s="54">
        <v>0</v>
      </c>
      <c r="T36" s="54">
        <v>0</v>
      </c>
      <c r="U36" s="54">
        <v>6</v>
      </c>
      <c r="V36" s="54">
        <v>11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10</v>
      </c>
      <c r="AC36" s="54">
        <v>10</v>
      </c>
      <c r="AD36" s="54">
        <v>0</v>
      </c>
      <c r="AE36" s="54">
        <v>0</v>
      </c>
      <c r="AF36" s="54"/>
      <c r="AG36" s="5">
        <f t="shared" si="2"/>
        <v>66</v>
      </c>
    </row>
    <row r="37" spans="1:33" ht="15.75" customHeight="1" x14ac:dyDescent="0.25">
      <c r="A37" s="56" t="s">
        <v>11</v>
      </c>
      <c r="B37" s="54">
        <v>0</v>
      </c>
      <c r="C37" s="54">
        <v>0</v>
      </c>
      <c r="D37" s="54">
        <v>0</v>
      </c>
      <c r="E37" s="54">
        <v>0</v>
      </c>
      <c r="F37" s="54">
        <v>8</v>
      </c>
      <c r="G37" s="54">
        <v>15</v>
      </c>
      <c r="H37" s="54">
        <v>9</v>
      </c>
      <c r="I37" s="54">
        <v>0</v>
      </c>
      <c r="J37" s="54">
        <v>0</v>
      </c>
      <c r="K37" s="54">
        <v>0</v>
      </c>
      <c r="L37" s="54">
        <v>0</v>
      </c>
      <c r="M37" s="54">
        <v>4</v>
      </c>
      <c r="N37" s="54">
        <v>16</v>
      </c>
      <c r="O37" s="54">
        <v>14</v>
      </c>
      <c r="P37" s="54">
        <v>0</v>
      </c>
      <c r="Q37" s="54">
        <v>0</v>
      </c>
      <c r="R37" s="54">
        <v>0</v>
      </c>
      <c r="S37" s="54">
        <v>0</v>
      </c>
      <c r="T37" s="54">
        <v>7</v>
      </c>
      <c r="U37" s="54">
        <v>17</v>
      </c>
      <c r="V37" s="54">
        <v>6</v>
      </c>
      <c r="W37" s="54">
        <v>0</v>
      </c>
      <c r="X37" s="54">
        <v>0</v>
      </c>
      <c r="Y37" s="54">
        <v>0</v>
      </c>
      <c r="Z37" s="54">
        <v>0</v>
      </c>
      <c r="AA37" s="54">
        <v>5</v>
      </c>
      <c r="AB37" s="54">
        <v>16</v>
      </c>
      <c r="AC37" s="54">
        <v>16</v>
      </c>
      <c r="AD37" s="54">
        <v>0</v>
      </c>
      <c r="AE37" s="54">
        <v>0</v>
      </c>
      <c r="AF37" s="54"/>
      <c r="AG37" s="5">
        <f t="shared" si="2"/>
        <v>133</v>
      </c>
    </row>
    <row r="38" spans="1:33" ht="15.75" customHeight="1" x14ac:dyDescent="0.25">
      <c r="A38" s="56" t="s">
        <v>12</v>
      </c>
      <c r="B38" s="54">
        <v>7</v>
      </c>
      <c r="C38" s="54">
        <v>10</v>
      </c>
      <c r="D38" s="54">
        <v>8</v>
      </c>
      <c r="E38" s="54">
        <v>4</v>
      </c>
      <c r="F38" s="54">
        <v>11</v>
      </c>
      <c r="G38" s="54">
        <v>12</v>
      </c>
      <c r="H38" s="54">
        <v>17</v>
      </c>
      <c r="I38" s="54">
        <v>3</v>
      </c>
      <c r="J38" s="54">
        <v>13</v>
      </c>
      <c r="K38" s="54">
        <v>8</v>
      </c>
      <c r="L38" s="54">
        <v>4</v>
      </c>
      <c r="M38" s="54">
        <v>5</v>
      </c>
      <c r="N38" s="54">
        <v>11</v>
      </c>
      <c r="O38" s="54">
        <v>12</v>
      </c>
      <c r="P38" s="54">
        <v>11</v>
      </c>
      <c r="Q38" s="54">
        <v>10</v>
      </c>
      <c r="R38" s="54">
        <v>6</v>
      </c>
      <c r="S38" s="54">
        <v>7</v>
      </c>
      <c r="T38" s="54">
        <v>14</v>
      </c>
      <c r="U38" s="54">
        <v>17</v>
      </c>
      <c r="V38" s="54">
        <v>10</v>
      </c>
      <c r="W38" s="54">
        <v>11</v>
      </c>
      <c r="X38" s="54">
        <v>9</v>
      </c>
      <c r="Y38" s="54">
        <v>8</v>
      </c>
      <c r="Z38" s="54">
        <v>5</v>
      </c>
      <c r="AA38" s="54">
        <v>10</v>
      </c>
      <c r="AB38" s="54">
        <v>12</v>
      </c>
      <c r="AC38" s="54">
        <v>12</v>
      </c>
      <c r="AD38" s="54">
        <v>13</v>
      </c>
      <c r="AE38" s="54">
        <v>6</v>
      </c>
      <c r="AF38" s="54"/>
      <c r="AG38" s="5">
        <f t="shared" si="2"/>
        <v>286</v>
      </c>
    </row>
    <row r="39" spans="1:33" ht="15.75" customHeight="1" x14ac:dyDescent="0.25">
      <c r="A39" s="56" t="s">
        <v>13</v>
      </c>
      <c r="B39" s="54">
        <v>15</v>
      </c>
      <c r="C39" s="54">
        <v>20</v>
      </c>
      <c r="D39" s="54">
        <v>16</v>
      </c>
      <c r="E39" s="54">
        <v>15</v>
      </c>
      <c r="F39" s="54">
        <v>15</v>
      </c>
      <c r="G39" s="54">
        <v>10</v>
      </c>
      <c r="H39" s="54">
        <v>15</v>
      </c>
      <c r="I39" s="54">
        <v>14</v>
      </c>
      <c r="J39" s="54">
        <v>15</v>
      </c>
      <c r="K39" s="54">
        <v>17</v>
      </c>
      <c r="L39" s="54">
        <v>16</v>
      </c>
      <c r="M39" s="54">
        <v>12</v>
      </c>
      <c r="N39" s="54">
        <v>14</v>
      </c>
      <c r="O39" s="54">
        <v>6</v>
      </c>
      <c r="P39" s="54">
        <v>19</v>
      </c>
      <c r="Q39" s="54">
        <v>12</v>
      </c>
      <c r="R39" s="54">
        <v>12</v>
      </c>
      <c r="S39" s="54">
        <v>17</v>
      </c>
      <c r="T39" s="54">
        <v>22</v>
      </c>
      <c r="U39" s="54">
        <v>9</v>
      </c>
      <c r="V39" s="54">
        <v>10</v>
      </c>
      <c r="W39" s="54">
        <v>16</v>
      </c>
      <c r="X39" s="54">
        <v>15</v>
      </c>
      <c r="Y39" s="54">
        <v>17</v>
      </c>
      <c r="Z39" s="54">
        <v>16</v>
      </c>
      <c r="AA39" s="54">
        <v>14</v>
      </c>
      <c r="AB39" s="54">
        <v>14</v>
      </c>
      <c r="AC39" s="54">
        <v>14</v>
      </c>
      <c r="AD39" s="54">
        <v>22</v>
      </c>
      <c r="AE39" s="54">
        <v>21</v>
      </c>
      <c r="AF39" s="54"/>
      <c r="AG39" s="5">
        <f t="shared" si="2"/>
        <v>450</v>
      </c>
    </row>
    <row r="40" spans="1:33" ht="15.75" customHeight="1" x14ac:dyDescent="0.25">
      <c r="A40" s="56" t="s">
        <v>14</v>
      </c>
      <c r="B40" s="54">
        <v>29</v>
      </c>
      <c r="C40" s="54">
        <v>18</v>
      </c>
      <c r="D40" s="54">
        <v>21</v>
      </c>
      <c r="E40" s="54">
        <v>19</v>
      </c>
      <c r="F40" s="54">
        <v>17</v>
      </c>
      <c r="G40" s="54">
        <v>13</v>
      </c>
      <c r="H40" s="54">
        <v>9</v>
      </c>
      <c r="I40" s="54">
        <v>21</v>
      </c>
      <c r="J40" s="54">
        <v>16</v>
      </c>
      <c r="K40" s="54">
        <v>20</v>
      </c>
      <c r="L40" s="54">
        <v>16</v>
      </c>
      <c r="M40" s="54">
        <v>16</v>
      </c>
      <c r="N40" s="54">
        <v>12</v>
      </c>
      <c r="O40" s="54">
        <v>13</v>
      </c>
      <c r="P40" s="54">
        <v>17</v>
      </c>
      <c r="Q40" s="54">
        <v>15</v>
      </c>
      <c r="R40" s="54">
        <v>22</v>
      </c>
      <c r="S40" s="54">
        <v>25</v>
      </c>
      <c r="T40" s="54">
        <v>26</v>
      </c>
      <c r="U40" s="54">
        <v>12</v>
      </c>
      <c r="V40" s="54">
        <v>16</v>
      </c>
      <c r="W40" s="54">
        <v>26</v>
      </c>
      <c r="X40" s="54">
        <v>17</v>
      </c>
      <c r="Y40" s="54">
        <v>18</v>
      </c>
      <c r="Z40" s="54">
        <v>25</v>
      </c>
      <c r="AA40" s="54">
        <v>11</v>
      </c>
      <c r="AB40" s="54">
        <v>12</v>
      </c>
      <c r="AC40" s="54">
        <v>12</v>
      </c>
      <c r="AD40" s="54">
        <v>27</v>
      </c>
      <c r="AE40" s="54">
        <v>23</v>
      </c>
      <c r="AF40" s="54"/>
      <c r="AG40" s="5">
        <f t="shared" si="2"/>
        <v>544</v>
      </c>
    </row>
    <row r="41" spans="1:33" ht="15.75" customHeight="1" x14ac:dyDescent="0.25">
      <c r="A41" s="56" t="s">
        <v>15</v>
      </c>
      <c r="B41" s="54">
        <v>19</v>
      </c>
      <c r="C41" s="54">
        <v>15</v>
      </c>
      <c r="D41" s="54">
        <v>25</v>
      </c>
      <c r="E41" s="54">
        <v>17</v>
      </c>
      <c r="F41" s="54">
        <v>22</v>
      </c>
      <c r="G41" s="54">
        <v>6</v>
      </c>
      <c r="H41" s="54">
        <v>20</v>
      </c>
      <c r="I41" s="54">
        <v>15</v>
      </c>
      <c r="J41" s="54">
        <v>17</v>
      </c>
      <c r="K41" s="54">
        <v>14</v>
      </c>
      <c r="L41" s="54">
        <v>19</v>
      </c>
      <c r="M41" s="54">
        <v>20</v>
      </c>
      <c r="N41" s="54">
        <v>7</v>
      </c>
      <c r="O41" s="54">
        <v>12</v>
      </c>
      <c r="P41" s="54">
        <v>15</v>
      </c>
      <c r="Q41" s="54">
        <v>20</v>
      </c>
      <c r="R41" s="54">
        <v>24</v>
      </c>
      <c r="S41" s="54">
        <v>20</v>
      </c>
      <c r="T41" s="54">
        <v>23</v>
      </c>
      <c r="U41" s="54">
        <v>14</v>
      </c>
      <c r="V41" s="54">
        <v>15</v>
      </c>
      <c r="W41" s="54">
        <v>25</v>
      </c>
      <c r="X41" s="54">
        <v>14</v>
      </c>
      <c r="Y41" s="54">
        <v>20</v>
      </c>
      <c r="Z41" s="54">
        <v>22</v>
      </c>
      <c r="AA41" s="54">
        <v>20</v>
      </c>
      <c r="AB41" s="54">
        <v>22</v>
      </c>
      <c r="AC41" s="54">
        <v>22</v>
      </c>
      <c r="AD41" s="54">
        <v>28</v>
      </c>
      <c r="AE41" s="54">
        <v>19</v>
      </c>
      <c r="AF41" s="54"/>
      <c r="AG41" s="5">
        <f t="shared" si="2"/>
        <v>551</v>
      </c>
    </row>
    <row r="42" spans="1:33" ht="15.75" customHeight="1" x14ac:dyDescent="0.25">
      <c r="A42" s="56" t="s">
        <v>16</v>
      </c>
      <c r="B42" s="54">
        <v>28</v>
      </c>
      <c r="C42" s="54">
        <v>10</v>
      </c>
      <c r="D42" s="54">
        <v>21</v>
      </c>
      <c r="E42" s="54">
        <v>24</v>
      </c>
      <c r="F42" s="54">
        <v>13</v>
      </c>
      <c r="G42" s="54">
        <v>7</v>
      </c>
      <c r="H42" s="54">
        <v>14</v>
      </c>
      <c r="I42" s="54">
        <v>20</v>
      </c>
      <c r="J42" s="54">
        <v>20</v>
      </c>
      <c r="K42" s="54">
        <v>15</v>
      </c>
      <c r="L42" s="54">
        <v>20</v>
      </c>
      <c r="M42" s="54">
        <v>8</v>
      </c>
      <c r="N42" s="54">
        <v>15</v>
      </c>
      <c r="O42" s="54">
        <v>13</v>
      </c>
      <c r="P42" s="54">
        <v>19</v>
      </c>
      <c r="Q42" s="54">
        <v>16</v>
      </c>
      <c r="R42" s="54">
        <v>14</v>
      </c>
      <c r="S42" s="54">
        <v>14</v>
      </c>
      <c r="T42" s="54">
        <v>15</v>
      </c>
      <c r="U42" s="54">
        <v>14</v>
      </c>
      <c r="V42" s="54">
        <v>11</v>
      </c>
      <c r="W42" s="54">
        <v>23</v>
      </c>
      <c r="X42" s="54">
        <v>15</v>
      </c>
      <c r="Y42" s="54">
        <v>16</v>
      </c>
      <c r="Z42" s="54">
        <v>19</v>
      </c>
      <c r="AA42" s="54">
        <v>16</v>
      </c>
      <c r="AB42" s="54">
        <v>15</v>
      </c>
      <c r="AC42" s="54">
        <v>15</v>
      </c>
      <c r="AD42" s="54">
        <v>21</v>
      </c>
      <c r="AE42" s="54">
        <v>14</v>
      </c>
      <c r="AF42" s="54"/>
      <c r="AG42" s="5">
        <f t="shared" si="2"/>
        <v>485</v>
      </c>
    </row>
    <row r="43" spans="1:33" ht="15.75" customHeight="1" x14ac:dyDescent="0.25">
      <c r="A43" s="56" t="s">
        <v>17</v>
      </c>
      <c r="B43" s="54">
        <v>13</v>
      </c>
      <c r="C43" s="54">
        <v>13</v>
      </c>
      <c r="D43" s="54">
        <v>9</v>
      </c>
      <c r="E43" s="54">
        <v>8</v>
      </c>
      <c r="F43" s="54">
        <v>8</v>
      </c>
      <c r="G43" s="54">
        <v>8</v>
      </c>
      <c r="H43" s="54">
        <v>7</v>
      </c>
      <c r="I43" s="54">
        <v>15</v>
      </c>
      <c r="J43" s="54">
        <v>9</v>
      </c>
      <c r="K43" s="54">
        <v>11</v>
      </c>
      <c r="L43" s="54">
        <v>8</v>
      </c>
      <c r="M43" s="54">
        <v>10</v>
      </c>
      <c r="N43" s="54">
        <v>4</v>
      </c>
      <c r="O43" s="54">
        <v>13</v>
      </c>
      <c r="P43" s="54">
        <v>13</v>
      </c>
      <c r="Q43" s="54">
        <v>13</v>
      </c>
      <c r="R43" s="54">
        <v>11</v>
      </c>
      <c r="S43" s="54">
        <v>6</v>
      </c>
      <c r="T43" s="54">
        <v>11</v>
      </c>
      <c r="U43" s="54">
        <v>7</v>
      </c>
      <c r="V43" s="54">
        <v>13</v>
      </c>
      <c r="W43" s="54">
        <v>15</v>
      </c>
      <c r="X43" s="54">
        <v>8</v>
      </c>
      <c r="Y43" s="54">
        <v>9</v>
      </c>
      <c r="Z43" s="54">
        <v>6</v>
      </c>
      <c r="AA43" s="54">
        <v>13</v>
      </c>
      <c r="AB43" s="54">
        <v>10</v>
      </c>
      <c r="AC43" s="54">
        <v>10</v>
      </c>
      <c r="AD43" s="54">
        <v>10</v>
      </c>
      <c r="AE43" s="54">
        <v>12</v>
      </c>
      <c r="AF43" s="54"/>
      <c r="AG43" s="5">
        <f t="shared" si="2"/>
        <v>303</v>
      </c>
    </row>
    <row r="44" spans="1:33" ht="15.75" customHeight="1" x14ac:dyDescent="0.25">
      <c r="A44" s="56" t="s">
        <v>18</v>
      </c>
      <c r="B44" s="54">
        <v>6</v>
      </c>
      <c r="C44" s="54">
        <v>12</v>
      </c>
      <c r="D44" s="54">
        <v>10</v>
      </c>
      <c r="E44" s="54">
        <v>14</v>
      </c>
      <c r="F44" s="54">
        <v>7</v>
      </c>
      <c r="G44" s="54">
        <v>11</v>
      </c>
      <c r="H44" s="54">
        <v>11</v>
      </c>
      <c r="I44" s="54">
        <v>6</v>
      </c>
      <c r="J44" s="54">
        <v>8</v>
      </c>
      <c r="K44" s="54">
        <v>8</v>
      </c>
      <c r="L44" s="54">
        <v>8</v>
      </c>
      <c r="M44" s="54">
        <v>6</v>
      </c>
      <c r="N44" s="54">
        <v>6</v>
      </c>
      <c r="O44" s="54">
        <v>9</v>
      </c>
      <c r="P44" s="54">
        <v>12</v>
      </c>
      <c r="Q44" s="54">
        <v>12</v>
      </c>
      <c r="R44" s="54">
        <v>11</v>
      </c>
      <c r="S44" s="54">
        <v>10</v>
      </c>
      <c r="T44" s="54">
        <v>4</v>
      </c>
      <c r="U44" s="54">
        <v>5</v>
      </c>
      <c r="V44" s="54">
        <v>15</v>
      </c>
      <c r="W44" s="54">
        <v>15</v>
      </c>
      <c r="X44" s="54">
        <v>8</v>
      </c>
      <c r="Y44" s="54">
        <v>10</v>
      </c>
      <c r="Z44" s="54">
        <v>5</v>
      </c>
      <c r="AA44" s="54">
        <v>12</v>
      </c>
      <c r="AB44" s="54">
        <v>7</v>
      </c>
      <c r="AC44" s="54">
        <v>7</v>
      </c>
      <c r="AD44" s="54">
        <v>3</v>
      </c>
      <c r="AE44" s="54">
        <v>19</v>
      </c>
      <c r="AF44" s="54"/>
      <c r="AG44" s="5">
        <f t="shared" si="2"/>
        <v>277</v>
      </c>
    </row>
    <row r="45" spans="1:33" ht="15.75" customHeight="1" x14ac:dyDescent="0.25">
      <c r="A45" s="56" t="s">
        <v>19</v>
      </c>
      <c r="B45" s="54">
        <v>8</v>
      </c>
      <c r="C45" s="54">
        <v>6</v>
      </c>
      <c r="D45" s="54">
        <v>11</v>
      </c>
      <c r="E45" s="54">
        <v>9</v>
      </c>
      <c r="F45" s="54">
        <v>15</v>
      </c>
      <c r="G45" s="54">
        <v>6</v>
      </c>
      <c r="H45" s="54">
        <v>7</v>
      </c>
      <c r="I45" s="54">
        <v>12</v>
      </c>
      <c r="J45" s="54">
        <v>2</v>
      </c>
      <c r="K45" s="54">
        <v>12</v>
      </c>
      <c r="L45" s="54">
        <v>12</v>
      </c>
      <c r="M45" s="54">
        <v>10</v>
      </c>
      <c r="N45" s="54">
        <v>5</v>
      </c>
      <c r="O45" s="54">
        <v>3</v>
      </c>
      <c r="P45" s="54">
        <v>10</v>
      </c>
      <c r="Q45" s="54">
        <v>15</v>
      </c>
      <c r="R45" s="54">
        <v>7</v>
      </c>
      <c r="S45" s="54">
        <v>9</v>
      </c>
      <c r="T45" s="54">
        <v>3</v>
      </c>
      <c r="U45" s="54">
        <v>5</v>
      </c>
      <c r="V45" s="54">
        <v>3</v>
      </c>
      <c r="W45" s="54">
        <v>7</v>
      </c>
      <c r="X45" s="54">
        <v>13</v>
      </c>
      <c r="Y45" s="54">
        <v>6</v>
      </c>
      <c r="Z45" s="54">
        <v>2</v>
      </c>
      <c r="AA45" s="54">
        <v>9</v>
      </c>
      <c r="AB45" s="54">
        <v>5</v>
      </c>
      <c r="AC45" s="54">
        <v>5</v>
      </c>
      <c r="AD45" s="54">
        <v>7</v>
      </c>
      <c r="AE45" s="54">
        <v>4</v>
      </c>
      <c r="AF45" s="54"/>
      <c r="AG45" s="5">
        <f t="shared" si="2"/>
        <v>228</v>
      </c>
    </row>
    <row r="46" spans="1:33" ht="15.75" customHeight="1" x14ac:dyDescent="0.25">
      <c r="A46" s="56" t="s">
        <v>20</v>
      </c>
      <c r="B46" s="54">
        <v>3</v>
      </c>
      <c r="C46" s="54">
        <v>10</v>
      </c>
      <c r="D46" s="54">
        <v>16</v>
      </c>
      <c r="E46" s="54">
        <v>0</v>
      </c>
      <c r="F46" s="54">
        <v>8</v>
      </c>
      <c r="G46" s="54">
        <v>2</v>
      </c>
      <c r="H46" s="54">
        <v>4</v>
      </c>
      <c r="I46" s="54">
        <v>11</v>
      </c>
      <c r="J46" s="54">
        <v>0</v>
      </c>
      <c r="K46" s="54">
        <v>3</v>
      </c>
      <c r="L46" s="54">
        <v>8</v>
      </c>
      <c r="M46" s="54">
        <v>8</v>
      </c>
      <c r="N46" s="54">
        <v>0</v>
      </c>
      <c r="O46" s="54">
        <v>4</v>
      </c>
      <c r="P46" s="54">
        <v>12</v>
      </c>
      <c r="Q46" s="54">
        <v>14</v>
      </c>
      <c r="R46" s="54">
        <v>12</v>
      </c>
      <c r="S46" s="54">
        <v>3</v>
      </c>
      <c r="T46" s="54">
        <v>2</v>
      </c>
      <c r="U46" s="54">
        <v>3</v>
      </c>
      <c r="V46" s="54">
        <v>11</v>
      </c>
      <c r="W46" s="54">
        <v>13</v>
      </c>
      <c r="X46" s="54">
        <v>8</v>
      </c>
      <c r="Y46" s="54">
        <v>12</v>
      </c>
      <c r="Z46" s="54">
        <v>0</v>
      </c>
      <c r="AA46" s="54">
        <v>10</v>
      </c>
      <c r="AB46" s="54">
        <v>3</v>
      </c>
      <c r="AC46" s="54">
        <v>3</v>
      </c>
      <c r="AD46" s="54">
        <v>5</v>
      </c>
      <c r="AE46" s="54">
        <v>4</v>
      </c>
      <c r="AF46" s="54"/>
      <c r="AG46" s="5">
        <f t="shared" si="2"/>
        <v>192</v>
      </c>
    </row>
    <row r="47" spans="1:33" ht="15.75" customHeight="1" x14ac:dyDescent="0.25">
      <c r="A47" s="56" t="s">
        <v>21</v>
      </c>
      <c r="B47" s="54">
        <v>2</v>
      </c>
      <c r="C47" s="54">
        <v>0</v>
      </c>
      <c r="D47" s="54">
        <v>1</v>
      </c>
      <c r="E47" s="54">
        <v>5</v>
      </c>
      <c r="F47" s="54">
        <v>2</v>
      </c>
      <c r="G47" s="54">
        <v>3</v>
      </c>
      <c r="H47" s="54">
        <v>1</v>
      </c>
      <c r="I47" s="54">
        <v>11</v>
      </c>
      <c r="J47" s="54">
        <v>3</v>
      </c>
      <c r="K47" s="54">
        <v>2</v>
      </c>
      <c r="L47" s="54">
        <v>11</v>
      </c>
      <c r="M47" s="54">
        <v>5</v>
      </c>
      <c r="N47" s="54">
        <v>5</v>
      </c>
      <c r="O47" s="54">
        <v>1</v>
      </c>
      <c r="P47" s="54">
        <v>13</v>
      </c>
      <c r="Q47" s="54">
        <v>1</v>
      </c>
      <c r="R47" s="54">
        <v>9</v>
      </c>
      <c r="S47" s="54">
        <v>7</v>
      </c>
      <c r="T47" s="54">
        <v>5</v>
      </c>
      <c r="U47" s="54">
        <v>2</v>
      </c>
      <c r="V47" s="54">
        <v>2</v>
      </c>
      <c r="W47" s="54">
        <v>5</v>
      </c>
      <c r="X47" s="54">
        <v>15</v>
      </c>
      <c r="Y47" s="54">
        <v>11</v>
      </c>
      <c r="Z47" s="54">
        <v>2</v>
      </c>
      <c r="AA47" s="54">
        <v>4</v>
      </c>
      <c r="AB47" s="54">
        <v>5</v>
      </c>
      <c r="AC47" s="54">
        <v>5</v>
      </c>
      <c r="AD47" s="54">
        <v>0</v>
      </c>
      <c r="AE47" s="54">
        <v>1</v>
      </c>
      <c r="AF47" s="54"/>
      <c r="AG47" s="5">
        <f t="shared" si="2"/>
        <v>139</v>
      </c>
    </row>
    <row r="48" spans="1:33" ht="15.75" customHeight="1" x14ac:dyDescent="0.25">
      <c r="A48" s="56" t="s">
        <v>22</v>
      </c>
      <c r="B48" s="54">
        <v>2</v>
      </c>
      <c r="C48" s="54">
        <v>0</v>
      </c>
      <c r="D48" s="54">
        <v>3</v>
      </c>
      <c r="E48" s="54">
        <v>2</v>
      </c>
      <c r="F48" s="54">
        <v>3</v>
      </c>
      <c r="G48" s="54">
        <v>3</v>
      </c>
      <c r="H48" s="54">
        <v>2</v>
      </c>
      <c r="I48" s="54">
        <v>1</v>
      </c>
      <c r="J48" s="54">
        <v>1</v>
      </c>
      <c r="K48" s="54">
        <v>3</v>
      </c>
      <c r="L48" s="54">
        <v>2</v>
      </c>
      <c r="M48" s="54">
        <v>6</v>
      </c>
      <c r="N48" s="54">
        <v>1</v>
      </c>
      <c r="O48" s="54">
        <v>3</v>
      </c>
      <c r="P48" s="54">
        <v>1</v>
      </c>
      <c r="Q48" s="54">
        <v>4</v>
      </c>
      <c r="R48" s="54">
        <v>6</v>
      </c>
      <c r="S48" s="54">
        <v>6</v>
      </c>
      <c r="T48" s="54">
        <v>0</v>
      </c>
      <c r="U48" s="54">
        <v>4</v>
      </c>
      <c r="V48" s="54">
        <v>3</v>
      </c>
      <c r="W48" s="54">
        <v>3</v>
      </c>
      <c r="X48" s="54">
        <v>3</v>
      </c>
      <c r="Y48" s="54">
        <v>4</v>
      </c>
      <c r="Z48" s="54">
        <v>3</v>
      </c>
      <c r="AA48" s="54">
        <v>0</v>
      </c>
      <c r="AB48" s="54">
        <v>0</v>
      </c>
      <c r="AC48" s="54">
        <v>0</v>
      </c>
      <c r="AD48" s="54">
        <v>0</v>
      </c>
      <c r="AE48" s="54">
        <v>2</v>
      </c>
      <c r="AF48" s="54"/>
      <c r="AG48" s="5">
        <f t="shared" si="2"/>
        <v>71</v>
      </c>
    </row>
    <row r="49" spans="1:33" ht="15.75" customHeight="1" x14ac:dyDescent="0.25">
      <c r="A49" s="56" t="s">
        <v>23</v>
      </c>
      <c r="B49" s="54">
        <v>3</v>
      </c>
      <c r="C49" s="54">
        <v>1</v>
      </c>
      <c r="D49" s="54">
        <v>1</v>
      </c>
      <c r="E49" s="54">
        <v>2</v>
      </c>
      <c r="F49" s="54">
        <v>0</v>
      </c>
      <c r="G49" s="54">
        <v>0</v>
      </c>
      <c r="H49" s="54">
        <v>0</v>
      </c>
      <c r="I49" s="54">
        <v>2</v>
      </c>
      <c r="J49" s="54">
        <v>0</v>
      </c>
      <c r="K49" s="54">
        <v>2</v>
      </c>
      <c r="L49" s="54">
        <v>3</v>
      </c>
      <c r="M49" s="54">
        <v>1</v>
      </c>
      <c r="N49" s="54">
        <v>4</v>
      </c>
      <c r="O49" s="54">
        <v>2</v>
      </c>
      <c r="P49" s="54">
        <v>1</v>
      </c>
      <c r="Q49" s="54">
        <v>0</v>
      </c>
      <c r="R49" s="54">
        <v>2</v>
      </c>
      <c r="S49" s="54">
        <v>5</v>
      </c>
      <c r="T49" s="54">
        <v>1</v>
      </c>
      <c r="U49" s="54">
        <v>0</v>
      </c>
      <c r="V49" s="54">
        <v>5</v>
      </c>
      <c r="W49" s="54">
        <v>0</v>
      </c>
      <c r="X49" s="54">
        <v>1</v>
      </c>
      <c r="Y49" s="54">
        <v>2</v>
      </c>
      <c r="Z49" s="54">
        <v>4</v>
      </c>
      <c r="AA49" s="54">
        <v>0</v>
      </c>
      <c r="AB49" s="54">
        <v>2</v>
      </c>
      <c r="AC49" s="54">
        <v>2</v>
      </c>
      <c r="AD49" s="54">
        <v>0</v>
      </c>
      <c r="AE49" s="54">
        <v>2</v>
      </c>
      <c r="AF49" s="54"/>
      <c r="AG49" s="5">
        <f t="shared" si="2"/>
        <v>48</v>
      </c>
    </row>
    <row r="50" spans="1:33" ht="15.75" customHeight="1" x14ac:dyDescent="0.25">
      <c r="A50" s="56" t="s">
        <v>24</v>
      </c>
      <c r="B50" s="54">
        <v>0</v>
      </c>
      <c r="C50" s="54">
        <v>0</v>
      </c>
      <c r="D50" s="54">
        <v>0</v>
      </c>
      <c r="E50" s="54">
        <v>0</v>
      </c>
      <c r="F50" s="54">
        <v>1</v>
      </c>
      <c r="G50" s="54">
        <v>1</v>
      </c>
      <c r="H50" s="54">
        <v>1</v>
      </c>
      <c r="I50" s="54">
        <v>0</v>
      </c>
      <c r="J50" s="54">
        <v>3</v>
      </c>
      <c r="K50" s="54">
        <v>0</v>
      </c>
      <c r="L50" s="54">
        <v>2</v>
      </c>
      <c r="M50" s="54">
        <v>2</v>
      </c>
      <c r="N50" s="54">
        <v>0</v>
      </c>
      <c r="O50" s="54">
        <v>3</v>
      </c>
      <c r="P50" s="54">
        <v>1</v>
      </c>
      <c r="Q50" s="54">
        <v>0</v>
      </c>
      <c r="R50" s="54">
        <v>0</v>
      </c>
      <c r="S50" s="54">
        <v>3</v>
      </c>
      <c r="T50" s="54">
        <v>1</v>
      </c>
      <c r="U50" s="54">
        <v>2</v>
      </c>
      <c r="V50" s="54">
        <v>2</v>
      </c>
      <c r="W50" s="54">
        <v>4</v>
      </c>
      <c r="X50" s="54">
        <v>0</v>
      </c>
      <c r="Y50" s="54">
        <v>0</v>
      </c>
      <c r="Z50" s="54">
        <v>1</v>
      </c>
      <c r="AA50" s="54">
        <v>1</v>
      </c>
      <c r="AB50" s="54">
        <v>1</v>
      </c>
      <c r="AC50" s="54">
        <v>1</v>
      </c>
      <c r="AD50" s="54">
        <v>2</v>
      </c>
      <c r="AE50" s="54">
        <v>0</v>
      </c>
      <c r="AF50" s="54"/>
      <c r="AG50" s="5">
        <f t="shared" si="2"/>
        <v>32</v>
      </c>
    </row>
    <row r="51" spans="1:33" ht="15.75" customHeight="1" x14ac:dyDescent="0.25">
      <c r="A51" s="56" t="s">
        <v>25</v>
      </c>
      <c r="B51" s="54">
        <v>1</v>
      </c>
      <c r="C51" s="54">
        <v>0</v>
      </c>
      <c r="D51" s="54">
        <v>0</v>
      </c>
      <c r="E51" s="54">
        <v>1</v>
      </c>
      <c r="F51" s="54">
        <v>0</v>
      </c>
      <c r="G51" s="54">
        <v>0</v>
      </c>
      <c r="H51" s="54">
        <v>0</v>
      </c>
      <c r="I51" s="54">
        <v>0</v>
      </c>
      <c r="J51" s="54">
        <v>1</v>
      </c>
      <c r="K51" s="54">
        <v>3</v>
      </c>
      <c r="L51" s="54">
        <v>0</v>
      </c>
      <c r="M51" s="54">
        <v>0</v>
      </c>
      <c r="N51" s="54">
        <v>1</v>
      </c>
      <c r="O51" s="54">
        <v>0</v>
      </c>
      <c r="P51" s="54">
        <v>1</v>
      </c>
      <c r="Q51" s="54">
        <v>2</v>
      </c>
      <c r="R51" s="54">
        <v>1</v>
      </c>
      <c r="S51" s="54">
        <v>2</v>
      </c>
      <c r="T51" s="54">
        <v>2</v>
      </c>
      <c r="U51" s="54">
        <v>0</v>
      </c>
      <c r="V51" s="54">
        <v>1</v>
      </c>
      <c r="W51" s="54">
        <v>1</v>
      </c>
      <c r="X51" s="54">
        <v>2</v>
      </c>
      <c r="Y51" s="54">
        <v>2</v>
      </c>
      <c r="Z51" s="54">
        <v>1</v>
      </c>
      <c r="AA51" s="54">
        <v>0</v>
      </c>
      <c r="AB51" s="54">
        <v>1</v>
      </c>
      <c r="AC51" s="54">
        <v>1</v>
      </c>
      <c r="AD51" s="54">
        <v>1</v>
      </c>
      <c r="AE51" s="54">
        <v>0</v>
      </c>
      <c r="AF51" s="54"/>
      <c r="AG51" s="5">
        <f t="shared" si="2"/>
        <v>25</v>
      </c>
    </row>
    <row r="52" spans="1:33" ht="15.75" customHeight="1" thickBot="1" x14ac:dyDescent="0.3">
      <c r="A52" s="57" t="s">
        <v>26</v>
      </c>
      <c r="B52" s="58">
        <v>0</v>
      </c>
      <c r="C52" s="58">
        <v>0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0</v>
      </c>
      <c r="M52" s="58">
        <v>0</v>
      </c>
      <c r="N52" s="58">
        <v>1</v>
      </c>
      <c r="O52" s="58">
        <v>0</v>
      </c>
      <c r="P52" s="58">
        <v>1</v>
      </c>
      <c r="Q52" s="58">
        <v>0</v>
      </c>
      <c r="R52" s="58">
        <v>0</v>
      </c>
      <c r="S52" s="58">
        <v>1</v>
      </c>
      <c r="T52" s="58">
        <v>0</v>
      </c>
      <c r="U52" s="58">
        <v>4</v>
      </c>
      <c r="V52" s="58">
        <v>1</v>
      </c>
      <c r="W52" s="58">
        <v>0</v>
      </c>
      <c r="X52" s="58">
        <v>0</v>
      </c>
      <c r="Y52" s="58">
        <v>2</v>
      </c>
      <c r="Z52" s="58">
        <v>0</v>
      </c>
      <c r="AA52" s="58">
        <v>2</v>
      </c>
      <c r="AB52" s="58">
        <v>1</v>
      </c>
      <c r="AC52" s="58">
        <v>1</v>
      </c>
      <c r="AD52" s="60">
        <v>3</v>
      </c>
      <c r="AE52" s="60">
        <v>2</v>
      </c>
      <c r="AF52" s="60"/>
      <c r="AG52" s="9">
        <f t="shared" si="2"/>
        <v>19</v>
      </c>
    </row>
    <row r="53" spans="1:33" ht="15.75" customHeight="1" thickBot="1" x14ac:dyDescent="0.3">
      <c r="A53" s="52" t="s">
        <v>28</v>
      </c>
      <c r="B53" s="1">
        <f t="shared" ref="B53:AF53" si="4">SUM(B54:B77)</f>
        <v>4</v>
      </c>
      <c r="C53" s="1">
        <f t="shared" si="4"/>
        <v>4</v>
      </c>
      <c r="D53" s="1">
        <f t="shared" si="4"/>
        <v>7</v>
      </c>
      <c r="E53" s="1">
        <f t="shared" si="4"/>
        <v>7</v>
      </c>
      <c r="F53" s="1">
        <f t="shared" si="4"/>
        <v>15</v>
      </c>
      <c r="G53" s="1">
        <f t="shared" si="4"/>
        <v>5</v>
      </c>
      <c r="H53" s="1">
        <f t="shared" si="4"/>
        <v>7</v>
      </c>
      <c r="I53" s="1">
        <f t="shared" si="4"/>
        <v>25</v>
      </c>
      <c r="J53" s="1">
        <f t="shared" si="4"/>
        <v>6</v>
      </c>
      <c r="K53" s="1">
        <f t="shared" si="4"/>
        <v>15</v>
      </c>
      <c r="L53" s="1">
        <f t="shared" si="4"/>
        <v>30</v>
      </c>
      <c r="M53" s="1">
        <f t="shared" si="4"/>
        <v>12</v>
      </c>
      <c r="N53" s="1">
        <f t="shared" si="4"/>
        <v>5</v>
      </c>
      <c r="O53" s="1">
        <f t="shared" si="4"/>
        <v>17</v>
      </c>
      <c r="P53" s="1">
        <f t="shared" si="4"/>
        <v>39</v>
      </c>
      <c r="Q53" s="1">
        <f t="shared" si="4"/>
        <v>18</v>
      </c>
      <c r="R53" s="1">
        <f t="shared" si="4"/>
        <v>16</v>
      </c>
      <c r="S53" s="1">
        <f t="shared" si="4"/>
        <v>22</v>
      </c>
      <c r="T53" s="1">
        <f t="shared" si="4"/>
        <v>6</v>
      </c>
      <c r="U53" s="1">
        <f t="shared" si="4"/>
        <v>6</v>
      </c>
      <c r="V53" s="1">
        <f t="shared" si="4"/>
        <v>21</v>
      </c>
      <c r="W53" s="1">
        <f t="shared" si="4"/>
        <v>14</v>
      </c>
      <c r="X53" s="1">
        <f t="shared" si="4"/>
        <v>27</v>
      </c>
      <c r="Y53" s="1">
        <f t="shared" si="4"/>
        <v>33</v>
      </c>
      <c r="Z53" s="1">
        <f t="shared" si="4"/>
        <v>4</v>
      </c>
      <c r="AA53" s="1">
        <f t="shared" si="4"/>
        <v>15</v>
      </c>
      <c r="AB53" s="1">
        <f t="shared" si="4"/>
        <v>6</v>
      </c>
      <c r="AC53" s="1">
        <f t="shared" si="4"/>
        <v>6</v>
      </c>
      <c r="AD53" s="1">
        <f t="shared" si="4"/>
        <v>5</v>
      </c>
      <c r="AE53" s="1">
        <f t="shared" si="4"/>
        <v>5</v>
      </c>
      <c r="AF53" s="1">
        <f t="shared" si="4"/>
        <v>0</v>
      </c>
      <c r="AG53" s="10">
        <f t="shared" si="2"/>
        <v>402</v>
      </c>
    </row>
    <row r="54" spans="1:33" ht="15.75" customHeight="1" x14ac:dyDescent="0.25">
      <c r="A54" s="56" t="s">
        <v>3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/>
      <c r="AG54" s="4">
        <f t="shared" si="2"/>
        <v>0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1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/>
      <c r="AG55" s="5">
        <f t="shared" si="2"/>
        <v>1</v>
      </c>
    </row>
    <row r="56" spans="1:33" ht="15.75" customHeight="1" x14ac:dyDescent="0.25">
      <c r="A56" s="56" t="s">
        <v>5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/>
      <c r="AG56" s="5">
        <f t="shared" si="2"/>
        <v>0</v>
      </c>
    </row>
    <row r="57" spans="1:33" ht="15.75" customHeight="1" x14ac:dyDescent="0.25">
      <c r="A57" s="56" t="s">
        <v>6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1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/>
      <c r="AG57" s="5">
        <f t="shared" si="2"/>
        <v>1</v>
      </c>
    </row>
    <row r="58" spans="1:33" ht="15.75" customHeight="1" x14ac:dyDescent="0.25">
      <c r="A58" s="56" t="s">
        <v>7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1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1</v>
      </c>
      <c r="AC58" s="54">
        <v>1</v>
      </c>
      <c r="AD58" s="54">
        <v>0</v>
      </c>
      <c r="AE58" s="54">
        <v>0</v>
      </c>
      <c r="AF58" s="54"/>
      <c r="AG58" s="5">
        <f t="shared" si="2"/>
        <v>3</v>
      </c>
    </row>
    <row r="59" spans="1:33" ht="15.75" customHeight="1" x14ac:dyDescent="0.25">
      <c r="A59" s="56" t="s">
        <v>8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2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1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/>
      <c r="AG59" s="5">
        <f t="shared" si="2"/>
        <v>3</v>
      </c>
    </row>
    <row r="60" spans="1:33" ht="15.75" customHeight="1" x14ac:dyDescent="0.25">
      <c r="A60" s="56" t="s">
        <v>9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1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1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2</v>
      </c>
      <c r="V60" s="54">
        <v>3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2</v>
      </c>
      <c r="AC60" s="54">
        <v>2</v>
      </c>
      <c r="AD60" s="54">
        <v>0</v>
      </c>
      <c r="AE60" s="54">
        <v>0</v>
      </c>
      <c r="AF60" s="54"/>
      <c r="AG60" s="5">
        <f t="shared" si="2"/>
        <v>11</v>
      </c>
    </row>
    <row r="61" spans="1:33" ht="15.75" customHeight="1" x14ac:dyDescent="0.25">
      <c r="A61" s="56" t="s">
        <v>10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1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54"/>
      <c r="AG61" s="5">
        <f t="shared" si="2"/>
        <v>1</v>
      </c>
    </row>
    <row r="62" spans="1:33" ht="15.75" customHeight="1" x14ac:dyDescent="0.25">
      <c r="A62" s="56" t="s">
        <v>11</v>
      </c>
      <c r="B62" s="54">
        <v>0</v>
      </c>
      <c r="C62" s="54">
        <v>0</v>
      </c>
      <c r="D62" s="54">
        <v>0</v>
      </c>
      <c r="E62" s="54">
        <v>0</v>
      </c>
      <c r="F62" s="54">
        <v>4</v>
      </c>
      <c r="G62" s="54">
        <v>1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3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1</v>
      </c>
      <c r="V62" s="54">
        <v>3</v>
      </c>
      <c r="W62" s="54">
        <v>0</v>
      </c>
      <c r="X62" s="54">
        <v>0</v>
      </c>
      <c r="Y62" s="54">
        <v>0</v>
      </c>
      <c r="Z62" s="54">
        <v>0</v>
      </c>
      <c r="AA62" s="54">
        <v>1</v>
      </c>
      <c r="AB62" s="54">
        <v>1</v>
      </c>
      <c r="AC62" s="54">
        <v>1</v>
      </c>
      <c r="AD62" s="54">
        <v>0</v>
      </c>
      <c r="AE62" s="54">
        <v>0</v>
      </c>
      <c r="AF62" s="54"/>
      <c r="AG62" s="5">
        <f t="shared" si="2"/>
        <v>15</v>
      </c>
    </row>
    <row r="63" spans="1:33" ht="15.75" customHeight="1" x14ac:dyDescent="0.25">
      <c r="A63" s="56" t="s">
        <v>12</v>
      </c>
      <c r="B63" s="54">
        <v>0</v>
      </c>
      <c r="C63" s="54">
        <v>0</v>
      </c>
      <c r="D63" s="54">
        <v>0</v>
      </c>
      <c r="E63" s="54">
        <v>0</v>
      </c>
      <c r="F63" s="54">
        <v>0</v>
      </c>
      <c r="G63" s="54">
        <v>0</v>
      </c>
      <c r="H63" s="54">
        <v>0</v>
      </c>
      <c r="I63" s="54">
        <v>2</v>
      </c>
      <c r="J63" s="54">
        <v>0</v>
      </c>
      <c r="K63" s="54">
        <v>0</v>
      </c>
      <c r="L63" s="54">
        <v>0</v>
      </c>
      <c r="M63" s="54">
        <v>0</v>
      </c>
      <c r="N63" s="54">
        <v>0</v>
      </c>
      <c r="O63" s="54">
        <v>3</v>
      </c>
      <c r="P63" s="54">
        <v>0</v>
      </c>
      <c r="Q63" s="54">
        <v>0</v>
      </c>
      <c r="R63" s="54">
        <v>0</v>
      </c>
      <c r="S63" s="54">
        <v>0</v>
      </c>
      <c r="T63" s="54">
        <v>2</v>
      </c>
      <c r="U63" s="54">
        <v>0</v>
      </c>
      <c r="V63" s="54">
        <v>3</v>
      </c>
      <c r="W63" s="54">
        <v>0</v>
      </c>
      <c r="X63" s="54">
        <v>0</v>
      </c>
      <c r="Y63" s="54">
        <v>0</v>
      </c>
      <c r="Z63" s="54">
        <v>0</v>
      </c>
      <c r="AA63" s="54">
        <v>0</v>
      </c>
      <c r="AB63" s="54">
        <v>1</v>
      </c>
      <c r="AC63" s="54">
        <v>1</v>
      </c>
      <c r="AD63" s="54">
        <v>1</v>
      </c>
      <c r="AE63" s="54">
        <v>0</v>
      </c>
      <c r="AF63" s="54"/>
      <c r="AG63" s="5">
        <f t="shared" si="2"/>
        <v>13</v>
      </c>
    </row>
    <row r="64" spans="1:33" ht="15.75" customHeight="1" x14ac:dyDescent="0.25">
      <c r="A64" s="56" t="s">
        <v>13</v>
      </c>
      <c r="B64" s="54">
        <v>0</v>
      </c>
      <c r="C64" s="54">
        <v>0</v>
      </c>
      <c r="D64" s="54">
        <v>0</v>
      </c>
      <c r="E64" s="54">
        <v>0</v>
      </c>
      <c r="F64" s="54">
        <v>0</v>
      </c>
      <c r="G64" s="54">
        <v>0</v>
      </c>
      <c r="H64" s="54">
        <v>0</v>
      </c>
      <c r="I64" s="54">
        <v>2</v>
      </c>
      <c r="J64" s="54">
        <v>0</v>
      </c>
      <c r="K64" s="54">
        <v>1</v>
      </c>
      <c r="L64" s="54">
        <v>1</v>
      </c>
      <c r="M64" s="54">
        <v>1</v>
      </c>
      <c r="N64" s="54">
        <v>1</v>
      </c>
      <c r="O64" s="54">
        <v>0</v>
      </c>
      <c r="P64" s="54">
        <v>0</v>
      </c>
      <c r="Q64" s="54">
        <v>0</v>
      </c>
      <c r="R64" s="54">
        <v>1</v>
      </c>
      <c r="S64" s="54">
        <v>1</v>
      </c>
      <c r="T64" s="54">
        <v>0</v>
      </c>
      <c r="U64" s="54">
        <v>0</v>
      </c>
      <c r="V64" s="54">
        <v>0</v>
      </c>
      <c r="W64" s="54">
        <v>1</v>
      </c>
      <c r="X64" s="54">
        <v>0</v>
      </c>
      <c r="Y64" s="54">
        <v>1</v>
      </c>
      <c r="Z64" s="54">
        <v>0</v>
      </c>
      <c r="AA64" s="54">
        <v>1</v>
      </c>
      <c r="AB64" s="54">
        <v>0</v>
      </c>
      <c r="AC64" s="54">
        <v>0</v>
      </c>
      <c r="AD64" s="54">
        <v>0</v>
      </c>
      <c r="AE64" s="54">
        <v>0</v>
      </c>
      <c r="AF64" s="54"/>
      <c r="AG64" s="5">
        <f t="shared" si="2"/>
        <v>11</v>
      </c>
    </row>
    <row r="65" spans="1:33" ht="15.75" customHeight="1" x14ac:dyDescent="0.25">
      <c r="A65" s="56" t="s">
        <v>14</v>
      </c>
      <c r="B65" s="54">
        <v>0</v>
      </c>
      <c r="C65" s="54">
        <v>1</v>
      </c>
      <c r="D65" s="54">
        <v>2</v>
      </c>
      <c r="E65" s="54">
        <v>1</v>
      </c>
      <c r="F65" s="54">
        <v>1</v>
      </c>
      <c r="G65" s="54">
        <v>0</v>
      </c>
      <c r="H65" s="54">
        <v>4</v>
      </c>
      <c r="I65" s="54">
        <v>2</v>
      </c>
      <c r="J65" s="54">
        <v>0</v>
      </c>
      <c r="K65" s="54">
        <v>1</v>
      </c>
      <c r="L65" s="54">
        <v>1</v>
      </c>
      <c r="M65" s="54">
        <v>0</v>
      </c>
      <c r="N65" s="54">
        <v>0</v>
      </c>
      <c r="O65" s="54">
        <v>2</v>
      </c>
      <c r="P65" s="54">
        <v>1</v>
      </c>
      <c r="Q65" s="54">
        <v>0</v>
      </c>
      <c r="R65" s="54">
        <v>1</v>
      </c>
      <c r="S65" s="54">
        <v>1</v>
      </c>
      <c r="T65" s="54">
        <v>3</v>
      </c>
      <c r="U65" s="54">
        <v>1</v>
      </c>
      <c r="V65" s="54">
        <v>4</v>
      </c>
      <c r="W65" s="54">
        <v>0</v>
      </c>
      <c r="X65" s="54">
        <v>1</v>
      </c>
      <c r="Y65" s="54">
        <v>0</v>
      </c>
      <c r="Z65" s="54">
        <v>0</v>
      </c>
      <c r="AA65" s="54">
        <v>3</v>
      </c>
      <c r="AB65" s="54">
        <v>1</v>
      </c>
      <c r="AC65" s="54">
        <v>1</v>
      </c>
      <c r="AD65" s="54">
        <v>0</v>
      </c>
      <c r="AE65" s="54">
        <v>0</v>
      </c>
      <c r="AF65" s="54"/>
      <c r="AG65" s="5">
        <f t="shared" si="2"/>
        <v>32</v>
      </c>
    </row>
    <row r="66" spans="1:33" ht="15.75" customHeight="1" x14ac:dyDescent="0.25">
      <c r="A66" s="56" t="s">
        <v>15</v>
      </c>
      <c r="B66" s="54">
        <v>2</v>
      </c>
      <c r="C66" s="54">
        <v>2</v>
      </c>
      <c r="D66" s="54">
        <v>1</v>
      </c>
      <c r="E66" s="54">
        <v>0</v>
      </c>
      <c r="F66" s="54">
        <v>2</v>
      </c>
      <c r="G66" s="54">
        <v>1</v>
      </c>
      <c r="H66" s="54">
        <v>0</v>
      </c>
      <c r="I66" s="54">
        <v>0</v>
      </c>
      <c r="J66" s="54">
        <v>3</v>
      </c>
      <c r="K66" s="54">
        <v>0</v>
      </c>
      <c r="L66" s="54">
        <v>5</v>
      </c>
      <c r="M66" s="54">
        <v>0</v>
      </c>
      <c r="N66" s="54">
        <v>0</v>
      </c>
      <c r="O66" s="54">
        <v>5</v>
      </c>
      <c r="P66" s="54">
        <v>8</v>
      </c>
      <c r="Q66" s="54">
        <v>3</v>
      </c>
      <c r="R66" s="54">
        <v>2</v>
      </c>
      <c r="S66" s="54">
        <v>3</v>
      </c>
      <c r="T66" s="54">
        <v>0</v>
      </c>
      <c r="U66" s="54">
        <v>2</v>
      </c>
      <c r="V66" s="54">
        <v>1</v>
      </c>
      <c r="W66" s="54">
        <v>4</v>
      </c>
      <c r="X66" s="54">
        <v>7</v>
      </c>
      <c r="Y66" s="54">
        <v>0</v>
      </c>
      <c r="Z66" s="54">
        <v>3</v>
      </c>
      <c r="AA66" s="54">
        <v>2</v>
      </c>
      <c r="AB66" s="54">
        <v>0</v>
      </c>
      <c r="AC66" s="54">
        <v>0</v>
      </c>
      <c r="AD66" s="54">
        <v>1</v>
      </c>
      <c r="AE66" s="54">
        <v>0</v>
      </c>
      <c r="AF66" s="54"/>
      <c r="AG66" s="5">
        <f t="shared" si="2"/>
        <v>57</v>
      </c>
    </row>
    <row r="67" spans="1:33" ht="15.75" customHeight="1" x14ac:dyDescent="0.25">
      <c r="A67" s="56" t="s">
        <v>16</v>
      </c>
      <c r="B67" s="54">
        <v>1</v>
      </c>
      <c r="C67" s="54">
        <v>0</v>
      </c>
      <c r="D67" s="54">
        <v>1</v>
      </c>
      <c r="E67" s="54">
        <v>1</v>
      </c>
      <c r="F67" s="54">
        <v>0</v>
      </c>
      <c r="G67" s="54">
        <v>0</v>
      </c>
      <c r="H67" s="54">
        <v>0</v>
      </c>
      <c r="I67" s="54">
        <v>5</v>
      </c>
      <c r="J67" s="54">
        <v>0</v>
      </c>
      <c r="K67" s="54">
        <v>3</v>
      </c>
      <c r="L67" s="54">
        <v>1</v>
      </c>
      <c r="M67" s="54">
        <v>2</v>
      </c>
      <c r="N67" s="54">
        <v>0</v>
      </c>
      <c r="O67" s="54">
        <v>0</v>
      </c>
      <c r="P67" s="54">
        <v>7</v>
      </c>
      <c r="Q67" s="54">
        <v>7</v>
      </c>
      <c r="R67" s="54">
        <v>0</v>
      </c>
      <c r="S67" s="54">
        <v>6</v>
      </c>
      <c r="T67" s="54">
        <v>0</v>
      </c>
      <c r="U67" s="54">
        <v>0</v>
      </c>
      <c r="V67" s="54">
        <v>2</v>
      </c>
      <c r="W67" s="54">
        <v>3</v>
      </c>
      <c r="X67" s="54">
        <v>0</v>
      </c>
      <c r="Y67" s="54">
        <v>8</v>
      </c>
      <c r="Z67" s="54">
        <v>1</v>
      </c>
      <c r="AA67" s="54">
        <v>4</v>
      </c>
      <c r="AB67" s="54">
        <v>0</v>
      </c>
      <c r="AC67" s="54">
        <v>0</v>
      </c>
      <c r="AD67" s="54">
        <v>2</v>
      </c>
      <c r="AE67" s="54">
        <v>1</v>
      </c>
      <c r="AF67" s="54"/>
      <c r="AG67" s="5">
        <f t="shared" ref="AG67:AG98" si="5">SUM(B67:AF67)</f>
        <v>55</v>
      </c>
    </row>
    <row r="68" spans="1:33" ht="15.75" customHeight="1" x14ac:dyDescent="0.25">
      <c r="A68" s="56" t="s">
        <v>17</v>
      </c>
      <c r="B68" s="54">
        <v>0</v>
      </c>
      <c r="C68" s="54">
        <v>1</v>
      </c>
      <c r="D68" s="54">
        <v>0</v>
      </c>
      <c r="E68" s="54">
        <v>3</v>
      </c>
      <c r="F68" s="54">
        <v>2</v>
      </c>
      <c r="G68" s="54">
        <v>0</v>
      </c>
      <c r="H68" s="54">
        <v>0</v>
      </c>
      <c r="I68" s="54">
        <v>9</v>
      </c>
      <c r="J68" s="54">
        <v>3</v>
      </c>
      <c r="K68" s="54">
        <v>7</v>
      </c>
      <c r="L68" s="54">
        <v>1</v>
      </c>
      <c r="M68" s="54">
        <v>0</v>
      </c>
      <c r="N68" s="54">
        <v>0</v>
      </c>
      <c r="O68" s="54">
        <v>2</v>
      </c>
      <c r="P68" s="54">
        <v>5</v>
      </c>
      <c r="Q68" s="54">
        <v>1</v>
      </c>
      <c r="R68" s="54">
        <v>3</v>
      </c>
      <c r="S68" s="54">
        <v>1</v>
      </c>
      <c r="T68" s="54">
        <v>0</v>
      </c>
      <c r="U68" s="54">
        <v>0</v>
      </c>
      <c r="V68" s="54">
        <v>1</v>
      </c>
      <c r="W68" s="54">
        <v>4</v>
      </c>
      <c r="X68" s="54">
        <v>4</v>
      </c>
      <c r="Y68" s="54">
        <v>8</v>
      </c>
      <c r="Z68" s="54">
        <v>0</v>
      </c>
      <c r="AA68" s="54">
        <v>1</v>
      </c>
      <c r="AB68" s="54">
        <v>0</v>
      </c>
      <c r="AC68" s="54">
        <v>0</v>
      </c>
      <c r="AD68" s="54">
        <v>1</v>
      </c>
      <c r="AE68" s="54">
        <v>2</v>
      </c>
      <c r="AF68" s="54"/>
      <c r="AG68" s="5">
        <f t="shared" si="5"/>
        <v>59</v>
      </c>
    </row>
    <row r="69" spans="1:33" ht="15.75" customHeight="1" x14ac:dyDescent="0.25">
      <c r="A69" s="56" t="s">
        <v>18</v>
      </c>
      <c r="B69" s="54">
        <v>0</v>
      </c>
      <c r="C69" s="54">
        <v>0</v>
      </c>
      <c r="D69" s="54">
        <v>0</v>
      </c>
      <c r="E69" s="54">
        <v>2</v>
      </c>
      <c r="F69" s="54">
        <v>3</v>
      </c>
      <c r="G69" s="54">
        <v>0</v>
      </c>
      <c r="H69" s="54">
        <v>0</v>
      </c>
      <c r="I69" s="54">
        <v>0</v>
      </c>
      <c r="J69" s="54">
        <v>0</v>
      </c>
      <c r="K69" s="54">
        <v>2</v>
      </c>
      <c r="L69" s="54">
        <v>2</v>
      </c>
      <c r="M69" s="54">
        <v>1</v>
      </c>
      <c r="N69" s="54">
        <v>1</v>
      </c>
      <c r="O69" s="54">
        <v>0</v>
      </c>
      <c r="P69" s="54">
        <v>2</v>
      </c>
      <c r="Q69" s="54">
        <v>3</v>
      </c>
      <c r="R69" s="54">
        <v>3</v>
      </c>
      <c r="S69" s="54">
        <v>2</v>
      </c>
      <c r="T69" s="54">
        <v>0</v>
      </c>
      <c r="U69" s="54">
        <v>0</v>
      </c>
      <c r="V69" s="54">
        <v>1</v>
      </c>
      <c r="W69" s="54">
        <v>1</v>
      </c>
      <c r="X69" s="54">
        <v>2</v>
      </c>
      <c r="Y69" s="54">
        <v>7</v>
      </c>
      <c r="Z69" s="54">
        <v>0</v>
      </c>
      <c r="AA69" s="54">
        <v>0</v>
      </c>
      <c r="AB69" s="54">
        <v>0</v>
      </c>
      <c r="AC69" s="54">
        <v>0</v>
      </c>
      <c r="AD69" s="54">
        <v>0</v>
      </c>
      <c r="AE69" s="54">
        <v>2</v>
      </c>
      <c r="AF69" s="54"/>
      <c r="AG69" s="5">
        <f t="shared" si="5"/>
        <v>34</v>
      </c>
    </row>
    <row r="70" spans="1:33" ht="15.75" customHeight="1" x14ac:dyDescent="0.25">
      <c r="A70" s="56" t="s">
        <v>19</v>
      </c>
      <c r="B70" s="54">
        <v>1</v>
      </c>
      <c r="C70" s="54">
        <v>0</v>
      </c>
      <c r="D70" s="54">
        <v>1</v>
      </c>
      <c r="E70" s="54">
        <v>0</v>
      </c>
      <c r="F70" s="54">
        <v>0</v>
      </c>
      <c r="G70" s="54">
        <v>0</v>
      </c>
      <c r="H70" s="54">
        <v>0</v>
      </c>
      <c r="I70" s="54">
        <v>2</v>
      </c>
      <c r="J70" s="54">
        <v>0</v>
      </c>
      <c r="K70" s="54">
        <v>0</v>
      </c>
      <c r="L70" s="54">
        <v>9</v>
      </c>
      <c r="M70" s="54">
        <v>1</v>
      </c>
      <c r="N70" s="54">
        <v>0</v>
      </c>
      <c r="O70" s="54">
        <v>0</v>
      </c>
      <c r="P70" s="54">
        <v>5</v>
      </c>
      <c r="Q70" s="54">
        <v>1</v>
      </c>
      <c r="R70" s="54">
        <v>4</v>
      </c>
      <c r="S70" s="54">
        <v>1</v>
      </c>
      <c r="T70" s="54">
        <v>0</v>
      </c>
      <c r="U70" s="54">
        <v>0</v>
      </c>
      <c r="V70" s="54">
        <v>1</v>
      </c>
      <c r="W70" s="54">
        <v>0</v>
      </c>
      <c r="X70" s="54">
        <v>4</v>
      </c>
      <c r="Y70" s="54">
        <v>3</v>
      </c>
      <c r="Z70" s="54">
        <v>0</v>
      </c>
      <c r="AA70" s="54">
        <v>0</v>
      </c>
      <c r="AB70" s="54">
        <v>0</v>
      </c>
      <c r="AC70" s="54">
        <v>0</v>
      </c>
      <c r="AD70" s="55">
        <v>0</v>
      </c>
      <c r="AE70" s="55">
        <v>0</v>
      </c>
      <c r="AF70" s="55"/>
      <c r="AG70" s="5">
        <f t="shared" si="5"/>
        <v>33</v>
      </c>
    </row>
    <row r="71" spans="1:33" ht="15.75" customHeight="1" x14ac:dyDescent="0.25">
      <c r="A71" s="56" t="s">
        <v>20</v>
      </c>
      <c r="B71" s="54">
        <v>0</v>
      </c>
      <c r="C71" s="54">
        <v>0</v>
      </c>
      <c r="D71" s="54">
        <v>2</v>
      </c>
      <c r="E71" s="54">
        <v>0</v>
      </c>
      <c r="F71" s="54">
        <v>2</v>
      </c>
      <c r="G71" s="54">
        <v>0</v>
      </c>
      <c r="H71" s="54">
        <v>0</v>
      </c>
      <c r="I71" s="54">
        <v>3</v>
      </c>
      <c r="J71" s="54">
        <v>0</v>
      </c>
      <c r="K71" s="54">
        <v>0</v>
      </c>
      <c r="L71" s="54">
        <v>8</v>
      </c>
      <c r="M71" s="54">
        <v>2</v>
      </c>
      <c r="N71" s="54">
        <v>1</v>
      </c>
      <c r="O71" s="54">
        <v>0</v>
      </c>
      <c r="P71" s="54">
        <v>9</v>
      </c>
      <c r="Q71" s="54">
        <v>3</v>
      </c>
      <c r="R71" s="54">
        <v>0</v>
      </c>
      <c r="S71" s="54">
        <v>2</v>
      </c>
      <c r="T71" s="54">
        <v>0</v>
      </c>
      <c r="U71" s="54">
        <v>0</v>
      </c>
      <c r="V71" s="54">
        <v>0</v>
      </c>
      <c r="W71" s="54">
        <v>0</v>
      </c>
      <c r="X71" s="54">
        <v>6</v>
      </c>
      <c r="Y71" s="54">
        <v>6</v>
      </c>
      <c r="Z71" s="54">
        <v>0</v>
      </c>
      <c r="AA71" s="54">
        <v>0</v>
      </c>
      <c r="AB71" s="54">
        <v>0</v>
      </c>
      <c r="AC71" s="54">
        <v>0</v>
      </c>
      <c r="AD71" s="55">
        <v>0</v>
      </c>
      <c r="AE71" s="55">
        <v>0</v>
      </c>
      <c r="AF71" s="55"/>
      <c r="AG71" s="5">
        <f t="shared" si="5"/>
        <v>44</v>
      </c>
    </row>
    <row r="72" spans="1:33" ht="15.75" customHeight="1" x14ac:dyDescent="0.25">
      <c r="A72" s="56" t="s">
        <v>21</v>
      </c>
      <c r="B72" s="54">
        <v>0</v>
      </c>
      <c r="C72" s="54">
        <v>0</v>
      </c>
      <c r="D72" s="54">
        <v>0</v>
      </c>
      <c r="E72" s="54">
        <v>0</v>
      </c>
      <c r="F72" s="54">
        <v>0</v>
      </c>
      <c r="G72" s="54">
        <v>1</v>
      </c>
      <c r="H72" s="54">
        <v>0</v>
      </c>
      <c r="I72" s="54">
        <v>0</v>
      </c>
      <c r="J72" s="54">
        <v>0</v>
      </c>
      <c r="K72" s="54">
        <v>0</v>
      </c>
      <c r="L72" s="54">
        <v>2</v>
      </c>
      <c r="M72" s="54">
        <v>5</v>
      </c>
      <c r="N72" s="54">
        <v>1</v>
      </c>
      <c r="O72" s="54">
        <v>0</v>
      </c>
      <c r="P72" s="54">
        <v>2</v>
      </c>
      <c r="Q72" s="54">
        <v>0</v>
      </c>
      <c r="R72" s="54">
        <v>0</v>
      </c>
      <c r="S72" s="54">
        <v>4</v>
      </c>
      <c r="T72" s="54">
        <v>1</v>
      </c>
      <c r="U72" s="54">
        <v>0</v>
      </c>
      <c r="V72" s="54">
        <v>0</v>
      </c>
      <c r="W72" s="54">
        <v>0</v>
      </c>
      <c r="X72" s="54">
        <v>3</v>
      </c>
      <c r="Y72" s="54">
        <v>0</v>
      </c>
      <c r="Z72" s="54">
        <v>0</v>
      </c>
      <c r="AA72" s="54">
        <v>3</v>
      </c>
      <c r="AB72" s="54">
        <v>0</v>
      </c>
      <c r="AC72" s="54">
        <v>0</v>
      </c>
      <c r="AD72" s="55">
        <v>0</v>
      </c>
      <c r="AE72" s="55">
        <v>0</v>
      </c>
      <c r="AF72" s="55"/>
      <c r="AG72" s="5">
        <f t="shared" si="5"/>
        <v>22</v>
      </c>
    </row>
    <row r="73" spans="1:33" ht="15.75" customHeight="1" x14ac:dyDescent="0.25">
      <c r="A73" s="56" t="s">
        <v>22</v>
      </c>
      <c r="B73" s="54">
        <v>0</v>
      </c>
      <c r="C73" s="54">
        <v>0</v>
      </c>
      <c r="D73" s="54">
        <v>0</v>
      </c>
      <c r="E73" s="54">
        <v>0</v>
      </c>
      <c r="F73" s="54">
        <v>1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2</v>
      </c>
      <c r="S73" s="54">
        <v>1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/>
      <c r="AG73" s="5">
        <f t="shared" si="5"/>
        <v>4</v>
      </c>
    </row>
    <row r="74" spans="1:33" ht="15.75" customHeight="1" x14ac:dyDescent="0.25">
      <c r="A74" s="56" t="s">
        <v>23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1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/>
      <c r="AG74" s="5">
        <f t="shared" si="5"/>
        <v>1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1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1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/>
      <c r="AG75" s="5">
        <f t="shared" si="5"/>
        <v>2</v>
      </c>
    </row>
    <row r="76" spans="1:33" ht="15.75" customHeight="1" x14ac:dyDescent="0.25">
      <c r="A76" s="56" t="s">
        <v>25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/>
      <c r="AG76" s="5">
        <f t="shared" si="5"/>
        <v>0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/>
      <c r="AG77" s="9">
        <f t="shared" si="5"/>
        <v>0</v>
      </c>
    </row>
    <row r="78" spans="1:33" ht="19.5" customHeight="1" thickBot="1" x14ac:dyDescent="0.3">
      <c r="A78" s="63" t="s">
        <v>29</v>
      </c>
      <c r="B78" s="11">
        <f t="shared" ref="B78:AF78" si="6">SUM(B79:B80)</f>
        <v>140</v>
      </c>
      <c r="C78" s="11">
        <f t="shared" si="6"/>
        <v>119</v>
      </c>
      <c r="D78" s="11">
        <f t="shared" si="6"/>
        <v>149</v>
      </c>
      <c r="E78" s="11">
        <f t="shared" si="6"/>
        <v>127</v>
      </c>
      <c r="F78" s="11">
        <f t="shared" si="6"/>
        <v>145</v>
      </c>
      <c r="G78" s="11">
        <f t="shared" si="6"/>
        <v>183</v>
      </c>
      <c r="H78" s="11">
        <f t="shared" si="6"/>
        <v>205</v>
      </c>
      <c r="I78" s="11">
        <f t="shared" si="6"/>
        <v>156</v>
      </c>
      <c r="J78" s="11">
        <f t="shared" si="6"/>
        <v>114</v>
      </c>
      <c r="K78" s="11">
        <f t="shared" si="6"/>
        <v>133</v>
      </c>
      <c r="L78" s="11">
        <f t="shared" si="6"/>
        <v>159</v>
      </c>
      <c r="M78" s="11">
        <f t="shared" si="6"/>
        <v>125</v>
      </c>
      <c r="N78" s="11">
        <f t="shared" si="6"/>
        <v>197</v>
      </c>
      <c r="O78" s="11">
        <f t="shared" si="6"/>
        <v>202</v>
      </c>
      <c r="P78" s="11">
        <f t="shared" si="6"/>
        <v>185</v>
      </c>
      <c r="Q78" s="11">
        <f t="shared" si="6"/>
        <v>152</v>
      </c>
      <c r="R78" s="11">
        <f t="shared" si="6"/>
        <v>153</v>
      </c>
      <c r="S78" s="11">
        <f t="shared" si="6"/>
        <v>157</v>
      </c>
      <c r="T78" s="11">
        <f t="shared" si="6"/>
        <v>142</v>
      </c>
      <c r="U78" s="11">
        <f t="shared" si="6"/>
        <v>210</v>
      </c>
      <c r="V78" s="11">
        <f t="shared" si="6"/>
        <v>215</v>
      </c>
      <c r="W78" s="11">
        <f t="shared" si="6"/>
        <v>178</v>
      </c>
      <c r="X78" s="11">
        <f t="shared" si="6"/>
        <v>155</v>
      </c>
      <c r="Y78" s="11">
        <f t="shared" si="6"/>
        <v>170</v>
      </c>
      <c r="Z78" s="11">
        <f t="shared" si="6"/>
        <v>115</v>
      </c>
      <c r="AA78" s="11">
        <f t="shared" si="6"/>
        <v>142</v>
      </c>
      <c r="AB78" s="11">
        <f t="shared" si="6"/>
        <v>210</v>
      </c>
      <c r="AC78" s="11">
        <f t="shared" si="6"/>
        <v>210</v>
      </c>
      <c r="AD78" s="11">
        <f t="shared" si="6"/>
        <v>147</v>
      </c>
      <c r="AE78" s="11">
        <f t="shared" si="6"/>
        <v>134</v>
      </c>
      <c r="AF78" s="11">
        <f t="shared" si="6"/>
        <v>0</v>
      </c>
      <c r="AG78" s="10">
        <f t="shared" si="5"/>
        <v>4829</v>
      </c>
    </row>
    <row r="79" spans="1:33" ht="19.5" customHeight="1" x14ac:dyDescent="0.25">
      <c r="A79" s="64" t="s">
        <v>30</v>
      </c>
      <c r="B79" s="3">
        <f t="shared" ref="B79" si="7">SUM(B4:B27)-B80</f>
        <v>140</v>
      </c>
      <c r="C79" s="3">
        <f t="shared" ref="C79" si="8">SUM(C4:C27)-C80</f>
        <v>119</v>
      </c>
      <c r="D79" s="3">
        <f t="shared" ref="D79:AF79" si="9">SUM(D4:D27)-D80</f>
        <v>149</v>
      </c>
      <c r="E79" s="3">
        <f t="shared" si="9"/>
        <v>127</v>
      </c>
      <c r="F79" s="3">
        <f t="shared" si="9"/>
        <v>145</v>
      </c>
      <c r="G79" s="3">
        <f t="shared" si="9"/>
        <v>183</v>
      </c>
      <c r="H79" s="3">
        <f t="shared" si="9"/>
        <v>205</v>
      </c>
      <c r="I79" s="3">
        <f t="shared" si="9"/>
        <v>156</v>
      </c>
      <c r="J79" s="3">
        <f t="shared" si="9"/>
        <v>114</v>
      </c>
      <c r="K79" s="3">
        <f t="shared" si="9"/>
        <v>133</v>
      </c>
      <c r="L79" s="3">
        <f t="shared" si="9"/>
        <v>159</v>
      </c>
      <c r="M79" s="3">
        <f t="shared" si="9"/>
        <v>125</v>
      </c>
      <c r="N79" s="3">
        <f t="shared" si="9"/>
        <v>197</v>
      </c>
      <c r="O79" s="3">
        <f t="shared" si="9"/>
        <v>202</v>
      </c>
      <c r="P79" s="3">
        <f t="shared" si="9"/>
        <v>185</v>
      </c>
      <c r="Q79" s="3">
        <f t="shared" si="9"/>
        <v>152</v>
      </c>
      <c r="R79" s="3">
        <f t="shared" si="9"/>
        <v>153</v>
      </c>
      <c r="S79" s="3">
        <f t="shared" si="9"/>
        <v>157</v>
      </c>
      <c r="T79" s="3">
        <f t="shared" si="9"/>
        <v>142</v>
      </c>
      <c r="U79" s="3">
        <f t="shared" si="9"/>
        <v>210</v>
      </c>
      <c r="V79" s="3">
        <f t="shared" si="9"/>
        <v>215</v>
      </c>
      <c r="W79" s="3">
        <f t="shared" si="9"/>
        <v>178</v>
      </c>
      <c r="X79" s="3">
        <f t="shared" si="9"/>
        <v>155</v>
      </c>
      <c r="Y79" s="3">
        <f t="shared" si="9"/>
        <v>170</v>
      </c>
      <c r="Z79" s="3">
        <f t="shared" si="9"/>
        <v>115</v>
      </c>
      <c r="AA79" s="3">
        <f t="shared" si="9"/>
        <v>142</v>
      </c>
      <c r="AB79" s="3">
        <f t="shared" si="9"/>
        <v>210</v>
      </c>
      <c r="AC79" s="3">
        <f t="shared" si="9"/>
        <v>210</v>
      </c>
      <c r="AD79" s="3">
        <f t="shared" si="9"/>
        <v>147</v>
      </c>
      <c r="AE79" s="3">
        <f t="shared" si="9"/>
        <v>134</v>
      </c>
      <c r="AF79" s="3">
        <f t="shared" si="9"/>
        <v>0</v>
      </c>
      <c r="AG79" s="4">
        <f t="shared" si="5"/>
        <v>4829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4</v>
      </c>
      <c r="C81" s="12">
        <f t="shared" si="10"/>
        <v>4</v>
      </c>
      <c r="D81" s="12">
        <f t="shared" si="10"/>
        <v>7</v>
      </c>
      <c r="E81" s="12">
        <f t="shared" si="10"/>
        <v>7</v>
      </c>
      <c r="F81" s="12">
        <f t="shared" si="10"/>
        <v>15</v>
      </c>
      <c r="G81" s="12">
        <f t="shared" si="10"/>
        <v>5</v>
      </c>
      <c r="H81" s="12">
        <f t="shared" si="10"/>
        <v>7</v>
      </c>
      <c r="I81" s="12">
        <f t="shared" si="10"/>
        <v>25</v>
      </c>
      <c r="J81" s="12">
        <f t="shared" si="10"/>
        <v>6</v>
      </c>
      <c r="K81" s="12">
        <f t="shared" si="10"/>
        <v>15</v>
      </c>
      <c r="L81" s="12">
        <f t="shared" si="10"/>
        <v>30</v>
      </c>
      <c r="M81" s="12">
        <f t="shared" si="10"/>
        <v>12</v>
      </c>
      <c r="N81" s="12">
        <f t="shared" si="10"/>
        <v>5</v>
      </c>
      <c r="O81" s="12">
        <f t="shared" si="10"/>
        <v>17</v>
      </c>
      <c r="P81" s="12">
        <f t="shared" si="10"/>
        <v>39</v>
      </c>
      <c r="Q81" s="12">
        <f t="shared" si="10"/>
        <v>18</v>
      </c>
      <c r="R81" s="12">
        <f t="shared" si="10"/>
        <v>16</v>
      </c>
      <c r="S81" s="12">
        <f t="shared" si="10"/>
        <v>22</v>
      </c>
      <c r="T81" s="12">
        <f t="shared" si="10"/>
        <v>6</v>
      </c>
      <c r="U81" s="12">
        <f t="shared" si="10"/>
        <v>6</v>
      </c>
      <c r="V81" s="12">
        <f t="shared" si="10"/>
        <v>21</v>
      </c>
      <c r="W81" s="12">
        <f t="shared" si="10"/>
        <v>14</v>
      </c>
      <c r="X81" s="12">
        <f t="shared" si="10"/>
        <v>27</v>
      </c>
      <c r="Y81" s="12">
        <f t="shared" si="10"/>
        <v>33</v>
      </c>
      <c r="Z81" s="12">
        <f t="shared" si="10"/>
        <v>4</v>
      </c>
      <c r="AA81" s="12">
        <f t="shared" si="10"/>
        <v>15</v>
      </c>
      <c r="AB81" s="12">
        <f t="shared" si="10"/>
        <v>6</v>
      </c>
      <c r="AC81" s="12">
        <f t="shared" si="10"/>
        <v>6</v>
      </c>
      <c r="AD81" s="12">
        <f t="shared" si="10"/>
        <v>5</v>
      </c>
      <c r="AE81" s="12">
        <f t="shared" si="10"/>
        <v>5</v>
      </c>
      <c r="AF81" s="12">
        <f t="shared" si="10"/>
        <v>0</v>
      </c>
      <c r="AG81" s="10">
        <f t="shared" si="5"/>
        <v>402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4</v>
      </c>
      <c r="G82" s="3">
        <f t="shared" si="11"/>
        <v>3</v>
      </c>
      <c r="H82" s="3">
        <f t="shared" si="11"/>
        <v>3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5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3</v>
      </c>
      <c r="V82" s="3">
        <f t="shared" si="11"/>
        <v>8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0</v>
      </c>
      <c r="AA82" s="3">
        <f t="shared" si="11"/>
        <v>1</v>
      </c>
      <c r="AB82" s="3">
        <f t="shared" si="11"/>
        <v>4</v>
      </c>
      <c r="AC82" s="3">
        <f t="shared" si="11"/>
        <v>4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35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4</v>
      </c>
      <c r="C83" s="8">
        <f t="shared" si="12"/>
        <v>4</v>
      </c>
      <c r="D83" s="8">
        <f t="shared" si="12"/>
        <v>7</v>
      </c>
      <c r="E83" s="8">
        <f t="shared" si="12"/>
        <v>7</v>
      </c>
      <c r="F83" s="8">
        <f t="shared" si="12"/>
        <v>11</v>
      </c>
      <c r="G83" s="8">
        <f t="shared" si="12"/>
        <v>2</v>
      </c>
      <c r="H83" s="8">
        <f t="shared" si="12"/>
        <v>4</v>
      </c>
      <c r="I83" s="8">
        <f t="shared" si="12"/>
        <v>25</v>
      </c>
      <c r="J83" s="8">
        <f t="shared" si="12"/>
        <v>6</v>
      </c>
      <c r="K83" s="8">
        <f t="shared" si="12"/>
        <v>15</v>
      </c>
      <c r="L83" s="8">
        <f t="shared" si="12"/>
        <v>30</v>
      </c>
      <c r="M83" s="8">
        <f t="shared" si="12"/>
        <v>12</v>
      </c>
      <c r="N83" s="8">
        <f t="shared" si="12"/>
        <v>5</v>
      </c>
      <c r="O83" s="8">
        <f t="shared" si="12"/>
        <v>12</v>
      </c>
      <c r="P83" s="8">
        <f t="shared" si="12"/>
        <v>39</v>
      </c>
      <c r="Q83" s="8">
        <f t="shared" si="12"/>
        <v>18</v>
      </c>
      <c r="R83" s="8">
        <f t="shared" si="12"/>
        <v>16</v>
      </c>
      <c r="S83" s="8">
        <f t="shared" si="12"/>
        <v>22</v>
      </c>
      <c r="T83" s="8">
        <f t="shared" si="12"/>
        <v>6</v>
      </c>
      <c r="U83" s="8">
        <f t="shared" si="12"/>
        <v>3</v>
      </c>
      <c r="V83" s="8">
        <f t="shared" si="12"/>
        <v>13</v>
      </c>
      <c r="W83" s="8">
        <f t="shared" si="12"/>
        <v>14</v>
      </c>
      <c r="X83" s="8">
        <f t="shared" si="12"/>
        <v>27</v>
      </c>
      <c r="Y83" s="8">
        <f t="shared" si="12"/>
        <v>33</v>
      </c>
      <c r="Z83" s="8">
        <f t="shared" si="12"/>
        <v>4</v>
      </c>
      <c r="AA83" s="8">
        <f t="shared" si="12"/>
        <v>14</v>
      </c>
      <c r="AB83" s="8">
        <f t="shared" si="12"/>
        <v>2</v>
      </c>
      <c r="AC83" s="8">
        <f t="shared" si="12"/>
        <v>2</v>
      </c>
      <c r="AD83" s="8">
        <f t="shared" si="12"/>
        <v>5</v>
      </c>
      <c r="AE83" s="8">
        <f t="shared" si="12"/>
        <v>5</v>
      </c>
      <c r="AF83" s="8">
        <f t="shared" si="12"/>
        <v>0</v>
      </c>
      <c r="AG83" s="5">
        <f t="shared" si="5"/>
        <v>367</v>
      </c>
    </row>
    <row r="84" spans="1:34" ht="15.75" customHeight="1" thickBot="1" x14ac:dyDescent="0.3">
      <c r="A84" s="67" t="s">
        <v>33</v>
      </c>
      <c r="B84" s="14">
        <f t="shared" ref="B84:AF84" si="13">SUM(B85:B86)</f>
        <v>4</v>
      </c>
      <c r="C84" s="14">
        <f t="shared" si="13"/>
        <v>4</v>
      </c>
      <c r="D84" s="14">
        <f t="shared" si="13"/>
        <v>7</v>
      </c>
      <c r="E84" s="14">
        <f t="shared" si="13"/>
        <v>7</v>
      </c>
      <c r="F84" s="14">
        <f t="shared" si="13"/>
        <v>15</v>
      </c>
      <c r="G84" s="14">
        <f t="shared" si="13"/>
        <v>5</v>
      </c>
      <c r="H84" s="14">
        <f t="shared" si="13"/>
        <v>7</v>
      </c>
      <c r="I84" s="14">
        <f t="shared" si="13"/>
        <v>25</v>
      </c>
      <c r="J84" s="14">
        <f t="shared" si="13"/>
        <v>6</v>
      </c>
      <c r="K84" s="14">
        <f t="shared" si="13"/>
        <v>15</v>
      </c>
      <c r="L84" s="14">
        <f t="shared" si="13"/>
        <v>30</v>
      </c>
      <c r="M84" s="14">
        <f t="shared" si="13"/>
        <v>12</v>
      </c>
      <c r="N84" s="14">
        <f t="shared" si="13"/>
        <v>5</v>
      </c>
      <c r="O84" s="14">
        <f t="shared" si="13"/>
        <v>17</v>
      </c>
      <c r="P84" s="14">
        <f t="shared" si="13"/>
        <v>39</v>
      </c>
      <c r="Q84" s="14">
        <f t="shared" si="13"/>
        <v>18</v>
      </c>
      <c r="R84" s="14">
        <f t="shared" si="13"/>
        <v>16</v>
      </c>
      <c r="S84" s="14">
        <f t="shared" si="13"/>
        <v>22</v>
      </c>
      <c r="T84" s="14">
        <f t="shared" si="13"/>
        <v>6</v>
      </c>
      <c r="U84" s="14">
        <f t="shared" si="13"/>
        <v>6</v>
      </c>
      <c r="V84" s="14">
        <f t="shared" si="13"/>
        <v>21</v>
      </c>
      <c r="W84" s="14">
        <f t="shared" si="13"/>
        <v>14</v>
      </c>
      <c r="X84" s="14">
        <f t="shared" si="13"/>
        <v>27</v>
      </c>
      <c r="Y84" s="14">
        <f t="shared" si="13"/>
        <v>33</v>
      </c>
      <c r="Z84" s="14">
        <f t="shared" si="13"/>
        <v>4</v>
      </c>
      <c r="AA84" s="14">
        <f t="shared" si="13"/>
        <v>15</v>
      </c>
      <c r="AB84" s="14">
        <f t="shared" si="13"/>
        <v>6</v>
      </c>
      <c r="AC84" s="14">
        <f t="shared" si="13"/>
        <v>6</v>
      </c>
      <c r="AD84" s="14">
        <f t="shared" si="13"/>
        <v>5</v>
      </c>
      <c r="AE84" s="14">
        <f t="shared" si="13"/>
        <v>5</v>
      </c>
      <c r="AF84" s="14">
        <f t="shared" si="13"/>
        <v>0</v>
      </c>
      <c r="AG84" s="15">
        <f t="shared" si="5"/>
        <v>402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0</v>
      </c>
      <c r="C85" s="69">
        <v>0</v>
      </c>
      <c r="D85" s="69">
        <v>1</v>
      </c>
      <c r="E85" s="69">
        <v>2</v>
      </c>
      <c r="F85" s="69">
        <v>2</v>
      </c>
      <c r="G85" s="69">
        <v>1</v>
      </c>
      <c r="H85" s="69">
        <v>1</v>
      </c>
      <c r="I85" s="69">
        <v>5</v>
      </c>
      <c r="J85" s="69">
        <v>3</v>
      </c>
      <c r="K85" s="69">
        <v>1</v>
      </c>
      <c r="L85" s="69">
        <v>10</v>
      </c>
      <c r="M85" s="69">
        <v>2</v>
      </c>
      <c r="N85" s="69">
        <v>0</v>
      </c>
      <c r="O85" s="69">
        <v>4</v>
      </c>
      <c r="P85" s="69">
        <v>10</v>
      </c>
      <c r="Q85" s="69">
        <v>6</v>
      </c>
      <c r="R85" s="69">
        <v>4</v>
      </c>
      <c r="S85" s="69">
        <v>6</v>
      </c>
      <c r="T85" s="69">
        <v>0</v>
      </c>
      <c r="U85" s="69">
        <v>1</v>
      </c>
      <c r="V85" s="69">
        <v>8</v>
      </c>
      <c r="W85" s="69">
        <v>3</v>
      </c>
      <c r="X85" s="69">
        <v>10</v>
      </c>
      <c r="Y85" s="69">
        <v>4</v>
      </c>
      <c r="Z85" s="69">
        <v>0</v>
      </c>
      <c r="AA85" s="69">
        <v>1</v>
      </c>
      <c r="AB85" s="69">
        <v>0</v>
      </c>
      <c r="AC85" s="69">
        <v>0</v>
      </c>
      <c r="AD85" s="69">
        <v>1</v>
      </c>
      <c r="AE85" s="69">
        <v>3</v>
      </c>
      <c r="AF85" s="69"/>
      <c r="AG85" s="16">
        <f t="shared" si="5"/>
        <v>89</v>
      </c>
    </row>
    <row r="86" spans="1:34" ht="15.75" customHeight="1" thickBot="1" x14ac:dyDescent="0.3">
      <c r="A86" s="70" t="s">
        <v>35</v>
      </c>
      <c r="B86" s="71">
        <v>4</v>
      </c>
      <c r="C86" s="71">
        <v>4</v>
      </c>
      <c r="D86" s="71">
        <v>6</v>
      </c>
      <c r="E86" s="71">
        <v>5</v>
      </c>
      <c r="F86" s="71">
        <v>13</v>
      </c>
      <c r="G86" s="71">
        <v>4</v>
      </c>
      <c r="H86" s="71">
        <v>6</v>
      </c>
      <c r="I86" s="71">
        <v>20</v>
      </c>
      <c r="J86" s="71">
        <v>3</v>
      </c>
      <c r="K86" s="71">
        <v>14</v>
      </c>
      <c r="L86" s="71">
        <v>20</v>
      </c>
      <c r="M86" s="71">
        <v>10</v>
      </c>
      <c r="N86" s="71">
        <v>5</v>
      </c>
      <c r="O86" s="71">
        <v>13</v>
      </c>
      <c r="P86" s="71">
        <v>29</v>
      </c>
      <c r="Q86" s="71">
        <v>12</v>
      </c>
      <c r="R86" s="71">
        <v>12</v>
      </c>
      <c r="S86" s="71">
        <v>16</v>
      </c>
      <c r="T86" s="71">
        <v>6</v>
      </c>
      <c r="U86" s="71">
        <v>5</v>
      </c>
      <c r="V86" s="71">
        <v>13</v>
      </c>
      <c r="W86" s="71">
        <v>11</v>
      </c>
      <c r="X86" s="71">
        <v>17</v>
      </c>
      <c r="Y86" s="71">
        <v>29</v>
      </c>
      <c r="Z86" s="71">
        <v>4</v>
      </c>
      <c r="AA86" s="71">
        <v>14</v>
      </c>
      <c r="AB86" s="71">
        <v>6</v>
      </c>
      <c r="AC86" s="71">
        <v>6</v>
      </c>
      <c r="AD86" s="71">
        <v>4</v>
      </c>
      <c r="AE86" s="71">
        <v>2</v>
      </c>
      <c r="AF86" s="71"/>
      <c r="AG86" s="17">
        <f t="shared" si="5"/>
        <v>313</v>
      </c>
    </row>
    <row r="87" spans="1:34" ht="15.75" customHeight="1" thickBot="1" x14ac:dyDescent="0.3">
      <c r="A87" s="72" t="s">
        <v>36</v>
      </c>
      <c r="B87" s="18">
        <f t="shared" ref="B87:AF87" si="14">SUM(B88:B92)</f>
        <v>4</v>
      </c>
      <c r="C87" s="18">
        <f t="shared" si="14"/>
        <v>4</v>
      </c>
      <c r="D87" s="18">
        <f t="shared" si="14"/>
        <v>7</v>
      </c>
      <c r="E87" s="18">
        <f t="shared" si="14"/>
        <v>7</v>
      </c>
      <c r="F87" s="18">
        <f t="shared" si="14"/>
        <v>15</v>
      </c>
      <c r="G87" s="18">
        <f t="shared" si="14"/>
        <v>5</v>
      </c>
      <c r="H87" s="18">
        <f t="shared" si="14"/>
        <v>7</v>
      </c>
      <c r="I87" s="18">
        <f t="shared" si="14"/>
        <v>25</v>
      </c>
      <c r="J87" s="18">
        <f t="shared" si="14"/>
        <v>6</v>
      </c>
      <c r="K87" s="18">
        <f t="shared" si="14"/>
        <v>15</v>
      </c>
      <c r="L87" s="18">
        <f t="shared" si="14"/>
        <v>30</v>
      </c>
      <c r="M87" s="18">
        <f t="shared" si="14"/>
        <v>12</v>
      </c>
      <c r="N87" s="18">
        <f t="shared" si="14"/>
        <v>5</v>
      </c>
      <c r="O87" s="18">
        <f t="shared" si="14"/>
        <v>17</v>
      </c>
      <c r="P87" s="18">
        <f t="shared" si="14"/>
        <v>39</v>
      </c>
      <c r="Q87" s="18">
        <f t="shared" si="14"/>
        <v>18</v>
      </c>
      <c r="R87" s="18">
        <f t="shared" si="14"/>
        <v>16</v>
      </c>
      <c r="S87" s="18">
        <f t="shared" si="14"/>
        <v>22</v>
      </c>
      <c r="T87" s="18">
        <f t="shared" si="14"/>
        <v>6</v>
      </c>
      <c r="U87" s="18">
        <f t="shared" si="14"/>
        <v>6</v>
      </c>
      <c r="V87" s="18">
        <f t="shared" si="14"/>
        <v>21</v>
      </c>
      <c r="W87" s="18">
        <f t="shared" si="14"/>
        <v>14</v>
      </c>
      <c r="X87" s="18">
        <f t="shared" si="14"/>
        <v>27</v>
      </c>
      <c r="Y87" s="18">
        <f t="shared" si="14"/>
        <v>33</v>
      </c>
      <c r="Z87" s="18">
        <f t="shared" si="14"/>
        <v>4</v>
      </c>
      <c r="AA87" s="18">
        <f t="shared" si="14"/>
        <v>15</v>
      </c>
      <c r="AB87" s="18">
        <f t="shared" si="14"/>
        <v>6</v>
      </c>
      <c r="AC87" s="18">
        <f t="shared" si="14"/>
        <v>6</v>
      </c>
      <c r="AD87" s="18">
        <f t="shared" si="14"/>
        <v>5</v>
      </c>
      <c r="AE87" s="18">
        <f t="shared" si="14"/>
        <v>5</v>
      </c>
      <c r="AF87" s="18">
        <f t="shared" si="14"/>
        <v>0</v>
      </c>
      <c r="AG87" s="19">
        <f t="shared" si="5"/>
        <v>402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2</v>
      </c>
      <c r="C88" s="60">
        <v>1</v>
      </c>
      <c r="D88" s="60">
        <v>4</v>
      </c>
      <c r="E88" s="60">
        <v>1</v>
      </c>
      <c r="F88" s="60">
        <v>7</v>
      </c>
      <c r="G88" s="60">
        <v>3</v>
      </c>
      <c r="H88" s="60">
        <v>2</v>
      </c>
      <c r="I88" s="60">
        <v>4</v>
      </c>
      <c r="J88" s="60">
        <v>0</v>
      </c>
      <c r="K88" s="60">
        <v>5</v>
      </c>
      <c r="L88" s="60">
        <v>4</v>
      </c>
      <c r="M88" s="60">
        <v>3</v>
      </c>
      <c r="N88" s="60">
        <v>4</v>
      </c>
      <c r="O88" s="60">
        <v>2</v>
      </c>
      <c r="P88" s="60">
        <v>3</v>
      </c>
      <c r="Q88" s="60">
        <v>1</v>
      </c>
      <c r="R88" s="60">
        <v>3</v>
      </c>
      <c r="S88" s="60">
        <v>7</v>
      </c>
      <c r="T88" s="60">
        <v>3</v>
      </c>
      <c r="U88" s="60">
        <v>1</v>
      </c>
      <c r="V88" s="60">
        <v>5</v>
      </c>
      <c r="W88" s="60">
        <v>2</v>
      </c>
      <c r="X88" s="60">
        <v>2</v>
      </c>
      <c r="Y88" s="60">
        <v>2</v>
      </c>
      <c r="Z88" s="60">
        <v>0</v>
      </c>
      <c r="AA88" s="60">
        <v>5</v>
      </c>
      <c r="AB88" s="60">
        <v>1</v>
      </c>
      <c r="AC88" s="60">
        <v>1</v>
      </c>
      <c r="AD88" s="60">
        <v>2</v>
      </c>
      <c r="AE88" s="60">
        <v>0</v>
      </c>
      <c r="AF88" s="60"/>
      <c r="AG88" s="4">
        <f t="shared" si="5"/>
        <v>80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/>
      <c r="AG89" s="5">
        <f t="shared" si="5"/>
        <v>0</v>
      </c>
    </row>
    <row r="90" spans="1:34" ht="15.75" customHeight="1" x14ac:dyDescent="0.25">
      <c r="A90" s="74" t="s">
        <v>39</v>
      </c>
      <c r="B90" s="60">
        <v>0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60">
        <v>0</v>
      </c>
      <c r="I90" s="60">
        <v>1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3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>
        <v>0</v>
      </c>
      <c r="AF90" s="60"/>
      <c r="AG90" s="5">
        <f t="shared" si="5"/>
        <v>4</v>
      </c>
    </row>
    <row r="91" spans="1:34" ht="15.75" customHeight="1" x14ac:dyDescent="0.25">
      <c r="A91" s="74" t="s">
        <v>40</v>
      </c>
      <c r="B91" s="60">
        <v>0</v>
      </c>
      <c r="C91" s="60">
        <v>3</v>
      </c>
      <c r="D91" s="60">
        <v>2</v>
      </c>
      <c r="E91" s="60">
        <v>5</v>
      </c>
      <c r="F91" s="60">
        <v>7</v>
      </c>
      <c r="G91" s="60">
        <v>0</v>
      </c>
      <c r="H91" s="60">
        <v>4</v>
      </c>
      <c r="I91" s="60">
        <v>11</v>
      </c>
      <c r="J91" s="60">
        <v>5</v>
      </c>
      <c r="K91" s="60">
        <v>8</v>
      </c>
      <c r="L91" s="60">
        <v>22</v>
      </c>
      <c r="M91" s="60">
        <v>7</v>
      </c>
      <c r="N91" s="60">
        <v>1</v>
      </c>
      <c r="O91" s="60">
        <v>10</v>
      </c>
      <c r="P91" s="60">
        <v>29</v>
      </c>
      <c r="Q91" s="60">
        <v>15</v>
      </c>
      <c r="R91" s="60">
        <v>10</v>
      </c>
      <c r="S91" s="60">
        <v>9</v>
      </c>
      <c r="T91" s="60">
        <v>3</v>
      </c>
      <c r="U91" s="60">
        <v>5</v>
      </c>
      <c r="V91" s="60">
        <v>7</v>
      </c>
      <c r="W91" s="60">
        <v>4</v>
      </c>
      <c r="X91" s="60">
        <v>20</v>
      </c>
      <c r="Y91" s="60">
        <v>12</v>
      </c>
      <c r="Z91" s="60">
        <v>3</v>
      </c>
      <c r="AA91" s="60">
        <v>7</v>
      </c>
      <c r="AB91" s="60">
        <v>2</v>
      </c>
      <c r="AC91" s="60">
        <v>2</v>
      </c>
      <c r="AD91" s="60">
        <v>1</v>
      </c>
      <c r="AE91" s="60">
        <v>2</v>
      </c>
      <c r="AF91" s="60"/>
      <c r="AG91" s="5">
        <f t="shared" si="5"/>
        <v>216</v>
      </c>
    </row>
    <row r="92" spans="1:34" ht="15.75" customHeight="1" thickBot="1" x14ac:dyDescent="0.3">
      <c r="A92" s="74" t="s">
        <v>41</v>
      </c>
      <c r="B92" s="60">
        <v>2</v>
      </c>
      <c r="C92" s="60">
        <v>0</v>
      </c>
      <c r="D92" s="60">
        <v>1</v>
      </c>
      <c r="E92" s="60">
        <v>1</v>
      </c>
      <c r="F92" s="60">
        <v>1</v>
      </c>
      <c r="G92" s="60">
        <v>2</v>
      </c>
      <c r="H92" s="60">
        <v>1</v>
      </c>
      <c r="I92" s="60">
        <v>9</v>
      </c>
      <c r="J92" s="60">
        <v>1</v>
      </c>
      <c r="K92" s="60">
        <v>2</v>
      </c>
      <c r="L92" s="60">
        <v>4</v>
      </c>
      <c r="M92" s="60">
        <v>2</v>
      </c>
      <c r="N92" s="60">
        <v>0</v>
      </c>
      <c r="O92" s="60">
        <v>5</v>
      </c>
      <c r="P92" s="60">
        <v>7</v>
      </c>
      <c r="Q92" s="60">
        <v>2</v>
      </c>
      <c r="R92" s="60">
        <v>3</v>
      </c>
      <c r="S92" s="60">
        <v>6</v>
      </c>
      <c r="T92" s="60">
        <v>0</v>
      </c>
      <c r="U92" s="60">
        <v>0</v>
      </c>
      <c r="V92" s="60">
        <v>6</v>
      </c>
      <c r="W92" s="60">
        <v>8</v>
      </c>
      <c r="X92" s="60">
        <v>5</v>
      </c>
      <c r="Y92" s="60">
        <v>19</v>
      </c>
      <c r="Z92" s="60">
        <v>1</v>
      </c>
      <c r="AA92" s="60">
        <v>3</v>
      </c>
      <c r="AB92" s="60">
        <v>3</v>
      </c>
      <c r="AC92" s="60">
        <v>3</v>
      </c>
      <c r="AD92" s="60">
        <v>2</v>
      </c>
      <c r="AE92" s="60">
        <v>3</v>
      </c>
      <c r="AF92" s="60"/>
      <c r="AG92" s="5">
        <f t="shared" si="5"/>
        <v>102</v>
      </c>
    </row>
    <row r="93" spans="1:34" ht="15.75" customHeight="1" x14ac:dyDescent="0.25">
      <c r="A93" s="75" t="s">
        <v>42</v>
      </c>
      <c r="B93" s="20">
        <f t="shared" ref="B93:AF93" si="15">+B94+B100</f>
        <v>136</v>
      </c>
      <c r="C93" s="20">
        <f t="shared" si="15"/>
        <v>115</v>
      </c>
      <c r="D93" s="20">
        <f t="shared" si="15"/>
        <v>142</v>
      </c>
      <c r="E93" s="20">
        <f t="shared" si="15"/>
        <v>120</v>
      </c>
      <c r="F93" s="20">
        <f t="shared" si="15"/>
        <v>130</v>
      </c>
      <c r="G93" s="20">
        <f t="shared" si="15"/>
        <v>178</v>
      </c>
      <c r="H93" s="20">
        <f t="shared" si="15"/>
        <v>198</v>
      </c>
      <c r="I93" s="20">
        <f t="shared" si="15"/>
        <v>131</v>
      </c>
      <c r="J93" s="20">
        <f t="shared" si="15"/>
        <v>108</v>
      </c>
      <c r="K93" s="20">
        <f t="shared" si="15"/>
        <v>118</v>
      </c>
      <c r="L93" s="20">
        <f t="shared" si="15"/>
        <v>129</v>
      </c>
      <c r="M93" s="20">
        <f t="shared" si="15"/>
        <v>113</v>
      </c>
      <c r="N93" s="20">
        <f t="shared" si="15"/>
        <v>192</v>
      </c>
      <c r="O93" s="20">
        <f t="shared" si="15"/>
        <v>185</v>
      </c>
      <c r="P93" s="20">
        <f t="shared" si="15"/>
        <v>146</v>
      </c>
      <c r="Q93" s="20">
        <f t="shared" si="15"/>
        <v>134</v>
      </c>
      <c r="R93" s="20">
        <f t="shared" si="15"/>
        <v>137</v>
      </c>
      <c r="S93" s="20">
        <f t="shared" si="15"/>
        <v>135</v>
      </c>
      <c r="T93" s="20">
        <f t="shared" si="15"/>
        <v>136</v>
      </c>
      <c r="U93" s="20">
        <f t="shared" si="15"/>
        <v>204</v>
      </c>
      <c r="V93" s="20">
        <f t="shared" si="15"/>
        <v>194</v>
      </c>
      <c r="W93" s="20">
        <f t="shared" si="15"/>
        <v>164</v>
      </c>
      <c r="X93" s="20">
        <f t="shared" si="15"/>
        <v>128</v>
      </c>
      <c r="Y93" s="20">
        <f t="shared" si="15"/>
        <v>137</v>
      </c>
      <c r="Z93" s="20">
        <f t="shared" si="15"/>
        <v>111</v>
      </c>
      <c r="AA93" s="20">
        <f t="shared" si="15"/>
        <v>127</v>
      </c>
      <c r="AB93" s="20">
        <f t="shared" si="15"/>
        <v>204</v>
      </c>
      <c r="AC93" s="20">
        <f t="shared" si="15"/>
        <v>204</v>
      </c>
      <c r="AD93" s="20">
        <f t="shared" si="15"/>
        <v>142</v>
      </c>
      <c r="AE93" s="20">
        <f t="shared" si="15"/>
        <v>129</v>
      </c>
      <c r="AF93" s="20">
        <f t="shared" si="15"/>
        <v>0</v>
      </c>
      <c r="AG93" s="5">
        <f t="shared" si="5"/>
        <v>4427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25</v>
      </c>
      <c r="C94" s="21">
        <f t="shared" si="16"/>
        <v>18</v>
      </c>
      <c r="D94" s="21">
        <f t="shared" si="16"/>
        <v>32</v>
      </c>
      <c r="E94" s="21">
        <f t="shared" si="16"/>
        <v>19</v>
      </c>
      <c r="F94" s="21">
        <f t="shared" si="16"/>
        <v>26</v>
      </c>
      <c r="G94" s="21">
        <f t="shared" si="16"/>
        <v>40</v>
      </c>
      <c r="H94" s="21">
        <f t="shared" si="16"/>
        <v>38</v>
      </c>
      <c r="I94" s="21">
        <f t="shared" si="16"/>
        <v>29</v>
      </c>
      <c r="J94" s="21">
        <f t="shared" si="16"/>
        <v>17</v>
      </c>
      <c r="K94" s="21">
        <f t="shared" si="16"/>
        <v>18</v>
      </c>
      <c r="L94" s="21">
        <f t="shared" si="16"/>
        <v>13</v>
      </c>
      <c r="M94" s="21">
        <f t="shared" si="16"/>
        <v>29</v>
      </c>
      <c r="N94" s="21">
        <f t="shared" si="16"/>
        <v>29</v>
      </c>
      <c r="O94" s="21">
        <f t="shared" si="16"/>
        <v>34</v>
      </c>
      <c r="P94" s="21">
        <f t="shared" si="16"/>
        <v>29</v>
      </c>
      <c r="Q94" s="21">
        <f t="shared" si="16"/>
        <v>19</v>
      </c>
      <c r="R94" s="21">
        <f t="shared" si="16"/>
        <v>35</v>
      </c>
      <c r="S94" s="21">
        <f t="shared" si="16"/>
        <v>34</v>
      </c>
      <c r="T94" s="21">
        <f t="shared" si="16"/>
        <v>30</v>
      </c>
      <c r="U94" s="21">
        <f t="shared" si="16"/>
        <v>57</v>
      </c>
      <c r="V94" s="21">
        <f t="shared" si="16"/>
        <v>52</v>
      </c>
      <c r="W94" s="21">
        <f t="shared" si="16"/>
        <v>49</v>
      </c>
      <c r="X94" s="21">
        <f t="shared" si="16"/>
        <v>31</v>
      </c>
      <c r="Y94" s="21">
        <f t="shared" si="16"/>
        <v>26</v>
      </c>
      <c r="Z94" s="21">
        <f t="shared" si="16"/>
        <v>30</v>
      </c>
      <c r="AA94" s="21">
        <f t="shared" si="16"/>
        <v>32</v>
      </c>
      <c r="AB94" s="21">
        <f t="shared" si="16"/>
        <v>66</v>
      </c>
      <c r="AC94" s="21">
        <f t="shared" si="16"/>
        <v>66</v>
      </c>
      <c r="AD94" s="21">
        <f t="shared" si="16"/>
        <v>36</v>
      </c>
      <c r="AE94" s="21">
        <f t="shared" si="16"/>
        <v>32</v>
      </c>
      <c r="AF94" s="21">
        <f t="shared" si="16"/>
        <v>0</v>
      </c>
      <c r="AG94" s="5">
        <f t="shared" si="5"/>
        <v>991</v>
      </c>
    </row>
    <row r="95" spans="1:34" ht="15.75" customHeight="1" x14ac:dyDescent="0.25">
      <c r="A95" s="78" t="s">
        <v>44</v>
      </c>
      <c r="B95" s="54">
        <v>0</v>
      </c>
      <c r="C95" s="54">
        <v>0</v>
      </c>
      <c r="D95" s="54">
        <v>0</v>
      </c>
      <c r="E95" s="54">
        <v>0</v>
      </c>
      <c r="F95" s="54">
        <v>0</v>
      </c>
      <c r="G95" s="54">
        <v>0</v>
      </c>
      <c r="H95" s="54">
        <v>0</v>
      </c>
      <c r="I95" s="54">
        <v>0</v>
      </c>
      <c r="J95" s="54">
        <v>0</v>
      </c>
      <c r="K95" s="54">
        <v>2</v>
      </c>
      <c r="L95" s="54">
        <v>0</v>
      </c>
      <c r="M95" s="54">
        <v>2</v>
      </c>
      <c r="N95" s="54">
        <v>0</v>
      </c>
      <c r="O95" s="54">
        <v>1</v>
      </c>
      <c r="P95" s="54">
        <v>0</v>
      </c>
      <c r="Q95" s="54">
        <v>0</v>
      </c>
      <c r="R95" s="54">
        <v>1</v>
      </c>
      <c r="S95" s="54">
        <v>1</v>
      </c>
      <c r="T95" s="54">
        <v>0</v>
      </c>
      <c r="U95" s="54">
        <v>1</v>
      </c>
      <c r="V95" s="54">
        <v>0</v>
      </c>
      <c r="W95" s="54">
        <v>1</v>
      </c>
      <c r="X95" s="54">
        <v>1</v>
      </c>
      <c r="Y95" s="54">
        <v>0</v>
      </c>
      <c r="Z95" s="54">
        <v>0</v>
      </c>
      <c r="AA95" s="54">
        <v>1</v>
      </c>
      <c r="AB95" s="54">
        <v>1</v>
      </c>
      <c r="AC95" s="54">
        <v>1</v>
      </c>
      <c r="AD95" s="54">
        <v>1</v>
      </c>
      <c r="AE95" s="54">
        <v>1</v>
      </c>
      <c r="AF95" s="54"/>
      <c r="AG95" s="5">
        <f t="shared" si="5"/>
        <v>15</v>
      </c>
    </row>
    <row r="96" spans="1:34" ht="15.75" customHeight="1" x14ac:dyDescent="0.25">
      <c r="A96" s="79" t="s">
        <v>45</v>
      </c>
      <c r="B96" s="54">
        <v>2</v>
      </c>
      <c r="C96" s="54">
        <v>2</v>
      </c>
      <c r="D96" s="54">
        <v>2</v>
      </c>
      <c r="E96" s="54">
        <v>0</v>
      </c>
      <c r="F96" s="54">
        <v>1</v>
      </c>
      <c r="G96" s="54">
        <v>2</v>
      </c>
      <c r="H96" s="54">
        <v>3</v>
      </c>
      <c r="I96" s="54">
        <v>3</v>
      </c>
      <c r="J96" s="54">
        <v>0</v>
      </c>
      <c r="K96" s="54">
        <v>1</v>
      </c>
      <c r="L96" s="54">
        <v>1</v>
      </c>
      <c r="M96" s="54">
        <v>1</v>
      </c>
      <c r="N96" s="54">
        <v>1</v>
      </c>
      <c r="O96" s="54">
        <v>2</v>
      </c>
      <c r="P96" s="54">
        <v>2</v>
      </c>
      <c r="Q96" s="54">
        <v>1</v>
      </c>
      <c r="R96" s="54">
        <v>3</v>
      </c>
      <c r="S96" s="54">
        <v>1</v>
      </c>
      <c r="T96" s="54">
        <v>2</v>
      </c>
      <c r="U96" s="54">
        <v>3</v>
      </c>
      <c r="V96" s="54">
        <v>2</v>
      </c>
      <c r="W96" s="54">
        <v>3</v>
      </c>
      <c r="X96" s="54">
        <v>1</v>
      </c>
      <c r="Y96" s="54">
        <v>0</v>
      </c>
      <c r="Z96" s="54">
        <v>0</v>
      </c>
      <c r="AA96" s="54">
        <v>2</v>
      </c>
      <c r="AB96" s="54">
        <v>4</v>
      </c>
      <c r="AC96" s="54">
        <v>4</v>
      </c>
      <c r="AD96" s="54">
        <v>0</v>
      </c>
      <c r="AE96" s="54">
        <v>0</v>
      </c>
      <c r="AF96" s="54"/>
      <c r="AG96" s="5">
        <f t="shared" si="5"/>
        <v>49</v>
      </c>
    </row>
    <row r="97" spans="1:33" ht="15.75" customHeight="1" x14ac:dyDescent="0.25">
      <c r="A97" s="80" t="s">
        <v>46</v>
      </c>
      <c r="B97" s="54">
        <v>4</v>
      </c>
      <c r="C97" s="54">
        <v>5</v>
      </c>
      <c r="D97" s="54">
        <v>3</v>
      </c>
      <c r="E97" s="54">
        <v>2</v>
      </c>
      <c r="F97" s="54">
        <v>7</v>
      </c>
      <c r="G97" s="54">
        <v>14</v>
      </c>
      <c r="H97" s="54">
        <v>6</v>
      </c>
      <c r="I97" s="54">
        <v>1</v>
      </c>
      <c r="J97" s="54">
        <v>4</v>
      </c>
      <c r="K97" s="54">
        <v>4</v>
      </c>
      <c r="L97" s="54">
        <v>3</v>
      </c>
      <c r="M97" s="54">
        <v>5</v>
      </c>
      <c r="N97" s="54">
        <v>8</v>
      </c>
      <c r="O97" s="54">
        <v>4</v>
      </c>
      <c r="P97" s="54">
        <v>6</v>
      </c>
      <c r="Q97" s="54">
        <v>4</v>
      </c>
      <c r="R97" s="54">
        <v>5</v>
      </c>
      <c r="S97" s="54">
        <v>8</v>
      </c>
      <c r="T97" s="54">
        <v>3</v>
      </c>
      <c r="U97" s="54">
        <v>8</v>
      </c>
      <c r="V97" s="54">
        <v>8</v>
      </c>
      <c r="W97" s="54">
        <v>4</v>
      </c>
      <c r="X97" s="54">
        <v>6</v>
      </c>
      <c r="Y97" s="54">
        <v>5</v>
      </c>
      <c r="Z97" s="54">
        <v>2</v>
      </c>
      <c r="AA97" s="54">
        <v>3</v>
      </c>
      <c r="AB97" s="54">
        <v>11</v>
      </c>
      <c r="AC97" s="54">
        <v>11</v>
      </c>
      <c r="AD97" s="54">
        <v>7</v>
      </c>
      <c r="AE97" s="54">
        <v>4</v>
      </c>
      <c r="AF97" s="54"/>
      <c r="AG97" s="5">
        <f t="shared" si="5"/>
        <v>165</v>
      </c>
    </row>
    <row r="98" spans="1:33" ht="15.75" customHeight="1" x14ac:dyDescent="0.25">
      <c r="A98" s="81" t="s">
        <v>47</v>
      </c>
      <c r="B98" s="54">
        <v>8</v>
      </c>
      <c r="C98" s="54">
        <v>7</v>
      </c>
      <c r="D98" s="54">
        <v>14</v>
      </c>
      <c r="E98" s="54">
        <v>7</v>
      </c>
      <c r="F98" s="54">
        <v>7</v>
      </c>
      <c r="G98" s="54">
        <v>13</v>
      </c>
      <c r="H98" s="54">
        <v>15</v>
      </c>
      <c r="I98" s="54">
        <v>19</v>
      </c>
      <c r="J98" s="54">
        <v>8</v>
      </c>
      <c r="K98" s="54">
        <v>5</v>
      </c>
      <c r="L98" s="54">
        <v>4</v>
      </c>
      <c r="M98" s="54">
        <v>11</v>
      </c>
      <c r="N98" s="54">
        <v>8</v>
      </c>
      <c r="O98" s="54">
        <v>16</v>
      </c>
      <c r="P98" s="54">
        <v>19</v>
      </c>
      <c r="Q98" s="54">
        <v>6</v>
      </c>
      <c r="R98" s="54">
        <v>14</v>
      </c>
      <c r="S98" s="54">
        <v>10</v>
      </c>
      <c r="T98" s="54">
        <v>12</v>
      </c>
      <c r="U98" s="54">
        <v>25</v>
      </c>
      <c r="V98" s="54">
        <v>26</v>
      </c>
      <c r="W98" s="54">
        <v>21</v>
      </c>
      <c r="X98" s="54">
        <v>15</v>
      </c>
      <c r="Y98" s="54">
        <v>11</v>
      </c>
      <c r="Z98" s="54">
        <v>18</v>
      </c>
      <c r="AA98" s="54">
        <v>16</v>
      </c>
      <c r="AB98" s="54">
        <v>27</v>
      </c>
      <c r="AC98" s="54">
        <v>27</v>
      </c>
      <c r="AD98" s="54">
        <v>17</v>
      </c>
      <c r="AE98" s="54">
        <v>17</v>
      </c>
      <c r="AF98" s="54"/>
      <c r="AG98" s="5">
        <f t="shared" si="5"/>
        <v>423</v>
      </c>
    </row>
    <row r="99" spans="1:33" ht="15.75" customHeight="1" x14ac:dyDescent="0.25">
      <c r="A99" s="82" t="s">
        <v>48</v>
      </c>
      <c r="B99" s="54">
        <v>11</v>
      </c>
      <c r="C99" s="54">
        <v>4</v>
      </c>
      <c r="D99" s="54">
        <v>13</v>
      </c>
      <c r="E99" s="54">
        <v>10</v>
      </c>
      <c r="F99" s="54">
        <v>11</v>
      </c>
      <c r="G99" s="54">
        <v>11</v>
      </c>
      <c r="H99" s="54">
        <v>14</v>
      </c>
      <c r="I99" s="54">
        <v>6</v>
      </c>
      <c r="J99" s="54">
        <v>5</v>
      </c>
      <c r="K99" s="54">
        <v>6</v>
      </c>
      <c r="L99" s="54">
        <v>5</v>
      </c>
      <c r="M99" s="54">
        <v>10</v>
      </c>
      <c r="N99" s="54">
        <v>12</v>
      </c>
      <c r="O99" s="54">
        <v>11</v>
      </c>
      <c r="P99" s="54">
        <v>2</v>
      </c>
      <c r="Q99" s="54">
        <v>8</v>
      </c>
      <c r="R99" s="54">
        <v>12</v>
      </c>
      <c r="S99" s="54">
        <v>14</v>
      </c>
      <c r="T99" s="54">
        <v>13</v>
      </c>
      <c r="U99" s="54">
        <v>20</v>
      </c>
      <c r="V99" s="54">
        <v>16</v>
      </c>
      <c r="W99" s="54">
        <v>20</v>
      </c>
      <c r="X99" s="54">
        <v>8</v>
      </c>
      <c r="Y99" s="54">
        <v>10</v>
      </c>
      <c r="Z99" s="54">
        <v>10</v>
      </c>
      <c r="AA99" s="54">
        <v>10</v>
      </c>
      <c r="AB99" s="54">
        <v>23</v>
      </c>
      <c r="AC99" s="54">
        <v>23</v>
      </c>
      <c r="AD99" s="54">
        <v>11</v>
      </c>
      <c r="AE99" s="54">
        <v>10</v>
      </c>
      <c r="AF99" s="54"/>
      <c r="AG99" s="5">
        <f t="shared" ref="AG99:AG162" si="17">SUM(B99:AF99)</f>
        <v>339</v>
      </c>
    </row>
    <row r="100" spans="1:33" ht="15.75" customHeight="1" x14ac:dyDescent="0.25">
      <c r="A100" s="76" t="s">
        <v>49</v>
      </c>
      <c r="B100" s="21">
        <f t="shared" ref="B100:AF100" si="18">SUM(B101:B115)</f>
        <v>111</v>
      </c>
      <c r="C100" s="21">
        <f t="shared" si="18"/>
        <v>97</v>
      </c>
      <c r="D100" s="21">
        <f t="shared" si="18"/>
        <v>110</v>
      </c>
      <c r="E100" s="21">
        <f t="shared" si="18"/>
        <v>101</v>
      </c>
      <c r="F100" s="21">
        <f t="shared" si="18"/>
        <v>104</v>
      </c>
      <c r="G100" s="21">
        <f t="shared" si="18"/>
        <v>138</v>
      </c>
      <c r="H100" s="21">
        <f t="shared" si="18"/>
        <v>160</v>
      </c>
      <c r="I100" s="21">
        <f t="shared" si="18"/>
        <v>102</v>
      </c>
      <c r="J100" s="21">
        <f t="shared" si="18"/>
        <v>91</v>
      </c>
      <c r="K100" s="21">
        <f t="shared" si="18"/>
        <v>100</v>
      </c>
      <c r="L100" s="21">
        <f t="shared" si="18"/>
        <v>116</v>
      </c>
      <c r="M100" s="21">
        <f t="shared" si="18"/>
        <v>84</v>
      </c>
      <c r="N100" s="21">
        <f t="shared" si="18"/>
        <v>163</v>
      </c>
      <c r="O100" s="21">
        <f t="shared" si="18"/>
        <v>151</v>
      </c>
      <c r="P100" s="21">
        <f t="shared" si="18"/>
        <v>117</v>
      </c>
      <c r="Q100" s="21">
        <f t="shared" si="18"/>
        <v>115</v>
      </c>
      <c r="R100" s="21">
        <f t="shared" si="18"/>
        <v>102</v>
      </c>
      <c r="S100" s="21">
        <f t="shared" si="18"/>
        <v>101</v>
      </c>
      <c r="T100" s="21">
        <f t="shared" si="18"/>
        <v>106</v>
      </c>
      <c r="U100" s="21">
        <f t="shared" si="18"/>
        <v>147</v>
      </c>
      <c r="V100" s="21">
        <f t="shared" si="18"/>
        <v>142</v>
      </c>
      <c r="W100" s="21">
        <f t="shared" si="18"/>
        <v>115</v>
      </c>
      <c r="X100" s="21">
        <f t="shared" si="18"/>
        <v>97</v>
      </c>
      <c r="Y100" s="21">
        <f t="shared" si="18"/>
        <v>111</v>
      </c>
      <c r="Z100" s="21">
        <f t="shared" si="18"/>
        <v>81</v>
      </c>
      <c r="AA100" s="21">
        <f t="shared" si="18"/>
        <v>95</v>
      </c>
      <c r="AB100" s="21">
        <f t="shared" si="18"/>
        <v>138</v>
      </c>
      <c r="AC100" s="21">
        <f t="shared" si="18"/>
        <v>138</v>
      </c>
      <c r="AD100" s="21">
        <f t="shared" si="18"/>
        <v>106</v>
      </c>
      <c r="AE100" s="21">
        <f t="shared" si="18"/>
        <v>97</v>
      </c>
      <c r="AF100" s="21">
        <f t="shared" si="18"/>
        <v>0</v>
      </c>
      <c r="AG100" s="5">
        <f t="shared" si="17"/>
        <v>3436</v>
      </c>
    </row>
    <row r="101" spans="1:33" ht="15.75" customHeight="1" x14ac:dyDescent="0.25">
      <c r="A101" s="82" t="s">
        <v>50</v>
      </c>
      <c r="B101" s="54">
        <v>12</v>
      </c>
      <c r="C101" s="54">
        <v>10</v>
      </c>
      <c r="D101" s="54">
        <v>18</v>
      </c>
      <c r="E101" s="54">
        <v>16</v>
      </c>
      <c r="F101" s="54">
        <v>8</v>
      </c>
      <c r="G101" s="54">
        <v>9</v>
      </c>
      <c r="H101" s="54">
        <v>10</v>
      </c>
      <c r="I101" s="54">
        <v>14</v>
      </c>
      <c r="J101" s="54">
        <v>8</v>
      </c>
      <c r="K101" s="54">
        <v>10</v>
      </c>
      <c r="L101" s="54">
        <v>17</v>
      </c>
      <c r="M101" s="54">
        <v>8</v>
      </c>
      <c r="N101" s="54">
        <v>12</v>
      </c>
      <c r="O101" s="54">
        <v>6</v>
      </c>
      <c r="P101" s="54">
        <v>19</v>
      </c>
      <c r="Q101" s="54">
        <v>12</v>
      </c>
      <c r="R101" s="54">
        <v>10</v>
      </c>
      <c r="S101" s="54">
        <v>12</v>
      </c>
      <c r="T101" s="54">
        <v>12</v>
      </c>
      <c r="U101" s="54">
        <v>15</v>
      </c>
      <c r="V101" s="54">
        <v>11</v>
      </c>
      <c r="W101" s="54">
        <v>14</v>
      </c>
      <c r="X101" s="54">
        <v>13</v>
      </c>
      <c r="Y101" s="54">
        <v>16</v>
      </c>
      <c r="Z101" s="54">
        <v>13</v>
      </c>
      <c r="AA101" s="54">
        <v>5</v>
      </c>
      <c r="AB101" s="54">
        <v>7</v>
      </c>
      <c r="AC101" s="54">
        <v>7</v>
      </c>
      <c r="AD101" s="54">
        <v>19</v>
      </c>
      <c r="AE101" s="54">
        <v>7</v>
      </c>
      <c r="AF101" s="54"/>
      <c r="AG101" s="5">
        <f t="shared" si="17"/>
        <v>350</v>
      </c>
    </row>
    <row r="102" spans="1:33" ht="15.75" customHeight="1" x14ac:dyDescent="0.25">
      <c r="A102" s="82" t="s">
        <v>51</v>
      </c>
      <c r="B102" s="54">
        <v>10</v>
      </c>
      <c r="C102" s="54">
        <v>18</v>
      </c>
      <c r="D102" s="54">
        <v>7</v>
      </c>
      <c r="E102" s="54">
        <v>11</v>
      </c>
      <c r="F102" s="54">
        <v>11</v>
      </c>
      <c r="G102" s="54">
        <v>19</v>
      </c>
      <c r="H102" s="54">
        <v>16</v>
      </c>
      <c r="I102" s="54">
        <v>14</v>
      </c>
      <c r="J102" s="54">
        <v>10</v>
      </c>
      <c r="K102" s="54">
        <v>7</v>
      </c>
      <c r="L102" s="54">
        <v>12</v>
      </c>
      <c r="M102" s="54">
        <v>10</v>
      </c>
      <c r="N102" s="54">
        <v>19</v>
      </c>
      <c r="O102" s="54">
        <v>17</v>
      </c>
      <c r="P102" s="54">
        <v>8</v>
      </c>
      <c r="Q102" s="54">
        <v>12</v>
      </c>
      <c r="R102" s="54">
        <v>11</v>
      </c>
      <c r="S102" s="54">
        <v>12</v>
      </c>
      <c r="T102" s="54">
        <v>14</v>
      </c>
      <c r="U102" s="54">
        <v>12</v>
      </c>
      <c r="V102" s="54">
        <v>15</v>
      </c>
      <c r="W102" s="54">
        <v>13</v>
      </c>
      <c r="X102" s="54">
        <v>11</v>
      </c>
      <c r="Y102" s="54">
        <v>14</v>
      </c>
      <c r="Z102" s="54">
        <v>9</v>
      </c>
      <c r="AA102" s="54">
        <v>11</v>
      </c>
      <c r="AB102" s="54">
        <v>16</v>
      </c>
      <c r="AC102" s="54">
        <v>16</v>
      </c>
      <c r="AD102" s="54">
        <v>12</v>
      </c>
      <c r="AE102" s="54">
        <v>12</v>
      </c>
      <c r="AF102" s="54"/>
      <c r="AG102" s="5">
        <f t="shared" si="17"/>
        <v>379</v>
      </c>
    </row>
    <row r="103" spans="1:33" ht="15.75" customHeight="1" x14ac:dyDescent="0.25">
      <c r="A103" s="78" t="s">
        <v>52</v>
      </c>
      <c r="B103" s="54">
        <v>8</v>
      </c>
      <c r="C103" s="54">
        <v>9</v>
      </c>
      <c r="D103" s="54">
        <v>15</v>
      </c>
      <c r="E103" s="54">
        <v>13</v>
      </c>
      <c r="F103" s="54">
        <v>10</v>
      </c>
      <c r="G103" s="54">
        <v>6</v>
      </c>
      <c r="H103" s="54">
        <v>14</v>
      </c>
      <c r="I103" s="54">
        <v>9</v>
      </c>
      <c r="J103" s="54">
        <v>9</v>
      </c>
      <c r="K103" s="54">
        <v>11</v>
      </c>
      <c r="L103" s="54">
        <v>11</v>
      </c>
      <c r="M103" s="54">
        <v>4</v>
      </c>
      <c r="N103" s="54">
        <v>12</v>
      </c>
      <c r="O103" s="54">
        <v>11</v>
      </c>
      <c r="P103" s="54">
        <v>6</v>
      </c>
      <c r="Q103" s="54">
        <v>10</v>
      </c>
      <c r="R103" s="54">
        <v>11</v>
      </c>
      <c r="S103" s="54">
        <v>8</v>
      </c>
      <c r="T103" s="54">
        <v>9</v>
      </c>
      <c r="U103" s="54">
        <v>12</v>
      </c>
      <c r="V103" s="54">
        <v>12</v>
      </c>
      <c r="W103" s="54">
        <v>16</v>
      </c>
      <c r="X103" s="54">
        <v>6</v>
      </c>
      <c r="Y103" s="54">
        <v>12</v>
      </c>
      <c r="Z103" s="54">
        <v>8</v>
      </c>
      <c r="AA103" s="54">
        <v>11</v>
      </c>
      <c r="AB103" s="54">
        <v>17</v>
      </c>
      <c r="AC103" s="54">
        <v>17</v>
      </c>
      <c r="AD103" s="54">
        <v>15</v>
      </c>
      <c r="AE103" s="54">
        <v>8</v>
      </c>
      <c r="AF103" s="54"/>
      <c r="AG103" s="5">
        <f t="shared" si="17"/>
        <v>320</v>
      </c>
    </row>
    <row r="104" spans="1:33" ht="15.75" customHeight="1" x14ac:dyDescent="0.25">
      <c r="A104" s="78" t="s">
        <v>53</v>
      </c>
      <c r="B104" s="54">
        <v>5</v>
      </c>
      <c r="C104" s="54">
        <v>11</v>
      </c>
      <c r="D104" s="54">
        <v>8</v>
      </c>
      <c r="E104" s="54">
        <v>6</v>
      </c>
      <c r="F104" s="54">
        <v>7</v>
      </c>
      <c r="G104" s="54">
        <v>15</v>
      </c>
      <c r="H104" s="54">
        <v>12</v>
      </c>
      <c r="I104" s="54">
        <v>8</v>
      </c>
      <c r="J104" s="54">
        <v>10</v>
      </c>
      <c r="K104" s="54">
        <v>13</v>
      </c>
      <c r="L104" s="54">
        <v>5</v>
      </c>
      <c r="M104" s="54">
        <v>6</v>
      </c>
      <c r="N104" s="54">
        <v>13</v>
      </c>
      <c r="O104" s="54">
        <v>17</v>
      </c>
      <c r="P104" s="54">
        <v>11</v>
      </c>
      <c r="Q104" s="54">
        <v>8</v>
      </c>
      <c r="R104" s="54">
        <v>9</v>
      </c>
      <c r="S104" s="54">
        <v>7</v>
      </c>
      <c r="T104" s="54">
        <v>9</v>
      </c>
      <c r="U104" s="54">
        <v>16</v>
      </c>
      <c r="V104" s="54">
        <v>13</v>
      </c>
      <c r="W104" s="54">
        <v>9</v>
      </c>
      <c r="X104" s="54">
        <v>6</v>
      </c>
      <c r="Y104" s="54">
        <v>12</v>
      </c>
      <c r="Z104" s="54">
        <v>8</v>
      </c>
      <c r="AA104" s="54">
        <v>10</v>
      </c>
      <c r="AB104" s="54">
        <v>19</v>
      </c>
      <c r="AC104" s="54">
        <v>19</v>
      </c>
      <c r="AD104" s="54">
        <v>16</v>
      </c>
      <c r="AE104" s="54">
        <v>9</v>
      </c>
      <c r="AF104" s="54"/>
      <c r="AG104" s="5">
        <f t="shared" si="17"/>
        <v>317</v>
      </c>
    </row>
    <row r="105" spans="1:33" ht="15.75" customHeight="1" x14ac:dyDescent="0.25">
      <c r="A105" s="78" t="s">
        <v>54</v>
      </c>
      <c r="B105" s="54">
        <v>10</v>
      </c>
      <c r="C105" s="54">
        <v>7</v>
      </c>
      <c r="D105" s="54">
        <v>7</v>
      </c>
      <c r="E105" s="54">
        <v>9</v>
      </c>
      <c r="F105" s="54">
        <v>8</v>
      </c>
      <c r="G105" s="54">
        <v>12</v>
      </c>
      <c r="H105" s="54">
        <v>14</v>
      </c>
      <c r="I105" s="54">
        <v>3</v>
      </c>
      <c r="J105" s="54">
        <v>4</v>
      </c>
      <c r="K105" s="54">
        <v>9</v>
      </c>
      <c r="L105" s="54">
        <v>6</v>
      </c>
      <c r="M105" s="54">
        <v>7</v>
      </c>
      <c r="N105" s="54">
        <v>21</v>
      </c>
      <c r="O105" s="54">
        <v>16</v>
      </c>
      <c r="P105" s="54">
        <v>8</v>
      </c>
      <c r="Q105" s="54">
        <v>7</v>
      </c>
      <c r="R105" s="54">
        <v>6</v>
      </c>
      <c r="S105" s="54">
        <v>6</v>
      </c>
      <c r="T105" s="54">
        <v>10</v>
      </c>
      <c r="U105" s="54">
        <v>9</v>
      </c>
      <c r="V105" s="54">
        <v>8</v>
      </c>
      <c r="W105" s="54">
        <v>5</v>
      </c>
      <c r="X105" s="54">
        <v>5</v>
      </c>
      <c r="Y105" s="54">
        <v>7</v>
      </c>
      <c r="Z105" s="54">
        <v>7</v>
      </c>
      <c r="AA105" s="54">
        <v>6</v>
      </c>
      <c r="AB105" s="54">
        <v>6</v>
      </c>
      <c r="AC105" s="54">
        <v>6</v>
      </c>
      <c r="AD105" s="54">
        <v>10</v>
      </c>
      <c r="AE105" s="54">
        <v>3</v>
      </c>
      <c r="AF105" s="54"/>
      <c r="AG105" s="5">
        <f t="shared" si="17"/>
        <v>242</v>
      </c>
    </row>
    <row r="106" spans="1:33" ht="15.75" customHeight="1" x14ac:dyDescent="0.25">
      <c r="A106" s="78" t="s">
        <v>55</v>
      </c>
      <c r="B106" s="54">
        <v>11</v>
      </c>
      <c r="C106" s="54">
        <v>7</v>
      </c>
      <c r="D106" s="54">
        <v>8</v>
      </c>
      <c r="E106" s="54">
        <v>7</v>
      </c>
      <c r="F106" s="54">
        <v>2</v>
      </c>
      <c r="G106" s="54">
        <v>8</v>
      </c>
      <c r="H106" s="54">
        <v>16</v>
      </c>
      <c r="I106" s="54">
        <v>6</v>
      </c>
      <c r="J106" s="54">
        <v>7</v>
      </c>
      <c r="K106" s="54">
        <v>7</v>
      </c>
      <c r="L106" s="54">
        <v>8</v>
      </c>
      <c r="M106" s="54">
        <v>6</v>
      </c>
      <c r="N106" s="54">
        <v>16</v>
      </c>
      <c r="O106" s="54">
        <v>14</v>
      </c>
      <c r="P106" s="54">
        <v>9</v>
      </c>
      <c r="Q106" s="54">
        <v>7</v>
      </c>
      <c r="R106" s="54">
        <v>3</v>
      </c>
      <c r="S106" s="54">
        <v>5</v>
      </c>
      <c r="T106" s="54">
        <v>5</v>
      </c>
      <c r="U106" s="54">
        <v>7</v>
      </c>
      <c r="V106" s="54">
        <v>11</v>
      </c>
      <c r="W106" s="54">
        <v>7</v>
      </c>
      <c r="X106" s="54">
        <v>10</v>
      </c>
      <c r="Y106" s="54">
        <v>11</v>
      </c>
      <c r="Z106" s="54">
        <v>8</v>
      </c>
      <c r="AA106" s="54">
        <v>6</v>
      </c>
      <c r="AB106" s="54">
        <v>7</v>
      </c>
      <c r="AC106" s="54">
        <v>7</v>
      </c>
      <c r="AD106" s="54">
        <v>4</v>
      </c>
      <c r="AE106" s="54">
        <v>10</v>
      </c>
      <c r="AF106" s="54"/>
      <c r="AG106" s="5">
        <f t="shared" si="17"/>
        <v>240</v>
      </c>
    </row>
    <row r="107" spans="1:33" ht="15.75" customHeight="1" x14ac:dyDescent="0.25">
      <c r="A107" s="78" t="s">
        <v>56</v>
      </c>
      <c r="B107" s="54">
        <v>6</v>
      </c>
      <c r="C107" s="54">
        <v>5</v>
      </c>
      <c r="D107" s="54">
        <v>9</v>
      </c>
      <c r="E107" s="54">
        <v>9</v>
      </c>
      <c r="F107" s="54">
        <v>7</v>
      </c>
      <c r="G107" s="54">
        <v>9</v>
      </c>
      <c r="H107" s="54">
        <v>8</v>
      </c>
      <c r="I107" s="54">
        <v>7</v>
      </c>
      <c r="J107" s="54">
        <v>2</v>
      </c>
      <c r="K107" s="54">
        <v>11</v>
      </c>
      <c r="L107" s="54">
        <v>6</v>
      </c>
      <c r="M107" s="54">
        <v>2</v>
      </c>
      <c r="N107" s="54">
        <v>9</v>
      </c>
      <c r="O107" s="54">
        <v>15</v>
      </c>
      <c r="P107" s="54">
        <v>6</v>
      </c>
      <c r="Q107" s="54">
        <v>8</v>
      </c>
      <c r="R107" s="54">
        <v>3</v>
      </c>
      <c r="S107" s="54">
        <v>2</v>
      </c>
      <c r="T107" s="54">
        <v>7</v>
      </c>
      <c r="U107" s="54">
        <v>8</v>
      </c>
      <c r="V107" s="54">
        <v>10</v>
      </c>
      <c r="W107" s="54">
        <v>10</v>
      </c>
      <c r="X107" s="54">
        <v>9</v>
      </c>
      <c r="Y107" s="54">
        <v>7</v>
      </c>
      <c r="Z107" s="54">
        <v>5</v>
      </c>
      <c r="AA107" s="54">
        <v>5</v>
      </c>
      <c r="AB107" s="54">
        <v>14</v>
      </c>
      <c r="AC107" s="54">
        <v>14</v>
      </c>
      <c r="AD107" s="54">
        <v>5</v>
      </c>
      <c r="AE107" s="54">
        <v>6</v>
      </c>
      <c r="AF107" s="54"/>
      <c r="AG107" s="5">
        <f t="shared" si="17"/>
        <v>224</v>
      </c>
    </row>
    <row r="108" spans="1:33" ht="15.75" customHeight="1" x14ac:dyDescent="0.25">
      <c r="A108" s="78" t="s">
        <v>57</v>
      </c>
      <c r="B108" s="54">
        <v>8</v>
      </c>
      <c r="C108" s="54">
        <v>11</v>
      </c>
      <c r="D108" s="54">
        <v>4</v>
      </c>
      <c r="E108" s="54">
        <v>5</v>
      </c>
      <c r="F108" s="54">
        <v>9</v>
      </c>
      <c r="G108" s="54">
        <v>6</v>
      </c>
      <c r="H108" s="54">
        <v>10</v>
      </c>
      <c r="I108" s="54">
        <v>7</v>
      </c>
      <c r="J108" s="54">
        <v>10</v>
      </c>
      <c r="K108" s="54">
        <v>6</v>
      </c>
      <c r="L108" s="54">
        <v>9</v>
      </c>
      <c r="M108" s="54">
        <v>7</v>
      </c>
      <c r="N108" s="54">
        <v>12</v>
      </c>
      <c r="O108" s="54">
        <v>8</v>
      </c>
      <c r="P108" s="54">
        <v>9</v>
      </c>
      <c r="Q108" s="54">
        <v>12</v>
      </c>
      <c r="R108" s="54">
        <v>6</v>
      </c>
      <c r="S108" s="54">
        <v>8</v>
      </c>
      <c r="T108" s="54">
        <v>10</v>
      </c>
      <c r="U108" s="54">
        <v>16</v>
      </c>
      <c r="V108" s="54">
        <v>12</v>
      </c>
      <c r="W108" s="54">
        <v>10</v>
      </c>
      <c r="X108" s="54">
        <v>9</v>
      </c>
      <c r="Y108" s="54">
        <v>7</v>
      </c>
      <c r="Z108" s="54">
        <v>4</v>
      </c>
      <c r="AA108" s="54">
        <v>6</v>
      </c>
      <c r="AB108" s="54">
        <v>15</v>
      </c>
      <c r="AC108" s="54">
        <v>15</v>
      </c>
      <c r="AD108" s="54">
        <v>8</v>
      </c>
      <c r="AE108" s="54">
        <v>10</v>
      </c>
      <c r="AF108" s="54"/>
      <c r="AG108" s="5">
        <f t="shared" si="17"/>
        <v>269</v>
      </c>
    </row>
    <row r="109" spans="1:33" ht="15.75" customHeight="1" x14ac:dyDescent="0.25">
      <c r="A109" s="78" t="s">
        <v>58</v>
      </c>
      <c r="B109" s="54">
        <v>8</v>
      </c>
      <c r="C109" s="54">
        <v>6</v>
      </c>
      <c r="D109" s="54">
        <v>8</v>
      </c>
      <c r="E109" s="54">
        <v>6</v>
      </c>
      <c r="F109" s="54">
        <v>9</v>
      </c>
      <c r="G109" s="54">
        <v>15</v>
      </c>
      <c r="H109" s="54">
        <v>16</v>
      </c>
      <c r="I109" s="54">
        <v>9</v>
      </c>
      <c r="J109" s="54">
        <v>3</v>
      </c>
      <c r="K109" s="54">
        <v>6</v>
      </c>
      <c r="L109" s="54">
        <v>6</v>
      </c>
      <c r="M109" s="54">
        <v>9</v>
      </c>
      <c r="N109" s="54">
        <v>10</v>
      </c>
      <c r="O109" s="54">
        <v>10</v>
      </c>
      <c r="P109" s="54">
        <v>6</v>
      </c>
      <c r="Q109" s="54">
        <v>6</v>
      </c>
      <c r="R109" s="54">
        <v>5</v>
      </c>
      <c r="S109" s="54">
        <v>6</v>
      </c>
      <c r="T109" s="54">
        <v>6</v>
      </c>
      <c r="U109" s="54">
        <v>11</v>
      </c>
      <c r="V109" s="54">
        <v>14</v>
      </c>
      <c r="W109" s="54">
        <v>7</v>
      </c>
      <c r="X109" s="54">
        <v>8</v>
      </c>
      <c r="Y109" s="54">
        <v>4</v>
      </c>
      <c r="Z109" s="54">
        <v>6</v>
      </c>
      <c r="AA109" s="54">
        <v>8</v>
      </c>
      <c r="AB109" s="54">
        <v>8</v>
      </c>
      <c r="AC109" s="54">
        <v>8</v>
      </c>
      <c r="AD109" s="54">
        <v>6</v>
      </c>
      <c r="AE109" s="54">
        <v>8</v>
      </c>
      <c r="AF109" s="54"/>
      <c r="AG109" s="5">
        <f t="shared" si="17"/>
        <v>238</v>
      </c>
    </row>
    <row r="110" spans="1:33" ht="15.75" customHeight="1" x14ac:dyDescent="0.25">
      <c r="A110" s="78" t="s">
        <v>59</v>
      </c>
      <c r="B110" s="54">
        <v>13</v>
      </c>
      <c r="C110" s="54">
        <v>4</v>
      </c>
      <c r="D110" s="54">
        <v>9</v>
      </c>
      <c r="E110" s="54">
        <v>5</v>
      </c>
      <c r="F110" s="54">
        <v>8</v>
      </c>
      <c r="G110" s="54">
        <v>11</v>
      </c>
      <c r="H110" s="54">
        <v>13</v>
      </c>
      <c r="I110" s="54">
        <v>4</v>
      </c>
      <c r="J110" s="54">
        <v>8</v>
      </c>
      <c r="K110" s="54">
        <v>3</v>
      </c>
      <c r="L110" s="54">
        <v>12</v>
      </c>
      <c r="M110" s="54">
        <v>6</v>
      </c>
      <c r="N110" s="54">
        <v>14</v>
      </c>
      <c r="O110" s="54">
        <v>13</v>
      </c>
      <c r="P110" s="54">
        <v>7</v>
      </c>
      <c r="Q110" s="54">
        <v>5</v>
      </c>
      <c r="R110" s="54">
        <v>10</v>
      </c>
      <c r="S110" s="54">
        <v>7</v>
      </c>
      <c r="T110" s="54">
        <v>2</v>
      </c>
      <c r="U110" s="54">
        <v>12</v>
      </c>
      <c r="V110" s="54">
        <v>7</v>
      </c>
      <c r="W110" s="54">
        <v>10</v>
      </c>
      <c r="X110" s="54">
        <v>4</v>
      </c>
      <c r="Y110" s="54">
        <v>4</v>
      </c>
      <c r="Z110" s="54">
        <v>1</v>
      </c>
      <c r="AA110" s="54">
        <v>4</v>
      </c>
      <c r="AB110" s="54">
        <v>7</v>
      </c>
      <c r="AC110" s="54">
        <v>7</v>
      </c>
      <c r="AD110" s="54">
        <v>2</v>
      </c>
      <c r="AE110" s="54">
        <v>8</v>
      </c>
      <c r="AF110" s="54"/>
      <c r="AG110" s="5">
        <f t="shared" si="17"/>
        <v>220</v>
      </c>
    </row>
    <row r="111" spans="1:33" ht="15.75" customHeight="1" x14ac:dyDescent="0.25">
      <c r="A111" s="78" t="s">
        <v>60</v>
      </c>
      <c r="B111" s="54">
        <v>6</v>
      </c>
      <c r="C111" s="54">
        <v>3</v>
      </c>
      <c r="D111" s="54">
        <v>5</v>
      </c>
      <c r="E111" s="54">
        <v>2</v>
      </c>
      <c r="F111" s="54">
        <v>7</v>
      </c>
      <c r="G111" s="54">
        <v>8</v>
      </c>
      <c r="H111" s="54">
        <v>9</v>
      </c>
      <c r="I111" s="54">
        <v>7</v>
      </c>
      <c r="J111" s="54">
        <v>6</v>
      </c>
      <c r="K111" s="54">
        <v>3</v>
      </c>
      <c r="L111" s="54">
        <v>7</v>
      </c>
      <c r="M111" s="54">
        <v>4</v>
      </c>
      <c r="N111" s="54">
        <v>7</v>
      </c>
      <c r="O111" s="54">
        <v>8</v>
      </c>
      <c r="P111" s="54">
        <v>8</v>
      </c>
      <c r="Q111" s="54">
        <v>6</v>
      </c>
      <c r="R111" s="54">
        <v>7</v>
      </c>
      <c r="S111" s="54">
        <v>6</v>
      </c>
      <c r="T111" s="54">
        <v>9</v>
      </c>
      <c r="U111" s="54">
        <v>7</v>
      </c>
      <c r="V111" s="54">
        <v>10</v>
      </c>
      <c r="W111" s="54">
        <v>5</v>
      </c>
      <c r="X111" s="54">
        <v>5</v>
      </c>
      <c r="Y111" s="54">
        <v>4</v>
      </c>
      <c r="Z111" s="54">
        <v>4</v>
      </c>
      <c r="AA111" s="54">
        <v>9</v>
      </c>
      <c r="AB111" s="54">
        <v>11</v>
      </c>
      <c r="AC111" s="54">
        <v>11</v>
      </c>
      <c r="AD111" s="54">
        <v>3</v>
      </c>
      <c r="AE111" s="54">
        <v>6</v>
      </c>
      <c r="AF111" s="54"/>
      <c r="AG111" s="5">
        <f t="shared" si="17"/>
        <v>193</v>
      </c>
    </row>
    <row r="112" spans="1:33" ht="15.75" customHeight="1" x14ac:dyDescent="0.25">
      <c r="A112" s="78" t="s">
        <v>61</v>
      </c>
      <c r="B112" s="54">
        <v>5</v>
      </c>
      <c r="C112" s="54">
        <v>3</v>
      </c>
      <c r="D112" s="54">
        <v>5</v>
      </c>
      <c r="E112" s="54">
        <v>6</v>
      </c>
      <c r="F112" s="54">
        <v>5</v>
      </c>
      <c r="G112" s="54">
        <v>6</v>
      </c>
      <c r="H112" s="54">
        <v>4</v>
      </c>
      <c r="I112" s="54">
        <v>6</v>
      </c>
      <c r="J112" s="54">
        <v>2</v>
      </c>
      <c r="K112" s="54">
        <v>6</v>
      </c>
      <c r="L112" s="54">
        <v>8</v>
      </c>
      <c r="M112" s="54">
        <v>4</v>
      </c>
      <c r="N112" s="54">
        <v>3</v>
      </c>
      <c r="O112" s="54">
        <v>6</v>
      </c>
      <c r="P112" s="54">
        <v>6</v>
      </c>
      <c r="Q112" s="54">
        <v>7</v>
      </c>
      <c r="R112" s="54">
        <v>9</v>
      </c>
      <c r="S112" s="54">
        <v>12</v>
      </c>
      <c r="T112" s="54">
        <v>6</v>
      </c>
      <c r="U112" s="54">
        <v>7</v>
      </c>
      <c r="V112" s="54">
        <v>5</v>
      </c>
      <c r="W112" s="54">
        <v>3</v>
      </c>
      <c r="X112" s="54">
        <v>4</v>
      </c>
      <c r="Y112" s="54">
        <v>4</v>
      </c>
      <c r="Z112" s="54">
        <v>5</v>
      </c>
      <c r="AA112" s="54">
        <v>4</v>
      </c>
      <c r="AB112" s="54">
        <v>4</v>
      </c>
      <c r="AC112" s="54">
        <v>4</v>
      </c>
      <c r="AD112" s="54">
        <v>2</v>
      </c>
      <c r="AE112" s="54">
        <v>4</v>
      </c>
      <c r="AF112" s="54"/>
      <c r="AG112" s="5">
        <f t="shared" si="17"/>
        <v>155</v>
      </c>
    </row>
    <row r="113" spans="1:37" ht="15.75" customHeight="1" x14ac:dyDescent="0.25">
      <c r="A113" s="78" t="s">
        <v>62</v>
      </c>
      <c r="B113" s="54">
        <v>3</v>
      </c>
      <c r="C113" s="54">
        <v>2</v>
      </c>
      <c r="D113" s="54">
        <v>3</v>
      </c>
      <c r="E113" s="54">
        <v>1</v>
      </c>
      <c r="F113" s="54">
        <v>7</v>
      </c>
      <c r="G113" s="54">
        <v>7</v>
      </c>
      <c r="H113" s="54">
        <v>5</v>
      </c>
      <c r="I113" s="54">
        <v>2</v>
      </c>
      <c r="J113" s="54">
        <v>5</v>
      </c>
      <c r="K113" s="54">
        <v>3</v>
      </c>
      <c r="L113" s="54">
        <v>6</v>
      </c>
      <c r="M113" s="54">
        <v>3</v>
      </c>
      <c r="N113" s="54">
        <v>6</v>
      </c>
      <c r="O113" s="54">
        <v>5</v>
      </c>
      <c r="P113" s="54">
        <v>4</v>
      </c>
      <c r="Q113" s="54">
        <v>7</v>
      </c>
      <c r="R113" s="54">
        <v>4</v>
      </c>
      <c r="S113" s="54">
        <v>3</v>
      </c>
      <c r="T113" s="54">
        <v>1</v>
      </c>
      <c r="U113" s="54">
        <v>8</v>
      </c>
      <c r="V113" s="54">
        <v>7</v>
      </c>
      <c r="W113" s="54">
        <v>2</v>
      </c>
      <c r="X113" s="54">
        <v>6</v>
      </c>
      <c r="Y113" s="54">
        <v>2</v>
      </c>
      <c r="Z113" s="54">
        <v>1</v>
      </c>
      <c r="AA113" s="54">
        <v>4</v>
      </c>
      <c r="AB113" s="54">
        <v>4</v>
      </c>
      <c r="AC113" s="54">
        <v>4</v>
      </c>
      <c r="AD113" s="54">
        <v>1</v>
      </c>
      <c r="AE113" s="54">
        <v>2</v>
      </c>
      <c r="AF113" s="54"/>
      <c r="AG113" s="5">
        <f t="shared" si="17"/>
        <v>118</v>
      </c>
    </row>
    <row r="114" spans="1:37" ht="15.75" customHeight="1" x14ac:dyDescent="0.25">
      <c r="A114" s="78" t="s">
        <v>63</v>
      </c>
      <c r="B114" s="54">
        <v>6</v>
      </c>
      <c r="C114" s="54">
        <v>1</v>
      </c>
      <c r="D114" s="54">
        <v>4</v>
      </c>
      <c r="E114" s="54">
        <v>5</v>
      </c>
      <c r="F114" s="54">
        <v>6</v>
      </c>
      <c r="G114" s="54">
        <v>7</v>
      </c>
      <c r="H114" s="54">
        <v>13</v>
      </c>
      <c r="I114" s="54">
        <v>6</v>
      </c>
      <c r="J114" s="54">
        <v>7</v>
      </c>
      <c r="K114" s="54">
        <v>5</v>
      </c>
      <c r="L114" s="54">
        <v>3</v>
      </c>
      <c r="M114" s="54">
        <v>8</v>
      </c>
      <c r="N114" s="54">
        <v>9</v>
      </c>
      <c r="O114" s="54">
        <v>5</v>
      </c>
      <c r="P114" s="54">
        <v>10</v>
      </c>
      <c r="Q114" s="54">
        <v>8</v>
      </c>
      <c r="R114" s="54">
        <v>8</v>
      </c>
      <c r="S114" s="54">
        <v>7</v>
      </c>
      <c r="T114" s="54">
        <v>6</v>
      </c>
      <c r="U114" s="54">
        <v>7</v>
      </c>
      <c r="V114" s="54">
        <v>7</v>
      </c>
      <c r="W114" s="54">
        <v>4</v>
      </c>
      <c r="X114" s="54">
        <v>1</v>
      </c>
      <c r="Y114" s="54">
        <v>7</v>
      </c>
      <c r="Z114" s="54">
        <v>2</v>
      </c>
      <c r="AA114" s="54">
        <v>6</v>
      </c>
      <c r="AB114" s="54">
        <v>3</v>
      </c>
      <c r="AC114" s="54">
        <v>3</v>
      </c>
      <c r="AD114" s="54">
        <v>3</v>
      </c>
      <c r="AE114" s="54">
        <v>4</v>
      </c>
      <c r="AF114" s="54"/>
      <c r="AG114" s="5">
        <f t="shared" si="17"/>
        <v>171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24</v>
      </c>
      <c r="C116" s="20">
        <f t="shared" si="19"/>
        <v>23</v>
      </c>
      <c r="D116" s="20">
        <f t="shared" si="19"/>
        <v>20</v>
      </c>
      <c r="E116" s="20">
        <f t="shared" si="19"/>
        <v>18</v>
      </c>
      <c r="F116" s="20">
        <f t="shared" si="19"/>
        <v>26</v>
      </c>
      <c r="G116" s="20">
        <f t="shared" si="19"/>
        <v>44</v>
      </c>
      <c r="H116" s="20">
        <f t="shared" si="19"/>
        <v>41</v>
      </c>
      <c r="I116" s="20">
        <f t="shared" si="19"/>
        <v>33</v>
      </c>
      <c r="J116" s="20">
        <f t="shared" si="19"/>
        <v>22</v>
      </c>
      <c r="K116" s="20">
        <f t="shared" si="19"/>
        <v>29</v>
      </c>
      <c r="L116" s="20">
        <f t="shared" si="19"/>
        <v>23</v>
      </c>
      <c r="M116" s="20">
        <f t="shared" si="19"/>
        <v>23</v>
      </c>
      <c r="N116" s="20">
        <f t="shared" si="19"/>
        <v>34</v>
      </c>
      <c r="O116" s="20">
        <f t="shared" si="19"/>
        <v>22</v>
      </c>
      <c r="P116" s="20">
        <f t="shared" si="19"/>
        <v>33</v>
      </c>
      <c r="Q116" s="20">
        <f t="shared" si="19"/>
        <v>31</v>
      </c>
      <c r="R116" s="20">
        <f t="shared" si="19"/>
        <v>24</v>
      </c>
      <c r="S116" s="20">
        <f t="shared" si="19"/>
        <v>24</v>
      </c>
      <c r="T116" s="20">
        <f t="shared" si="19"/>
        <v>29</v>
      </c>
      <c r="U116" s="20">
        <f t="shared" si="19"/>
        <v>43</v>
      </c>
      <c r="V116" s="20">
        <f t="shared" si="19"/>
        <v>37</v>
      </c>
      <c r="W116" s="20">
        <f t="shared" si="19"/>
        <v>36</v>
      </c>
      <c r="X116" s="20">
        <f t="shared" si="19"/>
        <v>27</v>
      </c>
      <c r="Y116" s="20">
        <f t="shared" si="19"/>
        <v>29</v>
      </c>
      <c r="Z116" s="20">
        <f t="shared" si="19"/>
        <v>20</v>
      </c>
      <c r="AA116" s="20">
        <f t="shared" si="19"/>
        <v>31</v>
      </c>
      <c r="AB116" s="20">
        <f t="shared" si="19"/>
        <v>47</v>
      </c>
      <c r="AC116" s="20">
        <f t="shared" si="19"/>
        <v>47</v>
      </c>
      <c r="AD116" s="20">
        <f t="shared" si="19"/>
        <v>38</v>
      </c>
      <c r="AE116" s="20">
        <f t="shared" si="19"/>
        <v>34</v>
      </c>
      <c r="AF116" s="20">
        <f t="shared" si="19"/>
        <v>0</v>
      </c>
      <c r="AG116" s="5">
        <f t="shared" si="17"/>
        <v>912</v>
      </c>
      <c r="AK116" s="84">
        <v>612</v>
      </c>
    </row>
    <row r="117" spans="1:37" ht="15.75" customHeight="1" x14ac:dyDescent="0.25">
      <c r="A117" s="85" t="s">
        <v>65</v>
      </c>
      <c r="B117" s="54">
        <v>24</v>
      </c>
      <c r="C117" s="54">
        <v>22</v>
      </c>
      <c r="D117" s="54">
        <v>20</v>
      </c>
      <c r="E117" s="54">
        <v>17</v>
      </c>
      <c r="F117" s="54">
        <v>26</v>
      </c>
      <c r="G117" s="54">
        <v>43</v>
      </c>
      <c r="H117" s="54">
        <v>39</v>
      </c>
      <c r="I117" s="54">
        <v>31</v>
      </c>
      <c r="J117" s="54">
        <v>22</v>
      </c>
      <c r="K117" s="54">
        <v>29</v>
      </c>
      <c r="L117" s="54">
        <v>22</v>
      </c>
      <c r="M117" s="54">
        <v>21</v>
      </c>
      <c r="N117" s="54">
        <v>32</v>
      </c>
      <c r="O117" s="54">
        <v>22</v>
      </c>
      <c r="P117" s="54">
        <v>31</v>
      </c>
      <c r="Q117" s="54">
        <v>30</v>
      </c>
      <c r="R117" s="54">
        <v>24</v>
      </c>
      <c r="S117" s="54">
        <v>22</v>
      </c>
      <c r="T117" s="54">
        <v>28</v>
      </c>
      <c r="U117" s="54">
        <v>41</v>
      </c>
      <c r="V117" s="54">
        <v>35</v>
      </c>
      <c r="W117" s="54">
        <v>35</v>
      </c>
      <c r="X117" s="54">
        <v>27</v>
      </c>
      <c r="Y117" s="54">
        <v>27</v>
      </c>
      <c r="Z117" s="54">
        <v>19</v>
      </c>
      <c r="AA117" s="54">
        <v>29</v>
      </c>
      <c r="AB117" s="54">
        <v>44</v>
      </c>
      <c r="AC117" s="54">
        <v>44</v>
      </c>
      <c r="AD117" s="54">
        <v>37</v>
      </c>
      <c r="AE117" s="54">
        <v>34</v>
      </c>
      <c r="AF117" s="54"/>
      <c r="AG117" s="5">
        <f t="shared" si="17"/>
        <v>877</v>
      </c>
      <c r="AK117" s="84">
        <v>613</v>
      </c>
    </row>
    <row r="118" spans="1:37" ht="15.75" customHeight="1" thickBot="1" x14ac:dyDescent="0.3">
      <c r="A118" s="86" t="s">
        <v>77</v>
      </c>
      <c r="B118" s="87">
        <v>0</v>
      </c>
      <c r="C118" s="87">
        <v>1</v>
      </c>
      <c r="D118" s="87">
        <v>0</v>
      </c>
      <c r="E118" s="87">
        <v>1</v>
      </c>
      <c r="F118" s="87">
        <v>0</v>
      </c>
      <c r="G118" s="87">
        <v>1</v>
      </c>
      <c r="H118" s="87">
        <v>2</v>
      </c>
      <c r="I118" s="87">
        <v>2</v>
      </c>
      <c r="J118" s="87">
        <v>0</v>
      </c>
      <c r="K118" s="87">
        <v>0</v>
      </c>
      <c r="L118" s="87">
        <v>1</v>
      </c>
      <c r="M118" s="87">
        <v>2</v>
      </c>
      <c r="N118" s="87">
        <v>2</v>
      </c>
      <c r="O118" s="87">
        <v>0</v>
      </c>
      <c r="P118" s="87">
        <v>2</v>
      </c>
      <c r="Q118" s="87">
        <v>1</v>
      </c>
      <c r="R118" s="87">
        <v>0</v>
      </c>
      <c r="S118" s="87">
        <v>2</v>
      </c>
      <c r="T118" s="87">
        <v>1</v>
      </c>
      <c r="U118" s="87">
        <v>2</v>
      </c>
      <c r="V118" s="87">
        <v>2</v>
      </c>
      <c r="W118" s="87">
        <v>1</v>
      </c>
      <c r="X118" s="87">
        <v>0</v>
      </c>
      <c r="Y118" s="87">
        <v>2</v>
      </c>
      <c r="Z118" s="87">
        <v>1</v>
      </c>
      <c r="AA118" s="87">
        <v>2</v>
      </c>
      <c r="AB118" s="87">
        <v>3</v>
      </c>
      <c r="AC118" s="87">
        <v>3</v>
      </c>
      <c r="AD118" s="87">
        <v>1</v>
      </c>
      <c r="AE118" s="87">
        <v>0</v>
      </c>
      <c r="AF118" s="87"/>
      <c r="AG118" s="5">
        <f t="shared" si="17"/>
        <v>35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136</v>
      </c>
      <c r="C119" s="20">
        <f t="shared" si="20"/>
        <v>115</v>
      </c>
      <c r="D119" s="20">
        <f t="shared" si="20"/>
        <v>142</v>
      </c>
      <c r="E119" s="20">
        <f t="shared" si="20"/>
        <v>120</v>
      </c>
      <c r="F119" s="20">
        <f t="shared" si="20"/>
        <v>130</v>
      </c>
      <c r="G119" s="20">
        <f t="shared" si="20"/>
        <v>178</v>
      </c>
      <c r="H119" s="20">
        <f t="shared" si="20"/>
        <v>198</v>
      </c>
      <c r="I119" s="20">
        <f t="shared" si="20"/>
        <v>131</v>
      </c>
      <c r="J119" s="20">
        <f t="shared" si="20"/>
        <v>108</v>
      </c>
      <c r="K119" s="20">
        <f t="shared" si="20"/>
        <v>118</v>
      </c>
      <c r="L119" s="20">
        <f t="shared" si="20"/>
        <v>129</v>
      </c>
      <c r="M119" s="20">
        <f t="shared" si="20"/>
        <v>113</v>
      </c>
      <c r="N119" s="20">
        <f t="shared" si="20"/>
        <v>192</v>
      </c>
      <c r="O119" s="20">
        <f t="shared" si="20"/>
        <v>185</v>
      </c>
      <c r="P119" s="20">
        <f t="shared" si="20"/>
        <v>146</v>
      </c>
      <c r="Q119" s="20">
        <f t="shared" si="20"/>
        <v>134</v>
      </c>
      <c r="R119" s="20">
        <f t="shared" si="20"/>
        <v>137</v>
      </c>
      <c r="S119" s="20">
        <f t="shared" si="20"/>
        <v>135</v>
      </c>
      <c r="T119" s="20">
        <f t="shared" si="20"/>
        <v>136</v>
      </c>
      <c r="U119" s="20">
        <f t="shared" si="20"/>
        <v>204</v>
      </c>
      <c r="V119" s="20">
        <f t="shared" si="20"/>
        <v>194</v>
      </c>
      <c r="W119" s="20">
        <f t="shared" si="20"/>
        <v>164</v>
      </c>
      <c r="X119" s="20">
        <f t="shared" si="20"/>
        <v>128</v>
      </c>
      <c r="Y119" s="20">
        <f t="shared" si="20"/>
        <v>137</v>
      </c>
      <c r="Z119" s="20">
        <f t="shared" si="20"/>
        <v>111</v>
      </c>
      <c r="AA119" s="20">
        <f t="shared" si="20"/>
        <v>127</v>
      </c>
      <c r="AB119" s="20">
        <f t="shared" si="20"/>
        <v>204</v>
      </c>
      <c r="AC119" s="20">
        <f t="shared" si="20"/>
        <v>204</v>
      </c>
      <c r="AD119" s="20">
        <f t="shared" si="20"/>
        <v>142</v>
      </c>
      <c r="AE119" s="20">
        <f t="shared" si="20"/>
        <v>129</v>
      </c>
      <c r="AF119" s="20">
        <f t="shared" si="20"/>
        <v>0</v>
      </c>
      <c r="AG119" s="7">
        <f t="shared" si="17"/>
        <v>4427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23</v>
      </c>
      <c r="C120" s="54">
        <v>22</v>
      </c>
      <c r="D120" s="54">
        <v>19</v>
      </c>
      <c r="E120" s="54">
        <v>17</v>
      </c>
      <c r="F120" s="54">
        <v>23</v>
      </c>
      <c r="G120" s="54">
        <v>41</v>
      </c>
      <c r="H120" s="54">
        <v>35</v>
      </c>
      <c r="I120" s="54">
        <v>29</v>
      </c>
      <c r="J120" s="54">
        <v>19</v>
      </c>
      <c r="K120" s="54">
        <v>27</v>
      </c>
      <c r="L120" s="54">
        <v>19</v>
      </c>
      <c r="M120" s="54">
        <v>18</v>
      </c>
      <c r="N120" s="54">
        <v>32</v>
      </c>
      <c r="O120" s="54">
        <v>19</v>
      </c>
      <c r="P120" s="54">
        <v>25</v>
      </c>
      <c r="Q120" s="54">
        <v>26</v>
      </c>
      <c r="R120" s="54">
        <v>24</v>
      </c>
      <c r="S120" s="54">
        <v>20</v>
      </c>
      <c r="T120" s="54">
        <v>25</v>
      </c>
      <c r="U120" s="54">
        <v>39</v>
      </c>
      <c r="V120" s="54">
        <v>33</v>
      </c>
      <c r="W120" s="54">
        <v>29</v>
      </c>
      <c r="X120" s="54">
        <v>19</v>
      </c>
      <c r="Y120" s="54">
        <v>20</v>
      </c>
      <c r="Z120" s="54">
        <v>19</v>
      </c>
      <c r="AA120" s="54">
        <v>26</v>
      </c>
      <c r="AB120" s="54">
        <v>44</v>
      </c>
      <c r="AC120" s="54">
        <v>44</v>
      </c>
      <c r="AD120" s="54">
        <v>37</v>
      </c>
      <c r="AE120" s="54">
        <v>33</v>
      </c>
      <c r="AF120" s="54"/>
      <c r="AG120" s="5">
        <f t="shared" si="17"/>
        <v>806</v>
      </c>
      <c r="AK120" s="88" t="s">
        <v>131</v>
      </c>
    </row>
    <row r="121" spans="1:37" ht="15.75" customHeight="1" x14ac:dyDescent="0.25">
      <c r="A121" s="85" t="s">
        <v>66</v>
      </c>
      <c r="B121" s="54">
        <v>11</v>
      </c>
      <c r="C121" s="54">
        <v>3</v>
      </c>
      <c r="D121" s="54">
        <v>1</v>
      </c>
      <c r="E121" s="54">
        <v>8</v>
      </c>
      <c r="F121" s="54">
        <v>4</v>
      </c>
      <c r="G121" s="54">
        <v>4</v>
      </c>
      <c r="H121" s="54">
        <v>8</v>
      </c>
      <c r="I121" s="54">
        <v>10</v>
      </c>
      <c r="J121" s="54">
        <v>1</v>
      </c>
      <c r="K121" s="54">
        <v>3</v>
      </c>
      <c r="L121" s="54">
        <v>8</v>
      </c>
      <c r="M121" s="54">
        <v>2</v>
      </c>
      <c r="N121" s="54">
        <v>12</v>
      </c>
      <c r="O121" s="54">
        <v>7</v>
      </c>
      <c r="P121" s="54">
        <v>5</v>
      </c>
      <c r="Q121" s="54">
        <v>5</v>
      </c>
      <c r="R121" s="54">
        <v>5</v>
      </c>
      <c r="S121" s="54">
        <v>5</v>
      </c>
      <c r="T121" s="54">
        <v>3</v>
      </c>
      <c r="U121" s="54">
        <v>6</v>
      </c>
      <c r="V121" s="54">
        <v>7</v>
      </c>
      <c r="W121" s="54">
        <v>3</v>
      </c>
      <c r="X121" s="54">
        <v>2</v>
      </c>
      <c r="Y121" s="54">
        <v>5</v>
      </c>
      <c r="Z121" s="54">
        <v>6</v>
      </c>
      <c r="AA121" s="54">
        <v>4</v>
      </c>
      <c r="AB121" s="54">
        <v>5</v>
      </c>
      <c r="AC121" s="54">
        <v>5</v>
      </c>
      <c r="AD121" s="54">
        <v>4</v>
      </c>
      <c r="AE121" s="54">
        <v>8</v>
      </c>
      <c r="AF121" s="54"/>
      <c r="AG121" s="5">
        <f t="shared" si="17"/>
        <v>160</v>
      </c>
      <c r="AK121" s="84" t="s">
        <v>132</v>
      </c>
    </row>
    <row r="122" spans="1:37" ht="15.75" customHeight="1" x14ac:dyDescent="0.25">
      <c r="A122" s="85" t="s">
        <v>67</v>
      </c>
      <c r="B122" s="54">
        <v>9</v>
      </c>
      <c r="C122" s="54">
        <v>5</v>
      </c>
      <c r="D122" s="54">
        <v>7</v>
      </c>
      <c r="E122" s="54">
        <v>8</v>
      </c>
      <c r="F122" s="54">
        <v>5</v>
      </c>
      <c r="G122" s="54">
        <v>12</v>
      </c>
      <c r="H122" s="54">
        <v>16</v>
      </c>
      <c r="I122" s="54">
        <v>8</v>
      </c>
      <c r="J122" s="54">
        <v>8</v>
      </c>
      <c r="K122" s="54">
        <v>5</v>
      </c>
      <c r="L122" s="54">
        <v>5</v>
      </c>
      <c r="M122" s="54">
        <v>2</v>
      </c>
      <c r="N122" s="54">
        <v>7</v>
      </c>
      <c r="O122" s="54">
        <v>9</v>
      </c>
      <c r="P122" s="54">
        <v>11</v>
      </c>
      <c r="Q122" s="54">
        <v>5</v>
      </c>
      <c r="R122" s="54">
        <v>8</v>
      </c>
      <c r="S122" s="54">
        <v>9</v>
      </c>
      <c r="T122" s="54">
        <v>9</v>
      </c>
      <c r="U122" s="54">
        <v>12</v>
      </c>
      <c r="V122" s="54">
        <v>4</v>
      </c>
      <c r="W122" s="54">
        <v>13</v>
      </c>
      <c r="X122" s="54">
        <v>9</v>
      </c>
      <c r="Y122" s="54">
        <v>10</v>
      </c>
      <c r="Z122" s="54">
        <v>3</v>
      </c>
      <c r="AA122" s="54">
        <v>4</v>
      </c>
      <c r="AB122" s="54">
        <v>11</v>
      </c>
      <c r="AC122" s="54">
        <v>11</v>
      </c>
      <c r="AD122" s="54">
        <v>8</v>
      </c>
      <c r="AE122" s="54">
        <v>9</v>
      </c>
      <c r="AF122" s="54"/>
      <c r="AG122" s="5">
        <f t="shared" si="17"/>
        <v>242</v>
      </c>
      <c r="AK122" s="88" t="s">
        <v>133</v>
      </c>
    </row>
    <row r="123" spans="1:37" ht="15.75" customHeight="1" x14ac:dyDescent="0.25">
      <c r="A123" s="85" t="s">
        <v>68</v>
      </c>
      <c r="B123" s="54">
        <v>8</v>
      </c>
      <c r="C123" s="54">
        <v>8</v>
      </c>
      <c r="D123" s="54">
        <v>6</v>
      </c>
      <c r="E123" s="54">
        <v>6</v>
      </c>
      <c r="F123" s="54">
        <v>10</v>
      </c>
      <c r="G123" s="54">
        <v>9</v>
      </c>
      <c r="H123" s="54">
        <v>9</v>
      </c>
      <c r="I123" s="54">
        <v>13</v>
      </c>
      <c r="J123" s="54">
        <v>8</v>
      </c>
      <c r="K123" s="54">
        <v>5</v>
      </c>
      <c r="L123" s="54">
        <v>10</v>
      </c>
      <c r="M123" s="54">
        <v>6</v>
      </c>
      <c r="N123" s="54">
        <v>7</v>
      </c>
      <c r="O123" s="54">
        <v>10</v>
      </c>
      <c r="P123" s="54">
        <v>10</v>
      </c>
      <c r="Q123" s="54">
        <v>4</v>
      </c>
      <c r="R123" s="54">
        <v>7</v>
      </c>
      <c r="S123" s="54">
        <v>6</v>
      </c>
      <c r="T123" s="54">
        <v>9</v>
      </c>
      <c r="U123" s="54">
        <v>8</v>
      </c>
      <c r="V123" s="54">
        <v>9</v>
      </c>
      <c r="W123" s="54">
        <v>16</v>
      </c>
      <c r="X123" s="54">
        <v>7</v>
      </c>
      <c r="Y123" s="54">
        <v>8</v>
      </c>
      <c r="Z123" s="54">
        <v>5</v>
      </c>
      <c r="AA123" s="54">
        <v>7</v>
      </c>
      <c r="AB123" s="54">
        <v>12</v>
      </c>
      <c r="AC123" s="54">
        <v>12</v>
      </c>
      <c r="AD123" s="54">
        <v>7</v>
      </c>
      <c r="AE123" s="54">
        <v>4</v>
      </c>
      <c r="AF123" s="54"/>
      <c r="AG123" s="5">
        <f t="shared" si="17"/>
        <v>246</v>
      </c>
      <c r="AK123" s="84" t="s">
        <v>134</v>
      </c>
    </row>
    <row r="124" spans="1:37" ht="15.75" customHeight="1" x14ac:dyDescent="0.25">
      <c r="A124" s="85" t="s">
        <v>69</v>
      </c>
      <c r="B124" s="54">
        <v>11</v>
      </c>
      <c r="C124" s="54">
        <v>3</v>
      </c>
      <c r="D124" s="54">
        <v>10</v>
      </c>
      <c r="E124" s="54">
        <v>12</v>
      </c>
      <c r="F124" s="54">
        <v>7</v>
      </c>
      <c r="G124" s="54">
        <v>20</v>
      </c>
      <c r="H124" s="54">
        <v>12</v>
      </c>
      <c r="I124" s="54">
        <v>13</v>
      </c>
      <c r="J124" s="54">
        <v>11</v>
      </c>
      <c r="K124" s="54">
        <v>9</v>
      </c>
      <c r="L124" s="54">
        <v>4</v>
      </c>
      <c r="M124" s="54">
        <v>6</v>
      </c>
      <c r="N124" s="54">
        <v>15</v>
      </c>
      <c r="O124" s="54">
        <v>11</v>
      </c>
      <c r="P124" s="54">
        <v>15</v>
      </c>
      <c r="Q124" s="54">
        <v>7</v>
      </c>
      <c r="R124" s="54">
        <v>8</v>
      </c>
      <c r="S124" s="54">
        <v>8</v>
      </c>
      <c r="T124" s="54">
        <v>12</v>
      </c>
      <c r="U124" s="54">
        <v>10</v>
      </c>
      <c r="V124" s="54">
        <v>9</v>
      </c>
      <c r="W124" s="54">
        <v>11</v>
      </c>
      <c r="X124" s="54">
        <v>7</v>
      </c>
      <c r="Y124" s="54">
        <v>6</v>
      </c>
      <c r="Z124" s="54">
        <v>6</v>
      </c>
      <c r="AA124" s="54">
        <v>7</v>
      </c>
      <c r="AB124" s="54">
        <v>15</v>
      </c>
      <c r="AC124" s="54">
        <v>15</v>
      </c>
      <c r="AD124" s="54">
        <v>8</v>
      </c>
      <c r="AE124" s="54">
        <v>16</v>
      </c>
      <c r="AF124" s="54"/>
      <c r="AG124" s="5">
        <f t="shared" si="17"/>
        <v>304</v>
      </c>
      <c r="AK124" s="88" t="s">
        <v>135</v>
      </c>
    </row>
    <row r="125" spans="1:37" ht="15.75" customHeight="1" x14ac:dyDescent="0.25">
      <c r="A125" s="85" t="s">
        <v>70</v>
      </c>
      <c r="B125" s="54">
        <v>50</v>
      </c>
      <c r="C125" s="54">
        <v>57</v>
      </c>
      <c r="D125" s="54">
        <v>81</v>
      </c>
      <c r="E125" s="54">
        <v>53</v>
      </c>
      <c r="F125" s="54">
        <v>68</v>
      </c>
      <c r="G125" s="54">
        <v>66</v>
      </c>
      <c r="H125" s="54">
        <v>85</v>
      </c>
      <c r="I125" s="54">
        <v>41</v>
      </c>
      <c r="J125" s="54">
        <v>46</v>
      </c>
      <c r="K125" s="54">
        <v>56</v>
      </c>
      <c r="L125" s="54">
        <v>65</v>
      </c>
      <c r="M125" s="54">
        <v>59</v>
      </c>
      <c r="N125" s="54">
        <v>94</v>
      </c>
      <c r="O125" s="54">
        <v>104</v>
      </c>
      <c r="P125" s="54">
        <v>58</v>
      </c>
      <c r="Q125" s="54">
        <v>73</v>
      </c>
      <c r="R125" s="54">
        <v>60</v>
      </c>
      <c r="S125" s="54">
        <v>74</v>
      </c>
      <c r="T125" s="54">
        <v>60</v>
      </c>
      <c r="U125" s="54">
        <v>103</v>
      </c>
      <c r="V125" s="54">
        <v>104</v>
      </c>
      <c r="W125" s="54">
        <v>58</v>
      </c>
      <c r="X125" s="54">
        <v>73</v>
      </c>
      <c r="Y125" s="54">
        <v>69</v>
      </c>
      <c r="Z125" s="54">
        <v>54</v>
      </c>
      <c r="AA125" s="54">
        <v>65</v>
      </c>
      <c r="AB125" s="54">
        <v>91</v>
      </c>
      <c r="AC125" s="54">
        <v>91</v>
      </c>
      <c r="AD125" s="54">
        <v>55</v>
      </c>
      <c r="AE125" s="54">
        <v>44</v>
      </c>
      <c r="AF125" s="54"/>
      <c r="AG125" s="5">
        <f t="shared" si="17"/>
        <v>2057</v>
      </c>
      <c r="AK125" s="88" t="s">
        <v>136</v>
      </c>
    </row>
    <row r="126" spans="1:37" ht="15.75" customHeight="1" x14ac:dyDescent="0.25">
      <c r="A126" s="85" t="s">
        <v>71</v>
      </c>
      <c r="B126" s="54">
        <v>4</v>
      </c>
      <c r="C126" s="54">
        <v>1</v>
      </c>
      <c r="D126" s="54">
        <v>2</v>
      </c>
      <c r="E126" s="54">
        <v>2</v>
      </c>
      <c r="F126" s="54">
        <v>3</v>
      </c>
      <c r="G126" s="54">
        <v>1</v>
      </c>
      <c r="H126" s="54">
        <v>4</v>
      </c>
      <c r="I126" s="54">
        <v>3</v>
      </c>
      <c r="J126" s="54">
        <v>4</v>
      </c>
      <c r="K126" s="54">
        <v>2</v>
      </c>
      <c r="L126" s="54">
        <v>2</v>
      </c>
      <c r="M126" s="54">
        <v>5</v>
      </c>
      <c r="N126" s="54">
        <v>0</v>
      </c>
      <c r="O126" s="54">
        <v>5</v>
      </c>
      <c r="P126" s="54">
        <v>4</v>
      </c>
      <c r="Q126" s="54">
        <v>1</v>
      </c>
      <c r="R126" s="54">
        <v>3</v>
      </c>
      <c r="S126" s="54">
        <v>1</v>
      </c>
      <c r="T126" s="54">
        <v>2</v>
      </c>
      <c r="U126" s="54">
        <v>2</v>
      </c>
      <c r="V126" s="54">
        <v>1</v>
      </c>
      <c r="W126" s="54">
        <v>4</v>
      </c>
      <c r="X126" s="54">
        <v>1</v>
      </c>
      <c r="Y126" s="54">
        <v>2</v>
      </c>
      <c r="Z126" s="54">
        <v>0</v>
      </c>
      <c r="AA126" s="54">
        <v>3</v>
      </c>
      <c r="AB126" s="54">
        <v>4</v>
      </c>
      <c r="AC126" s="54">
        <v>4</v>
      </c>
      <c r="AD126" s="54">
        <v>7</v>
      </c>
      <c r="AE126" s="54">
        <v>2</v>
      </c>
      <c r="AF126" s="54"/>
      <c r="AG126" s="5">
        <f t="shared" si="17"/>
        <v>79</v>
      </c>
      <c r="AK126" s="84" t="s">
        <v>137</v>
      </c>
    </row>
    <row r="127" spans="1:37" ht="15.75" customHeight="1" x14ac:dyDescent="0.25">
      <c r="A127" s="85" t="s">
        <v>72</v>
      </c>
      <c r="B127" s="54">
        <v>1</v>
      </c>
      <c r="C127" s="54">
        <v>1</v>
      </c>
      <c r="D127" s="54">
        <v>0</v>
      </c>
      <c r="E127" s="54">
        <v>1</v>
      </c>
      <c r="F127" s="54">
        <v>1</v>
      </c>
      <c r="G127" s="54">
        <v>4</v>
      </c>
      <c r="H127" s="54">
        <v>1</v>
      </c>
      <c r="I127" s="54">
        <v>1</v>
      </c>
      <c r="J127" s="54">
        <v>1</v>
      </c>
      <c r="K127" s="54">
        <v>0</v>
      </c>
      <c r="L127" s="54">
        <v>0</v>
      </c>
      <c r="M127" s="54">
        <v>0</v>
      </c>
      <c r="N127" s="54">
        <v>0</v>
      </c>
      <c r="O127" s="54">
        <v>1</v>
      </c>
      <c r="P127" s="54">
        <v>3</v>
      </c>
      <c r="Q127" s="54">
        <v>1</v>
      </c>
      <c r="R127" s="54">
        <v>1</v>
      </c>
      <c r="S127" s="54">
        <v>2</v>
      </c>
      <c r="T127" s="54">
        <v>0</v>
      </c>
      <c r="U127" s="54">
        <v>0</v>
      </c>
      <c r="V127" s="54">
        <v>2</v>
      </c>
      <c r="W127" s="54">
        <v>1</v>
      </c>
      <c r="X127" s="54">
        <v>2</v>
      </c>
      <c r="Y127" s="54">
        <v>0</v>
      </c>
      <c r="Z127" s="54">
        <v>2</v>
      </c>
      <c r="AA127" s="54">
        <v>3</v>
      </c>
      <c r="AB127" s="54">
        <v>1</v>
      </c>
      <c r="AC127" s="54">
        <v>1</v>
      </c>
      <c r="AD127" s="54">
        <v>1</v>
      </c>
      <c r="AE127" s="54">
        <v>2</v>
      </c>
      <c r="AF127" s="54"/>
      <c r="AG127" s="5">
        <f t="shared" si="17"/>
        <v>34</v>
      </c>
      <c r="AK127" s="88" t="s">
        <v>138</v>
      </c>
    </row>
    <row r="128" spans="1:37" ht="15.75" customHeight="1" x14ac:dyDescent="0.25">
      <c r="A128" s="56" t="s">
        <v>73</v>
      </c>
      <c r="B128" s="54">
        <v>1</v>
      </c>
      <c r="C128" s="54">
        <v>1</v>
      </c>
      <c r="D128" s="54">
        <v>1</v>
      </c>
      <c r="E128" s="54">
        <v>2</v>
      </c>
      <c r="F128" s="54">
        <v>0</v>
      </c>
      <c r="G128" s="54">
        <v>2</v>
      </c>
      <c r="H128" s="54">
        <v>4</v>
      </c>
      <c r="I128" s="54">
        <v>1</v>
      </c>
      <c r="J128" s="54">
        <v>1</v>
      </c>
      <c r="K128" s="54">
        <v>2</v>
      </c>
      <c r="L128" s="54">
        <v>5</v>
      </c>
      <c r="M128" s="54">
        <v>0</v>
      </c>
      <c r="N128" s="54">
        <v>4</v>
      </c>
      <c r="O128" s="54">
        <v>6</v>
      </c>
      <c r="P128" s="54">
        <v>2</v>
      </c>
      <c r="Q128" s="54">
        <v>0</v>
      </c>
      <c r="R128" s="54">
        <v>1</v>
      </c>
      <c r="S128" s="54">
        <v>0</v>
      </c>
      <c r="T128" s="54">
        <v>2</v>
      </c>
      <c r="U128" s="54">
        <v>4</v>
      </c>
      <c r="V128" s="54">
        <v>5</v>
      </c>
      <c r="W128" s="54">
        <v>4</v>
      </c>
      <c r="X128" s="54">
        <v>1</v>
      </c>
      <c r="Y128" s="54">
        <v>1</v>
      </c>
      <c r="Z128" s="54">
        <v>1</v>
      </c>
      <c r="AA128" s="54">
        <v>0</v>
      </c>
      <c r="AB128" s="54">
        <v>1</v>
      </c>
      <c r="AC128" s="54">
        <v>1</v>
      </c>
      <c r="AD128" s="54">
        <v>1</v>
      </c>
      <c r="AE128" s="54">
        <v>2</v>
      </c>
      <c r="AF128" s="54"/>
      <c r="AG128" s="5">
        <f t="shared" si="17"/>
        <v>56</v>
      </c>
      <c r="AK128" s="88" t="s">
        <v>139</v>
      </c>
    </row>
    <row r="129" spans="1:37" ht="15.75" customHeight="1" x14ac:dyDescent="0.25">
      <c r="A129" s="56" t="s">
        <v>74</v>
      </c>
      <c r="B129" s="54">
        <v>0</v>
      </c>
      <c r="C129" s="54">
        <v>0</v>
      </c>
      <c r="D129" s="54">
        <v>0</v>
      </c>
      <c r="E129" s="54">
        <v>0</v>
      </c>
      <c r="F129" s="54">
        <v>1</v>
      </c>
      <c r="G129" s="54">
        <v>3</v>
      </c>
      <c r="H129" s="54">
        <v>2</v>
      </c>
      <c r="I129" s="54">
        <v>1</v>
      </c>
      <c r="J129" s="54">
        <v>0</v>
      </c>
      <c r="K129" s="54">
        <v>0</v>
      </c>
      <c r="L129" s="54">
        <v>2</v>
      </c>
      <c r="M129" s="54">
        <v>1</v>
      </c>
      <c r="N129" s="54">
        <v>1</v>
      </c>
      <c r="O129" s="54">
        <v>3</v>
      </c>
      <c r="P129" s="54">
        <v>0</v>
      </c>
      <c r="Q129" s="54">
        <v>0</v>
      </c>
      <c r="R129" s="54">
        <v>2</v>
      </c>
      <c r="S129" s="54">
        <v>1</v>
      </c>
      <c r="T129" s="54">
        <v>2</v>
      </c>
      <c r="U129" s="54">
        <v>0</v>
      </c>
      <c r="V129" s="54">
        <v>1</v>
      </c>
      <c r="W129" s="54">
        <v>1</v>
      </c>
      <c r="X129" s="54">
        <v>1</v>
      </c>
      <c r="Y129" s="54">
        <v>2</v>
      </c>
      <c r="Z129" s="54">
        <v>2</v>
      </c>
      <c r="AA129" s="54">
        <v>0</v>
      </c>
      <c r="AB129" s="54">
        <v>1</v>
      </c>
      <c r="AC129" s="54">
        <v>1</v>
      </c>
      <c r="AD129" s="54">
        <v>3</v>
      </c>
      <c r="AE129" s="54">
        <v>1</v>
      </c>
      <c r="AF129" s="54"/>
      <c r="AG129" s="5">
        <f t="shared" si="17"/>
        <v>32</v>
      </c>
      <c r="AK129" s="84" t="s">
        <v>140</v>
      </c>
    </row>
    <row r="130" spans="1:37" ht="15.75" customHeight="1" x14ac:dyDescent="0.25">
      <c r="A130" s="56" t="s">
        <v>75</v>
      </c>
      <c r="B130" s="54">
        <v>1</v>
      </c>
      <c r="C130" s="54">
        <v>1</v>
      </c>
      <c r="D130" s="54">
        <v>3</v>
      </c>
      <c r="E130" s="54">
        <v>0</v>
      </c>
      <c r="F130" s="54">
        <v>0</v>
      </c>
      <c r="G130" s="54">
        <v>1</v>
      </c>
      <c r="H130" s="54">
        <v>1</v>
      </c>
      <c r="I130" s="54">
        <v>1</v>
      </c>
      <c r="J130" s="54">
        <v>0</v>
      </c>
      <c r="K130" s="54">
        <v>1</v>
      </c>
      <c r="L130" s="54">
        <v>0</v>
      </c>
      <c r="M130" s="54">
        <v>0</v>
      </c>
      <c r="N130" s="54">
        <v>1</v>
      </c>
      <c r="O130" s="54">
        <v>0</v>
      </c>
      <c r="P130" s="54">
        <v>1</v>
      </c>
      <c r="Q130" s="54">
        <v>0</v>
      </c>
      <c r="R130" s="54">
        <v>1</v>
      </c>
      <c r="S130" s="54">
        <v>0</v>
      </c>
      <c r="T130" s="54">
        <v>0</v>
      </c>
      <c r="U130" s="54">
        <v>1</v>
      </c>
      <c r="V130" s="54">
        <v>0</v>
      </c>
      <c r="W130" s="54">
        <v>0</v>
      </c>
      <c r="X130" s="54">
        <v>0</v>
      </c>
      <c r="Y130" s="54">
        <v>1</v>
      </c>
      <c r="Z130" s="54">
        <v>1</v>
      </c>
      <c r="AA130" s="54">
        <v>0</v>
      </c>
      <c r="AB130" s="54">
        <v>0</v>
      </c>
      <c r="AC130" s="54">
        <v>0</v>
      </c>
      <c r="AD130" s="54">
        <v>0</v>
      </c>
      <c r="AE130" s="54">
        <v>0</v>
      </c>
      <c r="AF130" s="54"/>
      <c r="AG130" s="5">
        <f t="shared" si="17"/>
        <v>15</v>
      </c>
      <c r="AK130" s="84" t="s">
        <v>141</v>
      </c>
    </row>
    <row r="131" spans="1:37" ht="15.75" customHeight="1" x14ac:dyDescent="0.25">
      <c r="A131" s="85" t="s">
        <v>76</v>
      </c>
      <c r="B131" s="54">
        <v>11</v>
      </c>
      <c r="C131" s="54">
        <v>8</v>
      </c>
      <c r="D131" s="54">
        <v>4</v>
      </c>
      <c r="E131" s="54">
        <v>7</v>
      </c>
      <c r="F131" s="54">
        <v>2</v>
      </c>
      <c r="G131" s="54">
        <v>7</v>
      </c>
      <c r="H131" s="54">
        <v>13</v>
      </c>
      <c r="I131" s="54">
        <v>4</v>
      </c>
      <c r="J131" s="54">
        <v>7</v>
      </c>
      <c r="K131" s="54">
        <v>4</v>
      </c>
      <c r="L131" s="54">
        <v>3</v>
      </c>
      <c r="M131" s="54">
        <v>7</v>
      </c>
      <c r="N131" s="54">
        <v>6</v>
      </c>
      <c r="O131" s="54">
        <v>7</v>
      </c>
      <c r="P131" s="54">
        <v>6</v>
      </c>
      <c r="Q131" s="54">
        <v>9</v>
      </c>
      <c r="R131" s="54">
        <v>9</v>
      </c>
      <c r="S131" s="54">
        <v>5</v>
      </c>
      <c r="T131" s="54">
        <v>5</v>
      </c>
      <c r="U131" s="54">
        <v>16</v>
      </c>
      <c r="V131" s="54">
        <v>8</v>
      </c>
      <c r="W131" s="54">
        <v>9</v>
      </c>
      <c r="X131" s="54">
        <v>4</v>
      </c>
      <c r="Y131" s="54">
        <v>6</v>
      </c>
      <c r="Z131" s="54">
        <v>5</v>
      </c>
      <c r="AA131" s="54">
        <v>5</v>
      </c>
      <c r="AB131" s="54">
        <v>9</v>
      </c>
      <c r="AC131" s="54">
        <v>9</v>
      </c>
      <c r="AD131" s="54">
        <v>6</v>
      </c>
      <c r="AE131" s="54">
        <v>4</v>
      </c>
      <c r="AF131" s="54"/>
      <c r="AG131" s="5">
        <f t="shared" si="17"/>
        <v>205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6</v>
      </c>
      <c r="C132" s="87">
        <v>5</v>
      </c>
      <c r="D132" s="87">
        <v>8</v>
      </c>
      <c r="E132" s="87">
        <v>4</v>
      </c>
      <c r="F132" s="87">
        <v>6</v>
      </c>
      <c r="G132" s="87">
        <v>8</v>
      </c>
      <c r="H132" s="87">
        <v>8</v>
      </c>
      <c r="I132" s="87">
        <v>6</v>
      </c>
      <c r="J132" s="87">
        <v>2</v>
      </c>
      <c r="K132" s="87">
        <v>4</v>
      </c>
      <c r="L132" s="87">
        <v>6</v>
      </c>
      <c r="M132" s="87">
        <v>7</v>
      </c>
      <c r="N132" s="87">
        <v>13</v>
      </c>
      <c r="O132" s="87">
        <v>3</v>
      </c>
      <c r="P132" s="87">
        <v>6</v>
      </c>
      <c r="Q132" s="87">
        <v>3</v>
      </c>
      <c r="R132" s="87">
        <v>8</v>
      </c>
      <c r="S132" s="87">
        <v>4</v>
      </c>
      <c r="T132" s="87">
        <v>7</v>
      </c>
      <c r="U132" s="87">
        <v>3</v>
      </c>
      <c r="V132" s="87">
        <v>11</v>
      </c>
      <c r="W132" s="87">
        <v>15</v>
      </c>
      <c r="X132" s="87">
        <v>2</v>
      </c>
      <c r="Y132" s="87">
        <v>7</v>
      </c>
      <c r="Z132" s="87">
        <v>7</v>
      </c>
      <c r="AA132" s="87">
        <v>3</v>
      </c>
      <c r="AB132" s="87">
        <v>10</v>
      </c>
      <c r="AC132" s="87">
        <v>10</v>
      </c>
      <c r="AD132" s="87">
        <v>5</v>
      </c>
      <c r="AE132" s="87">
        <v>4</v>
      </c>
      <c r="AF132" s="87"/>
      <c r="AG132" s="9">
        <f t="shared" si="17"/>
        <v>191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136</v>
      </c>
      <c r="C133" s="14">
        <f t="shared" si="21"/>
        <v>115</v>
      </c>
      <c r="D133" s="14">
        <f t="shared" si="21"/>
        <v>142</v>
      </c>
      <c r="E133" s="14">
        <f t="shared" si="21"/>
        <v>120</v>
      </c>
      <c r="F133" s="14">
        <f t="shared" si="21"/>
        <v>130</v>
      </c>
      <c r="G133" s="14">
        <f t="shared" si="21"/>
        <v>178</v>
      </c>
      <c r="H133" s="14">
        <f t="shared" si="21"/>
        <v>198</v>
      </c>
      <c r="I133" s="14">
        <f t="shared" si="21"/>
        <v>131</v>
      </c>
      <c r="J133" s="14">
        <f t="shared" si="21"/>
        <v>108</v>
      </c>
      <c r="K133" s="14">
        <f t="shared" si="21"/>
        <v>118</v>
      </c>
      <c r="L133" s="14">
        <f t="shared" si="21"/>
        <v>129</v>
      </c>
      <c r="M133" s="14">
        <f t="shared" si="21"/>
        <v>113</v>
      </c>
      <c r="N133" s="14">
        <f t="shared" si="21"/>
        <v>192</v>
      </c>
      <c r="O133" s="14">
        <f t="shared" si="21"/>
        <v>185</v>
      </c>
      <c r="P133" s="14">
        <f t="shared" si="21"/>
        <v>146</v>
      </c>
      <c r="Q133" s="14">
        <f t="shared" si="21"/>
        <v>134</v>
      </c>
      <c r="R133" s="14">
        <f t="shared" si="21"/>
        <v>137</v>
      </c>
      <c r="S133" s="14">
        <f t="shared" si="21"/>
        <v>135</v>
      </c>
      <c r="T133" s="14">
        <f t="shared" si="21"/>
        <v>136</v>
      </c>
      <c r="U133" s="14">
        <f t="shared" si="21"/>
        <v>204</v>
      </c>
      <c r="V133" s="14">
        <f t="shared" si="21"/>
        <v>194</v>
      </c>
      <c r="W133" s="14">
        <f t="shared" si="21"/>
        <v>164</v>
      </c>
      <c r="X133" s="14">
        <f t="shared" si="21"/>
        <v>128</v>
      </c>
      <c r="Y133" s="14">
        <f t="shared" si="21"/>
        <v>137</v>
      </c>
      <c r="Z133" s="14">
        <f t="shared" si="21"/>
        <v>111</v>
      </c>
      <c r="AA133" s="14">
        <f t="shared" si="21"/>
        <v>127</v>
      </c>
      <c r="AB133" s="14">
        <f t="shared" si="21"/>
        <v>204</v>
      </c>
      <c r="AC133" s="14">
        <f t="shared" si="21"/>
        <v>204</v>
      </c>
      <c r="AD133" s="14">
        <f t="shared" si="21"/>
        <v>142</v>
      </c>
      <c r="AE133" s="14">
        <f t="shared" si="21"/>
        <v>129</v>
      </c>
      <c r="AF133" s="14">
        <f t="shared" si="21"/>
        <v>0</v>
      </c>
      <c r="AG133" s="10">
        <f t="shared" si="17"/>
        <v>4427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4</v>
      </c>
      <c r="C134" s="22">
        <f t="shared" si="22"/>
        <v>4</v>
      </c>
      <c r="D134" s="22">
        <f t="shared" si="22"/>
        <v>7</v>
      </c>
      <c r="E134" s="22">
        <f t="shared" si="22"/>
        <v>7</v>
      </c>
      <c r="F134" s="22">
        <f t="shared" si="22"/>
        <v>15</v>
      </c>
      <c r="G134" s="22">
        <f t="shared" si="22"/>
        <v>5</v>
      </c>
      <c r="H134" s="22">
        <f t="shared" si="22"/>
        <v>7</v>
      </c>
      <c r="I134" s="22">
        <f t="shared" si="22"/>
        <v>25</v>
      </c>
      <c r="J134" s="22">
        <f t="shared" si="22"/>
        <v>6</v>
      </c>
      <c r="K134" s="22">
        <f t="shared" si="22"/>
        <v>15</v>
      </c>
      <c r="L134" s="22">
        <f t="shared" si="22"/>
        <v>30</v>
      </c>
      <c r="M134" s="22">
        <f t="shared" si="22"/>
        <v>12</v>
      </c>
      <c r="N134" s="22">
        <f t="shared" si="22"/>
        <v>5</v>
      </c>
      <c r="O134" s="22">
        <f t="shared" si="22"/>
        <v>17</v>
      </c>
      <c r="P134" s="22">
        <f t="shared" si="22"/>
        <v>39</v>
      </c>
      <c r="Q134" s="22">
        <f t="shared" si="22"/>
        <v>18</v>
      </c>
      <c r="R134" s="22">
        <f t="shared" si="22"/>
        <v>16</v>
      </c>
      <c r="S134" s="22">
        <f t="shared" si="22"/>
        <v>22</v>
      </c>
      <c r="T134" s="22">
        <f t="shared" si="22"/>
        <v>6</v>
      </c>
      <c r="U134" s="22">
        <f t="shared" si="22"/>
        <v>6</v>
      </c>
      <c r="V134" s="22">
        <f t="shared" si="22"/>
        <v>21</v>
      </c>
      <c r="W134" s="22">
        <f t="shared" si="22"/>
        <v>14</v>
      </c>
      <c r="X134" s="22">
        <f t="shared" si="22"/>
        <v>27</v>
      </c>
      <c r="Y134" s="22">
        <f t="shared" si="22"/>
        <v>33</v>
      </c>
      <c r="Z134" s="22">
        <f t="shared" si="22"/>
        <v>4</v>
      </c>
      <c r="AA134" s="22">
        <f t="shared" si="22"/>
        <v>15</v>
      </c>
      <c r="AB134" s="22">
        <f t="shared" si="22"/>
        <v>6</v>
      </c>
      <c r="AC134" s="22">
        <f t="shared" si="22"/>
        <v>6</v>
      </c>
      <c r="AD134" s="22">
        <f t="shared" si="22"/>
        <v>5</v>
      </c>
      <c r="AE134" s="22">
        <f t="shared" si="22"/>
        <v>5</v>
      </c>
      <c r="AF134" s="22">
        <f t="shared" si="22"/>
        <v>0</v>
      </c>
      <c r="AG134" s="23">
        <f t="shared" si="17"/>
        <v>402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1</v>
      </c>
      <c r="E135" s="1">
        <f t="shared" si="23"/>
        <v>0</v>
      </c>
      <c r="F135" s="1">
        <f t="shared" si="23"/>
        <v>1</v>
      </c>
      <c r="G135" s="1">
        <f t="shared" si="23"/>
        <v>1</v>
      </c>
      <c r="H135" s="1">
        <f t="shared" si="23"/>
        <v>4</v>
      </c>
      <c r="I135" s="1">
        <f t="shared" si="23"/>
        <v>0</v>
      </c>
      <c r="J135" s="1">
        <f t="shared" si="23"/>
        <v>0</v>
      </c>
      <c r="K135" s="1">
        <f t="shared" si="23"/>
        <v>0</v>
      </c>
      <c r="L135" s="1">
        <f t="shared" si="23"/>
        <v>1</v>
      </c>
      <c r="M135" s="1">
        <f t="shared" si="23"/>
        <v>0</v>
      </c>
      <c r="N135" s="1">
        <f t="shared" si="23"/>
        <v>0</v>
      </c>
      <c r="O135" s="1">
        <f t="shared" si="23"/>
        <v>2</v>
      </c>
      <c r="P135" s="1">
        <f t="shared" si="23"/>
        <v>0</v>
      </c>
      <c r="Q135" s="1">
        <f t="shared" si="23"/>
        <v>0</v>
      </c>
      <c r="R135" s="1">
        <f t="shared" si="23"/>
        <v>0</v>
      </c>
      <c r="S135" s="1">
        <f t="shared" si="23"/>
        <v>1</v>
      </c>
      <c r="T135" s="1">
        <f t="shared" si="23"/>
        <v>0</v>
      </c>
      <c r="U135" s="1">
        <f t="shared" si="23"/>
        <v>0</v>
      </c>
      <c r="V135" s="1">
        <f t="shared" si="23"/>
        <v>0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0</v>
      </c>
      <c r="AA135" s="1">
        <f t="shared" si="23"/>
        <v>1</v>
      </c>
      <c r="AB135" s="1">
        <f t="shared" si="23"/>
        <v>0</v>
      </c>
      <c r="AC135" s="1">
        <f t="shared" si="23"/>
        <v>0</v>
      </c>
      <c r="AD135" s="1">
        <f t="shared" si="23"/>
        <v>0</v>
      </c>
      <c r="AE135" s="1">
        <f t="shared" si="23"/>
        <v>0</v>
      </c>
      <c r="AF135" s="1">
        <f t="shared" si="23"/>
        <v>0</v>
      </c>
      <c r="AG135" s="2">
        <f t="shared" si="17"/>
        <v>12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0</v>
      </c>
      <c r="C136" s="91">
        <v>0</v>
      </c>
      <c r="D136" s="91">
        <v>1</v>
      </c>
      <c r="E136" s="91">
        <v>0</v>
      </c>
      <c r="F136" s="91">
        <v>1</v>
      </c>
      <c r="G136" s="91">
        <v>1</v>
      </c>
      <c r="H136" s="91">
        <v>2</v>
      </c>
      <c r="I136" s="91">
        <v>0</v>
      </c>
      <c r="J136" s="91">
        <v>0</v>
      </c>
      <c r="K136" s="91">
        <v>0</v>
      </c>
      <c r="L136" s="91">
        <v>1</v>
      </c>
      <c r="M136" s="91">
        <v>0</v>
      </c>
      <c r="N136" s="91">
        <v>0</v>
      </c>
      <c r="O136" s="91">
        <v>2</v>
      </c>
      <c r="P136" s="91">
        <v>0</v>
      </c>
      <c r="Q136" s="91">
        <v>0</v>
      </c>
      <c r="R136" s="91">
        <v>0</v>
      </c>
      <c r="S136" s="91">
        <v>1</v>
      </c>
      <c r="T136" s="91">
        <v>0</v>
      </c>
      <c r="U136" s="91">
        <v>0</v>
      </c>
      <c r="V136" s="91">
        <v>0</v>
      </c>
      <c r="W136" s="91">
        <v>0</v>
      </c>
      <c r="X136" s="91">
        <v>0</v>
      </c>
      <c r="Y136" s="91">
        <v>0</v>
      </c>
      <c r="Z136" s="91">
        <v>0</v>
      </c>
      <c r="AA136" s="91">
        <v>1</v>
      </c>
      <c r="AB136" s="91">
        <v>0</v>
      </c>
      <c r="AC136" s="91">
        <v>0</v>
      </c>
      <c r="AD136" s="91">
        <v>0</v>
      </c>
      <c r="AE136" s="91">
        <v>0</v>
      </c>
      <c r="AF136" s="91"/>
      <c r="AG136" s="28">
        <f t="shared" si="17"/>
        <v>10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2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/>
      <c r="AG137" s="29">
        <f t="shared" si="17"/>
        <v>2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/>
      <c r="AG138" s="30">
        <f t="shared" si="17"/>
        <v>0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3</v>
      </c>
      <c r="C139" s="31">
        <f t="shared" si="24"/>
        <v>5</v>
      </c>
      <c r="D139" s="31">
        <f t="shared" si="24"/>
        <v>3</v>
      </c>
      <c r="E139" s="31">
        <f t="shared" si="24"/>
        <v>5</v>
      </c>
      <c r="F139" s="31">
        <f t="shared" si="24"/>
        <v>5</v>
      </c>
      <c r="G139" s="31">
        <f t="shared" si="24"/>
        <v>1</v>
      </c>
      <c r="H139" s="31">
        <f t="shared" si="24"/>
        <v>9</v>
      </c>
      <c r="I139" s="31">
        <f t="shared" si="24"/>
        <v>6</v>
      </c>
      <c r="J139" s="31">
        <f t="shared" si="24"/>
        <v>0</v>
      </c>
      <c r="K139" s="31">
        <f t="shared" si="24"/>
        <v>8</v>
      </c>
      <c r="L139" s="31">
        <f t="shared" si="24"/>
        <v>0</v>
      </c>
      <c r="M139" s="31">
        <f t="shared" si="24"/>
        <v>6</v>
      </c>
      <c r="N139" s="31">
        <f t="shared" si="24"/>
        <v>0</v>
      </c>
      <c r="O139" s="31">
        <f t="shared" si="24"/>
        <v>11</v>
      </c>
      <c r="P139" s="31">
        <f t="shared" si="24"/>
        <v>2</v>
      </c>
      <c r="Q139" s="31">
        <f t="shared" si="24"/>
        <v>0</v>
      </c>
      <c r="R139" s="31">
        <f t="shared" si="24"/>
        <v>2</v>
      </c>
      <c r="S139" s="31">
        <f t="shared" si="24"/>
        <v>1</v>
      </c>
      <c r="T139" s="31">
        <f t="shared" si="24"/>
        <v>5</v>
      </c>
      <c r="U139" s="31">
        <f t="shared" si="24"/>
        <v>5</v>
      </c>
      <c r="V139" s="31">
        <f t="shared" si="24"/>
        <v>2</v>
      </c>
      <c r="W139" s="31">
        <f t="shared" si="24"/>
        <v>2</v>
      </c>
      <c r="X139" s="31">
        <f t="shared" si="24"/>
        <v>0</v>
      </c>
      <c r="Y139" s="31">
        <f t="shared" si="24"/>
        <v>3</v>
      </c>
      <c r="Z139" s="31">
        <f t="shared" si="24"/>
        <v>0</v>
      </c>
      <c r="AA139" s="31">
        <f t="shared" si="24"/>
        <v>2</v>
      </c>
      <c r="AB139" s="31">
        <f t="shared" si="24"/>
        <v>6</v>
      </c>
      <c r="AC139" s="31">
        <f t="shared" si="24"/>
        <v>6</v>
      </c>
      <c r="AD139" s="31">
        <f t="shared" si="24"/>
        <v>2</v>
      </c>
      <c r="AE139" s="31">
        <f t="shared" si="24"/>
        <v>2</v>
      </c>
      <c r="AF139" s="31">
        <f t="shared" si="24"/>
        <v>0</v>
      </c>
      <c r="AG139" s="32">
        <f t="shared" si="17"/>
        <v>102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0</v>
      </c>
      <c r="C140" s="97">
        <v>2</v>
      </c>
      <c r="D140" s="97">
        <v>1</v>
      </c>
      <c r="E140" s="97">
        <v>1</v>
      </c>
      <c r="F140" s="97">
        <v>1</v>
      </c>
      <c r="G140" s="97">
        <v>1</v>
      </c>
      <c r="H140" s="97">
        <v>1</v>
      </c>
      <c r="I140" s="97">
        <v>0</v>
      </c>
      <c r="J140" s="97">
        <v>0</v>
      </c>
      <c r="K140" s="97">
        <v>1</v>
      </c>
      <c r="L140" s="97">
        <v>0</v>
      </c>
      <c r="M140" s="97">
        <v>1</v>
      </c>
      <c r="N140" s="97">
        <v>0</v>
      </c>
      <c r="O140" s="97">
        <v>2</v>
      </c>
      <c r="P140" s="97">
        <v>1</v>
      </c>
      <c r="Q140" s="97">
        <v>0</v>
      </c>
      <c r="R140" s="97">
        <v>0</v>
      </c>
      <c r="S140" s="97">
        <v>0</v>
      </c>
      <c r="T140" s="97">
        <v>1</v>
      </c>
      <c r="U140" s="97">
        <v>2</v>
      </c>
      <c r="V140" s="97">
        <v>0</v>
      </c>
      <c r="W140" s="97">
        <v>0</v>
      </c>
      <c r="X140" s="97">
        <v>0</v>
      </c>
      <c r="Y140" s="97">
        <v>1</v>
      </c>
      <c r="Z140" s="97">
        <v>0</v>
      </c>
      <c r="AA140" s="97">
        <v>0</v>
      </c>
      <c r="AB140" s="97">
        <v>3</v>
      </c>
      <c r="AC140" s="97">
        <v>3</v>
      </c>
      <c r="AD140" s="97">
        <v>0</v>
      </c>
      <c r="AE140" s="97">
        <v>2</v>
      </c>
      <c r="AF140" s="97"/>
      <c r="AG140" s="33">
        <f t="shared" si="17"/>
        <v>24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3</v>
      </c>
      <c r="C141" s="98">
        <v>3</v>
      </c>
      <c r="D141" s="98">
        <v>2</v>
      </c>
      <c r="E141" s="98">
        <v>4</v>
      </c>
      <c r="F141" s="98">
        <v>4</v>
      </c>
      <c r="G141" s="98">
        <v>0</v>
      </c>
      <c r="H141" s="98">
        <v>8</v>
      </c>
      <c r="I141" s="98">
        <v>6</v>
      </c>
      <c r="J141" s="98">
        <v>0</v>
      </c>
      <c r="K141" s="98">
        <v>7</v>
      </c>
      <c r="L141" s="98">
        <v>0</v>
      </c>
      <c r="M141" s="98">
        <v>5</v>
      </c>
      <c r="N141" s="98">
        <v>0</v>
      </c>
      <c r="O141" s="98">
        <v>9</v>
      </c>
      <c r="P141" s="98">
        <v>1</v>
      </c>
      <c r="Q141" s="98">
        <v>0</v>
      </c>
      <c r="R141" s="98">
        <v>2</v>
      </c>
      <c r="S141" s="98">
        <v>1</v>
      </c>
      <c r="T141" s="98">
        <v>4</v>
      </c>
      <c r="U141" s="98">
        <v>3</v>
      </c>
      <c r="V141" s="98">
        <v>2</v>
      </c>
      <c r="W141" s="98">
        <v>2</v>
      </c>
      <c r="X141" s="98">
        <v>0</v>
      </c>
      <c r="Y141" s="98">
        <v>2</v>
      </c>
      <c r="Z141" s="98">
        <v>0</v>
      </c>
      <c r="AA141" s="98">
        <v>2</v>
      </c>
      <c r="AB141" s="98">
        <v>3</v>
      </c>
      <c r="AC141" s="98">
        <v>3</v>
      </c>
      <c r="AD141" s="98">
        <v>2</v>
      </c>
      <c r="AE141" s="98">
        <v>0</v>
      </c>
      <c r="AF141" s="98"/>
      <c r="AG141" s="34">
        <f t="shared" si="17"/>
        <v>78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>
        <v>0</v>
      </c>
      <c r="AE142" s="100">
        <v>0</v>
      </c>
      <c r="AF142" s="100">
        <v>0</v>
      </c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>
        <v>0</v>
      </c>
      <c r="AE143" s="102">
        <v>0</v>
      </c>
      <c r="AF143" s="102">
        <v>0</v>
      </c>
      <c r="AG143" s="36">
        <f t="shared" si="17"/>
        <v>0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37</v>
      </c>
      <c r="C144" s="37">
        <f t="shared" si="25"/>
        <v>28</v>
      </c>
      <c r="D144" s="37">
        <f t="shared" si="25"/>
        <v>44</v>
      </c>
      <c r="E144" s="37">
        <f t="shared" si="25"/>
        <v>33</v>
      </c>
      <c r="F144" s="37">
        <f t="shared" si="25"/>
        <v>32</v>
      </c>
      <c r="G144" s="37">
        <f t="shared" si="25"/>
        <v>44</v>
      </c>
      <c r="H144" s="37">
        <f t="shared" si="25"/>
        <v>59</v>
      </c>
      <c r="I144" s="37">
        <f t="shared" si="25"/>
        <v>47</v>
      </c>
      <c r="J144" s="37">
        <f t="shared" si="25"/>
        <v>30</v>
      </c>
      <c r="K144" s="37">
        <f t="shared" si="25"/>
        <v>41</v>
      </c>
      <c r="L144" s="37">
        <f t="shared" si="25"/>
        <v>37</v>
      </c>
      <c r="M144" s="37">
        <f t="shared" si="25"/>
        <v>29</v>
      </c>
      <c r="N144" s="37">
        <f t="shared" si="25"/>
        <v>44</v>
      </c>
      <c r="O144" s="37">
        <f t="shared" si="25"/>
        <v>51</v>
      </c>
      <c r="P144" s="37">
        <f t="shared" si="25"/>
        <v>86</v>
      </c>
      <c r="Q144" s="37">
        <f t="shared" si="25"/>
        <v>32</v>
      </c>
      <c r="R144" s="37">
        <f t="shared" si="25"/>
        <v>35</v>
      </c>
      <c r="S144" s="37">
        <f t="shared" si="25"/>
        <v>46</v>
      </c>
      <c r="T144" s="37">
        <f t="shared" si="25"/>
        <v>38</v>
      </c>
      <c r="U144" s="37">
        <f t="shared" si="25"/>
        <v>56</v>
      </c>
      <c r="V144" s="37">
        <f t="shared" si="25"/>
        <v>68</v>
      </c>
      <c r="W144" s="37">
        <f t="shared" si="25"/>
        <v>84</v>
      </c>
      <c r="X144" s="37">
        <f t="shared" si="25"/>
        <v>51</v>
      </c>
      <c r="Y144" s="37">
        <f t="shared" si="25"/>
        <v>40</v>
      </c>
      <c r="Z144" s="37">
        <f t="shared" si="25"/>
        <v>39</v>
      </c>
      <c r="AA144" s="37">
        <f t="shared" si="25"/>
        <v>48</v>
      </c>
      <c r="AB144" s="37">
        <f t="shared" si="25"/>
        <v>80</v>
      </c>
      <c r="AC144" s="37">
        <f t="shared" si="25"/>
        <v>80</v>
      </c>
      <c r="AD144" s="37">
        <f t="shared" si="25"/>
        <v>77</v>
      </c>
      <c r="AE144" s="37">
        <f t="shared" si="25"/>
        <v>71</v>
      </c>
      <c r="AF144" s="37">
        <f t="shared" si="25"/>
        <v>0</v>
      </c>
      <c r="AG144" s="24">
        <f t="shared" si="17"/>
        <v>1487</v>
      </c>
      <c r="AK144" s="84" t="s">
        <v>155</v>
      </c>
    </row>
    <row r="145" spans="1:37" ht="15.75" customHeight="1" x14ac:dyDescent="0.25">
      <c r="A145" s="104" t="s">
        <v>92</v>
      </c>
      <c r="B145" s="105">
        <v>0</v>
      </c>
      <c r="C145" s="105">
        <v>0</v>
      </c>
      <c r="D145" s="105">
        <v>3</v>
      </c>
      <c r="E145" s="105">
        <v>6</v>
      </c>
      <c r="F145" s="105">
        <v>4</v>
      </c>
      <c r="G145" s="105">
        <v>4</v>
      </c>
      <c r="H145" s="105">
        <v>4</v>
      </c>
      <c r="I145" s="105">
        <v>2</v>
      </c>
      <c r="J145" s="105">
        <v>5</v>
      </c>
      <c r="K145" s="105">
        <v>2</v>
      </c>
      <c r="L145" s="105">
        <v>12</v>
      </c>
      <c r="M145" s="105">
        <v>2</v>
      </c>
      <c r="N145" s="105">
        <v>6</v>
      </c>
      <c r="O145" s="105">
        <v>1</v>
      </c>
      <c r="P145" s="105">
        <v>5</v>
      </c>
      <c r="Q145" s="105">
        <v>1</v>
      </c>
      <c r="R145" s="105">
        <v>0</v>
      </c>
      <c r="S145" s="105">
        <v>1</v>
      </c>
      <c r="T145" s="105">
        <v>2</v>
      </c>
      <c r="U145" s="105">
        <v>1</v>
      </c>
      <c r="V145" s="105">
        <v>5</v>
      </c>
      <c r="W145" s="105">
        <v>4</v>
      </c>
      <c r="X145" s="105">
        <v>1</v>
      </c>
      <c r="Y145" s="105">
        <v>1</v>
      </c>
      <c r="Z145" s="105">
        <v>2</v>
      </c>
      <c r="AA145" s="105">
        <v>3</v>
      </c>
      <c r="AB145" s="105">
        <v>1</v>
      </c>
      <c r="AC145" s="105">
        <v>1</v>
      </c>
      <c r="AD145" s="105">
        <v>2</v>
      </c>
      <c r="AE145" s="105">
        <v>1</v>
      </c>
      <c r="AF145" s="105"/>
      <c r="AG145" s="38">
        <f t="shared" si="17"/>
        <v>82</v>
      </c>
      <c r="AK145" s="84" t="s">
        <v>156</v>
      </c>
    </row>
    <row r="146" spans="1:37" ht="15.75" customHeight="1" x14ac:dyDescent="0.25">
      <c r="A146" s="106" t="s">
        <v>93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/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1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1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/>
      <c r="AG147" s="5">
        <f t="shared" si="17"/>
        <v>2</v>
      </c>
      <c r="AK147" s="84" t="s">
        <v>158</v>
      </c>
    </row>
    <row r="148" spans="1:37" ht="15.75" customHeight="1" x14ac:dyDescent="0.25">
      <c r="A148" s="106" t="s">
        <v>95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/>
      <c r="AG148" s="5">
        <f t="shared" si="17"/>
        <v>0</v>
      </c>
      <c r="AK148" s="84" t="s">
        <v>159</v>
      </c>
    </row>
    <row r="149" spans="1:37" ht="15.75" customHeight="1" x14ac:dyDescent="0.25">
      <c r="A149" s="107" t="s">
        <v>96</v>
      </c>
      <c r="B149" s="108">
        <v>36</v>
      </c>
      <c r="C149" s="108">
        <v>25</v>
      </c>
      <c r="D149" s="108">
        <v>36</v>
      </c>
      <c r="E149" s="108">
        <v>23</v>
      </c>
      <c r="F149" s="108">
        <v>24</v>
      </c>
      <c r="G149" s="108">
        <v>38</v>
      </c>
      <c r="H149" s="108">
        <v>51</v>
      </c>
      <c r="I149" s="108">
        <v>43</v>
      </c>
      <c r="J149" s="108">
        <v>23</v>
      </c>
      <c r="K149" s="108">
        <v>34</v>
      </c>
      <c r="L149" s="108">
        <v>22</v>
      </c>
      <c r="M149" s="108">
        <v>24</v>
      </c>
      <c r="N149" s="108">
        <v>37</v>
      </c>
      <c r="O149" s="108">
        <v>45</v>
      </c>
      <c r="P149" s="108">
        <v>81</v>
      </c>
      <c r="Q149" s="108">
        <v>27</v>
      </c>
      <c r="R149" s="108">
        <v>29</v>
      </c>
      <c r="S149" s="108">
        <v>42</v>
      </c>
      <c r="T149" s="108">
        <v>33</v>
      </c>
      <c r="U149" s="108">
        <v>52</v>
      </c>
      <c r="V149" s="108">
        <v>60</v>
      </c>
      <c r="W149" s="108">
        <v>74</v>
      </c>
      <c r="X149" s="108">
        <v>47</v>
      </c>
      <c r="Y149" s="108">
        <v>36</v>
      </c>
      <c r="Z149" s="108">
        <v>33</v>
      </c>
      <c r="AA149" s="108">
        <v>39</v>
      </c>
      <c r="AB149" s="108">
        <v>70</v>
      </c>
      <c r="AC149" s="108">
        <v>70</v>
      </c>
      <c r="AD149" s="108">
        <v>74</v>
      </c>
      <c r="AE149" s="108">
        <v>69</v>
      </c>
      <c r="AF149" s="108"/>
      <c r="AG149" s="39">
        <f t="shared" si="17"/>
        <v>1297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2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7</v>
      </c>
      <c r="AC153" s="77">
        <v>7</v>
      </c>
      <c r="AD153" s="77">
        <v>0</v>
      </c>
      <c r="AE153" s="77">
        <v>0</v>
      </c>
      <c r="AF153" s="77"/>
      <c r="AG153" s="5">
        <f t="shared" si="17"/>
        <v>16</v>
      </c>
      <c r="AK153" s="109" t="s">
        <v>127</v>
      </c>
    </row>
    <row r="154" spans="1:37" ht="15.75" customHeight="1" x14ac:dyDescent="0.25">
      <c r="A154" s="76" t="s">
        <v>101</v>
      </c>
      <c r="B154" s="77">
        <v>1</v>
      </c>
      <c r="C154" s="77">
        <v>2</v>
      </c>
      <c r="D154" s="77">
        <v>2</v>
      </c>
      <c r="E154" s="77">
        <v>4</v>
      </c>
      <c r="F154" s="77">
        <v>3</v>
      </c>
      <c r="G154" s="77">
        <v>0</v>
      </c>
      <c r="H154" s="77">
        <v>0</v>
      </c>
      <c r="I154" s="77">
        <v>2</v>
      </c>
      <c r="J154" s="77">
        <v>1</v>
      </c>
      <c r="K154" s="77">
        <v>2</v>
      </c>
      <c r="L154" s="77">
        <v>1</v>
      </c>
      <c r="M154" s="77">
        <v>2</v>
      </c>
      <c r="N154" s="77">
        <v>0</v>
      </c>
      <c r="O154" s="77">
        <v>0</v>
      </c>
      <c r="P154" s="77">
        <v>0</v>
      </c>
      <c r="Q154" s="77">
        <v>0</v>
      </c>
      <c r="R154" s="77">
        <v>2</v>
      </c>
      <c r="S154" s="77">
        <v>1</v>
      </c>
      <c r="T154" s="77">
        <v>0</v>
      </c>
      <c r="U154" s="77">
        <v>0</v>
      </c>
      <c r="V154" s="77">
        <v>0</v>
      </c>
      <c r="W154" s="77">
        <v>4</v>
      </c>
      <c r="X154" s="77">
        <v>2</v>
      </c>
      <c r="Y154" s="77">
        <v>1</v>
      </c>
      <c r="Z154" s="77">
        <v>4</v>
      </c>
      <c r="AA154" s="77">
        <v>0</v>
      </c>
      <c r="AB154" s="77">
        <v>0</v>
      </c>
      <c r="AC154" s="77">
        <v>0</v>
      </c>
      <c r="AD154" s="77">
        <v>1</v>
      </c>
      <c r="AE154" s="77">
        <v>1</v>
      </c>
      <c r="AF154" s="77"/>
      <c r="AG154" s="5">
        <f t="shared" si="17"/>
        <v>36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>
        <v>0</v>
      </c>
      <c r="C158" s="111">
        <v>0</v>
      </c>
      <c r="D158" s="111">
        <v>2</v>
      </c>
      <c r="E158" s="111">
        <v>0</v>
      </c>
      <c r="F158" s="111">
        <v>1</v>
      </c>
      <c r="G158" s="111">
        <v>0</v>
      </c>
      <c r="H158" s="111">
        <v>0</v>
      </c>
      <c r="I158" s="111">
        <v>0</v>
      </c>
      <c r="J158" s="111">
        <v>1</v>
      </c>
      <c r="K158" s="111">
        <v>3</v>
      </c>
      <c r="L158" s="111">
        <v>0</v>
      </c>
      <c r="M158" s="111">
        <v>0</v>
      </c>
      <c r="N158" s="111">
        <v>1</v>
      </c>
      <c r="O158" s="111">
        <v>4</v>
      </c>
      <c r="P158" s="111">
        <v>0</v>
      </c>
      <c r="Q158" s="111">
        <v>0</v>
      </c>
      <c r="R158" s="111">
        <v>2</v>
      </c>
      <c r="S158" s="111">
        <v>0</v>
      </c>
      <c r="T158" s="111">
        <v>0</v>
      </c>
      <c r="U158" s="111">
        <v>2</v>
      </c>
      <c r="V158" s="111">
        <v>0</v>
      </c>
      <c r="W158" s="111">
        <v>2</v>
      </c>
      <c r="X158" s="111">
        <v>0</v>
      </c>
      <c r="Y158" s="111">
        <v>2</v>
      </c>
      <c r="Z158" s="111">
        <v>0</v>
      </c>
      <c r="AA158" s="111">
        <v>3</v>
      </c>
      <c r="AB158" s="111">
        <v>0</v>
      </c>
      <c r="AC158" s="111">
        <v>0</v>
      </c>
      <c r="AD158" s="111">
        <v>0</v>
      </c>
      <c r="AE158" s="111">
        <v>0</v>
      </c>
      <c r="AF158" s="111"/>
      <c r="AG158" s="40">
        <f t="shared" si="17"/>
        <v>23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/>
      <c r="AG162" s="5">
        <f t="shared" si="17"/>
        <v>0</v>
      </c>
    </row>
    <row r="163" spans="1:34" ht="15.75" customHeight="1" x14ac:dyDescent="0.25">
      <c r="A163" s="112" t="s">
        <v>110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/>
      <c r="AG165" s="5">
        <f t="shared" si="26"/>
        <v>0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1</v>
      </c>
      <c r="AC167" s="77">
        <v>1</v>
      </c>
      <c r="AD167" s="77">
        <v>0</v>
      </c>
      <c r="AE167" s="77">
        <v>0</v>
      </c>
      <c r="AF167" s="77"/>
      <c r="AG167" s="5">
        <f t="shared" si="26"/>
        <v>2</v>
      </c>
    </row>
    <row r="168" spans="1:34" ht="15.75" customHeight="1" x14ac:dyDescent="0.25">
      <c r="A168" s="76" t="s">
        <v>115</v>
      </c>
      <c r="B168" s="113">
        <v>0</v>
      </c>
      <c r="C168" s="113">
        <v>1</v>
      </c>
      <c r="D168" s="113">
        <v>1</v>
      </c>
      <c r="E168" s="113">
        <v>0</v>
      </c>
      <c r="F168" s="113">
        <v>0</v>
      </c>
      <c r="G168" s="113">
        <v>1</v>
      </c>
      <c r="H168" s="113">
        <v>2</v>
      </c>
      <c r="I168" s="113">
        <v>0</v>
      </c>
      <c r="J168" s="113">
        <v>0</v>
      </c>
      <c r="K168" s="113">
        <v>0</v>
      </c>
      <c r="L168" s="113">
        <v>2</v>
      </c>
      <c r="M168" s="113">
        <v>1</v>
      </c>
      <c r="N168" s="113">
        <v>0</v>
      </c>
      <c r="O168" s="113">
        <v>0</v>
      </c>
      <c r="P168" s="113">
        <v>0</v>
      </c>
      <c r="Q168" s="113">
        <v>4</v>
      </c>
      <c r="R168" s="113">
        <v>1</v>
      </c>
      <c r="S168" s="113">
        <v>1</v>
      </c>
      <c r="T168" s="113">
        <v>3</v>
      </c>
      <c r="U168" s="113">
        <v>1</v>
      </c>
      <c r="V168" s="113">
        <v>0</v>
      </c>
      <c r="W168" s="113">
        <v>0</v>
      </c>
      <c r="X168" s="113">
        <v>0</v>
      </c>
      <c r="Y168" s="113">
        <v>0</v>
      </c>
      <c r="Z168" s="113">
        <v>0</v>
      </c>
      <c r="AA168" s="113">
        <v>2</v>
      </c>
      <c r="AB168" s="113">
        <v>1</v>
      </c>
      <c r="AC168" s="113">
        <v>1</v>
      </c>
      <c r="AD168" s="113">
        <v>0</v>
      </c>
      <c r="AE168" s="113">
        <v>0</v>
      </c>
      <c r="AF168" s="113"/>
      <c r="AG168" s="5">
        <f t="shared" si="26"/>
        <v>22</v>
      </c>
    </row>
    <row r="169" spans="1:34" ht="15.75" customHeight="1" x14ac:dyDescent="0.25">
      <c r="A169" s="114" t="s">
        <v>116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1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1</v>
      </c>
      <c r="S169" s="113">
        <v>1</v>
      </c>
      <c r="T169" s="113">
        <v>0</v>
      </c>
      <c r="U169" s="113">
        <v>0</v>
      </c>
      <c r="V169" s="113">
        <v>2</v>
      </c>
      <c r="W169" s="113">
        <v>0</v>
      </c>
      <c r="X169" s="113">
        <v>1</v>
      </c>
      <c r="Y169" s="113">
        <v>0</v>
      </c>
      <c r="Z169" s="113">
        <v>0</v>
      </c>
      <c r="AA169" s="113">
        <v>1</v>
      </c>
      <c r="AB169" s="113">
        <v>0</v>
      </c>
      <c r="AC169" s="113">
        <v>0</v>
      </c>
      <c r="AD169" s="113">
        <v>0</v>
      </c>
      <c r="AE169" s="113">
        <v>0</v>
      </c>
      <c r="AF169" s="113"/>
      <c r="AG169" s="5">
        <f t="shared" si="26"/>
        <v>7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136</v>
      </c>
      <c r="C171" s="41">
        <f t="shared" si="27"/>
        <v>115</v>
      </c>
      <c r="D171" s="41">
        <f t="shared" si="27"/>
        <v>142</v>
      </c>
      <c r="E171" s="41">
        <f t="shared" si="27"/>
        <v>120</v>
      </c>
      <c r="F171" s="41">
        <f t="shared" si="27"/>
        <v>130</v>
      </c>
      <c r="G171" s="41">
        <f t="shared" si="27"/>
        <v>178</v>
      </c>
      <c r="H171" s="41">
        <f t="shared" si="27"/>
        <v>198</v>
      </c>
      <c r="I171" s="41">
        <f t="shared" si="27"/>
        <v>131</v>
      </c>
      <c r="J171" s="41">
        <f t="shared" si="27"/>
        <v>108</v>
      </c>
      <c r="K171" s="41">
        <f t="shared" si="27"/>
        <v>118</v>
      </c>
      <c r="L171" s="41">
        <f t="shared" si="27"/>
        <v>129</v>
      </c>
      <c r="M171" s="41">
        <f t="shared" si="27"/>
        <v>113</v>
      </c>
      <c r="N171" s="41">
        <f t="shared" si="27"/>
        <v>192</v>
      </c>
      <c r="O171" s="41">
        <f t="shared" si="27"/>
        <v>185</v>
      </c>
      <c r="P171" s="41">
        <f t="shared" si="27"/>
        <v>146</v>
      </c>
      <c r="Q171" s="41">
        <f t="shared" si="27"/>
        <v>134</v>
      </c>
      <c r="R171" s="41">
        <f t="shared" si="27"/>
        <v>137</v>
      </c>
      <c r="S171" s="41">
        <f t="shared" si="27"/>
        <v>135</v>
      </c>
      <c r="T171" s="41">
        <f t="shared" si="27"/>
        <v>136</v>
      </c>
      <c r="U171" s="41">
        <f t="shared" si="27"/>
        <v>204</v>
      </c>
      <c r="V171" s="41">
        <f t="shared" si="27"/>
        <v>194</v>
      </c>
      <c r="W171" s="41">
        <f t="shared" si="27"/>
        <v>164</v>
      </c>
      <c r="X171" s="41">
        <f t="shared" si="27"/>
        <v>128</v>
      </c>
      <c r="Y171" s="41">
        <f t="shared" si="27"/>
        <v>137</v>
      </c>
      <c r="Z171" s="41">
        <f t="shared" si="27"/>
        <v>111</v>
      </c>
      <c r="AA171" s="41">
        <f t="shared" si="27"/>
        <v>127</v>
      </c>
      <c r="AB171" s="41">
        <f t="shared" si="27"/>
        <v>204</v>
      </c>
      <c r="AC171" s="41">
        <f t="shared" si="27"/>
        <v>204</v>
      </c>
      <c r="AD171" s="41">
        <f t="shared" si="27"/>
        <v>142</v>
      </c>
      <c r="AE171" s="41">
        <f t="shared" si="27"/>
        <v>129</v>
      </c>
      <c r="AF171" s="41">
        <f t="shared" si="27"/>
        <v>0</v>
      </c>
      <c r="AG171" s="42">
        <f t="shared" si="26"/>
        <v>4427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1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/>
      <c r="AG172" s="43">
        <f t="shared" si="26"/>
        <v>1</v>
      </c>
    </row>
    <row r="173" spans="1:34" ht="15.75" customHeight="1" x14ac:dyDescent="0.25">
      <c r="A173" s="119" t="s">
        <v>38</v>
      </c>
      <c r="B173" s="120">
        <v>1</v>
      </c>
      <c r="C173" s="120">
        <v>0</v>
      </c>
      <c r="D173" s="120">
        <v>0</v>
      </c>
      <c r="E173" s="120">
        <v>2</v>
      </c>
      <c r="F173" s="120">
        <v>1</v>
      </c>
      <c r="G173" s="120">
        <v>0</v>
      </c>
      <c r="H173" s="120">
        <v>2</v>
      </c>
      <c r="I173" s="120">
        <v>3</v>
      </c>
      <c r="J173" s="120">
        <v>1</v>
      </c>
      <c r="K173" s="120">
        <v>3</v>
      </c>
      <c r="L173" s="120">
        <v>3</v>
      </c>
      <c r="M173" s="120">
        <v>5</v>
      </c>
      <c r="N173" s="120">
        <v>1</v>
      </c>
      <c r="O173" s="120">
        <v>2</v>
      </c>
      <c r="P173" s="120">
        <v>3</v>
      </c>
      <c r="Q173" s="120">
        <v>1</v>
      </c>
      <c r="R173" s="120">
        <v>3</v>
      </c>
      <c r="S173" s="120">
        <v>1</v>
      </c>
      <c r="T173" s="120">
        <v>1</v>
      </c>
      <c r="U173" s="120">
        <v>2</v>
      </c>
      <c r="V173" s="120">
        <v>0</v>
      </c>
      <c r="W173" s="120">
        <v>1</v>
      </c>
      <c r="X173" s="120">
        <v>3</v>
      </c>
      <c r="Y173" s="120">
        <v>2</v>
      </c>
      <c r="Z173" s="120">
        <v>2</v>
      </c>
      <c r="AA173" s="120">
        <v>3</v>
      </c>
      <c r="AB173" s="120">
        <v>3</v>
      </c>
      <c r="AC173" s="120">
        <v>3</v>
      </c>
      <c r="AD173" s="120">
        <v>0</v>
      </c>
      <c r="AE173" s="120">
        <v>1</v>
      </c>
      <c r="AF173" s="120"/>
      <c r="AG173" s="44">
        <f t="shared" si="26"/>
        <v>53</v>
      </c>
    </row>
    <row r="174" spans="1:34" ht="15.75" customHeight="1" x14ac:dyDescent="0.25">
      <c r="A174" s="119" t="s">
        <v>39</v>
      </c>
      <c r="B174" s="120">
        <v>15</v>
      </c>
      <c r="C174" s="120">
        <v>6</v>
      </c>
      <c r="D174" s="120">
        <v>28</v>
      </c>
      <c r="E174" s="120">
        <v>16</v>
      </c>
      <c r="F174" s="120">
        <v>23</v>
      </c>
      <c r="G174" s="120">
        <v>16</v>
      </c>
      <c r="H174" s="120">
        <v>27</v>
      </c>
      <c r="I174" s="120">
        <v>34</v>
      </c>
      <c r="J174" s="120">
        <v>15</v>
      </c>
      <c r="K174" s="120">
        <v>23</v>
      </c>
      <c r="L174" s="120">
        <v>31</v>
      </c>
      <c r="M174" s="120">
        <v>29</v>
      </c>
      <c r="N174" s="120">
        <v>27</v>
      </c>
      <c r="O174" s="120">
        <v>36</v>
      </c>
      <c r="P174" s="120">
        <v>34</v>
      </c>
      <c r="Q174" s="120">
        <v>22</v>
      </c>
      <c r="R174" s="120">
        <v>19</v>
      </c>
      <c r="S174" s="120">
        <v>16</v>
      </c>
      <c r="T174" s="120">
        <v>18</v>
      </c>
      <c r="U174" s="120">
        <v>28</v>
      </c>
      <c r="V174" s="120">
        <v>31</v>
      </c>
      <c r="W174" s="120">
        <v>25</v>
      </c>
      <c r="X174" s="120">
        <v>22</v>
      </c>
      <c r="Y174" s="120">
        <v>16</v>
      </c>
      <c r="Z174" s="120">
        <v>11</v>
      </c>
      <c r="AA174" s="120">
        <v>24</v>
      </c>
      <c r="AB174" s="120">
        <v>27</v>
      </c>
      <c r="AC174" s="120">
        <v>27</v>
      </c>
      <c r="AD174" s="120">
        <v>24</v>
      </c>
      <c r="AE174" s="120">
        <v>12</v>
      </c>
      <c r="AF174" s="120"/>
      <c r="AG174" s="44">
        <f t="shared" si="26"/>
        <v>682</v>
      </c>
    </row>
    <row r="175" spans="1:34" ht="15.75" customHeight="1" x14ac:dyDescent="0.25">
      <c r="A175" s="119" t="s">
        <v>40</v>
      </c>
      <c r="B175" s="120">
        <v>81</v>
      </c>
      <c r="C175" s="120">
        <v>101</v>
      </c>
      <c r="D175" s="120">
        <v>84</v>
      </c>
      <c r="E175" s="120">
        <v>87</v>
      </c>
      <c r="F175" s="120">
        <v>80</v>
      </c>
      <c r="G175" s="120">
        <v>104</v>
      </c>
      <c r="H175" s="120">
        <v>135</v>
      </c>
      <c r="I175" s="120">
        <v>80</v>
      </c>
      <c r="J175" s="120">
        <v>82</v>
      </c>
      <c r="K175" s="120">
        <v>79</v>
      </c>
      <c r="L175" s="120">
        <v>80</v>
      </c>
      <c r="M175" s="120">
        <v>65</v>
      </c>
      <c r="N175" s="120">
        <v>139</v>
      </c>
      <c r="O175" s="120">
        <v>92</v>
      </c>
      <c r="P175" s="120">
        <v>103</v>
      </c>
      <c r="Q175" s="120">
        <v>92</v>
      </c>
      <c r="R175" s="120">
        <v>98</v>
      </c>
      <c r="S175" s="120">
        <v>89</v>
      </c>
      <c r="T175" s="120">
        <v>97</v>
      </c>
      <c r="U175" s="120">
        <v>119</v>
      </c>
      <c r="V175" s="120">
        <v>97</v>
      </c>
      <c r="W175" s="120">
        <v>103</v>
      </c>
      <c r="X175" s="120">
        <v>89</v>
      </c>
      <c r="Y175" s="120">
        <v>89</v>
      </c>
      <c r="Z175" s="120">
        <v>70</v>
      </c>
      <c r="AA175" s="120">
        <v>81</v>
      </c>
      <c r="AB175" s="120">
        <v>146</v>
      </c>
      <c r="AC175" s="120">
        <v>146</v>
      </c>
      <c r="AD175" s="120">
        <v>84</v>
      </c>
      <c r="AE175" s="120">
        <v>58</v>
      </c>
      <c r="AF175" s="120"/>
      <c r="AG175" s="44">
        <f t="shared" si="26"/>
        <v>2850</v>
      </c>
    </row>
    <row r="176" spans="1:34" ht="15.75" customHeight="1" thickBot="1" x14ac:dyDescent="0.3">
      <c r="A176" s="121" t="s">
        <v>41</v>
      </c>
      <c r="B176" s="122">
        <v>39</v>
      </c>
      <c r="C176" s="122">
        <v>8</v>
      </c>
      <c r="D176" s="122">
        <v>30</v>
      </c>
      <c r="E176" s="122">
        <v>15</v>
      </c>
      <c r="F176" s="122">
        <v>26</v>
      </c>
      <c r="G176" s="122">
        <v>58</v>
      </c>
      <c r="H176" s="122">
        <v>34</v>
      </c>
      <c r="I176" s="122">
        <v>14</v>
      </c>
      <c r="J176" s="122">
        <v>10</v>
      </c>
      <c r="K176" s="122">
        <v>13</v>
      </c>
      <c r="L176" s="122">
        <v>14</v>
      </c>
      <c r="M176" s="122">
        <v>14</v>
      </c>
      <c r="N176" s="122">
        <v>25</v>
      </c>
      <c r="O176" s="122">
        <v>55</v>
      </c>
      <c r="P176" s="122">
        <v>6</v>
      </c>
      <c r="Q176" s="122">
        <v>19</v>
      </c>
      <c r="R176" s="122">
        <v>17</v>
      </c>
      <c r="S176" s="122">
        <v>29</v>
      </c>
      <c r="T176" s="122">
        <v>20</v>
      </c>
      <c r="U176" s="122">
        <v>55</v>
      </c>
      <c r="V176" s="122">
        <v>66</v>
      </c>
      <c r="W176" s="122">
        <v>35</v>
      </c>
      <c r="X176" s="122">
        <v>14</v>
      </c>
      <c r="Y176" s="122">
        <v>30</v>
      </c>
      <c r="Z176" s="122">
        <v>28</v>
      </c>
      <c r="AA176" s="122">
        <v>19</v>
      </c>
      <c r="AB176" s="122">
        <v>28</v>
      </c>
      <c r="AC176" s="122">
        <v>28</v>
      </c>
      <c r="AD176" s="122">
        <v>34</v>
      </c>
      <c r="AE176" s="122">
        <v>58</v>
      </c>
      <c r="AF176" s="122"/>
      <c r="AG176" s="45">
        <f t="shared" si="26"/>
        <v>841</v>
      </c>
    </row>
    <row r="177" spans="1:34" ht="15.75" customHeight="1" x14ac:dyDescent="0.25">
      <c r="A177" s="123" t="s">
        <v>120</v>
      </c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26">
        <f t="shared" si="26"/>
        <v>0</v>
      </c>
      <c r="AH177" s="140" t="s">
        <v>177</v>
      </c>
    </row>
    <row r="178" spans="1:34" ht="15.75" customHeight="1" x14ac:dyDescent="0.25">
      <c r="A178" s="125" t="s">
        <v>122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123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d7htsCJn/qEoWTY5XwS+fIXR7hl92WxjUILHQBt2QAZuRxOlwd3suy2b8PFBdi9xy+awvggpd+1/tdo11VCuwQ==" saltValue="HQDMeIz3VzCLvjnTY3qupw==" spinCount="100000" sheet="1" objects="1" scenarios="1"/>
  <dataConsolidate/>
  <mergeCells count="2">
    <mergeCell ref="A1:AG1"/>
    <mergeCell ref="AH177:AH180"/>
  </mergeCells>
  <conditionalFormatting sqref="AD29:AF52">
    <cfRule type="cellIs" dxfId="26" priority="3" operator="lessThan">
      <formula>0</formula>
    </cfRule>
  </conditionalFormatting>
  <conditionalFormatting sqref="AH171">
    <cfRule type="cellIs" dxfId="25" priority="2" operator="equal">
      <formula>"X"</formula>
    </cfRule>
  </conditionalFormatting>
  <conditionalFormatting sqref="AH1:AH1048576">
    <cfRule type="cellIs" dxfId="24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93E23469-6D5D-46B4-8460-DE52DAAAB783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8BEC-4A0F-4783-B2CC-DF2884190E8B}">
  <sheetPr codeName="Hoja20"/>
  <dimension ref="A1:AK954"/>
  <sheetViews>
    <sheetView zoomScale="80" zoomScaleNormal="80" workbookViewId="0">
      <pane xSplit="1" ySplit="3" topLeftCell="B118" activePane="bottomRight" state="frozen"/>
      <selection activeCell="Q5" sqref="Q5"/>
      <selection pane="topRight" activeCell="Q5" sqref="Q5"/>
      <selection pane="bottomLeft" activeCell="Q5" sqref="Q5"/>
      <selection pane="bottomRight" activeCell="AE130" sqref="AE130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168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218</v>
      </c>
      <c r="C3" s="1">
        <f t="shared" si="1"/>
        <v>175</v>
      </c>
      <c r="D3" s="1">
        <f t="shared" si="1"/>
        <v>154</v>
      </c>
      <c r="E3" s="1">
        <f t="shared" si="1"/>
        <v>236</v>
      </c>
      <c r="F3" s="1">
        <f t="shared" si="1"/>
        <v>272</v>
      </c>
      <c r="G3" s="1">
        <f t="shared" si="1"/>
        <v>235</v>
      </c>
      <c r="H3" s="1">
        <f t="shared" si="1"/>
        <v>177</v>
      </c>
      <c r="I3" s="1">
        <f t="shared" si="1"/>
        <v>175</v>
      </c>
      <c r="J3" s="1">
        <f t="shared" si="1"/>
        <v>163</v>
      </c>
      <c r="K3" s="1">
        <f t="shared" si="1"/>
        <v>175</v>
      </c>
      <c r="L3" s="1">
        <f t="shared" si="1"/>
        <v>269</v>
      </c>
      <c r="M3" s="1">
        <f t="shared" si="1"/>
        <v>295</v>
      </c>
      <c r="N3" s="1">
        <f t="shared" si="1"/>
        <v>224</v>
      </c>
      <c r="O3" s="1">
        <f t="shared" si="1"/>
        <v>213</v>
      </c>
      <c r="P3" s="1">
        <f t="shared" si="1"/>
        <v>185</v>
      </c>
      <c r="Q3" s="1">
        <f t="shared" si="1"/>
        <v>211</v>
      </c>
      <c r="R3" s="1">
        <f t="shared" si="1"/>
        <v>197</v>
      </c>
      <c r="S3" s="1">
        <f t="shared" si="1"/>
        <v>266</v>
      </c>
      <c r="T3" s="1">
        <f t="shared" si="1"/>
        <v>250</v>
      </c>
      <c r="U3" s="1">
        <f t="shared" si="1"/>
        <v>190</v>
      </c>
      <c r="V3" s="1">
        <f t="shared" si="1"/>
        <v>275</v>
      </c>
      <c r="W3" s="1">
        <f t="shared" si="1"/>
        <v>189</v>
      </c>
      <c r="X3" s="1">
        <f t="shared" si="1"/>
        <v>138</v>
      </c>
      <c r="Y3" s="1">
        <f t="shared" si="1"/>
        <v>136</v>
      </c>
      <c r="Z3" s="1">
        <f t="shared" si="1"/>
        <v>167</v>
      </c>
      <c r="AA3" s="1">
        <f t="shared" si="1"/>
        <v>177</v>
      </c>
      <c r="AB3" s="1">
        <f t="shared" si="1"/>
        <v>233</v>
      </c>
      <c r="AC3" s="1">
        <f t="shared" si="1"/>
        <v>218</v>
      </c>
      <c r="AD3" s="1">
        <f t="shared" si="1"/>
        <v>212</v>
      </c>
      <c r="AE3" s="1">
        <f t="shared" si="1"/>
        <v>169</v>
      </c>
      <c r="AF3" s="1">
        <f t="shared" si="1"/>
        <v>0</v>
      </c>
      <c r="AG3" s="2">
        <f t="shared" ref="AG3:AG66" si="2">SUM(B3:AF3)</f>
        <v>6194</v>
      </c>
    </row>
    <row r="4" spans="1:33" ht="18.75" x14ac:dyDescent="0.25">
      <c r="A4" s="53" t="s">
        <v>3</v>
      </c>
      <c r="B4" s="54">
        <v>5</v>
      </c>
      <c r="C4" s="55">
        <v>0</v>
      </c>
      <c r="D4" s="55">
        <v>0</v>
      </c>
      <c r="E4" s="55">
        <v>7</v>
      </c>
      <c r="F4" s="55">
        <v>4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9</v>
      </c>
      <c r="M4" s="55">
        <v>13</v>
      </c>
      <c r="N4" s="55">
        <v>0</v>
      </c>
      <c r="O4" s="55">
        <v>0</v>
      </c>
      <c r="P4" s="55">
        <v>0</v>
      </c>
      <c r="Q4" s="55">
        <v>0</v>
      </c>
      <c r="R4" s="55">
        <v>0</v>
      </c>
      <c r="S4" s="55">
        <v>8</v>
      </c>
      <c r="T4" s="55">
        <v>4</v>
      </c>
      <c r="U4" s="55">
        <v>0</v>
      </c>
      <c r="V4" s="55">
        <v>16</v>
      </c>
      <c r="W4" s="55">
        <v>0</v>
      </c>
      <c r="X4" s="55">
        <v>0</v>
      </c>
      <c r="Y4" s="55">
        <v>0</v>
      </c>
      <c r="Z4" s="55">
        <v>7</v>
      </c>
      <c r="AA4" s="55">
        <v>7</v>
      </c>
      <c r="AB4" s="55">
        <v>10</v>
      </c>
      <c r="AC4" s="55">
        <v>13</v>
      </c>
      <c r="AD4" s="55">
        <v>11</v>
      </c>
      <c r="AE4" s="55">
        <v>9</v>
      </c>
      <c r="AF4" s="55"/>
      <c r="AG4" s="4">
        <f t="shared" si="2"/>
        <v>123</v>
      </c>
    </row>
    <row r="5" spans="1:33" ht="18.75" x14ac:dyDescent="0.25">
      <c r="A5" s="56" t="s">
        <v>4</v>
      </c>
      <c r="B5" s="54">
        <v>8</v>
      </c>
      <c r="C5" s="54">
        <v>0</v>
      </c>
      <c r="D5" s="54">
        <v>0</v>
      </c>
      <c r="E5" s="54">
        <v>19</v>
      </c>
      <c r="F5" s="54">
        <v>10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13</v>
      </c>
      <c r="M5" s="54">
        <v>14</v>
      </c>
      <c r="N5" s="54">
        <v>0</v>
      </c>
      <c r="O5" s="54">
        <v>0</v>
      </c>
      <c r="P5" s="54">
        <v>0</v>
      </c>
      <c r="Q5" s="54">
        <v>0</v>
      </c>
      <c r="R5" s="54">
        <v>0</v>
      </c>
      <c r="S5" s="54">
        <v>22</v>
      </c>
      <c r="T5" s="54">
        <v>17</v>
      </c>
      <c r="U5" s="54">
        <v>0</v>
      </c>
      <c r="V5" s="54">
        <v>13</v>
      </c>
      <c r="W5" s="54">
        <v>0</v>
      </c>
      <c r="X5" s="54">
        <v>0</v>
      </c>
      <c r="Y5" s="54">
        <v>0</v>
      </c>
      <c r="Z5" s="54">
        <v>13</v>
      </c>
      <c r="AA5" s="54">
        <v>9</v>
      </c>
      <c r="AB5" s="54">
        <v>12</v>
      </c>
      <c r="AC5" s="54">
        <v>9</v>
      </c>
      <c r="AD5" s="54">
        <v>15</v>
      </c>
      <c r="AE5" s="54">
        <v>12</v>
      </c>
      <c r="AF5" s="54"/>
      <c r="AG5" s="5">
        <f t="shared" si="2"/>
        <v>186</v>
      </c>
    </row>
    <row r="6" spans="1:33" ht="18.75" x14ac:dyDescent="0.25">
      <c r="A6" s="56" t="s">
        <v>5</v>
      </c>
      <c r="B6" s="54">
        <v>10</v>
      </c>
      <c r="C6" s="54">
        <v>0</v>
      </c>
      <c r="D6" s="54">
        <v>0</v>
      </c>
      <c r="E6" s="54">
        <v>17</v>
      </c>
      <c r="F6" s="54">
        <v>16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23</v>
      </c>
      <c r="M6" s="54">
        <v>24</v>
      </c>
      <c r="N6" s="54">
        <v>0</v>
      </c>
      <c r="O6" s="54">
        <v>0</v>
      </c>
      <c r="P6" s="54">
        <v>0</v>
      </c>
      <c r="Q6" s="54">
        <v>0</v>
      </c>
      <c r="R6" s="54">
        <v>0</v>
      </c>
      <c r="S6" s="54">
        <v>19</v>
      </c>
      <c r="T6" s="54">
        <v>13</v>
      </c>
      <c r="U6" s="54">
        <v>0</v>
      </c>
      <c r="V6" s="54">
        <v>13</v>
      </c>
      <c r="W6" s="54">
        <v>0</v>
      </c>
      <c r="X6" s="54">
        <v>0</v>
      </c>
      <c r="Y6" s="54">
        <v>0</v>
      </c>
      <c r="Z6" s="54">
        <v>11</v>
      </c>
      <c r="AA6" s="54">
        <v>7</v>
      </c>
      <c r="AB6" s="54">
        <v>7</v>
      </c>
      <c r="AC6" s="54">
        <v>9</v>
      </c>
      <c r="AD6" s="54">
        <v>14</v>
      </c>
      <c r="AE6" s="54">
        <v>8</v>
      </c>
      <c r="AF6" s="54"/>
      <c r="AG6" s="5">
        <f t="shared" si="2"/>
        <v>191</v>
      </c>
    </row>
    <row r="7" spans="1:33" ht="18.75" x14ac:dyDescent="0.25">
      <c r="A7" s="56" t="s">
        <v>6</v>
      </c>
      <c r="B7" s="54">
        <v>25</v>
      </c>
      <c r="C7" s="54">
        <v>0</v>
      </c>
      <c r="D7" s="54">
        <v>0</v>
      </c>
      <c r="E7" s="54">
        <v>19</v>
      </c>
      <c r="F7" s="54">
        <v>26</v>
      </c>
      <c r="G7" s="54">
        <v>0</v>
      </c>
      <c r="H7" s="54">
        <v>0</v>
      </c>
      <c r="I7" s="54">
        <v>0</v>
      </c>
      <c r="J7" s="54">
        <v>0</v>
      </c>
      <c r="K7" s="54">
        <v>0</v>
      </c>
      <c r="L7" s="54">
        <v>29</v>
      </c>
      <c r="M7" s="54">
        <v>19</v>
      </c>
      <c r="N7" s="54">
        <v>0</v>
      </c>
      <c r="O7" s="54">
        <v>0</v>
      </c>
      <c r="P7" s="54">
        <v>0</v>
      </c>
      <c r="Q7" s="54">
        <v>0</v>
      </c>
      <c r="R7" s="54">
        <v>0</v>
      </c>
      <c r="S7" s="54">
        <v>21</v>
      </c>
      <c r="T7" s="54">
        <v>18</v>
      </c>
      <c r="U7" s="54">
        <v>0</v>
      </c>
      <c r="V7" s="54">
        <v>20</v>
      </c>
      <c r="W7" s="54">
        <v>0</v>
      </c>
      <c r="X7" s="54">
        <v>0</v>
      </c>
      <c r="Y7" s="54">
        <v>0</v>
      </c>
      <c r="Z7" s="54">
        <v>12</v>
      </c>
      <c r="AA7" s="54">
        <v>21</v>
      </c>
      <c r="AB7" s="54">
        <v>17</v>
      </c>
      <c r="AC7" s="54">
        <v>20</v>
      </c>
      <c r="AD7" s="54">
        <v>8</v>
      </c>
      <c r="AE7" s="54">
        <v>11</v>
      </c>
      <c r="AF7" s="54"/>
      <c r="AG7" s="5">
        <f t="shared" si="2"/>
        <v>266</v>
      </c>
    </row>
    <row r="8" spans="1:33" ht="18.75" x14ac:dyDescent="0.25">
      <c r="A8" s="56" t="s">
        <v>7</v>
      </c>
      <c r="B8" s="54">
        <v>23</v>
      </c>
      <c r="C8" s="54">
        <v>0</v>
      </c>
      <c r="D8" s="54">
        <v>0</v>
      </c>
      <c r="E8" s="54">
        <v>13</v>
      </c>
      <c r="F8" s="54">
        <v>22</v>
      </c>
      <c r="G8" s="54">
        <v>0</v>
      </c>
      <c r="H8" s="54">
        <v>0</v>
      </c>
      <c r="I8" s="54">
        <v>0</v>
      </c>
      <c r="J8" s="54">
        <v>0</v>
      </c>
      <c r="K8" s="54">
        <v>0</v>
      </c>
      <c r="L8" s="54">
        <v>15</v>
      </c>
      <c r="M8" s="54">
        <v>30</v>
      </c>
      <c r="N8" s="54">
        <v>0</v>
      </c>
      <c r="O8" s="54">
        <v>0</v>
      </c>
      <c r="P8" s="54">
        <v>0</v>
      </c>
      <c r="Q8" s="54">
        <v>0</v>
      </c>
      <c r="R8" s="54">
        <v>0</v>
      </c>
      <c r="S8" s="54">
        <v>29</v>
      </c>
      <c r="T8" s="54">
        <v>26</v>
      </c>
      <c r="U8" s="54">
        <v>0</v>
      </c>
      <c r="V8" s="54">
        <v>22</v>
      </c>
      <c r="W8" s="54">
        <v>0</v>
      </c>
      <c r="X8" s="54">
        <v>0</v>
      </c>
      <c r="Y8" s="54">
        <v>0</v>
      </c>
      <c r="Z8" s="54">
        <v>7</v>
      </c>
      <c r="AA8" s="54">
        <v>8</v>
      </c>
      <c r="AB8" s="54">
        <v>11</v>
      </c>
      <c r="AC8" s="54">
        <v>9</v>
      </c>
      <c r="AD8" s="54">
        <v>16</v>
      </c>
      <c r="AE8" s="54">
        <v>15</v>
      </c>
      <c r="AF8" s="54"/>
      <c r="AG8" s="5">
        <f t="shared" si="2"/>
        <v>246</v>
      </c>
    </row>
    <row r="9" spans="1:33" ht="18.75" x14ac:dyDescent="0.25">
      <c r="A9" s="56" t="s">
        <v>8</v>
      </c>
      <c r="B9" s="54">
        <v>12</v>
      </c>
      <c r="C9" s="54">
        <v>0</v>
      </c>
      <c r="D9" s="54">
        <v>0</v>
      </c>
      <c r="E9" s="54">
        <v>16</v>
      </c>
      <c r="F9" s="54">
        <v>18</v>
      </c>
      <c r="G9" s="54">
        <v>0</v>
      </c>
      <c r="H9" s="54">
        <v>0</v>
      </c>
      <c r="I9" s="54">
        <v>0</v>
      </c>
      <c r="J9" s="54">
        <v>0</v>
      </c>
      <c r="K9" s="54">
        <v>0</v>
      </c>
      <c r="L9" s="54">
        <v>11</v>
      </c>
      <c r="M9" s="54">
        <v>18</v>
      </c>
      <c r="N9" s="54">
        <v>0</v>
      </c>
      <c r="O9" s="54">
        <v>0</v>
      </c>
      <c r="P9" s="54">
        <v>0</v>
      </c>
      <c r="Q9" s="54">
        <v>0</v>
      </c>
      <c r="R9" s="54">
        <v>0</v>
      </c>
      <c r="S9" s="54">
        <v>17</v>
      </c>
      <c r="T9" s="54">
        <v>22</v>
      </c>
      <c r="U9" s="54">
        <v>0</v>
      </c>
      <c r="V9" s="54">
        <v>21</v>
      </c>
      <c r="W9" s="54">
        <v>0</v>
      </c>
      <c r="X9" s="54">
        <v>0</v>
      </c>
      <c r="Y9" s="54">
        <v>0</v>
      </c>
      <c r="Z9" s="54">
        <v>13</v>
      </c>
      <c r="AA9" s="54">
        <v>9</v>
      </c>
      <c r="AB9" s="54">
        <v>10</v>
      </c>
      <c r="AC9" s="54">
        <v>15</v>
      </c>
      <c r="AD9" s="54">
        <v>14</v>
      </c>
      <c r="AE9" s="54">
        <v>8</v>
      </c>
      <c r="AF9" s="54"/>
      <c r="AG9" s="5">
        <f t="shared" si="2"/>
        <v>204</v>
      </c>
    </row>
    <row r="10" spans="1:33" ht="18.75" x14ac:dyDescent="0.25">
      <c r="A10" s="56" t="s">
        <v>9</v>
      </c>
      <c r="B10" s="54">
        <v>18</v>
      </c>
      <c r="C10" s="54">
        <v>0</v>
      </c>
      <c r="D10" s="54">
        <v>0</v>
      </c>
      <c r="E10" s="54">
        <v>14</v>
      </c>
      <c r="F10" s="54">
        <v>27</v>
      </c>
      <c r="G10" s="54">
        <v>0</v>
      </c>
      <c r="H10" s="54">
        <v>0</v>
      </c>
      <c r="I10" s="54">
        <v>0</v>
      </c>
      <c r="J10" s="54">
        <v>0</v>
      </c>
      <c r="K10" s="54">
        <v>0</v>
      </c>
      <c r="L10" s="54">
        <v>18</v>
      </c>
      <c r="M10" s="54">
        <v>19</v>
      </c>
      <c r="N10" s="54">
        <v>0</v>
      </c>
      <c r="O10" s="54">
        <v>0</v>
      </c>
      <c r="P10" s="54">
        <v>0</v>
      </c>
      <c r="Q10" s="54">
        <v>0</v>
      </c>
      <c r="R10" s="54">
        <v>0</v>
      </c>
      <c r="S10" s="54">
        <v>17</v>
      </c>
      <c r="T10" s="54">
        <v>18</v>
      </c>
      <c r="U10" s="54">
        <v>0</v>
      </c>
      <c r="V10" s="54">
        <v>24</v>
      </c>
      <c r="W10" s="54">
        <v>0</v>
      </c>
      <c r="X10" s="54">
        <v>0</v>
      </c>
      <c r="Y10" s="54">
        <v>0</v>
      </c>
      <c r="Z10" s="54">
        <v>19</v>
      </c>
      <c r="AA10" s="54">
        <v>18</v>
      </c>
      <c r="AB10" s="54">
        <v>14</v>
      </c>
      <c r="AC10" s="54">
        <v>13</v>
      </c>
      <c r="AD10" s="54">
        <v>15</v>
      </c>
      <c r="AE10" s="54">
        <v>10</v>
      </c>
      <c r="AF10" s="54"/>
      <c r="AG10" s="5">
        <f t="shared" si="2"/>
        <v>244</v>
      </c>
    </row>
    <row r="11" spans="1:33" ht="18.75" x14ac:dyDescent="0.25">
      <c r="A11" s="56" t="s">
        <v>10</v>
      </c>
      <c r="B11" s="54">
        <v>16</v>
      </c>
      <c r="C11" s="54">
        <v>0</v>
      </c>
      <c r="D11" s="54">
        <v>3</v>
      </c>
      <c r="E11" s="54">
        <v>16</v>
      </c>
      <c r="F11" s="54">
        <v>21</v>
      </c>
      <c r="G11" s="54">
        <v>0</v>
      </c>
      <c r="H11" s="54">
        <v>0</v>
      </c>
      <c r="I11" s="54">
        <v>0</v>
      </c>
      <c r="J11" s="54">
        <v>0</v>
      </c>
      <c r="K11" s="54">
        <v>8</v>
      </c>
      <c r="L11" s="54">
        <v>17</v>
      </c>
      <c r="M11" s="54">
        <v>25</v>
      </c>
      <c r="N11" s="54">
        <v>0</v>
      </c>
      <c r="O11" s="54">
        <v>0</v>
      </c>
      <c r="P11" s="54">
        <v>0</v>
      </c>
      <c r="Q11" s="54">
        <v>0</v>
      </c>
      <c r="R11" s="54">
        <v>8</v>
      </c>
      <c r="S11" s="54">
        <v>18</v>
      </c>
      <c r="T11" s="54">
        <v>20</v>
      </c>
      <c r="U11" s="54">
        <v>0</v>
      </c>
      <c r="V11" s="54">
        <v>18</v>
      </c>
      <c r="W11" s="54">
        <v>0</v>
      </c>
      <c r="X11" s="54">
        <v>0</v>
      </c>
      <c r="Y11" s="54">
        <v>5</v>
      </c>
      <c r="Z11" s="54">
        <v>8</v>
      </c>
      <c r="AA11" s="54">
        <v>11</v>
      </c>
      <c r="AB11" s="54">
        <v>16</v>
      </c>
      <c r="AC11" s="54">
        <v>23</v>
      </c>
      <c r="AD11" s="54">
        <v>14</v>
      </c>
      <c r="AE11" s="54">
        <v>12</v>
      </c>
      <c r="AF11" s="54"/>
      <c r="AG11" s="5">
        <f t="shared" si="2"/>
        <v>259</v>
      </c>
    </row>
    <row r="12" spans="1:33" ht="18.75" x14ac:dyDescent="0.25">
      <c r="A12" s="56" t="s">
        <v>11</v>
      </c>
      <c r="B12" s="54">
        <v>19</v>
      </c>
      <c r="C12" s="54">
        <v>9</v>
      </c>
      <c r="D12" s="54">
        <v>54</v>
      </c>
      <c r="E12" s="54">
        <v>22</v>
      </c>
      <c r="F12" s="54">
        <v>16</v>
      </c>
      <c r="G12" s="54">
        <v>1</v>
      </c>
      <c r="H12" s="54">
        <v>5</v>
      </c>
      <c r="I12" s="54">
        <v>13</v>
      </c>
      <c r="J12" s="54">
        <v>12</v>
      </c>
      <c r="K12" s="54">
        <v>56</v>
      </c>
      <c r="L12" s="54">
        <v>29</v>
      </c>
      <c r="M12" s="54">
        <v>20</v>
      </c>
      <c r="N12" s="54">
        <v>4</v>
      </c>
      <c r="O12" s="54">
        <v>8</v>
      </c>
      <c r="P12" s="54">
        <v>9</v>
      </c>
      <c r="Q12" s="54">
        <v>8</v>
      </c>
      <c r="R12" s="54">
        <v>77</v>
      </c>
      <c r="S12" s="54">
        <v>9</v>
      </c>
      <c r="T12" s="54">
        <v>18</v>
      </c>
      <c r="U12" s="54">
        <v>2</v>
      </c>
      <c r="V12" s="54">
        <v>32</v>
      </c>
      <c r="W12" s="54">
        <v>9</v>
      </c>
      <c r="X12" s="54">
        <v>4</v>
      </c>
      <c r="Y12" s="54">
        <v>44</v>
      </c>
      <c r="Z12" s="54">
        <v>8</v>
      </c>
      <c r="AA12" s="54">
        <v>13</v>
      </c>
      <c r="AB12" s="54">
        <v>23</v>
      </c>
      <c r="AC12" s="54">
        <v>18</v>
      </c>
      <c r="AD12" s="54">
        <v>16</v>
      </c>
      <c r="AE12" s="54">
        <v>13</v>
      </c>
      <c r="AF12" s="54"/>
      <c r="AG12" s="5">
        <f t="shared" si="2"/>
        <v>571</v>
      </c>
    </row>
    <row r="13" spans="1:33" ht="18.75" x14ac:dyDescent="0.25">
      <c r="A13" s="56" t="s">
        <v>12</v>
      </c>
      <c r="B13" s="54">
        <v>17</v>
      </c>
      <c r="C13" s="54">
        <v>66</v>
      </c>
      <c r="D13" s="54">
        <v>25</v>
      </c>
      <c r="E13" s="54">
        <v>23</v>
      </c>
      <c r="F13" s="54">
        <v>22</v>
      </c>
      <c r="G13" s="54">
        <v>77</v>
      </c>
      <c r="H13" s="54">
        <v>79</v>
      </c>
      <c r="I13" s="54">
        <v>72</v>
      </c>
      <c r="J13" s="54">
        <v>61</v>
      </c>
      <c r="K13" s="54">
        <v>18</v>
      </c>
      <c r="L13" s="54">
        <v>20</v>
      </c>
      <c r="M13" s="54">
        <v>29</v>
      </c>
      <c r="N13" s="54">
        <v>76</v>
      </c>
      <c r="O13" s="54">
        <v>90</v>
      </c>
      <c r="P13" s="54">
        <v>82</v>
      </c>
      <c r="Q13" s="54">
        <v>83</v>
      </c>
      <c r="R13" s="54">
        <v>26</v>
      </c>
      <c r="S13" s="54">
        <v>17</v>
      </c>
      <c r="T13" s="54">
        <v>14</v>
      </c>
      <c r="U13" s="54">
        <v>90</v>
      </c>
      <c r="V13" s="54">
        <v>19</v>
      </c>
      <c r="W13" s="54">
        <v>95</v>
      </c>
      <c r="X13" s="54">
        <v>77</v>
      </c>
      <c r="Y13" s="54">
        <v>29</v>
      </c>
      <c r="Z13" s="54">
        <v>12</v>
      </c>
      <c r="AA13" s="54">
        <v>12</v>
      </c>
      <c r="AB13" s="54">
        <v>16</v>
      </c>
      <c r="AC13" s="54">
        <v>18</v>
      </c>
      <c r="AD13" s="54">
        <v>19</v>
      </c>
      <c r="AE13" s="54">
        <v>17</v>
      </c>
      <c r="AF13" s="54"/>
      <c r="AG13" s="5">
        <f t="shared" si="2"/>
        <v>1301</v>
      </c>
    </row>
    <row r="14" spans="1:33" ht="18.75" x14ac:dyDescent="0.25">
      <c r="A14" s="56" t="s">
        <v>13</v>
      </c>
      <c r="B14" s="54">
        <v>25</v>
      </c>
      <c r="C14" s="54">
        <v>24</v>
      </c>
      <c r="D14" s="54">
        <v>22</v>
      </c>
      <c r="E14" s="54">
        <v>18</v>
      </c>
      <c r="F14" s="54">
        <v>22</v>
      </c>
      <c r="G14" s="54">
        <v>57</v>
      </c>
      <c r="H14" s="54">
        <v>19</v>
      </c>
      <c r="I14" s="54">
        <v>26</v>
      </c>
      <c r="J14" s="54">
        <v>20</v>
      </c>
      <c r="K14" s="54">
        <v>17</v>
      </c>
      <c r="L14" s="54">
        <v>14</v>
      </c>
      <c r="M14" s="54">
        <v>14</v>
      </c>
      <c r="N14" s="54">
        <v>63</v>
      </c>
      <c r="O14" s="54">
        <v>31</v>
      </c>
      <c r="P14" s="54">
        <v>20</v>
      </c>
      <c r="Q14" s="54">
        <v>45</v>
      </c>
      <c r="R14" s="54">
        <v>24</v>
      </c>
      <c r="S14" s="54">
        <v>18</v>
      </c>
      <c r="T14" s="54">
        <v>17</v>
      </c>
      <c r="U14" s="54">
        <v>22</v>
      </c>
      <c r="V14" s="54">
        <v>18</v>
      </c>
      <c r="W14" s="54">
        <v>22</v>
      </c>
      <c r="X14" s="54">
        <v>17</v>
      </c>
      <c r="Y14" s="54">
        <v>13</v>
      </c>
      <c r="Z14" s="54">
        <v>12</v>
      </c>
      <c r="AA14" s="54">
        <v>12</v>
      </c>
      <c r="AB14" s="54">
        <v>15</v>
      </c>
      <c r="AC14" s="54">
        <v>18</v>
      </c>
      <c r="AD14" s="54">
        <v>12</v>
      </c>
      <c r="AE14" s="54">
        <v>11</v>
      </c>
      <c r="AF14" s="54"/>
      <c r="AG14" s="5">
        <f t="shared" si="2"/>
        <v>668</v>
      </c>
    </row>
    <row r="15" spans="1:33" ht="18.75" x14ac:dyDescent="0.25">
      <c r="A15" s="56" t="s">
        <v>14</v>
      </c>
      <c r="B15" s="54">
        <v>6</v>
      </c>
      <c r="C15" s="54">
        <v>14</v>
      </c>
      <c r="D15" s="54">
        <v>11</v>
      </c>
      <c r="E15" s="54">
        <v>14</v>
      </c>
      <c r="F15" s="54">
        <v>9</v>
      </c>
      <c r="G15" s="54">
        <v>29</v>
      </c>
      <c r="H15" s="54">
        <v>22</v>
      </c>
      <c r="I15" s="54">
        <v>13</v>
      </c>
      <c r="J15" s="54">
        <v>18</v>
      </c>
      <c r="K15" s="54">
        <v>15</v>
      </c>
      <c r="L15" s="54">
        <v>16</v>
      </c>
      <c r="M15" s="54">
        <v>13</v>
      </c>
      <c r="N15" s="54">
        <v>17</v>
      </c>
      <c r="O15" s="54">
        <v>23</v>
      </c>
      <c r="P15" s="54">
        <v>12</v>
      </c>
      <c r="Q15" s="54">
        <v>16</v>
      </c>
      <c r="R15" s="54">
        <v>12</v>
      </c>
      <c r="S15" s="54">
        <v>10</v>
      </c>
      <c r="T15" s="54">
        <v>11</v>
      </c>
      <c r="U15" s="54">
        <v>20</v>
      </c>
      <c r="V15" s="54">
        <v>6</v>
      </c>
      <c r="W15" s="54">
        <v>14</v>
      </c>
      <c r="X15" s="54">
        <v>9</v>
      </c>
      <c r="Y15" s="54">
        <v>6</v>
      </c>
      <c r="Z15" s="54">
        <v>4</v>
      </c>
      <c r="AA15" s="54">
        <v>11</v>
      </c>
      <c r="AB15" s="54">
        <v>16</v>
      </c>
      <c r="AC15" s="54">
        <v>11</v>
      </c>
      <c r="AD15" s="54">
        <v>10</v>
      </c>
      <c r="AE15" s="54">
        <v>5</v>
      </c>
      <c r="AF15" s="54"/>
      <c r="AG15" s="5">
        <f t="shared" si="2"/>
        <v>393</v>
      </c>
    </row>
    <row r="16" spans="1:33" ht="18.75" x14ac:dyDescent="0.25">
      <c r="A16" s="56" t="s">
        <v>15</v>
      </c>
      <c r="B16" s="54">
        <v>7</v>
      </c>
      <c r="C16" s="54">
        <v>17</v>
      </c>
      <c r="D16" s="54">
        <v>11</v>
      </c>
      <c r="E16" s="54">
        <v>8</v>
      </c>
      <c r="F16" s="54">
        <v>12</v>
      </c>
      <c r="G16" s="54">
        <v>14</v>
      </c>
      <c r="H16" s="54">
        <v>18</v>
      </c>
      <c r="I16" s="54">
        <v>15</v>
      </c>
      <c r="J16" s="54">
        <v>12</v>
      </c>
      <c r="K16" s="54">
        <v>13</v>
      </c>
      <c r="L16" s="54">
        <v>9</v>
      </c>
      <c r="M16" s="54">
        <v>14</v>
      </c>
      <c r="N16" s="54">
        <v>19</v>
      </c>
      <c r="O16" s="54">
        <v>16</v>
      </c>
      <c r="P16" s="54">
        <v>9</v>
      </c>
      <c r="Q16" s="54">
        <v>10</v>
      </c>
      <c r="R16" s="54">
        <v>9</v>
      </c>
      <c r="S16" s="54">
        <v>12</v>
      </c>
      <c r="T16" s="54">
        <v>11</v>
      </c>
      <c r="U16" s="54">
        <v>11</v>
      </c>
      <c r="V16" s="54">
        <v>11</v>
      </c>
      <c r="W16" s="54">
        <v>13</v>
      </c>
      <c r="X16" s="54">
        <v>10</v>
      </c>
      <c r="Y16" s="54">
        <v>8</v>
      </c>
      <c r="Z16" s="54">
        <v>9</v>
      </c>
      <c r="AA16" s="54">
        <v>14</v>
      </c>
      <c r="AB16" s="54">
        <v>20</v>
      </c>
      <c r="AC16" s="54">
        <v>12</v>
      </c>
      <c r="AD16" s="54">
        <v>7</v>
      </c>
      <c r="AE16" s="54">
        <v>14</v>
      </c>
      <c r="AF16" s="54"/>
      <c r="AG16" s="5">
        <f t="shared" si="2"/>
        <v>365</v>
      </c>
    </row>
    <row r="17" spans="1:33" ht="18.75" x14ac:dyDescent="0.25">
      <c r="A17" s="56" t="s">
        <v>16</v>
      </c>
      <c r="B17" s="54">
        <v>4</v>
      </c>
      <c r="C17" s="54">
        <v>15</v>
      </c>
      <c r="D17" s="54">
        <v>3</v>
      </c>
      <c r="E17" s="54">
        <v>6</v>
      </c>
      <c r="F17" s="54">
        <v>10</v>
      </c>
      <c r="G17" s="54">
        <v>14</v>
      </c>
      <c r="H17" s="54">
        <v>9</v>
      </c>
      <c r="I17" s="54">
        <v>7</v>
      </c>
      <c r="J17" s="54">
        <v>7</v>
      </c>
      <c r="K17" s="54">
        <v>13</v>
      </c>
      <c r="L17" s="54">
        <v>9</v>
      </c>
      <c r="M17" s="54">
        <v>17</v>
      </c>
      <c r="N17" s="54">
        <v>20</v>
      </c>
      <c r="O17" s="54">
        <v>11</v>
      </c>
      <c r="P17" s="54">
        <v>13</v>
      </c>
      <c r="Q17" s="54">
        <v>8</v>
      </c>
      <c r="R17" s="54">
        <v>11</v>
      </c>
      <c r="S17" s="54">
        <v>17</v>
      </c>
      <c r="T17" s="54">
        <v>13</v>
      </c>
      <c r="U17" s="54">
        <v>8</v>
      </c>
      <c r="V17" s="54">
        <v>11</v>
      </c>
      <c r="W17" s="54">
        <v>9</v>
      </c>
      <c r="X17" s="54">
        <v>2</v>
      </c>
      <c r="Y17" s="54">
        <v>3</v>
      </c>
      <c r="Z17" s="54">
        <v>3</v>
      </c>
      <c r="AA17" s="54">
        <v>7</v>
      </c>
      <c r="AB17" s="54">
        <v>17</v>
      </c>
      <c r="AC17" s="54">
        <v>5</v>
      </c>
      <c r="AD17" s="54">
        <v>4</v>
      </c>
      <c r="AE17" s="54">
        <v>6</v>
      </c>
      <c r="AF17" s="54"/>
      <c r="AG17" s="5">
        <f t="shared" si="2"/>
        <v>282</v>
      </c>
    </row>
    <row r="18" spans="1:33" ht="18.75" x14ac:dyDescent="0.25">
      <c r="A18" s="56" t="s">
        <v>17</v>
      </c>
      <c r="B18" s="54">
        <v>8</v>
      </c>
      <c r="C18" s="54">
        <v>10</v>
      </c>
      <c r="D18" s="54">
        <v>8</v>
      </c>
      <c r="E18" s="54">
        <v>6</v>
      </c>
      <c r="F18" s="54">
        <v>7</v>
      </c>
      <c r="G18" s="54">
        <v>11</v>
      </c>
      <c r="H18" s="54">
        <v>9</v>
      </c>
      <c r="I18" s="54">
        <v>10</v>
      </c>
      <c r="J18" s="54">
        <v>9</v>
      </c>
      <c r="K18" s="54">
        <v>12</v>
      </c>
      <c r="L18" s="54">
        <v>8</v>
      </c>
      <c r="M18" s="54">
        <v>8</v>
      </c>
      <c r="N18" s="54">
        <v>11</v>
      </c>
      <c r="O18" s="54">
        <v>13</v>
      </c>
      <c r="P18" s="54">
        <v>11</v>
      </c>
      <c r="Q18" s="54">
        <v>9</v>
      </c>
      <c r="R18" s="54">
        <v>8</v>
      </c>
      <c r="S18" s="54">
        <v>5</v>
      </c>
      <c r="T18" s="54">
        <v>3</v>
      </c>
      <c r="U18" s="54">
        <v>13</v>
      </c>
      <c r="V18" s="54">
        <v>17</v>
      </c>
      <c r="W18" s="54">
        <v>5</v>
      </c>
      <c r="X18" s="54">
        <v>6</v>
      </c>
      <c r="Y18" s="54">
        <v>7</v>
      </c>
      <c r="Z18" s="54">
        <v>4</v>
      </c>
      <c r="AA18" s="54">
        <v>6</v>
      </c>
      <c r="AB18" s="54">
        <v>6</v>
      </c>
      <c r="AC18" s="54">
        <v>6</v>
      </c>
      <c r="AD18" s="54">
        <v>10</v>
      </c>
      <c r="AE18" s="54">
        <v>2</v>
      </c>
      <c r="AF18" s="54"/>
      <c r="AG18" s="5">
        <f t="shared" si="2"/>
        <v>248</v>
      </c>
    </row>
    <row r="19" spans="1:33" ht="18.75" x14ac:dyDescent="0.25">
      <c r="A19" s="56" t="s">
        <v>18</v>
      </c>
      <c r="B19" s="54">
        <v>2</v>
      </c>
      <c r="C19" s="54">
        <v>0</v>
      </c>
      <c r="D19" s="54">
        <v>4</v>
      </c>
      <c r="E19" s="54">
        <v>4</v>
      </c>
      <c r="F19" s="54">
        <v>7</v>
      </c>
      <c r="G19" s="54">
        <v>7</v>
      </c>
      <c r="H19" s="54">
        <v>3</v>
      </c>
      <c r="I19" s="54">
        <v>4</v>
      </c>
      <c r="J19" s="54">
        <v>8</v>
      </c>
      <c r="K19" s="54">
        <v>6</v>
      </c>
      <c r="L19" s="54">
        <v>6</v>
      </c>
      <c r="M19" s="54">
        <v>5</v>
      </c>
      <c r="N19" s="54">
        <v>3</v>
      </c>
      <c r="O19" s="54">
        <v>6</v>
      </c>
      <c r="P19" s="54">
        <v>10</v>
      </c>
      <c r="Q19" s="54">
        <v>9</v>
      </c>
      <c r="R19" s="54">
        <v>5</v>
      </c>
      <c r="S19" s="54">
        <v>9</v>
      </c>
      <c r="T19" s="54">
        <v>2</v>
      </c>
      <c r="U19" s="54">
        <v>11</v>
      </c>
      <c r="V19" s="54">
        <v>0</v>
      </c>
      <c r="W19" s="54">
        <v>2</v>
      </c>
      <c r="X19" s="54">
        <v>1</v>
      </c>
      <c r="Y19" s="54">
        <v>3</v>
      </c>
      <c r="Z19" s="54">
        <v>5</v>
      </c>
      <c r="AA19" s="54">
        <v>3</v>
      </c>
      <c r="AB19" s="54">
        <v>4</v>
      </c>
      <c r="AC19" s="54">
        <v>6</v>
      </c>
      <c r="AD19" s="54">
        <v>12</v>
      </c>
      <c r="AE19" s="54">
        <v>6</v>
      </c>
      <c r="AF19" s="54"/>
      <c r="AG19" s="5">
        <f t="shared" si="2"/>
        <v>153</v>
      </c>
    </row>
    <row r="20" spans="1:33" ht="18.75" x14ac:dyDescent="0.25">
      <c r="A20" s="56" t="s">
        <v>19</v>
      </c>
      <c r="B20" s="54">
        <v>5</v>
      </c>
      <c r="C20" s="54">
        <v>9</v>
      </c>
      <c r="D20" s="54">
        <v>3</v>
      </c>
      <c r="E20" s="54">
        <v>1</v>
      </c>
      <c r="F20" s="54">
        <v>6</v>
      </c>
      <c r="G20" s="54">
        <v>11</v>
      </c>
      <c r="H20" s="54">
        <v>2</v>
      </c>
      <c r="I20" s="54">
        <v>3</v>
      </c>
      <c r="J20" s="54">
        <v>0</v>
      </c>
      <c r="K20" s="54">
        <v>4</v>
      </c>
      <c r="L20" s="54">
        <v>5</v>
      </c>
      <c r="M20" s="54">
        <v>3</v>
      </c>
      <c r="N20" s="54">
        <v>2</v>
      </c>
      <c r="O20" s="54">
        <v>1</v>
      </c>
      <c r="P20" s="54">
        <v>4</v>
      </c>
      <c r="Q20" s="54">
        <v>6</v>
      </c>
      <c r="R20" s="54">
        <v>3</v>
      </c>
      <c r="S20" s="54">
        <v>3</v>
      </c>
      <c r="T20" s="54">
        <v>3</v>
      </c>
      <c r="U20" s="54">
        <v>4</v>
      </c>
      <c r="V20" s="54">
        <v>5</v>
      </c>
      <c r="W20" s="54">
        <v>5</v>
      </c>
      <c r="X20" s="54">
        <v>4</v>
      </c>
      <c r="Y20" s="54">
        <v>4</v>
      </c>
      <c r="Z20" s="54">
        <v>3</v>
      </c>
      <c r="AA20" s="54">
        <v>1</v>
      </c>
      <c r="AB20" s="54">
        <v>5</v>
      </c>
      <c r="AC20" s="54">
        <v>3</v>
      </c>
      <c r="AD20" s="54">
        <v>1</v>
      </c>
      <c r="AE20" s="54">
        <v>3</v>
      </c>
      <c r="AF20" s="54"/>
      <c r="AG20" s="5">
        <f t="shared" si="2"/>
        <v>112</v>
      </c>
    </row>
    <row r="21" spans="1:33" ht="15.75" customHeight="1" x14ac:dyDescent="0.25">
      <c r="A21" s="56" t="s">
        <v>20</v>
      </c>
      <c r="B21" s="54">
        <v>2</v>
      </c>
      <c r="C21" s="54">
        <v>3</v>
      </c>
      <c r="D21" s="54">
        <v>3</v>
      </c>
      <c r="E21" s="54">
        <v>0</v>
      </c>
      <c r="F21" s="54">
        <v>5</v>
      </c>
      <c r="G21" s="54">
        <v>5</v>
      </c>
      <c r="H21" s="54">
        <v>1</v>
      </c>
      <c r="I21" s="54">
        <v>7</v>
      </c>
      <c r="J21" s="54">
        <v>7</v>
      </c>
      <c r="K21" s="54">
        <v>3</v>
      </c>
      <c r="L21" s="54">
        <v>4</v>
      </c>
      <c r="M21" s="54">
        <v>3</v>
      </c>
      <c r="N21" s="54">
        <v>6</v>
      </c>
      <c r="O21" s="54">
        <v>4</v>
      </c>
      <c r="P21" s="54">
        <v>6</v>
      </c>
      <c r="Q21" s="54">
        <v>7</v>
      </c>
      <c r="R21" s="54">
        <v>4</v>
      </c>
      <c r="S21" s="54">
        <v>2</v>
      </c>
      <c r="T21" s="54">
        <v>5</v>
      </c>
      <c r="U21" s="54">
        <v>2</v>
      </c>
      <c r="V21" s="54">
        <v>3</v>
      </c>
      <c r="W21" s="54">
        <v>4</v>
      </c>
      <c r="X21" s="54">
        <v>0</v>
      </c>
      <c r="Y21" s="54">
        <v>5</v>
      </c>
      <c r="Z21" s="54">
        <v>4</v>
      </c>
      <c r="AA21" s="54">
        <v>3</v>
      </c>
      <c r="AB21" s="54">
        <v>3</v>
      </c>
      <c r="AC21" s="54">
        <v>3</v>
      </c>
      <c r="AD21" s="54">
        <v>2</v>
      </c>
      <c r="AE21" s="54">
        <v>0</v>
      </c>
      <c r="AF21" s="54"/>
      <c r="AG21" s="5">
        <f t="shared" si="2"/>
        <v>106</v>
      </c>
    </row>
    <row r="22" spans="1:33" ht="15.75" customHeight="1" x14ac:dyDescent="0.25">
      <c r="A22" s="56" t="s">
        <v>21</v>
      </c>
      <c r="B22" s="54">
        <v>1</v>
      </c>
      <c r="C22" s="54">
        <v>3</v>
      </c>
      <c r="D22" s="54">
        <v>2</v>
      </c>
      <c r="E22" s="54">
        <v>2</v>
      </c>
      <c r="F22" s="54">
        <v>3</v>
      </c>
      <c r="G22" s="54">
        <v>2</v>
      </c>
      <c r="H22" s="54">
        <v>2</v>
      </c>
      <c r="I22" s="54">
        <v>2</v>
      </c>
      <c r="J22" s="54">
        <v>0</v>
      </c>
      <c r="K22" s="54">
        <v>3</v>
      </c>
      <c r="L22" s="54">
        <v>3</v>
      </c>
      <c r="M22" s="54">
        <v>2</v>
      </c>
      <c r="N22" s="54">
        <v>0</v>
      </c>
      <c r="O22" s="54">
        <v>4</v>
      </c>
      <c r="P22" s="54">
        <v>2</v>
      </c>
      <c r="Q22" s="54">
        <v>0</v>
      </c>
      <c r="R22" s="54">
        <v>0</v>
      </c>
      <c r="S22" s="54">
        <v>1</v>
      </c>
      <c r="T22" s="54">
        <v>3</v>
      </c>
      <c r="U22" s="54">
        <v>0</v>
      </c>
      <c r="V22" s="54">
        <v>1</v>
      </c>
      <c r="W22" s="54">
        <v>2</v>
      </c>
      <c r="X22" s="54">
        <v>3</v>
      </c>
      <c r="Y22" s="54">
        <v>2</v>
      </c>
      <c r="Z22" s="54">
        <v>0</v>
      </c>
      <c r="AA22" s="54">
        <v>1</v>
      </c>
      <c r="AB22" s="54">
        <v>1</v>
      </c>
      <c r="AC22" s="54">
        <v>2</v>
      </c>
      <c r="AD22" s="54">
        <v>4</v>
      </c>
      <c r="AE22" s="54">
        <v>2</v>
      </c>
      <c r="AF22" s="54"/>
      <c r="AG22" s="5">
        <f t="shared" si="2"/>
        <v>53</v>
      </c>
    </row>
    <row r="23" spans="1:33" ht="15.75" customHeight="1" x14ac:dyDescent="0.25">
      <c r="A23" s="56" t="s">
        <v>22</v>
      </c>
      <c r="B23" s="54">
        <v>1</v>
      </c>
      <c r="C23" s="54">
        <v>1</v>
      </c>
      <c r="D23" s="54">
        <v>1</v>
      </c>
      <c r="E23" s="54">
        <v>4</v>
      </c>
      <c r="F23" s="54">
        <v>2</v>
      </c>
      <c r="G23" s="54">
        <v>3</v>
      </c>
      <c r="H23" s="54">
        <v>2</v>
      </c>
      <c r="I23" s="54">
        <v>1</v>
      </c>
      <c r="J23" s="54">
        <v>3</v>
      </c>
      <c r="K23" s="54">
        <v>0</v>
      </c>
      <c r="L23" s="54">
        <v>4</v>
      </c>
      <c r="M23" s="54">
        <v>1</v>
      </c>
      <c r="N23" s="54">
        <v>0</v>
      </c>
      <c r="O23" s="54">
        <v>1</v>
      </c>
      <c r="P23" s="54">
        <v>4</v>
      </c>
      <c r="Q23" s="54">
        <v>1</v>
      </c>
      <c r="R23" s="54">
        <v>2</v>
      </c>
      <c r="S23" s="54">
        <v>3</v>
      </c>
      <c r="T23" s="54">
        <v>3</v>
      </c>
      <c r="U23" s="54">
        <v>0</v>
      </c>
      <c r="V23" s="54">
        <v>2</v>
      </c>
      <c r="W23" s="54">
        <v>1</v>
      </c>
      <c r="X23" s="54">
        <v>1</v>
      </c>
      <c r="Y23" s="54">
        <v>4</v>
      </c>
      <c r="Z23" s="54">
        <v>5</v>
      </c>
      <c r="AA23" s="54">
        <v>1</v>
      </c>
      <c r="AB23" s="54">
        <v>1</v>
      </c>
      <c r="AC23" s="54">
        <v>0</v>
      </c>
      <c r="AD23" s="54">
        <v>0</v>
      </c>
      <c r="AE23" s="54">
        <v>2</v>
      </c>
      <c r="AF23" s="54"/>
      <c r="AG23" s="5">
        <f t="shared" si="2"/>
        <v>54</v>
      </c>
    </row>
    <row r="24" spans="1:33" ht="15.75" customHeight="1" x14ac:dyDescent="0.25">
      <c r="A24" s="56" t="s">
        <v>23</v>
      </c>
      <c r="B24" s="54">
        <v>0</v>
      </c>
      <c r="C24" s="54">
        <v>3</v>
      </c>
      <c r="D24" s="54">
        <v>3</v>
      </c>
      <c r="E24" s="54">
        <v>1</v>
      </c>
      <c r="F24" s="54">
        <v>0</v>
      </c>
      <c r="G24" s="54">
        <v>0</v>
      </c>
      <c r="H24" s="54">
        <v>4</v>
      </c>
      <c r="I24" s="54">
        <v>0</v>
      </c>
      <c r="J24" s="54">
        <v>3</v>
      </c>
      <c r="K24" s="54">
        <v>4</v>
      </c>
      <c r="L24" s="54">
        <v>0</v>
      </c>
      <c r="M24" s="54">
        <v>1</v>
      </c>
      <c r="N24" s="54">
        <v>2</v>
      </c>
      <c r="O24" s="54">
        <v>2</v>
      </c>
      <c r="P24" s="54">
        <v>1</v>
      </c>
      <c r="Q24" s="54">
        <v>3</v>
      </c>
      <c r="R24" s="54">
        <v>5</v>
      </c>
      <c r="S24" s="54">
        <v>1</v>
      </c>
      <c r="T24" s="54">
        <v>5</v>
      </c>
      <c r="U24" s="54">
        <v>4</v>
      </c>
      <c r="V24" s="54">
        <v>0</v>
      </c>
      <c r="W24" s="54">
        <v>2</v>
      </c>
      <c r="X24" s="54">
        <v>3</v>
      </c>
      <c r="Y24" s="54">
        <v>1</v>
      </c>
      <c r="Z24" s="54">
        <v>4</v>
      </c>
      <c r="AA24" s="54">
        <v>0</v>
      </c>
      <c r="AB24" s="54">
        <v>1</v>
      </c>
      <c r="AC24" s="54">
        <v>0</v>
      </c>
      <c r="AD24" s="54">
        <v>3</v>
      </c>
      <c r="AE24" s="54">
        <v>1</v>
      </c>
      <c r="AF24" s="54"/>
      <c r="AG24" s="5">
        <f t="shared" si="2"/>
        <v>57</v>
      </c>
    </row>
    <row r="25" spans="1:33" ht="15.75" customHeight="1" x14ac:dyDescent="0.25">
      <c r="A25" s="56" t="s">
        <v>24</v>
      </c>
      <c r="B25" s="54">
        <v>1</v>
      </c>
      <c r="C25" s="54">
        <v>1</v>
      </c>
      <c r="D25" s="54">
        <v>1</v>
      </c>
      <c r="E25" s="54">
        <v>0</v>
      </c>
      <c r="F25" s="54">
        <v>3</v>
      </c>
      <c r="G25" s="54">
        <v>2</v>
      </c>
      <c r="H25" s="54">
        <v>2</v>
      </c>
      <c r="I25" s="54">
        <v>2</v>
      </c>
      <c r="J25" s="54">
        <v>1</v>
      </c>
      <c r="K25" s="54">
        <v>1</v>
      </c>
      <c r="L25" s="54">
        <v>0</v>
      </c>
      <c r="M25" s="54">
        <v>0</v>
      </c>
      <c r="N25" s="54">
        <v>1</v>
      </c>
      <c r="O25" s="54">
        <v>2</v>
      </c>
      <c r="P25" s="54">
        <v>2</v>
      </c>
      <c r="Q25" s="54">
        <v>6</v>
      </c>
      <c r="R25" s="54">
        <v>3</v>
      </c>
      <c r="S25" s="54">
        <v>4</v>
      </c>
      <c r="T25" s="54">
        <v>1</v>
      </c>
      <c r="U25" s="54">
        <v>0</v>
      </c>
      <c r="V25" s="54">
        <v>1</v>
      </c>
      <c r="W25" s="54">
        <v>4</v>
      </c>
      <c r="X25" s="54">
        <v>0</v>
      </c>
      <c r="Y25" s="54">
        <v>1</v>
      </c>
      <c r="Z25" s="54">
        <v>0</v>
      </c>
      <c r="AA25" s="54">
        <v>2</v>
      </c>
      <c r="AB25" s="54">
        <v>1</v>
      </c>
      <c r="AC25" s="54">
        <v>1</v>
      </c>
      <c r="AD25" s="54">
        <v>2</v>
      </c>
      <c r="AE25" s="54">
        <v>1</v>
      </c>
      <c r="AF25" s="54"/>
      <c r="AG25" s="5">
        <f t="shared" si="2"/>
        <v>46</v>
      </c>
    </row>
    <row r="26" spans="1:33" ht="15.75" customHeight="1" x14ac:dyDescent="0.25">
      <c r="A26" s="56" t="s">
        <v>25</v>
      </c>
      <c r="B26" s="54">
        <v>0</v>
      </c>
      <c r="C26" s="54">
        <v>0</v>
      </c>
      <c r="D26" s="54">
        <v>0</v>
      </c>
      <c r="E26" s="54">
        <v>2</v>
      </c>
      <c r="F26" s="54">
        <v>2</v>
      </c>
      <c r="G26" s="54">
        <v>2</v>
      </c>
      <c r="H26" s="54">
        <v>0</v>
      </c>
      <c r="I26" s="54">
        <v>0</v>
      </c>
      <c r="J26" s="54">
        <v>2</v>
      </c>
      <c r="K26" s="54">
        <v>2</v>
      </c>
      <c r="L26" s="54">
        <v>3</v>
      </c>
      <c r="M26" s="54">
        <v>2</v>
      </c>
      <c r="N26" s="54">
        <v>0</v>
      </c>
      <c r="O26" s="54">
        <v>1</v>
      </c>
      <c r="P26" s="54">
        <v>0</v>
      </c>
      <c r="Q26" s="54">
        <v>0</v>
      </c>
      <c r="R26" s="54">
        <v>0</v>
      </c>
      <c r="S26" s="54">
        <v>0</v>
      </c>
      <c r="T26" s="54">
        <v>2</v>
      </c>
      <c r="U26" s="54">
        <v>3</v>
      </c>
      <c r="V26" s="54">
        <v>1</v>
      </c>
      <c r="W26" s="54">
        <v>2</v>
      </c>
      <c r="X26" s="54">
        <v>1</v>
      </c>
      <c r="Y26" s="54">
        <v>1</v>
      </c>
      <c r="Z26" s="54">
        <v>1</v>
      </c>
      <c r="AA26" s="54">
        <v>0</v>
      </c>
      <c r="AB26" s="54">
        <v>3</v>
      </c>
      <c r="AC26" s="54">
        <v>1</v>
      </c>
      <c r="AD26" s="54">
        <v>0</v>
      </c>
      <c r="AE26" s="54">
        <v>1</v>
      </c>
      <c r="AF26" s="54"/>
      <c r="AG26" s="5">
        <f t="shared" si="2"/>
        <v>32</v>
      </c>
    </row>
    <row r="27" spans="1:33" ht="15.75" customHeight="1" thickBot="1" x14ac:dyDescent="0.3">
      <c r="A27" s="57" t="s">
        <v>26</v>
      </c>
      <c r="B27" s="58">
        <v>3</v>
      </c>
      <c r="C27" s="58">
        <v>0</v>
      </c>
      <c r="D27" s="58">
        <v>0</v>
      </c>
      <c r="E27" s="58">
        <v>4</v>
      </c>
      <c r="F27" s="58">
        <v>2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4</v>
      </c>
      <c r="M27" s="58">
        <v>1</v>
      </c>
      <c r="N27" s="58">
        <v>0</v>
      </c>
      <c r="O27" s="58">
        <v>0</v>
      </c>
      <c r="P27" s="58">
        <v>0</v>
      </c>
      <c r="Q27" s="58">
        <v>0</v>
      </c>
      <c r="R27" s="58">
        <v>0</v>
      </c>
      <c r="S27" s="58">
        <v>4</v>
      </c>
      <c r="T27" s="58">
        <v>1</v>
      </c>
      <c r="U27" s="58">
        <v>0</v>
      </c>
      <c r="V27" s="58">
        <v>1</v>
      </c>
      <c r="W27" s="58">
        <v>0</v>
      </c>
      <c r="X27" s="58">
        <v>0</v>
      </c>
      <c r="Y27" s="58">
        <v>0</v>
      </c>
      <c r="Z27" s="58">
        <v>3</v>
      </c>
      <c r="AA27" s="58">
        <v>1</v>
      </c>
      <c r="AB27" s="58">
        <v>4</v>
      </c>
      <c r="AC27" s="58">
        <v>3</v>
      </c>
      <c r="AD27" s="58">
        <v>3</v>
      </c>
      <c r="AE27" s="58">
        <v>0</v>
      </c>
      <c r="AF27" s="58"/>
      <c r="AG27" s="5">
        <f t="shared" si="2"/>
        <v>34</v>
      </c>
    </row>
    <row r="28" spans="1:33" ht="15.75" customHeight="1" x14ac:dyDescent="0.25">
      <c r="A28" s="59" t="s">
        <v>27</v>
      </c>
      <c r="B28" s="6">
        <f t="shared" ref="B28:AF28" si="3">SUM(B29:B52)</f>
        <v>209</v>
      </c>
      <c r="C28" s="6">
        <f t="shared" si="3"/>
        <v>152</v>
      </c>
      <c r="D28" s="6">
        <f t="shared" si="3"/>
        <v>147</v>
      </c>
      <c r="E28" s="6">
        <f t="shared" si="3"/>
        <v>235</v>
      </c>
      <c r="F28" s="6">
        <f t="shared" si="3"/>
        <v>249</v>
      </c>
      <c r="G28" s="6">
        <f t="shared" si="3"/>
        <v>202</v>
      </c>
      <c r="H28" s="6">
        <f t="shared" si="3"/>
        <v>146</v>
      </c>
      <c r="I28" s="6">
        <f t="shared" si="3"/>
        <v>124</v>
      </c>
      <c r="J28" s="6">
        <f t="shared" si="3"/>
        <v>125</v>
      </c>
      <c r="K28" s="6">
        <f t="shared" si="3"/>
        <v>144</v>
      </c>
      <c r="L28" s="6">
        <f t="shared" si="3"/>
        <v>245</v>
      </c>
      <c r="M28" s="6">
        <f t="shared" si="3"/>
        <v>279</v>
      </c>
      <c r="N28" s="6">
        <f t="shared" si="3"/>
        <v>185</v>
      </c>
      <c r="O28" s="6">
        <f t="shared" si="3"/>
        <v>164</v>
      </c>
      <c r="P28" s="6">
        <f t="shared" si="3"/>
        <v>166</v>
      </c>
      <c r="Q28" s="6">
        <f t="shared" si="3"/>
        <v>163</v>
      </c>
      <c r="R28" s="6">
        <f t="shared" si="3"/>
        <v>169</v>
      </c>
      <c r="S28" s="6">
        <f t="shared" si="3"/>
        <v>245</v>
      </c>
      <c r="T28" s="6">
        <f t="shared" si="3"/>
        <v>213</v>
      </c>
      <c r="U28" s="6">
        <f t="shared" si="3"/>
        <v>159</v>
      </c>
      <c r="V28" s="6">
        <f t="shared" si="3"/>
        <v>242</v>
      </c>
      <c r="W28" s="6">
        <f t="shared" si="3"/>
        <v>169</v>
      </c>
      <c r="X28" s="6">
        <f t="shared" si="3"/>
        <v>110</v>
      </c>
      <c r="Y28" s="6">
        <f t="shared" si="3"/>
        <v>121</v>
      </c>
      <c r="Z28" s="6">
        <f t="shared" si="3"/>
        <v>164</v>
      </c>
      <c r="AA28" s="6">
        <f t="shared" si="3"/>
        <v>171</v>
      </c>
      <c r="AB28" s="6">
        <f t="shared" si="3"/>
        <v>219</v>
      </c>
      <c r="AC28" s="6">
        <f t="shared" si="3"/>
        <v>209</v>
      </c>
      <c r="AD28" s="6">
        <f t="shared" si="3"/>
        <v>193</v>
      </c>
      <c r="AE28" s="6">
        <f t="shared" si="3"/>
        <v>165</v>
      </c>
      <c r="AF28" s="6">
        <f t="shared" si="3"/>
        <v>0</v>
      </c>
      <c r="AG28" s="7">
        <f t="shared" si="2"/>
        <v>5484</v>
      </c>
    </row>
    <row r="29" spans="1:33" ht="15.75" customHeight="1" x14ac:dyDescent="0.25">
      <c r="A29" s="53" t="s">
        <v>3</v>
      </c>
      <c r="B29" s="54">
        <v>3</v>
      </c>
      <c r="C29" s="55">
        <v>0</v>
      </c>
      <c r="D29" s="55">
        <v>0</v>
      </c>
      <c r="E29" s="55">
        <v>0</v>
      </c>
      <c r="F29" s="55">
        <v>3</v>
      </c>
      <c r="G29" s="55">
        <v>0</v>
      </c>
      <c r="H29" s="55">
        <v>0</v>
      </c>
      <c r="I29" s="55">
        <v>0</v>
      </c>
      <c r="J29" s="55">
        <v>0</v>
      </c>
      <c r="K29" s="55">
        <v>0</v>
      </c>
      <c r="L29" s="55">
        <v>4</v>
      </c>
      <c r="M29" s="55">
        <v>8</v>
      </c>
      <c r="N29" s="55">
        <v>0</v>
      </c>
      <c r="O29" s="55">
        <v>0</v>
      </c>
      <c r="P29" s="55">
        <v>0</v>
      </c>
      <c r="Q29" s="55">
        <v>0</v>
      </c>
      <c r="R29" s="55">
        <v>0</v>
      </c>
      <c r="S29" s="55">
        <v>4</v>
      </c>
      <c r="T29" s="55">
        <v>0</v>
      </c>
      <c r="U29" s="55">
        <v>0</v>
      </c>
      <c r="V29" s="55">
        <v>11</v>
      </c>
      <c r="W29" s="55">
        <v>0</v>
      </c>
      <c r="X29" s="55">
        <v>0</v>
      </c>
      <c r="Y29" s="55">
        <v>0</v>
      </c>
      <c r="Z29" s="55">
        <v>1</v>
      </c>
      <c r="AA29" s="55">
        <v>0</v>
      </c>
      <c r="AB29" s="55">
        <v>6</v>
      </c>
      <c r="AC29" s="55">
        <v>8</v>
      </c>
      <c r="AD29" s="54">
        <v>7</v>
      </c>
      <c r="AE29" s="54">
        <v>5</v>
      </c>
      <c r="AF29" s="54"/>
      <c r="AG29" s="5">
        <f t="shared" si="2"/>
        <v>60</v>
      </c>
    </row>
    <row r="30" spans="1:33" ht="15.75" customHeight="1" x14ac:dyDescent="0.25">
      <c r="A30" s="56" t="s">
        <v>4</v>
      </c>
      <c r="B30" s="54">
        <v>9</v>
      </c>
      <c r="C30" s="54">
        <v>0</v>
      </c>
      <c r="D30" s="54">
        <v>0</v>
      </c>
      <c r="E30" s="54">
        <v>14</v>
      </c>
      <c r="F30" s="54">
        <v>7</v>
      </c>
      <c r="G30" s="54">
        <v>0</v>
      </c>
      <c r="H30" s="54">
        <v>0</v>
      </c>
      <c r="I30" s="54">
        <v>0</v>
      </c>
      <c r="J30" s="54">
        <v>0</v>
      </c>
      <c r="K30" s="54">
        <v>0</v>
      </c>
      <c r="L30" s="54">
        <v>11</v>
      </c>
      <c r="M30" s="54">
        <v>14</v>
      </c>
      <c r="N30" s="54">
        <v>0</v>
      </c>
      <c r="O30" s="54">
        <v>0</v>
      </c>
      <c r="P30" s="54">
        <v>0</v>
      </c>
      <c r="Q30" s="54">
        <v>0</v>
      </c>
      <c r="R30" s="54">
        <v>0</v>
      </c>
      <c r="S30" s="54">
        <v>10</v>
      </c>
      <c r="T30" s="54">
        <v>8</v>
      </c>
      <c r="U30" s="54">
        <v>0</v>
      </c>
      <c r="V30" s="54">
        <v>14</v>
      </c>
      <c r="W30" s="54">
        <v>0</v>
      </c>
      <c r="X30" s="54">
        <v>0</v>
      </c>
      <c r="Y30" s="54">
        <v>0</v>
      </c>
      <c r="Z30" s="54">
        <v>2</v>
      </c>
      <c r="AA30" s="54">
        <v>5</v>
      </c>
      <c r="AB30" s="54">
        <v>10</v>
      </c>
      <c r="AC30" s="54">
        <v>12</v>
      </c>
      <c r="AD30" s="54">
        <v>12</v>
      </c>
      <c r="AE30" s="54">
        <v>7</v>
      </c>
      <c r="AF30" s="54"/>
      <c r="AG30" s="5">
        <f t="shared" si="2"/>
        <v>135</v>
      </c>
    </row>
    <row r="31" spans="1:33" ht="15.75" customHeight="1" x14ac:dyDescent="0.25">
      <c r="A31" s="56" t="s">
        <v>5</v>
      </c>
      <c r="B31" s="54">
        <v>10</v>
      </c>
      <c r="C31" s="54">
        <v>0</v>
      </c>
      <c r="D31" s="54">
        <v>0</v>
      </c>
      <c r="E31" s="54">
        <v>15</v>
      </c>
      <c r="F31" s="54">
        <v>16</v>
      </c>
      <c r="G31" s="54">
        <v>0</v>
      </c>
      <c r="H31" s="54">
        <v>0</v>
      </c>
      <c r="I31" s="54">
        <v>0</v>
      </c>
      <c r="J31" s="54">
        <v>0</v>
      </c>
      <c r="K31" s="54">
        <v>0</v>
      </c>
      <c r="L31" s="54">
        <v>16</v>
      </c>
      <c r="M31" s="54">
        <v>26</v>
      </c>
      <c r="N31" s="54">
        <v>0</v>
      </c>
      <c r="O31" s="54">
        <v>0</v>
      </c>
      <c r="P31" s="54">
        <v>0</v>
      </c>
      <c r="Q31" s="54">
        <v>0</v>
      </c>
      <c r="R31" s="54">
        <v>0</v>
      </c>
      <c r="S31" s="54">
        <v>18</v>
      </c>
      <c r="T31" s="54">
        <v>12</v>
      </c>
      <c r="U31" s="54">
        <v>0</v>
      </c>
      <c r="V31" s="54">
        <v>9</v>
      </c>
      <c r="W31" s="54">
        <v>0</v>
      </c>
      <c r="X31" s="54">
        <v>0</v>
      </c>
      <c r="Y31" s="54">
        <v>0</v>
      </c>
      <c r="Z31" s="54">
        <v>20</v>
      </c>
      <c r="AA31" s="54">
        <v>10</v>
      </c>
      <c r="AB31" s="54">
        <v>12</v>
      </c>
      <c r="AC31" s="54">
        <v>9</v>
      </c>
      <c r="AD31" s="54">
        <v>12</v>
      </c>
      <c r="AE31" s="54">
        <v>9</v>
      </c>
      <c r="AF31" s="54"/>
      <c r="AG31" s="5">
        <f t="shared" si="2"/>
        <v>194</v>
      </c>
    </row>
    <row r="32" spans="1:33" ht="15.75" customHeight="1" x14ac:dyDescent="0.25">
      <c r="A32" s="56" t="s">
        <v>6</v>
      </c>
      <c r="B32" s="54">
        <v>12</v>
      </c>
      <c r="C32" s="54">
        <v>0</v>
      </c>
      <c r="D32" s="54">
        <v>0</v>
      </c>
      <c r="E32" s="54">
        <v>15</v>
      </c>
      <c r="F32" s="54">
        <v>13</v>
      </c>
      <c r="G32" s="54">
        <v>0</v>
      </c>
      <c r="H32" s="54">
        <v>0</v>
      </c>
      <c r="I32" s="54">
        <v>0</v>
      </c>
      <c r="J32" s="54">
        <v>0</v>
      </c>
      <c r="K32" s="54">
        <v>0</v>
      </c>
      <c r="L32" s="54">
        <v>15</v>
      </c>
      <c r="M32" s="54">
        <v>19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54">
        <v>14</v>
      </c>
      <c r="T32" s="54">
        <v>13</v>
      </c>
      <c r="U32" s="54">
        <v>0</v>
      </c>
      <c r="V32" s="54">
        <v>9</v>
      </c>
      <c r="W32" s="54">
        <v>0</v>
      </c>
      <c r="X32" s="54">
        <v>0</v>
      </c>
      <c r="Y32" s="54">
        <v>0</v>
      </c>
      <c r="Z32" s="54">
        <v>7</v>
      </c>
      <c r="AA32" s="54">
        <v>9</v>
      </c>
      <c r="AB32" s="54">
        <v>9</v>
      </c>
      <c r="AC32" s="54">
        <v>8</v>
      </c>
      <c r="AD32" s="54">
        <v>10</v>
      </c>
      <c r="AE32" s="54">
        <v>9</v>
      </c>
      <c r="AF32" s="54"/>
      <c r="AG32" s="5">
        <f t="shared" si="2"/>
        <v>162</v>
      </c>
    </row>
    <row r="33" spans="1:33" ht="15.75" customHeight="1" x14ac:dyDescent="0.25">
      <c r="A33" s="56" t="s">
        <v>7</v>
      </c>
      <c r="B33" s="54">
        <v>11</v>
      </c>
      <c r="C33" s="54">
        <v>0</v>
      </c>
      <c r="D33" s="54">
        <v>0</v>
      </c>
      <c r="E33" s="54">
        <v>9</v>
      </c>
      <c r="F33" s="54">
        <v>19</v>
      </c>
      <c r="G33" s="54">
        <v>0</v>
      </c>
      <c r="H33" s="54">
        <v>0</v>
      </c>
      <c r="I33" s="54">
        <v>0</v>
      </c>
      <c r="J33" s="54">
        <v>0</v>
      </c>
      <c r="K33" s="54">
        <v>0</v>
      </c>
      <c r="L33" s="54">
        <v>15</v>
      </c>
      <c r="M33" s="54">
        <v>20</v>
      </c>
      <c r="N33" s="54">
        <v>0</v>
      </c>
      <c r="O33" s="54">
        <v>0</v>
      </c>
      <c r="P33" s="54">
        <v>0</v>
      </c>
      <c r="Q33" s="54">
        <v>0</v>
      </c>
      <c r="R33" s="54">
        <v>0</v>
      </c>
      <c r="S33" s="54">
        <v>24</v>
      </c>
      <c r="T33" s="54">
        <v>13</v>
      </c>
      <c r="U33" s="54">
        <v>0</v>
      </c>
      <c r="V33" s="54">
        <v>19</v>
      </c>
      <c r="W33" s="54">
        <v>0</v>
      </c>
      <c r="X33" s="54">
        <v>0</v>
      </c>
      <c r="Y33" s="54">
        <v>0</v>
      </c>
      <c r="Z33" s="54">
        <v>6</v>
      </c>
      <c r="AA33" s="54">
        <v>8</v>
      </c>
      <c r="AB33" s="54">
        <v>8</v>
      </c>
      <c r="AC33" s="54">
        <v>13</v>
      </c>
      <c r="AD33" s="54">
        <v>8</v>
      </c>
      <c r="AE33" s="54">
        <v>10</v>
      </c>
      <c r="AF33" s="54"/>
      <c r="AG33" s="5">
        <f t="shared" si="2"/>
        <v>183</v>
      </c>
    </row>
    <row r="34" spans="1:33" ht="15.75" customHeight="1" x14ac:dyDescent="0.25">
      <c r="A34" s="56" t="s">
        <v>8</v>
      </c>
      <c r="B34" s="54">
        <v>22</v>
      </c>
      <c r="C34" s="54">
        <v>0</v>
      </c>
      <c r="D34" s="54">
        <v>0</v>
      </c>
      <c r="E34" s="54">
        <v>23</v>
      </c>
      <c r="F34" s="54">
        <v>12</v>
      </c>
      <c r="G34" s="54">
        <v>0</v>
      </c>
      <c r="H34" s="54">
        <v>0</v>
      </c>
      <c r="I34" s="54">
        <v>0</v>
      </c>
      <c r="J34" s="54">
        <v>0</v>
      </c>
      <c r="K34" s="54">
        <v>0</v>
      </c>
      <c r="L34" s="54">
        <v>17</v>
      </c>
      <c r="M34" s="54">
        <v>18</v>
      </c>
      <c r="N34" s="54">
        <v>0</v>
      </c>
      <c r="O34" s="54">
        <v>0</v>
      </c>
      <c r="P34" s="54">
        <v>0</v>
      </c>
      <c r="Q34" s="54">
        <v>0</v>
      </c>
      <c r="R34" s="54">
        <v>0</v>
      </c>
      <c r="S34" s="54">
        <v>9</v>
      </c>
      <c r="T34" s="54">
        <v>9</v>
      </c>
      <c r="U34" s="54">
        <v>0</v>
      </c>
      <c r="V34" s="54">
        <v>12</v>
      </c>
      <c r="W34" s="54">
        <v>0</v>
      </c>
      <c r="X34" s="54">
        <v>0</v>
      </c>
      <c r="Y34" s="54">
        <v>0</v>
      </c>
      <c r="Z34" s="54">
        <v>7</v>
      </c>
      <c r="AA34" s="54">
        <v>5</v>
      </c>
      <c r="AB34" s="54">
        <v>6</v>
      </c>
      <c r="AC34" s="54">
        <v>10</v>
      </c>
      <c r="AD34" s="54">
        <v>9</v>
      </c>
      <c r="AE34" s="54">
        <v>12</v>
      </c>
      <c r="AF34" s="54"/>
      <c r="AG34" s="5">
        <f t="shared" si="2"/>
        <v>171</v>
      </c>
    </row>
    <row r="35" spans="1:33" ht="15.75" customHeight="1" x14ac:dyDescent="0.25">
      <c r="A35" s="56" t="s">
        <v>9</v>
      </c>
      <c r="B35" s="54">
        <v>16</v>
      </c>
      <c r="C35" s="54">
        <v>0</v>
      </c>
      <c r="D35" s="54">
        <v>0</v>
      </c>
      <c r="E35" s="54">
        <v>14</v>
      </c>
      <c r="F35" s="54">
        <v>13</v>
      </c>
      <c r="G35" s="54">
        <v>0</v>
      </c>
      <c r="H35" s="54">
        <v>0</v>
      </c>
      <c r="I35" s="54">
        <v>0</v>
      </c>
      <c r="J35" s="54">
        <v>0</v>
      </c>
      <c r="K35" s="54">
        <v>0</v>
      </c>
      <c r="L35" s="54">
        <v>9</v>
      </c>
      <c r="M35" s="54">
        <v>13</v>
      </c>
      <c r="N35" s="54">
        <v>0</v>
      </c>
      <c r="O35" s="54">
        <v>0</v>
      </c>
      <c r="P35" s="54">
        <v>0</v>
      </c>
      <c r="Q35" s="54">
        <v>0</v>
      </c>
      <c r="R35" s="54">
        <v>0</v>
      </c>
      <c r="S35" s="54">
        <v>13</v>
      </c>
      <c r="T35" s="54">
        <v>13</v>
      </c>
      <c r="U35" s="54">
        <v>0</v>
      </c>
      <c r="V35" s="54">
        <v>14</v>
      </c>
      <c r="W35" s="54">
        <v>0</v>
      </c>
      <c r="X35" s="54">
        <v>0</v>
      </c>
      <c r="Y35" s="54">
        <v>0</v>
      </c>
      <c r="Z35" s="54">
        <v>7</v>
      </c>
      <c r="AA35" s="54">
        <v>11</v>
      </c>
      <c r="AB35" s="54">
        <v>9</v>
      </c>
      <c r="AC35" s="54">
        <v>11</v>
      </c>
      <c r="AD35" s="54">
        <v>9</v>
      </c>
      <c r="AE35" s="54">
        <v>11</v>
      </c>
      <c r="AF35" s="54"/>
      <c r="AG35" s="5">
        <f t="shared" si="2"/>
        <v>163</v>
      </c>
    </row>
    <row r="36" spans="1:33" ht="15.75" customHeight="1" x14ac:dyDescent="0.25">
      <c r="A36" s="56" t="s">
        <v>10</v>
      </c>
      <c r="B36" s="54">
        <v>15</v>
      </c>
      <c r="C36" s="54">
        <v>0</v>
      </c>
      <c r="D36" s="54">
        <v>0</v>
      </c>
      <c r="E36" s="54">
        <v>13</v>
      </c>
      <c r="F36" s="54">
        <v>13</v>
      </c>
      <c r="G36" s="54">
        <v>0</v>
      </c>
      <c r="H36" s="54">
        <v>0</v>
      </c>
      <c r="I36" s="54">
        <v>0</v>
      </c>
      <c r="J36" s="54">
        <v>0</v>
      </c>
      <c r="K36" s="54">
        <v>0</v>
      </c>
      <c r="L36" s="54">
        <v>8</v>
      </c>
      <c r="M36" s="54">
        <v>13</v>
      </c>
      <c r="N36" s="54">
        <v>0</v>
      </c>
      <c r="O36" s="54">
        <v>0</v>
      </c>
      <c r="P36" s="54">
        <v>0</v>
      </c>
      <c r="Q36" s="54">
        <v>0</v>
      </c>
      <c r="R36" s="54">
        <v>0</v>
      </c>
      <c r="S36" s="54">
        <v>12</v>
      </c>
      <c r="T36" s="54">
        <v>9</v>
      </c>
      <c r="U36" s="54">
        <v>0</v>
      </c>
      <c r="V36" s="54">
        <v>14</v>
      </c>
      <c r="W36" s="54">
        <v>0</v>
      </c>
      <c r="X36" s="54">
        <v>0</v>
      </c>
      <c r="Y36" s="54">
        <v>0</v>
      </c>
      <c r="Z36" s="54">
        <v>12</v>
      </c>
      <c r="AA36" s="54">
        <v>10</v>
      </c>
      <c r="AB36" s="54">
        <v>9</v>
      </c>
      <c r="AC36" s="54">
        <v>6</v>
      </c>
      <c r="AD36" s="54">
        <v>7</v>
      </c>
      <c r="AE36" s="54">
        <v>8</v>
      </c>
      <c r="AF36" s="54"/>
      <c r="AG36" s="5">
        <f t="shared" si="2"/>
        <v>149</v>
      </c>
    </row>
    <row r="37" spans="1:33" ht="15.75" customHeight="1" x14ac:dyDescent="0.25">
      <c r="A37" s="56" t="s">
        <v>11</v>
      </c>
      <c r="B37" s="54">
        <v>16</v>
      </c>
      <c r="C37" s="54">
        <v>0</v>
      </c>
      <c r="D37" s="54">
        <v>10</v>
      </c>
      <c r="E37" s="54">
        <v>11</v>
      </c>
      <c r="F37" s="54">
        <v>17</v>
      </c>
      <c r="G37" s="54">
        <v>0</v>
      </c>
      <c r="H37" s="54">
        <v>0</v>
      </c>
      <c r="I37" s="54">
        <v>0</v>
      </c>
      <c r="J37" s="54">
        <v>0</v>
      </c>
      <c r="K37" s="54">
        <v>8</v>
      </c>
      <c r="L37" s="54">
        <v>15</v>
      </c>
      <c r="M37" s="54">
        <v>17</v>
      </c>
      <c r="N37" s="54">
        <v>0</v>
      </c>
      <c r="O37" s="54">
        <v>0</v>
      </c>
      <c r="P37" s="54">
        <v>0</v>
      </c>
      <c r="Q37" s="54">
        <v>0</v>
      </c>
      <c r="R37" s="54">
        <v>9</v>
      </c>
      <c r="S37" s="54">
        <v>9</v>
      </c>
      <c r="T37" s="54">
        <v>7</v>
      </c>
      <c r="U37" s="54">
        <v>0</v>
      </c>
      <c r="V37" s="54">
        <v>10</v>
      </c>
      <c r="W37" s="54">
        <v>0</v>
      </c>
      <c r="X37" s="54">
        <v>0</v>
      </c>
      <c r="Y37" s="54">
        <v>6</v>
      </c>
      <c r="Z37" s="54">
        <v>8</v>
      </c>
      <c r="AA37" s="54">
        <v>8</v>
      </c>
      <c r="AB37" s="54">
        <v>13</v>
      </c>
      <c r="AC37" s="54">
        <v>12</v>
      </c>
      <c r="AD37" s="54">
        <v>10</v>
      </c>
      <c r="AE37" s="54">
        <v>12</v>
      </c>
      <c r="AF37" s="54"/>
      <c r="AG37" s="5">
        <f t="shared" si="2"/>
        <v>198</v>
      </c>
    </row>
    <row r="38" spans="1:33" ht="15.75" customHeight="1" x14ac:dyDescent="0.25">
      <c r="A38" s="56" t="s">
        <v>12</v>
      </c>
      <c r="B38" s="54">
        <v>15</v>
      </c>
      <c r="C38" s="54">
        <v>7</v>
      </c>
      <c r="D38" s="54">
        <v>16</v>
      </c>
      <c r="E38" s="54">
        <v>11</v>
      </c>
      <c r="F38" s="54">
        <v>13</v>
      </c>
      <c r="G38" s="54">
        <v>13</v>
      </c>
      <c r="H38" s="54">
        <v>9</v>
      </c>
      <c r="I38" s="54">
        <v>8</v>
      </c>
      <c r="J38" s="54">
        <v>4</v>
      </c>
      <c r="K38" s="54">
        <v>11</v>
      </c>
      <c r="L38" s="54">
        <v>7</v>
      </c>
      <c r="M38" s="54">
        <v>21</v>
      </c>
      <c r="N38" s="54">
        <v>14</v>
      </c>
      <c r="O38" s="54">
        <v>10</v>
      </c>
      <c r="P38" s="54">
        <v>3</v>
      </c>
      <c r="Q38" s="54">
        <v>8</v>
      </c>
      <c r="R38" s="54">
        <v>18</v>
      </c>
      <c r="S38" s="54">
        <v>10</v>
      </c>
      <c r="T38" s="54">
        <v>15</v>
      </c>
      <c r="U38" s="54">
        <v>7</v>
      </c>
      <c r="V38" s="54">
        <v>11</v>
      </c>
      <c r="W38" s="54">
        <v>10</v>
      </c>
      <c r="X38" s="54">
        <v>5</v>
      </c>
      <c r="Y38" s="54">
        <v>12</v>
      </c>
      <c r="Z38" s="54">
        <v>14</v>
      </c>
      <c r="AA38" s="54">
        <v>13</v>
      </c>
      <c r="AB38" s="54">
        <v>14</v>
      </c>
      <c r="AC38" s="54">
        <v>17</v>
      </c>
      <c r="AD38" s="54">
        <v>5</v>
      </c>
      <c r="AE38" s="54">
        <v>6</v>
      </c>
      <c r="AF38" s="54"/>
      <c r="AG38" s="5">
        <f t="shared" si="2"/>
        <v>327</v>
      </c>
    </row>
    <row r="39" spans="1:33" ht="15.75" customHeight="1" x14ac:dyDescent="0.25">
      <c r="A39" s="56" t="s">
        <v>13</v>
      </c>
      <c r="B39" s="54">
        <v>12</v>
      </c>
      <c r="C39" s="54">
        <v>18</v>
      </c>
      <c r="D39" s="54">
        <v>19</v>
      </c>
      <c r="E39" s="54">
        <v>25</v>
      </c>
      <c r="F39" s="54">
        <v>16</v>
      </c>
      <c r="G39" s="54">
        <v>14</v>
      </c>
      <c r="H39" s="54">
        <v>21</v>
      </c>
      <c r="I39" s="54">
        <v>13</v>
      </c>
      <c r="J39" s="54">
        <v>8</v>
      </c>
      <c r="K39" s="54">
        <v>11</v>
      </c>
      <c r="L39" s="54">
        <v>12</v>
      </c>
      <c r="M39" s="54">
        <v>15</v>
      </c>
      <c r="N39" s="54">
        <v>22</v>
      </c>
      <c r="O39" s="54">
        <v>18</v>
      </c>
      <c r="P39" s="54">
        <v>19</v>
      </c>
      <c r="Q39" s="54">
        <v>15</v>
      </c>
      <c r="R39" s="54">
        <v>21</v>
      </c>
      <c r="S39" s="54">
        <v>14</v>
      </c>
      <c r="T39" s="54">
        <v>15</v>
      </c>
      <c r="U39" s="54">
        <v>23</v>
      </c>
      <c r="V39" s="54">
        <v>8</v>
      </c>
      <c r="W39" s="54">
        <v>20</v>
      </c>
      <c r="X39" s="54">
        <v>16</v>
      </c>
      <c r="Y39" s="54">
        <v>17</v>
      </c>
      <c r="Z39" s="54">
        <v>8</v>
      </c>
      <c r="AA39" s="54">
        <v>10</v>
      </c>
      <c r="AB39" s="54">
        <v>21</v>
      </c>
      <c r="AC39" s="54">
        <v>23</v>
      </c>
      <c r="AD39" s="54">
        <v>12</v>
      </c>
      <c r="AE39" s="54">
        <v>15</v>
      </c>
      <c r="AF39" s="54"/>
      <c r="AG39" s="5">
        <f t="shared" si="2"/>
        <v>481</v>
      </c>
    </row>
    <row r="40" spans="1:33" ht="15.75" customHeight="1" x14ac:dyDescent="0.25">
      <c r="A40" s="56" t="s">
        <v>14</v>
      </c>
      <c r="B40" s="54">
        <v>12</v>
      </c>
      <c r="C40" s="54">
        <v>18</v>
      </c>
      <c r="D40" s="54">
        <v>21</v>
      </c>
      <c r="E40" s="54">
        <v>18</v>
      </c>
      <c r="F40" s="54">
        <v>13</v>
      </c>
      <c r="G40" s="54">
        <v>32</v>
      </c>
      <c r="H40" s="54">
        <v>26</v>
      </c>
      <c r="I40" s="54">
        <v>14</v>
      </c>
      <c r="J40" s="54">
        <v>16</v>
      </c>
      <c r="K40" s="54">
        <v>16</v>
      </c>
      <c r="L40" s="54">
        <v>18</v>
      </c>
      <c r="M40" s="54">
        <v>8</v>
      </c>
      <c r="N40" s="54">
        <v>29</v>
      </c>
      <c r="O40" s="54">
        <v>20</v>
      </c>
      <c r="P40" s="54">
        <v>24</v>
      </c>
      <c r="Q40" s="54">
        <v>23</v>
      </c>
      <c r="R40" s="54">
        <v>21</v>
      </c>
      <c r="S40" s="54">
        <v>19</v>
      </c>
      <c r="T40" s="54">
        <v>13</v>
      </c>
      <c r="U40" s="54">
        <v>24</v>
      </c>
      <c r="V40" s="54">
        <v>13</v>
      </c>
      <c r="W40" s="54">
        <v>22</v>
      </c>
      <c r="X40" s="54">
        <v>18</v>
      </c>
      <c r="Y40" s="54">
        <v>19</v>
      </c>
      <c r="Z40" s="54">
        <v>8</v>
      </c>
      <c r="AA40" s="54">
        <v>16</v>
      </c>
      <c r="AB40" s="54">
        <v>18</v>
      </c>
      <c r="AC40" s="54">
        <v>23</v>
      </c>
      <c r="AD40" s="54">
        <v>19</v>
      </c>
      <c r="AE40" s="54">
        <v>16</v>
      </c>
      <c r="AF40" s="54"/>
      <c r="AG40" s="5">
        <f t="shared" si="2"/>
        <v>557</v>
      </c>
    </row>
    <row r="41" spans="1:33" ht="15.75" customHeight="1" x14ac:dyDescent="0.25">
      <c r="A41" s="56" t="s">
        <v>15</v>
      </c>
      <c r="B41" s="54">
        <v>10</v>
      </c>
      <c r="C41" s="54">
        <v>25</v>
      </c>
      <c r="D41" s="54">
        <v>21</v>
      </c>
      <c r="E41" s="54">
        <v>12</v>
      </c>
      <c r="F41" s="54">
        <v>16</v>
      </c>
      <c r="G41" s="54">
        <v>28</v>
      </c>
      <c r="H41" s="54">
        <v>17</v>
      </c>
      <c r="I41" s="54">
        <v>13</v>
      </c>
      <c r="J41" s="54">
        <v>10</v>
      </c>
      <c r="K41" s="54">
        <v>17</v>
      </c>
      <c r="L41" s="54">
        <v>22</v>
      </c>
      <c r="M41" s="54">
        <v>14</v>
      </c>
      <c r="N41" s="54">
        <v>31</v>
      </c>
      <c r="O41" s="54">
        <v>23</v>
      </c>
      <c r="P41" s="54">
        <v>23</v>
      </c>
      <c r="Q41" s="54">
        <v>18</v>
      </c>
      <c r="R41" s="54">
        <v>20</v>
      </c>
      <c r="S41" s="54">
        <v>20</v>
      </c>
      <c r="T41" s="54">
        <v>15</v>
      </c>
      <c r="U41" s="54">
        <v>21</v>
      </c>
      <c r="V41" s="54">
        <v>18</v>
      </c>
      <c r="W41" s="54">
        <v>27</v>
      </c>
      <c r="X41" s="54">
        <v>16</v>
      </c>
      <c r="Y41" s="54">
        <v>13</v>
      </c>
      <c r="Z41" s="54">
        <v>15</v>
      </c>
      <c r="AA41" s="54">
        <v>16</v>
      </c>
      <c r="AB41" s="54">
        <v>12</v>
      </c>
      <c r="AC41" s="54">
        <v>20</v>
      </c>
      <c r="AD41" s="54">
        <v>20</v>
      </c>
      <c r="AE41" s="54">
        <v>13</v>
      </c>
      <c r="AF41" s="54"/>
      <c r="AG41" s="5">
        <f t="shared" si="2"/>
        <v>546</v>
      </c>
    </row>
    <row r="42" spans="1:33" ht="15.75" customHeight="1" x14ac:dyDescent="0.25">
      <c r="A42" s="56" t="s">
        <v>16</v>
      </c>
      <c r="B42" s="54">
        <v>16</v>
      </c>
      <c r="C42" s="54">
        <v>18</v>
      </c>
      <c r="D42" s="54">
        <v>24</v>
      </c>
      <c r="E42" s="54">
        <v>12</v>
      </c>
      <c r="F42" s="54">
        <v>20</v>
      </c>
      <c r="G42" s="54">
        <v>23</v>
      </c>
      <c r="H42" s="54">
        <v>19</v>
      </c>
      <c r="I42" s="54">
        <v>16</v>
      </c>
      <c r="J42" s="54">
        <v>7</v>
      </c>
      <c r="K42" s="54">
        <v>18</v>
      </c>
      <c r="L42" s="54">
        <v>14</v>
      </c>
      <c r="M42" s="54">
        <v>17</v>
      </c>
      <c r="N42" s="54">
        <v>22</v>
      </c>
      <c r="O42" s="54">
        <v>16</v>
      </c>
      <c r="P42" s="54">
        <v>23</v>
      </c>
      <c r="Q42" s="54">
        <v>17</v>
      </c>
      <c r="R42" s="54">
        <v>24</v>
      </c>
      <c r="S42" s="54">
        <v>16</v>
      </c>
      <c r="T42" s="54">
        <v>9</v>
      </c>
      <c r="U42" s="54">
        <v>17</v>
      </c>
      <c r="V42" s="54">
        <v>21</v>
      </c>
      <c r="W42" s="54">
        <v>25</v>
      </c>
      <c r="X42" s="54">
        <v>14</v>
      </c>
      <c r="Y42" s="54">
        <v>12</v>
      </c>
      <c r="Z42" s="54">
        <v>14</v>
      </c>
      <c r="AA42" s="54">
        <v>13</v>
      </c>
      <c r="AB42" s="54">
        <v>19</v>
      </c>
      <c r="AC42" s="54">
        <v>11</v>
      </c>
      <c r="AD42" s="54">
        <v>19</v>
      </c>
      <c r="AE42" s="54">
        <v>9</v>
      </c>
      <c r="AF42" s="54"/>
      <c r="AG42" s="5">
        <f t="shared" si="2"/>
        <v>505</v>
      </c>
    </row>
    <row r="43" spans="1:33" ht="15.75" customHeight="1" x14ac:dyDescent="0.25">
      <c r="A43" s="56" t="s">
        <v>17</v>
      </c>
      <c r="B43" s="54">
        <v>16</v>
      </c>
      <c r="C43" s="54">
        <v>8</v>
      </c>
      <c r="D43" s="54">
        <v>10</v>
      </c>
      <c r="E43" s="54">
        <v>11</v>
      </c>
      <c r="F43" s="54">
        <v>12</v>
      </c>
      <c r="G43" s="54">
        <v>16</v>
      </c>
      <c r="H43" s="54">
        <v>10</v>
      </c>
      <c r="I43" s="54">
        <v>6</v>
      </c>
      <c r="J43" s="54">
        <v>15</v>
      </c>
      <c r="K43" s="54">
        <v>12</v>
      </c>
      <c r="L43" s="54">
        <v>11</v>
      </c>
      <c r="M43" s="54">
        <v>12</v>
      </c>
      <c r="N43" s="54">
        <v>13</v>
      </c>
      <c r="O43" s="54">
        <v>12</v>
      </c>
      <c r="P43" s="54">
        <v>18</v>
      </c>
      <c r="Q43" s="54">
        <v>10</v>
      </c>
      <c r="R43" s="54">
        <v>12</v>
      </c>
      <c r="S43" s="54">
        <v>20</v>
      </c>
      <c r="T43" s="54">
        <v>9</v>
      </c>
      <c r="U43" s="54">
        <v>13</v>
      </c>
      <c r="V43" s="54">
        <v>14</v>
      </c>
      <c r="W43" s="54">
        <v>12</v>
      </c>
      <c r="X43" s="54">
        <v>7</v>
      </c>
      <c r="Y43" s="54">
        <v>6</v>
      </c>
      <c r="Z43" s="54">
        <v>6</v>
      </c>
      <c r="AA43" s="54">
        <v>7</v>
      </c>
      <c r="AB43" s="54">
        <v>9</v>
      </c>
      <c r="AC43" s="54">
        <v>9</v>
      </c>
      <c r="AD43" s="54">
        <v>4</v>
      </c>
      <c r="AE43" s="54">
        <v>5</v>
      </c>
      <c r="AF43" s="54"/>
      <c r="AG43" s="5">
        <f t="shared" si="2"/>
        <v>325</v>
      </c>
    </row>
    <row r="44" spans="1:33" ht="15.75" customHeight="1" x14ac:dyDescent="0.25">
      <c r="A44" s="56" t="s">
        <v>18</v>
      </c>
      <c r="B44" s="54">
        <v>2</v>
      </c>
      <c r="C44" s="54">
        <v>11</v>
      </c>
      <c r="D44" s="54">
        <v>6</v>
      </c>
      <c r="E44" s="54">
        <v>4</v>
      </c>
      <c r="F44" s="54">
        <v>14</v>
      </c>
      <c r="G44" s="54">
        <v>14</v>
      </c>
      <c r="H44" s="54">
        <v>12</v>
      </c>
      <c r="I44" s="54">
        <v>8</v>
      </c>
      <c r="J44" s="54">
        <v>15</v>
      </c>
      <c r="K44" s="54">
        <v>9</v>
      </c>
      <c r="L44" s="54">
        <v>11</v>
      </c>
      <c r="M44" s="54">
        <v>9</v>
      </c>
      <c r="N44" s="54">
        <v>13</v>
      </c>
      <c r="O44" s="54">
        <v>14</v>
      </c>
      <c r="P44" s="54">
        <v>10</v>
      </c>
      <c r="Q44" s="54">
        <v>8</v>
      </c>
      <c r="R44" s="54">
        <v>13</v>
      </c>
      <c r="S44" s="54">
        <v>14</v>
      </c>
      <c r="T44" s="54">
        <v>8</v>
      </c>
      <c r="U44" s="54">
        <v>8</v>
      </c>
      <c r="V44" s="54">
        <v>11</v>
      </c>
      <c r="W44" s="54">
        <v>8</v>
      </c>
      <c r="X44" s="54">
        <v>6</v>
      </c>
      <c r="Y44" s="54">
        <v>9</v>
      </c>
      <c r="Z44" s="54">
        <v>6</v>
      </c>
      <c r="AA44" s="54">
        <v>13</v>
      </c>
      <c r="AB44" s="54">
        <v>7</v>
      </c>
      <c r="AC44" s="54">
        <v>5</v>
      </c>
      <c r="AD44" s="54">
        <v>3</v>
      </c>
      <c r="AE44" s="54">
        <v>4</v>
      </c>
      <c r="AF44" s="54"/>
      <c r="AG44" s="5">
        <f t="shared" si="2"/>
        <v>275</v>
      </c>
    </row>
    <row r="45" spans="1:33" ht="15.75" customHeight="1" x14ac:dyDescent="0.25">
      <c r="A45" s="56" t="s">
        <v>19</v>
      </c>
      <c r="B45" s="54">
        <v>2</v>
      </c>
      <c r="C45" s="54">
        <v>9</v>
      </c>
      <c r="D45" s="54">
        <v>12</v>
      </c>
      <c r="E45" s="54">
        <v>11</v>
      </c>
      <c r="F45" s="54">
        <v>11</v>
      </c>
      <c r="G45" s="54">
        <v>9</v>
      </c>
      <c r="H45" s="54">
        <v>11</v>
      </c>
      <c r="I45" s="54">
        <v>9</v>
      </c>
      <c r="J45" s="54">
        <v>10</v>
      </c>
      <c r="K45" s="54">
        <v>8</v>
      </c>
      <c r="L45" s="54">
        <v>7</v>
      </c>
      <c r="M45" s="54">
        <v>7</v>
      </c>
      <c r="N45" s="54">
        <v>12</v>
      </c>
      <c r="O45" s="54">
        <v>11</v>
      </c>
      <c r="P45" s="54">
        <v>15</v>
      </c>
      <c r="Q45" s="54">
        <v>9</v>
      </c>
      <c r="R45" s="54">
        <v>9</v>
      </c>
      <c r="S45" s="54">
        <v>1</v>
      </c>
      <c r="T45" s="54">
        <v>20</v>
      </c>
      <c r="U45" s="54">
        <v>7</v>
      </c>
      <c r="V45" s="54">
        <v>9</v>
      </c>
      <c r="W45" s="54">
        <v>13</v>
      </c>
      <c r="X45" s="54">
        <v>5</v>
      </c>
      <c r="Y45" s="54">
        <v>9</v>
      </c>
      <c r="Z45" s="54">
        <v>6</v>
      </c>
      <c r="AA45" s="54">
        <v>9</v>
      </c>
      <c r="AB45" s="54">
        <v>5</v>
      </c>
      <c r="AC45" s="54">
        <v>1</v>
      </c>
      <c r="AD45" s="54">
        <v>12</v>
      </c>
      <c r="AE45" s="54">
        <v>3</v>
      </c>
      <c r="AF45" s="54"/>
      <c r="AG45" s="5">
        <f t="shared" si="2"/>
        <v>262</v>
      </c>
    </row>
    <row r="46" spans="1:33" ht="15.75" customHeight="1" x14ac:dyDescent="0.25">
      <c r="A46" s="56" t="s">
        <v>20</v>
      </c>
      <c r="B46" s="54">
        <v>6</v>
      </c>
      <c r="C46" s="54">
        <v>13</v>
      </c>
      <c r="D46" s="54">
        <v>1</v>
      </c>
      <c r="E46" s="54">
        <v>4</v>
      </c>
      <c r="F46" s="54">
        <v>6</v>
      </c>
      <c r="G46" s="54">
        <v>27</v>
      </c>
      <c r="H46" s="54">
        <v>10</v>
      </c>
      <c r="I46" s="54">
        <v>9</v>
      </c>
      <c r="J46" s="54">
        <v>15</v>
      </c>
      <c r="K46" s="54">
        <v>14</v>
      </c>
      <c r="L46" s="54">
        <v>13</v>
      </c>
      <c r="M46" s="54">
        <v>9</v>
      </c>
      <c r="N46" s="54">
        <v>14</v>
      </c>
      <c r="O46" s="54">
        <v>11</v>
      </c>
      <c r="P46" s="54">
        <v>15</v>
      </c>
      <c r="Q46" s="54">
        <v>14</v>
      </c>
      <c r="R46" s="54">
        <v>8</v>
      </c>
      <c r="S46" s="54">
        <v>4</v>
      </c>
      <c r="T46" s="54">
        <v>8</v>
      </c>
      <c r="U46" s="54">
        <v>17</v>
      </c>
      <c r="V46" s="54">
        <v>6</v>
      </c>
      <c r="W46" s="54">
        <v>16</v>
      </c>
      <c r="X46" s="54">
        <v>6</v>
      </c>
      <c r="Y46" s="54">
        <v>5</v>
      </c>
      <c r="Z46" s="54">
        <v>4</v>
      </c>
      <c r="AA46" s="54">
        <v>2</v>
      </c>
      <c r="AB46" s="54">
        <v>11</v>
      </c>
      <c r="AC46" s="54">
        <v>2</v>
      </c>
      <c r="AD46" s="54">
        <v>5</v>
      </c>
      <c r="AE46" s="54">
        <v>4</v>
      </c>
      <c r="AF46" s="54"/>
      <c r="AG46" s="5">
        <f t="shared" si="2"/>
        <v>279</v>
      </c>
    </row>
    <row r="47" spans="1:33" ht="15.75" customHeight="1" x14ac:dyDescent="0.25">
      <c r="A47" s="56" t="s">
        <v>21</v>
      </c>
      <c r="B47" s="54">
        <v>1</v>
      </c>
      <c r="C47" s="54">
        <v>10</v>
      </c>
      <c r="D47" s="54">
        <v>1</v>
      </c>
      <c r="E47" s="54">
        <v>2</v>
      </c>
      <c r="F47" s="54">
        <v>4</v>
      </c>
      <c r="G47" s="54">
        <v>17</v>
      </c>
      <c r="H47" s="54">
        <v>1</v>
      </c>
      <c r="I47" s="54">
        <v>13</v>
      </c>
      <c r="J47" s="54">
        <v>7</v>
      </c>
      <c r="K47" s="54">
        <v>6</v>
      </c>
      <c r="L47" s="54">
        <v>6</v>
      </c>
      <c r="M47" s="54">
        <v>9</v>
      </c>
      <c r="N47" s="54">
        <v>7</v>
      </c>
      <c r="O47" s="54">
        <v>7</v>
      </c>
      <c r="P47" s="54">
        <v>2</v>
      </c>
      <c r="Q47" s="54">
        <v>22</v>
      </c>
      <c r="R47" s="54">
        <v>1</v>
      </c>
      <c r="S47" s="54">
        <v>1</v>
      </c>
      <c r="T47" s="54">
        <v>5</v>
      </c>
      <c r="U47" s="54">
        <v>6</v>
      </c>
      <c r="V47" s="54">
        <v>6</v>
      </c>
      <c r="W47" s="54">
        <v>4</v>
      </c>
      <c r="X47" s="54">
        <v>5</v>
      </c>
      <c r="Y47" s="54">
        <v>1</v>
      </c>
      <c r="Z47" s="54">
        <v>0</v>
      </c>
      <c r="AA47" s="54">
        <v>1</v>
      </c>
      <c r="AB47" s="54">
        <v>7</v>
      </c>
      <c r="AC47" s="54">
        <v>1</v>
      </c>
      <c r="AD47" s="54">
        <v>4</v>
      </c>
      <c r="AE47" s="54">
        <v>1</v>
      </c>
      <c r="AF47" s="54"/>
      <c r="AG47" s="5">
        <f t="shared" si="2"/>
        <v>158</v>
      </c>
    </row>
    <row r="48" spans="1:33" ht="15.75" customHeight="1" x14ac:dyDescent="0.25">
      <c r="A48" s="56" t="s">
        <v>22</v>
      </c>
      <c r="B48" s="54">
        <v>1</v>
      </c>
      <c r="C48" s="54">
        <v>9</v>
      </c>
      <c r="D48" s="54">
        <v>0</v>
      </c>
      <c r="E48" s="54">
        <v>2</v>
      </c>
      <c r="F48" s="54">
        <v>6</v>
      </c>
      <c r="G48" s="54">
        <v>2</v>
      </c>
      <c r="H48" s="54">
        <v>3</v>
      </c>
      <c r="I48" s="54">
        <v>10</v>
      </c>
      <c r="J48" s="54">
        <v>8</v>
      </c>
      <c r="K48" s="54">
        <v>5</v>
      </c>
      <c r="L48" s="54">
        <v>5</v>
      </c>
      <c r="M48" s="54">
        <v>7</v>
      </c>
      <c r="N48" s="54">
        <v>4</v>
      </c>
      <c r="O48" s="54">
        <v>16</v>
      </c>
      <c r="P48" s="54">
        <v>5</v>
      </c>
      <c r="Q48" s="54">
        <v>10</v>
      </c>
      <c r="R48" s="54">
        <v>2</v>
      </c>
      <c r="S48" s="54">
        <v>1</v>
      </c>
      <c r="T48" s="54">
        <v>0</v>
      </c>
      <c r="U48" s="54">
        <v>9</v>
      </c>
      <c r="V48" s="54">
        <v>6</v>
      </c>
      <c r="W48" s="54">
        <v>3</v>
      </c>
      <c r="X48" s="54">
        <v>6</v>
      </c>
      <c r="Y48" s="54">
        <v>2</v>
      </c>
      <c r="Z48" s="54">
        <v>4</v>
      </c>
      <c r="AA48" s="54">
        <v>2</v>
      </c>
      <c r="AB48" s="54">
        <v>5</v>
      </c>
      <c r="AC48" s="54">
        <v>1</v>
      </c>
      <c r="AD48" s="54">
        <v>0</v>
      </c>
      <c r="AE48" s="54">
        <v>3</v>
      </c>
      <c r="AF48" s="54"/>
      <c r="AG48" s="5">
        <f t="shared" si="2"/>
        <v>137</v>
      </c>
    </row>
    <row r="49" spans="1:33" ht="15.75" customHeight="1" x14ac:dyDescent="0.25">
      <c r="A49" s="56" t="s">
        <v>23</v>
      </c>
      <c r="B49" s="54">
        <v>0</v>
      </c>
      <c r="C49" s="54">
        <v>4</v>
      </c>
      <c r="D49" s="54">
        <v>5</v>
      </c>
      <c r="E49" s="54">
        <v>2</v>
      </c>
      <c r="F49" s="54">
        <v>0</v>
      </c>
      <c r="G49" s="54">
        <v>3</v>
      </c>
      <c r="H49" s="54">
        <v>1</v>
      </c>
      <c r="I49" s="54">
        <v>3</v>
      </c>
      <c r="J49" s="54">
        <v>7</v>
      </c>
      <c r="K49" s="54">
        <v>2</v>
      </c>
      <c r="L49" s="54">
        <v>2</v>
      </c>
      <c r="M49" s="54">
        <v>1</v>
      </c>
      <c r="N49" s="54">
        <v>3</v>
      </c>
      <c r="O49" s="54">
        <v>2</v>
      </c>
      <c r="P49" s="54">
        <v>6</v>
      </c>
      <c r="Q49" s="54">
        <v>3</v>
      </c>
      <c r="R49" s="54">
        <v>5</v>
      </c>
      <c r="S49" s="54">
        <v>2</v>
      </c>
      <c r="T49" s="54">
        <v>6</v>
      </c>
      <c r="U49" s="54">
        <v>2</v>
      </c>
      <c r="V49" s="54">
        <v>3</v>
      </c>
      <c r="W49" s="54">
        <v>1</v>
      </c>
      <c r="X49" s="54">
        <v>3</v>
      </c>
      <c r="Y49" s="54">
        <v>5</v>
      </c>
      <c r="Z49" s="54">
        <v>4</v>
      </c>
      <c r="AA49" s="54">
        <v>0</v>
      </c>
      <c r="AB49" s="54">
        <v>2</v>
      </c>
      <c r="AC49" s="54">
        <v>0</v>
      </c>
      <c r="AD49" s="54">
        <v>0</v>
      </c>
      <c r="AE49" s="54">
        <v>0</v>
      </c>
      <c r="AF49" s="54"/>
      <c r="AG49" s="5">
        <f t="shared" si="2"/>
        <v>77</v>
      </c>
    </row>
    <row r="50" spans="1:33" ht="15.75" customHeight="1" x14ac:dyDescent="0.25">
      <c r="A50" s="56" t="s">
        <v>24</v>
      </c>
      <c r="B50" s="54">
        <v>1</v>
      </c>
      <c r="C50" s="54">
        <v>1</v>
      </c>
      <c r="D50" s="54">
        <v>0</v>
      </c>
      <c r="E50" s="54">
        <v>1</v>
      </c>
      <c r="F50" s="54">
        <v>3</v>
      </c>
      <c r="G50" s="54">
        <v>1</v>
      </c>
      <c r="H50" s="54">
        <v>6</v>
      </c>
      <c r="I50" s="54">
        <v>0</v>
      </c>
      <c r="J50" s="54">
        <v>1</v>
      </c>
      <c r="K50" s="54">
        <v>4</v>
      </c>
      <c r="L50" s="54">
        <v>0</v>
      </c>
      <c r="M50" s="54">
        <v>0</v>
      </c>
      <c r="N50" s="54">
        <v>1</v>
      </c>
      <c r="O50" s="54">
        <v>3</v>
      </c>
      <c r="P50" s="54">
        <v>3</v>
      </c>
      <c r="Q50" s="54">
        <v>1</v>
      </c>
      <c r="R50" s="54">
        <v>6</v>
      </c>
      <c r="S50" s="54">
        <v>5</v>
      </c>
      <c r="T50" s="54">
        <v>2</v>
      </c>
      <c r="U50" s="54">
        <v>2</v>
      </c>
      <c r="V50" s="54">
        <v>0</v>
      </c>
      <c r="W50" s="54">
        <v>4</v>
      </c>
      <c r="X50" s="54">
        <v>2</v>
      </c>
      <c r="Y50" s="54">
        <v>3</v>
      </c>
      <c r="Z50" s="54">
        <v>1</v>
      </c>
      <c r="AA50" s="54">
        <v>1</v>
      </c>
      <c r="AB50" s="54">
        <v>2</v>
      </c>
      <c r="AC50" s="54">
        <v>4</v>
      </c>
      <c r="AD50" s="54">
        <v>4</v>
      </c>
      <c r="AE50" s="54">
        <v>2</v>
      </c>
      <c r="AF50" s="54"/>
      <c r="AG50" s="5">
        <f t="shared" si="2"/>
        <v>64</v>
      </c>
    </row>
    <row r="51" spans="1:33" ht="15.75" customHeight="1" x14ac:dyDescent="0.25">
      <c r="A51" s="56" t="s">
        <v>25</v>
      </c>
      <c r="B51" s="54">
        <v>0</v>
      </c>
      <c r="C51" s="54">
        <v>1</v>
      </c>
      <c r="D51" s="54">
        <v>1</v>
      </c>
      <c r="E51" s="54">
        <v>0</v>
      </c>
      <c r="F51" s="54">
        <v>2</v>
      </c>
      <c r="G51" s="54">
        <v>1</v>
      </c>
      <c r="H51" s="54">
        <v>0</v>
      </c>
      <c r="I51" s="54">
        <v>2</v>
      </c>
      <c r="J51" s="54">
        <v>1</v>
      </c>
      <c r="K51" s="54">
        <v>1</v>
      </c>
      <c r="L51" s="54">
        <v>2</v>
      </c>
      <c r="M51" s="54">
        <v>2</v>
      </c>
      <c r="N51" s="54">
        <v>0</v>
      </c>
      <c r="O51" s="54">
        <v>1</v>
      </c>
      <c r="P51" s="54">
        <v>0</v>
      </c>
      <c r="Q51" s="54">
        <v>5</v>
      </c>
      <c r="R51" s="54">
        <v>0</v>
      </c>
      <c r="S51" s="54">
        <v>0</v>
      </c>
      <c r="T51" s="54">
        <v>1</v>
      </c>
      <c r="U51" s="54">
        <v>2</v>
      </c>
      <c r="V51" s="54">
        <v>2</v>
      </c>
      <c r="W51" s="54">
        <v>4</v>
      </c>
      <c r="X51" s="54">
        <v>1</v>
      </c>
      <c r="Y51" s="54">
        <v>1</v>
      </c>
      <c r="Z51" s="54">
        <v>0</v>
      </c>
      <c r="AA51" s="54">
        <v>1</v>
      </c>
      <c r="AB51" s="54">
        <v>2</v>
      </c>
      <c r="AC51" s="54">
        <v>2</v>
      </c>
      <c r="AD51" s="54">
        <v>1</v>
      </c>
      <c r="AE51" s="54">
        <v>1</v>
      </c>
      <c r="AF51" s="54"/>
      <c r="AG51" s="5">
        <f t="shared" si="2"/>
        <v>37</v>
      </c>
    </row>
    <row r="52" spans="1:33" ht="15.75" customHeight="1" thickBot="1" x14ac:dyDescent="0.3">
      <c r="A52" s="57" t="s">
        <v>26</v>
      </c>
      <c r="B52" s="58">
        <v>1</v>
      </c>
      <c r="C52" s="58">
        <v>0</v>
      </c>
      <c r="D52" s="58">
        <v>0</v>
      </c>
      <c r="E52" s="58">
        <v>6</v>
      </c>
      <c r="F52" s="58">
        <v>0</v>
      </c>
      <c r="G52" s="58">
        <v>2</v>
      </c>
      <c r="H52" s="58">
        <v>0</v>
      </c>
      <c r="I52" s="58">
        <v>0</v>
      </c>
      <c r="J52" s="58">
        <v>1</v>
      </c>
      <c r="K52" s="58">
        <v>2</v>
      </c>
      <c r="L52" s="58">
        <v>5</v>
      </c>
      <c r="M52" s="58">
        <v>0</v>
      </c>
      <c r="N52" s="58">
        <v>0</v>
      </c>
      <c r="O52" s="58">
        <v>0</v>
      </c>
      <c r="P52" s="58">
        <v>0</v>
      </c>
      <c r="Q52" s="58">
        <v>0</v>
      </c>
      <c r="R52" s="58">
        <v>0</v>
      </c>
      <c r="S52" s="58">
        <v>5</v>
      </c>
      <c r="T52" s="58">
        <v>3</v>
      </c>
      <c r="U52" s="58">
        <v>1</v>
      </c>
      <c r="V52" s="58">
        <v>2</v>
      </c>
      <c r="W52" s="58">
        <v>0</v>
      </c>
      <c r="X52" s="58">
        <v>0</v>
      </c>
      <c r="Y52" s="58">
        <v>1</v>
      </c>
      <c r="Z52" s="58">
        <v>4</v>
      </c>
      <c r="AA52" s="58">
        <v>1</v>
      </c>
      <c r="AB52" s="58">
        <v>3</v>
      </c>
      <c r="AC52" s="58">
        <v>1</v>
      </c>
      <c r="AD52" s="60">
        <v>1</v>
      </c>
      <c r="AE52" s="60">
        <v>0</v>
      </c>
      <c r="AF52" s="60"/>
      <c r="AG52" s="9">
        <f t="shared" si="2"/>
        <v>39</v>
      </c>
    </row>
    <row r="53" spans="1:33" ht="15.75" customHeight="1" thickBot="1" x14ac:dyDescent="0.3">
      <c r="A53" s="52" t="s">
        <v>28</v>
      </c>
      <c r="B53" s="1">
        <f t="shared" ref="B53:AF53" si="4">SUM(B54:B77)</f>
        <v>9</v>
      </c>
      <c r="C53" s="1">
        <f t="shared" si="4"/>
        <v>23</v>
      </c>
      <c r="D53" s="1">
        <f t="shared" si="4"/>
        <v>7</v>
      </c>
      <c r="E53" s="1">
        <f t="shared" si="4"/>
        <v>1</v>
      </c>
      <c r="F53" s="1">
        <f t="shared" si="4"/>
        <v>23</v>
      </c>
      <c r="G53" s="1">
        <f t="shared" si="4"/>
        <v>33</v>
      </c>
      <c r="H53" s="1">
        <f t="shared" si="4"/>
        <v>31</v>
      </c>
      <c r="I53" s="1">
        <f t="shared" si="4"/>
        <v>51</v>
      </c>
      <c r="J53" s="1">
        <f t="shared" si="4"/>
        <v>38</v>
      </c>
      <c r="K53" s="1">
        <f t="shared" si="4"/>
        <v>31</v>
      </c>
      <c r="L53" s="1">
        <f t="shared" si="4"/>
        <v>24</v>
      </c>
      <c r="M53" s="1">
        <f t="shared" si="4"/>
        <v>16</v>
      </c>
      <c r="N53" s="1">
        <f t="shared" si="4"/>
        <v>39</v>
      </c>
      <c r="O53" s="1">
        <f t="shared" si="4"/>
        <v>49</v>
      </c>
      <c r="P53" s="1">
        <f t="shared" si="4"/>
        <v>19</v>
      </c>
      <c r="Q53" s="1">
        <f t="shared" si="4"/>
        <v>48</v>
      </c>
      <c r="R53" s="1">
        <f t="shared" si="4"/>
        <v>28</v>
      </c>
      <c r="S53" s="1">
        <f t="shared" si="4"/>
        <v>21</v>
      </c>
      <c r="T53" s="1">
        <f t="shared" si="4"/>
        <v>37</v>
      </c>
      <c r="U53" s="1">
        <f t="shared" si="4"/>
        <v>31</v>
      </c>
      <c r="V53" s="1">
        <f t="shared" si="4"/>
        <v>33</v>
      </c>
      <c r="W53" s="1">
        <f t="shared" si="4"/>
        <v>20</v>
      </c>
      <c r="X53" s="1">
        <f t="shared" si="4"/>
        <v>28</v>
      </c>
      <c r="Y53" s="1">
        <f t="shared" si="4"/>
        <v>15</v>
      </c>
      <c r="Z53" s="1">
        <f t="shared" si="4"/>
        <v>3</v>
      </c>
      <c r="AA53" s="1">
        <f t="shared" si="4"/>
        <v>6</v>
      </c>
      <c r="AB53" s="1">
        <f t="shared" si="4"/>
        <v>14</v>
      </c>
      <c r="AC53" s="1">
        <f t="shared" si="4"/>
        <v>9</v>
      </c>
      <c r="AD53" s="1">
        <f t="shared" si="4"/>
        <v>19</v>
      </c>
      <c r="AE53" s="1">
        <f t="shared" si="4"/>
        <v>4</v>
      </c>
      <c r="AF53" s="1">
        <f t="shared" si="4"/>
        <v>0</v>
      </c>
      <c r="AG53" s="10">
        <f t="shared" si="2"/>
        <v>710</v>
      </c>
    </row>
    <row r="54" spans="1:33" ht="15.75" customHeight="1" x14ac:dyDescent="0.25">
      <c r="A54" s="56" t="s">
        <v>3</v>
      </c>
      <c r="B54" s="54">
        <v>1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1</v>
      </c>
      <c r="AC54" s="55">
        <v>0</v>
      </c>
      <c r="AD54" s="55">
        <v>0</v>
      </c>
      <c r="AE54" s="55">
        <v>0</v>
      </c>
      <c r="AF54" s="55"/>
      <c r="AG54" s="4">
        <f t="shared" si="2"/>
        <v>2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1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1</v>
      </c>
      <c r="AD55" s="54">
        <v>0</v>
      </c>
      <c r="AE55" s="54">
        <v>0</v>
      </c>
      <c r="AF55" s="54"/>
      <c r="AG55" s="5">
        <f t="shared" si="2"/>
        <v>2</v>
      </c>
    </row>
    <row r="56" spans="1:33" ht="15.75" customHeight="1" x14ac:dyDescent="0.25">
      <c r="A56" s="56" t="s">
        <v>5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1</v>
      </c>
      <c r="AE56" s="54">
        <v>1</v>
      </c>
      <c r="AF56" s="54"/>
      <c r="AG56" s="5">
        <f t="shared" si="2"/>
        <v>2</v>
      </c>
    </row>
    <row r="57" spans="1:33" ht="15.75" customHeight="1" x14ac:dyDescent="0.25">
      <c r="A57" s="56" t="s">
        <v>6</v>
      </c>
      <c r="B57" s="54">
        <v>0</v>
      </c>
      <c r="C57" s="54">
        <v>0</v>
      </c>
      <c r="D57" s="54">
        <v>0</v>
      </c>
      <c r="E57" s="54">
        <v>0</v>
      </c>
      <c r="F57" s="54">
        <v>1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/>
      <c r="AG57" s="5">
        <f t="shared" si="2"/>
        <v>1</v>
      </c>
    </row>
    <row r="58" spans="1:33" ht="15.75" customHeight="1" x14ac:dyDescent="0.25">
      <c r="A58" s="56" t="s">
        <v>7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2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1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1</v>
      </c>
      <c r="AE58" s="54">
        <v>1</v>
      </c>
      <c r="AF58" s="54"/>
      <c r="AG58" s="5">
        <f t="shared" si="2"/>
        <v>5</v>
      </c>
    </row>
    <row r="59" spans="1:33" ht="15.75" customHeight="1" x14ac:dyDescent="0.25">
      <c r="A59" s="56" t="s">
        <v>8</v>
      </c>
      <c r="B59" s="54">
        <v>2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2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1</v>
      </c>
      <c r="AD59" s="54">
        <v>0</v>
      </c>
      <c r="AE59" s="54">
        <v>0</v>
      </c>
      <c r="AF59" s="54"/>
      <c r="AG59" s="5">
        <f t="shared" si="2"/>
        <v>5</v>
      </c>
    </row>
    <row r="60" spans="1:33" ht="15.75" customHeight="1" x14ac:dyDescent="0.25">
      <c r="A60" s="56" t="s">
        <v>9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1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2</v>
      </c>
      <c r="U60" s="54">
        <v>0</v>
      </c>
      <c r="V60" s="54">
        <v>1</v>
      </c>
      <c r="W60" s="54">
        <v>0</v>
      </c>
      <c r="X60" s="54">
        <v>0</v>
      </c>
      <c r="Y60" s="54">
        <v>0</v>
      </c>
      <c r="Z60" s="54">
        <v>1</v>
      </c>
      <c r="AA60" s="54">
        <v>0</v>
      </c>
      <c r="AB60" s="54">
        <v>1</v>
      </c>
      <c r="AC60" s="54">
        <v>1</v>
      </c>
      <c r="AD60" s="54">
        <v>0</v>
      </c>
      <c r="AE60" s="54">
        <v>0</v>
      </c>
      <c r="AF60" s="54"/>
      <c r="AG60" s="5">
        <f t="shared" si="2"/>
        <v>7</v>
      </c>
    </row>
    <row r="61" spans="1:33" ht="15.75" customHeight="1" x14ac:dyDescent="0.25">
      <c r="A61" s="56" t="s">
        <v>10</v>
      </c>
      <c r="B61" s="54">
        <v>0</v>
      </c>
      <c r="C61" s="54">
        <v>0</v>
      </c>
      <c r="D61" s="54">
        <v>0</v>
      </c>
      <c r="E61" s="54">
        <v>0</v>
      </c>
      <c r="F61" s="54">
        <v>1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2</v>
      </c>
      <c r="M61" s="54">
        <v>1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1</v>
      </c>
      <c r="T61" s="54">
        <v>2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1</v>
      </c>
      <c r="AC61" s="54">
        <v>1</v>
      </c>
      <c r="AD61" s="54">
        <v>2</v>
      </c>
      <c r="AE61" s="54">
        <v>1</v>
      </c>
      <c r="AF61" s="54"/>
      <c r="AG61" s="5">
        <f t="shared" si="2"/>
        <v>12</v>
      </c>
    </row>
    <row r="62" spans="1:33" ht="15.75" customHeight="1" x14ac:dyDescent="0.25">
      <c r="A62" s="56" t="s">
        <v>11</v>
      </c>
      <c r="B62" s="54">
        <v>0</v>
      </c>
      <c r="C62" s="54">
        <v>0</v>
      </c>
      <c r="D62" s="54">
        <v>0</v>
      </c>
      <c r="E62" s="54">
        <v>0</v>
      </c>
      <c r="F62" s="54">
        <v>2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0</v>
      </c>
      <c r="P62" s="54">
        <v>0</v>
      </c>
      <c r="Q62" s="54">
        <v>0</v>
      </c>
      <c r="R62" s="54">
        <v>0</v>
      </c>
      <c r="S62" s="54">
        <v>1</v>
      </c>
      <c r="T62" s="54">
        <v>0</v>
      </c>
      <c r="U62" s="54">
        <v>0</v>
      </c>
      <c r="V62" s="54">
        <v>1</v>
      </c>
      <c r="W62" s="54">
        <v>0</v>
      </c>
      <c r="X62" s="54">
        <v>0</v>
      </c>
      <c r="Y62" s="54">
        <v>0</v>
      </c>
      <c r="Z62" s="54">
        <v>0</v>
      </c>
      <c r="AA62" s="54">
        <v>1</v>
      </c>
      <c r="AB62" s="54">
        <v>0</v>
      </c>
      <c r="AC62" s="54">
        <v>1</v>
      </c>
      <c r="AD62" s="54">
        <v>3</v>
      </c>
      <c r="AE62" s="54">
        <v>1</v>
      </c>
      <c r="AF62" s="54"/>
      <c r="AG62" s="5">
        <f t="shared" si="2"/>
        <v>10</v>
      </c>
    </row>
    <row r="63" spans="1:33" ht="15.75" customHeight="1" x14ac:dyDescent="0.25">
      <c r="A63" s="56" t="s">
        <v>12</v>
      </c>
      <c r="B63" s="54">
        <v>0</v>
      </c>
      <c r="C63" s="54">
        <v>0</v>
      </c>
      <c r="D63" s="54">
        <v>0</v>
      </c>
      <c r="E63" s="54">
        <v>0</v>
      </c>
      <c r="F63" s="54">
        <v>3</v>
      </c>
      <c r="G63" s="54">
        <v>1</v>
      </c>
      <c r="H63" s="54">
        <v>0</v>
      </c>
      <c r="I63" s="54">
        <v>0</v>
      </c>
      <c r="J63" s="54">
        <v>0</v>
      </c>
      <c r="K63" s="54">
        <v>1</v>
      </c>
      <c r="L63" s="54">
        <v>0</v>
      </c>
      <c r="M63" s="54">
        <v>1</v>
      </c>
      <c r="N63" s="54">
        <v>0</v>
      </c>
      <c r="O63" s="54">
        <v>0</v>
      </c>
      <c r="P63" s="54">
        <v>0</v>
      </c>
      <c r="Q63" s="54">
        <v>0</v>
      </c>
      <c r="R63" s="54">
        <v>3</v>
      </c>
      <c r="S63" s="54">
        <v>5</v>
      </c>
      <c r="T63" s="54">
        <v>4</v>
      </c>
      <c r="U63" s="54">
        <v>1</v>
      </c>
      <c r="V63" s="54">
        <v>1</v>
      </c>
      <c r="W63" s="54">
        <v>0</v>
      </c>
      <c r="X63" s="54">
        <v>1</v>
      </c>
      <c r="Y63" s="54">
        <v>0</v>
      </c>
      <c r="Z63" s="54">
        <v>0</v>
      </c>
      <c r="AA63" s="54">
        <v>0</v>
      </c>
      <c r="AB63" s="54">
        <v>0</v>
      </c>
      <c r="AC63" s="54">
        <v>1</v>
      </c>
      <c r="AD63" s="54">
        <v>4</v>
      </c>
      <c r="AE63" s="54">
        <v>0</v>
      </c>
      <c r="AF63" s="54"/>
      <c r="AG63" s="5">
        <f t="shared" si="2"/>
        <v>26</v>
      </c>
    </row>
    <row r="64" spans="1:33" ht="15.75" customHeight="1" x14ac:dyDescent="0.25">
      <c r="A64" s="56" t="s">
        <v>13</v>
      </c>
      <c r="B64" s="54">
        <v>0</v>
      </c>
      <c r="C64" s="54">
        <v>1</v>
      </c>
      <c r="D64" s="54">
        <v>1</v>
      </c>
      <c r="E64" s="54">
        <v>0</v>
      </c>
      <c r="F64" s="54">
        <v>1</v>
      </c>
      <c r="G64" s="54">
        <v>3</v>
      </c>
      <c r="H64" s="54">
        <v>1</v>
      </c>
      <c r="I64" s="54">
        <v>4</v>
      </c>
      <c r="J64" s="54">
        <v>1</v>
      </c>
      <c r="K64" s="54">
        <v>1</v>
      </c>
      <c r="L64" s="54">
        <v>5</v>
      </c>
      <c r="M64" s="54">
        <v>0</v>
      </c>
      <c r="N64" s="54">
        <v>1</v>
      </c>
      <c r="O64" s="54">
        <v>0</v>
      </c>
      <c r="P64" s="54">
        <v>1</v>
      </c>
      <c r="Q64" s="54">
        <v>1</v>
      </c>
      <c r="R64" s="54">
        <v>4</v>
      </c>
      <c r="S64" s="54">
        <v>0</v>
      </c>
      <c r="T64" s="54">
        <v>2</v>
      </c>
      <c r="U64" s="54">
        <v>1</v>
      </c>
      <c r="V64" s="54">
        <v>0</v>
      </c>
      <c r="W64" s="54">
        <v>0</v>
      </c>
      <c r="X64" s="54">
        <v>1</v>
      </c>
      <c r="Y64" s="54">
        <v>0</v>
      </c>
      <c r="Z64" s="54">
        <v>0</v>
      </c>
      <c r="AA64" s="54">
        <v>0</v>
      </c>
      <c r="AB64" s="54">
        <v>4</v>
      </c>
      <c r="AC64" s="54">
        <v>2</v>
      </c>
      <c r="AD64" s="54">
        <v>3</v>
      </c>
      <c r="AE64" s="54">
        <v>0</v>
      </c>
      <c r="AF64" s="54"/>
      <c r="AG64" s="5">
        <f t="shared" si="2"/>
        <v>38</v>
      </c>
    </row>
    <row r="65" spans="1:33" ht="15.75" customHeight="1" x14ac:dyDescent="0.25">
      <c r="A65" s="56" t="s">
        <v>14</v>
      </c>
      <c r="B65" s="54">
        <v>0</v>
      </c>
      <c r="C65" s="54">
        <v>3</v>
      </c>
      <c r="D65" s="54">
        <v>0</v>
      </c>
      <c r="E65" s="54">
        <v>1</v>
      </c>
      <c r="F65" s="54">
        <v>3</v>
      </c>
      <c r="G65" s="54">
        <v>2</v>
      </c>
      <c r="H65" s="54">
        <v>0</v>
      </c>
      <c r="I65" s="54">
        <v>1</v>
      </c>
      <c r="J65" s="54">
        <v>2</v>
      </c>
      <c r="K65" s="54">
        <v>0</v>
      </c>
      <c r="L65" s="54">
        <v>1</v>
      </c>
      <c r="M65" s="54">
        <v>0</v>
      </c>
      <c r="N65" s="54">
        <v>5</v>
      </c>
      <c r="O65" s="54">
        <v>2</v>
      </c>
      <c r="P65" s="54">
        <v>0</v>
      </c>
      <c r="Q65" s="54">
        <v>4</v>
      </c>
      <c r="R65" s="54">
        <v>1</v>
      </c>
      <c r="S65" s="54">
        <v>6</v>
      </c>
      <c r="T65" s="54">
        <v>11</v>
      </c>
      <c r="U65" s="54">
        <v>1</v>
      </c>
      <c r="V65" s="54">
        <v>4</v>
      </c>
      <c r="W65" s="54">
        <v>0</v>
      </c>
      <c r="X65" s="54">
        <v>4</v>
      </c>
      <c r="Y65" s="54">
        <v>2</v>
      </c>
      <c r="Z65" s="54">
        <v>1</v>
      </c>
      <c r="AA65" s="54">
        <v>2</v>
      </c>
      <c r="AB65" s="54">
        <v>2</v>
      </c>
      <c r="AC65" s="54">
        <v>0</v>
      </c>
      <c r="AD65" s="54">
        <v>0</v>
      </c>
      <c r="AE65" s="54">
        <v>0</v>
      </c>
      <c r="AF65" s="54"/>
      <c r="AG65" s="5">
        <f t="shared" si="2"/>
        <v>58</v>
      </c>
    </row>
    <row r="66" spans="1:33" ht="15.75" customHeight="1" x14ac:dyDescent="0.25">
      <c r="A66" s="56" t="s">
        <v>15</v>
      </c>
      <c r="B66" s="54">
        <v>3</v>
      </c>
      <c r="C66" s="54">
        <v>3</v>
      </c>
      <c r="D66" s="54">
        <v>1</v>
      </c>
      <c r="E66" s="54">
        <v>0</v>
      </c>
      <c r="F66" s="54">
        <v>6</v>
      </c>
      <c r="G66" s="54">
        <v>2</v>
      </c>
      <c r="H66" s="54">
        <v>1</v>
      </c>
      <c r="I66" s="54">
        <v>0</v>
      </c>
      <c r="J66" s="54">
        <v>3</v>
      </c>
      <c r="K66" s="54">
        <v>1</v>
      </c>
      <c r="L66" s="54">
        <v>3</v>
      </c>
      <c r="M66" s="54">
        <v>5</v>
      </c>
      <c r="N66" s="54">
        <v>7</v>
      </c>
      <c r="O66" s="54">
        <v>1</v>
      </c>
      <c r="P66" s="54">
        <v>0</v>
      </c>
      <c r="Q66" s="54">
        <v>4</v>
      </c>
      <c r="R66" s="54">
        <v>4</v>
      </c>
      <c r="S66" s="54">
        <v>1</v>
      </c>
      <c r="T66" s="54">
        <v>4</v>
      </c>
      <c r="U66" s="54">
        <v>0</v>
      </c>
      <c r="V66" s="54">
        <v>4</v>
      </c>
      <c r="W66" s="54">
        <v>2</v>
      </c>
      <c r="X66" s="54">
        <v>1</v>
      </c>
      <c r="Y66" s="54">
        <v>4</v>
      </c>
      <c r="Z66" s="54">
        <v>1</v>
      </c>
      <c r="AA66" s="54">
        <v>1</v>
      </c>
      <c r="AB66" s="54">
        <v>1</v>
      </c>
      <c r="AC66" s="54">
        <v>0</v>
      </c>
      <c r="AD66" s="54">
        <v>3</v>
      </c>
      <c r="AE66" s="54">
        <v>0</v>
      </c>
      <c r="AF66" s="54"/>
      <c r="AG66" s="5">
        <f t="shared" si="2"/>
        <v>66</v>
      </c>
    </row>
    <row r="67" spans="1:33" ht="15.75" customHeight="1" x14ac:dyDescent="0.25">
      <c r="A67" s="56" t="s">
        <v>16</v>
      </c>
      <c r="B67" s="54">
        <v>3</v>
      </c>
      <c r="C67" s="54">
        <v>0</v>
      </c>
      <c r="D67" s="54">
        <v>0</v>
      </c>
      <c r="E67" s="54">
        <v>0</v>
      </c>
      <c r="F67" s="54">
        <v>4</v>
      </c>
      <c r="G67" s="54">
        <v>6</v>
      </c>
      <c r="H67" s="54">
        <v>5</v>
      </c>
      <c r="I67" s="54">
        <v>0</v>
      </c>
      <c r="J67" s="54">
        <v>0</v>
      </c>
      <c r="K67" s="54">
        <v>5</v>
      </c>
      <c r="L67" s="54">
        <v>1</v>
      </c>
      <c r="M67" s="54">
        <v>5</v>
      </c>
      <c r="N67" s="54">
        <v>2</v>
      </c>
      <c r="O67" s="54">
        <v>3</v>
      </c>
      <c r="P67" s="54">
        <v>3</v>
      </c>
      <c r="Q67" s="54">
        <v>3</v>
      </c>
      <c r="R67" s="54">
        <v>4</v>
      </c>
      <c r="S67" s="54">
        <v>3</v>
      </c>
      <c r="T67" s="54">
        <v>4</v>
      </c>
      <c r="U67" s="54">
        <v>0</v>
      </c>
      <c r="V67" s="54">
        <v>10</v>
      </c>
      <c r="W67" s="54">
        <v>1</v>
      </c>
      <c r="X67" s="54">
        <v>3</v>
      </c>
      <c r="Y67" s="54">
        <v>1</v>
      </c>
      <c r="Z67" s="54">
        <v>0</v>
      </c>
      <c r="AA67" s="54">
        <v>1</v>
      </c>
      <c r="AB67" s="54">
        <v>0</v>
      </c>
      <c r="AC67" s="54">
        <v>0</v>
      </c>
      <c r="AD67" s="54">
        <v>0</v>
      </c>
      <c r="AE67" s="54">
        <v>0</v>
      </c>
      <c r="AF67" s="54"/>
      <c r="AG67" s="5">
        <f t="shared" ref="AG67:AG98" si="5">SUM(B67:AF67)</f>
        <v>67</v>
      </c>
    </row>
    <row r="68" spans="1:33" ht="15.75" customHeight="1" x14ac:dyDescent="0.25">
      <c r="A68" s="56" t="s">
        <v>17</v>
      </c>
      <c r="B68" s="54">
        <v>0</v>
      </c>
      <c r="C68" s="54">
        <v>1</v>
      </c>
      <c r="D68" s="54">
        <v>1</v>
      </c>
      <c r="E68" s="54">
        <v>0</v>
      </c>
      <c r="F68" s="54">
        <v>2</v>
      </c>
      <c r="G68" s="54">
        <v>3</v>
      </c>
      <c r="H68" s="54">
        <v>2</v>
      </c>
      <c r="I68" s="54">
        <v>5</v>
      </c>
      <c r="J68" s="54">
        <v>6</v>
      </c>
      <c r="K68" s="54">
        <v>4</v>
      </c>
      <c r="L68" s="54">
        <v>1</v>
      </c>
      <c r="M68" s="54">
        <v>2</v>
      </c>
      <c r="N68" s="54">
        <v>3</v>
      </c>
      <c r="O68" s="54">
        <v>3</v>
      </c>
      <c r="P68" s="54">
        <v>6</v>
      </c>
      <c r="Q68" s="54">
        <v>2</v>
      </c>
      <c r="R68" s="54">
        <v>5</v>
      </c>
      <c r="S68" s="54">
        <v>0</v>
      </c>
      <c r="T68" s="54">
        <v>0</v>
      </c>
      <c r="U68" s="54">
        <v>0</v>
      </c>
      <c r="V68" s="54">
        <v>6</v>
      </c>
      <c r="W68" s="54">
        <v>1</v>
      </c>
      <c r="X68" s="54">
        <v>1</v>
      </c>
      <c r="Y68" s="54">
        <v>0</v>
      </c>
      <c r="Z68" s="54">
        <v>0</v>
      </c>
      <c r="AA68" s="54">
        <v>1</v>
      </c>
      <c r="AB68" s="54">
        <v>0</v>
      </c>
      <c r="AC68" s="54">
        <v>0</v>
      </c>
      <c r="AD68" s="54">
        <v>0</v>
      </c>
      <c r="AE68" s="54">
        <v>0</v>
      </c>
      <c r="AF68" s="54"/>
      <c r="AG68" s="5">
        <f t="shared" si="5"/>
        <v>55</v>
      </c>
    </row>
    <row r="69" spans="1:33" ht="15.75" customHeight="1" x14ac:dyDescent="0.25">
      <c r="A69" s="56" t="s">
        <v>18</v>
      </c>
      <c r="B69" s="54">
        <v>0</v>
      </c>
      <c r="C69" s="54">
        <v>5</v>
      </c>
      <c r="D69" s="54">
        <v>0</v>
      </c>
      <c r="E69" s="54">
        <v>0</v>
      </c>
      <c r="F69" s="54">
        <v>0</v>
      </c>
      <c r="G69" s="54">
        <v>4</v>
      </c>
      <c r="H69" s="54">
        <v>10</v>
      </c>
      <c r="I69" s="54">
        <v>0</v>
      </c>
      <c r="J69" s="54">
        <v>0</v>
      </c>
      <c r="K69" s="54">
        <v>0</v>
      </c>
      <c r="L69" s="54">
        <v>2</v>
      </c>
      <c r="M69" s="54">
        <v>0</v>
      </c>
      <c r="N69" s="54">
        <v>5</v>
      </c>
      <c r="O69" s="54">
        <v>19</v>
      </c>
      <c r="P69" s="54">
        <v>0</v>
      </c>
      <c r="Q69" s="54">
        <v>1</v>
      </c>
      <c r="R69" s="54">
        <v>3</v>
      </c>
      <c r="S69" s="54">
        <v>0</v>
      </c>
      <c r="T69" s="54">
        <v>4</v>
      </c>
      <c r="U69" s="54">
        <v>7</v>
      </c>
      <c r="V69" s="54">
        <v>1</v>
      </c>
      <c r="W69" s="54">
        <v>0</v>
      </c>
      <c r="X69" s="54">
        <v>0</v>
      </c>
      <c r="Y69" s="54">
        <v>0</v>
      </c>
      <c r="Z69" s="54">
        <v>0</v>
      </c>
      <c r="AA69" s="54">
        <v>0</v>
      </c>
      <c r="AB69" s="54">
        <v>0</v>
      </c>
      <c r="AC69" s="54">
        <v>0</v>
      </c>
      <c r="AD69" s="54">
        <v>1</v>
      </c>
      <c r="AE69" s="54">
        <v>0</v>
      </c>
      <c r="AF69" s="54"/>
      <c r="AG69" s="5">
        <f t="shared" si="5"/>
        <v>62</v>
      </c>
    </row>
    <row r="70" spans="1:33" ht="15.75" customHeight="1" x14ac:dyDescent="0.25">
      <c r="A70" s="56" t="s">
        <v>19</v>
      </c>
      <c r="B70" s="54">
        <v>0</v>
      </c>
      <c r="C70" s="54">
        <v>1</v>
      </c>
      <c r="D70" s="54">
        <v>1</v>
      </c>
      <c r="E70" s="54">
        <v>0</v>
      </c>
      <c r="F70" s="54">
        <v>0</v>
      </c>
      <c r="G70" s="54">
        <v>4</v>
      </c>
      <c r="H70" s="54">
        <v>6</v>
      </c>
      <c r="I70" s="54">
        <v>8</v>
      </c>
      <c r="J70" s="54">
        <v>15</v>
      </c>
      <c r="K70" s="54">
        <v>5</v>
      </c>
      <c r="L70" s="54">
        <v>0</v>
      </c>
      <c r="M70" s="54">
        <v>0</v>
      </c>
      <c r="N70" s="54">
        <v>0</v>
      </c>
      <c r="O70" s="54">
        <v>0</v>
      </c>
      <c r="P70" s="54">
        <v>6</v>
      </c>
      <c r="Q70" s="54">
        <v>6</v>
      </c>
      <c r="R70" s="54">
        <v>3</v>
      </c>
      <c r="S70" s="54">
        <v>1</v>
      </c>
      <c r="T70" s="54">
        <v>1</v>
      </c>
      <c r="U70" s="54">
        <v>0</v>
      </c>
      <c r="V70" s="54">
        <v>3</v>
      </c>
      <c r="W70" s="54">
        <v>10</v>
      </c>
      <c r="X70" s="54">
        <v>1</v>
      </c>
      <c r="Y70" s="54">
        <v>0</v>
      </c>
      <c r="Z70" s="54">
        <v>0</v>
      </c>
      <c r="AA70" s="54">
        <v>0</v>
      </c>
      <c r="AB70" s="54">
        <v>0</v>
      </c>
      <c r="AC70" s="54">
        <v>0</v>
      </c>
      <c r="AD70" s="55">
        <v>0</v>
      </c>
      <c r="AE70" s="55">
        <v>0</v>
      </c>
      <c r="AF70" s="55"/>
      <c r="AG70" s="5">
        <f t="shared" si="5"/>
        <v>71</v>
      </c>
    </row>
    <row r="71" spans="1:33" ht="15.75" customHeight="1" x14ac:dyDescent="0.25">
      <c r="A71" s="56" t="s">
        <v>20</v>
      </c>
      <c r="B71" s="54">
        <v>0</v>
      </c>
      <c r="C71" s="54">
        <v>2</v>
      </c>
      <c r="D71" s="54">
        <v>0</v>
      </c>
      <c r="E71" s="54">
        <v>0</v>
      </c>
      <c r="F71" s="54">
        <v>0</v>
      </c>
      <c r="G71" s="54">
        <v>7</v>
      </c>
      <c r="H71" s="54">
        <v>6</v>
      </c>
      <c r="I71" s="54">
        <v>0</v>
      </c>
      <c r="J71" s="54">
        <v>7</v>
      </c>
      <c r="K71" s="54">
        <v>11</v>
      </c>
      <c r="L71" s="54">
        <v>4</v>
      </c>
      <c r="M71" s="54">
        <v>0</v>
      </c>
      <c r="N71" s="54">
        <v>8</v>
      </c>
      <c r="O71" s="54">
        <v>13</v>
      </c>
      <c r="P71" s="54">
        <v>1</v>
      </c>
      <c r="Q71" s="54">
        <v>9</v>
      </c>
      <c r="R71" s="54">
        <v>0</v>
      </c>
      <c r="S71" s="54">
        <v>0</v>
      </c>
      <c r="T71" s="54">
        <v>1</v>
      </c>
      <c r="U71" s="54">
        <v>13</v>
      </c>
      <c r="V71" s="54">
        <v>0</v>
      </c>
      <c r="W71" s="54">
        <v>3</v>
      </c>
      <c r="X71" s="54">
        <v>7</v>
      </c>
      <c r="Y71" s="54">
        <v>4</v>
      </c>
      <c r="Z71" s="54">
        <v>0</v>
      </c>
      <c r="AA71" s="54">
        <v>0</v>
      </c>
      <c r="AB71" s="54">
        <v>0</v>
      </c>
      <c r="AC71" s="54">
        <v>0</v>
      </c>
      <c r="AD71" s="55">
        <v>1</v>
      </c>
      <c r="AE71" s="55">
        <v>0</v>
      </c>
      <c r="AF71" s="55"/>
      <c r="AG71" s="5">
        <f t="shared" si="5"/>
        <v>97</v>
      </c>
    </row>
    <row r="72" spans="1:33" ht="15.75" customHeight="1" x14ac:dyDescent="0.25">
      <c r="A72" s="56" t="s">
        <v>21</v>
      </c>
      <c r="B72" s="54">
        <v>0</v>
      </c>
      <c r="C72" s="54">
        <v>3</v>
      </c>
      <c r="D72" s="54">
        <v>0</v>
      </c>
      <c r="E72" s="54">
        <v>0</v>
      </c>
      <c r="F72" s="54">
        <v>0</v>
      </c>
      <c r="G72" s="54">
        <v>1</v>
      </c>
      <c r="H72" s="54">
        <v>0</v>
      </c>
      <c r="I72" s="54">
        <v>16</v>
      </c>
      <c r="J72" s="54">
        <v>3</v>
      </c>
      <c r="K72" s="54">
        <v>2</v>
      </c>
      <c r="L72" s="54">
        <v>2</v>
      </c>
      <c r="M72" s="54">
        <v>1</v>
      </c>
      <c r="N72" s="54">
        <v>4</v>
      </c>
      <c r="O72" s="54">
        <v>0</v>
      </c>
      <c r="P72" s="54">
        <v>0</v>
      </c>
      <c r="Q72" s="54">
        <v>16</v>
      </c>
      <c r="R72" s="54">
        <v>0</v>
      </c>
      <c r="S72" s="54">
        <v>0</v>
      </c>
      <c r="T72" s="54">
        <v>0</v>
      </c>
      <c r="U72" s="54">
        <v>7</v>
      </c>
      <c r="V72" s="54">
        <v>1</v>
      </c>
      <c r="W72" s="54">
        <v>3</v>
      </c>
      <c r="X72" s="54">
        <v>4</v>
      </c>
      <c r="Y72" s="54">
        <v>1</v>
      </c>
      <c r="Z72" s="54">
        <v>0</v>
      </c>
      <c r="AA72" s="54">
        <v>0</v>
      </c>
      <c r="AB72" s="54">
        <v>0</v>
      </c>
      <c r="AC72" s="54">
        <v>0</v>
      </c>
      <c r="AD72" s="55">
        <v>0</v>
      </c>
      <c r="AE72" s="55">
        <v>0</v>
      </c>
      <c r="AF72" s="55"/>
      <c r="AG72" s="5">
        <f t="shared" si="5"/>
        <v>64</v>
      </c>
    </row>
    <row r="73" spans="1:33" ht="15.75" customHeight="1" x14ac:dyDescent="0.25">
      <c r="A73" s="56" t="s">
        <v>22</v>
      </c>
      <c r="B73" s="54">
        <v>0</v>
      </c>
      <c r="C73" s="54">
        <v>4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17</v>
      </c>
      <c r="J73" s="54">
        <v>0</v>
      </c>
      <c r="K73" s="54">
        <v>0</v>
      </c>
      <c r="L73" s="54">
        <v>0</v>
      </c>
      <c r="M73" s="54">
        <v>1</v>
      </c>
      <c r="N73" s="54">
        <v>4</v>
      </c>
      <c r="O73" s="54">
        <v>5</v>
      </c>
      <c r="P73" s="54">
        <v>0</v>
      </c>
      <c r="Q73" s="54">
        <v>2</v>
      </c>
      <c r="R73" s="54">
        <v>1</v>
      </c>
      <c r="S73" s="54">
        <v>0</v>
      </c>
      <c r="T73" s="54">
        <v>0</v>
      </c>
      <c r="U73" s="54">
        <v>1</v>
      </c>
      <c r="V73" s="54">
        <v>1</v>
      </c>
      <c r="W73" s="54">
        <v>0</v>
      </c>
      <c r="X73" s="54">
        <v>4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/>
      <c r="AG73" s="5">
        <f t="shared" si="5"/>
        <v>40</v>
      </c>
    </row>
    <row r="74" spans="1:33" ht="15.75" customHeight="1" x14ac:dyDescent="0.25">
      <c r="A74" s="56" t="s">
        <v>23</v>
      </c>
      <c r="B74" s="54">
        <v>0</v>
      </c>
      <c r="C74" s="54">
        <v>0</v>
      </c>
      <c r="D74" s="54">
        <v>3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1</v>
      </c>
      <c r="K74" s="54">
        <v>1</v>
      </c>
      <c r="L74" s="54">
        <v>0</v>
      </c>
      <c r="M74" s="54">
        <v>0</v>
      </c>
      <c r="N74" s="54">
        <v>0</v>
      </c>
      <c r="O74" s="54">
        <v>3</v>
      </c>
      <c r="P74" s="54">
        <v>2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1</v>
      </c>
      <c r="Y74" s="54">
        <v>3</v>
      </c>
      <c r="Z74" s="54">
        <v>0</v>
      </c>
      <c r="AA74" s="54">
        <v>0</v>
      </c>
      <c r="AB74" s="54">
        <v>1</v>
      </c>
      <c r="AC74" s="54">
        <v>0</v>
      </c>
      <c r="AD74" s="55">
        <v>0</v>
      </c>
      <c r="AE74" s="55">
        <v>0</v>
      </c>
      <c r="AF74" s="55"/>
      <c r="AG74" s="5">
        <f t="shared" si="5"/>
        <v>15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3</v>
      </c>
      <c r="AC75" s="54">
        <v>0</v>
      </c>
      <c r="AD75" s="55">
        <v>0</v>
      </c>
      <c r="AE75" s="55">
        <v>0</v>
      </c>
      <c r="AF75" s="55"/>
      <c r="AG75" s="5">
        <f t="shared" si="5"/>
        <v>3</v>
      </c>
    </row>
    <row r="76" spans="1:33" ht="15.75" customHeight="1" x14ac:dyDescent="0.25">
      <c r="A76" s="56" t="s">
        <v>25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/>
      <c r="AG76" s="5">
        <f t="shared" si="5"/>
        <v>0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1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1</v>
      </c>
      <c r="AD77" s="62">
        <v>0</v>
      </c>
      <c r="AE77" s="62">
        <v>0</v>
      </c>
      <c r="AF77" s="62"/>
      <c r="AG77" s="9">
        <f t="shared" si="5"/>
        <v>2</v>
      </c>
    </row>
    <row r="78" spans="1:33" ht="19.5" customHeight="1" thickBot="1" x14ac:dyDescent="0.3">
      <c r="A78" s="63" t="s">
        <v>29</v>
      </c>
      <c r="B78" s="11">
        <f t="shared" ref="B78:AF78" si="6">SUM(B79:B80)</f>
        <v>218</v>
      </c>
      <c r="C78" s="11">
        <f t="shared" si="6"/>
        <v>175</v>
      </c>
      <c r="D78" s="11">
        <f t="shared" si="6"/>
        <v>154</v>
      </c>
      <c r="E78" s="11">
        <f t="shared" si="6"/>
        <v>236</v>
      </c>
      <c r="F78" s="11">
        <f t="shared" si="6"/>
        <v>272</v>
      </c>
      <c r="G78" s="11">
        <f t="shared" si="6"/>
        <v>235</v>
      </c>
      <c r="H78" s="11">
        <f t="shared" si="6"/>
        <v>177</v>
      </c>
      <c r="I78" s="11">
        <f t="shared" si="6"/>
        <v>175</v>
      </c>
      <c r="J78" s="11">
        <f t="shared" si="6"/>
        <v>163</v>
      </c>
      <c r="K78" s="11">
        <f t="shared" si="6"/>
        <v>175</v>
      </c>
      <c r="L78" s="11">
        <f t="shared" si="6"/>
        <v>269</v>
      </c>
      <c r="M78" s="11">
        <f t="shared" si="6"/>
        <v>295</v>
      </c>
      <c r="N78" s="11">
        <f t="shared" si="6"/>
        <v>224</v>
      </c>
      <c r="O78" s="11">
        <f t="shared" si="6"/>
        <v>213</v>
      </c>
      <c r="P78" s="11">
        <f t="shared" si="6"/>
        <v>185</v>
      </c>
      <c r="Q78" s="11">
        <f t="shared" si="6"/>
        <v>211</v>
      </c>
      <c r="R78" s="11">
        <f t="shared" si="6"/>
        <v>197</v>
      </c>
      <c r="S78" s="11">
        <f t="shared" si="6"/>
        <v>266</v>
      </c>
      <c r="T78" s="11">
        <f t="shared" si="6"/>
        <v>250</v>
      </c>
      <c r="U78" s="11">
        <f t="shared" si="6"/>
        <v>190</v>
      </c>
      <c r="V78" s="11">
        <f t="shared" si="6"/>
        <v>275</v>
      </c>
      <c r="W78" s="11">
        <f t="shared" si="6"/>
        <v>189</v>
      </c>
      <c r="X78" s="11">
        <f t="shared" si="6"/>
        <v>138</v>
      </c>
      <c r="Y78" s="11">
        <f t="shared" si="6"/>
        <v>136</v>
      </c>
      <c r="Z78" s="11">
        <f t="shared" si="6"/>
        <v>167</v>
      </c>
      <c r="AA78" s="11">
        <f t="shared" si="6"/>
        <v>177</v>
      </c>
      <c r="AB78" s="11">
        <f t="shared" si="6"/>
        <v>233</v>
      </c>
      <c r="AC78" s="11">
        <f t="shared" si="6"/>
        <v>218</v>
      </c>
      <c r="AD78" s="11">
        <f t="shared" si="6"/>
        <v>212</v>
      </c>
      <c r="AE78" s="11">
        <f t="shared" si="6"/>
        <v>169</v>
      </c>
      <c r="AF78" s="11">
        <f t="shared" si="6"/>
        <v>0</v>
      </c>
      <c r="AG78" s="10">
        <f t="shared" si="5"/>
        <v>6194</v>
      </c>
    </row>
    <row r="79" spans="1:33" ht="19.5" customHeight="1" x14ac:dyDescent="0.25">
      <c r="A79" s="64" t="s">
        <v>30</v>
      </c>
      <c r="B79" s="3">
        <f t="shared" ref="B79" si="7">SUM(B4:B27)-B80</f>
        <v>218</v>
      </c>
      <c r="C79" s="3">
        <f t="shared" ref="C79" si="8">SUM(C4:C27)-C80</f>
        <v>175</v>
      </c>
      <c r="D79" s="3">
        <f t="shared" ref="D79:AF79" si="9">SUM(D4:D27)-D80</f>
        <v>154</v>
      </c>
      <c r="E79" s="3">
        <f t="shared" si="9"/>
        <v>236</v>
      </c>
      <c r="F79" s="3">
        <f t="shared" si="9"/>
        <v>272</v>
      </c>
      <c r="G79" s="3">
        <f t="shared" si="9"/>
        <v>235</v>
      </c>
      <c r="H79" s="3">
        <f t="shared" si="9"/>
        <v>177</v>
      </c>
      <c r="I79" s="3">
        <f t="shared" si="9"/>
        <v>175</v>
      </c>
      <c r="J79" s="3">
        <f t="shared" si="9"/>
        <v>163</v>
      </c>
      <c r="K79" s="3">
        <f t="shared" si="9"/>
        <v>175</v>
      </c>
      <c r="L79" s="3">
        <f t="shared" si="9"/>
        <v>269</v>
      </c>
      <c r="M79" s="3">
        <f t="shared" si="9"/>
        <v>295</v>
      </c>
      <c r="N79" s="3">
        <f t="shared" si="9"/>
        <v>224</v>
      </c>
      <c r="O79" s="3">
        <f t="shared" si="9"/>
        <v>213</v>
      </c>
      <c r="P79" s="3">
        <f t="shared" si="9"/>
        <v>185</v>
      </c>
      <c r="Q79" s="3">
        <f t="shared" si="9"/>
        <v>211</v>
      </c>
      <c r="R79" s="3">
        <f t="shared" si="9"/>
        <v>197</v>
      </c>
      <c r="S79" s="3">
        <f t="shared" si="9"/>
        <v>266</v>
      </c>
      <c r="T79" s="3">
        <f t="shared" si="9"/>
        <v>250</v>
      </c>
      <c r="U79" s="3">
        <f t="shared" si="9"/>
        <v>190</v>
      </c>
      <c r="V79" s="3">
        <f t="shared" si="9"/>
        <v>275</v>
      </c>
      <c r="W79" s="3">
        <f t="shared" si="9"/>
        <v>189</v>
      </c>
      <c r="X79" s="3">
        <f t="shared" si="9"/>
        <v>138</v>
      </c>
      <c r="Y79" s="3">
        <f t="shared" si="9"/>
        <v>136</v>
      </c>
      <c r="Z79" s="3">
        <f t="shared" si="9"/>
        <v>167</v>
      </c>
      <c r="AA79" s="3">
        <f t="shared" si="9"/>
        <v>177</v>
      </c>
      <c r="AB79" s="3">
        <f t="shared" si="9"/>
        <v>233</v>
      </c>
      <c r="AC79" s="3">
        <f t="shared" si="9"/>
        <v>218</v>
      </c>
      <c r="AD79" s="3">
        <f t="shared" si="9"/>
        <v>212</v>
      </c>
      <c r="AE79" s="3">
        <f t="shared" si="9"/>
        <v>169</v>
      </c>
      <c r="AF79" s="3">
        <f t="shared" si="9"/>
        <v>0</v>
      </c>
      <c r="AG79" s="4">
        <f t="shared" si="5"/>
        <v>6194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9</v>
      </c>
      <c r="C81" s="12">
        <f t="shared" si="10"/>
        <v>23</v>
      </c>
      <c r="D81" s="12">
        <f t="shared" si="10"/>
        <v>7</v>
      </c>
      <c r="E81" s="12">
        <f t="shared" si="10"/>
        <v>1</v>
      </c>
      <c r="F81" s="12">
        <f t="shared" si="10"/>
        <v>23</v>
      </c>
      <c r="G81" s="12">
        <f t="shared" si="10"/>
        <v>33</v>
      </c>
      <c r="H81" s="12">
        <f t="shared" si="10"/>
        <v>31</v>
      </c>
      <c r="I81" s="12">
        <f t="shared" si="10"/>
        <v>51</v>
      </c>
      <c r="J81" s="12">
        <f t="shared" si="10"/>
        <v>38</v>
      </c>
      <c r="K81" s="12">
        <f t="shared" si="10"/>
        <v>31</v>
      </c>
      <c r="L81" s="12">
        <f t="shared" si="10"/>
        <v>24</v>
      </c>
      <c r="M81" s="12">
        <f t="shared" si="10"/>
        <v>16</v>
      </c>
      <c r="N81" s="12">
        <f t="shared" si="10"/>
        <v>39</v>
      </c>
      <c r="O81" s="12">
        <f t="shared" si="10"/>
        <v>49</v>
      </c>
      <c r="P81" s="12">
        <f t="shared" si="10"/>
        <v>19</v>
      </c>
      <c r="Q81" s="12">
        <f t="shared" si="10"/>
        <v>48</v>
      </c>
      <c r="R81" s="12">
        <f t="shared" si="10"/>
        <v>28</v>
      </c>
      <c r="S81" s="12">
        <f t="shared" si="10"/>
        <v>21</v>
      </c>
      <c r="T81" s="12">
        <f t="shared" si="10"/>
        <v>37</v>
      </c>
      <c r="U81" s="12">
        <f t="shared" si="10"/>
        <v>31</v>
      </c>
      <c r="V81" s="12">
        <f t="shared" si="10"/>
        <v>33</v>
      </c>
      <c r="W81" s="12">
        <f t="shared" si="10"/>
        <v>20</v>
      </c>
      <c r="X81" s="12">
        <f t="shared" si="10"/>
        <v>28</v>
      </c>
      <c r="Y81" s="12">
        <f t="shared" si="10"/>
        <v>15</v>
      </c>
      <c r="Z81" s="12">
        <f t="shared" si="10"/>
        <v>3</v>
      </c>
      <c r="AA81" s="12">
        <f t="shared" si="10"/>
        <v>6</v>
      </c>
      <c r="AB81" s="12">
        <f t="shared" si="10"/>
        <v>14</v>
      </c>
      <c r="AC81" s="12">
        <f t="shared" si="10"/>
        <v>9</v>
      </c>
      <c r="AD81" s="12">
        <f t="shared" si="10"/>
        <v>19</v>
      </c>
      <c r="AE81" s="12">
        <f t="shared" si="10"/>
        <v>4</v>
      </c>
      <c r="AF81" s="12">
        <f t="shared" si="10"/>
        <v>0</v>
      </c>
      <c r="AG81" s="10">
        <f t="shared" si="5"/>
        <v>710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3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4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5</v>
      </c>
      <c r="M82" s="3">
        <f t="shared" si="11"/>
        <v>1</v>
      </c>
      <c r="N82" s="3">
        <f t="shared" si="11"/>
        <v>0</v>
      </c>
      <c r="O82" s="3">
        <f t="shared" si="11"/>
        <v>0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4</v>
      </c>
      <c r="T82" s="3">
        <f t="shared" si="11"/>
        <v>6</v>
      </c>
      <c r="U82" s="3">
        <f t="shared" si="11"/>
        <v>0</v>
      </c>
      <c r="V82" s="3">
        <f t="shared" si="11"/>
        <v>2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1</v>
      </c>
      <c r="AA82" s="3">
        <f t="shared" si="11"/>
        <v>1</v>
      </c>
      <c r="AB82" s="3">
        <f t="shared" si="11"/>
        <v>3</v>
      </c>
      <c r="AC82" s="3">
        <f t="shared" si="11"/>
        <v>5</v>
      </c>
      <c r="AD82" s="3">
        <f t="shared" si="11"/>
        <v>7</v>
      </c>
      <c r="AE82" s="3">
        <f t="shared" si="11"/>
        <v>4</v>
      </c>
      <c r="AF82" s="3">
        <f t="shared" si="11"/>
        <v>0</v>
      </c>
      <c r="AG82" s="4">
        <f t="shared" si="5"/>
        <v>46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6</v>
      </c>
      <c r="C83" s="8">
        <f t="shared" si="12"/>
        <v>23</v>
      </c>
      <c r="D83" s="8">
        <f t="shared" si="12"/>
        <v>7</v>
      </c>
      <c r="E83" s="8">
        <f t="shared" si="12"/>
        <v>1</v>
      </c>
      <c r="F83" s="8">
        <f t="shared" si="12"/>
        <v>19</v>
      </c>
      <c r="G83" s="8">
        <f t="shared" si="12"/>
        <v>33</v>
      </c>
      <c r="H83" s="8">
        <f t="shared" si="12"/>
        <v>31</v>
      </c>
      <c r="I83" s="8">
        <f t="shared" si="12"/>
        <v>51</v>
      </c>
      <c r="J83" s="8">
        <f t="shared" si="12"/>
        <v>38</v>
      </c>
      <c r="K83" s="8">
        <f t="shared" si="12"/>
        <v>31</v>
      </c>
      <c r="L83" s="8">
        <f t="shared" si="12"/>
        <v>19</v>
      </c>
      <c r="M83" s="8">
        <f t="shared" si="12"/>
        <v>15</v>
      </c>
      <c r="N83" s="8">
        <f t="shared" si="12"/>
        <v>39</v>
      </c>
      <c r="O83" s="8">
        <f t="shared" si="12"/>
        <v>49</v>
      </c>
      <c r="P83" s="8">
        <f t="shared" si="12"/>
        <v>19</v>
      </c>
      <c r="Q83" s="8">
        <f t="shared" si="12"/>
        <v>48</v>
      </c>
      <c r="R83" s="8">
        <f t="shared" si="12"/>
        <v>28</v>
      </c>
      <c r="S83" s="8">
        <f t="shared" si="12"/>
        <v>17</v>
      </c>
      <c r="T83" s="8">
        <f t="shared" si="12"/>
        <v>31</v>
      </c>
      <c r="U83" s="8">
        <f t="shared" si="12"/>
        <v>31</v>
      </c>
      <c r="V83" s="8">
        <f t="shared" si="12"/>
        <v>31</v>
      </c>
      <c r="W83" s="8">
        <f t="shared" si="12"/>
        <v>20</v>
      </c>
      <c r="X83" s="8">
        <f t="shared" si="12"/>
        <v>28</v>
      </c>
      <c r="Y83" s="8">
        <f t="shared" si="12"/>
        <v>15</v>
      </c>
      <c r="Z83" s="8">
        <f t="shared" si="12"/>
        <v>2</v>
      </c>
      <c r="AA83" s="8">
        <f t="shared" si="12"/>
        <v>5</v>
      </c>
      <c r="AB83" s="8">
        <f t="shared" si="12"/>
        <v>11</v>
      </c>
      <c r="AC83" s="8">
        <f t="shared" si="12"/>
        <v>4</v>
      </c>
      <c r="AD83" s="8">
        <f t="shared" si="12"/>
        <v>12</v>
      </c>
      <c r="AE83" s="8">
        <f t="shared" si="12"/>
        <v>0</v>
      </c>
      <c r="AF83" s="8">
        <f t="shared" si="12"/>
        <v>0</v>
      </c>
      <c r="AG83" s="5">
        <f t="shared" si="5"/>
        <v>664</v>
      </c>
    </row>
    <row r="84" spans="1:34" ht="15.75" customHeight="1" thickBot="1" x14ac:dyDescent="0.3">
      <c r="A84" s="67" t="s">
        <v>33</v>
      </c>
      <c r="B84" s="14">
        <f t="shared" ref="B84:AF84" si="13">SUM(B85:B86)</f>
        <v>9</v>
      </c>
      <c r="C84" s="14">
        <f t="shared" si="13"/>
        <v>23</v>
      </c>
      <c r="D84" s="14">
        <f t="shared" si="13"/>
        <v>7</v>
      </c>
      <c r="E84" s="14">
        <f t="shared" si="13"/>
        <v>1</v>
      </c>
      <c r="F84" s="14">
        <f t="shared" si="13"/>
        <v>23</v>
      </c>
      <c r="G84" s="14">
        <f t="shared" si="13"/>
        <v>33</v>
      </c>
      <c r="H84" s="14">
        <f t="shared" si="13"/>
        <v>31</v>
      </c>
      <c r="I84" s="14">
        <f t="shared" si="13"/>
        <v>51</v>
      </c>
      <c r="J84" s="14">
        <f t="shared" si="13"/>
        <v>38</v>
      </c>
      <c r="K84" s="14">
        <f t="shared" si="13"/>
        <v>31</v>
      </c>
      <c r="L84" s="14">
        <f t="shared" si="13"/>
        <v>24</v>
      </c>
      <c r="M84" s="14">
        <f t="shared" si="13"/>
        <v>16</v>
      </c>
      <c r="N84" s="14">
        <f t="shared" si="13"/>
        <v>39</v>
      </c>
      <c r="O84" s="14">
        <f t="shared" si="13"/>
        <v>49</v>
      </c>
      <c r="P84" s="14">
        <f t="shared" si="13"/>
        <v>19</v>
      </c>
      <c r="Q84" s="14">
        <f t="shared" si="13"/>
        <v>48</v>
      </c>
      <c r="R84" s="14">
        <f t="shared" si="13"/>
        <v>28</v>
      </c>
      <c r="S84" s="14">
        <f t="shared" si="13"/>
        <v>21</v>
      </c>
      <c r="T84" s="14">
        <f t="shared" si="13"/>
        <v>37</v>
      </c>
      <c r="U84" s="14">
        <f t="shared" si="13"/>
        <v>31</v>
      </c>
      <c r="V84" s="14">
        <f t="shared" si="13"/>
        <v>33</v>
      </c>
      <c r="W84" s="14">
        <f t="shared" si="13"/>
        <v>20</v>
      </c>
      <c r="X84" s="14">
        <f t="shared" si="13"/>
        <v>28</v>
      </c>
      <c r="Y84" s="14">
        <f t="shared" si="13"/>
        <v>15</v>
      </c>
      <c r="Z84" s="14">
        <f t="shared" si="13"/>
        <v>3</v>
      </c>
      <c r="AA84" s="14">
        <f t="shared" si="13"/>
        <v>6</v>
      </c>
      <c r="AB84" s="14">
        <f t="shared" si="13"/>
        <v>14</v>
      </c>
      <c r="AC84" s="14">
        <f t="shared" si="13"/>
        <v>9</v>
      </c>
      <c r="AD84" s="14">
        <f t="shared" si="13"/>
        <v>19</v>
      </c>
      <c r="AE84" s="14">
        <f t="shared" si="13"/>
        <v>4</v>
      </c>
      <c r="AF84" s="14">
        <f t="shared" si="13"/>
        <v>0</v>
      </c>
      <c r="AG84" s="15">
        <f t="shared" si="5"/>
        <v>710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3</v>
      </c>
      <c r="C85" s="69">
        <v>6</v>
      </c>
      <c r="D85" s="69">
        <v>0</v>
      </c>
      <c r="E85" s="69">
        <v>0</v>
      </c>
      <c r="F85" s="69">
        <v>4</v>
      </c>
      <c r="G85" s="69">
        <v>8</v>
      </c>
      <c r="H85" s="69">
        <v>3</v>
      </c>
      <c r="I85" s="69">
        <v>18</v>
      </c>
      <c r="J85" s="69">
        <v>7</v>
      </c>
      <c r="K85" s="69">
        <v>9</v>
      </c>
      <c r="L85" s="69">
        <v>2</v>
      </c>
      <c r="M85" s="69">
        <v>5</v>
      </c>
      <c r="N85" s="69">
        <v>11</v>
      </c>
      <c r="O85" s="69">
        <v>12</v>
      </c>
      <c r="P85" s="69">
        <v>3</v>
      </c>
      <c r="Q85" s="69">
        <v>6</v>
      </c>
      <c r="R85" s="69">
        <v>2</v>
      </c>
      <c r="S85" s="69">
        <v>3</v>
      </c>
      <c r="T85" s="69">
        <v>9</v>
      </c>
      <c r="U85" s="69">
        <v>6</v>
      </c>
      <c r="V85" s="69">
        <v>4</v>
      </c>
      <c r="W85" s="69">
        <v>5</v>
      </c>
      <c r="X85" s="69">
        <v>5</v>
      </c>
      <c r="Y85" s="69">
        <v>1</v>
      </c>
      <c r="Z85" s="69">
        <v>1</v>
      </c>
      <c r="AA85" s="69">
        <v>2</v>
      </c>
      <c r="AB85" s="69">
        <v>3</v>
      </c>
      <c r="AC85" s="69">
        <v>2</v>
      </c>
      <c r="AD85" s="69">
        <v>2</v>
      </c>
      <c r="AE85" s="69">
        <v>2</v>
      </c>
      <c r="AF85" s="69"/>
      <c r="AG85" s="16">
        <f t="shared" si="5"/>
        <v>144</v>
      </c>
    </row>
    <row r="86" spans="1:34" ht="15.75" customHeight="1" thickBot="1" x14ac:dyDescent="0.3">
      <c r="A86" s="70" t="s">
        <v>35</v>
      </c>
      <c r="B86" s="71">
        <v>6</v>
      </c>
      <c r="C86" s="71">
        <v>17</v>
      </c>
      <c r="D86" s="71">
        <v>7</v>
      </c>
      <c r="E86" s="71">
        <v>1</v>
      </c>
      <c r="F86" s="71">
        <v>19</v>
      </c>
      <c r="G86" s="71">
        <v>25</v>
      </c>
      <c r="H86" s="71">
        <v>28</v>
      </c>
      <c r="I86" s="71">
        <v>33</v>
      </c>
      <c r="J86" s="71">
        <v>31</v>
      </c>
      <c r="K86" s="71">
        <v>22</v>
      </c>
      <c r="L86" s="71">
        <v>22</v>
      </c>
      <c r="M86" s="71">
        <v>11</v>
      </c>
      <c r="N86" s="71">
        <v>28</v>
      </c>
      <c r="O86" s="71">
        <v>37</v>
      </c>
      <c r="P86" s="71">
        <v>16</v>
      </c>
      <c r="Q86" s="71">
        <v>42</v>
      </c>
      <c r="R86" s="71">
        <v>26</v>
      </c>
      <c r="S86" s="71">
        <v>18</v>
      </c>
      <c r="T86" s="71">
        <v>28</v>
      </c>
      <c r="U86" s="71">
        <v>25</v>
      </c>
      <c r="V86" s="71">
        <v>29</v>
      </c>
      <c r="W86" s="71">
        <v>15</v>
      </c>
      <c r="X86" s="71">
        <v>23</v>
      </c>
      <c r="Y86" s="71">
        <v>14</v>
      </c>
      <c r="Z86" s="71">
        <v>2</v>
      </c>
      <c r="AA86" s="71">
        <v>4</v>
      </c>
      <c r="AB86" s="71">
        <v>11</v>
      </c>
      <c r="AC86" s="71">
        <v>7</v>
      </c>
      <c r="AD86" s="71">
        <v>17</v>
      </c>
      <c r="AE86" s="71">
        <v>2</v>
      </c>
      <c r="AF86" s="71"/>
      <c r="AG86" s="17">
        <f t="shared" si="5"/>
        <v>566</v>
      </c>
    </row>
    <row r="87" spans="1:34" ht="15.75" customHeight="1" thickBot="1" x14ac:dyDescent="0.3">
      <c r="A87" s="72" t="s">
        <v>36</v>
      </c>
      <c r="B87" s="18">
        <f t="shared" ref="B87:AF87" si="14">SUM(B88:B92)</f>
        <v>9</v>
      </c>
      <c r="C87" s="18">
        <f t="shared" si="14"/>
        <v>23</v>
      </c>
      <c r="D87" s="18">
        <f t="shared" si="14"/>
        <v>7</v>
      </c>
      <c r="E87" s="18">
        <f t="shared" si="14"/>
        <v>1</v>
      </c>
      <c r="F87" s="18">
        <f t="shared" si="14"/>
        <v>23</v>
      </c>
      <c r="G87" s="18">
        <f t="shared" si="14"/>
        <v>33</v>
      </c>
      <c r="H87" s="18">
        <f t="shared" si="14"/>
        <v>31</v>
      </c>
      <c r="I87" s="18">
        <f t="shared" si="14"/>
        <v>51</v>
      </c>
      <c r="J87" s="18">
        <f t="shared" si="14"/>
        <v>38</v>
      </c>
      <c r="K87" s="18">
        <f t="shared" si="14"/>
        <v>31</v>
      </c>
      <c r="L87" s="18">
        <f t="shared" si="14"/>
        <v>24</v>
      </c>
      <c r="M87" s="18">
        <f t="shared" si="14"/>
        <v>16</v>
      </c>
      <c r="N87" s="18">
        <f t="shared" si="14"/>
        <v>39</v>
      </c>
      <c r="O87" s="18">
        <f t="shared" si="14"/>
        <v>49</v>
      </c>
      <c r="P87" s="18">
        <f t="shared" si="14"/>
        <v>19</v>
      </c>
      <c r="Q87" s="18">
        <f t="shared" si="14"/>
        <v>48</v>
      </c>
      <c r="R87" s="18">
        <f t="shared" si="14"/>
        <v>28</v>
      </c>
      <c r="S87" s="18">
        <f t="shared" si="14"/>
        <v>21</v>
      </c>
      <c r="T87" s="18">
        <f t="shared" si="14"/>
        <v>37</v>
      </c>
      <c r="U87" s="18">
        <f t="shared" si="14"/>
        <v>31</v>
      </c>
      <c r="V87" s="18">
        <f t="shared" si="14"/>
        <v>33</v>
      </c>
      <c r="W87" s="18">
        <f t="shared" si="14"/>
        <v>20</v>
      </c>
      <c r="X87" s="18">
        <f t="shared" si="14"/>
        <v>28</v>
      </c>
      <c r="Y87" s="18">
        <f t="shared" si="14"/>
        <v>15</v>
      </c>
      <c r="Z87" s="18">
        <f t="shared" si="14"/>
        <v>3</v>
      </c>
      <c r="AA87" s="18">
        <f t="shared" si="14"/>
        <v>6</v>
      </c>
      <c r="AB87" s="18">
        <f t="shared" si="14"/>
        <v>14</v>
      </c>
      <c r="AC87" s="18">
        <f t="shared" si="14"/>
        <v>9</v>
      </c>
      <c r="AD87" s="18">
        <f t="shared" si="14"/>
        <v>19</v>
      </c>
      <c r="AE87" s="18">
        <f t="shared" si="14"/>
        <v>4</v>
      </c>
      <c r="AF87" s="18">
        <f t="shared" si="14"/>
        <v>0</v>
      </c>
      <c r="AG87" s="19">
        <f t="shared" si="5"/>
        <v>710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1</v>
      </c>
      <c r="C88" s="60">
        <v>4</v>
      </c>
      <c r="D88" s="60">
        <v>2</v>
      </c>
      <c r="E88" s="60">
        <v>1</v>
      </c>
      <c r="F88" s="60">
        <v>6</v>
      </c>
      <c r="G88" s="60">
        <v>9</v>
      </c>
      <c r="H88" s="60">
        <v>3</v>
      </c>
      <c r="I88" s="60">
        <v>5</v>
      </c>
      <c r="J88" s="60">
        <v>4</v>
      </c>
      <c r="K88" s="60">
        <v>7</v>
      </c>
      <c r="L88" s="60">
        <v>5</v>
      </c>
      <c r="M88" s="60">
        <v>2</v>
      </c>
      <c r="N88" s="60">
        <v>8</v>
      </c>
      <c r="O88" s="60">
        <v>5</v>
      </c>
      <c r="P88" s="60">
        <v>1</v>
      </c>
      <c r="Q88" s="60">
        <v>7</v>
      </c>
      <c r="R88" s="60">
        <v>9</v>
      </c>
      <c r="S88" s="60">
        <v>6</v>
      </c>
      <c r="T88" s="60">
        <v>11</v>
      </c>
      <c r="U88" s="60">
        <v>2</v>
      </c>
      <c r="V88" s="60">
        <v>5</v>
      </c>
      <c r="W88" s="60">
        <v>2</v>
      </c>
      <c r="X88" s="60">
        <v>6</v>
      </c>
      <c r="Y88" s="60">
        <v>2</v>
      </c>
      <c r="Z88" s="60">
        <v>0</v>
      </c>
      <c r="AA88" s="60">
        <v>1</v>
      </c>
      <c r="AB88" s="60">
        <v>4</v>
      </c>
      <c r="AC88" s="60">
        <v>6</v>
      </c>
      <c r="AD88" s="60">
        <v>6</v>
      </c>
      <c r="AE88" s="60">
        <v>4</v>
      </c>
      <c r="AF88" s="60"/>
      <c r="AG88" s="4">
        <f t="shared" si="5"/>
        <v>134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/>
      <c r="AG89" s="5">
        <f t="shared" si="5"/>
        <v>0</v>
      </c>
    </row>
    <row r="90" spans="1:34" ht="15.75" customHeight="1" x14ac:dyDescent="0.25">
      <c r="A90" s="74" t="s">
        <v>39</v>
      </c>
      <c r="B90" s="60">
        <v>1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60">
        <v>0</v>
      </c>
      <c r="I90" s="60">
        <v>0</v>
      </c>
      <c r="J90" s="60">
        <v>1</v>
      </c>
      <c r="K90" s="60">
        <v>1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1</v>
      </c>
      <c r="R90" s="60">
        <v>0</v>
      </c>
      <c r="S90" s="60">
        <v>2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0</v>
      </c>
      <c r="AD90" s="60">
        <v>1</v>
      </c>
      <c r="AE90" s="60">
        <v>0</v>
      </c>
      <c r="AF90" s="60"/>
      <c r="AG90" s="5">
        <f t="shared" si="5"/>
        <v>7</v>
      </c>
    </row>
    <row r="91" spans="1:34" ht="15.75" customHeight="1" x14ac:dyDescent="0.25">
      <c r="A91" s="74" t="s">
        <v>40</v>
      </c>
      <c r="B91" s="60">
        <v>0</v>
      </c>
      <c r="C91" s="60">
        <v>11</v>
      </c>
      <c r="D91" s="60">
        <v>3</v>
      </c>
      <c r="E91" s="60">
        <v>0</v>
      </c>
      <c r="F91" s="60">
        <v>14</v>
      </c>
      <c r="G91" s="60">
        <v>11</v>
      </c>
      <c r="H91" s="60">
        <v>10</v>
      </c>
      <c r="I91" s="60">
        <v>29</v>
      </c>
      <c r="J91" s="60">
        <v>30</v>
      </c>
      <c r="K91" s="60">
        <v>20</v>
      </c>
      <c r="L91" s="60">
        <v>18</v>
      </c>
      <c r="M91" s="60">
        <v>4</v>
      </c>
      <c r="N91" s="60">
        <v>25</v>
      </c>
      <c r="O91" s="60">
        <v>36</v>
      </c>
      <c r="P91" s="60">
        <v>5</v>
      </c>
      <c r="Q91" s="60">
        <v>38</v>
      </c>
      <c r="R91" s="60">
        <v>15</v>
      </c>
      <c r="S91" s="60">
        <v>5</v>
      </c>
      <c r="T91" s="60">
        <v>13</v>
      </c>
      <c r="U91" s="60">
        <v>13</v>
      </c>
      <c r="V91" s="60">
        <v>15</v>
      </c>
      <c r="W91" s="60">
        <v>14</v>
      </c>
      <c r="X91" s="60">
        <v>20</v>
      </c>
      <c r="Y91" s="60">
        <v>6</v>
      </c>
      <c r="Z91" s="60">
        <v>3</v>
      </c>
      <c r="AA91" s="60">
        <v>3</v>
      </c>
      <c r="AB91" s="60">
        <v>9</v>
      </c>
      <c r="AC91" s="60">
        <v>3</v>
      </c>
      <c r="AD91" s="60">
        <v>10</v>
      </c>
      <c r="AE91" s="60">
        <v>0</v>
      </c>
      <c r="AF91" s="60"/>
      <c r="AG91" s="5">
        <f t="shared" si="5"/>
        <v>383</v>
      </c>
    </row>
    <row r="92" spans="1:34" ht="15.75" customHeight="1" thickBot="1" x14ac:dyDescent="0.3">
      <c r="A92" s="74" t="s">
        <v>41</v>
      </c>
      <c r="B92" s="60">
        <v>7</v>
      </c>
      <c r="C92" s="60">
        <v>8</v>
      </c>
      <c r="D92" s="60">
        <v>2</v>
      </c>
      <c r="E92" s="60">
        <v>0</v>
      </c>
      <c r="F92" s="60">
        <v>3</v>
      </c>
      <c r="G92" s="60">
        <v>13</v>
      </c>
      <c r="H92" s="60">
        <v>18</v>
      </c>
      <c r="I92" s="60">
        <v>17</v>
      </c>
      <c r="J92" s="60">
        <v>3</v>
      </c>
      <c r="K92" s="60">
        <v>3</v>
      </c>
      <c r="L92" s="60">
        <v>1</v>
      </c>
      <c r="M92" s="60">
        <v>10</v>
      </c>
      <c r="N92" s="60">
        <v>6</v>
      </c>
      <c r="O92" s="60">
        <v>8</v>
      </c>
      <c r="P92" s="60">
        <v>13</v>
      </c>
      <c r="Q92" s="60">
        <v>2</v>
      </c>
      <c r="R92" s="60">
        <v>4</v>
      </c>
      <c r="S92" s="60">
        <v>8</v>
      </c>
      <c r="T92" s="60">
        <v>13</v>
      </c>
      <c r="U92" s="60">
        <v>16</v>
      </c>
      <c r="V92" s="60">
        <v>13</v>
      </c>
      <c r="W92" s="60">
        <v>4</v>
      </c>
      <c r="X92" s="60">
        <v>2</v>
      </c>
      <c r="Y92" s="60">
        <v>7</v>
      </c>
      <c r="Z92" s="60">
        <v>0</v>
      </c>
      <c r="AA92" s="60">
        <v>2</v>
      </c>
      <c r="AB92" s="60">
        <v>1</v>
      </c>
      <c r="AC92" s="60">
        <v>0</v>
      </c>
      <c r="AD92" s="60">
        <v>2</v>
      </c>
      <c r="AE92" s="60">
        <v>0</v>
      </c>
      <c r="AF92" s="60"/>
      <c r="AG92" s="5">
        <f t="shared" si="5"/>
        <v>186</v>
      </c>
    </row>
    <row r="93" spans="1:34" ht="15.75" customHeight="1" x14ac:dyDescent="0.25">
      <c r="A93" s="75" t="s">
        <v>42</v>
      </c>
      <c r="B93" s="20">
        <f t="shared" ref="B93:AF93" si="15">+B94+B100</f>
        <v>209</v>
      </c>
      <c r="C93" s="20">
        <f t="shared" si="15"/>
        <v>152</v>
      </c>
      <c r="D93" s="20">
        <f t="shared" si="15"/>
        <v>147</v>
      </c>
      <c r="E93" s="20">
        <f t="shared" si="15"/>
        <v>235</v>
      </c>
      <c r="F93" s="20">
        <f t="shared" si="15"/>
        <v>249</v>
      </c>
      <c r="G93" s="20">
        <f t="shared" si="15"/>
        <v>202</v>
      </c>
      <c r="H93" s="20">
        <f t="shared" si="15"/>
        <v>146</v>
      </c>
      <c r="I93" s="20">
        <f t="shared" si="15"/>
        <v>124</v>
      </c>
      <c r="J93" s="20">
        <f t="shared" si="15"/>
        <v>125</v>
      </c>
      <c r="K93" s="20">
        <f t="shared" si="15"/>
        <v>144</v>
      </c>
      <c r="L93" s="20">
        <f t="shared" si="15"/>
        <v>245</v>
      </c>
      <c r="M93" s="20">
        <f t="shared" si="15"/>
        <v>279</v>
      </c>
      <c r="N93" s="20">
        <f t="shared" si="15"/>
        <v>185</v>
      </c>
      <c r="O93" s="20">
        <f t="shared" si="15"/>
        <v>164</v>
      </c>
      <c r="P93" s="20">
        <f t="shared" si="15"/>
        <v>166</v>
      </c>
      <c r="Q93" s="20">
        <f t="shared" si="15"/>
        <v>163</v>
      </c>
      <c r="R93" s="20">
        <f t="shared" si="15"/>
        <v>169</v>
      </c>
      <c r="S93" s="20">
        <f t="shared" si="15"/>
        <v>245</v>
      </c>
      <c r="T93" s="20">
        <f t="shared" si="15"/>
        <v>213</v>
      </c>
      <c r="U93" s="20">
        <f t="shared" si="15"/>
        <v>159</v>
      </c>
      <c r="V93" s="20">
        <f t="shared" si="15"/>
        <v>242</v>
      </c>
      <c r="W93" s="20">
        <f t="shared" si="15"/>
        <v>169</v>
      </c>
      <c r="X93" s="20">
        <f t="shared" si="15"/>
        <v>110</v>
      </c>
      <c r="Y93" s="20">
        <f t="shared" si="15"/>
        <v>121</v>
      </c>
      <c r="Z93" s="20">
        <f t="shared" si="15"/>
        <v>164</v>
      </c>
      <c r="AA93" s="20">
        <f t="shared" si="15"/>
        <v>171</v>
      </c>
      <c r="AB93" s="20">
        <f t="shared" si="15"/>
        <v>219</v>
      </c>
      <c r="AC93" s="20">
        <f t="shared" si="15"/>
        <v>209</v>
      </c>
      <c r="AD93" s="20">
        <f t="shared" si="15"/>
        <v>193</v>
      </c>
      <c r="AE93" s="20">
        <f t="shared" si="15"/>
        <v>165</v>
      </c>
      <c r="AF93" s="20">
        <f t="shared" si="15"/>
        <v>0</v>
      </c>
      <c r="AG93" s="5">
        <f t="shared" si="5"/>
        <v>5484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51</v>
      </c>
      <c r="C94" s="21">
        <f t="shared" si="16"/>
        <v>29</v>
      </c>
      <c r="D94" s="21">
        <f t="shared" si="16"/>
        <v>30</v>
      </c>
      <c r="E94" s="21">
        <f t="shared" si="16"/>
        <v>45</v>
      </c>
      <c r="F94" s="21">
        <f t="shared" si="16"/>
        <v>66</v>
      </c>
      <c r="G94" s="21">
        <f t="shared" si="16"/>
        <v>47</v>
      </c>
      <c r="H94" s="21">
        <f t="shared" si="16"/>
        <v>26</v>
      </c>
      <c r="I94" s="21">
        <f t="shared" si="16"/>
        <v>34</v>
      </c>
      <c r="J94" s="21">
        <f t="shared" si="16"/>
        <v>34</v>
      </c>
      <c r="K94" s="21">
        <f t="shared" si="16"/>
        <v>31</v>
      </c>
      <c r="L94" s="21">
        <f t="shared" si="16"/>
        <v>53</v>
      </c>
      <c r="M94" s="21">
        <f t="shared" si="16"/>
        <v>71</v>
      </c>
      <c r="N94" s="21">
        <f t="shared" si="16"/>
        <v>52</v>
      </c>
      <c r="O94" s="21">
        <f t="shared" si="16"/>
        <v>33</v>
      </c>
      <c r="P94" s="21">
        <f t="shared" si="16"/>
        <v>56</v>
      </c>
      <c r="Q94" s="21">
        <f t="shared" si="16"/>
        <v>39</v>
      </c>
      <c r="R94" s="21">
        <f t="shared" si="16"/>
        <v>34</v>
      </c>
      <c r="S94" s="21">
        <f t="shared" si="16"/>
        <v>53</v>
      </c>
      <c r="T94" s="21">
        <f t="shared" si="16"/>
        <v>42</v>
      </c>
      <c r="U94" s="21">
        <f t="shared" si="16"/>
        <v>30</v>
      </c>
      <c r="V94" s="21">
        <f t="shared" si="16"/>
        <v>45</v>
      </c>
      <c r="W94" s="21">
        <f t="shared" si="16"/>
        <v>32</v>
      </c>
      <c r="X94" s="21">
        <f t="shared" si="16"/>
        <v>20</v>
      </c>
      <c r="Y94" s="21">
        <f t="shared" si="16"/>
        <v>18</v>
      </c>
      <c r="Z94" s="21">
        <f t="shared" si="16"/>
        <v>24</v>
      </c>
      <c r="AA94" s="21">
        <f t="shared" si="16"/>
        <v>32</v>
      </c>
      <c r="AB94" s="21">
        <f t="shared" si="16"/>
        <v>29</v>
      </c>
      <c r="AC94" s="21">
        <f t="shared" si="16"/>
        <v>35</v>
      </c>
      <c r="AD94" s="21">
        <f t="shared" si="16"/>
        <v>30</v>
      </c>
      <c r="AE94" s="21">
        <f t="shared" si="16"/>
        <v>27</v>
      </c>
      <c r="AF94" s="21">
        <f t="shared" si="16"/>
        <v>0</v>
      </c>
      <c r="AG94" s="5">
        <f t="shared" si="5"/>
        <v>1148</v>
      </c>
    </row>
    <row r="95" spans="1:34" ht="15.75" customHeight="1" x14ac:dyDescent="0.25">
      <c r="A95" s="78" t="s">
        <v>44</v>
      </c>
      <c r="B95" s="54">
        <v>0</v>
      </c>
      <c r="C95" s="54">
        <v>1</v>
      </c>
      <c r="D95" s="54">
        <v>1</v>
      </c>
      <c r="E95" s="54">
        <v>0</v>
      </c>
      <c r="F95" s="54">
        <v>2</v>
      </c>
      <c r="G95" s="54">
        <v>1</v>
      </c>
      <c r="H95" s="54">
        <v>0</v>
      </c>
      <c r="I95" s="54">
        <v>0</v>
      </c>
      <c r="J95" s="54">
        <v>1</v>
      </c>
      <c r="K95" s="54">
        <v>1</v>
      </c>
      <c r="L95" s="54">
        <v>1</v>
      </c>
      <c r="M95" s="54">
        <v>3</v>
      </c>
      <c r="N95" s="54">
        <v>0</v>
      </c>
      <c r="O95" s="54">
        <v>1</v>
      </c>
      <c r="P95" s="54">
        <v>0</v>
      </c>
      <c r="Q95" s="54">
        <v>0</v>
      </c>
      <c r="R95" s="54">
        <v>0</v>
      </c>
      <c r="S95" s="54">
        <v>0</v>
      </c>
      <c r="T95" s="54">
        <v>1</v>
      </c>
      <c r="U95" s="54">
        <v>1</v>
      </c>
      <c r="V95" s="54">
        <v>1</v>
      </c>
      <c r="W95" s="54">
        <v>1</v>
      </c>
      <c r="X95" s="54">
        <v>0</v>
      </c>
      <c r="Y95" s="54">
        <v>1</v>
      </c>
      <c r="Z95" s="54">
        <v>0</v>
      </c>
      <c r="AA95" s="54">
        <v>0</v>
      </c>
      <c r="AB95" s="54">
        <v>1</v>
      </c>
      <c r="AC95" s="54">
        <v>1</v>
      </c>
      <c r="AD95" s="54">
        <v>0</v>
      </c>
      <c r="AE95" s="54">
        <v>0</v>
      </c>
      <c r="AF95" s="54"/>
      <c r="AG95" s="5">
        <f t="shared" si="5"/>
        <v>19</v>
      </c>
    </row>
    <row r="96" spans="1:34" ht="15.75" customHeight="1" x14ac:dyDescent="0.25">
      <c r="A96" s="79" t="s">
        <v>45</v>
      </c>
      <c r="B96" s="54">
        <v>3</v>
      </c>
      <c r="C96" s="54">
        <v>0</v>
      </c>
      <c r="D96" s="54">
        <v>0</v>
      </c>
      <c r="E96" s="54">
        <v>0</v>
      </c>
      <c r="F96" s="54">
        <v>4</v>
      </c>
      <c r="G96" s="54">
        <v>3</v>
      </c>
      <c r="H96" s="54">
        <v>1</v>
      </c>
      <c r="I96" s="54">
        <v>0</v>
      </c>
      <c r="J96" s="54">
        <v>3</v>
      </c>
      <c r="K96" s="54">
        <v>0</v>
      </c>
      <c r="L96" s="54">
        <v>1</v>
      </c>
      <c r="M96" s="54">
        <v>3</v>
      </c>
      <c r="N96" s="54">
        <v>3</v>
      </c>
      <c r="O96" s="54">
        <v>0</v>
      </c>
      <c r="P96" s="54">
        <v>4</v>
      </c>
      <c r="Q96" s="54">
        <v>1</v>
      </c>
      <c r="R96" s="54">
        <v>0</v>
      </c>
      <c r="S96" s="54">
        <v>4</v>
      </c>
      <c r="T96" s="54">
        <v>4</v>
      </c>
      <c r="U96" s="54">
        <v>0</v>
      </c>
      <c r="V96" s="54">
        <v>1</v>
      </c>
      <c r="W96" s="54">
        <v>0</v>
      </c>
      <c r="X96" s="54">
        <v>1</v>
      </c>
      <c r="Y96" s="54">
        <v>0</v>
      </c>
      <c r="Z96" s="54">
        <v>0</v>
      </c>
      <c r="AA96" s="54">
        <v>1</v>
      </c>
      <c r="AB96" s="54">
        <v>2</v>
      </c>
      <c r="AC96" s="54">
        <v>0</v>
      </c>
      <c r="AD96" s="54">
        <v>4</v>
      </c>
      <c r="AE96" s="54">
        <v>3</v>
      </c>
      <c r="AF96" s="54"/>
      <c r="AG96" s="5">
        <f t="shared" si="5"/>
        <v>46</v>
      </c>
    </row>
    <row r="97" spans="1:33" ht="15.75" customHeight="1" x14ac:dyDescent="0.25">
      <c r="A97" s="80" t="s">
        <v>46</v>
      </c>
      <c r="B97" s="54">
        <v>8</v>
      </c>
      <c r="C97" s="54">
        <v>2</v>
      </c>
      <c r="D97" s="54">
        <v>9</v>
      </c>
      <c r="E97" s="54">
        <v>8</v>
      </c>
      <c r="F97" s="54">
        <v>8</v>
      </c>
      <c r="G97" s="54">
        <v>8</v>
      </c>
      <c r="H97" s="54">
        <v>3</v>
      </c>
      <c r="I97" s="54">
        <v>4</v>
      </c>
      <c r="J97" s="54">
        <v>2</v>
      </c>
      <c r="K97" s="54">
        <v>3</v>
      </c>
      <c r="L97" s="54">
        <v>9</v>
      </c>
      <c r="M97" s="54">
        <v>4</v>
      </c>
      <c r="N97" s="54">
        <v>7</v>
      </c>
      <c r="O97" s="54">
        <v>2</v>
      </c>
      <c r="P97" s="54">
        <v>7</v>
      </c>
      <c r="Q97" s="54">
        <v>4</v>
      </c>
      <c r="R97" s="54">
        <v>10</v>
      </c>
      <c r="S97" s="54">
        <v>9</v>
      </c>
      <c r="T97" s="54">
        <v>13</v>
      </c>
      <c r="U97" s="54">
        <v>4</v>
      </c>
      <c r="V97" s="54">
        <v>8</v>
      </c>
      <c r="W97" s="54">
        <v>5</v>
      </c>
      <c r="X97" s="54">
        <v>7</v>
      </c>
      <c r="Y97" s="54">
        <v>2</v>
      </c>
      <c r="Z97" s="54">
        <v>6</v>
      </c>
      <c r="AA97" s="54">
        <v>6</v>
      </c>
      <c r="AB97" s="54">
        <v>4</v>
      </c>
      <c r="AC97" s="54">
        <v>4</v>
      </c>
      <c r="AD97" s="54">
        <v>5</v>
      </c>
      <c r="AE97" s="54">
        <v>4</v>
      </c>
      <c r="AF97" s="54"/>
      <c r="AG97" s="5">
        <f t="shared" si="5"/>
        <v>175</v>
      </c>
    </row>
    <row r="98" spans="1:33" ht="15.75" customHeight="1" x14ac:dyDescent="0.25">
      <c r="A98" s="81" t="s">
        <v>47</v>
      </c>
      <c r="B98" s="54">
        <v>21</v>
      </c>
      <c r="C98" s="54">
        <v>12</v>
      </c>
      <c r="D98" s="54">
        <v>11</v>
      </c>
      <c r="E98" s="54">
        <v>24</v>
      </c>
      <c r="F98" s="54">
        <v>26</v>
      </c>
      <c r="G98" s="54">
        <v>10</v>
      </c>
      <c r="H98" s="54">
        <v>7</v>
      </c>
      <c r="I98" s="54">
        <v>17</v>
      </c>
      <c r="J98" s="54">
        <v>12</v>
      </c>
      <c r="K98" s="54">
        <v>20</v>
      </c>
      <c r="L98" s="54">
        <v>23</v>
      </c>
      <c r="M98" s="54">
        <v>29</v>
      </c>
      <c r="N98" s="54">
        <v>16</v>
      </c>
      <c r="O98" s="54">
        <v>14</v>
      </c>
      <c r="P98" s="54">
        <v>26</v>
      </c>
      <c r="Q98" s="54">
        <v>18</v>
      </c>
      <c r="R98" s="54">
        <v>13</v>
      </c>
      <c r="S98" s="54">
        <v>23</v>
      </c>
      <c r="T98" s="54">
        <v>10</v>
      </c>
      <c r="U98" s="54">
        <v>12</v>
      </c>
      <c r="V98" s="54">
        <v>14</v>
      </c>
      <c r="W98" s="54">
        <v>10</v>
      </c>
      <c r="X98" s="54">
        <v>8</v>
      </c>
      <c r="Y98" s="54">
        <v>9</v>
      </c>
      <c r="Z98" s="54">
        <v>8</v>
      </c>
      <c r="AA98" s="54">
        <v>13</v>
      </c>
      <c r="AB98" s="54">
        <v>9</v>
      </c>
      <c r="AC98" s="54">
        <v>13</v>
      </c>
      <c r="AD98" s="54">
        <v>10</v>
      </c>
      <c r="AE98" s="54">
        <v>8</v>
      </c>
      <c r="AF98" s="54"/>
      <c r="AG98" s="5">
        <f t="shared" si="5"/>
        <v>446</v>
      </c>
    </row>
    <row r="99" spans="1:33" ht="15.75" customHeight="1" x14ac:dyDescent="0.25">
      <c r="A99" s="82" t="s">
        <v>48</v>
      </c>
      <c r="B99" s="54">
        <v>19</v>
      </c>
      <c r="C99" s="54">
        <v>14</v>
      </c>
      <c r="D99" s="54">
        <v>9</v>
      </c>
      <c r="E99" s="54">
        <v>13</v>
      </c>
      <c r="F99" s="54">
        <v>26</v>
      </c>
      <c r="G99" s="54">
        <v>25</v>
      </c>
      <c r="H99" s="54">
        <v>15</v>
      </c>
      <c r="I99" s="54">
        <v>13</v>
      </c>
      <c r="J99" s="54">
        <v>16</v>
      </c>
      <c r="K99" s="54">
        <v>7</v>
      </c>
      <c r="L99" s="54">
        <v>19</v>
      </c>
      <c r="M99" s="54">
        <v>32</v>
      </c>
      <c r="N99" s="54">
        <v>26</v>
      </c>
      <c r="O99" s="54">
        <v>16</v>
      </c>
      <c r="P99" s="54">
        <v>19</v>
      </c>
      <c r="Q99" s="54">
        <v>16</v>
      </c>
      <c r="R99" s="54">
        <v>11</v>
      </c>
      <c r="S99" s="54">
        <v>17</v>
      </c>
      <c r="T99" s="54">
        <v>14</v>
      </c>
      <c r="U99" s="54">
        <v>13</v>
      </c>
      <c r="V99" s="54">
        <v>21</v>
      </c>
      <c r="W99" s="54">
        <v>16</v>
      </c>
      <c r="X99" s="54">
        <v>4</v>
      </c>
      <c r="Y99" s="54">
        <v>6</v>
      </c>
      <c r="Z99" s="54">
        <v>10</v>
      </c>
      <c r="AA99" s="54">
        <v>12</v>
      </c>
      <c r="AB99" s="54">
        <v>13</v>
      </c>
      <c r="AC99" s="54">
        <v>17</v>
      </c>
      <c r="AD99" s="54">
        <v>11</v>
      </c>
      <c r="AE99" s="54">
        <v>12</v>
      </c>
      <c r="AF99" s="54"/>
      <c r="AG99" s="5">
        <f t="shared" ref="AG99:AG162" si="17">SUM(B99:AF99)</f>
        <v>462</v>
      </c>
    </row>
    <row r="100" spans="1:33" ht="15.75" customHeight="1" x14ac:dyDescent="0.25">
      <c r="A100" s="76" t="s">
        <v>49</v>
      </c>
      <c r="B100" s="21">
        <f t="shared" ref="B100:AF100" si="18">SUM(B101:B115)</f>
        <v>158</v>
      </c>
      <c r="C100" s="21">
        <f t="shared" si="18"/>
        <v>123</v>
      </c>
      <c r="D100" s="21">
        <f t="shared" si="18"/>
        <v>117</v>
      </c>
      <c r="E100" s="21">
        <f t="shared" si="18"/>
        <v>190</v>
      </c>
      <c r="F100" s="21">
        <f t="shared" si="18"/>
        <v>183</v>
      </c>
      <c r="G100" s="21">
        <f t="shared" si="18"/>
        <v>155</v>
      </c>
      <c r="H100" s="21">
        <f t="shared" si="18"/>
        <v>120</v>
      </c>
      <c r="I100" s="21">
        <f t="shared" si="18"/>
        <v>90</v>
      </c>
      <c r="J100" s="21">
        <f t="shared" si="18"/>
        <v>91</v>
      </c>
      <c r="K100" s="21">
        <f t="shared" si="18"/>
        <v>113</v>
      </c>
      <c r="L100" s="21">
        <f t="shared" si="18"/>
        <v>192</v>
      </c>
      <c r="M100" s="21">
        <f t="shared" si="18"/>
        <v>208</v>
      </c>
      <c r="N100" s="21">
        <f t="shared" si="18"/>
        <v>133</v>
      </c>
      <c r="O100" s="21">
        <f t="shared" si="18"/>
        <v>131</v>
      </c>
      <c r="P100" s="21">
        <f t="shared" si="18"/>
        <v>110</v>
      </c>
      <c r="Q100" s="21">
        <f t="shared" si="18"/>
        <v>124</v>
      </c>
      <c r="R100" s="21">
        <f t="shared" si="18"/>
        <v>135</v>
      </c>
      <c r="S100" s="21">
        <f t="shared" si="18"/>
        <v>192</v>
      </c>
      <c r="T100" s="21">
        <f t="shared" si="18"/>
        <v>171</v>
      </c>
      <c r="U100" s="21">
        <f t="shared" si="18"/>
        <v>129</v>
      </c>
      <c r="V100" s="21">
        <f t="shared" si="18"/>
        <v>197</v>
      </c>
      <c r="W100" s="21">
        <f t="shared" si="18"/>
        <v>137</v>
      </c>
      <c r="X100" s="21">
        <f t="shared" si="18"/>
        <v>90</v>
      </c>
      <c r="Y100" s="21">
        <f t="shared" si="18"/>
        <v>103</v>
      </c>
      <c r="Z100" s="21">
        <f t="shared" si="18"/>
        <v>140</v>
      </c>
      <c r="AA100" s="21">
        <f t="shared" si="18"/>
        <v>139</v>
      </c>
      <c r="AB100" s="21">
        <f t="shared" si="18"/>
        <v>190</v>
      </c>
      <c r="AC100" s="21">
        <f t="shared" si="18"/>
        <v>174</v>
      </c>
      <c r="AD100" s="21">
        <f t="shared" si="18"/>
        <v>163</v>
      </c>
      <c r="AE100" s="21">
        <f t="shared" si="18"/>
        <v>138</v>
      </c>
      <c r="AF100" s="21">
        <f t="shared" si="18"/>
        <v>0</v>
      </c>
      <c r="AG100" s="5">
        <f t="shared" si="17"/>
        <v>4336</v>
      </c>
    </row>
    <row r="101" spans="1:33" ht="15.75" customHeight="1" x14ac:dyDescent="0.25">
      <c r="A101" s="82" t="s">
        <v>50</v>
      </c>
      <c r="B101" s="54">
        <v>16</v>
      </c>
      <c r="C101" s="54">
        <v>19</v>
      </c>
      <c r="D101" s="54">
        <v>11</v>
      </c>
      <c r="E101" s="54">
        <v>13</v>
      </c>
      <c r="F101" s="54">
        <v>16</v>
      </c>
      <c r="G101" s="54">
        <v>20</v>
      </c>
      <c r="H101" s="54">
        <v>15</v>
      </c>
      <c r="I101" s="54">
        <v>10</v>
      </c>
      <c r="J101" s="54">
        <v>9</v>
      </c>
      <c r="K101" s="54">
        <v>15</v>
      </c>
      <c r="L101" s="54">
        <v>16</v>
      </c>
      <c r="M101" s="54">
        <v>25</v>
      </c>
      <c r="N101" s="54">
        <v>13</v>
      </c>
      <c r="O101" s="54">
        <v>18</v>
      </c>
      <c r="P101" s="54">
        <v>15</v>
      </c>
      <c r="Q101" s="54">
        <v>11</v>
      </c>
      <c r="R101" s="54">
        <v>15</v>
      </c>
      <c r="S101" s="54">
        <v>25</v>
      </c>
      <c r="T101" s="54">
        <v>17</v>
      </c>
      <c r="U101" s="54">
        <v>14</v>
      </c>
      <c r="V101" s="54">
        <v>10</v>
      </c>
      <c r="W101" s="54">
        <v>20</v>
      </c>
      <c r="X101" s="54">
        <v>9</v>
      </c>
      <c r="Y101" s="54">
        <v>9</v>
      </c>
      <c r="Z101" s="54">
        <v>6</v>
      </c>
      <c r="AA101" s="54">
        <v>8</v>
      </c>
      <c r="AB101" s="54">
        <v>16</v>
      </c>
      <c r="AC101" s="54">
        <v>12</v>
      </c>
      <c r="AD101" s="54">
        <v>16</v>
      </c>
      <c r="AE101" s="54">
        <v>13</v>
      </c>
      <c r="AF101" s="54"/>
      <c r="AG101" s="5">
        <f t="shared" si="17"/>
        <v>432</v>
      </c>
    </row>
    <row r="102" spans="1:33" ht="15.75" customHeight="1" x14ac:dyDescent="0.25">
      <c r="A102" s="82" t="s">
        <v>51</v>
      </c>
      <c r="B102" s="54">
        <v>14</v>
      </c>
      <c r="C102" s="54">
        <v>19</v>
      </c>
      <c r="D102" s="54">
        <v>11</v>
      </c>
      <c r="E102" s="54">
        <v>20</v>
      </c>
      <c r="F102" s="54">
        <v>25</v>
      </c>
      <c r="G102" s="54">
        <v>24</v>
      </c>
      <c r="H102" s="54">
        <v>13</v>
      </c>
      <c r="I102" s="54">
        <v>4</v>
      </c>
      <c r="J102" s="54">
        <v>14</v>
      </c>
      <c r="K102" s="54">
        <v>10</v>
      </c>
      <c r="L102" s="54">
        <v>16</v>
      </c>
      <c r="M102" s="54">
        <v>21</v>
      </c>
      <c r="N102" s="54">
        <v>12</v>
      </c>
      <c r="O102" s="54">
        <v>15</v>
      </c>
      <c r="P102" s="54">
        <v>11</v>
      </c>
      <c r="Q102" s="54">
        <v>11</v>
      </c>
      <c r="R102" s="54">
        <v>18</v>
      </c>
      <c r="S102" s="54">
        <v>12</v>
      </c>
      <c r="T102" s="54">
        <v>15</v>
      </c>
      <c r="U102" s="54">
        <v>20</v>
      </c>
      <c r="V102" s="54">
        <v>21</v>
      </c>
      <c r="W102" s="54">
        <v>7</v>
      </c>
      <c r="X102" s="54">
        <v>5</v>
      </c>
      <c r="Y102" s="54">
        <v>10</v>
      </c>
      <c r="Z102" s="54">
        <v>15</v>
      </c>
      <c r="AA102" s="54">
        <v>14</v>
      </c>
      <c r="AB102" s="54">
        <v>21</v>
      </c>
      <c r="AC102" s="54">
        <v>23</v>
      </c>
      <c r="AD102" s="54">
        <v>11</v>
      </c>
      <c r="AE102" s="54">
        <v>18</v>
      </c>
      <c r="AF102" s="54"/>
      <c r="AG102" s="5">
        <f t="shared" si="17"/>
        <v>450</v>
      </c>
    </row>
    <row r="103" spans="1:33" ht="15.75" customHeight="1" x14ac:dyDescent="0.25">
      <c r="A103" s="78" t="s">
        <v>52</v>
      </c>
      <c r="B103" s="54">
        <v>21</v>
      </c>
      <c r="C103" s="54">
        <v>12</v>
      </c>
      <c r="D103" s="54">
        <v>12</v>
      </c>
      <c r="E103" s="54">
        <v>21</v>
      </c>
      <c r="F103" s="54">
        <v>22</v>
      </c>
      <c r="G103" s="54">
        <v>15</v>
      </c>
      <c r="H103" s="54">
        <v>19</v>
      </c>
      <c r="I103" s="54">
        <v>13</v>
      </c>
      <c r="J103" s="54">
        <v>8</v>
      </c>
      <c r="K103" s="54">
        <v>9</v>
      </c>
      <c r="L103" s="54">
        <v>24</v>
      </c>
      <c r="M103" s="54">
        <v>21</v>
      </c>
      <c r="N103" s="54">
        <v>14</v>
      </c>
      <c r="O103" s="54">
        <v>15</v>
      </c>
      <c r="P103" s="54">
        <v>11</v>
      </c>
      <c r="Q103" s="54">
        <v>19</v>
      </c>
      <c r="R103" s="54">
        <v>10</v>
      </c>
      <c r="S103" s="54">
        <v>19</v>
      </c>
      <c r="T103" s="54">
        <v>11</v>
      </c>
      <c r="U103" s="54">
        <v>11</v>
      </c>
      <c r="V103" s="54">
        <v>19</v>
      </c>
      <c r="W103" s="54">
        <v>12</v>
      </c>
      <c r="X103" s="54">
        <v>10</v>
      </c>
      <c r="Y103" s="54">
        <v>7</v>
      </c>
      <c r="Z103" s="54">
        <v>11</v>
      </c>
      <c r="AA103" s="54">
        <v>15</v>
      </c>
      <c r="AB103" s="54">
        <v>15</v>
      </c>
      <c r="AC103" s="54">
        <v>16</v>
      </c>
      <c r="AD103" s="54">
        <v>12</v>
      </c>
      <c r="AE103" s="54">
        <v>8</v>
      </c>
      <c r="AF103" s="54"/>
      <c r="AG103" s="5">
        <f t="shared" si="17"/>
        <v>432</v>
      </c>
    </row>
    <row r="104" spans="1:33" ht="15.75" customHeight="1" x14ac:dyDescent="0.25">
      <c r="A104" s="78" t="s">
        <v>53</v>
      </c>
      <c r="B104" s="54">
        <v>17</v>
      </c>
      <c r="C104" s="54">
        <v>4</v>
      </c>
      <c r="D104" s="54">
        <v>13</v>
      </c>
      <c r="E104" s="54">
        <v>16</v>
      </c>
      <c r="F104" s="54">
        <v>14</v>
      </c>
      <c r="G104" s="54">
        <v>14</v>
      </c>
      <c r="H104" s="54">
        <v>14</v>
      </c>
      <c r="I104" s="54">
        <v>5</v>
      </c>
      <c r="J104" s="54">
        <v>2</v>
      </c>
      <c r="K104" s="54">
        <v>14</v>
      </c>
      <c r="L104" s="54">
        <v>18</v>
      </c>
      <c r="M104" s="54">
        <v>15</v>
      </c>
      <c r="N104" s="54">
        <v>13</v>
      </c>
      <c r="O104" s="54">
        <v>8</v>
      </c>
      <c r="P104" s="54">
        <v>14</v>
      </c>
      <c r="Q104" s="54">
        <v>11</v>
      </c>
      <c r="R104" s="54">
        <v>9</v>
      </c>
      <c r="S104" s="54">
        <v>18</v>
      </c>
      <c r="T104" s="54">
        <v>18</v>
      </c>
      <c r="U104" s="54">
        <v>8</v>
      </c>
      <c r="V104" s="54">
        <v>15</v>
      </c>
      <c r="W104" s="54">
        <v>14</v>
      </c>
      <c r="X104" s="54">
        <v>7</v>
      </c>
      <c r="Y104" s="54">
        <v>14</v>
      </c>
      <c r="Z104" s="54">
        <v>11</v>
      </c>
      <c r="AA104" s="54">
        <v>18</v>
      </c>
      <c r="AB104" s="54">
        <v>20</v>
      </c>
      <c r="AC104" s="54">
        <v>18</v>
      </c>
      <c r="AD104" s="54">
        <v>20</v>
      </c>
      <c r="AE104" s="54">
        <v>11</v>
      </c>
      <c r="AF104" s="54"/>
      <c r="AG104" s="5">
        <f t="shared" si="17"/>
        <v>393</v>
      </c>
    </row>
    <row r="105" spans="1:33" ht="15.75" customHeight="1" x14ac:dyDescent="0.25">
      <c r="A105" s="78" t="s">
        <v>54</v>
      </c>
      <c r="B105" s="54">
        <v>12</v>
      </c>
      <c r="C105" s="54">
        <v>8</v>
      </c>
      <c r="D105" s="54">
        <v>9</v>
      </c>
      <c r="E105" s="54">
        <v>17</v>
      </c>
      <c r="F105" s="54">
        <v>16</v>
      </c>
      <c r="G105" s="54">
        <v>13</v>
      </c>
      <c r="H105" s="54">
        <v>5</v>
      </c>
      <c r="I105" s="54">
        <v>4</v>
      </c>
      <c r="J105" s="54">
        <v>7</v>
      </c>
      <c r="K105" s="54">
        <v>5</v>
      </c>
      <c r="L105" s="54">
        <v>20</v>
      </c>
      <c r="M105" s="54">
        <v>14</v>
      </c>
      <c r="N105" s="54">
        <v>12</v>
      </c>
      <c r="O105" s="54">
        <v>12</v>
      </c>
      <c r="P105" s="54">
        <v>11</v>
      </c>
      <c r="Q105" s="54">
        <v>10</v>
      </c>
      <c r="R105" s="54">
        <v>13</v>
      </c>
      <c r="S105" s="54">
        <v>21</v>
      </c>
      <c r="T105" s="54">
        <v>16</v>
      </c>
      <c r="U105" s="54">
        <v>8</v>
      </c>
      <c r="V105" s="54">
        <v>17</v>
      </c>
      <c r="W105" s="54">
        <v>15</v>
      </c>
      <c r="X105" s="54">
        <v>2</v>
      </c>
      <c r="Y105" s="54">
        <v>5</v>
      </c>
      <c r="Z105" s="54">
        <v>9</v>
      </c>
      <c r="AA105" s="54">
        <v>12</v>
      </c>
      <c r="AB105" s="54">
        <v>15</v>
      </c>
      <c r="AC105" s="54">
        <v>9</v>
      </c>
      <c r="AD105" s="54">
        <v>11</v>
      </c>
      <c r="AE105" s="54">
        <v>12</v>
      </c>
      <c r="AF105" s="54"/>
      <c r="AG105" s="5">
        <f t="shared" si="17"/>
        <v>340</v>
      </c>
    </row>
    <row r="106" spans="1:33" ht="15.75" customHeight="1" x14ac:dyDescent="0.25">
      <c r="A106" s="78" t="s">
        <v>55</v>
      </c>
      <c r="B106" s="54">
        <v>10</v>
      </c>
      <c r="C106" s="54">
        <v>13</v>
      </c>
      <c r="D106" s="54">
        <v>8</v>
      </c>
      <c r="E106" s="54">
        <v>16</v>
      </c>
      <c r="F106" s="54">
        <v>14</v>
      </c>
      <c r="G106" s="54">
        <v>13</v>
      </c>
      <c r="H106" s="54">
        <v>6</v>
      </c>
      <c r="I106" s="54">
        <v>5</v>
      </c>
      <c r="J106" s="54">
        <v>7</v>
      </c>
      <c r="K106" s="54">
        <v>11</v>
      </c>
      <c r="L106" s="54">
        <v>11</v>
      </c>
      <c r="M106" s="54">
        <v>20</v>
      </c>
      <c r="N106" s="54">
        <v>9</v>
      </c>
      <c r="O106" s="54">
        <v>10</v>
      </c>
      <c r="P106" s="54">
        <v>8</v>
      </c>
      <c r="Q106" s="54">
        <v>2</v>
      </c>
      <c r="R106" s="54">
        <v>8</v>
      </c>
      <c r="S106" s="54">
        <v>5</v>
      </c>
      <c r="T106" s="54">
        <v>8</v>
      </c>
      <c r="U106" s="54">
        <v>11</v>
      </c>
      <c r="V106" s="54">
        <v>13</v>
      </c>
      <c r="W106" s="54">
        <v>10</v>
      </c>
      <c r="X106" s="54">
        <v>3</v>
      </c>
      <c r="Y106" s="54">
        <v>8</v>
      </c>
      <c r="Z106" s="54">
        <v>15</v>
      </c>
      <c r="AA106" s="54">
        <v>16</v>
      </c>
      <c r="AB106" s="54">
        <v>13</v>
      </c>
      <c r="AC106" s="54">
        <v>10</v>
      </c>
      <c r="AD106" s="54">
        <v>21</v>
      </c>
      <c r="AE106" s="54">
        <v>11</v>
      </c>
      <c r="AF106" s="54"/>
      <c r="AG106" s="5">
        <f t="shared" si="17"/>
        <v>315</v>
      </c>
    </row>
    <row r="107" spans="1:33" ht="15.75" customHeight="1" x14ac:dyDescent="0.25">
      <c r="A107" s="78" t="s">
        <v>56</v>
      </c>
      <c r="B107" s="54">
        <v>11</v>
      </c>
      <c r="C107" s="54">
        <v>11</v>
      </c>
      <c r="D107" s="54">
        <v>6</v>
      </c>
      <c r="E107" s="54">
        <v>11</v>
      </c>
      <c r="F107" s="54">
        <v>11</v>
      </c>
      <c r="G107" s="54">
        <v>6</v>
      </c>
      <c r="H107" s="54">
        <v>3</v>
      </c>
      <c r="I107" s="54">
        <v>5</v>
      </c>
      <c r="J107" s="54">
        <v>9</v>
      </c>
      <c r="K107" s="54">
        <v>10</v>
      </c>
      <c r="L107" s="54">
        <v>15</v>
      </c>
      <c r="M107" s="54">
        <v>14</v>
      </c>
      <c r="N107" s="54">
        <v>10</v>
      </c>
      <c r="O107" s="54">
        <v>9</v>
      </c>
      <c r="P107" s="54">
        <v>5</v>
      </c>
      <c r="Q107" s="54">
        <v>6</v>
      </c>
      <c r="R107" s="54">
        <v>10</v>
      </c>
      <c r="S107" s="54">
        <v>16</v>
      </c>
      <c r="T107" s="54">
        <v>16</v>
      </c>
      <c r="U107" s="54">
        <v>10</v>
      </c>
      <c r="V107" s="54">
        <v>17</v>
      </c>
      <c r="W107" s="54">
        <v>8</v>
      </c>
      <c r="X107" s="54">
        <v>5</v>
      </c>
      <c r="Y107" s="54">
        <v>14</v>
      </c>
      <c r="Z107" s="54">
        <v>13</v>
      </c>
      <c r="AA107" s="54">
        <v>10</v>
      </c>
      <c r="AB107" s="54">
        <v>13</v>
      </c>
      <c r="AC107" s="54">
        <v>11</v>
      </c>
      <c r="AD107" s="54">
        <v>12</v>
      </c>
      <c r="AE107" s="54">
        <v>9</v>
      </c>
      <c r="AF107" s="54"/>
      <c r="AG107" s="5">
        <f t="shared" si="17"/>
        <v>306</v>
      </c>
    </row>
    <row r="108" spans="1:33" ht="15.75" customHeight="1" x14ac:dyDescent="0.25">
      <c r="A108" s="78" t="s">
        <v>57</v>
      </c>
      <c r="B108" s="54">
        <v>8</v>
      </c>
      <c r="C108" s="54">
        <v>8</v>
      </c>
      <c r="D108" s="54">
        <v>6</v>
      </c>
      <c r="E108" s="54">
        <v>14</v>
      </c>
      <c r="F108" s="54">
        <v>12</v>
      </c>
      <c r="G108" s="54">
        <v>15</v>
      </c>
      <c r="H108" s="54">
        <v>8</v>
      </c>
      <c r="I108" s="54">
        <v>8</v>
      </c>
      <c r="J108" s="54">
        <v>7</v>
      </c>
      <c r="K108" s="54">
        <v>11</v>
      </c>
      <c r="L108" s="54">
        <v>12</v>
      </c>
      <c r="M108" s="54">
        <v>16</v>
      </c>
      <c r="N108" s="54">
        <v>12</v>
      </c>
      <c r="O108" s="54">
        <v>7</v>
      </c>
      <c r="P108" s="54">
        <v>7</v>
      </c>
      <c r="Q108" s="54">
        <v>13</v>
      </c>
      <c r="R108" s="54">
        <v>10</v>
      </c>
      <c r="S108" s="54">
        <v>9</v>
      </c>
      <c r="T108" s="54">
        <v>12</v>
      </c>
      <c r="U108" s="54">
        <v>8</v>
      </c>
      <c r="V108" s="54">
        <v>8</v>
      </c>
      <c r="W108" s="54">
        <v>9</v>
      </c>
      <c r="X108" s="54">
        <v>8</v>
      </c>
      <c r="Y108" s="54">
        <v>3</v>
      </c>
      <c r="Z108" s="54">
        <v>12</v>
      </c>
      <c r="AA108" s="54">
        <v>10</v>
      </c>
      <c r="AB108" s="54">
        <v>16</v>
      </c>
      <c r="AC108" s="54">
        <v>14</v>
      </c>
      <c r="AD108" s="54">
        <v>8</v>
      </c>
      <c r="AE108" s="54">
        <v>6</v>
      </c>
      <c r="AF108" s="54"/>
      <c r="AG108" s="5">
        <f t="shared" si="17"/>
        <v>297</v>
      </c>
    </row>
    <row r="109" spans="1:33" ht="15.75" customHeight="1" x14ac:dyDescent="0.25">
      <c r="A109" s="78" t="s">
        <v>58</v>
      </c>
      <c r="B109" s="54">
        <v>10</v>
      </c>
      <c r="C109" s="54">
        <v>5</v>
      </c>
      <c r="D109" s="54">
        <v>9</v>
      </c>
      <c r="E109" s="54">
        <v>19</v>
      </c>
      <c r="F109" s="54">
        <v>11</v>
      </c>
      <c r="G109" s="54">
        <v>8</v>
      </c>
      <c r="H109" s="54">
        <v>8</v>
      </c>
      <c r="I109" s="54">
        <v>15</v>
      </c>
      <c r="J109" s="54">
        <v>5</v>
      </c>
      <c r="K109" s="54">
        <v>8</v>
      </c>
      <c r="L109" s="54">
        <v>17</v>
      </c>
      <c r="M109" s="54">
        <v>15</v>
      </c>
      <c r="N109" s="54">
        <v>6</v>
      </c>
      <c r="O109" s="54">
        <v>7</v>
      </c>
      <c r="P109" s="54">
        <v>6</v>
      </c>
      <c r="Q109" s="54">
        <v>12</v>
      </c>
      <c r="R109" s="54">
        <v>8</v>
      </c>
      <c r="S109" s="54">
        <v>21</v>
      </c>
      <c r="T109" s="54">
        <v>10</v>
      </c>
      <c r="U109" s="54">
        <v>11</v>
      </c>
      <c r="V109" s="54">
        <v>15</v>
      </c>
      <c r="W109" s="54">
        <v>7</v>
      </c>
      <c r="X109" s="54">
        <v>11</v>
      </c>
      <c r="Y109" s="54">
        <v>8</v>
      </c>
      <c r="Z109" s="54">
        <v>13</v>
      </c>
      <c r="AA109" s="54">
        <v>11</v>
      </c>
      <c r="AB109" s="54">
        <v>18</v>
      </c>
      <c r="AC109" s="54">
        <v>9</v>
      </c>
      <c r="AD109" s="54">
        <v>6</v>
      </c>
      <c r="AE109" s="54">
        <v>6</v>
      </c>
      <c r="AF109" s="54"/>
      <c r="AG109" s="5">
        <f t="shared" si="17"/>
        <v>315</v>
      </c>
    </row>
    <row r="110" spans="1:33" ht="15.75" customHeight="1" x14ac:dyDescent="0.25">
      <c r="A110" s="78" t="s">
        <v>59</v>
      </c>
      <c r="B110" s="54">
        <v>11</v>
      </c>
      <c r="C110" s="54">
        <v>8</v>
      </c>
      <c r="D110" s="54">
        <v>10</v>
      </c>
      <c r="E110" s="54">
        <v>12</v>
      </c>
      <c r="F110" s="54">
        <v>12</v>
      </c>
      <c r="G110" s="54">
        <v>7</v>
      </c>
      <c r="H110" s="54">
        <v>7</v>
      </c>
      <c r="I110" s="54">
        <v>6</v>
      </c>
      <c r="J110" s="54">
        <v>5</v>
      </c>
      <c r="K110" s="54">
        <v>5</v>
      </c>
      <c r="L110" s="54">
        <v>9</v>
      </c>
      <c r="M110" s="54">
        <v>10</v>
      </c>
      <c r="N110" s="54">
        <v>8</v>
      </c>
      <c r="O110" s="54">
        <v>10</v>
      </c>
      <c r="P110" s="54">
        <v>7</v>
      </c>
      <c r="Q110" s="54">
        <v>11</v>
      </c>
      <c r="R110" s="54">
        <v>11</v>
      </c>
      <c r="S110" s="54">
        <v>12</v>
      </c>
      <c r="T110" s="54">
        <v>14</v>
      </c>
      <c r="U110" s="54">
        <v>7</v>
      </c>
      <c r="V110" s="54">
        <v>12</v>
      </c>
      <c r="W110" s="54">
        <v>13</v>
      </c>
      <c r="X110" s="54">
        <v>8</v>
      </c>
      <c r="Y110" s="54">
        <v>11</v>
      </c>
      <c r="Z110" s="54">
        <v>10</v>
      </c>
      <c r="AA110" s="54">
        <v>10</v>
      </c>
      <c r="AB110" s="54">
        <v>11</v>
      </c>
      <c r="AC110" s="54">
        <v>22</v>
      </c>
      <c r="AD110" s="54">
        <v>10</v>
      </c>
      <c r="AE110" s="54">
        <v>9</v>
      </c>
      <c r="AF110" s="54"/>
      <c r="AG110" s="5">
        <f t="shared" si="17"/>
        <v>298</v>
      </c>
    </row>
    <row r="111" spans="1:33" ht="15.75" customHeight="1" x14ac:dyDescent="0.25">
      <c r="A111" s="78" t="s">
        <v>60</v>
      </c>
      <c r="B111" s="54">
        <v>11</v>
      </c>
      <c r="C111" s="54">
        <v>5</v>
      </c>
      <c r="D111" s="54">
        <v>6</v>
      </c>
      <c r="E111" s="54">
        <v>12</v>
      </c>
      <c r="F111" s="54">
        <v>11</v>
      </c>
      <c r="G111" s="54">
        <v>2</v>
      </c>
      <c r="H111" s="54">
        <v>8</v>
      </c>
      <c r="I111" s="54">
        <v>3</v>
      </c>
      <c r="J111" s="54">
        <v>6</v>
      </c>
      <c r="K111" s="54">
        <v>4</v>
      </c>
      <c r="L111" s="54">
        <v>10</v>
      </c>
      <c r="M111" s="54">
        <v>12</v>
      </c>
      <c r="N111" s="54">
        <v>4</v>
      </c>
      <c r="O111" s="54">
        <v>5</v>
      </c>
      <c r="P111" s="54">
        <v>8</v>
      </c>
      <c r="Q111" s="54">
        <v>2</v>
      </c>
      <c r="R111" s="54">
        <v>10</v>
      </c>
      <c r="S111" s="54">
        <v>12</v>
      </c>
      <c r="T111" s="54">
        <v>6</v>
      </c>
      <c r="U111" s="54">
        <v>5</v>
      </c>
      <c r="V111" s="54">
        <v>16</v>
      </c>
      <c r="W111" s="54">
        <v>9</v>
      </c>
      <c r="X111" s="54">
        <v>6</v>
      </c>
      <c r="Y111" s="54">
        <v>7</v>
      </c>
      <c r="Z111" s="54">
        <v>10</v>
      </c>
      <c r="AA111" s="54">
        <v>7</v>
      </c>
      <c r="AB111" s="54">
        <v>8</v>
      </c>
      <c r="AC111" s="54">
        <v>8</v>
      </c>
      <c r="AD111" s="54">
        <v>8</v>
      </c>
      <c r="AE111" s="54">
        <v>9</v>
      </c>
      <c r="AF111" s="54"/>
      <c r="AG111" s="5">
        <f t="shared" si="17"/>
        <v>230</v>
      </c>
    </row>
    <row r="112" spans="1:33" ht="15.75" customHeight="1" x14ac:dyDescent="0.25">
      <c r="A112" s="78" t="s">
        <v>61</v>
      </c>
      <c r="B112" s="54">
        <v>6</v>
      </c>
      <c r="C112" s="54">
        <v>4</v>
      </c>
      <c r="D112" s="54">
        <v>6</v>
      </c>
      <c r="E112" s="54">
        <v>9</v>
      </c>
      <c r="F112" s="54">
        <v>7</v>
      </c>
      <c r="G112" s="54">
        <v>4</v>
      </c>
      <c r="H112" s="54">
        <v>5</v>
      </c>
      <c r="I112" s="54">
        <v>3</v>
      </c>
      <c r="J112" s="54">
        <v>4</v>
      </c>
      <c r="K112" s="54">
        <v>3</v>
      </c>
      <c r="L112" s="54">
        <v>7</v>
      </c>
      <c r="M112" s="54">
        <v>9</v>
      </c>
      <c r="N112" s="54">
        <v>7</v>
      </c>
      <c r="O112" s="54">
        <v>4</v>
      </c>
      <c r="P112" s="54">
        <v>4</v>
      </c>
      <c r="Q112" s="54">
        <v>2</v>
      </c>
      <c r="R112" s="54">
        <v>4</v>
      </c>
      <c r="S112" s="54">
        <v>6</v>
      </c>
      <c r="T112" s="54">
        <v>7</v>
      </c>
      <c r="U112" s="54">
        <v>8</v>
      </c>
      <c r="V112" s="54">
        <v>15</v>
      </c>
      <c r="W112" s="54">
        <v>3</v>
      </c>
      <c r="X112" s="54">
        <v>6</v>
      </c>
      <c r="Y112" s="54">
        <v>0</v>
      </c>
      <c r="Z112" s="54">
        <v>6</v>
      </c>
      <c r="AA112" s="54">
        <v>2</v>
      </c>
      <c r="AB112" s="54">
        <v>8</v>
      </c>
      <c r="AC112" s="54">
        <v>9</v>
      </c>
      <c r="AD112" s="54">
        <v>8</v>
      </c>
      <c r="AE112" s="54">
        <v>11</v>
      </c>
      <c r="AF112" s="54"/>
      <c r="AG112" s="5">
        <f t="shared" si="17"/>
        <v>177</v>
      </c>
    </row>
    <row r="113" spans="1:37" ht="15.75" customHeight="1" x14ac:dyDescent="0.25">
      <c r="A113" s="78" t="s">
        <v>62</v>
      </c>
      <c r="B113" s="54">
        <v>6</v>
      </c>
      <c r="C113" s="54">
        <v>5</v>
      </c>
      <c r="D113" s="54">
        <v>5</v>
      </c>
      <c r="E113" s="54">
        <v>5</v>
      </c>
      <c r="F113" s="54">
        <v>5</v>
      </c>
      <c r="G113" s="54">
        <v>6</v>
      </c>
      <c r="H113" s="54">
        <v>5</v>
      </c>
      <c r="I113" s="54">
        <v>3</v>
      </c>
      <c r="J113" s="54">
        <v>3</v>
      </c>
      <c r="K113" s="54">
        <v>6</v>
      </c>
      <c r="L113" s="54">
        <v>9</v>
      </c>
      <c r="M113" s="54">
        <v>7</v>
      </c>
      <c r="N113" s="54">
        <v>6</v>
      </c>
      <c r="O113" s="54">
        <v>5</v>
      </c>
      <c r="P113" s="54">
        <v>2</v>
      </c>
      <c r="Q113" s="54">
        <v>8</v>
      </c>
      <c r="R113" s="54">
        <v>7</v>
      </c>
      <c r="S113" s="54">
        <v>10</v>
      </c>
      <c r="T113" s="54">
        <v>8</v>
      </c>
      <c r="U113" s="54">
        <v>5</v>
      </c>
      <c r="V113" s="54">
        <v>7</v>
      </c>
      <c r="W113" s="54">
        <v>6</v>
      </c>
      <c r="X113" s="54">
        <v>4</v>
      </c>
      <c r="Y113" s="54">
        <v>4</v>
      </c>
      <c r="Z113" s="54">
        <v>2</v>
      </c>
      <c r="AA113" s="54">
        <v>2</v>
      </c>
      <c r="AB113" s="54">
        <v>11</v>
      </c>
      <c r="AC113" s="54">
        <v>7</v>
      </c>
      <c r="AD113" s="54">
        <v>11</v>
      </c>
      <c r="AE113" s="54">
        <v>7</v>
      </c>
      <c r="AF113" s="54"/>
      <c r="AG113" s="5">
        <f t="shared" si="17"/>
        <v>177</v>
      </c>
    </row>
    <row r="114" spans="1:37" ht="15.75" customHeight="1" x14ac:dyDescent="0.25">
      <c r="A114" s="78" t="s">
        <v>63</v>
      </c>
      <c r="B114" s="54">
        <v>5</v>
      </c>
      <c r="C114" s="54">
        <v>2</v>
      </c>
      <c r="D114" s="54">
        <v>5</v>
      </c>
      <c r="E114" s="54">
        <v>5</v>
      </c>
      <c r="F114" s="54">
        <v>7</v>
      </c>
      <c r="G114" s="54">
        <v>8</v>
      </c>
      <c r="H114" s="54">
        <v>4</v>
      </c>
      <c r="I114" s="54">
        <v>6</v>
      </c>
      <c r="J114" s="54">
        <v>5</v>
      </c>
      <c r="K114" s="54">
        <v>2</v>
      </c>
      <c r="L114" s="54">
        <v>8</v>
      </c>
      <c r="M114" s="54">
        <v>9</v>
      </c>
      <c r="N114" s="54">
        <v>7</v>
      </c>
      <c r="O114" s="54">
        <v>6</v>
      </c>
      <c r="P114" s="54">
        <v>1</v>
      </c>
      <c r="Q114" s="54">
        <v>6</v>
      </c>
      <c r="R114" s="54">
        <v>2</v>
      </c>
      <c r="S114" s="54">
        <v>6</v>
      </c>
      <c r="T114" s="54">
        <v>13</v>
      </c>
      <c r="U114" s="54">
        <v>3</v>
      </c>
      <c r="V114" s="54">
        <v>12</v>
      </c>
      <c r="W114" s="54">
        <v>4</v>
      </c>
      <c r="X114" s="54">
        <v>6</v>
      </c>
      <c r="Y114" s="54">
        <v>3</v>
      </c>
      <c r="Z114" s="54">
        <v>7</v>
      </c>
      <c r="AA114" s="54">
        <v>4</v>
      </c>
      <c r="AB114" s="54">
        <v>5</v>
      </c>
      <c r="AC114" s="54">
        <v>6</v>
      </c>
      <c r="AD114" s="54">
        <v>9</v>
      </c>
      <c r="AE114" s="54">
        <v>8</v>
      </c>
      <c r="AF114" s="54"/>
      <c r="AG114" s="5">
        <f t="shared" si="17"/>
        <v>174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55</v>
      </c>
      <c r="C116" s="20">
        <f t="shared" si="19"/>
        <v>31</v>
      </c>
      <c r="D116" s="20">
        <f t="shared" si="19"/>
        <v>22</v>
      </c>
      <c r="E116" s="20">
        <f t="shared" si="19"/>
        <v>56</v>
      </c>
      <c r="F116" s="20">
        <f t="shared" si="19"/>
        <v>68</v>
      </c>
      <c r="G116" s="20">
        <f t="shared" si="19"/>
        <v>46</v>
      </c>
      <c r="H116" s="20">
        <f t="shared" si="19"/>
        <v>44</v>
      </c>
      <c r="I116" s="20">
        <f t="shared" si="19"/>
        <v>24</v>
      </c>
      <c r="J116" s="20">
        <f t="shared" si="19"/>
        <v>25</v>
      </c>
      <c r="K116" s="20">
        <f t="shared" si="19"/>
        <v>36</v>
      </c>
      <c r="L116" s="20">
        <f t="shared" si="19"/>
        <v>62</v>
      </c>
      <c r="M116" s="20">
        <f t="shared" si="19"/>
        <v>64</v>
      </c>
      <c r="N116" s="20">
        <f t="shared" si="19"/>
        <v>57</v>
      </c>
      <c r="O116" s="20">
        <f t="shared" si="19"/>
        <v>41</v>
      </c>
      <c r="P116" s="20">
        <f t="shared" si="19"/>
        <v>27</v>
      </c>
      <c r="Q116" s="20">
        <f t="shared" si="19"/>
        <v>40</v>
      </c>
      <c r="R116" s="20">
        <f t="shared" si="19"/>
        <v>33</v>
      </c>
      <c r="S116" s="20">
        <f t="shared" si="19"/>
        <v>65</v>
      </c>
      <c r="T116" s="20">
        <f t="shared" si="19"/>
        <v>53</v>
      </c>
      <c r="U116" s="20">
        <f t="shared" si="19"/>
        <v>43</v>
      </c>
      <c r="V116" s="20">
        <f t="shared" si="19"/>
        <v>52</v>
      </c>
      <c r="W116" s="20">
        <f t="shared" si="19"/>
        <v>38</v>
      </c>
      <c r="X116" s="20">
        <f t="shared" si="19"/>
        <v>27</v>
      </c>
      <c r="Y116" s="20">
        <f t="shared" si="19"/>
        <v>35</v>
      </c>
      <c r="Z116" s="20">
        <f t="shared" si="19"/>
        <v>43</v>
      </c>
      <c r="AA116" s="20">
        <f t="shared" si="19"/>
        <v>44</v>
      </c>
      <c r="AB116" s="20">
        <f t="shared" si="19"/>
        <v>44</v>
      </c>
      <c r="AC116" s="20">
        <f t="shared" si="19"/>
        <v>42</v>
      </c>
      <c r="AD116" s="20">
        <f t="shared" si="19"/>
        <v>41</v>
      </c>
      <c r="AE116" s="20">
        <f t="shared" si="19"/>
        <v>29</v>
      </c>
      <c r="AF116" s="20">
        <f t="shared" si="19"/>
        <v>0</v>
      </c>
      <c r="AG116" s="5">
        <f t="shared" si="17"/>
        <v>1287</v>
      </c>
      <c r="AK116" s="84">
        <v>612</v>
      </c>
    </row>
    <row r="117" spans="1:37" ht="15.75" customHeight="1" x14ac:dyDescent="0.25">
      <c r="A117" s="85" t="s">
        <v>65</v>
      </c>
      <c r="B117" s="54">
        <v>51</v>
      </c>
      <c r="C117" s="54">
        <v>31</v>
      </c>
      <c r="D117" s="54">
        <v>21</v>
      </c>
      <c r="E117" s="54">
        <v>54</v>
      </c>
      <c r="F117" s="54">
        <v>63</v>
      </c>
      <c r="G117" s="54">
        <v>43</v>
      </c>
      <c r="H117" s="54">
        <v>42</v>
      </c>
      <c r="I117" s="54">
        <v>24</v>
      </c>
      <c r="J117" s="54">
        <v>24</v>
      </c>
      <c r="K117" s="54">
        <v>35</v>
      </c>
      <c r="L117" s="54">
        <v>58</v>
      </c>
      <c r="M117" s="54">
        <v>60</v>
      </c>
      <c r="N117" s="54">
        <v>55</v>
      </c>
      <c r="O117" s="54">
        <v>39</v>
      </c>
      <c r="P117" s="54">
        <v>27</v>
      </c>
      <c r="Q117" s="54">
        <v>39</v>
      </c>
      <c r="R117" s="54">
        <v>32</v>
      </c>
      <c r="S117" s="54">
        <v>62</v>
      </c>
      <c r="T117" s="54">
        <v>52</v>
      </c>
      <c r="U117" s="54">
        <v>43</v>
      </c>
      <c r="V117" s="54">
        <v>52</v>
      </c>
      <c r="W117" s="54">
        <v>38</v>
      </c>
      <c r="X117" s="54">
        <v>26</v>
      </c>
      <c r="Y117" s="54">
        <v>33</v>
      </c>
      <c r="Z117" s="54">
        <v>40</v>
      </c>
      <c r="AA117" s="54">
        <v>43</v>
      </c>
      <c r="AB117" s="54">
        <v>42</v>
      </c>
      <c r="AC117" s="54">
        <v>42</v>
      </c>
      <c r="AD117" s="54">
        <v>39</v>
      </c>
      <c r="AE117" s="54">
        <v>29</v>
      </c>
      <c r="AF117" s="54"/>
      <c r="AG117" s="5">
        <f t="shared" si="17"/>
        <v>1239</v>
      </c>
      <c r="AK117" s="84">
        <v>613</v>
      </c>
    </row>
    <row r="118" spans="1:37" ht="15.75" customHeight="1" thickBot="1" x14ac:dyDescent="0.3">
      <c r="A118" s="86" t="s">
        <v>77</v>
      </c>
      <c r="B118" s="87">
        <v>4</v>
      </c>
      <c r="C118" s="87">
        <v>0</v>
      </c>
      <c r="D118" s="87">
        <v>1</v>
      </c>
      <c r="E118" s="87">
        <v>2</v>
      </c>
      <c r="F118" s="87">
        <v>5</v>
      </c>
      <c r="G118" s="87">
        <v>3</v>
      </c>
      <c r="H118" s="87">
        <v>2</v>
      </c>
      <c r="I118" s="87">
        <v>0</v>
      </c>
      <c r="J118" s="87">
        <v>1</v>
      </c>
      <c r="K118" s="87">
        <v>1</v>
      </c>
      <c r="L118" s="87">
        <v>4</v>
      </c>
      <c r="M118" s="87">
        <v>4</v>
      </c>
      <c r="N118" s="87">
        <v>2</v>
      </c>
      <c r="O118" s="87">
        <v>2</v>
      </c>
      <c r="P118" s="87">
        <v>0</v>
      </c>
      <c r="Q118" s="87">
        <v>1</v>
      </c>
      <c r="R118" s="87">
        <v>1</v>
      </c>
      <c r="S118" s="87">
        <v>3</v>
      </c>
      <c r="T118" s="87">
        <v>1</v>
      </c>
      <c r="U118" s="87">
        <v>0</v>
      </c>
      <c r="V118" s="87">
        <v>0</v>
      </c>
      <c r="W118" s="87">
        <v>0</v>
      </c>
      <c r="X118" s="87">
        <v>1</v>
      </c>
      <c r="Y118" s="87">
        <v>2</v>
      </c>
      <c r="Z118" s="87">
        <v>3</v>
      </c>
      <c r="AA118" s="87">
        <v>1</v>
      </c>
      <c r="AB118" s="87">
        <v>2</v>
      </c>
      <c r="AC118" s="87">
        <v>0</v>
      </c>
      <c r="AD118" s="87">
        <v>2</v>
      </c>
      <c r="AE118" s="87">
        <v>0</v>
      </c>
      <c r="AF118" s="87"/>
      <c r="AG118" s="5">
        <f t="shared" si="17"/>
        <v>48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209</v>
      </c>
      <c r="C119" s="20">
        <f t="shared" si="20"/>
        <v>152</v>
      </c>
      <c r="D119" s="20">
        <f t="shared" si="20"/>
        <v>147</v>
      </c>
      <c r="E119" s="20">
        <f t="shared" si="20"/>
        <v>235</v>
      </c>
      <c r="F119" s="20">
        <f t="shared" si="20"/>
        <v>249</v>
      </c>
      <c r="G119" s="20">
        <f t="shared" si="20"/>
        <v>202</v>
      </c>
      <c r="H119" s="20">
        <f t="shared" si="20"/>
        <v>146</v>
      </c>
      <c r="I119" s="20">
        <f t="shared" si="20"/>
        <v>124</v>
      </c>
      <c r="J119" s="20">
        <f t="shared" si="20"/>
        <v>125</v>
      </c>
      <c r="K119" s="20">
        <f t="shared" si="20"/>
        <v>144</v>
      </c>
      <c r="L119" s="20">
        <f t="shared" si="20"/>
        <v>245</v>
      </c>
      <c r="M119" s="20">
        <f t="shared" si="20"/>
        <v>279</v>
      </c>
      <c r="N119" s="20">
        <f t="shared" si="20"/>
        <v>185</v>
      </c>
      <c r="O119" s="20">
        <f t="shared" si="20"/>
        <v>164</v>
      </c>
      <c r="P119" s="20">
        <f t="shared" si="20"/>
        <v>166</v>
      </c>
      <c r="Q119" s="20">
        <f t="shared" si="20"/>
        <v>163</v>
      </c>
      <c r="R119" s="20">
        <f t="shared" si="20"/>
        <v>169</v>
      </c>
      <c r="S119" s="20">
        <f t="shared" si="20"/>
        <v>245</v>
      </c>
      <c r="T119" s="20">
        <f t="shared" si="20"/>
        <v>213</v>
      </c>
      <c r="U119" s="20">
        <f t="shared" si="20"/>
        <v>159</v>
      </c>
      <c r="V119" s="20">
        <f t="shared" si="20"/>
        <v>242</v>
      </c>
      <c r="W119" s="20">
        <f t="shared" si="20"/>
        <v>169</v>
      </c>
      <c r="X119" s="20">
        <f t="shared" si="20"/>
        <v>110</v>
      </c>
      <c r="Y119" s="20">
        <f t="shared" si="20"/>
        <v>121</v>
      </c>
      <c r="Z119" s="20">
        <f t="shared" si="20"/>
        <v>164</v>
      </c>
      <c r="AA119" s="20">
        <f t="shared" si="20"/>
        <v>171</v>
      </c>
      <c r="AB119" s="20">
        <f t="shared" si="20"/>
        <v>219</v>
      </c>
      <c r="AC119" s="20">
        <f t="shared" si="20"/>
        <v>209</v>
      </c>
      <c r="AD119" s="20">
        <f t="shared" si="20"/>
        <v>193</v>
      </c>
      <c r="AE119" s="20">
        <f t="shared" si="20"/>
        <v>165</v>
      </c>
      <c r="AF119" s="20">
        <f t="shared" si="20"/>
        <v>0</v>
      </c>
      <c r="AG119" s="7">
        <f t="shared" si="17"/>
        <v>5484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50</v>
      </c>
      <c r="C120" s="54">
        <v>25</v>
      </c>
      <c r="D120" s="54">
        <v>21</v>
      </c>
      <c r="E120" s="54">
        <v>54</v>
      </c>
      <c r="F120" s="54">
        <v>56</v>
      </c>
      <c r="G120" s="54">
        <v>39</v>
      </c>
      <c r="H120" s="54">
        <v>36</v>
      </c>
      <c r="I120" s="54">
        <v>23</v>
      </c>
      <c r="J120" s="54">
        <v>20</v>
      </c>
      <c r="K120" s="54">
        <v>32</v>
      </c>
      <c r="L120" s="54">
        <v>51</v>
      </c>
      <c r="M120" s="54">
        <v>56</v>
      </c>
      <c r="N120" s="54">
        <v>49</v>
      </c>
      <c r="O120" s="54">
        <v>31</v>
      </c>
      <c r="P120" s="54">
        <v>26</v>
      </c>
      <c r="Q120" s="54">
        <v>28</v>
      </c>
      <c r="R120" s="54">
        <v>27</v>
      </c>
      <c r="S120" s="54">
        <v>56</v>
      </c>
      <c r="T120" s="54">
        <v>43</v>
      </c>
      <c r="U120" s="54">
        <v>38</v>
      </c>
      <c r="V120" s="54">
        <v>45</v>
      </c>
      <c r="W120" s="54">
        <v>33</v>
      </c>
      <c r="X120" s="54">
        <v>19</v>
      </c>
      <c r="Y120" s="54">
        <v>30</v>
      </c>
      <c r="Z120" s="54">
        <v>39</v>
      </c>
      <c r="AA120" s="54">
        <v>43</v>
      </c>
      <c r="AB120" s="54">
        <v>39</v>
      </c>
      <c r="AC120" s="54">
        <v>38</v>
      </c>
      <c r="AD120" s="54">
        <v>37</v>
      </c>
      <c r="AE120" s="54">
        <v>27</v>
      </c>
      <c r="AF120" s="54"/>
      <c r="AG120" s="5">
        <f t="shared" si="17"/>
        <v>1111</v>
      </c>
      <c r="AK120" s="88" t="s">
        <v>131</v>
      </c>
    </row>
    <row r="121" spans="1:37" ht="15.75" customHeight="1" x14ac:dyDescent="0.25">
      <c r="A121" s="85" t="s">
        <v>66</v>
      </c>
      <c r="B121" s="54">
        <v>8</v>
      </c>
      <c r="C121" s="54">
        <v>4</v>
      </c>
      <c r="D121" s="54">
        <v>3</v>
      </c>
      <c r="E121" s="54">
        <v>12</v>
      </c>
      <c r="F121" s="54">
        <v>14</v>
      </c>
      <c r="G121" s="54">
        <v>6</v>
      </c>
      <c r="H121" s="54">
        <v>8</v>
      </c>
      <c r="I121" s="54">
        <v>2</v>
      </c>
      <c r="J121" s="54">
        <v>5</v>
      </c>
      <c r="K121" s="54">
        <v>6</v>
      </c>
      <c r="L121" s="54">
        <v>13</v>
      </c>
      <c r="M121" s="54">
        <v>11</v>
      </c>
      <c r="N121" s="54">
        <v>4</v>
      </c>
      <c r="O121" s="54">
        <v>4</v>
      </c>
      <c r="P121" s="54">
        <v>5</v>
      </c>
      <c r="Q121" s="54">
        <v>10</v>
      </c>
      <c r="R121" s="54">
        <v>9</v>
      </c>
      <c r="S121" s="54">
        <v>4</v>
      </c>
      <c r="T121" s="54">
        <v>14</v>
      </c>
      <c r="U121" s="54">
        <v>11</v>
      </c>
      <c r="V121" s="54">
        <v>5</v>
      </c>
      <c r="W121" s="54">
        <v>8</v>
      </c>
      <c r="X121" s="54">
        <v>3</v>
      </c>
      <c r="Y121" s="54">
        <v>2</v>
      </c>
      <c r="Z121" s="54">
        <v>7</v>
      </c>
      <c r="AA121" s="54">
        <v>13</v>
      </c>
      <c r="AB121" s="54">
        <v>4</v>
      </c>
      <c r="AC121" s="54">
        <v>8</v>
      </c>
      <c r="AD121" s="54">
        <v>6</v>
      </c>
      <c r="AE121" s="54">
        <v>11</v>
      </c>
      <c r="AF121" s="54"/>
      <c r="AG121" s="5">
        <f t="shared" si="17"/>
        <v>220</v>
      </c>
      <c r="AK121" s="84" t="s">
        <v>132</v>
      </c>
    </row>
    <row r="122" spans="1:37" ht="15.75" customHeight="1" x14ac:dyDescent="0.25">
      <c r="A122" s="85" t="s">
        <v>67</v>
      </c>
      <c r="B122" s="54">
        <v>7</v>
      </c>
      <c r="C122" s="54">
        <v>10</v>
      </c>
      <c r="D122" s="54">
        <v>11</v>
      </c>
      <c r="E122" s="54">
        <v>10</v>
      </c>
      <c r="F122" s="54">
        <v>18</v>
      </c>
      <c r="G122" s="54">
        <v>18</v>
      </c>
      <c r="H122" s="54">
        <v>8</v>
      </c>
      <c r="I122" s="54">
        <v>4</v>
      </c>
      <c r="J122" s="54">
        <v>10</v>
      </c>
      <c r="K122" s="54">
        <v>5</v>
      </c>
      <c r="L122" s="54">
        <v>9</v>
      </c>
      <c r="M122" s="54">
        <v>28</v>
      </c>
      <c r="N122" s="54">
        <v>9</v>
      </c>
      <c r="O122" s="54">
        <v>9</v>
      </c>
      <c r="P122" s="54">
        <v>7</v>
      </c>
      <c r="Q122" s="54">
        <v>6</v>
      </c>
      <c r="R122" s="54">
        <v>13</v>
      </c>
      <c r="S122" s="54">
        <v>15</v>
      </c>
      <c r="T122" s="54">
        <v>17</v>
      </c>
      <c r="U122" s="54">
        <v>13</v>
      </c>
      <c r="V122" s="54">
        <v>14</v>
      </c>
      <c r="W122" s="54">
        <v>10</v>
      </c>
      <c r="X122" s="54">
        <v>2</v>
      </c>
      <c r="Y122" s="54">
        <v>5</v>
      </c>
      <c r="Z122" s="54">
        <v>6</v>
      </c>
      <c r="AA122" s="54">
        <v>8</v>
      </c>
      <c r="AB122" s="54">
        <v>10</v>
      </c>
      <c r="AC122" s="54">
        <v>8</v>
      </c>
      <c r="AD122" s="54">
        <v>5</v>
      </c>
      <c r="AE122" s="54">
        <v>9</v>
      </c>
      <c r="AF122" s="54"/>
      <c r="AG122" s="5">
        <f t="shared" si="17"/>
        <v>304</v>
      </c>
      <c r="AK122" s="88" t="s">
        <v>133</v>
      </c>
    </row>
    <row r="123" spans="1:37" ht="15.75" customHeight="1" x14ac:dyDescent="0.25">
      <c r="A123" s="85" t="s">
        <v>68</v>
      </c>
      <c r="B123" s="54">
        <v>4</v>
      </c>
      <c r="C123" s="54">
        <v>6</v>
      </c>
      <c r="D123" s="54">
        <v>4</v>
      </c>
      <c r="E123" s="54">
        <v>14</v>
      </c>
      <c r="F123" s="54">
        <v>7</v>
      </c>
      <c r="G123" s="54">
        <v>7</v>
      </c>
      <c r="H123" s="54">
        <v>5</v>
      </c>
      <c r="I123" s="54">
        <v>8</v>
      </c>
      <c r="J123" s="54">
        <v>4</v>
      </c>
      <c r="K123" s="54">
        <v>7</v>
      </c>
      <c r="L123" s="54">
        <v>9</v>
      </c>
      <c r="M123" s="54">
        <v>9</v>
      </c>
      <c r="N123" s="54">
        <v>5</v>
      </c>
      <c r="O123" s="54">
        <v>7</v>
      </c>
      <c r="P123" s="54">
        <v>9</v>
      </c>
      <c r="Q123" s="54">
        <v>12</v>
      </c>
      <c r="R123" s="54">
        <v>11</v>
      </c>
      <c r="S123" s="54">
        <v>8</v>
      </c>
      <c r="T123" s="54">
        <v>12</v>
      </c>
      <c r="U123" s="54">
        <v>8</v>
      </c>
      <c r="V123" s="54">
        <v>15</v>
      </c>
      <c r="W123" s="54">
        <v>6</v>
      </c>
      <c r="X123" s="54">
        <v>8</v>
      </c>
      <c r="Y123" s="54">
        <v>7</v>
      </c>
      <c r="Z123" s="54">
        <v>9</v>
      </c>
      <c r="AA123" s="54">
        <v>5</v>
      </c>
      <c r="AB123" s="54">
        <v>4</v>
      </c>
      <c r="AC123" s="54">
        <v>13</v>
      </c>
      <c r="AD123" s="54">
        <v>11</v>
      </c>
      <c r="AE123" s="54">
        <v>8</v>
      </c>
      <c r="AF123" s="54"/>
      <c r="AG123" s="5">
        <f t="shared" si="17"/>
        <v>242</v>
      </c>
      <c r="AK123" s="84" t="s">
        <v>134</v>
      </c>
    </row>
    <row r="124" spans="1:37" ht="15.75" customHeight="1" x14ac:dyDescent="0.25">
      <c r="A124" s="85" t="s">
        <v>69</v>
      </c>
      <c r="B124" s="54">
        <v>10</v>
      </c>
      <c r="C124" s="54">
        <v>10</v>
      </c>
      <c r="D124" s="54">
        <v>10</v>
      </c>
      <c r="E124" s="54">
        <v>12</v>
      </c>
      <c r="F124" s="54">
        <v>19</v>
      </c>
      <c r="G124" s="54">
        <v>20</v>
      </c>
      <c r="H124" s="54">
        <v>15</v>
      </c>
      <c r="I124" s="54">
        <v>4</v>
      </c>
      <c r="J124" s="54">
        <v>7</v>
      </c>
      <c r="K124" s="54">
        <v>7</v>
      </c>
      <c r="L124" s="54">
        <v>9</v>
      </c>
      <c r="M124" s="54">
        <v>22</v>
      </c>
      <c r="N124" s="54">
        <v>16</v>
      </c>
      <c r="O124" s="54">
        <v>8</v>
      </c>
      <c r="P124" s="54">
        <v>6</v>
      </c>
      <c r="Q124" s="54">
        <v>12</v>
      </c>
      <c r="R124" s="54">
        <v>12</v>
      </c>
      <c r="S124" s="54">
        <v>23</v>
      </c>
      <c r="T124" s="54">
        <v>13</v>
      </c>
      <c r="U124" s="54">
        <v>10</v>
      </c>
      <c r="V124" s="54">
        <v>10</v>
      </c>
      <c r="W124" s="54">
        <v>15</v>
      </c>
      <c r="X124" s="54">
        <v>7</v>
      </c>
      <c r="Y124" s="54">
        <v>9</v>
      </c>
      <c r="Z124" s="54">
        <v>8</v>
      </c>
      <c r="AA124" s="54">
        <v>8</v>
      </c>
      <c r="AB124" s="54">
        <v>15</v>
      </c>
      <c r="AC124" s="54">
        <v>10</v>
      </c>
      <c r="AD124" s="54">
        <v>12</v>
      </c>
      <c r="AE124" s="54">
        <v>14</v>
      </c>
      <c r="AF124" s="54"/>
      <c r="AG124" s="5">
        <f t="shared" si="17"/>
        <v>353</v>
      </c>
      <c r="AK124" s="88" t="s">
        <v>135</v>
      </c>
    </row>
    <row r="125" spans="1:37" ht="15.75" customHeight="1" x14ac:dyDescent="0.25">
      <c r="A125" s="85" t="s">
        <v>70</v>
      </c>
      <c r="B125" s="54">
        <v>101</v>
      </c>
      <c r="C125" s="54">
        <v>83</v>
      </c>
      <c r="D125" s="54">
        <v>79</v>
      </c>
      <c r="E125" s="54">
        <v>105</v>
      </c>
      <c r="F125" s="54">
        <v>97</v>
      </c>
      <c r="G125" s="54">
        <v>80</v>
      </c>
      <c r="H125" s="54">
        <v>54</v>
      </c>
      <c r="I125" s="54">
        <v>65</v>
      </c>
      <c r="J125" s="54">
        <v>62</v>
      </c>
      <c r="K125" s="54">
        <v>69</v>
      </c>
      <c r="L125" s="54">
        <v>105</v>
      </c>
      <c r="M125" s="54">
        <v>119</v>
      </c>
      <c r="N125" s="54">
        <v>74</v>
      </c>
      <c r="O125" s="54">
        <v>86</v>
      </c>
      <c r="P125" s="54">
        <v>87</v>
      </c>
      <c r="Q125" s="54">
        <v>69</v>
      </c>
      <c r="R125" s="54">
        <v>73</v>
      </c>
      <c r="S125" s="54">
        <v>105</v>
      </c>
      <c r="T125" s="54">
        <v>94</v>
      </c>
      <c r="U125" s="54">
        <v>57</v>
      </c>
      <c r="V125" s="54">
        <v>117</v>
      </c>
      <c r="W125" s="54">
        <v>76</v>
      </c>
      <c r="X125" s="54">
        <v>50</v>
      </c>
      <c r="Y125" s="54">
        <v>48</v>
      </c>
      <c r="Z125" s="54">
        <v>72</v>
      </c>
      <c r="AA125" s="54">
        <v>67</v>
      </c>
      <c r="AB125" s="54">
        <v>108</v>
      </c>
      <c r="AC125" s="54">
        <v>89</v>
      </c>
      <c r="AD125" s="54">
        <v>89</v>
      </c>
      <c r="AE125" s="54">
        <v>66</v>
      </c>
      <c r="AF125" s="54"/>
      <c r="AG125" s="5">
        <f t="shared" si="17"/>
        <v>2446</v>
      </c>
      <c r="AK125" s="88" t="s">
        <v>136</v>
      </c>
    </row>
    <row r="126" spans="1:37" ht="15.75" customHeight="1" x14ac:dyDescent="0.25">
      <c r="A126" s="85" t="s">
        <v>71</v>
      </c>
      <c r="B126" s="54">
        <v>5</v>
      </c>
      <c r="C126" s="54">
        <v>1</v>
      </c>
      <c r="D126" s="54">
        <v>4</v>
      </c>
      <c r="E126" s="54">
        <v>3</v>
      </c>
      <c r="F126" s="54">
        <v>2</v>
      </c>
      <c r="G126" s="54">
        <v>8</v>
      </c>
      <c r="H126" s="54">
        <v>0</v>
      </c>
      <c r="I126" s="54">
        <v>3</v>
      </c>
      <c r="J126" s="54">
        <v>1</v>
      </c>
      <c r="K126" s="54">
        <v>2</v>
      </c>
      <c r="L126" s="54">
        <v>4</v>
      </c>
      <c r="M126" s="54">
        <v>7</v>
      </c>
      <c r="N126" s="54">
        <v>6</v>
      </c>
      <c r="O126" s="54">
        <v>1</v>
      </c>
      <c r="P126" s="54">
        <v>4</v>
      </c>
      <c r="Q126" s="54">
        <v>4</v>
      </c>
      <c r="R126" s="54">
        <v>1</v>
      </c>
      <c r="S126" s="54">
        <v>8</v>
      </c>
      <c r="T126" s="54">
        <v>3</v>
      </c>
      <c r="U126" s="54">
        <v>4</v>
      </c>
      <c r="V126" s="54">
        <v>3</v>
      </c>
      <c r="W126" s="54">
        <v>3</v>
      </c>
      <c r="X126" s="54">
        <v>4</v>
      </c>
      <c r="Y126" s="54">
        <v>1</v>
      </c>
      <c r="Z126" s="54">
        <v>2</v>
      </c>
      <c r="AA126" s="54">
        <v>2</v>
      </c>
      <c r="AB126" s="54">
        <v>3</v>
      </c>
      <c r="AC126" s="54">
        <v>4</v>
      </c>
      <c r="AD126" s="54">
        <v>4</v>
      </c>
      <c r="AE126" s="54">
        <v>3</v>
      </c>
      <c r="AF126" s="54"/>
      <c r="AG126" s="5">
        <f t="shared" si="17"/>
        <v>100</v>
      </c>
      <c r="AK126" s="84" t="s">
        <v>137</v>
      </c>
    </row>
    <row r="127" spans="1:37" ht="15.75" customHeight="1" x14ac:dyDescent="0.25">
      <c r="A127" s="85" t="s">
        <v>72</v>
      </c>
      <c r="B127" s="54">
        <v>2</v>
      </c>
      <c r="C127" s="54">
        <v>0</v>
      </c>
      <c r="D127" s="54">
        <v>1</v>
      </c>
      <c r="E127" s="54">
        <v>3</v>
      </c>
      <c r="F127" s="54">
        <v>2</v>
      </c>
      <c r="G127" s="54">
        <v>2</v>
      </c>
      <c r="H127" s="54">
        <v>2</v>
      </c>
      <c r="I127" s="54">
        <v>2</v>
      </c>
      <c r="J127" s="54">
        <v>1</v>
      </c>
      <c r="K127" s="54">
        <v>4</v>
      </c>
      <c r="L127" s="54">
        <v>1</v>
      </c>
      <c r="M127" s="54">
        <v>1</v>
      </c>
      <c r="N127" s="54">
        <v>4</v>
      </c>
      <c r="O127" s="54">
        <v>2</v>
      </c>
      <c r="P127" s="54">
        <v>1</v>
      </c>
      <c r="Q127" s="54">
        <v>2</v>
      </c>
      <c r="R127" s="54">
        <v>1</v>
      </c>
      <c r="S127" s="54">
        <v>3</v>
      </c>
      <c r="T127" s="54">
        <v>2</v>
      </c>
      <c r="U127" s="54">
        <v>2</v>
      </c>
      <c r="V127" s="54">
        <v>2</v>
      </c>
      <c r="W127" s="54">
        <v>3</v>
      </c>
      <c r="X127" s="54">
        <v>1</v>
      </c>
      <c r="Y127" s="54">
        <v>0</v>
      </c>
      <c r="Z127" s="54">
        <v>1</v>
      </c>
      <c r="AA127" s="54">
        <v>2</v>
      </c>
      <c r="AB127" s="54">
        <v>3</v>
      </c>
      <c r="AC127" s="54">
        <v>2</v>
      </c>
      <c r="AD127" s="54">
        <v>4</v>
      </c>
      <c r="AE127" s="54">
        <v>3</v>
      </c>
      <c r="AF127" s="54"/>
      <c r="AG127" s="5">
        <f t="shared" si="17"/>
        <v>59</v>
      </c>
      <c r="AK127" s="88" t="s">
        <v>138</v>
      </c>
    </row>
    <row r="128" spans="1:37" ht="15.75" customHeight="1" x14ac:dyDescent="0.25">
      <c r="A128" s="56" t="s">
        <v>73</v>
      </c>
      <c r="B128" s="54">
        <v>2</v>
      </c>
      <c r="C128" s="54">
        <v>6</v>
      </c>
      <c r="D128" s="54">
        <v>4</v>
      </c>
      <c r="E128" s="54">
        <v>2</v>
      </c>
      <c r="F128" s="54">
        <v>0</v>
      </c>
      <c r="G128" s="54">
        <v>3</v>
      </c>
      <c r="H128" s="54">
        <v>0</v>
      </c>
      <c r="I128" s="54">
        <v>3</v>
      </c>
      <c r="J128" s="54">
        <v>3</v>
      </c>
      <c r="K128" s="54">
        <v>3</v>
      </c>
      <c r="L128" s="54">
        <v>2</v>
      </c>
      <c r="M128" s="54">
        <v>6</v>
      </c>
      <c r="N128" s="54">
        <v>3</v>
      </c>
      <c r="O128" s="54">
        <v>1</v>
      </c>
      <c r="P128" s="54">
        <v>1</v>
      </c>
      <c r="Q128" s="54">
        <v>4</v>
      </c>
      <c r="R128" s="54">
        <v>0</v>
      </c>
      <c r="S128" s="54">
        <v>3</v>
      </c>
      <c r="T128" s="54">
        <v>1</v>
      </c>
      <c r="U128" s="54">
        <v>2</v>
      </c>
      <c r="V128" s="54">
        <v>4</v>
      </c>
      <c r="W128" s="54">
        <v>1</v>
      </c>
      <c r="X128" s="54">
        <v>1</v>
      </c>
      <c r="Y128" s="54">
        <v>2</v>
      </c>
      <c r="Z128" s="54">
        <v>0</v>
      </c>
      <c r="AA128" s="54">
        <v>2</v>
      </c>
      <c r="AB128" s="54">
        <v>9</v>
      </c>
      <c r="AC128" s="54">
        <v>5</v>
      </c>
      <c r="AD128" s="54">
        <v>2</v>
      </c>
      <c r="AE128" s="54">
        <v>2</v>
      </c>
      <c r="AF128" s="54"/>
      <c r="AG128" s="5">
        <f t="shared" si="17"/>
        <v>77</v>
      </c>
      <c r="AK128" s="88" t="s">
        <v>139</v>
      </c>
    </row>
    <row r="129" spans="1:37" ht="15.75" customHeight="1" x14ac:dyDescent="0.25">
      <c r="A129" s="56" t="s">
        <v>74</v>
      </c>
      <c r="B129" s="54">
        <v>1</v>
      </c>
      <c r="C129" s="54">
        <v>0</v>
      </c>
      <c r="D129" s="54">
        <v>0</v>
      </c>
      <c r="E129" s="54">
        <v>0</v>
      </c>
      <c r="F129" s="54">
        <v>0</v>
      </c>
      <c r="G129" s="54">
        <v>0</v>
      </c>
      <c r="H129" s="54">
        <v>0</v>
      </c>
      <c r="I129" s="54">
        <v>1</v>
      </c>
      <c r="J129" s="54">
        <v>1</v>
      </c>
      <c r="K129" s="54">
        <v>0</v>
      </c>
      <c r="L129" s="54">
        <v>7</v>
      </c>
      <c r="M129" s="54">
        <v>2</v>
      </c>
      <c r="N129" s="54">
        <v>2</v>
      </c>
      <c r="O129" s="54">
        <v>0</v>
      </c>
      <c r="P129" s="54">
        <v>0</v>
      </c>
      <c r="Q129" s="54">
        <v>0</v>
      </c>
      <c r="R129" s="54">
        <v>2</v>
      </c>
      <c r="S129" s="54">
        <v>2</v>
      </c>
      <c r="T129" s="54">
        <v>0</v>
      </c>
      <c r="U129" s="54">
        <v>2</v>
      </c>
      <c r="V129" s="54">
        <v>1</v>
      </c>
      <c r="W129" s="54">
        <v>1</v>
      </c>
      <c r="X129" s="54">
        <v>1</v>
      </c>
      <c r="Y129" s="54">
        <v>1</v>
      </c>
      <c r="Z129" s="54">
        <v>2</v>
      </c>
      <c r="AA129" s="54">
        <v>2</v>
      </c>
      <c r="AB129" s="54">
        <v>2</v>
      </c>
      <c r="AC129" s="54">
        <v>2</v>
      </c>
      <c r="AD129" s="54">
        <v>0</v>
      </c>
      <c r="AE129" s="54">
        <v>1</v>
      </c>
      <c r="AF129" s="54"/>
      <c r="AG129" s="5">
        <f t="shared" si="17"/>
        <v>33</v>
      </c>
      <c r="AK129" s="84" t="s">
        <v>140</v>
      </c>
    </row>
    <row r="130" spans="1:37" ht="15.75" customHeight="1" x14ac:dyDescent="0.25">
      <c r="A130" s="56" t="s">
        <v>75</v>
      </c>
      <c r="B130" s="54">
        <v>0</v>
      </c>
      <c r="C130" s="54">
        <v>0</v>
      </c>
      <c r="D130" s="54">
        <v>1</v>
      </c>
      <c r="E130" s="54">
        <v>1</v>
      </c>
      <c r="F130" s="54">
        <v>0</v>
      </c>
      <c r="G130" s="54">
        <v>0</v>
      </c>
      <c r="H130" s="54">
        <v>0</v>
      </c>
      <c r="I130" s="54">
        <v>1</v>
      </c>
      <c r="J130" s="54">
        <v>0</v>
      </c>
      <c r="K130" s="54">
        <v>0</v>
      </c>
      <c r="L130" s="54">
        <v>2</v>
      </c>
      <c r="M130" s="54">
        <v>1</v>
      </c>
      <c r="N130" s="54">
        <v>0</v>
      </c>
      <c r="O130" s="54">
        <v>0</v>
      </c>
      <c r="P130" s="54">
        <v>1</v>
      </c>
      <c r="Q130" s="54">
        <v>1</v>
      </c>
      <c r="R130" s="54">
        <v>0</v>
      </c>
      <c r="S130" s="54">
        <v>0</v>
      </c>
      <c r="T130" s="54">
        <v>0</v>
      </c>
      <c r="U130" s="54">
        <v>0</v>
      </c>
      <c r="V130" s="54">
        <v>0</v>
      </c>
      <c r="W130" s="54">
        <v>0</v>
      </c>
      <c r="X130" s="54">
        <v>1</v>
      </c>
      <c r="Y130" s="54">
        <v>1</v>
      </c>
      <c r="Z130" s="54">
        <v>1</v>
      </c>
      <c r="AA130" s="54">
        <v>0</v>
      </c>
      <c r="AB130" s="54">
        <v>0</v>
      </c>
      <c r="AC130" s="54">
        <v>0</v>
      </c>
      <c r="AD130" s="54">
        <v>1</v>
      </c>
      <c r="AE130" s="54">
        <v>0</v>
      </c>
      <c r="AF130" s="54"/>
      <c r="AG130" s="5">
        <f t="shared" si="17"/>
        <v>12</v>
      </c>
      <c r="AK130" s="84" t="s">
        <v>141</v>
      </c>
    </row>
    <row r="131" spans="1:37" ht="15.75" customHeight="1" x14ac:dyDescent="0.25">
      <c r="A131" s="85" t="s">
        <v>76</v>
      </c>
      <c r="B131" s="54">
        <v>11</v>
      </c>
      <c r="C131" s="54">
        <v>4</v>
      </c>
      <c r="D131" s="54">
        <v>5</v>
      </c>
      <c r="E131" s="54">
        <v>10</v>
      </c>
      <c r="F131" s="54">
        <v>17</v>
      </c>
      <c r="G131" s="54">
        <v>7</v>
      </c>
      <c r="H131" s="54">
        <v>9</v>
      </c>
      <c r="I131" s="54">
        <v>6</v>
      </c>
      <c r="J131" s="54">
        <v>5</v>
      </c>
      <c r="K131" s="54">
        <v>6</v>
      </c>
      <c r="L131" s="54">
        <v>13</v>
      </c>
      <c r="M131" s="54">
        <v>6</v>
      </c>
      <c r="N131" s="54">
        <v>7</v>
      </c>
      <c r="O131" s="54">
        <v>10</v>
      </c>
      <c r="P131" s="54">
        <v>9</v>
      </c>
      <c r="Q131" s="54">
        <v>7</v>
      </c>
      <c r="R131" s="54">
        <v>9</v>
      </c>
      <c r="S131" s="54">
        <v>9</v>
      </c>
      <c r="T131" s="54">
        <v>6</v>
      </c>
      <c r="U131" s="54">
        <v>6</v>
      </c>
      <c r="V131" s="54">
        <v>10</v>
      </c>
      <c r="W131" s="54">
        <v>6</v>
      </c>
      <c r="X131" s="54">
        <v>4</v>
      </c>
      <c r="Y131" s="54">
        <v>7</v>
      </c>
      <c r="Z131" s="54">
        <v>7</v>
      </c>
      <c r="AA131" s="54">
        <v>8</v>
      </c>
      <c r="AB131" s="54">
        <v>12</v>
      </c>
      <c r="AC131" s="54">
        <v>15</v>
      </c>
      <c r="AD131" s="54">
        <v>14</v>
      </c>
      <c r="AE131" s="54">
        <v>13</v>
      </c>
      <c r="AF131" s="54"/>
      <c r="AG131" s="5">
        <f t="shared" si="17"/>
        <v>258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8</v>
      </c>
      <c r="C132" s="87">
        <v>3</v>
      </c>
      <c r="D132" s="87">
        <v>4</v>
      </c>
      <c r="E132" s="87">
        <v>9</v>
      </c>
      <c r="F132" s="87">
        <v>17</v>
      </c>
      <c r="G132" s="87">
        <v>12</v>
      </c>
      <c r="H132" s="87">
        <v>9</v>
      </c>
      <c r="I132" s="87">
        <v>2</v>
      </c>
      <c r="J132" s="87">
        <v>6</v>
      </c>
      <c r="K132" s="87">
        <v>3</v>
      </c>
      <c r="L132" s="87">
        <v>20</v>
      </c>
      <c r="M132" s="87">
        <v>11</v>
      </c>
      <c r="N132" s="87">
        <v>6</v>
      </c>
      <c r="O132" s="87">
        <v>5</v>
      </c>
      <c r="P132" s="87">
        <v>10</v>
      </c>
      <c r="Q132" s="87">
        <v>8</v>
      </c>
      <c r="R132" s="87">
        <v>11</v>
      </c>
      <c r="S132" s="87">
        <v>9</v>
      </c>
      <c r="T132" s="87">
        <v>8</v>
      </c>
      <c r="U132" s="87">
        <v>6</v>
      </c>
      <c r="V132" s="87">
        <v>16</v>
      </c>
      <c r="W132" s="87">
        <v>7</v>
      </c>
      <c r="X132" s="87">
        <v>9</v>
      </c>
      <c r="Y132" s="87">
        <v>8</v>
      </c>
      <c r="Z132" s="87">
        <v>10</v>
      </c>
      <c r="AA132" s="87">
        <v>11</v>
      </c>
      <c r="AB132" s="87">
        <v>10</v>
      </c>
      <c r="AC132" s="87">
        <v>15</v>
      </c>
      <c r="AD132" s="87">
        <v>8</v>
      </c>
      <c r="AE132" s="87">
        <v>8</v>
      </c>
      <c r="AF132" s="87"/>
      <c r="AG132" s="9">
        <f t="shared" si="17"/>
        <v>269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209</v>
      </c>
      <c r="C133" s="14">
        <f t="shared" si="21"/>
        <v>152</v>
      </c>
      <c r="D133" s="14">
        <f t="shared" si="21"/>
        <v>147</v>
      </c>
      <c r="E133" s="14">
        <f t="shared" si="21"/>
        <v>235</v>
      </c>
      <c r="F133" s="14">
        <f t="shared" si="21"/>
        <v>249</v>
      </c>
      <c r="G133" s="14">
        <f t="shared" si="21"/>
        <v>202</v>
      </c>
      <c r="H133" s="14">
        <f t="shared" si="21"/>
        <v>146</v>
      </c>
      <c r="I133" s="14">
        <f t="shared" si="21"/>
        <v>124</v>
      </c>
      <c r="J133" s="14">
        <f t="shared" si="21"/>
        <v>125</v>
      </c>
      <c r="K133" s="14">
        <f t="shared" si="21"/>
        <v>144</v>
      </c>
      <c r="L133" s="14">
        <f t="shared" si="21"/>
        <v>245</v>
      </c>
      <c r="M133" s="14">
        <f t="shared" si="21"/>
        <v>279</v>
      </c>
      <c r="N133" s="14">
        <f t="shared" si="21"/>
        <v>185</v>
      </c>
      <c r="O133" s="14">
        <f t="shared" si="21"/>
        <v>164</v>
      </c>
      <c r="P133" s="14">
        <f t="shared" si="21"/>
        <v>166</v>
      </c>
      <c r="Q133" s="14">
        <f t="shared" si="21"/>
        <v>163</v>
      </c>
      <c r="R133" s="14">
        <f t="shared" si="21"/>
        <v>169</v>
      </c>
      <c r="S133" s="14">
        <f t="shared" si="21"/>
        <v>245</v>
      </c>
      <c r="T133" s="14">
        <f t="shared" si="21"/>
        <v>213</v>
      </c>
      <c r="U133" s="14">
        <f t="shared" si="21"/>
        <v>159</v>
      </c>
      <c r="V133" s="14">
        <f t="shared" si="21"/>
        <v>242</v>
      </c>
      <c r="W133" s="14">
        <f t="shared" si="21"/>
        <v>169</v>
      </c>
      <c r="X133" s="14">
        <f t="shared" si="21"/>
        <v>110</v>
      </c>
      <c r="Y133" s="14">
        <f t="shared" si="21"/>
        <v>121</v>
      </c>
      <c r="Z133" s="14">
        <f t="shared" si="21"/>
        <v>164</v>
      </c>
      <c r="AA133" s="14">
        <f t="shared" si="21"/>
        <v>171</v>
      </c>
      <c r="AB133" s="14">
        <f t="shared" si="21"/>
        <v>219</v>
      </c>
      <c r="AC133" s="14">
        <f t="shared" si="21"/>
        <v>209</v>
      </c>
      <c r="AD133" s="14">
        <f t="shared" si="21"/>
        <v>193</v>
      </c>
      <c r="AE133" s="14">
        <f t="shared" si="21"/>
        <v>165</v>
      </c>
      <c r="AF133" s="14">
        <f t="shared" si="21"/>
        <v>0</v>
      </c>
      <c r="AG133" s="10">
        <f t="shared" si="17"/>
        <v>5484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9</v>
      </c>
      <c r="C134" s="22">
        <f t="shared" si="22"/>
        <v>23</v>
      </c>
      <c r="D134" s="22">
        <f t="shared" si="22"/>
        <v>7</v>
      </c>
      <c r="E134" s="22">
        <f t="shared" si="22"/>
        <v>1</v>
      </c>
      <c r="F134" s="22">
        <f t="shared" si="22"/>
        <v>23</v>
      </c>
      <c r="G134" s="22">
        <f t="shared" si="22"/>
        <v>33</v>
      </c>
      <c r="H134" s="22">
        <f t="shared" si="22"/>
        <v>31</v>
      </c>
      <c r="I134" s="22">
        <f t="shared" si="22"/>
        <v>51</v>
      </c>
      <c r="J134" s="22">
        <f t="shared" si="22"/>
        <v>38</v>
      </c>
      <c r="K134" s="22">
        <f t="shared" si="22"/>
        <v>31</v>
      </c>
      <c r="L134" s="22">
        <f t="shared" si="22"/>
        <v>24</v>
      </c>
      <c r="M134" s="22">
        <f t="shared" si="22"/>
        <v>16</v>
      </c>
      <c r="N134" s="22">
        <f t="shared" si="22"/>
        <v>39</v>
      </c>
      <c r="O134" s="22">
        <f t="shared" si="22"/>
        <v>49</v>
      </c>
      <c r="P134" s="22">
        <f t="shared" si="22"/>
        <v>19</v>
      </c>
      <c r="Q134" s="22">
        <f t="shared" si="22"/>
        <v>48</v>
      </c>
      <c r="R134" s="22">
        <f t="shared" si="22"/>
        <v>28</v>
      </c>
      <c r="S134" s="22">
        <f t="shared" si="22"/>
        <v>21</v>
      </c>
      <c r="T134" s="22">
        <f t="shared" si="22"/>
        <v>37</v>
      </c>
      <c r="U134" s="22">
        <f t="shared" si="22"/>
        <v>31</v>
      </c>
      <c r="V134" s="22">
        <f t="shared" si="22"/>
        <v>33</v>
      </c>
      <c r="W134" s="22">
        <f t="shared" si="22"/>
        <v>20</v>
      </c>
      <c r="X134" s="22">
        <f t="shared" si="22"/>
        <v>28</v>
      </c>
      <c r="Y134" s="22">
        <f t="shared" si="22"/>
        <v>15</v>
      </c>
      <c r="Z134" s="22">
        <f t="shared" si="22"/>
        <v>3</v>
      </c>
      <c r="AA134" s="22">
        <f t="shared" si="22"/>
        <v>6</v>
      </c>
      <c r="AB134" s="22">
        <f t="shared" si="22"/>
        <v>14</v>
      </c>
      <c r="AC134" s="22">
        <f t="shared" si="22"/>
        <v>9</v>
      </c>
      <c r="AD134" s="22">
        <f t="shared" si="22"/>
        <v>19</v>
      </c>
      <c r="AE134" s="22">
        <f t="shared" si="22"/>
        <v>4</v>
      </c>
      <c r="AF134" s="22">
        <f t="shared" si="22"/>
        <v>0</v>
      </c>
      <c r="AG134" s="23">
        <f t="shared" si="17"/>
        <v>710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0</v>
      </c>
      <c r="E135" s="1">
        <f t="shared" si="23"/>
        <v>0</v>
      </c>
      <c r="F135" s="1">
        <f t="shared" si="23"/>
        <v>2</v>
      </c>
      <c r="G135" s="1">
        <f t="shared" si="23"/>
        <v>0</v>
      </c>
      <c r="H135" s="1">
        <f t="shared" si="23"/>
        <v>0</v>
      </c>
      <c r="I135" s="1">
        <f t="shared" si="23"/>
        <v>1</v>
      </c>
      <c r="J135" s="1">
        <f t="shared" si="23"/>
        <v>0</v>
      </c>
      <c r="K135" s="1">
        <f t="shared" si="23"/>
        <v>0</v>
      </c>
      <c r="L135" s="1">
        <f t="shared" si="23"/>
        <v>3</v>
      </c>
      <c r="M135" s="1">
        <f t="shared" si="23"/>
        <v>1</v>
      </c>
      <c r="N135" s="1">
        <f t="shared" si="23"/>
        <v>0</v>
      </c>
      <c r="O135" s="1">
        <f t="shared" si="23"/>
        <v>0</v>
      </c>
      <c r="P135" s="1">
        <f t="shared" si="23"/>
        <v>0</v>
      </c>
      <c r="Q135" s="1">
        <f t="shared" si="23"/>
        <v>0</v>
      </c>
      <c r="R135" s="1">
        <f t="shared" si="23"/>
        <v>0</v>
      </c>
      <c r="S135" s="1">
        <f t="shared" si="23"/>
        <v>1</v>
      </c>
      <c r="T135" s="1">
        <f t="shared" si="23"/>
        <v>0</v>
      </c>
      <c r="U135" s="1">
        <f t="shared" si="23"/>
        <v>0</v>
      </c>
      <c r="V135" s="1">
        <f t="shared" si="23"/>
        <v>3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0</v>
      </c>
      <c r="AA135" s="1">
        <f t="shared" si="23"/>
        <v>1</v>
      </c>
      <c r="AB135" s="1">
        <f t="shared" si="23"/>
        <v>0</v>
      </c>
      <c r="AC135" s="1">
        <f t="shared" si="23"/>
        <v>1</v>
      </c>
      <c r="AD135" s="1">
        <f t="shared" si="23"/>
        <v>0</v>
      </c>
      <c r="AE135" s="1">
        <f t="shared" si="23"/>
        <v>2</v>
      </c>
      <c r="AF135" s="1">
        <f t="shared" si="23"/>
        <v>0</v>
      </c>
      <c r="AG135" s="2">
        <f t="shared" si="17"/>
        <v>15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0</v>
      </c>
      <c r="C136" s="91">
        <v>0</v>
      </c>
      <c r="D136" s="91">
        <v>0</v>
      </c>
      <c r="E136" s="91">
        <v>0</v>
      </c>
      <c r="F136" s="91">
        <v>0</v>
      </c>
      <c r="G136" s="91">
        <v>0</v>
      </c>
      <c r="H136" s="91">
        <v>0</v>
      </c>
      <c r="I136" s="91">
        <v>1</v>
      </c>
      <c r="J136" s="91">
        <v>0</v>
      </c>
      <c r="K136" s="91">
        <v>0</v>
      </c>
      <c r="L136" s="91">
        <v>3</v>
      </c>
      <c r="M136" s="91">
        <v>1</v>
      </c>
      <c r="N136" s="91">
        <v>0</v>
      </c>
      <c r="O136" s="91">
        <v>0</v>
      </c>
      <c r="P136" s="91">
        <v>0</v>
      </c>
      <c r="Q136" s="91">
        <v>0</v>
      </c>
      <c r="R136" s="91">
        <v>0</v>
      </c>
      <c r="S136" s="91">
        <v>1</v>
      </c>
      <c r="T136" s="91">
        <v>0</v>
      </c>
      <c r="U136" s="91">
        <v>0</v>
      </c>
      <c r="V136" s="91">
        <v>3</v>
      </c>
      <c r="W136" s="91">
        <v>0</v>
      </c>
      <c r="X136" s="91">
        <v>0</v>
      </c>
      <c r="Y136" s="91">
        <v>0</v>
      </c>
      <c r="Z136" s="91">
        <v>0</v>
      </c>
      <c r="AA136" s="91">
        <v>1</v>
      </c>
      <c r="AB136" s="91">
        <v>0</v>
      </c>
      <c r="AC136" s="91">
        <v>1</v>
      </c>
      <c r="AD136" s="91">
        <v>0</v>
      </c>
      <c r="AE136" s="91">
        <v>2</v>
      </c>
      <c r="AF136" s="91"/>
      <c r="AG136" s="28">
        <f t="shared" si="17"/>
        <v>13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1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/>
      <c r="AG137" s="29">
        <f t="shared" si="17"/>
        <v>1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1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/>
      <c r="AG138" s="30">
        <f t="shared" si="17"/>
        <v>1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4</v>
      </c>
      <c r="C139" s="31">
        <f t="shared" si="24"/>
        <v>3</v>
      </c>
      <c r="D139" s="31">
        <f t="shared" si="24"/>
        <v>0</v>
      </c>
      <c r="E139" s="31">
        <f t="shared" si="24"/>
        <v>3</v>
      </c>
      <c r="F139" s="31">
        <f t="shared" si="24"/>
        <v>6</v>
      </c>
      <c r="G139" s="31">
        <f t="shared" si="24"/>
        <v>2</v>
      </c>
      <c r="H139" s="31">
        <f t="shared" si="24"/>
        <v>1</v>
      </c>
      <c r="I139" s="31">
        <f t="shared" si="24"/>
        <v>3</v>
      </c>
      <c r="J139" s="31">
        <f t="shared" si="24"/>
        <v>6</v>
      </c>
      <c r="K139" s="31">
        <f t="shared" si="24"/>
        <v>5</v>
      </c>
      <c r="L139" s="31">
        <f t="shared" si="24"/>
        <v>4</v>
      </c>
      <c r="M139" s="31">
        <f t="shared" si="24"/>
        <v>6</v>
      </c>
      <c r="N139" s="31">
        <f t="shared" si="24"/>
        <v>1</v>
      </c>
      <c r="O139" s="31">
        <f t="shared" si="24"/>
        <v>2</v>
      </c>
      <c r="P139" s="31">
        <f t="shared" si="24"/>
        <v>2</v>
      </c>
      <c r="Q139" s="31">
        <f t="shared" si="24"/>
        <v>2</v>
      </c>
      <c r="R139" s="31">
        <f t="shared" si="24"/>
        <v>4</v>
      </c>
      <c r="S139" s="31">
        <f t="shared" si="24"/>
        <v>5</v>
      </c>
      <c r="T139" s="31">
        <f t="shared" si="24"/>
        <v>4</v>
      </c>
      <c r="U139" s="31">
        <f t="shared" si="24"/>
        <v>0</v>
      </c>
      <c r="V139" s="31">
        <f t="shared" si="24"/>
        <v>3</v>
      </c>
      <c r="W139" s="31">
        <f t="shared" si="24"/>
        <v>2</v>
      </c>
      <c r="X139" s="31">
        <f t="shared" si="24"/>
        <v>2</v>
      </c>
      <c r="Y139" s="31">
        <f t="shared" si="24"/>
        <v>8</v>
      </c>
      <c r="Z139" s="31">
        <f t="shared" si="24"/>
        <v>4</v>
      </c>
      <c r="AA139" s="31">
        <f t="shared" si="24"/>
        <v>2</v>
      </c>
      <c r="AB139" s="31">
        <f t="shared" si="24"/>
        <v>3</v>
      </c>
      <c r="AC139" s="31">
        <f t="shared" si="24"/>
        <v>2</v>
      </c>
      <c r="AD139" s="31">
        <f t="shared" si="24"/>
        <v>5</v>
      </c>
      <c r="AE139" s="31">
        <f t="shared" si="24"/>
        <v>6</v>
      </c>
      <c r="AF139" s="31">
        <f t="shared" si="24"/>
        <v>0</v>
      </c>
      <c r="AG139" s="32">
        <f t="shared" si="17"/>
        <v>100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0</v>
      </c>
      <c r="C140" s="97">
        <v>0</v>
      </c>
      <c r="D140" s="97">
        <v>0</v>
      </c>
      <c r="E140" s="97">
        <v>0</v>
      </c>
      <c r="F140" s="97">
        <v>0</v>
      </c>
      <c r="G140" s="97">
        <v>0</v>
      </c>
      <c r="H140" s="97">
        <v>0</v>
      </c>
      <c r="I140" s="97">
        <v>0</v>
      </c>
      <c r="J140" s="97">
        <v>1</v>
      </c>
      <c r="K140" s="97">
        <v>0</v>
      </c>
      <c r="L140" s="97">
        <v>0</v>
      </c>
      <c r="M140" s="97">
        <v>0</v>
      </c>
      <c r="N140" s="97">
        <v>0</v>
      </c>
      <c r="O140" s="97">
        <v>0</v>
      </c>
      <c r="P140" s="97">
        <v>1</v>
      </c>
      <c r="Q140" s="97">
        <v>1</v>
      </c>
      <c r="R140" s="97">
        <v>0</v>
      </c>
      <c r="S140" s="97">
        <v>0</v>
      </c>
      <c r="T140" s="97">
        <v>0</v>
      </c>
      <c r="U140" s="97">
        <v>0</v>
      </c>
      <c r="V140" s="97">
        <v>1</v>
      </c>
      <c r="W140" s="97">
        <v>0</v>
      </c>
      <c r="X140" s="97">
        <v>0</v>
      </c>
      <c r="Y140" s="97">
        <v>2</v>
      </c>
      <c r="Z140" s="97">
        <v>1</v>
      </c>
      <c r="AA140" s="97">
        <v>0</v>
      </c>
      <c r="AB140" s="97">
        <v>0</v>
      </c>
      <c r="AC140" s="97">
        <v>0</v>
      </c>
      <c r="AD140" s="97">
        <v>0</v>
      </c>
      <c r="AE140" s="97">
        <v>3</v>
      </c>
      <c r="AF140" s="97"/>
      <c r="AG140" s="33">
        <f t="shared" si="17"/>
        <v>10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4</v>
      </c>
      <c r="C141" s="98">
        <v>3</v>
      </c>
      <c r="D141" s="98">
        <v>0</v>
      </c>
      <c r="E141" s="98">
        <v>3</v>
      </c>
      <c r="F141" s="98">
        <v>6</v>
      </c>
      <c r="G141" s="98">
        <v>2</v>
      </c>
      <c r="H141" s="98">
        <v>1</v>
      </c>
      <c r="I141" s="98">
        <v>3</v>
      </c>
      <c r="J141" s="98">
        <v>5</v>
      </c>
      <c r="K141" s="98">
        <v>5</v>
      </c>
      <c r="L141" s="98">
        <v>4</v>
      </c>
      <c r="M141" s="98">
        <v>6</v>
      </c>
      <c r="N141" s="98">
        <v>1</v>
      </c>
      <c r="O141" s="98">
        <v>2</v>
      </c>
      <c r="P141" s="98">
        <v>1</v>
      </c>
      <c r="Q141" s="98">
        <v>1</v>
      </c>
      <c r="R141" s="98">
        <v>4</v>
      </c>
      <c r="S141" s="98">
        <v>5</v>
      </c>
      <c r="T141" s="98">
        <v>4</v>
      </c>
      <c r="U141" s="98">
        <v>0</v>
      </c>
      <c r="V141" s="98">
        <v>2</v>
      </c>
      <c r="W141" s="98">
        <v>2</v>
      </c>
      <c r="X141" s="98">
        <v>2</v>
      </c>
      <c r="Y141" s="98">
        <v>6</v>
      </c>
      <c r="Z141" s="98">
        <v>3</v>
      </c>
      <c r="AA141" s="98">
        <v>2</v>
      </c>
      <c r="AB141" s="98">
        <v>3</v>
      </c>
      <c r="AC141" s="98">
        <v>2</v>
      </c>
      <c r="AD141" s="98">
        <v>5</v>
      </c>
      <c r="AE141" s="98">
        <v>3</v>
      </c>
      <c r="AF141" s="98"/>
      <c r="AG141" s="34">
        <f t="shared" si="17"/>
        <v>90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>
        <v>0</v>
      </c>
      <c r="C143" s="102">
        <v>0</v>
      </c>
      <c r="D143" s="102">
        <v>0</v>
      </c>
      <c r="E143" s="102">
        <v>0</v>
      </c>
      <c r="F143" s="102">
        <v>0</v>
      </c>
      <c r="G143" s="102">
        <v>0</v>
      </c>
      <c r="H143" s="102">
        <v>0</v>
      </c>
      <c r="I143" s="102">
        <v>0</v>
      </c>
      <c r="J143" s="102">
        <v>0</v>
      </c>
      <c r="K143" s="102">
        <v>0</v>
      </c>
      <c r="L143" s="102">
        <v>0</v>
      </c>
      <c r="M143" s="102">
        <v>0</v>
      </c>
      <c r="N143" s="102">
        <v>0</v>
      </c>
      <c r="O143" s="102">
        <v>0</v>
      </c>
      <c r="P143" s="102">
        <v>2</v>
      </c>
      <c r="Q143" s="102">
        <v>0</v>
      </c>
      <c r="R143" s="102">
        <v>0</v>
      </c>
      <c r="S143" s="102">
        <v>0</v>
      </c>
      <c r="T143" s="102">
        <v>1</v>
      </c>
      <c r="U143" s="102">
        <v>2</v>
      </c>
      <c r="V143" s="102">
        <v>3</v>
      </c>
      <c r="W143" s="102">
        <v>0</v>
      </c>
      <c r="X143" s="102">
        <v>0</v>
      </c>
      <c r="Y143" s="102">
        <v>4</v>
      </c>
      <c r="Z143" s="102">
        <v>0</v>
      </c>
      <c r="AA143" s="102">
        <v>2</v>
      </c>
      <c r="AB143" s="102">
        <v>3</v>
      </c>
      <c r="AC143" s="102">
        <v>0</v>
      </c>
      <c r="AD143" s="102">
        <v>5</v>
      </c>
      <c r="AE143" s="102">
        <v>0</v>
      </c>
      <c r="AF143" s="102">
        <v>0</v>
      </c>
      <c r="AG143" s="36">
        <f t="shared" si="17"/>
        <v>22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91</v>
      </c>
      <c r="C144" s="37">
        <f t="shared" si="25"/>
        <v>78</v>
      </c>
      <c r="D144" s="37">
        <f t="shared" si="25"/>
        <v>63</v>
      </c>
      <c r="E144" s="37">
        <f t="shared" si="25"/>
        <v>98</v>
      </c>
      <c r="F144" s="37">
        <f t="shared" si="25"/>
        <v>136</v>
      </c>
      <c r="G144" s="37">
        <f t="shared" si="25"/>
        <v>130</v>
      </c>
      <c r="H144" s="37">
        <f t="shared" si="25"/>
        <v>79</v>
      </c>
      <c r="I144" s="37">
        <f t="shared" si="25"/>
        <v>58</v>
      </c>
      <c r="J144" s="37">
        <f t="shared" si="25"/>
        <v>59</v>
      </c>
      <c r="K144" s="37">
        <f t="shared" si="25"/>
        <v>80</v>
      </c>
      <c r="L144" s="37">
        <f t="shared" si="25"/>
        <v>123</v>
      </c>
      <c r="M144" s="37">
        <f t="shared" si="25"/>
        <v>168</v>
      </c>
      <c r="N144" s="37">
        <f t="shared" si="25"/>
        <v>134</v>
      </c>
      <c r="O144" s="37">
        <f t="shared" si="25"/>
        <v>100</v>
      </c>
      <c r="P144" s="37">
        <f t="shared" si="25"/>
        <v>98</v>
      </c>
      <c r="Q144" s="37">
        <f t="shared" si="25"/>
        <v>97</v>
      </c>
      <c r="R144" s="37">
        <f t="shared" si="25"/>
        <v>109</v>
      </c>
      <c r="S144" s="37">
        <f t="shared" si="25"/>
        <v>152</v>
      </c>
      <c r="T144" s="37">
        <f t="shared" si="25"/>
        <v>125</v>
      </c>
      <c r="U144" s="37">
        <f t="shared" si="25"/>
        <v>105</v>
      </c>
      <c r="V144" s="37">
        <f t="shared" si="25"/>
        <v>146</v>
      </c>
      <c r="W144" s="37">
        <f t="shared" si="25"/>
        <v>107</v>
      </c>
      <c r="X144" s="37">
        <f t="shared" si="25"/>
        <v>64</v>
      </c>
      <c r="Y144" s="37">
        <f t="shared" si="25"/>
        <v>69</v>
      </c>
      <c r="Z144" s="37">
        <f t="shared" si="25"/>
        <v>87</v>
      </c>
      <c r="AA144" s="37">
        <f t="shared" si="25"/>
        <v>100</v>
      </c>
      <c r="AB144" s="37">
        <f t="shared" si="25"/>
        <v>80</v>
      </c>
      <c r="AC144" s="37">
        <f t="shared" si="25"/>
        <v>49</v>
      </c>
      <c r="AD144" s="37">
        <f t="shared" si="25"/>
        <v>49</v>
      </c>
      <c r="AE144" s="37">
        <f t="shared" si="25"/>
        <v>46</v>
      </c>
      <c r="AF144" s="37">
        <f t="shared" si="25"/>
        <v>0</v>
      </c>
      <c r="AG144" s="24">
        <f t="shared" si="17"/>
        <v>2880</v>
      </c>
      <c r="AK144" s="84" t="s">
        <v>155</v>
      </c>
    </row>
    <row r="145" spans="1:37" ht="15.75" customHeight="1" x14ac:dyDescent="0.25">
      <c r="A145" s="104" t="s">
        <v>92</v>
      </c>
      <c r="B145" s="105">
        <v>5</v>
      </c>
      <c r="C145" s="105">
        <v>3</v>
      </c>
      <c r="D145" s="105">
        <v>2</v>
      </c>
      <c r="E145" s="105">
        <v>2</v>
      </c>
      <c r="F145" s="105">
        <v>4</v>
      </c>
      <c r="G145" s="105">
        <v>2</v>
      </c>
      <c r="H145" s="105">
        <v>2</v>
      </c>
      <c r="I145" s="105">
        <v>2</v>
      </c>
      <c r="J145" s="105">
        <v>2</v>
      </c>
      <c r="K145" s="105">
        <v>0</v>
      </c>
      <c r="L145" s="105">
        <v>3</v>
      </c>
      <c r="M145" s="105">
        <v>2</v>
      </c>
      <c r="N145" s="105">
        <v>1</v>
      </c>
      <c r="O145" s="105">
        <v>2</v>
      </c>
      <c r="P145" s="105">
        <v>2</v>
      </c>
      <c r="Q145" s="105">
        <v>0</v>
      </c>
      <c r="R145" s="105">
        <v>4</v>
      </c>
      <c r="S145" s="105">
        <v>7</v>
      </c>
      <c r="T145" s="105">
        <v>5</v>
      </c>
      <c r="U145" s="105">
        <v>0</v>
      </c>
      <c r="V145" s="105">
        <v>0</v>
      </c>
      <c r="W145" s="105">
        <v>1</v>
      </c>
      <c r="X145" s="105">
        <v>2</v>
      </c>
      <c r="Y145" s="105">
        <v>1</v>
      </c>
      <c r="Z145" s="105">
        <v>5</v>
      </c>
      <c r="AA145" s="105">
        <v>4</v>
      </c>
      <c r="AB145" s="105">
        <v>6</v>
      </c>
      <c r="AC145" s="105">
        <v>0</v>
      </c>
      <c r="AD145" s="105">
        <v>5</v>
      </c>
      <c r="AE145" s="105">
        <v>6</v>
      </c>
      <c r="AF145" s="105"/>
      <c r="AG145" s="38">
        <f t="shared" si="17"/>
        <v>80</v>
      </c>
      <c r="AK145" s="84" t="s">
        <v>156</v>
      </c>
    </row>
    <row r="146" spans="1:37" ht="15.75" customHeight="1" x14ac:dyDescent="0.25">
      <c r="A146" s="106" t="s">
        <v>93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/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/>
      <c r="AG147" s="5">
        <f t="shared" si="17"/>
        <v>0</v>
      </c>
      <c r="AK147" s="84" t="s">
        <v>158</v>
      </c>
    </row>
    <row r="148" spans="1:37" ht="15.75" customHeight="1" x14ac:dyDescent="0.25">
      <c r="A148" s="106" t="s">
        <v>95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/>
      <c r="AG148" s="5">
        <f t="shared" si="17"/>
        <v>0</v>
      </c>
      <c r="AK148" s="84" t="s">
        <v>159</v>
      </c>
    </row>
    <row r="149" spans="1:37" ht="15.75" customHeight="1" x14ac:dyDescent="0.25">
      <c r="A149" s="107" t="s">
        <v>96</v>
      </c>
      <c r="B149" s="108">
        <v>83</v>
      </c>
      <c r="C149" s="108">
        <v>72</v>
      </c>
      <c r="D149" s="108">
        <v>59</v>
      </c>
      <c r="E149" s="108">
        <v>95</v>
      </c>
      <c r="F149" s="108">
        <v>132</v>
      </c>
      <c r="G149" s="108">
        <v>128</v>
      </c>
      <c r="H149" s="108">
        <v>73</v>
      </c>
      <c r="I149" s="108">
        <v>54</v>
      </c>
      <c r="J149" s="108">
        <v>56</v>
      </c>
      <c r="K149" s="108">
        <v>77</v>
      </c>
      <c r="L149" s="108">
        <v>115</v>
      </c>
      <c r="M149" s="108">
        <v>162</v>
      </c>
      <c r="N149" s="108">
        <v>132</v>
      </c>
      <c r="O149" s="108">
        <v>95</v>
      </c>
      <c r="P149" s="108">
        <v>94</v>
      </c>
      <c r="Q149" s="108">
        <v>95</v>
      </c>
      <c r="R149" s="108">
        <v>102</v>
      </c>
      <c r="S149" s="108">
        <v>143</v>
      </c>
      <c r="T149" s="108">
        <v>118</v>
      </c>
      <c r="U149" s="108">
        <v>105</v>
      </c>
      <c r="V149" s="108">
        <v>146</v>
      </c>
      <c r="W149" s="108">
        <v>102</v>
      </c>
      <c r="X149" s="108">
        <v>62</v>
      </c>
      <c r="Y149" s="108">
        <v>65</v>
      </c>
      <c r="Z149" s="108">
        <v>81</v>
      </c>
      <c r="AA149" s="108">
        <v>94</v>
      </c>
      <c r="AB149" s="108">
        <v>71</v>
      </c>
      <c r="AC149" s="108">
        <v>44</v>
      </c>
      <c r="AD149" s="108">
        <v>42</v>
      </c>
      <c r="AE149" s="108">
        <v>36</v>
      </c>
      <c r="AF149" s="108"/>
      <c r="AG149" s="39">
        <f t="shared" si="17"/>
        <v>2733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>
        <v>0</v>
      </c>
      <c r="C153" s="77">
        <v>0</v>
      </c>
      <c r="D153" s="77">
        <v>0</v>
      </c>
      <c r="E153" s="77">
        <v>1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3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/>
      <c r="AG153" s="5">
        <f t="shared" si="17"/>
        <v>4</v>
      </c>
      <c r="AK153" s="109" t="s">
        <v>127</v>
      </c>
    </row>
    <row r="154" spans="1:37" ht="15.75" customHeight="1" x14ac:dyDescent="0.25">
      <c r="A154" s="76" t="s">
        <v>101</v>
      </c>
      <c r="B154" s="77">
        <v>0</v>
      </c>
      <c r="C154" s="77">
        <v>1</v>
      </c>
      <c r="D154" s="77">
        <v>0</v>
      </c>
      <c r="E154" s="77">
        <v>0</v>
      </c>
      <c r="F154" s="77">
        <v>0</v>
      </c>
      <c r="G154" s="77">
        <v>0</v>
      </c>
      <c r="H154" s="77">
        <v>2</v>
      </c>
      <c r="I154" s="77">
        <v>2</v>
      </c>
      <c r="J154" s="77">
        <v>0</v>
      </c>
      <c r="K154" s="77">
        <v>0</v>
      </c>
      <c r="L154" s="77">
        <v>0</v>
      </c>
      <c r="M154" s="77">
        <v>0</v>
      </c>
      <c r="N154" s="77">
        <v>1</v>
      </c>
      <c r="O154" s="77">
        <v>1</v>
      </c>
      <c r="P154" s="77">
        <v>2</v>
      </c>
      <c r="Q154" s="77">
        <v>1</v>
      </c>
      <c r="R154" s="77">
        <v>1</v>
      </c>
      <c r="S154" s="77">
        <v>0</v>
      </c>
      <c r="T154" s="77">
        <v>0</v>
      </c>
      <c r="U154" s="77">
        <v>0</v>
      </c>
      <c r="V154" s="77">
        <v>0</v>
      </c>
      <c r="W154" s="77">
        <v>2</v>
      </c>
      <c r="X154" s="77">
        <v>0</v>
      </c>
      <c r="Y154" s="77">
        <v>1</v>
      </c>
      <c r="Z154" s="77">
        <v>0</v>
      </c>
      <c r="AA154" s="77">
        <v>0</v>
      </c>
      <c r="AB154" s="77">
        <v>1</v>
      </c>
      <c r="AC154" s="77">
        <v>2</v>
      </c>
      <c r="AD154" s="77">
        <v>1</v>
      </c>
      <c r="AE154" s="77">
        <v>3</v>
      </c>
      <c r="AF154" s="77"/>
      <c r="AG154" s="5">
        <f t="shared" si="17"/>
        <v>21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>
        <v>0</v>
      </c>
      <c r="C158" s="111">
        <v>2</v>
      </c>
      <c r="D158" s="111">
        <v>1</v>
      </c>
      <c r="E158" s="111">
        <v>0</v>
      </c>
      <c r="F158" s="111">
        <v>0</v>
      </c>
      <c r="G158" s="111">
        <v>0</v>
      </c>
      <c r="H158" s="111">
        <v>0</v>
      </c>
      <c r="I158" s="111">
        <v>0</v>
      </c>
      <c r="J158" s="111">
        <v>1</v>
      </c>
      <c r="K158" s="111">
        <v>0</v>
      </c>
      <c r="L158" s="111">
        <v>4</v>
      </c>
      <c r="M158" s="111">
        <v>0</v>
      </c>
      <c r="N158" s="111">
        <v>0</v>
      </c>
      <c r="O158" s="111">
        <v>1</v>
      </c>
      <c r="P158" s="111">
        <v>0</v>
      </c>
      <c r="Q158" s="111">
        <v>1</v>
      </c>
      <c r="R158" s="111">
        <v>1</v>
      </c>
      <c r="S158" s="111">
        <v>2</v>
      </c>
      <c r="T158" s="111">
        <v>1</v>
      </c>
      <c r="U158" s="111">
        <v>0</v>
      </c>
      <c r="V158" s="111">
        <v>0</v>
      </c>
      <c r="W158" s="111">
        <v>1</v>
      </c>
      <c r="X158" s="111">
        <v>0</v>
      </c>
      <c r="Y158" s="111">
        <v>2</v>
      </c>
      <c r="Z158" s="111">
        <v>1</v>
      </c>
      <c r="AA158" s="111">
        <v>2</v>
      </c>
      <c r="AB158" s="111">
        <v>0</v>
      </c>
      <c r="AC158" s="111">
        <v>0</v>
      </c>
      <c r="AD158" s="111">
        <v>0</v>
      </c>
      <c r="AE158" s="111">
        <v>0</v>
      </c>
      <c r="AF158" s="111"/>
      <c r="AG158" s="40">
        <f t="shared" si="17"/>
        <v>20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/>
      <c r="AG162" s="5">
        <f t="shared" si="17"/>
        <v>0</v>
      </c>
    </row>
    <row r="163" spans="1:34" ht="15.75" customHeight="1" x14ac:dyDescent="0.25">
      <c r="A163" s="112" t="s">
        <v>110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/>
      <c r="AG165" s="5">
        <f t="shared" si="26"/>
        <v>0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1</v>
      </c>
      <c r="I167" s="77">
        <v>0</v>
      </c>
      <c r="J167" s="77">
        <v>0</v>
      </c>
      <c r="K167" s="77">
        <v>2</v>
      </c>
      <c r="L167" s="77">
        <v>1</v>
      </c>
      <c r="M167" s="77">
        <v>0</v>
      </c>
      <c r="N167" s="77">
        <v>0</v>
      </c>
      <c r="O167" s="77">
        <v>1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/>
      <c r="AG167" s="5">
        <f t="shared" si="26"/>
        <v>5</v>
      </c>
    </row>
    <row r="168" spans="1:34" ht="15.75" customHeight="1" x14ac:dyDescent="0.25">
      <c r="A168" s="76" t="s">
        <v>115</v>
      </c>
      <c r="B168" s="113">
        <v>3</v>
      </c>
      <c r="C168" s="113">
        <v>0</v>
      </c>
      <c r="D168" s="113">
        <v>1</v>
      </c>
      <c r="E168" s="113">
        <v>0</v>
      </c>
      <c r="F168" s="113">
        <v>0</v>
      </c>
      <c r="G168" s="113">
        <v>0</v>
      </c>
      <c r="H168" s="113">
        <v>0</v>
      </c>
      <c r="I168" s="113">
        <v>0</v>
      </c>
      <c r="J168" s="113">
        <v>0</v>
      </c>
      <c r="K168" s="113">
        <v>1</v>
      </c>
      <c r="L168" s="113">
        <v>0</v>
      </c>
      <c r="M168" s="113">
        <v>1</v>
      </c>
      <c r="N168" s="113">
        <v>0</v>
      </c>
      <c r="O168" s="113">
        <v>0</v>
      </c>
      <c r="P168" s="113">
        <v>0</v>
      </c>
      <c r="Q168" s="113">
        <v>0</v>
      </c>
      <c r="R168" s="113">
        <v>1</v>
      </c>
      <c r="S168" s="113">
        <v>0</v>
      </c>
      <c r="T168" s="113">
        <v>1</v>
      </c>
      <c r="U168" s="113">
        <v>0</v>
      </c>
      <c r="V168" s="113">
        <v>0</v>
      </c>
      <c r="W168" s="113">
        <v>1</v>
      </c>
      <c r="X168" s="113">
        <v>0</v>
      </c>
      <c r="Y168" s="113">
        <v>0</v>
      </c>
      <c r="Z168" s="113">
        <v>0</v>
      </c>
      <c r="AA168" s="113">
        <v>0</v>
      </c>
      <c r="AB168" s="113">
        <v>1</v>
      </c>
      <c r="AC168" s="113">
        <v>1</v>
      </c>
      <c r="AD168" s="113">
        <v>1</v>
      </c>
      <c r="AE168" s="113">
        <v>1</v>
      </c>
      <c r="AF168" s="113"/>
      <c r="AG168" s="5">
        <f t="shared" si="26"/>
        <v>13</v>
      </c>
    </row>
    <row r="169" spans="1:34" ht="15.75" customHeight="1" x14ac:dyDescent="0.25">
      <c r="A169" s="114" t="s">
        <v>116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1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1</v>
      </c>
      <c r="AC169" s="113">
        <v>2</v>
      </c>
      <c r="AD169" s="113">
        <v>0</v>
      </c>
      <c r="AE169" s="113">
        <v>0</v>
      </c>
      <c r="AF169" s="113"/>
      <c r="AG169" s="5">
        <f t="shared" si="26"/>
        <v>4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209</v>
      </c>
      <c r="C171" s="41">
        <f t="shared" si="27"/>
        <v>152</v>
      </c>
      <c r="D171" s="41">
        <f t="shared" si="27"/>
        <v>147</v>
      </c>
      <c r="E171" s="41">
        <f t="shared" si="27"/>
        <v>235</v>
      </c>
      <c r="F171" s="41">
        <f t="shared" si="27"/>
        <v>249</v>
      </c>
      <c r="G171" s="41">
        <f t="shared" si="27"/>
        <v>202</v>
      </c>
      <c r="H171" s="41">
        <f t="shared" si="27"/>
        <v>146</v>
      </c>
      <c r="I171" s="41">
        <f t="shared" si="27"/>
        <v>124</v>
      </c>
      <c r="J171" s="41">
        <f t="shared" si="27"/>
        <v>125</v>
      </c>
      <c r="K171" s="41">
        <f t="shared" si="27"/>
        <v>144</v>
      </c>
      <c r="L171" s="41">
        <f t="shared" si="27"/>
        <v>245</v>
      </c>
      <c r="M171" s="41">
        <f t="shared" si="27"/>
        <v>279</v>
      </c>
      <c r="N171" s="41">
        <f t="shared" si="27"/>
        <v>185</v>
      </c>
      <c r="O171" s="41">
        <f t="shared" si="27"/>
        <v>164</v>
      </c>
      <c r="P171" s="41">
        <f t="shared" si="27"/>
        <v>166</v>
      </c>
      <c r="Q171" s="41">
        <f t="shared" si="27"/>
        <v>163</v>
      </c>
      <c r="R171" s="41">
        <f t="shared" si="27"/>
        <v>169</v>
      </c>
      <c r="S171" s="41">
        <f t="shared" si="27"/>
        <v>245</v>
      </c>
      <c r="T171" s="41">
        <f t="shared" si="27"/>
        <v>213</v>
      </c>
      <c r="U171" s="41">
        <f t="shared" si="27"/>
        <v>159</v>
      </c>
      <c r="V171" s="41">
        <f t="shared" si="27"/>
        <v>242</v>
      </c>
      <c r="W171" s="41">
        <f t="shared" si="27"/>
        <v>169</v>
      </c>
      <c r="X171" s="41">
        <f t="shared" si="27"/>
        <v>110</v>
      </c>
      <c r="Y171" s="41">
        <f t="shared" si="27"/>
        <v>121</v>
      </c>
      <c r="Z171" s="41">
        <f t="shared" si="27"/>
        <v>164</v>
      </c>
      <c r="AA171" s="41">
        <f t="shared" si="27"/>
        <v>171</v>
      </c>
      <c r="AB171" s="41">
        <f t="shared" si="27"/>
        <v>219</v>
      </c>
      <c r="AC171" s="41">
        <f t="shared" si="27"/>
        <v>209</v>
      </c>
      <c r="AD171" s="41">
        <f t="shared" si="27"/>
        <v>193</v>
      </c>
      <c r="AE171" s="41">
        <f t="shared" si="27"/>
        <v>165</v>
      </c>
      <c r="AF171" s="41">
        <f t="shared" si="27"/>
        <v>0</v>
      </c>
      <c r="AG171" s="42">
        <f t="shared" si="26"/>
        <v>5484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1</v>
      </c>
      <c r="N172" s="118">
        <v>0</v>
      </c>
      <c r="O172" s="118">
        <v>1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1</v>
      </c>
      <c r="X172" s="118">
        <v>0</v>
      </c>
      <c r="Y172" s="118">
        <v>0</v>
      </c>
      <c r="Z172" s="118">
        <v>1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/>
      <c r="AG172" s="43">
        <f t="shared" si="26"/>
        <v>4</v>
      </c>
    </row>
    <row r="173" spans="1:34" ht="15.75" customHeight="1" x14ac:dyDescent="0.25">
      <c r="A173" s="119" t="s">
        <v>38</v>
      </c>
      <c r="B173" s="120">
        <v>2</v>
      </c>
      <c r="C173" s="120">
        <v>0</v>
      </c>
      <c r="D173" s="120">
        <v>1</v>
      </c>
      <c r="E173" s="120">
        <v>1</v>
      </c>
      <c r="F173" s="120">
        <v>3</v>
      </c>
      <c r="G173" s="120">
        <v>4</v>
      </c>
      <c r="H173" s="120">
        <v>0</v>
      </c>
      <c r="I173" s="120">
        <v>3</v>
      </c>
      <c r="J173" s="120">
        <v>4</v>
      </c>
      <c r="K173" s="120">
        <v>3</v>
      </c>
      <c r="L173" s="120">
        <v>4</v>
      </c>
      <c r="M173" s="120">
        <v>3</v>
      </c>
      <c r="N173" s="120">
        <v>1</v>
      </c>
      <c r="O173" s="120">
        <v>3</v>
      </c>
      <c r="P173" s="120">
        <v>1</v>
      </c>
      <c r="Q173" s="120">
        <v>1</v>
      </c>
      <c r="R173" s="120">
        <v>1</v>
      </c>
      <c r="S173" s="120">
        <v>2</v>
      </c>
      <c r="T173" s="120">
        <v>3</v>
      </c>
      <c r="U173" s="120">
        <v>2</v>
      </c>
      <c r="V173" s="120">
        <v>1</v>
      </c>
      <c r="W173" s="120">
        <v>3</v>
      </c>
      <c r="X173" s="120">
        <v>3</v>
      </c>
      <c r="Y173" s="120">
        <v>2</v>
      </c>
      <c r="Z173" s="120">
        <v>2</v>
      </c>
      <c r="AA173" s="120">
        <v>0</v>
      </c>
      <c r="AB173" s="120">
        <v>0</v>
      </c>
      <c r="AC173" s="120">
        <v>2</v>
      </c>
      <c r="AD173" s="120">
        <v>1</v>
      </c>
      <c r="AE173" s="120">
        <v>3</v>
      </c>
      <c r="AF173" s="120"/>
      <c r="AG173" s="44">
        <f t="shared" si="26"/>
        <v>59</v>
      </c>
    </row>
    <row r="174" spans="1:34" ht="15.75" customHeight="1" x14ac:dyDescent="0.25">
      <c r="A174" s="119" t="s">
        <v>39</v>
      </c>
      <c r="B174" s="120">
        <v>16</v>
      </c>
      <c r="C174" s="120">
        <v>23</v>
      </c>
      <c r="D174" s="120">
        <v>20</v>
      </c>
      <c r="E174" s="120">
        <v>24</v>
      </c>
      <c r="F174" s="120">
        <v>39</v>
      </c>
      <c r="G174" s="120">
        <v>26</v>
      </c>
      <c r="H174" s="120">
        <v>19</v>
      </c>
      <c r="I174" s="120">
        <v>23</v>
      </c>
      <c r="J174" s="120">
        <v>29</v>
      </c>
      <c r="K174" s="120">
        <v>22</v>
      </c>
      <c r="L174" s="120">
        <v>39</v>
      </c>
      <c r="M174" s="120">
        <v>32</v>
      </c>
      <c r="N174" s="120">
        <v>37</v>
      </c>
      <c r="O174" s="120">
        <v>35</v>
      </c>
      <c r="P174" s="120">
        <v>32</v>
      </c>
      <c r="Q174" s="120">
        <v>35</v>
      </c>
      <c r="R174" s="120">
        <v>37</v>
      </c>
      <c r="S174" s="120">
        <v>44</v>
      </c>
      <c r="T174" s="120">
        <v>39</v>
      </c>
      <c r="U174" s="120">
        <v>25</v>
      </c>
      <c r="V174" s="120">
        <v>24</v>
      </c>
      <c r="W174" s="120">
        <v>24</v>
      </c>
      <c r="X174" s="120">
        <v>32</v>
      </c>
      <c r="Y174" s="120">
        <v>17</v>
      </c>
      <c r="Z174" s="120">
        <v>29</v>
      </c>
      <c r="AA174" s="120">
        <v>33</v>
      </c>
      <c r="AB174" s="120">
        <v>26</v>
      </c>
      <c r="AC174" s="120">
        <v>24</v>
      </c>
      <c r="AD174" s="120">
        <v>34</v>
      </c>
      <c r="AE174" s="120">
        <v>28</v>
      </c>
      <c r="AF174" s="120"/>
      <c r="AG174" s="44">
        <f t="shared" si="26"/>
        <v>867</v>
      </c>
    </row>
    <row r="175" spans="1:34" ht="15.75" customHeight="1" x14ac:dyDescent="0.25">
      <c r="A175" s="119" t="s">
        <v>40</v>
      </c>
      <c r="B175" s="120">
        <v>121</v>
      </c>
      <c r="C175" s="120">
        <v>112</v>
      </c>
      <c r="D175" s="120">
        <v>88</v>
      </c>
      <c r="E175" s="120">
        <v>158</v>
      </c>
      <c r="F175" s="120">
        <v>176</v>
      </c>
      <c r="G175" s="120">
        <v>129</v>
      </c>
      <c r="H175" s="120">
        <v>81</v>
      </c>
      <c r="I175" s="120">
        <v>67</v>
      </c>
      <c r="J175" s="120">
        <v>84</v>
      </c>
      <c r="K175" s="120">
        <v>110</v>
      </c>
      <c r="L175" s="120">
        <v>176</v>
      </c>
      <c r="M175" s="120">
        <v>141</v>
      </c>
      <c r="N175" s="120">
        <v>126</v>
      </c>
      <c r="O175" s="120">
        <v>108</v>
      </c>
      <c r="P175" s="120">
        <v>96</v>
      </c>
      <c r="Q175" s="120">
        <v>112</v>
      </c>
      <c r="R175" s="120">
        <v>103</v>
      </c>
      <c r="S175" s="120">
        <v>149</v>
      </c>
      <c r="T175" s="120">
        <v>106</v>
      </c>
      <c r="U175" s="120">
        <v>96</v>
      </c>
      <c r="V175" s="120">
        <v>145</v>
      </c>
      <c r="W175" s="120">
        <v>125</v>
      </c>
      <c r="X175" s="120">
        <v>71</v>
      </c>
      <c r="Y175" s="120">
        <v>76</v>
      </c>
      <c r="Z175" s="120">
        <v>83</v>
      </c>
      <c r="AA175" s="120">
        <v>110</v>
      </c>
      <c r="AB175" s="120">
        <v>153</v>
      </c>
      <c r="AC175" s="120">
        <v>139</v>
      </c>
      <c r="AD175" s="120">
        <v>132</v>
      </c>
      <c r="AE175" s="120">
        <v>122</v>
      </c>
      <c r="AF175" s="120"/>
      <c r="AG175" s="44">
        <f t="shared" si="26"/>
        <v>3495</v>
      </c>
    </row>
    <row r="176" spans="1:34" ht="15.75" customHeight="1" thickBot="1" x14ac:dyDescent="0.3">
      <c r="A176" s="121" t="s">
        <v>41</v>
      </c>
      <c r="B176" s="122">
        <v>70</v>
      </c>
      <c r="C176" s="122">
        <v>17</v>
      </c>
      <c r="D176" s="122">
        <v>38</v>
      </c>
      <c r="E176" s="122">
        <v>52</v>
      </c>
      <c r="F176" s="122">
        <v>31</v>
      </c>
      <c r="G176" s="122">
        <v>43</v>
      </c>
      <c r="H176" s="122">
        <v>46</v>
      </c>
      <c r="I176" s="122">
        <v>31</v>
      </c>
      <c r="J176" s="122">
        <v>8</v>
      </c>
      <c r="K176" s="122">
        <v>9</v>
      </c>
      <c r="L176" s="122">
        <v>26</v>
      </c>
      <c r="M176" s="122">
        <v>102</v>
      </c>
      <c r="N176" s="122">
        <v>21</v>
      </c>
      <c r="O176" s="122">
        <v>17</v>
      </c>
      <c r="P176" s="122">
        <v>37</v>
      </c>
      <c r="Q176" s="122">
        <v>15</v>
      </c>
      <c r="R176" s="122">
        <v>28</v>
      </c>
      <c r="S176" s="122">
        <v>50</v>
      </c>
      <c r="T176" s="122">
        <v>65</v>
      </c>
      <c r="U176" s="122">
        <v>36</v>
      </c>
      <c r="V176" s="122">
        <v>72</v>
      </c>
      <c r="W176" s="122">
        <v>16</v>
      </c>
      <c r="X176" s="122">
        <v>4</v>
      </c>
      <c r="Y176" s="122">
        <v>26</v>
      </c>
      <c r="Z176" s="122">
        <v>49</v>
      </c>
      <c r="AA176" s="122">
        <v>28</v>
      </c>
      <c r="AB176" s="122">
        <v>40</v>
      </c>
      <c r="AC176" s="122">
        <v>44</v>
      </c>
      <c r="AD176" s="122">
        <v>26</v>
      </c>
      <c r="AE176" s="122">
        <v>12</v>
      </c>
      <c r="AF176" s="122"/>
      <c r="AG176" s="45">
        <f t="shared" si="26"/>
        <v>1059</v>
      </c>
    </row>
    <row r="177" spans="1:34" ht="15.75" customHeight="1" x14ac:dyDescent="0.25">
      <c r="A177" s="123" t="s">
        <v>120</v>
      </c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26">
        <f t="shared" si="26"/>
        <v>0</v>
      </c>
      <c r="AH177" s="140" t="s">
        <v>177</v>
      </c>
    </row>
    <row r="178" spans="1:34" ht="15.75" customHeight="1" x14ac:dyDescent="0.25">
      <c r="A178" s="125" t="s">
        <v>122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123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QCyBodJss1b28uGPMmMUO3+xvNIQCdEFSKq3dp0fuydDZKKMbZR3sxhJs5hPCxbQuaJ1e30FXlDjvKuAsvex0Q==" saltValue="mEMEScLsvDjrXHT50z7VUQ==" spinCount="100000" sheet="1" objects="1" scenarios="1"/>
  <dataConsolidate/>
  <mergeCells count="2">
    <mergeCell ref="A1:AG1"/>
    <mergeCell ref="AH177:AH180"/>
  </mergeCells>
  <conditionalFormatting sqref="AD29:AF52">
    <cfRule type="cellIs" dxfId="23" priority="3" operator="lessThan">
      <formula>0</formula>
    </cfRule>
  </conditionalFormatting>
  <conditionalFormatting sqref="AH171">
    <cfRule type="cellIs" dxfId="22" priority="2" operator="equal">
      <formula>"X"</formula>
    </cfRule>
  </conditionalFormatting>
  <conditionalFormatting sqref="AH1:AH1048576">
    <cfRule type="cellIs" dxfId="21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E64F0EB5-2520-4E49-A2B2-9117382639E0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2166A-5C46-4696-B169-224F5A2AC7B2}">
  <sheetPr codeName="Hoja21"/>
  <dimension ref="A1:AK954"/>
  <sheetViews>
    <sheetView zoomScale="80" zoomScaleNormal="80" workbookViewId="0">
      <pane xSplit="1" ySplit="3" topLeftCell="B124" activePane="bottomRight" state="frozen"/>
      <selection activeCell="Q5" sqref="Q5"/>
      <selection pane="topRight" activeCell="Q5" sqref="Q5"/>
      <selection pane="bottomLeft" activeCell="Q5" sqref="Q5"/>
      <selection pane="bottomRight" activeCell="AF143" sqref="AF143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169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170</v>
      </c>
      <c r="C3" s="1">
        <f t="shared" si="1"/>
        <v>168</v>
      </c>
      <c r="D3" s="1">
        <f t="shared" si="1"/>
        <v>249</v>
      </c>
      <c r="E3" s="1">
        <f t="shared" si="1"/>
        <v>202</v>
      </c>
      <c r="F3" s="1">
        <f t="shared" si="1"/>
        <v>150</v>
      </c>
      <c r="G3" s="1">
        <f t="shared" si="1"/>
        <v>193</v>
      </c>
      <c r="H3" s="1">
        <f t="shared" si="1"/>
        <v>206</v>
      </c>
      <c r="I3" s="1">
        <f t="shared" si="1"/>
        <v>152</v>
      </c>
      <c r="J3" s="1">
        <f t="shared" si="1"/>
        <v>159</v>
      </c>
      <c r="K3" s="1">
        <f t="shared" si="1"/>
        <v>198</v>
      </c>
      <c r="L3" s="1">
        <f t="shared" si="1"/>
        <v>152</v>
      </c>
      <c r="M3" s="1">
        <f t="shared" si="1"/>
        <v>148</v>
      </c>
      <c r="N3" s="1">
        <f t="shared" si="1"/>
        <v>128</v>
      </c>
      <c r="O3" s="1">
        <f t="shared" si="1"/>
        <v>125</v>
      </c>
      <c r="P3" s="1">
        <f t="shared" si="1"/>
        <v>123</v>
      </c>
      <c r="Q3" s="1">
        <f t="shared" si="1"/>
        <v>150</v>
      </c>
      <c r="R3" s="1">
        <f t="shared" si="1"/>
        <v>137</v>
      </c>
      <c r="S3" s="1">
        <f t="shared" si="1"/>
        <v>150</v>
      </c>
      <c r="T3" s="1">
        <f t="shared" si="1"/>
        <v>152</v>
      </c>
      <c r="U3" s="1">
        <f t="shared" si="1"/>
        <v>106</v>
      </c>
      <c r="V3" s="1">
        <f t="shared" si="1"/>
        <v>147</v>
      </c>
      <c r="W3" s="1">
        <f t="shared" si="1"/>
        <v>129</v>
      </c>
      <c r="X3" s="1">
        <f t="shared" si="1"/>
        <v>142</v>
      </c>
      <c r="Y3" s="1">
        <f t="shared" si="1"/>
        <v>164</v>
      </c>
      <c r="Z3" s="1">
        <f t="shared" si="1"/>
        <v>135</v>
      </c>
      <c r="AA3" s="1">
        <f t="shared" si="1"/>
        <v>139</v>
      </c>
      <c r="AB3" s="1">
        <f t="shared" si="1"/>
        <v>150</v>
      </c>
      <c r="AC3" s="1">
        <f t="shared" si="1"/>
        <v>135</v>
      </c>
      <c r="AD3" s="1">
        <f t="shared" si="1"/>
        <v>131</v>
      </c>
      <c r="AE3" s="1">
        <f t="shared" si="1"/>
        <v>147</v>
      </c>
      <c r="AF3" s="1">
        <f t="shared" si="1"/>
        <v>0</v>
      </c>
      <c r="AG3" s="2">
        <f t="shared" ref="AG3:AG66" si="2">SUM(B3:AF3)</f>
        <v>4637</v>
      </c>
    </row>
    <row r="4" spans="1:33" ht="18.75" x14ac:dyDescent="0.25">
      <c r="A4" s="53" t="s">
        <v>3</v>
      </c>
      <c r="B4" s="54">
        <v>8</v>
      </c>
      <c r="C4" s="55">
        <v>7</v>
      </c>
      <c r="D4" s="55">
        <v>8</v>
      </c>
      <c r="E4" s="55">
        <v>10</v>
      </c>
      <c r="F4" s="55">
        <v>3</v>
      </c>
      <c r="G4" s="55">
        <v>9</v>
      </c>
      <c r="H4" s="55">
        <v>18</v>
      </c>
      <c r="I4" s="55">
        <v>7</v>
      </c>
      <c r="J4" s="55">
        <v>2</v>
      </c>
      <c r="K4" s="55">
        <v>17</v>
      </c>
      <c r="L4" s="55">
        <v>5</v>
      </c>
      <c r="M4" s="55">
        <v>5</v>
      </c>
      <c r="N4" s="55">
        <v>2</v>
      </c>
      <c r="O4" s="55">
        <v>5</v>
      </c>
      <c r="P4" s="55">
        <v>5</v>
      </c>
      <c r="Q4" s="55">
        <v>5</v>
      </c>
      <c r="R4" s="55">
        <v>4</v>
      </c>
      <c r="S4" s="55">
        <v>5</v>
      </c>
      <c r="T4" s="55">
        <v>7</v>
      </c>
      <c r="U4" s="55">
        <v>3</v>
      </c>
      <c r="V4" s="55">
        <v>3</v>
      </c>
      <c r="W4" s="55">
        <v>3</v>
      </c>
      <c r="X4" s="55">
        <v>6</v>
      </c>
      <c r="Y4" s="55">
        <v>9</v>
      </c>
      <c r="Z4" s="55">
        <v>3</v>
      </c>
      <c r="AA4" s="55">
        <v>5</v>
      </c>
      <c r="AB4" s="55">
        <v>6</v>
      </c>
      <c r="AC4" s="55">
        <v>3</v>
      </c>
      <c r="AD4" s="55">
        <v>4</v>
      </c>
      <c r="AE4" s="55">
        <v>1</v>
      </c>
      <c r="AF4" s="55"/>
      <c r="AG4" s="4">
        <f t="shared" si="2"/>
        <v>178</v>
      </c>
    </row>
    <row r="5" spans="1:33" ht="18.75" x14ac:dyDescent="0.25">
      <c r="A5" s="56" t="s">
        <v>4</v>
      </c>
      <c r="B5" s="54">
        <v>15</v>
      </c>
      <c r="C5" s="54">
        <v>7</v>
      </c>
      <c r="D5" s="54">
        <v>11</v>
      </c>
      <c r="E5" s="54">
        <v>10</v>
      </c>
      <c r="F5" s="54">
        <v>8</v>
      </c>
      <c r="G5" s="54">
        <v>13</v>
      </c>
      <c r="H5" s="54">
        <v>18</v>
      </c>
      <c r="I5" s="54">
        <v>8</v>
      </c>
      <c r="J5" s="54">
        <v>5</v>
      </c>
      <c r="K5" s="54">
        <v>9</v>
      </c>
      <c r="L5" s="54">
        <v>14</v>
      </c>
      <c r="M5" s="54">
        <v>5</v>
      </c>
      <c r="N5" s="54">
        <v>7</v>
      </c>
      <c r="O5" s="54">
        <v>2</v>
      </c>
      <c r="P5" s="54">
        <v>6</v>
      </c>
      <c r="Q5" s="54">
        <v>8</v>
      </c>
      <c r="R5" s="54">
        <v>3</v>
      </c>
      <c r="S5" s="54">
        <v>8</v>
      </c>
      <c r="T5" s="54">
        <v>6</v>
      </c>
      <c r="U5" s="54">
        <v>0</v>
      </c>
      <c r="V5" s="54">
        <v>9</v>
      </c>
      <c r="W5" s="54">
        <v>6</v>
      </c>
      <c r="X5" s="54">
        <v>6</v>
      </c>
      <c r="Y5" s="54">
        <v>8</v>
      </c>
      <c r="Z5" s="54">
        <v>10</v>
      </c>
      <c r="AA5" s="54">
        <v>4</v>
      </c>
      <c r="AB5" s="54">
        <v>5</v>
      </c>
      <c r="AC5" s="54">
        <v>8</v>
      </c>
      <c r="AD5" s="54">
        <v>6</v>
      </c>
      <c r="AE5" s="54">
        <v>3</v>
      </c>
      <c r="AF5" s="54"/>
      <c r="AG5" s="5">
        <f t="shared" si="2"/>
        <v>228</v>
      </c>
    </row>
    <row r="6" spans="1:33" ht="18.75" x14ac:dyDescent="0.25">
      <c r="A6" s="56" t="s">
        <v>5</v>
      </c>
      <c r="B6" s="54">
        <v>9</v>
      </c>
      <c r="C6" s="54">
        <v>13</v>
      </c>
      <c r="D6" s="54">
        <v>25</v>
      </c>
      <c r="E6" s="54">
        <v>8</v>
      </c>
      <c r="F6" s="54">
        <v>8</v>
      </c>
      <c r="G6" s="54">
        <v>10</v>
      </c>
      <c r="H6" s="54">
        <v>16</v>
      </c>
      <c r="I6" s="54">
        <v>15</v>
      </c>
      <c r="J6" s="54">
        <v>14</v>
      </c>
      <c r="K6" s="54">
        <v>21</v>
      </c>
      <c r="L6" s="54">
        <v>8</v>
      </c>
      <c r="M6" s="54">
        <v>15</v>
      </c>
      <c r="N6" s="54">
        <v>8</v>
      </c>
      <c r="O6" s="54">
        <v>8</v>
      </c>
      <c r="P6" s="54">
        <v>8</v>
      </c>
      <c r="Q6" s="54">
        <v>10</v>
      </c>
      <c r="R6" s="54">
        <v>10</v>
      </c>
      <c r="S6" s="54">
        <v>13</v>
      </c>
      <c r="T6" s="54">
        <v>14</v>
      </c>
      <c r="U6" s="54">
        <v>6</v>
      </c>
      <c r="V6" s="54">
        <v>5</v>
      </c>
      <c r="W6" s="54">
        <v>7</v>
      </c>
      <c r="X6" s="54">
        <v>4</v>
      </c>
      <c r="Y6" s="54">
        <v>11</v>
      </c>
      <c r="Z6" s="54">
        <v>4</v>
      </c>
      <c r="AA6" s="54">
        <v>13</v>
      </c>
      <c r="AB6" s="54">
        <v>9</v>
      </c>
      <c r="AC6" s="54">
        <v>7</v>
      </c>
      <c r="AD6" s="54">
        <v>15</v>
      </c>
      <c r="AE6" s="54">
        <v>14</v>
      </c>
      <c r="AF6" s="54"/>
      <c r="AG6" s="5">
        <f t="shared" si="2"/>
        <v>328</v>
      </c>
    </row>
    <row r="7" spans="1:33" ht="18.75" x14ac:dyDescent="0.25">
      <c r="A7" s="56" t="s">
        <v>6</v>
      </c>
      <c r="B7" s="54">
        <v>20</v>
      </c>
      <c r="C7" s="54">
        <v>12</v>
      </c>
      <c r="D7" s="54">
        <v>20</v>
      </c>
      <c r="E7" s="54">
        <v>15</v>
      </c>
      <c r="F7" s="54">
        <v>11</v>
      </c>
      <c r="G7" s="54">
        <v>8</v>
      </c>
      <c r="H7" s="54">
        <v>9</v>
      </c>
      <c r="I7" s="54">
        <v>13</v>
      </c>
      <c r="J7" s="54">
        <v>18</v>
      </c>
      <c r="K7" s="54">
        <v>14</v>
      </c>
      <c r="L7" s="54">
        <v>11</v>
      </c>
      <c r="M7" s="54">
        <v>7</v>
      </c>
      <c r="N7" s="54">
        <v>8</v>
      </c>
      <c r="O7" s="54">
        <v>17</v>
      </c>
      <c r="P7" s="54">
        <v>8</v>
      </c>
      <c r="Q7" s="54">
        <v>13</v>
      </c>
      <c r="R7" s="54">
        <v>8</v>
      </c>
      <c r="S7" s="54">
        <v>6</v>
      </c>
      <c r="T7" s="54">
        <v>8</v>
      </c>
      <c r="U7" s="54">
        <v>11</v>
      </c>
      <c r="V7" s="54">
        <v>10</v>
      </c>
      <c r="W7" s="54">
        <v>9</v>
      </c>
      <c r="X7" s="54">
        <v>9</v>
      </c>
      <c r="Y7" s="54">
        <v>10</v>
      </c>
      <c r="Z7" s="54">
        <v>6</v>
      </c>
      <c r="AA7" s="54">
        <v>7</v>
      </c>
      <c r="AB7" s="54">
        <v>13</v>
      </c>
      <c r="AC7" s="54">
        <v>6</v>
      </c>
      <c r="AD7" s="54">
        <v>12</v>
      </c>
      <c r="AE7" s="54">
        <v>8</v>
      </c>
      <c r="AF7" s="54"/>
      <c r="AG7" s="5">
        <f t="shared" si="2"/>
        <v>327</v>
      </c>
    </row>
    <row r="8" spans="1:33" ht="18.75" x14ac:dyDescent="0.25">
      <c r="A8" s="56" t="s">
        <v>7</v>
      </c>
      <c r="B8" s="54">
        <v>11</v>
      </c>
      <c r="C8" s="54">
        <v>14</v>
      </c>
      <c r="D8" s="54">
        <v>20</v>
      </c>
      <c r="E8" s="54">
        <v>26</v>
      </c>
      <c r="F8" s="54">
        <v>11</v>
      </c>
      <c r="G8" s="54">
        <v>12</v>
      </c>
      <c r="H8" s="54">
        <v>16</v>
      </c>
      <c r="I8" s="54">
        <v>14</v>
      </c>
      <c r="J8" s="54">
        <v>9</v>
      </c>
      <c r="K8" s="54">
        <v>20</v>
      </c>
      <c r="L8" s="54">
        <v>9</v>
      </c>
      <c r="M8" s="54">
        <v>9</v>
      </c>
      <c r="N8" s="54">
        <v>8</v>
      </c>
      <c r="O8" s="54">
        <v>3</v>
      </c>
      <c r="P8" s="54">
        <v>6</v>
      </c>
      <c r="Q8" s="54">
        <v>11</v>
      </c>
      <c r="R8" s="54">
        <v>9</v>
      </c>
      <c r="S8" s="54">
        <v>8</v>
      </c>
      <c r="T8" s="54">
        <v>10</v>
      </c>
      <c r="U8" s="54">
        <v>6</v>
      </c>
      <c r="V8" s="54">
        <v>14</v>
      </c>
      <c r="W8" s="54">
        <v>14</v>
      </c>
      <c r="X8" s="54">
        <v>12</v>
      </c>
      <c r="Y8" s="54">
        <v>13</v>
      </c>
      <c r="Z8" s="54">
        <v>10</v>
      </c>
      <c r="AA8" s="54">
        <v>12</v>
      </c>
      <c r="AB8" s="54">
        <v>10</v>
      </c>
      <c r="AC8" s="54">
        <v>10</v>
      </c>
      <c r="AD8" s="54">
        <v>12</v>
      </c>
      <c r="AE8" s="54">
        <v>10</v>
      </c>
      <c r="AF8" s="54"/>
      <c r="AG8" s="5">
        <f t="shared" si="2"/>
        <v>349</v>
      </c>
    </row>
    <row r="9" spans="1:33" ht="18.75" x14ac:dyDescent="0.25">
      <c r="A9" s="56" t="s">
        <v>8</v>
      </c>
      <c r="B9" s="54">
        <v>8</v>
      </c>
      <c r="C9" s="54">
        <v>16</v>
      </c>
      <c r="D9" s="54">
        <v>16</v>
      </c>
      <c r="E9" s="54">
        <v>7</v>
      </c>
      <c r="F9" s="54">
        <v>8</v>
      </c>
      <c r="G9" s="54">
        <v>19</v>
      </c>
      <c r="H9" s="54">
        <v>11</v>
      </c>
      <c r="I9" s="54">
        <v>6</v>
      </c>
      <c r="J9" s="54">
        <v>7</v>
      </c>
      <c r="K9" s="54">
        <v>11</v>
      </c>
      <c r="L9" s="54">
        <v>15</v>
      </c>
      <c r="M9" s="54">
        <v>12</v>
      </c>
      <c r="N9" s="54">
        <v>8</v>
      </c>
      <c r="O9" s="54">
        <v>5</v>
      </c>
      <c r="P9" s="54">
        <v>7</v>
      </c>
      <c r="Q9" s="54">
        <v>10</v>
      </c>
      <c r="R9" s="54">
        <v>4</v>
      </c>
      <c r="S9" s="54">
        <v>5</v>
      </c>
      <c r="T9" s="54">
        <v>11</v>
      </c>
      <c r="U9" s="54">
        <v>13</v>
      </c>
      <c r="V9" s="54">
        <v>9</v>
      </c>
      <c r="W9" s="54">
        <v>8</v>
      </c>
      <c r="X9" s="54">
        <v>13</v>
      </c>
      <c r="Y9" s="54">
        <v>5</v>
      </c>
      <c r="Z9" s="54">
        <v>11</v>
      </c>
      <c r="AA9" s="54">
        <v>5</v>
      </c>
      <c r="AB9" s="54">
        <v>10</v>
      </c>
      <c r="AC9" s="54">
        <v>6</v>
      </c>
      <c r="AD9" s="54">
        <v>7</v>
      </c>
      <c r="AE9" s="54">
        <v>10</v>
      </c>
      <c r="AF9" s="54"/>
      <c r="AG9" s="5">
        <f t="shared" si="2"/>
        <v>283</v>
      </c>
    </row>
    <row r="10" spans="1:33" ht="18.75" x14ac:dyDescent="0.25">
      <c r="A10" s="56" t="s">
        <v>9</v>
      </c>
      <c r="B10" s="54">
        <v>15</v>
      </c>
      <c r="C10" s="54">
        <v>9</v>
      </c>
      <c r="D10" s="54">
        <v>20</v>
      </c>
      <c r="E10" s="54">
        <v>13</v>
      </c>
      <c r="F10" s="54">
        <v>5</v>
      </c>
      <c r="G10" s="54">
        <v>9</v>
      </c>
      <c r="H10" s="54">
        <v>14</v>
      </c>
      <c r="I10" s="54">
        <v>6</v>
      </c>
      <c r="J10" s="54">
        <v>7</v>
      </c>
      <c r="K10" s="54">
        <v>10</v>
      </c>
      <c r="L10" s="54">
        <v>6</v>
      </c>
      <c r="M10" s="54">
        <v>13</v>
      </c>
      <c r="N10" s="54">
        <v>10</v>
      </c>
      <c r="O10" s="54">
        <v>13</v>
      </c>
      <c r="P10" s="54">
        <v>12</v>
      </c>
      <c r="Q10" s="54">
        <v>8</v>
      </c>
      <c r="R10" s="54">
        <v>7</v>
      </c>
      <c r="S10" s="54">
        <v>13</v>
      </c>
      <c r="T10" s="54">
        <v>5</v>
      </c>
      <c r="U10" s="54">
        <v>7</v>
      </c>
      <c r="V10" s="54">
        <v>10</v>
      </c>
      <c r="W10" s="54">
        <v>10</v>
      </c>
      <c r="X10" s="54">
        <v>10</v>
      </c>
      <c r="Y10" s="54">
        <v>7</v>
      </c>
      <c r="Z10" s="54">
        <v>16</v>
      </c>
      <c r="AA10" s="54">
        <v>4</v>
      </c>
      <c r="AB10" s="54">
        <v>10</v>
      </c>
      <c r="AC10" s="54">
        <v>7</v>
      </c>
      <c r="AD10" s="54">
        <v>8</v>
      </c>
      <c r="AE10" s="54">
        <v>7</v>
      </c>
      <c r="AF10" s="54"/>
      <c r="AG10" s="5">
        <f t="shared" si="2"/>
        <v>291</v>
      </c>
    </row>
    <row r="11" spans="1:33" ht="18.75" x14ac:dyDescent="0.25">
      <c r="A11" s="56" t="s">
        <v>10</v>
      </c>
      <c r="B11" s="54">
        <v>9</v>
      </c>
      <c r="C11" s="54">
        <v>8</v>
      </c>
      <c r="D11" s="54">
        <v>13</v>
      </c>
      <c r="E11" s="54">
        <v>9</v>
      </c>
      <c r="F11" s="54">
        <v>15</v>
      </c>
      <c r="G11" s="54">
        <v>14</v>
      </c>
      <c r="H11" s="54">
        <v>18</v>
      </c>
      <c r="I11" s="54">
        <v>9</v>
      </c>
      <c r="J11" s="54">
        <v>17</v>
      </c>
      <c r="K11" s="54">
        <v>9</v>
      </c>
      <c r="L11" s="54">
        <v>13</v>
      </c>
      <c r="M11" s="54">
        <v>11</v>
      </c>
      <c r="N11" s="54">
        <v>10</v>
      </c>
      <c r="O11" s="54">
        <v>15</v>
      </c>
      <c r="P11" s="54">
        <v>9</v>
      </c>
      <c r="Q11" s="54">
        <v>10</v>
      </c>
      <c r="R11" s="54">
        <v>12</v>
      </c>
      <c r="S11" s="54">
        <v>15</v>
      </c>
      <c r="T11" s="54">
        <v>12</v>
      </c>
      <c r="U11" s="54">
        <v>13</v>
      </c>
      <c r="V11" s="54">
        <v>10</v>
      </c>
      <c r="W11" s="54">
        <v>5</v>
      </c>
      <c r="X11" s="54">
        <v>9</v>
      </c>
      <c r="Y11" s="54">
        <v>17</v>
      </c>
      <c r="Z11" s="54">
        <v>17</v>
      </c>
      <c r="AA11" s="54">
        <v>12</v>
      </c>
      <c r="AB11" s="54">
        <v>8</v>
      </c>
      <c r="AC11" s="54">
        <v>14</v>
      </c>
      <c r="AD11" s="54">
        <v>6</v>
      </c>
      <c r="AE11" s="54">
        <v>11</v>
      </c>
      <c r="AF11" s="54"/>
      <c r="AG11" s="5">
        <f t="shared" si="2"/>
        <v>350</v>
      </c>
    </row>
    <row r="12" spans="1:33" ht="18.75" x14ac:dyDescent="0.25">
      <c r="A12" s="56" t="s">
        <v>11</v>
      </c>
      <c r="B12" s="54">
        <v>12</v>
      </c>
      <c r="C12" s="54">
        <v>12</v>
      </c>
      <c r="D12" s="54">
        <v>18</v>
      </c>
      <c r="E12" s="54">
        <v>18</v>
      </c>
      <c r="F12" s="54">
        <v>17</v>
      </c>
      <c r="G12" s="54">
        <v>17</v>
      </c>
      <c r="H12" s="54">
        <v>16</v>
      </c>
      <c r="I12" s="54">
        <v>15</v>
      </c>
      <c r="J12" s="54">
        <v>16</v>
      </c>
      <c r="K12" s="54">
        <v>17</v>
      </c>
      <c r="L12" s="54">
        <v>11</v>
      </c>
      <c r="M12" s="54">
        <v>14</v>
      </c>
      <c r="N12" s="54">
        <v>11</v>
      </c>
      <c r="O12" s="54">
        <v>14</v>
      </c>
      <c r="P12" s="54">
        <v>11</v>
      </c>
      <c r="Q12" s="54">
        <v>6</v>
      </c>
      <c r="R12" s="54">
        <v>12</v>
      </c>
      <c r="S12" s="54">
        <v>12</v>
      </c>
      <c r="T12" s="54">
        <v>15</v>
      </c>
      <c r="U12" s="54">
        <v>9</v>
      </c>
      <c r="V12" s="54">
        <v>17</v>
      </c>
      <c r="W12" s="54">
        <v>3</v>
      </c>
      <c r="X12" s="54">
        <v>13</v>
      </c>
      <c r="Y12" s="54">
        <v>15</v>
      </c>
      <c r="Z12" s="54">
        <v>12</v>
      </c>
      <c r="AA12" s="54">
        <v>16</v>
      </c>
      <c r="AB12" s="54">
        <v>12</v>
      </c>
      <c r="AC12" s="54">
        <v>13</v>
      </c>
      <c r="AD12" s="54">
        <v>8</v>
      </c>
      <c r="AE12" s="54">
        <v>9</v>
      </c>
      <c r="AF12" s="54"/>
      <c r="AG12" s="5">
        <f t="shared" si="2"/>
        <v>391</v>
      </c>
    </row>
    <row r="13" spans="1:33" ht="18.75" x14ac:dyDescent="0.25">
      <c r="A13" s="56" t="s">
        <v>12</v>
      </c>
      <c r="B13" s="54">
        <v>9</v>
      </c>
      <c r="C13" s="54">
        <v>12</v>
      </c>
      <c r="D13" s="54">
        <v>21</v>
      </c>
      <c r="E13" s="54">
        <v>12</v>
      </c>
      <c r="F13" s="54">
        <v>12</v>
      </c>
      <c r="G13" s="54">
        <v>13</v>
      </c>
      <c r="H13" s="54">
        <v>8</v>
      </c>
      <c r="I13" s="54">
        <v>14</v>
      </c>
      <c r="J13" s="54">
        <v>14</v>
      </c>
      <c r="K13" s="54">
        <v>21</v>
      </c>
      <c r="L13" s="54">
        <v>11</v>
      </c>
      <c r="M13" s="54">
        <v>8</v>
      </c>
      <c r="N13" s="54">
        <v>9</v>
      </c>
      <c r="O13" s="54">
        <v>6</v>
      </c>
      <c r="P13" s="54">
        <v>11</v>
      </c>
      <c r="Q13" s="54">
        <v>4</v>
      </c>
      <c r="R13" s="54">
        <v>8</v>
      </c>
      <c r="S13" s="54">
        <v>15</v>
      </c>
      <c r="T13" s="54">
        <v>8</v>
      </c>
      <c r="U13" s="54">
        <v>11</v>
      </c>
      <c r="V13" s="54">
        <v>12</v>
      </c>
      <c r="W13" s="54">
        <v>7</v>
      </c>
      <c r="X13" s="54">
        <v>7</v>
      </c>
      <c r="Y13" s="54">
        <v>17</v>
      </c>
      <c r="Z13" s="54">
        <v>12</v>
      </c>
      <c r="AA13" s="54">
        <v>14</v>
      </c>
      <c r="AB13" s="54">
        <v>15</v>
      </c>
      <c r="AC13" s="54">
        <v>12</v>
      </c>
      <c r="AD13" s="54">
        <v>8</v>
      </c>
      <c r="AE13" s="54">
        <v>13</v>
      </c>
      <c r="AF13" s="54"/>
      <c r="AG13" s="5">
        <f t="shared" si="2"/>
        <v>344</v>
      </c>
    </row>
    <row r="14" spans="1:33" ht="18.75" x14ac:dyDescent="0.25">
      <c r="A14" s="56" t="s">
        <v>13</v>
      </c>
      <c r="B14" s="54">
        <v>5</v>
      </c>
      <c r="C14" s="54">
        <v>8</v>
      </c>
      <c r="D14" s="54">
        <v>15</v>
      </c>
      <c r="E14" s="54">
        <v>11</v>
      </c>
      <c r="F14" s="54">
        <v>9</v>
      </c>
      <c r="G14" s="54">
        <v>8</v>
      </c>
      <c r="H14" s="54">
        <v>7</v>
      </c>
      <c r="I14" s="54">
        <v>8</v>
      </c>
      <c r="J14" s="54">
        <v>9</v>
      </c>
      <c r="K14" s="54">
        <v>10</v>
      </c>
      <c r="L14" s="54">
        <v>11</v>
      </c>
      <c r="M14" s="54">
        <v>8</v>
      </c>
      <c r="N14" s="54">
        <v>12</v>
      </c>
      <c r="O14" s="54">
        <v>6</v>
      </c>
      <c r="P14" s="54">
        <v>5</v>
      </c>
      <c r="Q14" s="54">
        <v>7</v>
      </c>
      <c r="R14" s="54">
        <v>12</v>
      </c>
      <c r="S14" s="54">
        <v>6</v>
      </c>
      <c r="T14" s="54">
        <v>9</v>
      </c>
      <c r="U14" s="54">
        <v>3</v>
      </c>
      <c r="V14" s="54">
        <v>9</v>
      </c>
      <c r="W14" s="54">
        <v>7</v>
      </c>
      <c r="X14" s="54">
        <v>10</v>
      </c>
      <c r="Y14" s="54">
        <v>10</v>
      </c>
      <c r="Z14" s="54">
        <v>5</v>
      </c>
      <c r="AA14" s="54">
        <v>13</v>
      </c>
      <c r="AB14" s="54">
        <v>7</v>
      </c>
      <c r="AC14" s="54">
        <v>12</v>
      </c>
      <c r="AD14" s="54">
        <v>4</v>
      </c>
      <c r="AE14" s="54">
        <v>8</v>
      </c>
      <c r="AF14" s="54"/>
      <c r="AG14" s="5">
        <f t="shared" si="2"/>
        <v>254</v>
      </c>
    </row>
    <row r="15" spans="1:33" ht="18.75" x14ac:dyDescent="0.25">
      <c r="A15" s="56" t="s">
        <v>14</v>
      </c>
      <c r="B15" s="54">
        <v>3</v>
      </c>
      <c r="C15" s="54">
        <v>3</v>
      </c>
      <c r="D15" s="54">
        <v>16</v>
      </c>
      <c r="E15" s="54">
        <v>9</v>
      </c>
      <c r="F15" s="54">
        <v>5</v>
      </c>
      <c r="G15" s="54">
        <v>8</v>
      </c>
      <c r="H15" s="54">
        <v>8</v>
      </c>
      <c r="I15" s="54">
        <v>3</v>
      </c>
      <c r="J15" s="54">
        <v>8</v>
      </c>
      <c r="K15" s="54">
        <v>11</v>
      </c>
      <c r="L15" s="54">
        <v>10</v>
      </c>
      <c r="M15" s="54">
        <v>6</v>
      </c>
      <c r="N15" s="54">
        <v>8</v>
      </c>
      <c r="O15" s="54">
        <v>2</v>
      </c>
      <c r="P15" s="54">
        <v>9</v>
      </c>
      <c r="Q15" s="54">
        <v>6</v>
      </c>
      <c r="R15" s="54">
        <v>9</v>
      </c>
      <c r="S15" s="54">
        <v>7</v>
      </c>
      <c r="T15" s="54">
        <v>9</v>
      </c>
      <c r="U15" s="54">
        <v>2</v>
      </c>
      <c r="V15" s="54">
        <v>13</v>
      </c>
      <c r="W15" s="54">
        <v>10</v>
      </c>
      <c r="X15" s="54">
        <v>8</v>
      </c>
      <c r="Y15" s="54">
        <v>6</v>
      </c>
      <c r="Z15" s="54">
        <v>7</v>
      </c>
      <c r="AA15" s="54">
        <v>10</v>
      </c>
      <c r="AB15" s="54">
        <v>13</v>
      </c>
      <c r="AC15" s="54">
        <v>8</v>
      </c>
      <c r="AD15" s="54">
        <v>5</v>
      </c>
      <c r="AE15" s="54">
        <v>10</v>
      </c>
      <c r="AF15" s="54"/>
      <c r="AG15" s="5">
        <f t="shared" si="2"/>
        <v>232</v>
      </c>
    </row>
    <row r="16" spans="1:33" ht="18.75" x14ac:dyDescent="0.25">
      <c r="A16" s="56" t="s">
        <v>15</v>
      </c>
      <c r="B16" s="54">
        <v>8</v>
      </c>
      <c r="C16" s="54">
        <v>8</v>
      </c>
      <c r="D16" s="54">
        <v>9</v>
      </c>
      <c r="E16" s="54">
        <v>16</v>
      </c>
      <c r="F16" s="54">
        <v>9</v>
      </c>
      <c r="G16" s="54">
        <v>12</v>
      </c>
      <c r="H16" s="54">
        <v>10</v>
      </c>
      <c r="I16" s="54">
        <v>2</v>
      </c>
      <c r="J16" s="54">
        <v>7</v>
      </c>
      <c r="K16" s="54">
        <v>5</v>
      </c>
      <c r="L16" s="54">
        <v>5</v>
      </c>
      <c r="M16" s="54">
        <v>6</v>
      </c>
      <c r="N16" s="54">
        <v>4</v>
      </c>
      <c r="O16" s="54">
        <v>3</v>
      </c>
      <c r="P16" s="54">
        <v>4</v>
      </c>
      <c r="Q16" s="54">
        <v>8</v>
      </c>
      <c r="R16" s="54">
        <v>6</v>
      </c>
      <c r="S16" s="54">
        <v>9</v>
      </c>
      <c r="T16" s="54">
        <v>7</v>
      </c>
      <c r="U16" s="54">
        <v>2</v>
      </c>
      <c r="V16" s="54">
        <v>3</v>
      </c>
      <c r="W16" s="54">
        <v>9</v>
      </c>
      <c r="X16" s="54">
        <v>5</v>
      </c>
      <c r="Y16" s="54">
        <v>7</v>
      </c>
      <c r="Z16" s="54">
        <v>2</v>
      </c>
      <c r="AA16" s="54">
        <v>4</v>
      </c>
      <c r="AB16" s="54">
        <v>6</v>
      </c>
      <c r="AC16" s="54">
        <v>9</v>
      </c>
      <c r="AD16" s="54">
        <v>3</v>
      </c>
      <c r="AE16" s="54">
        <v>7</v>
      </c>
      <c r="AF16" s="54"/>
      <c r="AG16" s="5">
        <f t="shared" si="2"/>
        <v>195</v>
      </c>
    </row>
    <row r="17" spans="1:33" ht="18.75" x14ac:dyDescent="0.25">
      <c r="A17" s="56" t="s">
        <v>16</v>
      </c>
      <c r="B17" s="54">
        <v>5</v>
      </c>
      <c r="C17" s="54">
        <v>4</v>
      </c>
      <c r="D17" s="54">
        <v>14</v>
      </c>
      <c r="E17" s="54">
        <v>7</v>
      </c>
      <c r="F17" s="54">
        <v>2</v>
      </c>
      <c r="G17" s="54">
        <v>12</v>
      </c>
      <c r="H17" s="54">
        <v>8</v>
      </c>
      <c r="I17" s="54">
        <v>5</v>
      </c>
      <c r="J17" s="54">
        <v>3</v>
      </c>
      <c r="K17" s="54">
        <v>6</v>
      </c>
      <c r="L17" s="54">
        <v>3</v>
      </c>
      <c r="M17" s="54">
        <v>4</v>
      </c>
      <c r="N17" s="54">
        <v>6</v>
      </c>
      <c r="O17" s="54">
        <v>4</v>
      </c>
      <c r="P17" s="54">
        <v>6</v>
      </c>
      <c r="Q17" s="54">
        <v>9</v>
      </c>
      <c r="R17" s="54">
        <v>9</v>
      </c>
      <c r="S17" s="54">
        <v>6</v>
      </c>
      <c r="T17" s="54">
        <v>9</v>
      </c>
      <c r="U17" s="54">
        <v>4</v>
      </c>
      <c r="V17" s="54">
        <v>4</v>
      </c>
      <c r="W17" s="54">
        <v>6</v>
      </c>
      <c r="X17" s="54">
        <v>4</v>
      </c>
      <c r="Y17" s="54">
        <v>10</v>
      </c>
      <c r="Z17" s="54">
        <v>3</v>
      </c>
      <c r="AA17" s="54">
        <v>2</v>
      </c>
      <c r="AB17" s="54">
        <v>6</v>
      </c>
      <c r="AC17" s="54">
        <v>4</v>
      </c>
      <c r="AD17" s="54">
        <v>4</v>
      </c>
      <c r="AE17" s="54">
        <v>8</v>
      </c>
      <c r="AF17" s="54"/>
      <c r="AG17" s="5">
        <f t="shared" si="2"/>
        <v>177</v>
      </c>
    </row>
    <row r="18" spans="1:33" ht="18.75" x14ac:dyDescent="0.25">
      <c r="A18" s="56" t="s">
        <v>17</v>
      </c>
      <c r="B18" s="54">
        <v>10</v>
      </c>
      <c r="C18" s="54">
        <v>6</v>
      </c>
      <c r="D18" s="54">
        <v>5</v>
      </c>
      <c r="E18" s="54">
        <v>7</v>
      </c>
      <c r="F18" s="54">
        <v>7</v>
      </c>
      <c r="G18" s="54">
        <v>5</v>
      </c>
      <c r="H18" s="54">
        <v>8</v>
      </c>
      <c r="I18" s="54">
        <v>7</v>
      </c>
      <c r="J18" s="54">
        <v>4</v>
      </c>
      <c r="K18" s="54">
        <v>7</v>
      </c>
      <c r="L18" s="54">
        <v>5</v>
      </c>
      <c r="M18" s="54">
        <v>8</v>
      </c>
      <c r="N18" s="54">
        <v>3</v>
      </c>
      <c r="O18" s="54">
        <v>5</v>
      </c>
      <c r="P18" s="54">
        <v>0</v>
      </c>
      <c r="Q18" s="54">
        <v>9</v>
      </c>
      <c r="R18" s="54">
        <v>6</v>
      </c>
      <c r="S18" s="54">
        <v>4</v>
      </c>
      <c r="T18" s="54">
        <v>7</v>
      </c>
      <c r="U18" s="54">
        <v>1</v>
      </c>
      <c r="V18" s="54">
        <v>7</v>
      </c>
      <c r="W18" s="54">
        <v>2</v>
      </c>
      <c r="X18" s="54">
        <v>5</v>
      </c>
      <c r="Y18" s="54">
        <v>5</v>
      </c>
      <c r="Z18" s="54">
        <v>2</v>
      </c>
      <c r="AA18" s="54">
        <v>2</v>
      </c>
      <c r="AB18" s="54">
        <v>2</v>
      </c>
      <c r="AC18" s="54">
        <v>6</v>
      </c>
      <c r="AD18" s="54">
        <v>4</v>
      </c>
      <c r="AE18" s="54">
        <v>7</v>
      </c>
      <c r="AF18" s="54"/>
      <c r="AG18" s="5">
        <f t="shared" si="2"/>
        <v>156</v>
      </c>
    </row>
    <row r="19" spans="1:33" ht="18.75" x14ac:dyDescent="0.25">
      <c r="A19" s="56" t="s">
        <v>18</v>
      </c>
      <c r="B19" s="54">
        <v>5</v>
      </c>
      <c r="C19" s="54">
        <v>3</v>
      </c>
      <c r="D19" s="54">
        <v>2</v>
      </c>
      <c r="E19" s="54">
        <v>10</v>
      </c>
      <c r="F19" s="54">
        <v>4</v>
      </c>
      <c r="G19" s="54">
        <v>3</v>
      </c>
      <c r="H19" s="54">
        <v>4</v>
      </c>
      <c r="I19" s="54">
        <v>2</v>
      </c>
      <c r="J19" s="54">
        <v>4</v>
      </c>
      <c r="K19" s="54">
        <v>4</v>
      </c>
      <c r="L19" s="54">
        <v>2</v>
      </c>
      <c r="M19" s="54">
        <v>2</v>
      </c>
      <c r="N19" s="54">
        <v>2</v>
      </c>
      <c r="O19" s="54">
        <v>4</v>
      </c>
      <c r="P19" s="54">
        <v>5</v>
      </c>
      <c r="Q19" s="54">
        <v>6</v>
      </c>
      <c r="R19" s="54">
        <v>3</v>
      </c>
      <c r="S19" s="54">
        <v>4</v>
      </c>
      <c r="T19" s="54">
        <v>1</v>
      </c>
      <c r="U19" s="54">
        <v>3</v>
      </c>
      <c r="V19" s="54">
        <v>5</v>
      </c>
      <c r="W19" s="54">
        <v>7</v>
      </c>
      <c r="X19" s="54">
        <v>5</v>
      </c>
      <c r="Y19" s="54">
        <v>5</v>
      </c>
      <c r="Z19" s="54">
        <v>3</v>
      </c>
      <c r="AA19" s="54">
        <v>6</v>
      </c>
      <c r="AB19" s="54">
        <v>5</v>
      </c>
      <c r="AC19" s="54">
        <v>1</v>
      </c>
      <c r="AD19" s="54">
        <v>7</v>
      </c>
      <c r="AE19" s="54">
        <v>7</v>
      </c>
      <c r="AF19" s="54"/>
      <c r="AG19" s="5">
        <f t="shared" si="2"/>
        <v>124</v>
      </c>
    </row>
    <row r="20" spans="1:33" ht="18.75" x14ac:dyDescent="0.25">
      <c r="A20" s="56" t="s">
        <v>19</v>
      </c>
      <c r="B20" s="54">
        <v>5</v>
      </c>
      <c r="C20" s="54">
        <v>8</v>
      </c>
      <c r="D20" s="54">
        <v>3</v>
      </c>
      <c r="E20" s="54">
        <v>3</v>
      </c>
      <c r="F20" s="54">
        <v>2</v>
      </c>
      <c r="G20" s="54">
        <v>6</v>
      </c>
      <c r="H20" s="54">
        <v>4</v>
      </c>
      <c r="I20" s="54">
        <v>6</v>
      </c>
      <c r="J20" s="54">
        <v>3</v>
      </c>
      <c r="K20" s="54">
        <v>2</v>
      </c>
      <c r="L20" s="54">
        <v>5</v>
      </c>
      <c r="M20" s="54">
        <v>3</v>
      </c>
      <c r="N20" s="54">
        <v>3</v>
      </c>
      <c r="O20" s="54">
        <v>3</v>
      </c>
      <c r="P20" s="54">
        <v>3</v>
      </c>
      <c r="Q20" s="54">
        <v>5</v>
      </c>
      <c r="R20" s="54">
        <v>4</v>
      </c>
      <c r="S20" s="54">
        <v>5</v>
      </c>
      <c r="T20" s="54">
        <v>4</v>
      </c>
      <c r="U20" s="54">
        <v>2</v>
      </c>
      <c r="V20" s="54">
        <v>5</v>
      </c>
      <c r="W20" s="54">
        <v>2</v>
      </c>
      <c r="X20" s="54">
        <v>5</v>
      </c>
      <c r="Y20" s="54">
        <v>5</v>
      </c>
      <c r="Z20" s="54">
        <v>3</v>
      </c>
      <c r="AA20" s="54">
        <v>2</v>
      </c>
      <c r="AB20" s="54">
        <v>3</v>
      </c>
      <c r="AC20" s="54">
        <v>2</v>
      </c>
      <c r="AD20" s="54">
        <v>5</v>
      </c>
      <c r="AE20" s="54">
        <v>3</v>
      </c>
      <c r="AF20" s="54"/>
      <c r="AG20" s="5">
        <f t="shared" si="2"/>
        <v>114</v>
      </c>
    </row>
    <row r="21" spans="1:33" ht="15.75" customHeight="1" x14ac:dyDescent="0.25">
      <c r="A21" s="56" t="s">
        <v>20</v>
      </c>
      <c r="B21" s="54">
        <v>3</v>
      </c>
      <c r="C21" s="54">
        <v>2</v>
      </c>
      <c r="D21" s="54">
        <v>0</v>
      </c>
      <c r="E21" s="54">
        <v>3</v>
      </c>
      <c r="F21" s="54">
        <v>2</v>
      </c>
      <c r="G21" s="54">
        <v>4</v>
      </c>
      <c r="H21" s="54">
        <v>1</v>
      </c>
      <c r="I21" s="54">
        <v>1</v>
      </c>
      <c r="J21" s="54">
        <v>4</v>
      </c>
      <c r="K21" s="54">
        <v>0</v>
      </c>
      <c r="L21" s="54">
        <v>3</v>
      </c>
      <c r="M21" s="54">
        <v>3</v>
      </c>
      <c r="N21" s="54">
        <v>1</v>
      </c>
      <c r="O21" s="54">
        <v>1</v>
      </c>
      <c r="P21" s="54">
        <v>2</v>
      </c>
      <c r="Q21" s="54">
        <v>4</v>
      </c>
      <c r="R21" s="54">
        <v>5</v>
      </c>
      <c r="S21" s="54">
        <v>5</v>
      </c>
      <c r="T21" s="54">
        <v>2</v>
      </c>
      <c r="U21" s="54">
        <v>2</v>
      </c>
      <c r="V21" s="54">
        <v>1</v>
      </c>
      <c r="W21" s="54">
        <v>2</v>
      </c>
      <c r="X21" s="54">
        <v>1</v>
      </c>
      <c r="Y21" s="54">
        <v>2</v>
      </c>
      <c r="Z21" s="54">
        <v>3</v>
      </c>
      <c r="AA21" s="54">
        <v>3</v>
      </c>
      <c r="AB21" s="54">
        <v>3</v>
      </c>
      <c r="AC21" s="54">
        <v>2</v>
      </c>
      <c r="AD21" s="54">
        <v>2</v>
      </c>
      <c r="AE21" s="54">
        <v>4</v>
      </c>
      <c r="AF21" s="54"/>
      <c r="AG21" s="5">
        <f t="shared" si="2"/>
        <v>71</v>
      </c>
    </row>
    <row r="22" spans="1:33" ht="15.75" customHeight="1" x14ac:dyDescent="0.25">
      <c r="A22" s="56" t="s">
        <v>21</v>
      </c>
      <c r="B22" s="54">
        <v>3</v>
      </c>
      <c r="C22" s="54">
        <v>4</v>
      </c>
      <c r="D22" s="54">
        <v>2</v>
      </c>
      <c r="E22" s="54">
        <v>1</v>
      </c>
      <c r="F22" s="54">
        <v>3</v>
      </c>
      <c r="G22" s="54">
        <v>0</v>
      </c>
      <c r="H22" s="54">
        <v>5</v>
      </c>
      <c r="I22" s="54">
        <v>3</v>
      </c>
      <c r="J22" s="54">
        <v>2</v>
      </c>
      <c r="K22" s="54">
        <v>2</v>
      </c>
      <c r="L22" s="54">
        <v>0</v>
      </c>
      <c r="M22" s="54">
        <v>1</v>
      </c>
      <c r="N22" s="54">
        <v>1</v>
      </c>
      <c r="O22" s="54">
        <v>4</v>
      </c>
      <c r="P22" s="54">
        <v>1</v>
      </c>
      <c r="Q22" s="54">
        <v>1</v>
      </c>
      <c r="R22" s="54">
        <v>2</v>
      </c>
      <c r="S22" s="54">
        <v>0</v>
      </c>
      <c r="T22" s="54">
        <v>3</v>
      </c>
      <c r="U22" s="54">
        <v>2</v>
      </c>
      <c r="V22" s="54">
        <v>0</v>
      </c>
      <c r="W22" s="54">
        <v>4</v>
      </c>
      <c r="X22" s="54">
        <v>1</v>
      </c>
      <c r="Y22" s="54">
        <v>0</v>
      </c>
      <c r="Z22" s="54">
        <v>1</v>
      </c>
      <c r="AA22" s="54">
        <v>1</v>
      </c>
      <c r="AB22" s="54">
        <v>0</v>
      </c>
      <c r="AC22" s="54">
        <v>0</v>
      </c>
      <c r="AD22" s="54">
        <v>2</v>
      </c>
      <c r="AE22" s="54">
        <v>1</v>
      </c>
      <c r="AF22" s="54"/>
      <c r="AG22" s="5">
        <f t="shared" si="2"/>
        <v>50</v>
      </c>
    </row>
    <row r="23" spans="1:33" ht="15.75" customHeight="1" x14ac:dyDescent="0.25">
      <c r="A23" s="56" t="s">
        <v>22</v>
      </c>
      <c r="B23" s="54">
        <v>1</v>
      </c>
      <c r="C23" s="54">
        <v>2</v>
      </c>
      <c r="D23" s="54">
        <v>3</v>
      </c>
      <c r="E23" s="54">
        <v>0</v>
      </c>
      <c r="F23" s="54">
        <v>4</v>
      </c>
      <c r="G23" s="54">
        <v>1</v>
      </c>
      <c r="H23" s="54">
        <v>2</v>
      </c>
      <c r="I23" s="54">
        <v>1</v>
      </c>
      <c r="J23" s="54">
        <v>4</v>
      </c>
      <c r="K23" s="54">
        <v>1</v>
      </c>
      <c r="L23" s="54">
        <v>1</v>
      </c>
      <c r="M23" s="54">
        <v>4</v>
      </c>
      <c r="N23" s="54">
        <v>0</v>
      </c>
      <c r="O23" s="54">
        <v>3</v>
      </c>
      <c r="P23" s="54">
        <v>2</v>
      </c>
      <c r="Q23" s="54">
        <v>3</v>
      </c>
      <c r="R23" s="54">
        <v>1</v>
      </c>
      <c r="S23" s="54">
        <v>0</v>
      </c>
      <c r="T23" s="54">
        <v>1</v>
      </c>
      <c r="U23" s="54">
        <v>1</v>
      </c>
      <c r="V23" s="54">
        <v>1</v>
      </c>
      <c r="W23" s="54">
        <v>4</v>
      </c>
      <c r="X23" s="54">
        <v>4</v>
      </c>
      <c r="Y23" s="54">
        <v>0</v>
      </c>
      <c r="Z23" s="54">
        <v>2</v>
      </c>
      <c r="AA23" s="54">
        <v>0</v>
      </c>
      <c r="AB23" s="54">
        <v>0</v>
      </c>
      <c r="AC23" s="54">
        <v>0</v>
      </c>
      <c r="AD23" s="54">
        <v>1</v>
      </c>
      <c r="AE23" s="54">
        <v>1</v>
      </c>
      <c r="AF23" s="54"/>
      <c r="AG23" s="5">
        <f t="shared" si="2"/>
        <v>48</v>
      </c>
    </row>
    <row r="24" spans="1:33" ht="15.75" customHeight="1" x14ac:dyDescent="0.25">
      <c r="A24" s="56" t="s">
        <v>23</v>
      </c>
      <c r="B24" s="54">
        <v>1</v>
      </c>
      <c r="C24" s="54">
        <v>3</v>
      </c>
      <c r="D24" s="54">
        <v>1</v>
      </c>
      <c r="E24" s="54">
        <v>1</v>
      </c>
      <c r="F24" s="54">
        <v>3</v>
      </c>
      <c r="G24" s="54">
        <v>2</v>
      </c>
      <c r="H24" s="54">
        <v>2</v>
      </c>
      <c r="I24" s="54">
        <v>2</v>
      </c>
      <c r="J24" s="54">
        <v>0</v>
      </c>
      <c r="K24" s="54">
        <v>0</v>
      </c>
      <c r="L24" s="54">
        <v>2</v>
      </c>
      <c r="M24" s="54">
        <v>0</v>
      </c>
      <c r="N24" s="54">
        <v>1</v>
      </c>
      <c r="O24" s="54">
        <v>0</v>
      </c>
      <c r="P24" s="54">
        <v>2</v>
      </c>
      <c r="Q24" s="54">
        <v>3</v>
      </c>
      <c r="R24" s="54">
        <v>1</v>
      </c>
      <c r="S24" s="54">
        <v>2</v>
      </c>
      <c r="T24" s="54">
        <v>0</v>
      </c>
      <c r="U24" s="54">
        <v>2</v>
      </c>
      <c r="V24" s="54">
        <v>0</v>
      </c>
      <c r="W24" s="54">
        <v>0</v>
      </c>
      <c r="X24" s="54">
        <v>3</v>
      </c>
      <c r="Y24" s="54">
        <v>1</v>
      </c>
      <c r="Z24" s="54">
        <v>0</v>
      </c>
      <c r="AA24" s="54">
        <v>2</v>
      </c>
      <c r="AB24" s="54">
        <v>1</v>
      </c>
      <c r="AC24" s="54">
        <v>1</v>
      </c>
      <c r="AD24" s="54">
        <v>2</v>
      </c>
      <c r="AE24" s="54">
        <v>2</v>
      </c>
      <c r="AF24" s="54"/>
      <c r="AG24" s="5">
        <f t="shared" si="2"/>
        <v>40</v>
      </c>
    </row>
    <row r="25" spans="1:33" ht="15.75" customHeight="1" x14ac:dyDescent="0.25">
      <c r="A25" s="56" t="s">
        <v>24</v>
      </c>
      <c r="B25" s="54">
        <v>1</v>
      </c>
      <c r="C25" s="54">
        <v>0</v>
      </c>
      <c r="D25" s="54">
        <v>2</v>
      </c>
      <c r="E25" s="54">
        <v>2</v>
      </c>
      <c r="F25" s="54">
        <v>1</v>
      </c>
      <c r="G25" s="54">
        <v>3</v>
      </c>
      <c r="H25" s="54">
        <v>0</v>
      </c>
      <c r="I25" s="54">
        <v>1</v>
      </c>
      <c r="J25" s="54">
        <v>0</v>
      </c>
      <c r="K25" s="54">
        <v>1</v>
      </c>
      <c r="L25" s="54">
        <v>0</v>
      </c>
      <c r="M25" s="54">
        <v>0</v>
      </c>
      <c r="N25" s="54">
        <v>1</v>
      </c>
      <c r="O25" s="54">
        <v>0</v>
      </c>
      <c r="P25" s="54">
        <v>0</v>
      </c>
      <c r="Q25" s="54">
        <v>2</v>
      </c>
      <c r="R25" s="54">
        <v>1</v>
      </c>
      <c r="S25" s="54">
        <v>0</v>
      </c>
      <c r="T25" s="54">
        <v>0</v>
      </c>
      <c r="U25" s="54">
        <v>1</v>
      </c>
      <c r="V25" s="54">
        <v>0</v>
      </c>
      <c r="W25" s="54">
        <v>1</v>
      </c>
      <c r="X25" s="54">
        <v>0</v>
      </c>
      <c r="Y25" s="54">
        <v>1</v>
      </c>
      <c r="Z25" s="54">
        <v>1</v>
      </c>
      <c r="AA25" s="54">
        <v>0</v>
      </c>
      <c r="AB25" s="54">
        <v>3</v>
      </c>
      <c r="AC25" s="54">
        <v>2</v>
      </c>
      <c r="AD25" s="54">
        <v>3</v>
      </c>
      <c r="AE25" s="54">
        <v>0</v>
      </c>
      <c r="AF25" s="54"/>
      <c r="AG25" s="5">
        <f t="shared" si="2"/>
        <v>27</v>
      </c>
    </row>
    <row r="26" spans="1:33" ht="15.75" customHeight="1" x14ac:dyDescent="0.25">
      <c r="A26" s="56" t="s">
        <v>25</v>
      </c>
      <c r="B26" s="54">
        <v>1</v>
      </c>
      <c r="C26" s="54">
        <v>3</v>
      </c>
      <c r="D26" s="54">
        <v>0</v>
      </c>
      <c r="E26" s="54">
        <v>2</v>
      </c>
      <c r="F26" s="54">
        <v>0</v>
      </c>
      <c r="G26" s="54">
        <v>1</v>
      </c>
      <c r="H26" s="54">
        <v>2</v>
      </c>
      <c r="I26" s="54">
        <v>1</v>
      </c>
      <c r="J26" s="54">
        <v>1</v>
      </c>
      <c r="K26" s="54">
        <v>0</v>
      </c>
      <c r="L26" s="54">
        <v>0</v>
      </c>
      <c r="M26" s="54">
        <v>0</v>
      </c>
      <c r="N26" s="54">
        <v>0</v>
      </c>
      <c r="O26" s="54">
        <v>1</v>
      </c>
      <c r="P26" s="54">
        <v>1</v>
      </c>
      <c r="Q26" s="54">
        <v>0</v>
      </c>
      <c r="R26" s="54">
        <v>1</v>
      </c>
      <c r="S26" s="54">
        <v>1</v>
      </c>
      <c r="T26" s="54">
        <v>0</v>
      </c>
      <c r="U26" s="54">
        <v>2</v>
      </c>
      <c r="V26" s="54">
        <v>0</v>
      </c>
      <c r="W26" s="54">
        <v>1</v>
      </c>
      <c r="X26" s="54">
        <v>0</v>
      </c>
      <c r="Y26" s="54">
        <v>0</v>
      </c>
      <c r="Z26" s="54">
        <v>1</v>
      </c>
      <c r="AA26" s="54">
        <v>2</v>
      </c>
      <c r="AB26" s="54">
        <v>2</v>
      </c>
      <c r="AC26" s="54">
        <v>0</v>
      </c>
      <c r="AD26" s="54">
        <v>2</v>
      </c>
      <c r="AE26" s="54">
        <v>0</v>
      </c>
      <c r="AF26" s="54"/>
      <c r="AG26" s="5">
        <f t="shared" si="2"/>
        <v>25</v>
      </c>
    </row>
    <row r="27" spans="1:33" ht="15.75" customHeight="1" thickBot="1" x14ac:dyDescent="0.3">
      <c r="A27" s="57" t="s">
        <v>26</v>
      </c>
      <c r="B27" s="58">
        <v>3</v>
      </c>
      <c r="C27" s="58">
        <v>4</v>
      </c>
      <c r="D27" s="58">
        <v>5</v>
      </c>
      <c r="E27" s="58">
        <v>2</v>
      </c>
      <c r="F27" s="58">
        <v>1</v>
      </c>
      <c r="G27" s="58">
        <v>4</v>
      </c>
      <c r="H27" s="58">
        <v>1</v>
      </c>
      <c r="I27" s="58">
        <v>3</v>
      </c>
      <c r="J27" s="58">
        <v>1</v>
      </c>
      <c r="K27" s="58">
        <v>0</v>
      </c>
      <c r="L27" s="58">
        <v>2</v>
      </c>
      <c r="M27" s="58">
        <v>4</v>
      </c>
      <c r="N27" s="58">
        <v>5</v>
      </c>
      <c r="O27" s="58">
        <v>1</v>
      </c>
      <c r="P27" s="58">
        <v>0</v>
      </c>
      <c r="Q27" s="58">
        <v>2</v>
      </c>
      <c r="R27" s="58">
        <v>0</v>
      </c>
      <c r="S27" s="58">
        <v>1</v>
      </c>
      <c r="T27" s="58">
        <v>4</v>
      </c>
      <c r="U27" s="58">
        <v>0</v>
      </c>
      <c r="V27" s="58">
        <v>0</v>
      </c>
      <c r="W27" s="58">
        <v>2</v>
      </c>
      <c r="X27" s="58">
        <v>2</v>
      </c>
      <c r="Y27" s="58">
        <v>0</v>
      </c>
      <c r="Z27" s="58">
        <v>1</v>
      </c>
      <c r="AA27" s="58">
        <v>0</v>
      </c>
      <c r="AB27" s="58">
        <v>1</v>
      </c>
      <c r="AC27" s="58">
        <v>2</v>
      </c>
      <c r="AD27" s="58">
        <v>1</v>
      </c>
      <c r="AE27" s="58">
        <v>3</v>
      </c>
      <c r="AF27" s="58"/>
      <c r="AG27" s="5">
        <f t="shared" si="2"/>
        <v>55</v>
      </c>
    </row>
    <row r="28" spans="1:33" ht="15.75" customHeight="1" x14ac:dyDescent="0.25">
      <c r="A28" s="59" t="s">
        <v>27</v>
      </c>
      <c r="B28" s="6">
        <f t="shared" ref="B28:AF28" si="3">SUM(B29:B52)</f>
        <v>170</v>
      </c>
      <c r="C28" s="6">
        <f t="shared" si="3"/>
        <v>162</v>
      </c>
      <c r="D28" s="6">
        <f t="shared" si="3"/>
        <v>212</v>
      </c>
      <c r="E28" s="6">
        <f t="shared" si="3"/>
        <v>192</v>
      </c>
      <c r="F28" s="6">
        <f t="shared" si="3"/>
        <v>146</v>
      </c>
      <c r="G28" s="6">
        <f t="shared" si="3"/>
        <v>181</v>
      </c>
      <c r="H28" s="6">
        <f t="shared" si="3"/>
        <v>190</v>
      </c>
      <c r="I28" s="6">
        <f t="shared" si="3"/>
        <v>149</v>
      </c>
      <c r="J28" s="6">
        <f t="shared" si="3"/>
        <v>153</v>
      </c>
      <c r="K28" s="6">
        <f t="shared" si="3"/>
        <v>182</v>
      </c>
      <c r="L28" s="6">
        <f t="shared" si="3"/>
        <v>147</v>
      </c>
      <c r="M28" s="6">
        <f t="shared" si="3"/>
        <v>141</v>
      </c>
      <c r="N28" s="6">
        <f t="shared" si="3"/>
        <v>124</v>
      </c>
      <c r="O28" s="6">
        <f t="shared" si="3"/>
        <v>109</v>
      </c>
      <c r="P28" s="6">
        <f t="shared" si="3"/>
        <v>122</v>
      </c>
      <c r="Q28" s="6">
        <f t="shared" si="3"/>
        <v>144</v>
      </c>
      <c r="R28" s="6">
        <f t="shared" si="3"/>
        <v>130</v>
      </c>
      <c r="S28" s="6">
        <f t="shared" si="3"/>
        <v>141</v>
      </c>
      <c r="T28" s="6">
        <f t="shared" si="3"/>
        <v>147</v>
      </c>
      <c r="U28" s="6">
        <f t="shared" si="3"/>
        <v>106</v>
      </c>
      <c r="V28" s="6">
        <f t="shared" si="3"/>
        <v>140</v>
      </c>
      <c r="W28" s="6">
        <f t="shared" si="3"/>
        <v>127</v>
      </c>
      <c r="X28" s="6">
        <f t="shared" si="3"/>
        <v>121</v>
      </c>
      <c r="Y28" s="6">
        <f t="shared" si="3"/>
        <v>162</v>
      </c>
      <c r="Z28" s="6">
        <f t="shared" si="3"/>
        <v>125</v>
      </c>
      <c r="AA28" s="6">
        <f t="shared" si="3"/>
        <v>132</v>
      </c>
      <c r="AB28" s="6">
        <f t="shared" si="3"/>
        <v>143</v>
      </c>
      <c r="AC28" s="6">
        <f t="shared" si="3"/>
        <v>134</v>
      </c>
      <c r="AD28" s="6">
        <f t="shared" si="3"/>
        <v>129</v>
      </c>
      <c r="AE28" s="6">
        <f t="shared" si="3"/>
        <v>142</v>
      </c>
      <c r="AF28" s="6">
        <f t="shared" si="3"/>
        <v>0</v>
      </c>
      <c r="AG28" s="7">
        <f t="shared" si="2"/>
        <v>4403</v>
      </c>
    </row>
    <row r="29" spans="1:33" ht="15.75" customHeight="1" x14ac:dyDescent="0.25">
      <c r="A29" s="53" t="s">
        <v>3</v>
      </c>
      <c r="B29" s="54">
        <v>3</v>
      </c>
      <c r="C29" s="55">
        <v>5</v>
      </c>
      <c r="D29" s="55">
        <v>9</v>
      </c>
      <c r="E29" s="55">
        <v>0</v>
      </c>
      <c r="F29" s="55">
        <v>4</v>
      </c>
      <c r="G29" s="55">
        <v>9</v>
      </c>
      <c r="H29" s="55">
        <v>8</v>
      </c>
      <c r="I29" s="55">
        <v>3</v>
      </c>
      <c r="J29" s="55">
        <v>0</v>
      </c>
      <c r="K29" s="55">
        <v>7</v>
      </c>
      <c r="L29" s="55">
        <v>3</v>
      </c>
      <c r="M29" s="55">
        <v>7</v>
      </c>
      <c r="N29" s="55">
        <v>4</v>
      </c>
      <c r="O29" s="55">
        <v>3</v>
      </c>
      <c r="P29" s="55">
        <v>5</v>
      </c>
      <c r="Q29" s="55">
        <v>3</v>
      </c>
      <c r="R29" s="55">
        <v>3</v>
      </c>
      <c r="S29" s="55">
        <v>2</v>
      </c>
      <c r="T29" s="55">
        <v>9</v>
      </c>
      <c r="U29" s="55">
        <v>0</v>
      </c>
      <c r="V29" s="55">
        <v>2</v>
      </c>
      <c r="W29" s="55">
        <v>3</v>
      </c>
      <c r="X29" s="55">
        <v>4</v>
      </c>
      <c r="Y29" s="55">
        <v>6</v>
      </c>
      <c r="Z29" s="55">
        <v>1</v>
      </c>
      <c r="AA29" s="55">
        <v>3</v>
      </c>
      <c r="AB29" s="55">
        <v>2</v>
      </c>
      <c r="AC29" s="55">
        <v>4</v>
      </c>
      <c r="AD29" s="54">
        <v>3</v>
      </c>
      <c r="AE29" s="54">
        <v>4</v>
      </c>
      <c r="AF29" s="54"/>
      <c r="AG29" s="5">
        <f t="shared" si="2"/>
        <v>119</v>
      </c>
    </row>
    <row r="30" spans="1:33" ht="15.75" customHeight="1" x14ac:dyDescent="0.25">
      <c r="A30" s="56" t="s">
        <v>4</v>
      </c>
      <c r="B30" s="54">
        <v>11</v>
      </c>
      <c r="C30" s="54">
        <v>6</v>
      </c>
      <c r="D30" s="54">
        <v>7</v>
      </c>
      <c r="E30" s="54">
        <v>11</v>
      </c>
      <c r="F30" s="54">
        <v>7</v>
      </c>
      <c r="G30" s="54">
        <v>8</v>
      </c>
      <c r="H30" s="54">
        <v>6</v>
      </c>
      <c r="I30" s="54">
        <v>6</v>
      </c>
      <c r="J30" s="54">
        <v>3</v>
      </c>
      <c r="K30" s="54">
        <v>12</v>
      </c>
      <c r="L30" s="54">
        <v>9</v>
      </c>
      <c r="M30" s="54">
        <v>4</v>
      </c>
      <c r="N30" s="54">
        <v>4</v>
      </c>
      <c r="O30" s="54">
        <v>4</v>
      </c>
      <c r="P30" s="54">
        <v>3</v>
      </c>
      <c r="Q30" s="54">
        <v>3</v>
      </c>
      <c r="R30" s="54">
        <v>4</v>
      </c>
      <c r="S30" s="54">
        <v>6</v>
      </c>
      <c r="T30" s="54">
        <v>5</v>
      </c>
      <c r="U30" s="54">
        <v>3</v>
      </c>
      <c r="V30" s="54">
        <v>3</v>
      </c>
      <c r="W30" s="54">
        <v>3</v>
      </c>
      <c r="X30" s="54">
        <v>3</v>
      </c>
      <c r="Y30" s="54">
        <v>6</v>
      </c>
      <c r="Z30" s="54">
        <v>6</v>
      </c>
      <c r="AA30" s="54">
        <v>4</v>
      </c>
      <c r="AB30" s="54">
        <v>4</v>
      </c>
      <c r="AC30" s="54">
        <v>5</v>
      </c>
      <c r="AD30" s="54">
        <v>5</v>
      </c>
      <c r="AE30" s="54">
        <v>0</v>
      </c>
      <c r="AF30" s="54"/>
      <c r="AG30" s="5">
        <f t="shared" si="2"/>
        <v>161</v>
      </c>
    </row>
    <row r="31" spans="1:33" ht="15.75" customHeight="1" x14ac:dyDescent="0.25">
      <c r="A31" s="56" t="s">
        <v>5</v>
      </c>
      <c r="B31" s="54">
        <v>16</v>
      </c>
      <c r="C31" s="54">
        <v>12</v>
      </c>
      <c r="D31" s="54">
        <v>13</v>
      </c>
      <c r="E31" s="54">
        <v>10</v>
      </c>
      <c r="F31" s="54">
        <v>3</v>
      </c>
      <c r="G31" s="54">
        <v>7</v>
      </c>
      <c r="H31" s="54">
        <v>15</v>
      </c>
      <c r="I31" s="54">
        <v>15</v>
      </c>
      <c r="J31" s="54">
        <v>8</v>
      </c>
      <c r="K31" s="54">
        <v>11</v>
      </c>
      <c r="L31" s="54">
        <v>11</v>
      </c>
      <c r="M31" s="54">
        <v>14</v>
      </c>
      <c r="N31" s="54">
        <v>7</v>
      </c>
      <c r="O31" s="54">
        <v>6</v>
      </c>
      <c r="P31" s="54">
        <v>7</v>
      </c>
      <c r="Q31" s="54">
        <v>12</v>
      </c>
      <c r="R31" s="54">
        <v>5</v>
      </c>
      <c r="S31" s="54">
        <v>8</v>
      </c>
      <c r="T31" s="54">
        <v>7</v>
      </c>
      <c r="U31" s="54">
        <v>5</v>
      </c>
      <c r="V31" s="54">
        <v>4</v>
      </c>
      <c r="W31" s="54">
        <v>8</v>
      </c>
      <c r="X31" s="54">
        <v>6</v>
      </c>
      <c r="Y31" s="54">
        <v>8</v>
      </c>
      <c r="Z31" s="54">
        <v>5</v>
      </c>
      <c r="AA31" s="54">
        <v>12</v>
      </c>
      <c r="AB31" s="54">
        <v>3</v>
      </c>
      <c r="AC31" s="54">
        <v>8</v>
      </c>
      <c r="AD31" s="54">
        <v>8</v>
      </c>
      <c r="AE31" s="54">
        <v>9</v>
      </c>
      <c r="AF31" s="54"/>
      <c r="AG31" s="5">
        <f t="shared" si="2"/>
        <v>263</v>
      </c>
    </row>
    <row r="32" spans="1:33" ht="15.75" customHeight="1" x14ac:dyDescent="0.25">
      <c r="A32" s="56" t="s">
        <v>6</v>
      </c>
      <c r="B32" s="54">
        <v>10</v>
      </c>
      <c r="C32" s="54">
        <v>9</v>
      </c>
      <c r="D32" s="54">
        <v>13</v>
      </c>
      <c r="E32" s="54">
        <v>6</v>
      </c>
      <c r="F32" s="54">
        <v>6</v>
      </c>
      <c r="G32" s="54">
        <v>5</v>
      </c>
      <c r="H32" s="54">
        <v>9</v>
      </c>
      <c r="I32" s="54">
        <v>13</v>
      </c>
      <c r="J32" s="54">
        <v>13</v>
      </c>
      <c r="K32" s="54">
        <v>8</v>
      </c>
      <c r="L32" s="54">
        <v>10</v>
      </c>
      <c r="M32" s="54">
        <v>6</v>
      </c>
      <c r="N32" s="54">
        <v>8</v>
      </c>
      <c r="O32" s="54">
        <v>7</v>
      </c>
      <c r="P32" s="54">
        <v>6</v>
      </c>
      <c r="Q32" s="54">
        <v>9</v>
      </c>
      <c r="R32" s="54">
        <v>7</v>
      </c>
      <c r="S32" s="54">
        <v>6</v>
      </c>
      <c r="T32" s="54">
        <v>10</v>
      </c>
      <c r="U32" s="54">
        <v>9</v>
      </c>
      <c r="V32" s="54">
        <v>8</v>
      </c>
      <c r="W32" s="54">
        <v>5</v>
      </c>
      <c r="X32" s="54">
        <v>8</v>
      </c>
      <c r="Y32" s="54">
        <v>4</v>
      </c>
      <c r="Z32" s="54">
        <v>7</v>
      </c>
      <c r="AA32" s="54">
        <v>7</v>
      </c>
      <c r="AB32" s="54">
        <v>5</v>
      </c>
      <c r="AC32" s="54">
        <v>5</v>
      </c>
      <c r="AD32" s="54">
        <v>15</v>
      </c>
      <c r="AE32" s="54">
        <v>11</v>
      </c>
      <c r="AF32" s="54"/>
      <c r="AG32" s="5">
        <f t="shared" si="2"/>
        <v>245</v>
      </c>
    </row>
    <row r="33" spans="1:33" ht="15.75" customHeight="1" x14ac:dyDescent="0.25">
      <c r="A33" s="56" t="s">
        <v>7</v>
      </c>
      <c r="B33" s="54">
        <v>13</v>
      </c>
      <c r="C33" s="54">
        <v>11</v>
      </c>
      <c r="D33" s="54">
        <v>12</v>
      </c>
      <c r="E33" s="54">
        <v>17</v>
      </c>
      <c r="F33" s="54">
        <v>7</v>
      </c>
      <c r="G33" s="54">
        <v>14</v>
      </c>
      <c r="H33" s="54">
        <v>7</v>
      </c>
      <c r="I33" s="54">
        <v>13</v>
      </c>
      <c r="J33" s="54">
        <v>14</v>
      </c>
      <c r="K33" s="54">
        <v>9</v>
      </c>
      <c r="L33" s="54">
        <v>9</v>
      </c>
      <c r="M33" s="54">
        <v>9</v>
      </c>
      <c r="N33" s="54">
        <v>9</v>
      </c>
      <c r="O33" s="54">
        <v>9</v>
      </c>
      <c r="P33" s="54">
        <v>7</v>
      </c>
      <c r="Q33" s="54">
        <v>6</v>
      </c>
      <c r="R33" s="54">
        <v>10</v>
      </c>
      <c r="S33" s="54">
        <v>10</v>
      </c>
      <c r="T33" s="54">
        <v>11</v>
      </c>
      <c r="U33" s="54">
        <v>6</v>
      </c>
      <c r="V33" s="54">
        <v>10</v>
      </c>
      <c r="W33" s="54">
        <v>8</v>
      </c>
      <c r="X33" s="54">
        <v>5</v>
      </c>
      <c r="Y33" s="54">
        <v>9</v>
      </c>
      <c r="Z33" s="54">
        <v>8</v>
      </c>
      <c r="AA33" s="54">
        <v>9</v>
      </c>
      <c r="AB33" s="54">
        <v>8</v>
      </c>
      <c r="AC33" s="54">
        <v>9</v>
      </c>
      <c r="AD33" s="54">
        <v>14</v>
      </c>
      <c r="AE33" s="54">
        <v>10</v>
      </c>
      <c r="AF33" s="54"/>
      <c r="AG33" s="5">
        <f t="shared" si="2"/>
        <v>293</v>
      </c>
    </row>
    <row r="34" spans="1:33" ht="15.75" customHeight="1" x14ac:dyDescent="0.25">
      <c r="A34" s="56" t="s">
        <v>8</v>
      </c>
      <c r="B34" s="54">
        <v>7</v>
      </c>
      <c r="C34" s="54">
        <v>12</v>
      </c>
      <c r="D34" s="54">
        <v>10</v>
      </c>
      <c r="E34" s="54">
        <v>12</v>
      </c>
      <c r="F34" s="54">
        <v>15</v>
      </c>
      <c r="G34" s="54">
        <v>13</v>
      </c>
      <c r="H34" s="54">
        <v>9</v>
      </c>
      <c r="I34" s="54">
        <v>7</v>
      </c>
      <c r="J34" s="54">
        <v>11</v>
      </c>
      <c r="K34" s="54">
        <v>10</v>
      </c>
      <c r="L34" s="54">
        <v>11</v>
      </c>
      <c r="M34" s="54">
        <v>12</v>
      </c>
      <c r="N34" s="54">
        <v>4</v>
      </c>
      <c r="O34" s="54">
        <v>3</v>
      </c>
      <c r="P34" s="54">
        <v>7</v>
      </c>
      <c r="Q34" s="54">
        <v>12</v>
      </c>
      <c r="R34" s="54">
        <v>4</v>
      </c>
      <c r="S34" s="54">
        <v>9</v>
      </c>
      <c r="T34" s="54">
        <v>5</v>
      </c>
      <c r="U34" s="54">
        <v>13</v>
      </c>
      <c r="V34" s="54">
        <v>5</v>
      </c>
      <c r="W34" s="54">
        <v>11</v>
      </c>
      <c r="X34" s="54">
        <v>9</v>
      </c>
      <c r="Y34" s="54">
        <v>8</v>
      </c>
      <c r="Z34" s="54">
        <v>8</v>
      </c>
      <c r="AA34" s="54">
        <v>8</v>
      </c>
      <c r="AB34" s="54">
        <v>11</v>
      </c>
      <c r="AC34" s="54">
        <v>10</v>
      </c>
      <c r="AD34" s="54">
        <v>7</v>
      </c>
      <c r="AE34" s="54">
        <v>8</v>
      </c>
      <c r="AF34" s="54"/>
      <c r="AG34" s="5">
        <f t="shared" si="2"/>
        <v>271</v>
      </c>
    </row>
    <row r="35" spans="1:33" ht="15.75" customHeight="1" x14ac:dyDescent="0.25">
      <c r="A35" s="56" t="s">
        <v>9</v>
      </c>
      <c r="B35" s="54">
        <v>8</v>
      </c>
      <c r="C35" s="54">
        <v>13</v>
      </c>
      <c r="D35" s="54">
        <v>10</v>
      </c>
      <c r="E35" s="54">
        <v>11</v>
      </c>
      <c r="F35" s="54">
        <v>6</v>
      </c>
      <c r="G35" s="54">
        <v>8</v>
      </c>
      <c r="H35" s="54">
        <v>4</v>
      </c>
      <c r="I35" s="54">
        <v>7</v>
      </c>
      <c r="J35" s="54">
        <v>3</v>
      </c>
      <c r="K35" s="54">
        <v>10</v>
      </c>
      <c r="L35" s="54">
        <v>7</v>
      </c>
      <c r="M35" s="54">
        <v>5</v>
      </c>
      <c r="N35" s="54">
        <v>10</v>
      </c>
      <c r="O35" s="54">
        <v>2</v>
      </c>
      <c r="P35" s="54">
        <v>10</v>
      </c>
      <c r="Q35" s="54">
        <v>5</v>
      </c>
      <c r="R35" s="54">
        <v>7</v>
      </c>
      <c r="S35" s="54">
        <v>4</v>
      </c>
      <c r="T35" s="54">
        <v>6</v>
      </c>
      <c r="U35" s="54">
        <v>6</v>
      </c>
      <c r="V35" s="54">
        <v>8</v>
      </c>
      <c r="W35" s="54">
        <v>8</v>
      </c>
      <c r="X35" s="54">
        <v>3</v>
      </c>
      <c r="Y35" s="54">
        <v>9</v>
      </c>
      <c r="Z35" s="54">
        <v>10</v>
      </c>
      <c r="AA35" s="54">
        <v>4</v>
      </c>
      <c r="AB35" s="54">
        <v>14</v>
      </c>
      <c r="AC35" s="54">
        <v>6</v>
      </c>
      <c r="AD35" s="54">
        <v>8</v>
      </c>
      <c r="AE35" s="54">
        <v>11</v>
      </c>
      <c r="AF35" s="54"/>
      <c r="AG35" s="5">
        <f t="shared" si="2"/>
        <v>223</v>
      </c>
    </row>
    <row r="36" spans="1:33" ht="15.75" customHeight="1" x14ac:dyDescent="0.25">
      <c r="A36" s="56" t="s">
        <v>10</v>
      </c>
      <c r="B36" s="54">
        <v>5</v>
      </c>
      <c r="C36" s="54">
        <v>13</v>
      </c>
      <c r="D36" s="54">
        <v>3</v>
      </c>
      <c r="E36" s="54">
        <v>8</v>
      </c>
      <c r="F36" s="54">
        <v>6</v>
      </c>
      <c r="G36" s="54">
        <v>7</v>
      </c>
      <c r="H36" s="54">
        <v>5</v>
      </c>
      <c r="I36" s="54">
        <v>8</v>
      </c>
      <c r="J36" s="54">
        <v>5</v>
      </c>
      <c r="K36" s="54">
        <v>11</v>
      </c>
      <c r="L36" s="54">
        <v>8</v>
      </c>
      <c r="M36" s="54">
        <v>4</v>
      </c>
      <c r="N36" s="54">
        <v>9</v>
      </c>
      <c r="O36" s="54">
        <v>2</v>
      </c>
      <c r="P36" s="54">
        <v>9</v>
      </c>
      <c r="Q36" s="54">
        <v>6</v>
      </c>
      <c r="R36" s="54">
        <v>8</v>
      </c>
      <c r="S36" s="54">
        <v>3</v>
      </c>
      <c r="T36" s="54">
        <v>11</v>
      </c>
      <c r="U36" s="54">
        <v>7</v>
      </c>
      <c r="V36" s="54">
        <v>7</v>
      </c>
      <c r="W36" s="54">
        <v>4</v>
      </c>
      <c r="X36" s="54">
        <v>5</v>
      </c>
      <c r="Y36" s="54">
        <v>10</v>
      </c>
      <c r="Z36" s="54">
        <v>8</v>
      </c>
      <c r="AA36" s="54">
        <v>4</v>
      </c>
      <c r="AB36" s="54">
        <v>8</v>
      </c>
      <c r="AC36" s="54">
        <v>11</v>
      </c>
      <c r="AD36" s="54">
        <v>7</v>
      </c>
      <c r="AE36" s="54">
        <v>5</v>
      </c>
      <c r="AF36" s="54"/>
      <c r="AG36" s="5">
        <f t="shared" si="2"/>
        <v>207</v>
      </c>
    </row>
    <row r="37" spans="1:33" ht="15.75" customHeight="1" x14ac:dyDescent="0.25">
      <c r="A37" s="56" t="s">
        <v>11</v>
      </c>
      <c r="B37" s="54">
        <v>11</v>
      </c>
      <c r="C37" s="54">
        <v>11</v>
      </c>
      <c r="D37" s="54">
        <v>13</v>
      </c>
      <c r="E37" s="54">
        <v>5</v>
      </c>
      <c r="F37" s="54">
        <v>2</v>
      </c>
      <c r="G37" s="54">
        <v>8</v>
      </c>
      <c r="H37" s="54">
        <v>16</v>
      </c>
      <c r="I37" s="54">
        <v>15</v>
      </c>
      <c r="J37" s="54">
        <v>11</v>
      </c>
      <c r="K37" s="54">
        <v>15</v>
      </c>
      <c r="L37" s="54">
        <v>13</v>
      </c>
      <c r="M37" s="54">
        <v>7</v>
      </c>
      <c r="N37" s="54">
        <v>8</v>
      </c>
      <c r="O37" s="54">
        <v>12</v>
      </c>
      <c r="P37" s="54">
        <v>11</v>
      </c>
      <c r="Q37" s="54">
        <v>9</v>
      </c>
      <c r="R37" s="54">
        <v>8</v>
      </c>
      <c r="S37" s="54">
        <v>10</v>
      </c>
      <c r="T37" s="54">
        <v>8</v>
      </c>
      <c r="U37" s="54">
        <v>10</v>
      </c>
      <c r="V37" s="54">
        <v>24</v>
      </c>
      <c r="W37" s="54">
        <v>9</v>
      </c>
      <c r="X37" s="54">
        <v>9</v>
      </c>
      <c r="Y37" s="54">
        <v>13</v>
      </c>
      <c r="Z37" s="54">
        <v>9</v>
      </c>
      <c r="AA37" s="54">
        <v>5</v>
      </c>
      <c r="AB37" s="54">
        <v>6</v>
      </c>
      <c r="AC37" s="54">
        <v>15</v>
      </c>
      <c r="AD37" s="54">
        <v>9</v>
      </c>
      <c r="AE37" s="54">
        <v>12</v>
      </c>
      <c r="AF37" s="54"/>
      <c r="AG37" s="5">
        <f t="shared" si="2"/>
        <v>314</v>
      </c>
    </row>
    <row r="38" spans="1:33" ht="15.75" customHeight="1" x14ac:dyDescent="0.25">
      <c r="A38" s="56" t="s">
        <v>12</v>
      </c>
      <c r="B38" s="54">
        <v>14</v>
      </c>
      <c r="C38" s="54">
        <v>11</v>
      </c>
      <c r="D38" s="54">
        <v>11</v>
      </c>
      <c r="E38" s="54">
        <v>10</v>
      </c>
      <c r="F38" s="54">
        <v>14</v>
      </c>
      <c r="G38" s="54">
        <v>8</v>
      </c>
      <c r="H38" s="54">
        <v>18</v>
      </c>
      <c r="I38" s="54">
        <v>13</v>
      </c>
      <c r="J38" s="54">
        <v>11</v>
      </c>
      <c r="K38" s="54">
        <v>14</v>
      </c>
      <c r="L38" s="54">
        <v>12</v>
      </c>
      <c r="M38" s="54">
        <v>13</v>
      </c>
      <c r="N38" s="54">
        <v>8</v>
      </c>
      <c r="O38" s="54">
        <v>12</v>
      </c>
      <c r="P38" s="54">
        <v>8</v>
      </c>
      <c r="Q38" s="54">
        <v>10</v>
      </c>
      <c r="R38" s="54">
        <v>10</v>
      </c>
      <c r="S38" s="54">
        <v>9</v>
      </c>
      <c r="T38" s="54">
        <v>7</v>
      </c>
      <c r="U38" s="54">
        <v>13</v>
      </c>
      <c r="V38" s="54">
        <v>19</v>
      </c>
      <c r="W38" s="54">
        <v>9</v>
      </c>
      <c r="X38" s="54">
        <v>4</v>
      </c>
      <c r="Y38" s="54">
        <v>14</v>
      </c>
      <c r="Z38" s="54">
        <v>9</v>
      </c>
      <c r="AA38" s="54">
        <v>15</v>
      </c>
      <c r="AB38" s="54">
        <v>8</v>
      </c>
      <c r="AC38" s="54">
        <v>10</v>
      </c>
      <c r="AD38" s="54">
        <v>7</v>
      </c>
      <c r="AE38" s="54">
        <v>11</v>
      </c>
      <c r="AF38" s="54"/>
      <c r="AG38" s="5">
        <f t="shared" si="2"/>
        <v>332</v>
      </c>
    </row>
    <row r="39" spans="1:33" ht="15.75" customHeight="1" x14ac:dyDescent="0.25">
      <c r="A39" s="56" t="s">
        <v>13</v>
      </c>
      <c r="B39" s="54">
        <v>14</v>
      </c>
      <c r="C39" s="54">
        <v>10</v>
      </c>
      <c r="D39" s="54">
        <v>14</v>
      </c>
      <c r="E39" s="54">
        <v>19</v>
      </c>
      <c r="F39" s="54">
        <v>19</v>
      </c>
      <c r="G39" s="54">
        <v>21</v>
      </c>
      <c r="H39" s="54">
        <v>24</v>
      </c>
      <c r="I39" s="54">
        <v>8</v>
      </c>
      <c r="J39" s="54">
        <v>14</v>
      </c>
      <c r="K39" s="54">
        <v>26</v>
      </c>
      <c r="L39" s="54">
        <v>12</v>
      </c>
      <c r="M39" s="54">
        <v>17</v>
      </c>
      <c r="N39" s="54">
        <v>16</v>
      </c>
      <c r="O39" s="54">
        <v>14</v>
      </c>
      <c r="P39" s="54">
        <v>6</v>
      </c>
      <c r="Q39" s="54">
        <v>6</v>
      </c>
      <c r="R39" s="54">
        <v>14</v>
      </c>
      <c r="S39" s="54">
        <v>13</v>
      </c>
      <c r="T39" s="54">
        <v>14</v>
      </c>
      <c r="U39" s="54">
        <v>6</v>
      </c>
      <c r="V39" s="54">
        <v>8</v>
      </c>
      <c r="W39" s="54">
        <v>7</v>
      </c>
      <c r="X39" s="54">
        <v>5</v>
      </c>
      <c r="Y39" s="54">
        <v>18</v>
      </c>
      <c r="Z39" s="54">
        <v>16</v>
      </c>
      <c r="AA39" s="54">
        <v>15</v>
      </c>
      <c r="AB39" s="54">
        <v>17</v>
      </c>
      <c r="AC39" s="54">
        <v>14</v>
      </c>
      <c r="AD39" s="54">
        <v>7</v>
      </c>
      <c r="AE39" s="54">
        <v>7</v>
      </c>
      <c r="AF39" s="54"/>
      <c r="AG39" s="5">
        <f t="shared" si="2"/>
        <v>401</v>
      </c>
    </row>
    <row r="40" spans="1:33" ht="15.75" customHeight="1" x14ac:dyDescent="0.25">
      <c r="A40" s="56" t="s">
        <v>14</v>
      </c>
      <c r="B40" s="54">
        <v>10</v>
      </c>
      <c r="C40" s="54">
        <v>5</v>
      </c>
      <c r="D40" s="54">
        <v>14</v>
      </c>
      <c r="E40" s="54">
        <v>19</v>
      </c>
      <c r="F40" s="54">
        <v>19</v>
      </c>
      <c r="G40" s="54">
        <v>15</v>
      </c>
      <c r="H40" s="54">
        <v>16</v>
      </c>
      <c r="I40" s="54">
        <v>7</v>
      </c>
      <c r="J40" s="54">
        <v>9</v>
      </c>
      <c r="K40" s="54">
        <v>16</v>
      </c>
      <c r="L40" s="54">
        <v>9</v>
      </c>
      <c r="M40" s="54">
        <v>7</v>
      </c>
      <c r="N40" s="54">
        <v>11</v>
      </c>
      <c r="O40" s="54">
        <v>8</v>
      </c>
      <c r="P40" s="54">
        <v>8</v>
      </c>
      <c r="Q40" s="54">
        <v>9</v>
      </c>
      <c r="R40" s="54">
        <v>8</v>
      </c>
      <c r="S40" s="54">
        <v>14</v>
      </c>
      <c r="T40" s="54">
        <v>15</v>
      </c>
      <c r="U40" s="54">
        <v>6</v>
      </c>
      <c r="V40" s="54">
        <v>9</v>
      </c>
      <c r="W40" s="54">
        <v>7</v>
      </c>
      <c r="X40" s="54">
        <v>5</v>
      </c>
      <c r="Y40" s="54">
        <v>16</v>
      </c>
      <c r="Z40" s="54">
        <v>13</v>
      </c>
      <c r="AA40" s="54">
        <v>16</v>
      </c>
      <c r="AB40" s="54">
        <v>12</v>
      </c>
      <c r="AC40" s="54">
        <v>8</v>
      </c>
      <c r="AD40" s="54">
        <v>2</v>
      </c>
      <c r="AE40" s="54">
        <v>9</v>
      </c>
      <c r="AF40" s="54"/>
      <c r="AG40" s="5">
        <f t="shared" si="2"/>
        <v>322</v>
      </c>
    </row>
    <row r="41" spans="1:33" ht="15.75" customHeight="1" x14ac:dyDescent="0.25">
      <c r="A41" s="56" t="s">
        <v>15</v>
      </c>
      <c r="B41" s="54">
        <v>7</v>
      </c>
      <c r="C41" s="54">
        <v>6</v>
      </c>
      <c r="D41" s="54">
        <v>23</v>
      </c>
      <c r="E41" s="54">
        <v>20</v>
      </c>
      <c r="F41" s="54">
        <v>7</v>
      </c>
      <c r="G41" s="54">
        <v>15</v>
      </c>
      <c r="H41" s="54">
        <v>11</v>
      </c>
      <c r="I41" s="54">
        <v>3</v>
      </c>
      <c r="J41" s="54">
        <v>14</v>
      </c>
      <c r="K41" s="54">
        <v>8</v>
      </c>
      <c r="L41" s="54">
        <v>10</v>
      </c>
      <c r="M41" s="54">
        <v>8</v>
      </c>
      <c r="N41" s="54">
        <v>5</v>
      </c>
      <c r="O41" s="54">
        <v>4</v>
      </c>
      <c r="P41" s="54">
        <v>6</v>
      </c>
      <c r="Q41" s="54">
        <v>5</v>
      </c>
      <c r="R41" s="54">
        <v>9</v>
      </c>
      <c r="S41" s="54">
        <v>16</v>
      </c>
      <c r="T41" s="54">
        <v>12</v>
      </c>
      <c r="U41" s="54">
        <v>1</v>
      </c>
      <c r="V41" s="54">
        <v>10</v>
      </c>
      <c r="W41" s="54">
        <v>8</v>
      </c>
      <c r="X41" s="54">
        <v>5</v>
      </c>
      <c r="Y41" s="54">
        <v>6</v>
      </c>
      <c r="Z41" s="54">
        <v>5</v>
      </c>
      <c r="AA41" s="54">
        <v>11</v>
      </c>
      <c r="AB41" s="54">
        <v>15</v>
      </c>
      <c r="AC41" s="54">
        <v>9</v>
      </c>
      <c r="AD41" s="54">
        <v>4</v>
      </c>
      <c r="AE41" s="54">
        <v>12</v>
      </c>
      <c r="AF41" s="54"/>
      <c r="AG41" s="5">
        <f t="shared" si="2"/>
        <v>275</v>
      </c>
    </row>
    <row r="42" spans="1:33" ht="15.75" customHeight="1" x14ac:dyDescent="0.25">
      <c r="A42" s="56" t="s">
        <v>16</v>
      </c>
      <c r="B42" s="54">
        <v>7</v>
      </c>
      <c r="C42" s="54">
        <v>8</v>
      </c>
      <c r="D42" s="54">
        <v>26</v>
      </c>
      <c r="E42" s="54">
        <v>11</v>
      </c>
      <c r="F42" s="54">
        <v>5</v>
      </c>
      <c r="G42" s="54">
        <v>12</v>
      </c>
      <c r="H42" s="54">
        <v>11</v>
      </c>
      <c r="I42" s="54">
        <v>3</v>
      </c>
      <c r="J42" s="54">
        <v>12</v>
      </c>
      <c r="K42" s="54">
        <v>7</v>
      </c>
      <c r="L42" s="54">
        <v>0</v>
      </c>
      <c r="M42" s="54">
        <v>5</v>
      </c>
      <c r="N42" s="54">
        <v>5</v>
      </c>
      <c r="O42" s="54">
        <v>2</v>
      </c>
      <c r="P42" s="54">
        <v>10</v>
      </c>
      <c r="Q42" s="54">
        <v>12</v>
      </c>
      <c r="R42" s="54">
        <v>10</v>
      </c>
      <c r="S42" s="54">
        <v>4</v>
      </c>
      <c r="T42" s="54">
        <v>5</v>
      </c>
      <c r="U42" s="54">
        <v>2</v>
      </c>
      <c r="V42" s="54">
        <v>3</v>
      </c>
      <c r="W42" s="54">
        <v>9</v>
      </c>
      <c r="X42" s="54">
        <v>9</v>
      </c>
      <c r="Y42" s="54">
        <v>13</v>
      </c>
      <c r="Z42" s="54">
        <v>3</v>
      </c>
      <c r="AA42" s="54">
        <v>1</v>
      </c>
      <c r="AB42" s="54">
        <v>7</v>
      </c>
      <c r="AC42" s="54">
        <v>5</v>
      </c>
      <c r="AD42" s="54">
        <v>6</v>
      </c>
      <c r="AE42" s="54">
        <v>5</v>
      </c>
      <c r="AF42" s="54"/>
      <c r="AG42" s="5">
        <f t="shared" si="2"/>
        <v>218</v>
      </c>
    </row>
    <row r="43" spans="1:33" ht="15.75" customHeight="1" x14ac:dyDescent="0.25">
      <c r="A43" s="56" t="s">
        <v>17</v>
      </c>
      <c r="B43" s="54">
        <v>5</v>
      </c>
      <c r="C43" s="54">
        <v>4</v>
      </c>
      <c r="D43" s="54">
        <v>16</v>
      </c>
      <c r="E43" s="54">
        <v>8</v>
      </c>
      <c r="F43" s="54">
        <v>4</v>
      </c>
      <c r="G43" s="54">
        <v>8</v>
      </c>
      <c r="H43" s="54">
        <v>5</v>
      </c>
      <c r="I43" s="54">
        <v>9</v>
      </c>
      <c r="J43" s="54">
        <v>3</v>
      </c>
      <c r="K43" s="54">
        <v>6</v>
      </c>
      <c r="L43" s="54">
        <v>6</v>
      </c>
      <c r="M43" s="54">
        <v>7</v>
      </c>
      <c r="N43" s="54">
        <v>5</v>
      </c>
      <c r="O43" s="54">
        <v>5</v>
      </c>
      <c r="P43" s="54">
        <v>3</v>
      </c>
      <c r="Q43" s="54">
        <v>8</v>
      </c>
      <c r="R43" s="54">
        <v>3</v>
      </c>
      <c r="S43" s="54">
        <v>5</v>
      </c>
      <c r="T43" s="54">
        <v>11</v>
      </c>
      <c r="U43" s="54">
        <v>3</v>
      </c>
      <c r="V43" s="54">
        <v>5</v>
      </c>
      <c r="W43" s="54">
        <v>6</v>
      </c>
      <c r="X43" s="54">
        <v>6</v>
      </c>
      <c r="Y43" s="54">
        <v>7</v>
      </c>
      <c r="Z43" s="54">
        <v>2</v>
      </c>
      <c r="AA43" s="54">
        <v>2</v>
      </c>
      <c r="AB43" s="54">
        <v>6</v>
      </c>
      <c r="AC43" s="54">
        <v>5</v>
      </c>
      <c r="AD43" s="54">
        <v>2</v>
      </c>
      <c r="AE43" s="54">
        <v>1</v>
      </c>
      <c r="AF43" s="54"/>
      <c r="AG43" s="5">
        <f t="shared" si="2"/>
        <v>166</v>
      </c>
    </row>
    <row r="44" spans="1:33" ht="15.75" customHeight="1" x14ac:dyDescent="0.25">
      <c r="A44" s="56" t="s">
        <v>18</v>
      </c>
      <c r="B44" s="54">
        <v>7</v>
      </c>
      <c r="C44" s="54">
        <v>4</v>
      </c>
      <c r="D44" s="54">
        <v>4</v>
      </c>
      <c r="E44" s="54">
        <v>9</v>
      </c>
      <c r="F44" s="54">
        <v>5</v>
      </c>
      <c r="G44" s="54">
        <v>2</v>
      </c>
      <c r="H44" s="54">
        <v>7</v>
      </c>
      <c r="I44" s="54">
        <v>0</v>
      </c>
      <c r="J44" s="54">
        <v>8</v>
      </c>
      <c r="K44" s="54">
        <v>4</v>
      </c>
      <c r="L44" s="54">
        <v>4</v>
      </c>
      <c r="M44" s="54">
        <v>3</v>
      </c>
      <c r="N44" s="54">
        <v>2</v>
      </c>
      <c r="O44" s="54">
        <v>3</v>
      </c>
      <c r="P44" s="54">
        <v>4</v>
      </c>
      <c r="Q44" s="54">
        <v>8</v>
      </c>
      <c r="R44" s="54">
        <v>5</v>
      </c>
      <c r="S44" s="54">
        <v>7</v>
      </c>
      <c r="T44" s="54">
        <v>2</v>
      </c>
      <c r="U44" s="54">
        <v>1</v>
      </c>
      <c r="V44" s="54">
        <v>4</v>
      </c>
      <c r="W44" s="54">
        <v>1</v>
      </c>
      <c r="X44" s="54">
        <v>9</v>
      </c>
      <c r="Y44" s="54">
        <v>5</v>
      </c>
      <c r="Z44" s="54">
        <v>2</v>
      </c>
      <c r="AA44" s="54">
        <v>2</v>
      </c>
      <c r="AB44" s="54">
        <v>4</v>
      </c>
      <c r="AC44" s="54">
        <v>3</v>
      </c>
      <c r="AD44" s="54">
        <v>7</v>
      </c>
      <c r="AE44" s="54">
        <v>4</v>
      </c>
      <c r="AF44" s="54"/>
      <c r="AG44" s="5">
        <f t="shared" si="2"/>
        <v>130</v>
      </c>
    </row>
    <row r="45" spans="1:33" ht="15.75" customHeight="1" x14ac:dyDescent="0.25">
      <c r="A45" s="56" t="s">
        <v>19</v>
      </c>
      <c r="B45" s="54">
        <v>8</v>
      </c>
      <c r="C45" s="54">
        <v>3</v>
      </c>
      <c r="D45" s="54">
        <v>3</v>
      </c>
      <c r="E45" s="54">
        <v>7</v>
      </c>
      <c r="F45" s="54">
        <v>4</v>
      </c>
      <c r="G45" s="54">
        <v>6</v>
      </c>
      <c r="H45" s="54">
        <v>4</v>
      </c>
      <c r="I45" s="54">
        <v>4</v>
      </c>
      <c r="J45" s="54">
        <v>0</v>
      </c>
      <c r="K45" s="54">
        <v>2</v>
      </c>
      <c r="L45" s="54">
        <v>4</v>
      </c>
      <c r="M45" s="54">
        <v>4</v>
      </c>
      <c r="N45" s="54">
        <v>2</v>
      </c>
      <c r="O45" s="54">
        <v>3</v>
      </c>
      <c r="P45" s="54">
        <v>3</v>
      </c>
      <c r="Q45" s="54">
        <v>4</v>
      </c>
      <c r="R45" s="54">
        <v>3</v>
      </c>
      <c r="S45" s="54">
        <v>3</v>
      </c>
      <c r="T45" s="54">
        <v>1</v>
      </c>
      <c r="U45" s="54">
        <v>3</v>
      </c>
      <c r="V45" s="54">
        <v>5</v>
      </c>
      <c r="W45" s="54">
        <v>7</v>
      </c>
      <c r="X45" s="54">
        <v>10</v>
      </c>
      <c r="Y45" s="54">
        <v>1</v>
      </c>
      <c r="Z45" s="54">
        <v>1</v>
      </c>
      <c r="AA45" s="54">
        <v>6</v>
      </c>
      <c r="AB45" s="54">
        <v>3</v>
      </c>
      <c r="AC45" s="54">
        <v>2</v>
      </c>
      <c r="AD45" s="54">
        <v>6</v>
      </c>
      <c r="AE45" s="54">
        <v>11</v>
      </c>
      <c r="AF45" s="54"/>
      <c r="AG45" s="5">
        <f t="shared" si="2"/>
        <v>123</v>
      </c>
    </row>
    <row r="46" spans="1:33" ht="15.75" customHeight="1" x14ac:dyDescent="0.25">
      <c r="A46" s="56" t="s">
        <v>20</v>
      </c>
      <c r="B46" s="54">
        <v>4</v>
      </c>
      <c r="C46" s="54">
        <v>6</v>
      </c>
      <c r="D46" s="54">
        <v>1</v>
      </c>
      <c r="E46" s="54">
        <v>1</v>
      </c>
      <c r="F46" s="54">
        <v>2</v>
      </c>
      <c r="G46" s="54">
        <v>5</v>
      </c>
      <c r="H46" s="54">
        <v>2</v>
      </c>
      <c r="I46" s="54">
        <v>4</v>
      </c>
      <c r="J46" s="54">
        <v>4</v>
      </c>
      <c r="K46" s="54">
        <v>2</v>
      </c>
      <c r="L46" s="54">
        <v>3</v>
      </c>
      <c r="M46" s="54">
        <v>3</v>
      </c>
      <c r="N46" s="54">
        <v>1</v>
      </c>
      <c r="O46" s="54">
        <v>2</v>
      </c>
      <c r="P46" s="54">
        <v>3</v>
      </c>
      <c r="Q46" s="54">
        <v>2</v>
      </c>
      <c r="R46" s="54">
        <v>4</v>
      </c>
      <c r="S46" s="54">
        <v>3</v>
      </c>
      <c r="T46" s="54">
        <v>3</v>
      </c>
      <c r="U46" s="54">
        <v>4</v>
      </c>
      <c r="V46" s="54">
        <v>4</v>
      </c>
      <c r="W46" s="54">
        <v>3</v>
      </c>
      <c r="X46" s="54">
        <v>5</v>
      </c>
      <c r="Y46" s="54">
        <v>1</v>
      </c>
      <c r="Z46" s="54">
        <v>4</v>
      </c>
      <c r="AA46" s="54">
        <v>3</v>
      </c>
      <c r="AB46" s="54">
        <v>2</v>
      </c>
      <c r="AC46" s="54">
        <v>1</v>
      </c>
      <c r="AD46" s="54">
        <v>2</v>
      </c>
      <c r="AE46" s="54">
        <v>7</v>
      </c>
      <c r="AF46" s="54"/>
      <c r="AG46" s="5">
        <f t="shared" si="2"/>
        <v>91</v>
      </c>
    </row>
    <row r="47" spans="1:33" ht="15.75" customHeight="1" x14ac:dyDescent="0.25">
      <c r="A47" s="56" t="s">
        <v>21</v>
      </c>
      <c r="B47" s="54">
        <v>2</v>
      </c>
      <c r="C47" s="54">
        <v>3</v>
      </c>
      <c r="D47" s="54">
        <v>2</v>
      </c>
      <c r="E47" s="54">
        <v>3</v>
      </c>
      <c r="F47" s="54">
        <v>3</v>
      </c>
      <c r="G47" s="54">
        <v>1</v>
      </c>
      <c r="H47" s="54">
        <v>3</v>
      </c>
      <c r="I47" s="54">
        <v>2</v>
      </c>
      <c r="J47" s="54">
        <v>2</v>
      </c>
      <c r="K47" s="54">
        <v>2</v>
      </c>
      <c r="L47" s="54">
        <v>1</v>
      </c>
      <c r="M47" s="54">
        <v>1</v>
      </c>
      <c r="N47" s="54">
        <v>1</v>
      </c>
      <c r="O47" s="54">
        <v>2</v>
      </c>
      <c r="P47" s="54">
        <v>0</v>
      </c>
      <c r="Q47" s="54">
        <v>3</v>
      </c>
      <c r="R47" s="54">
        <v>3</v>
      </c>
      <c r="S47" s="54">
        <v>5</v>
      </c>
      <c r="T47" s="54">
        <v>2</v>
      </c>
      <c r="U47" s="54">
        <v>0</v>
      </c>
      <c r="V47" s="54">
        <v>1</v>
      </c>
      <c r="W47" s="54">
        <v>2</v>
      </c>
      <c r="X47" s="54">
        <v>3</v>
      </c>
      <c r="Y47" s="54">
        <v>5</v>
      </c>
      <c r="Z47" s="54">
        <v>3</v>
      </c>
      <c r="AA47" s="54">
        <v>1</v>
      </c>
      <c r="AB47" s="54">
        <v>2</v>
      </c>
      <c r="AC47" s="54">
        <v>1</v>
      </c>
      <c r="AD47" s="54">
        <v>0</v>
      </c>
      <c r="AE47" s="54">
        <v>1</v>
      </c>
      <c r="AF47" s="54"/>
      <c r="AG47" s="5">
        <f t="shared" si="2"/>
        <v>60</v>
      </c>
    </row>
    <row r="48" spans="1:33" ht="15.75" customHeight="1" x14ac:dyDescent="0.25">
      <c r="A48" s="56" t="s">
        <v>22</v>
      </c>
      <c r="B48" s="54">
        <v>2</v>
      </c>
      <c r="C48" s="54">
        <v>2</v>
      </c>
      <c r="D48" s="54">
        <v>2</v>
      </c>
      <c r="E48" s="54">
        <v>0</v>
      </c>
      <c r="F48" s="54">
        <v>2</v>
      </c>
      <c r="G48" s="54">
        <v>1</v>
      </c>
      <c r="H48" s="54">
        <v>6</v>
      </c>
      <c r="I48" s="54">
        <v>3</v>
      </c>
      <c r="J48" s="54">
        <v>4</v>
      </c>
      <c r="K48" s="54">
        <v>0</v>
      </c>
      <c r="L48" s="54">
        <v>0</v>
      </c>
      <c r="M48" s="54">
        <v>3</v>
      </c>
      <c r="N48" s="54">
        <v>1</v>
      </c>
      <c r="O48" s="54">
        <v>5</v>
      </c>
      <c r="P48" s="54">
        <v>1</v>
      </c>
      <c r="Q48" s="54">
        <v>3</v>
      </c>
      <c r="R48" s="54">
        <v>1</v>
      </c>
      <c r="S48" s="54">
        <v>0</v>
      </c>
      <c r="T48" s="54">
        <v>3</v>
      </c>
      <c r="U48" s="54">
        <v>3</v>
      </c>
      <c r="V48" s="54">
        <v>0</v>
      </c>
      <c r="W48" s="54">
        <v>3</v>
      </c>
      <c r="X48" s="54">
        <v>2</v>
      </c>
      <c r="Y48" s="54">
        <v>1</v>
      </c>
      <c r="Z48" s="54">
        <v>1</v>
      </c>
      <c r="AA48" s="54">
        <v>1</v>
      </c>
      <c r="AB48" s="54">
        <v>0</v>
      </c>
      <c r="AC48" s="54">
        <v>0</v>
      </c>
      <c r="AD48" s="54">
        <v>2</v>
      </c>
      <c r="AE48" s="54">
        <v>2</v>
      </c>
      <c r="AF48" s="54"/>
      <c r="AG48" s="5">
        <f t="shared" si="2"/>
        <v>54</v>
      </c>
    </row>
    <row r="49" spans="1:33" ht="15.75" customHeight="1" x14ac:dyDescent="0.25">
      <c r="A49" s="56" t="s">
        <v>23</v>
      </c>
      <c r="B49" s="54">
        <v>2</v>
      </c>
      <c r="C49" s="54">
        <v>3</v>
      </c>
      <c r="D49" s="54">
        <v>2</v>
      </c>
      <c r="E49" s="54">
        <v>0</v>
      </c>
      <c r="F49" s="54">
        <v>4</v>
      </c>
      <c r="G49" s="54">
        <v>1</v>
      </c>
      <c r="H49" s="54">
        <v>1</v>
      </c>
      <c r="I49" s="54">
        <v>1</v>
      </c>
      <c r="J49" s="54">
        <v>2</v>
      </c>
      <c r="K49" s="54">
        <v>1</v>
      </c>
      <c r="L49" s="54">
        <v>3</v>
      </c>
      <c r="M49" s="54">
        <v>1</v>
      </c>
      <c r="N49" s="54">
        <v>0</v>
      </c>
      <c r="O49" s="54">
        <v>0</v>
      </c>
      <c r="P49" s="54">
        <v>4</v>
      </c>
      <c r="Q49" s="54">
        <v>3</v>
      </c>
      <c r="R49" s="54">
        <v>2</v>
      </c>
      <c r="S49" s="54">
        <v>0</v>
      </c>
      <c r="T49" s="54">
        <v>0</v>
      </c>
      <c r="U49" s="54">
        <v>2</v>
      </c>
      <c r="V49" s="54">
        <v>1</v>
      </c>
      <c r="W49" s="54">
        <v>2</v>
      </c>
      <c r="X49" s="54">
        <v>3</v>
      </c>
      <c r="Y49" s="54">
        <v>0</v>
      </c>
      <c r="Z49" s="54">
        <v>1</v>
      </c>
      <c r="AA49" s="54">
        <v>0</v>
      </c>
      <c r="AB49" s="54">
        <v>1</v>
      </c>
      <c r="AC49" s="54">
        <v>0</v>
      </c>
      <c r="AD49" s="54">
        <v>3</v>
      </c>
      <c r="AE49" s="54">
        <v>1</v>
      </c>
      <c r="AF49" s="54"/>
      <c r="AG49" s="5">
        <f t="shared" si="2"/>
        <v>44</v>
      </c>
    </row>
    <row r="50" spans="1:33" ht="15.75" customHeight="1" x14ac:dyDescent="0.25">
      <c r="A50" s="56" t="s">
        <v>24</v>
      </c>
      <c r="B50" s="54">
        <v>0</v>
      </c>
      <c r="C50" s="54">
        <v>1</v>
      </c>
      <c r="D50" s="54">
        <v>1</v>
      </c>
      <c r="E50" s="54">
        <v>1</v>
      </c>
      <c r="F50" s="54">
        <v>1</v>
      </c>
      <c r="G50" s="54">
        <v>2</v>
      </c>
      <c r="H50" s="54">
        <v>1</v>
      </c>
      <c r="I50" s="54">
        <v>0</v>
      </c>
      <c r="J50" s="54">
        <v>0</v>
      </c>
      <c r="K50" s="54">
        <v>1</v>
      </c>
      <c r="L50" s="54">
        <v>0</v>
      </c>
      <c r="M50" s="54">
        <v>0</v>
      </c>
      <c r="N50" s="54">
        <v>1</v>
      </c>
      <c r="O50" s="54">
        <v>0</v>
      </c>
      <c r="P50" s="54">
        <v>0</v>
      </c>
      <c r="Q50" s="54">
        <v>2</v>
      </c>
      <c r="R50" s="54">
        <v>0</v>
      </c>
      <c r="S50" s="54">
        <v>2</v>
      </c>
      <c r="T50" s="54">
        <v>0</v>
      </c>
      <c r="U50" s="54">
        <v>1</v>
      </c>
      <c r="V50" s="54">
        <v>0</v>
      </c>
      <c r="W50" s="54">
        <v>1</v>
      </c>
      <c r="X50" s="54">
        <v>2</v>
      </c>
      <c r="Y50" s="54">
        <v>2</v>
      </c>
      <c r="Z50" s="54">
        <v>1</v>
      </c>
      <c r="AA50" s="54">
        <v>2</v>
      </c>
      <c r="AB50" s="54">
        <v>2</v>
      </c>
      <c r="AC50" s="54">
        <v>2</v>
      </c>
      <c r="AD50" s="54">
        <v>3</v>
      </c>
      <c r="AE50" s="54">
        <v>1</v>
      </c>
      <c r="AF50" s="54"/>
      <c r="AG50" s="5">
        <f t="shared" si="2"/>
        <v>30</v>
      </c>
    </row>
    <row r="51" spans="1:33" ht="15.75" customHeight="1" x14ac:dyDescent="0.25">
      <c r="A51" s="56" t="s">
        <v>25</v>
      </c>
      <c r="B51" s="54">
        <v>2</v>
      </c>
      <c r="C51" s="54">
        <v>1</v>
      </c>
      <c r="D51" s="54">
        <v>1</v>
      </c>
      <c r="E51" s="54">
        <v>2</v>
      </c>
      <c r="F51" s="54">
        <v>1</v>
      </c>
      <c r="G51" s="54">
        <v>2</v>
      </c>
      <c r="H51" s="54">
        <v>0</v>
      </c>
      <c r="I51" s="54">
        <v>3</v>
      </c>
      <c r="J51" s="54">
        <v>0</v>
      </c>
      <c r="K51" s="54">
        <v>0</v>
      </c>
      <c r="L51" s="54">
        <v>0</v>
      </c>
      <c r="M51" s="54">
        <v>0</v>
      </c>
      <c r="N51" s="54">
        <v>1</v>
      </c>
      <c r="O51" s="54">
        <v>0</v>
      </c>
      <c r="P51" s="54">
        <v>0</v>
      </c>
      <c r="Q51" s="54">
        <v>2</v>
      </c>
      <c r="R51" s="54">
        <v>1</v>
      </c>
      <c r="S51" s="54">
        <v>1</v>
      </c>
      <c r="T51" s="54">
        <v>0</v>
      </c>
      <c r="U51" s="54">
        <v>1</v>
      </c>
      <c r="V51" s="54">
        <v>0</v>
      </c>
      <c r="W51" s="54">
        <v>1</v>
      </c>
      <c r="X51" s="54">
        <v>0</v>
      </c>
      <c r="Y51" s="54">
        <v>0</v>
      </c>
      <c r="Z51" s="54">
        <v>1</v>
      </c>
      <c r="AA51" s="54">
        <v>0</v>
      </c>
      <c r="AB51" s="54">
        <v>2</v>
      </c>
      <c r="AC51" s="54">
        <v>1</v>
      </c>
      <c r="AD51" s="54">
        <v>2</v>
      </c>
      <c r="AE51" s="54">
        <v>0</v>
      </c>
      <c r="AF51" s="54"/>
      <c r="AG51" s="5">
        <f t="shared" si="2"/>
        <v>25</v>
      </c>
    </row>
    <row r="52" spans="1:33" ht="15.75" customHeight="1" thickBot="1" x14ac:dyDescent="0.3">
      <c r="A52" s="57" t="s">
        <v>26</v>
      </c>
      <c r="B52" s="58">
        <v>2</v>
      </c>
      <c r="C52" s="58">
        <v>3</v>
      </c>
      <c r="D52" s="58">
        <v>2</v>
      </c>
      <c r="E52" s="58">
        <v>2</v>
      </c>
      <c r="F52" s="58">
        <v>0</v>
      </c>
      <c r="G52" s="58">
        <v>3</v>
      </c>
      <c r="H52" s="58">
        <v>2</v>
      </c>
      <c r="I52" s="58">
        <v>2</v>
      </c>
      <c r="J52" s="58">
        <v>2</v>
      </c>
      <c r="K52" s="58">
        <v>0</v>
      </c>
      <c r="L52" s="58">
        <v>2</v>
      </c>
      <c r="M52" s="58">
        <v>1</v>
      </c>
      <c r="N52" s="58">
        <v>2</v>
      </c>
      <c r="O52" s="58">
        <v>1</v>
      </c>
      <c r="P52" s="58">
        <v>1</v>
      </c>
      <c r="Q52" s="58">
        <v>2</v>
      </c>
      <c r="R52" s="58">
        <v>1</v>
      </c>
      <c r="S52" s="58">
        <v>1</v>
      </c>
      <c r="T52" s="58">
        <v>0</v>
      </c>
      <c r="U52" s="58">
        <v>1</v>
      </c>
      <c r="V52" s="58">
        <v>0</v>
      </c>
      <c r="W52" s="58">
        <v>2</v>
      </c>
      <c r="X52" s="58">
        <v>1</v>
      </c>
      <c r="Y52" s="58">
        <v>0</v>
      </c>
      <c r="Z52" s="58">
        <v>1</v>
      </c>
      <c r="AA52" s="58">
        <v>1</v>
      </c>
      <c r="AB52" s="58">
        <v>1</v>
      </c>
      <c r="AC52" s="58">
        <v>0</v>
      </c>
      <c r="AD52" s="60">
        <v>0</v>
      </c>
      <c r="AE52" s="60">
        <v>0</v>
      </c>
      <c r="AF52" s="60"/>
      <c r="AG52" s="9">
        <f t="shared" si="2"/>
        <v>36</v>
      </c>
    </row>
    <row r="53" spans="1:33" ht="15.75" customHeight="1" thickBot="1" x14ac:dyDescent="0.3">
      <c r="A53" s="52" t="s">
        <v>28</v>
      </c>
      <c r="B53" s="1">
        <f t="shared" ref="B53:AF53" si="4">SUM(B54:B77)</f>
        <v>0</v>
      </c>
      <c r="C53" s="1">
        <f t="shared" si="4"/>
        <v>6</v>
      </c>
      <c r="D53" s="1">
        <f t="shared" si="4"/>
        <v>37</v>
      </c>
      <c r="E53" s="1">
        <f t="shared" si="4"/>
        <v>10</v>
      </c>
      <c r="F53" s="1">
        <f t="shared" si="4"/>
        <v>4</v>
      </c>
      <c r="G53" s="1">
        <f t="shared" si="4"/>
        <v>12</v>
      </c>
      <c r="H53" s="1">
        <f t="shared" si="4"/>
        <v>16</v>
      </c>
      <c r="I53" s="1">
        <f t="shared" si="4"/>
        <v>3</v>
      </c>
      <c r="J53" s="1">
        <f t="shared" si="4"/>
        <v>6</v>
      </c>
      <c r="K53" s="1">
        <f t="shared" si="4"/>
        <v>16</v>
      </c>
      <c r="L53" s="1">
        <f t="shared" si="4"/>
        <v>5</v>
      </c>
      <c r="M53" s="1">
        <f t="shared" si="4"/>
        <v>7</v>
      </c>
      <c r="N53" s="1">
        <f t="shared" si="4"/>
        <v>4</v>
      </c>
      <c r="O53" s="1">
        <f t="shared" si="4"/>
        <v>16</v>
      </c>
      <c r="P53" s="1">
        <f t="shared" si="4"/>
        <v>1</v>
      </c>
      <c r="Q53" s="1">
        <f t="shared" si="4"/>
        <v>6</v>
      </c>
      <c r="R53" s="1">
        <f t="shared" si="4"/>
        <v>7</v>
      </c>
      <c r="S53" s="1">
        <f t="shared" si="4"/>
        <v>9</v>
      </c>
      <c r="T53" s="1">
        <f t="shared" si="4"/>
        <v>5</v>
      </c>
      <c r="U53" s="1">
        <f t="shared" si="4"/>
        <v>0</v>
      </c>
      <c r="V53" s="1">
        <f t="shared" si="4"/>
        <v>7</v>
      </c>
      <c r="W53" s="1">
        <f t="shared" si="4"/>
        <v>2</v>
      </c>
      <c r="X53" s="1">
        <f t="shared" si="4"/>
        <v>21</v>
      </c>
      <c r="Y53" s="1">
        <f t="shared" si="4"/>
        <v>2</v>
      </c>
      <c r="Z53" s="1">
        <f t="shared" si="4"/>
        <v>10</v>
      </c>
      <c r="AA53" s="1">
        <f t="shared" si="4"/>
        <v>7</v>
      </c>
      <c r="AB53" s="1">
        <f t="shared" si="4"/>
        <v>7</v>
      </c>
      <c r="AC53" s="1">
        <f t="shared" si="4"/>
        <v>1</v>
      </c>
      <c r="AD53" s="1">
        <f t="shared" si="4"/>
        <v>2</v>
      </c>
      <c r="AE53" s="1">
        <f t="shared" si="4"/>
        <v>5</v>
      </c>
      <c r="AF53" s="1">
        <f t="shared" si="4"/>
        <v>0</v>
      </c>
      <c r="AG53" s="10">
        <f t="shared" si="2"/>
        <v>234</v>
      </c>
    </row>
    <row r="54" spans="1:33" ht="15.75" customHeight="1" x14ac:dyDescent="0.25">
      <c r="A54" s="56" t="s">
        <v>3</v>
      </c>
      <c r="B54" s="54">
        <v>0</v>
      </c>
      <c r="C54" s="55">
        <v>0</v>
      </c>
      <c r="D54" s="55">
        <v>1</v>
      </c>
      <c r="E54" s="55">
        <v>1</v>
      </c>
      <c r="F54" s="55">
        <v>0</v>
      </c>
      <c r="G54" s="55">
        <v>0</v>
      </c>
      <c r="H54" s="55">
        <v>0</v>
      </c>
      <c r="I54" s="55">
        <v>1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1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/>
      <c r="AG54" s="4">
        <f t="shared" si="2"/>
        <v>4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1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1</v>
      </c>
      <c r="Q55" s="54">
        <v>1</v>
      </c>
      <c r="R55" s="54">
        <v>0</v>
      </c>
      <c r="S55" s="54">
        <v>1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/>
      <c r="AG55" s="5">
        <f t="shared" si="2"/>
        <v>4</v>
      </c>
    </row>
    <row r="56" spans="1:33" ht="15.75" customHeight="1" x14ac:dyDescent="0.25">
      <c r="A56" s="56" t="s">
        <v>5</v>
      </c>
      <c r="B56" s="54">
        <v>0</v>
      </c>
      <c r="C56" s="54">
        <v>1</v>
      </c>
      <c r="D56" s="54">
        <v>1</v>
      </c>
      <c r="E56" s="54">
        <v>0</v>
      </c>
      <c r="F56" s="54">
        <v>2</v>
      </c>
      <c r="G56" s="54">
        <v>1</v>
      </c>
      <c r="H56" s="54">
        <v>0</v>
      </c>
      <c r="I56" s="54">
        <v>0</v>
      </c>
      <c r="J56" s="54">
        <v>0</v>
      </c>
      <c r="K56" s="54">
        <v>0</v>
      </c>
      <c r="L56" s="54">
        <v>1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1</v>
      </c>
      <c r="AB56" s="54">
        <v>0</v>
      </c>
      <c r="AC56" s="54">
        <v>1</v>
      </c>
      <c r="AD56" s="54">
        <v>0</v>
      </c>
      <c r="AE56" s="54">
        <v>0</v>
      </c>
      <c r="AF56" s="54"/>
      <c r="AG56" s="5">
        <f t="shared" si="2"/>
        <v>8</v>
      </c>
    </row>
    <row r="57" spans="1:33" ht="15.75" customHeight="1" x14ac:dyDescent="0.25">
      <c r="A57" s="56" t="s">
        <v>6</v>
      </c>
      <c r="B57" s="54">
        <v>0</v>
      </c>
      <c r="C57" s="54">
        <v>0</v>
      </c>
      <c r="D57" s="54">
        <v>2</v>
      </c>
      <c r="E57" s="54">
        <v>0</v>
      </c>
      <c r="F57" s="54">
        <v>0</v>
      </c>
      <c r="G57" s="54">
        <v>1</v>
      </c>
      <c r="H57" s="54">
        <v>0</v>
      </c>
      <c r="I57" s="54">
        <v>1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1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1</v>
      </c>
      <c r="AB57" s="54">
        <v>2</v>
      </c>
      <c r="AC57" s="54">
        <v>0</v>
      </c>
      <c r="AD57" s="54">
        <v>1</v>
      </c>
      <c r="AE57" s="54">
        <v>0</v>
      </c>
      <c r="AF57" s="54"/>
      <c r="AG57" s="5">
        <f t="shared" si="2"/>
        <v>9</v>
      </c>
    </row>
    <row r="58" spans="1:33" ht="15.75" customHeight="1" x14ac:dyDescent="0.25">
      <c r="A58" s="56" t="s">
        <v>7</v>
      </c>
      <c r="B58" s="54">
        <v>0</v>
      </c>
      <c r="C58" s="54">
        <v>0</v>
      </c>
      <c r="D58" s="54">
        <v>0</v>
      </c>
      <c r="E58" s="54">
        <v>1</v>
      </c>
      <c r="F58" s="54">
        <v>0</v>
      </c>
      <c r="G58" s="54">
        <v>2</v>
      </c>
      <c r="H58" s="54">
        <v>2</v>
      </c>
      <c r="I58" s="54">
        <v>1</v>
      </c>
      <c r="J58" s="54">
        <v>0</v>
      </c>
      <c r="K58" s="54">
        <v>1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1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1</v>
      </c>
      <c r="AB58" s="54">
        <v>0</v>
      </c>
      <c r="AC58" s="54">
        <v>0</v>
      </c>
      <c r="AD58" s="54">
        <v>0</v>
      </c>
      <c r="AE58" s="54">
        <v>0</v>
      </c>
      <c r="AF58" s="54"/>
      <c r="AG58" s="5">
        <f t="shared" si="2"/>
        <v>9</v>
      </c>
    </row>
    <row r="59" spans="1:33" ht="15.75" customHeight="1" x14ac:dyDescent="0.25">
      <c r="A59" s="56" t="s">
        <v>8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2</v>
      </c>
      <c r="I59" s="54">
        <v>0</v>
      </c>
      <c r="J59" s="54">
        <v>0</v>
      </c>
      <c r="K59" s="54">
        <v>4</v>
      </c>
      <c r="L59" s="54">
        <v>0</v>
      </c>
      <c r="M59" s="54">
        <v>1</v>
      </c>
      <c r="N59" s="54">
        <v>0</v>
      </c>
      <c r="O59" s="54">
        <v>0</v>
      </c>
      <c r="P59" s="54">
        <v>0</v>
      </c>
      <c r="Q59" s="54">
        <v>1</v>
      </c>
      <c r="R59" s="54">
        <v>1</v>
      </c>
      <c r="S59" s="54">
        <v>0</v>
      </c>
      <c r="T59" s="54">
        <v>0</v>
      </c>
      <c r="U59" s="54">
        <v>0</v>
      </c>
      <c r="V59" s="54">
        <v>0</v>
      </c>
      <c r="W59" s="54">
        <v>1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1</v>
      </c>
      <c r="AF59" s="54"/>
      <c r="AG59" s="5">
        <f t="shared" si="2"/>
        <v>11</v>
      </c>
    </row>
    <row r="60" spans="1:33" ht="15.75" customHeight="1" x14ac:dyDescent="0.25">
      <c r="A60" s="56" t="s">
        <v>9</v>
      </c>
      <c r="B60" s="54">
        <v>0</v>
      </c>
      <c r="C60" s="54">
        <v>0</v>
      </c>
      <c r="D60" s="54">
        <v>0</v>
      </c>
      <c r="E60" s="54">
        <v>1</v>
      </c>
      <c r="F60" s="54">
        <v>0</v>
      </c>
      <c r="G60" s="54">
        <v>1</v>
      </c>
      <c r="H60" s="54">
        <v>0</v>
      </c>
      <c r="I60" s="54">
        <v>0</v>
      </c>
      <c r="J60" s="54">
        <v>0</v>
      </c>
      <c r="K60" s="54">
        <v>1</v>
      </c>
      <c r="L60" s="54">
        <v>0</v>
      </c>
      <c r="M60" s="54">
        <v>0</v>
      </c>
      <c r="N60" s="54">
        <v>1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3</v>
      </c>
      <c r="AC60" s="54">
        <v>0</v>
      </c>
      <c r="AD60" s="54">
        <v>0</v>
      </c>
      <c r="AE60" s="54">
        <v>0</v>
      </c>
      <c r="AF60" s="54"/>
      <c r="AG60" s="5">
        <f t="shared" si="2"/>
        <v>7</v>
      </c>
    </row>
    <row r="61" spans="1:33" ht="15.75" customHeight="1" x14ac:dyDescent="0.25">
      <c r="A61" s="56" t="s">
        <v>10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1</v>
      </c>
      <c r="I61" s="54">
        <v>0</v>
      </c>
      <c r="J61" s="54">
        <v>2</v>
      </c>
      <c r="K61" s="54">
        <v>5</v>
      </c>
      <c r="L61" s="54">
        <v>1</v>
      </c>
      <c r="M61" s="54">
        <v>1</v>
      </c>
      <c r="N61" s="54">
        <v>1</v>
      </c>
      <c r="O61" s="54">
        <v>1</v>
      </c>
      <c r="P61" s="54">
        <v>0</v>
      </c>
      <c r="Q61" s="54">
        <v>0</v>
      </c>
      <c r="R61" s="54">
        <v>0</v>
      </c>
      <c r="S61" s="54">
        <v>0</v>
      </c>
      <c r="T61" s="54">
        <v>2</v>
      </c>
      <c r="U61" s="54">
        <v>0</v>
      </c>
      <c r="V61" s="54">
        <v>2</v>
      </c>
      <c r="W61" s="54">
        <v>0</v>
      </c>
      <c r="X61" s="54">
        <v>0</v>
      </c>
      <c r="Y61" s="54">
        <v>1</v>
      </c>
      <c r="Z61" s="54">
        <v>2</v>
      </c>
      <c r="AA61" s="54">
        <v>2</v>
      </c>
      <c r="AB61" s="54">
        <v>1</v>
      </c>
      <c r="AC61" s="54">
        <v>0</v>
      </c>
      <c r="AD61" s="54">
        <v>0</v>
      </c>
      <c r="AE61" s="54">
        <v>0</v>
      </c>
      <c r="AF61" s="54"/>
      <c r="AG61" s="5">
        <f t="shared" si="2"/>
        <v>22</v>
      </c>
    </row>
    <row r="62" spans="1:33" ht="15.75" customHeight="1" x14ac:dyDescent="0.25">
      <c r="A62" s="56" t="s">
        <v>11</v>
      </c>
      <c r="B62" s="54">
        <v>0</v>
      </c>
      <c r="C62" s="54">
        <v>0</v>
      </c>
      <c r="D62" s="54">
        <v>8</v>
      </c>
      <c r="E62" s="54">
        <v>1</v>
      </c>
      <c r="F62" s="54">
        <v>0</v>
      </c>
      <c r="G62" s="54">
        <v>1</v>
      </c>
      <c r="H62" s="54">
        <v>1</v>
      </c>
      <c r="I62" s="54">
        <v>0</v>
      </c>
      <c r="J62" s="54">
        <v>0</v>
      </c>
      <c r="K62" s="54">
        <v>4</v>
      </c>
      <c r="L62" s="54">
        <v>1</v>
      </c>
      <c r="M62" s="54">
        <v>2</v>
      </c>
      <c r="N62" s="54">
        <v>1</v>
      </c>
      <c r="O62" s="54">
        <v>2</v>
      </c>
      <c r="P62" s="54">
        <v>0</v>
      </c>
      <c r="Q62" s="54">
        <v>0</v>
      </c>
      <c r="R62" s="54">
        <v>1</v>
      </c>
      <c r="S62" s="54">
        <v>1</v>
      </c>
      <c r="T62" s="54">
        <v>0</v>
      </c>
      <c r="U62" s="54">
        <v>0</v>
      </c>
      <c r="V62" s="54">
        <v>3</v>
      </c>
      <c r="W62" s="54">
        <v>0</v>
      </c>
      <c r="X62" s="54">
        <v>1</v>
      </c>
      <c r="Y62" s="54">
        <v>0</v>
      </c>
      <c r="Z62" s="54">
        <v>1</v>
      </c>
      <c r="AA62" s="54">
        <v>1</v>
      </c>
      <c r="AB62" s="54">
        <v>0</v>
      </c>
      <c r="AC62" s="54">
        <v>0</v>
      </c>
      <c r="AD62" s="54">
        <v>0</v>
      </c>
      <c r="AE62" s="54">
        <v>0</v>
      </c>
      <c r="AF62" s="54"/>
      <c r="AG62" s="5">
        <f t="shared" si="2"/>
        <v>29</v>
      </c>
    </row>
    <row r="63" spans="1:33" ht="15.75" customHeight="1" x14ac:dyDescent="0.25">
      <c r="A63" s="56" t="s">
        <v>12</v>
      </c>
      <c r="B63" s="54">
        <v>0</v>
      </c>
      <c r="C63" s="54">
        <v>0</v>
      </c>
      <c r="D63" s="54">
        <v>2</v>
      </c>
      <c r="E63" s="54">
        <v>0</v>
      </c>
      <c r="F63" s="54">
        <v>0</v>
      </c>
      <c r="G63" s="54">
        <v>2</v>
      </c>
      <c r="H63" s="54">
        <v>8</v>
      </c>
      <c r="I63" s="54">
        <v>0</v>
      </c>
      <c r="J63" s="54">
        <v>1</v>
      </c>
      <c r="K63" s="54">
        <v>1</v>
      </c>
      <c r="L63" s="54">
        <v>1</v>
      </c>
      <c r="M63" s="54">
        <v>2</v>
      </c>
      <c r="N63" s="54">
        <v>0</v>
      </c>
      <c r="O63" s="54">
        <v>5</v>
      </c>
      <c r="P63" s="54">
        <v>0</v>
      </c>
      <c r="Q63" s="54">
        <v>0</v>
      </c>
      <c r="R63" s="54">
        <v>2</v>
      </c>
      <c r="S63" s="54">
        <v>1</v>
      </c>
      <c r="T63" s="54">
        <v>0</v>
      </c>
      <c r="U63" s="54">
        <v>0</v>
      </c>
      <c r="V63" s="54">
        <v>1</v>
      </c>
      <c r="W63" s="54">
        <v>0</v>
      </c>
      <c r="X63" s="54">
        <v>1</v>
      </c>
      <c r="Y63" s="54">
        <v>0</v>
      </c>
      <c r="Z63" s="54">
        <v>1</v>
      </c>
      <c r="AA63" s="54">
        <v>0</v>
      </c>
      <c r="AB63" s="54">
        <v>0</v>
      </c>
      <c r="AC63" s="54">
        <v>0</v>
      </c>
      <c r="AD63" s="54">
        <v>0</v>
      </c>
      <c r="AE63" s="54">
        <v>0</v>
      </c>
      <c r="AF63" s="54"/>
      <c r="AG63" s="5">
        <f t="shared" si="2"/>
        <v>28</v>
      </c>
    </row>
    <row r="64" spans="1:33" ht="15.75" customHeight="1" x14ac:dyDescent="0.25">
      <c r="A64" s="56" t="s">
        <v>13</v>
      </c>
      <c r="B64" s="54">
        <v>0</v>
      </c>
      <c r="C64" s="54">
        <v>1</v>
      </c>
      <c r="D64" s="54">
        <v>2</v>
      </c>
      <c r="E64" s="54">
        <v>6</v>
      </c>
      <c r="F64" s="54">
        <v>0</v>
      </c>
      <c r="G64" s="54">
        <v>0</v>
      </c>
      <c r="H64" s="54">
        <v>0</v>
      </c>
      <c r="I64" s="54">
        <v>0</v>
      </c>
      <c r="J64" s="54">
        <v>0</v>
      </c>
      <c r="K64" s="54">
        <v>0</v>
      </c>
      <c r="L64" s="54">
        <v>1</v>
      </c>
      <c r="M64" s="54">
        <v>1</v>
      </c>
      <c r="N64" s="54">
        <v>1</v>
      </c>
      <c r="O64" s="54">
        <v>5</v>
      </c>
      <c r="P64" s="54">
        <v>0</v>
      </c>
      <c r="Q64" s="54">
        <v>1</v>
      </c>
      <c r="R64" s="54">
        <v>0</v>
      </c>
      <c r="S64" s="54">
        <v>4</v>
      </c>
      <c r="T64" s="54">
        <v>1</v>
      </c>
      <c r="U64" s="54">
        <v>0</v>
      </c>
      <c r="V64" s="54">
        <v>1</v>
      </c>
      <c r="W64" s="54">
        <v>0</v>
      </c>
      <c r="X64" s="54">
        <v>0</v>
      </c>
      <c r="Y64" s="54">
        <v>1</v>
      </c>
      <c r="Z64" s="54">
        <v>4</v>
      </c>
      <c r="AA64" s="54">
        <v>0</v>
      </c>
      <c r="AB64" s="54">
        <v>0</v>
      </c>
      <c r="AC64" s="54">
        <v>0</v>
      </c>
      <c r="AD64" s="54">
        <v>0</v>
      </c>
      <c r="AE64" s="54">
        <v>0</v>
      </c>
      <c r="AF64" s="54"/>
      <c r="AG64" s="5">
        <f t="shared" si="2"/>
        <v>29</v>
      </c>
    </row>
    <row r="65" spans="1:33" ht="15.75" customHeight="1" x14ac:dyDescent="0.25">
      <c r="A65" s="56" t="s">
        <v>14</v>
      </c>
      <c r="B65" s="54">
        <v>0</v>
      </c>
      <c r="C65" s="54">
        <v>0</v>
      </c>
      <c r="D65" s="54">
        <v>8</v>
      </c>
      <c r="E65" s="54">
        <v>0</v>
      </c>
      <c r="F65" s="54">
        <v>2</v>
      </c>
      <c r="G65" s="54">
        <v>3</v>
      </c>
      <c r="H65" s="54">
        <v>0</v>
      </c>
      <c r="I65" s="54">
        <v>0</v>
      </c>
      <c r="J65" s="54">
        <v>1</v>
      </c>
      <c r="K65" s="54">
        <v>0</v>
      </c>
      <c r="L65" s="54">
        <v>0</v>
      </c>
      <c r="M65" s="54">
        <v>0</v>
      </c>
      <c r="N65" s="54">
        <v>0</v>
      </c>
      <c r="O65" s="54">
        <v>1</v>
      </c>
      <c r="P65" s="54">
        <v>0</v>
      </c>
      <c r="Q65" s="54">
        <v>0</v>
      </c>
      <c r="R65" s="54">
        <v>0</v>
      </c>
      <c r="S65" s="54">
        <v>0</v>
      </c>
      <c r="T65" s="54">
        <v>0</v>
      </c>
      <c r="U65" s="54">
        <v>0</v>
      </c>
      <c r="V65" s="54">
        <v>0</v>
      </c>
      <c r="W65" s="54">
        <v>0</v>
      </c>
      <c r="X65" s="54">
        <v>2</v>
      </c>
      <c r="Y65" s="54">
        <v>0</v>
      </c>
      <c r="Z65" s="54">
        <v>1</v>
      </c>
      <c r="AA65" s="54">
        <v>1</v>
      </c>
      <c r="AB65" s="54">
        <v>0</v>
      </c>
      <c r="AC65" s="54">
        <v>0</v>
      </c>
      <c r="AD65" s="54">
        <v>0</v>
      </c>
      <c r="AE65" s="54">
        <v>0</v>
      </c>
      <c r="AF65" s="54"/>
      <c r="AG65" s="5">
        <f t="shared" si="2"/>
        <v>19</v>
      </c>
    </row>
    <row r="66" spans="1:33" ht="15.75" customHeight="1" x14ac:dyDescent="0.25">
      <c r="A66" s="56" t="s">
        <v>15</v>
      </c>
      <c r="B66" s="54">
        <v>0</v>
      </c>
      <c r="C66" s="54">
        <v>0</v>
      </c>
      <c r="D66" s="54">
        <v>6</v>
      </c>
      <c r="E66" s="54">
        <v>0</v>
      </c>
      <c r="F66" s="54">
        <v>0</v>
      </c>
      <c r="G66" s="54">
        <v>0</v>
      </c>
      <c r="H66" s="54">
        <v>2</v>
      </c>
      <c r="I66" s="54">
        <v>0</v>
      </c>
      <c r="J66" s="54">
        <v>1</v>
      </c>
      <c r="K66" s="54">
        <v>0</v>
      </c>
      <c r="L66" s="54">
        <v>0</v>
      </c>
      <c r="M66" s="54">
        <v>0</v>
      </c>
      <c r="N66" s="54">
        <v>0</v>
      </c>
      <c r="O66" s="54">
        <v>0</v>
      </c>
      <c r="P66" s="54">
        <v>0</v>
      </c>
      <c r="Q66" s="54">
        <v>0</v>
      </c>
      <c r="R66" s="54">
        <v>0</v>
      </c>
      <c r="S66" s="54">
        <v>2</v>
      </c>
      <c r="T66" s="54">
        <v>0</v>
      </c>
      <c r="U66" s="54">
        <v>0</v>
      </c>
      <c r="V66" s="54">
        <v>0</v>
      </c>
      <c r="W66" s="54">
        <v>0</v>
      </c>
      <c r="X66" s="54">
        <v>0</v>
      </c>
      <c r="Y66" s="54">
        <v>0</v>
      </c>
      <c r="Z66" s="54">
        <v>0</v>
      </c>
      <c r="AA66" s="54">
        <v>0</v>
      </c>
      <c r="AB66" s="54">
        <v>1</v>
      </c>
      <c r="AC66" s="54">
        <v>0</v>
      </c>
      <c r="AD66" s="54">
        <v>0</v>
      </c>
      <c r="AE66" s="54">
        <v>0</v>
      </c>
      <c r="AF66" s="54"/>
      <c r="AG66" s="5">
        <f t="shared" si="2"/>
        <v>12</v>
      </c>
    </row>
    <row r="67" spans="1:33" ht="15.75" customHeight="1" x14ac:dyDescent="0.25">
      <c r="A67" s="56" t="s">
        <v>16</v>
      </c>
      <c r="B67" s="54">
        <v>0</v>
      </c>
      <c r="C67" s="54">
        <v>0</v>
      </c>
      <c r="D67" s="54">
        <v>2</v>
      </c>
      <c r="E67" s="54">
        <v>0</v>
      </c>
      <c r="F67" s="54">
        <v>0</v>
      </c>
      <c r="G67" s="54">
        <v>0</v>
      </c>
      <c r="H67" s="54">
        <v>0</v>
      </c>
      <c r="I67" s="54">
        <v>0</v>
      </c>
      <c r="J67" s="54">
        <v>0</v>
      </c>
      <c r="K67" s="54">
        <v>0</v>
      </c>
      <c r="L67" s="54">
        <v>0</v>
      </c>
      <c r="M67" s="54">
        <v>0</v>
      </c>
      <c r="N67" s="54">
        <v>0</v>
      </c>
      <c r="O67" s="54">
        <v>0</v>
      </c>
      <c r="P67" s="54">
        <v>0</v>
      </c>
      <c r="Q67" s="54">
        <v>0</v>
      </c>
      <c r="R67" s="54">
        <v>0</v>
      </c>
      <c r="S67" s="54">
        <v>0</v>
      </c>
      <c r="T67" s="54">
        <v>0</v>
      </c>
      <c r="U67" s="54">
        <v>0</v>
      </c>
      <c r="V67" s="54">
        <v>0</v>
      </c>
      <c r="W67" s="54">
        <v>0</v>
      </c>
      <c r="X67" s="54">
        <v>1</v>
      </c>
      <c r="Y67" s="54">
        <v>0</v>
      </c>
      <c r="Z67" s="54">
        <v>0</v>
      </c>
      <c r="AA67" s="54">
        <v>0</v>
      </c>
      <c r="AB67" s="54">
        <v>0</v>
      </c>
      <c r="AC67" s="54">
        <v>0</v>
      </c>
      <c r="AD67" s="54">
        <v>0</v>
      </c>
      <c r="AE67" s="54">
        <v>0</v>
      </c>
      <c r="AF67" s="54"/>
      <c r="AG67" s="5">
        <f t="shared" ref="AG67:AG98" si="5">SUM(B67:AF67)</f>
        <v>3</v>
      </c>
    </row>
    <row r="68" spans="1:33" ht="15.75" customHeight="1" x14ac:dyDescent="0.25">
      <c r="A68" s="56" t="s">
        <v>17</v>
      </c>
      <c r="B68" s="54">
        <v>0</v>
      </c>
      <c r="C68" s="54">
        <v>0</v>
      </c>
      <c r="D68" s="54">
        <v>3</v>
      </c>
      <c r="E68" s="54">
        <v>0</v>
      </c>
      <c r="F68" s="54">
        <v>0</v>
      </c>
      <c r="G68" s="54">
        <v>1</v>
      </c>
      <c r="H68" s="54">
        <v>0</v>
      </c>
      <c r="I68" s="54">
        <v>0</v>
      </c>
      <c r="J68" s="54">
        <v>0</v>
      </c>
      <c r="K68" s="54">
        <v>0</v>
      </c>
      <c r="L68" s="54">
        <v>0</v>
      </c>
      <c r="M68" s="54">
        <v>0</v>
      </c>
      <c r="N68" s="54">
        <v>0</v>
      </c>
      <c r="O68" s="54">
        <v>1</v>
      </c>
      <c r="P68" s="54">
        <v>0</v>
      </c>
      <c r="Q68" s="54">
        <v>1</v>
      </c>
      <c r="R68" s="54">
        <v>0</v>
      </c>
      <c r="S68" s="54">
        <v>0</v>
      </c>
      <c r="T68" s="54">
        <v>0</v>
      </c>
      <c r="U68" s="54">
        <v>0</v>
      </c>
      <c r="V68" s="54">
        <v>0</v>
      </c>
      <c r="W68" s="54">
        <v>0</v>
      </c>
      <c r="X68" s="54">
        <v>1</v>
      </c>
      <c r="Y68" s="54">
        <v>0</v>
      </c>
      <c r="Z68" s="54">
        <v>0</v>
      </c>
      <c r="AA68" s="54">
        <v>0</v>
      </c>
      <c r="AB68" s="54">
        <v>0</v>
      </c>
      <c r="AC68" s="54">
        <v>0</v>
      </c>
      <c r="AD68" s="54">
        <v>0</v>
      </c>
      <c r="AE68" s="54">
        <v>0</v>
      </c>
      <c r="AF68" s="54"/>
      <c r="AG68" s="5">
        <f t="shared" si="5"/>
        <v>7</v>
      </c>
    </row>
    <row r="69" spans="1:33" ht="15.75" customHeight="1" x14ac:dyDescent="0.25">
      <c r="A69" s="56" t="s">
        <v>18</v>
      </c>
      <c r="B69" s="54">
        <v>0</v>
      </c>
      <c r="C69" s="54">
        <v>0</v>
      </c>
      <c r="D69" s="54">
        <v>0</v>
      </c>
      <c r="E69" s="54">
        <v>0</v>
      </c>
      <c r="F69" s="54">
        <v>0</v>
      </c>
      <c r="G69" s="54">
        <v>0</v>
      </c>
      <c r="H69" s="54">
        <v>0</v>
      </c>
      <c r="I69" s="54">
        <v>0</v>
      </c>
      <c r="J69" s="54">
        <v>0</v>
      </c>
      <c r="K69" s="54">
        <v>0</v>
      </c>
      <c r="L69" s="54">
        <v>0</v>
      </c>
      <c r="M69" s="54">
        <v>0</v>
      </c>
      <c r="N69" s="54">
        <v>0</v>
      </c>
      <c r="O69" s="54">
        <v>0</v>
      </c>
      <c r="P69" s="54">
        <v>0</v>
      </c>
      <c r="Q69" s="54">
        <v>0</v>
      </c>
      <c r="R69" s="54">
        <v>1</v>
      </c>
      <c r="S69" s="54">
        <v>0</v>
      </c>
      <c r="T69" s="54">
        <v>0</v>
      </c>
      <c r="U69" s="54">
        <v>0</v>
      </c>
      <c r="V69" s="54">
        <v>0</v>
      </c>
      <c r="W69" s="54">
        <v>0</v>
      </c>
      <c r="X69" s="54">
        <v>11</v>
      </c>
      <c r="Y69" s="54">
        <v>0</v>
      </c>
      <c r="Z69" s="54">
        <v>0</v>
      </c>
      <c r="AA69" s="54">
        <v>0</v>
      </c>
      <c r="AB69" s="54">
        <v>0</v>
      </c>
      <c r="AC69" s="54">
        <v>0</v>
      </c>
      <c r="AD69" s="54">
        <v>1</v>
      </c>
      <c r="AE69" s="54">
        <v>1</v>
      </c>
      <c r="AF69" s="54"/>
      <c r="AG69" s="5">
        <f t="shared" si="5"/>
        <v>14</v>
      </c>
    </row>
    <row r="70" spans="1:33" ht="15.75" customHeight="1" x14ac:dyDescent="0.25">
      <c r="A70" s="56" t="s">
        <v>19</v>
      </c>
      <c r="B70" s="54">
        <v>0</v>
      </c>
      <c r="C70" s="54">
        <v>0</v>
      </c>
      <c r="D70" s="54">
        <v>0</v>
      </c>
      <c r="E70" s="54">
        <v>0</v>
      </c>
      <c r="F70" s="54">
        <v>0</v>
      </c>
      <c r="G70" s="54">
        <v>0</v>
      </c>
      <c r="H70" s="54">
        <v>0</v>
      </c>
      <c r="I70" s="54">
        <v>0</v>
      </c>
      <c r="J70" s="54">
        <v>0</v>
      </c>
      <c r="K70" s="54">
        <v>0</v>
      </c>
      <c r="L70" s="54">
        <v>0</v>
      </c>
      <c r="M70" s="54">
        <v>0</v>
      </c>
      <c r="N70" s="54">
        <v>0</v>
      </c>
      <c r="O70" s="54">
        <v>1</v>
      </c>
      <c r="P70" s="54">
        <v>0</v>
      </c>
      <c r="Q70" s="54">
        <v>0</v>
      </c>
      <c r="R70" s="54">
        <v>1</v>
      </c>
      <c r="S70" s="54">
        <v>0</v>
      </c>
      <c r="T70" s="54">
        <v>0</v>
      </c>
      <c r="U70" s="54">
        <v>0</v>
      </c>
      <c r="V70" s="54">
        <v>0</v>
      </c>
      <c r="W70" s="54">
        <v>0</v>
      </c>
      <c r="X70" s="54">
        <v>3</v>
      </c>
      <c r="Y70" s="54">
        <v>0</v>
      </c>
      <c r="Z70" s="54">
        <v>0</v>
      </c>
      <c r="AA70" s="54">
        <v>0</v>
      </c>
      <c r="AB70" s="54">
        <v>0</v>
      </c>
      <c r="AC70" s="54">
        <v>0</v>
      </c>
      <c r="AD70" s="55">
        <v>0</v>
      </c>
      <c r="AE70" s="55">
        <v>2</v>
      </c>
      <c r="AF70" s="55"/>
      <c r="AG70" s="5">
        <f t="shared" si="5"/>
        <v>7</v>
      </c>
    </row>
    <row r="71" spans="1:33" ht="15.75" customHeight="1" x14ac:dyDescent="0.25">
      <c r="A71" s="56" t="s">
        <v>20</v>
      </c>
      <c r="B71" s="54">
        <v>0</v>
      </c>
      <c r="C71" s="54">
        <v>0</v>
      </c>
      <c r="D71" s="54">
        <v>0</v>
      </c>
      <c r="E71" s="54">
        <v>0</v>
      </c>
      <c r="F71" s="54">
        <v>0</v>
      </c>
      <c r="G71" s="54">
        <v>0</v>
      </c>
      <c r="H71" s="54">
        <v>0</v>
      </c>
      <c r="I71" s="54">
        <v>0</v>
      </c>
      <c r="J71" s="54">
        <v>1</v>
      </c>
      <c r="K71" s="54">
        <v>0</v>
      </c>
      <c r="L71" s="54">
        <v>0</v>
      </c>
      <c r="M71" s="54">
        <v>0</v>
      </c>
      <c r="N71" s="54">
        <v>0</v>
      </c>
      <c r="O71" s="54">
        <v>0</v>
      </c>
      <c r="P71" s="54">
        <v>0</v>
      </c>
      <c r="Q71" s="54">
        <v>0</v>
      </c>
      <c r="R71" s="54">
        <v>0</v>
      </c>
      <c r="S71" s="54">
        <v>0</v>
      </c>
      <c r="T71" s="54">
        <v>1</v>
      </c>
      <c r="U71" s="54">
        <v>0</v>
      </c>
      <c r="V71" s="54">
        <v>0</v>
      </c>
      <c r="W71" s="54">
        <v>0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5">
        <v>0</v>
      </c>
      <c r="AE71" s="55">
        <v>1</v>
      </c>
      <c r="AF71" s="55"/>
      <c r="AG71" s="5">
        <f t="shared" si="5"/>
        <v>3</v>
      </c>
    </row>
    <row r="72" spans="1:33" ht="15.75" customHeight="1" x14ac:dyDescent="0.25">
      <c r="A72" s="56" t="s">
        <v>21</v>
      </c>
      <c r="B72" s="54">
        <v>0</v>
      </c>
      <c r="C72" s="54">
        <v>1</v>
      </c>
      <c r="D72" s="54">
        <v>0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0</v>
      </c>
      <c r="K72" s="54">
        <v>0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1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4">
        <v>0</v>
      </c>
      <c r="X72" s="54">
        <v>1</v>
      </c>
      <c r="Y72" s="54">
        <v>0</v>
      </c>
      <c r="Z72" s="54">
        <v>0</v>
      </c>
      <c r="AA72" s="54">
        <v>0</v>
      </c>
      <c r="AB72" s="54">
        <v>0</v>
      </c>
      <c r="AC72" s="54">
        <v>0</v>
      </c>
      <c r="AD72" s="55">
        <v>0</v>
      </c>
      <c r="AE72" s="55">
        <v>0</v>
      </c>
      <c r="AF72" s="55"/>
      <c r="AG72" s="5">
        <f t="shared" si="5"/>
        <v>3</v>
      </c>
    </row>
    <row r="73" spans="1:33" ht="15.75" customHeight="1" x14ac:dyDescent="0.25">
      <c r="A73" s="56" t="s">
        <v>22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/>
      <c r="AG73" s="5">
        <f t="shared" si="5"/>
        <v>0</v>
      </c>
    </row>
    <row r="74" spans="1:33" ht="15.75" customHeight="1" x14ac:dyDescent="0.25">
      <c r="A74" s="56" t="s">
        <v>23</v>
      </c>
      <c r="B74" s="54">
        <v>0</v>
      </c>
      <c r="C74" s="54">
        <v>1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1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/>
      <c r="AG74" s="5">
        <f t="shared" si="5"/>
        <v>2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/>
      <c r="AG75" s="5">
        <f t="shared" si="5"/>
        <v>0</v>
      </c>
    </row>
    <row r="76" spans="1:33" ht="15.75" customHeight="1" x14ac:dyDescent="0.25">
      <c r="A76" s="56" t="s">
        <v>25</v>
      </c>
      <c r="B76" s="54">
        <v>0</v>
      </c>
      <c r="C76" s="54">
        <v>2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1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/>
      <c r="AG76" s="5">
        <f t="shared" si="5"/>
        <v>3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1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/>
      <c r="AG77" s="9">
        <f t="shared" si="5"/>
        <v>1</v>
      </c>
    </row>
    <row r="78" spans="1:33" ht="19.5" customHeight="1" thickBot="1" x14ac:dyDescent="0.3">
      <c r="A78" s="63" t="s">
        <v>29</v>
      </c>
      <c r="B78" s="11">
        <f t="shared" ref="B78:AF78" si="6">SUM(B79:B80)</f>
        <v>170</v>
      </c>
      <c r="C78" s="11">
        <f t="shared" si="6"/>
        <v>168</v>
      </c>
      <c r="D78" s="11">
        <f t="shared" si="6"/>
        <v>249</v>
      </c>
      <c r="E78" s="11">
        <f t="shared" si="6"/>
        <v>202</v>
      </c>
      <c r="F78" s="11">
        <f t="shared" si="6"/>
        <v>150</v>
      </c>
      <c r="G78" s="11">
        <f t="shared" si="6"/>
        <v>193</v>
      </c>
      <c r="H78" s="11">
        <f t="shared" si="6"/>
        <v>206</v>
      </c>
      <c r="I78" s="11">
        <f t="shared" si="6"/>
        <v>152</v>
      </c>
      <c r="J78" s="11">
        <f t="shared" si="6"/>
        <v>159</v>
      </c>
      <c r="K78" s="11">
        <f t="shared" si="6"/>
        <v>198</v>
      </c>
      <c r="L78" s="11">
        <f t="shared" si="6"/>
        <v>152</v>
      </c>
      <c r="M78" s="11">
        <f t="shared" si="6"/>
        <v>148</v>
      </c>
      <c r="N78" s="11">
        <f t="shared" si="6"/>
        <v>128</v>
      </c>
      <c r="O78" s="11">
        <f t="shared" si="6"/>
        <v>125</v>
      </c>
      <c r="P78" s="11">
        <f t="shared" si="6"/>
        <v>123</v>
      </c>
      <c r="Q78" s="11">
        <f t="shared" si="6"/>
        <v>150</v>
      </c>
      <c r="R78" s="11">
        <f t="shared" si="6"/>
        <v>137</v>
      </c>
      <c r="S78" s="11">
        <f t="shared" si="6"/>
        <v>150</v>
      </c>
      <c r="T78" s="11">
        <f t="shared" si="6"/>
        <v>152</v>
      </c>
      <c r="U78" s="11">
        <f t="shared" si="6"/>
        <v>106</v>
      </c>
      <c r="V78" s="11">
        <f t="shared" si="6"/>
        <v>147</v>
      </c>
      <c r="W78" s="11">
        <f t="shared" si="6"/>
        <v>129</v>
      </c>
      <c r="X78" s="11">
        <f t="shared" si="6"/>
        <v>142</v>
      </c>
      <c r="Y78" s="11">
        <f t="shared" si="6"/>
        <v>164</v>
      </c>
      <c r="Z78" s="11">
        <f t="shared" si="6"/>
        <v>135</v>
      </c>
      <c r="AA78" s="11">
        <f t="shared" si="6"/>
        <v>139</v>
      </c>
      <c r="AB78" s="11">
        <f t="shared" si="6"/>
        <v>150</v>
      </c>
      <c r="AC78" s="11">
        <f t="shared" si="6"/>
        <v>135</v>
      </c>
      <c r="AD78" s="11">
        <f t="shared" si="6"/>
        <v>131</v>
      </c>
      <c r="AE78" s="11">
        <f t="shared" si="6"/>
        <v>147</v>
      </c>
      <c r="AF78" s="11">
        <f t="shared" si="6"/>
        <v>0</v>
      </c>
      <c r="AG78" s="10">
        <f t="shared" si="5"/>
        <v>4637</v>
      </c>
    </row>
    <row r="79" spans="1:33" ht="19.5" customHeight="1" x14ac:dyDescent="0.25">
      <c r="A79" s="64" t="s">
        <v>30</v>
      </c>
      <c r="B79" s="3">
        <f t="shared" ref="B79" si="7">SUM(B4:B27)-B80</f>
        <v>170</v>
      </c>
      <c r="C79" s="3">
        <f t="shared" ref="C79" si="8">SUM(C4:C27)-C80</f>
        <v>168</v>
      </c>
      <c r="D79" s="3">
        <f t="shared" ref="D79:AF79" si="9">SUM(D4:D27)-D80</f>
        <v>249</v>
      </c>
      <c r="E79" s="3">
        <f t="shared" si="9"/>
        <v>202</v>
      </c>
      <c r="F79" s="3">
        <f t="shared" si="9"/>
        <v>150</v>
      </c>
      <c r="G79" s="3">
        <f t="shared" si="9"/>
        <v>193</v>
      </c>
      <c r="H79" s="3">
        <f t="shared" si="9"/>
        <v>206</v>
      </c>
      <c r="I79" s="3">
        <f t="shared" si="9"/>
        <v>152</v>
      </c>
      <c r="J79" s="3">
        <f t="shared" si="9"/>
        <v>159</v>
      </c>
      <c r="K79" s="3">
        <f t="shared" si="9"/>
        <v>198</v>
      </c>
      <c r="L79" s="3">
        <f t="shared" si="9"/>
        <v>152</v>
      </c>
      <c r="M79" s="3">
        <f t="shared" si="9"/>
        <v>148</v>
      </c>
      <c r="N79" s="3">
        <f t="shared" si="9"/>
        <v>128</v>
      </c>
      <c r="O79" s="3">
        <f t="shared" si="9"/>
        <v>125</v>
      </c>
      <c r="P79" s="3">
        <f t="shared" si="9"/>
        <v>123</v>
      </c>
      <c r="Q79" s="3">
        <f t="shared" si="9"/>
        <v>150</v>
      </c>
      <c r="R79" s="3">
        <f t="shared" si="9"/>
        <v>137</v>
      </c>
      <c r="S79" s="3">
        <f t="shared" si="9"/>
        <v>150</v>
      </c>
      <c r="T79" s="3">
        <f t="shared" si="9"/>
        <v>152</v>
      </c>
      <c r="U79" s="3">
        <f t="shared" si="9"/>
        <v>106</v>
      </c>
      <c r="V79" s="3">
        <f t="shared" si="9"/>
        <v>147</v>
      </c>
      <c r="W79" s="3">
        <f t="shared" si="9"/>
        <v>129</v>
      </c>
      <c r="X79" s="3">
        <f t="shared" si="9"/>
        <v>142</v>
      </c>
      <c r="Y79" s="3">
        <f t="shared" si="9"/>
        <v>164</v>
      </c>
      <c r="Z79" s="3">
        <f t="shared" si="9"/>
        <v>135</v>
      </c>
      <c r="AA79" s="3">
        <f t="shared" si="9"/>
        <v>139</v>
      </c>
      <c r="AB79" s="3">
        <f t="shared" si="9"/>
        <v>150</v>
      </c>
      <c r="AC79" s="3">
        <f t="shared" si="9"/>
        <v>135</v>
      </c>
      <c r="AD79" s="3">
        <f t="shared" si="9"/>
        <v>131</v>
      </c>
      <c r="AE79" s="3">
        <f t="shared" si="9"/>
        <v>147</v>
      </c>
      <c r="AF79" s="3">
        <f t="shared" si="9"/>
        <v>0</v>
      </c>
      <c r="AG79" s="4">
        <f t="shared" si="5"/>
        <v>4637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0</v>
      </c>
      <c r="C81" s="12">
        <f t="shared" si="10"/>
        <v>6</v>
      </c>
      <c r="D81" s="12">
        <f t="shared" si="10"/>
        <v>37</v>
      </c>
      <c r="E81" s="12">
        <f t="shared" si="10"/>
        <v>10</v>
      </c>
      <c r="F81" s="12">
        <f t="shared" si="10"/>
        <v>4</v>
      </c>
      <c r="G81" s="12">
        <f t="shared" si="10"/>
        <v>12</v>
      </c>
      <c r="H81" s="12">
        <f t="shared" si="10"/>
        <v>16</v>
      </c>
      <c r="I81" s="12">
        <f t="shared" si="10"/>
        <v>3</v>
      </c>
      <c r="J81" s="12">
        <f t="shared" si="10"/>
        <v>6</v>
      </c>
      <c r="K81" s="12">
        <f t="shared" si="10"/>
        <v>16</v>
      </c>
      <c r="L81" s="12">
        <f t="shared" si="10"/>
        <v>5</v>
      </c>
      <c r="M81" s="12">
        <f t="shared" si="10"/>
        <v>7</v>
      </c>
      <c r="N81" s="12">
        <f t="shared" si="10"/>
        <v>4</v>
      </c>
      <c r="O81" s="12">
        <f t="shared" si="10"/>
        <v>16</v>
      </c>
      <c r="P81" s="12">
        <f t="shared" si="10"/>
        <v>1</v>
      </c>
      <c r="Q81" s="12">
        <f t="shared" si="10"/>
        <v>6</v>
      </c>
      <c r="R81" s="12">
        <f t="shared" si="10"/>
        <v>7</v>
      </c>
      <c r="S81" s="12">
        <f t="shared" si="10"/>
        <v>9</v>
      </c>
      <c r="T81" s="12">
        <f t="shared" si="10"/>
        <v>5</v>
      </c>
      <c r="U81" s="12">
        <f t="shared" si="10"/>
        <v>0</v>
      </c>
      <c r="V81" s="12">
        <f t="shared" si="10"/>
        <v>7</v>
      </c>
      <c r="W81" s="12">
        <f t="shared" si="10"/>
        <v>2</v>
      </c>
      <c r="X81" s="12">
        <f t="shared" si="10"/>
        <v>21</v>
      </c>
      <c r="Y81" s="12">
        <f t="shared" si="10"/>
        <v>2</v>
      </c>
      <c r="Z81" s="12">
        <f t="shared" si="10"/>
        <v>10</v>
      </c>
      <c r="AA81" s="12">
        <f t="shared" si="10"/>
        <v>7</v>
      </c>
      <c r="AB81" s="12">
        <f t="shared" si="10"/>
        <v>7</v>
      </c>
      <c r="AC81" s="12">
        <f t="shared" si="10"/>
        <v>1</v>
      </c>
      <c r="AD81" s="12">
        <f t="shared" si="10"/>
        <v>2</v>
      </c>
      <c r="AE81" s="12">
        <f t="shared" si="10"/>
        <v>5</v>
      </c>
      <c r="AF81" s="12">
        <f t="shared" si="10"/>
        <v>0</v>
      </c>
      <c r="AG81" s="10">
        <f t="shared" si="5"/>
        <v>234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0</v>
      </c>
      <c r="C82" s="3">
        <f t="shared" si="11"/>
        <v>1</v>
      </c>
      <c r="D82" s="3">
        <f t="shared" si="11"/>
        <v>13</v>
      </c>
      <c r="E82" s="3">
        <f t="shared" si="11"/>
        <v>4</v>
      </c>
      <c r="F82" s="3">
        <f t="shared" si="11"/>
        <v>2</v>
      </c>
      <c r="G82" s="3">
        <f t="shared" si="11"/>
        <v>6</v>
      </c>
      <c r="H82" s="3">
        <f t="shared" si="11"/>
        <v>6</v>
      </c>
      <c r="I82" s="3">
        <f t="shared" si="11"/>
        <v>3</v>
      </c>
      <c r="J82" s="3">
        <f t="shared" si="11"/>
        <v>2</v>
      </c>
      <c r="K82" s="3">
        <f t="shared" si="11"/>
        <v>15</v>
      </c>
      <c r="L82" s="3">
        <f t="shared" si="11"/>
        <v>3</v>
      </c>
      <c r="M82" s="3">
        <f t="shared" si="11"/>
        <v>4</v>
      </c>
      <c r="N82" s="3">
        <f t="shared" si="11"/>
        <v>3</v>
      </c>
      <c r="O82" s="3">
        <f t="shared" si="11"/>
        <v>3</v>
      </c>
      <c r="P82" s="3">
        <f t="shared" si="11"/>
        <v>1</v>
      </c>
      <c r="Q82" s="3">
        <f t="shared" si="11"/>
        <v>2</v>
      </c>
      <c r="R82" s="3">
        <f t="shared" si="11"/>
        <v>3</v>
      </c>
      <c r="S82" s="3">
        <f t="shared" si="11"/>
        <v>2</v>
      </c>
      <c r="T82" s="3">
        <f t="shared" si="11"/>
        <v>3</v>
      </c>
      <c r="U82" s="3">
        <f t="shared" si="11"/>
        <v>0</v>
      </c>
      <c r="V82" s="3">
        <f t="shared" si="11"/>
        <v>5</v>
      </c>
      <c r="W82" s="3">
        <f t="shared" si="11"/>
        <v>1</v>
      </c>
      <c r="X82" s="3">
        <f t="shared" si="11"/>
        <v>1</v>
      </c>
      <c r="Y82" s="3">
        <f t="shared" si="11"/>
        <v>1</v>
      </c>
      <c r="Z82" s="3">
        <f t="shared" si="11"/>
        <v>4</v>
      </c>
      <c r="AA82" s="3">
        <f t="shared" si="11"/>
        <v>6</v>
      </c>
      <c r="AB82" s="3">
        <f t="shared" si="11"/>
        <v>6</v>
      </c>
      <c r="AC82" s="3">
        <f t="shared" si="11"/>
        <v>1</v>
      </c>
      <c r="AD82" s="3">
        <f t="shared" si="11"/>
        <v>1</v>
      </c>
      <c r="AE82" s="3">
        <f t="shared" si="11"/>
        <v>1</v>
      </c>
      <c r="AF82" s="3">
        <f t="shared" si="11"/>
        <v>0</v>
      </c>
      <c r="AG82" s="4">
        <f t="shared" si="5"/>
        <v>103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0</v>
      </c>
      <c r="C83" s="8">
        <f t="shared" si="12"/>
        <v>5</v>
      </c>
      <c r="D83" s="8">
        <f t="shared" si="12"/>
        <v>24</v>
      </c>
      <c r="E83" s="8">
        <f t="shared" si="12"/>
        <v>6</v>
      </c>
      <c r="F83" s="8">
        <f t="shared" si="12"/>
        <v>2</v>
      </c>
      <c r="G83" s="8">
        <f t="shared" si="12"/>
        <v>6</v>
      </c>
      <c r="H83" s="8">
        <f t="shared" si="12"/>
        <v>10</v>
      </c>
      <c r="I83" s="8">
        <f t="shared" si="12"/>
        <v>0</v>
      </c>
      <c r="J83" s="8">
        <f t="shared" si="12"/>
        <v>4</v>
      </c>
      <c r="K83" s="8">
        <f t="shared" si="12"/>
        <v>1</v>
      </c>
      <c r="L83" s="8">
        <f t="shared" si="12"/>
        <v>2</v>
      </c>
      <c r="M83" s="8">
        <f t="shared" si="12"/>
        <v>3</v>
      </c>
      <c r="N83" s="8">
        <f t="shared" si="12"/>
        <v>1</v>
      </c>
      <c r="O83" s="8">
        <f t="shared" si="12"/>
        <v>13</v>
      </c>
      <c r="P83" s="8">
        <f t="shared" si="12"/>
        <v>0</v>
      </c>
      <c r="Q83" s="8">
        <f t="shared" si="12"/>
        <v>4</v>
      </c>
      <c r="R83" s="8">
        <f t="shared" si="12"/>
        <v>4</v>
      </c>
      <c r="S83" s="8">
        <f t="shared" si="12"/>
        <v>7</v>
      </c>
      <c r="T83" s="8">
        <f t="shared" si="12"/>
        <v>2</v>
      </c>
      <c r="U83" s="8">
        <f t="shared" si="12"/>
        <v>0</v>
      </c>
      <c r="V83" s="8">
        <f t="shared" si="12"/>
        <v>2</v>
      </c>
      <c r="W83" s="8">
        <f t="shared" si="12"/>
        <v>1</v>
      </c>
      <c r="X83" s="8">
        <f t="shared" si="12"/>
        <v>20</v>
      </c>
      <c r="Y83" s="8">
        <f t="shared" si="12"/>
        <v>1</v>
      </c>
      <c r="Z83" s="8">
        <f t="shared" si="12"/>
        <v>6</v>
      </c>
      <c r="AA83" s="8">
        <f t="shared" si="12"/>
        <v>1</v>
      </c>
      <c r="AB83" s="8">
        <f t="shared" si="12"/>
        <v>1</v>
      </c>
      <c r="AC83" s="8">
        <f t="shared" si="12"/>
        <v>0</v>
      </c>
      <c r="AD83" s="8">
        <f t="shared" si="12"/>
        <v>1</v>
      </c>
      <c r="AE83" s="8">
        <f t="shared" si="12"/>
        <v>4</v>
      </c>
      <c r="AF83" s="8">
        <f t="shared" si="12"/>
        <v>0</v>
      </c>
      <c r="AG83" s="5">
        <f t="shared" si="5"/>
        <v>131</v>
      </c>
    </row>
    <row r="84" spans="1:34" ht="15.75" customHeight="1" thickBot="1" x14ac:dyDescent="0.3">
      <c r="A84" s="67" t="s">
        <v>33</v>
      </c>
      <c r="B84" s="14">
        <f t="shared" ref="B84:AF84" si="13">SUM(B85:B86)</f>
        <v>0</v>
      </c>
      <c r="C84" s="14">
        <f t="shared" si="13"/>
        <v>6</v>
      </c>
      <c r="D84" s="14">
        <f t="shared" si="13"/>
        <v>37</v>
      </c>
      <c r="E84" s="14">
        <f t="shared" si="13"/>
        <v>10</v>
      </c>
      <c r="F84" s="14">
        <f t="shared" si="13"/>
        <v>4</v>
      </c>
      <c r="G84" s="14">
        <f t="shared" si="13"/>
        <v>12</v>
      </c>
      <c r="H84" s="14">
        <f t="shared" si="13"/>
        <v>16</v>
      </c>
      <c r="I84" s="14">
        <f t="shared" si="13"/>
        <v>3</v>
      </c>
      <c r="J84" s="14">
        <f t="shared" si="13"/>
        <v>6</v>
      </c>
      <c r="K84" s="14">
        <f t="shared" si="13"/>
        <v>16</v>
      </c>
      <c r="L84" s="14">
        <f t="shared" si="13"/>
        <v>5</v>
      </c>
      <c r="M84" s="14">
        <f t="shared" si="13"/>
        <v>7</v>
      </c>
      <c r="N84" s="14">
        <f t="shared" si="13"/>
        <v>4</v>
      </c>
      <c r="O84" s="14">
        <f t="shared" si="13"/>
        <v>16</v>
      </c>
      <c r="P84" s="14">
        <f t="shared" si="13"/>
        <v>1</v>
      </c>
      <c r="Q84" s="14">
        <f t="shared" si="13"/>
        <v>6</v>
      </c>
      <c r="R84" s="14">
        <f t="shared" si="13"/>
        <v>7</v>
      </c>
      <c r="S84" s="14">
        <f t="shared" si="13"/>
        <v>9</v>
      </c>
      <c r="T84" s="14">
        <f t="shared" si="13"/>
        <v>5</v>
      </c>
      <c r="U84" s="14">
        <f t="shared" si="13"/>
        <v>0</v>
      </c>
      <c r="V84" s="14">
        <f t="shared" si="13"/>
        <v>7</v>
      </c>
      <c r="W84" s="14">
        <f t="shared" si="13"/>
        <v>2</v>
      </c>
      <c r="X84" s="14">
        <f t="shared" si="13"/>
        <v>21</v>
      </c>
      <c r="Y84" s="14">
        <f t="shared" si="13"/>
        <v>2</v>
      </c>
      <c r="Z84" s="14">
        <f t="shared" si="13"/>
        <v>10</v>
      </c>
      <c r="AA84" s="14">
        <f t="shared" si="13"/>
        <v>7</v>
      </c>
      <c r="AB84" s="14">
        <f t="shared" si="13"/>
        <v>7</v>
      </c>
      <c r="AC84" s="14">
        <f t="shared" si="13"/>
        <v>1</v>
      </c>
      <c r="AD84" s="14">
        <f t="shared" si="13"/>
        <v>2</v>
      </c>
      <c r="AE84" s="14">
        <f t="shared" si="13"/>
        <v>5</v>
      </c>
      <c r="AF84" s="14">
        <f t="shared" si="13"/>
        <v>0</v>
      </c>
      <c r="AG84" s="15">
        <f t="shared" si="5"/>
        <v>234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0</v>
      </c>
      <c r="C85" s="69">
        <v>2</v>
      </c>
      <c r="D85" s="69">
        <v>8</v>
      </c>
      <c r="E85" s="69">
        <v>2</v>
      </c>
      <c r="F85" s="69">
        <v>1</v>
      </c>
      <c r="G85" s="69">
        <v>1</v>
      </c>
      <c r="H85" s="69">
        <v>5</v>
      </c>
      <c r="I85" s="69">
        <v>1</v>
      </c>
      <c r="J85" s="69">
        <v>3</v>
      </c>
      <c r="K85" s="69">
        <v>4</v>
      </c>
      <c r="L85" s="69">
        <v>1</v>
      </c>
      <c r="M85" s="69">
        <v>1</v>
      </c>
      <c r="N85" s="69">
        <v>2</v>
      </c>
      <c r="O85" s="69">
        <v>2</v>
      </c>
      <c r="P85" s="69">
        <v>0</v>
      </c>
      <c r="Q85" s="69">
        <v>1</v>
      </c>
      <c r="R85" s="69">
        <v>2</v>
      </c>
      <c r="S85" s="69">
        <v>0</v>
      </c>
      <c r="T85" s="69">
        <v>2</v>
      </c>
      <c r="U85" s="69">
        <v>0</v>
      </c>
      <c r="V85" s="69">
        <v>1</v>
      </c>
      <c r="W85" s="69">
        <v>0</v>
      </c>
      <c r="X85" s="69">
        <v>1</v>
      </c>
      <c r="Y85" s="69">
        <v>0</v>
      </c>
      <c r="Z85" s="69">
        <v>0</v>
      </c>
      <c r="AA85" s="69">
        <v>1</v>
      </c>
      <c r="AB85" s="69">
        <v>0</v>
      </c>
      <c r="AC85" s="69">
        <v>0</v>
      </c>
      <c r="AD85" s="69">
        <v>0</v>
      </c>
      <c r="AE85" s="69">
        <v>0</v>
      </c>
      <c r="AF85" s="69"/>
      <c r="AG85" s="16">
        <f t="shared" si="5"/>
        <v>41</v>
      </c>
    </row>
    <row r="86" spans="1:34" ht="15.75" customHeight="1" thickBot="1" x14ac:dyDescent="0.3">
      <c r="A86" s="70" t="s">
        <v>35</v>
      </c>
      <c r="B86" s="71">
        <v>0</v>
      </c>
      <c r="C86" s="71">
        <v>4</v>
      </c>
      <c r="D86" s="71">
        <v>29</v>
      </c>
      <c r="E86" s="71">
        <v>8</v>
      </c>
      <c r="F86" s="71">
        <v>3</v>
      </c>
      <c r="G86" s="71">
        <v>11</v>
      </c>
      <c r="H86" s="71">
        <v>11</v>
      </c>
      <c r="I86" s="71">
        <v>2</v>
      </c>
      <c r="J86" s="71">
        <v>3</v>
      </c>
      <c r="K86" s="71">
        <v>12</v>
      </c>
      <c r="L86" s="71">
        <v>4</v>
      </c>
      <c r="M86" s="71">
        <v>6</v>
      </c>
      <c r="N86" s="71">
        <v>2</v>
      </c>
      <c r="O86" s="71">
        <v>14</v>
      </c>
      <c r="P86" s="71">
        <v>1</v>
      </c>
      <c r="Q86" s="71">
        <v>5</v>
      </c>
      <c r="R86" s="71">
        <v>5</v>
      </c>
      <c r="S86" s="71">
        <v>9</v>
      </c>
      <c r="T86" s="71">
        <v>3</v>
      </c>
      <c r="U86" s="71">
        <v>0</v>
      </c>
      <c r="V86" s="71">
        <v>6</v>
      </c>
      <c r="W86" s="71">
        <v>2</v>
      </c>
      <c r="X86" s="71">
        <v>20</v>
      </c>
      <c r="Y86" s="71">
        <v>2</v>
      </c>
      <c r="Z86" s="71">
        <v>10</v>
      </c>
      <c r="AA86" s="71">
        <v>6</v>
      </c>
      <c r="AB86" s="71">
        <v>7</v>
      </c>
      <c r="AC86" s="71">
        <v>1</v>
      </c>
      <c r="AD86" s="71">
        <v>2</v>
      </c>
      <c r="AE86" s="71">
        <v>5</v>
      </c>
      <c r="AF86" s="71"/>
      <c r="AG86" s="17">
        <f t="shared" si="5"/>
        <v>193</v>
      </c>
    </row>
    <row r="87" spans="1:34" ht="15.75" customHeight="1" thickBot="1" x14ac:dyDescent="0.3">
      <c r="A87" s="72" t="s">
        <v>36</v>
      </c>
      <c r="B87" s="18">
        <f t="shared" ref="B87:AF87" si="14">SUM(B88:B92)</f>
        <v>0</v>
      </c>
      <c r="C87" s="18">
        <f t="shared" si="14"/>
        <v>6</v>
      </c>
      <c r="D87" s="18">
        <f t="shared" si="14"/>
        <v>37</v>
      </c>
      <c r="E87" s="18">
        <f t="shared" si="14"/>
        <v>10</v>
      </c>
      <c r="F87" s="18">
        <f t="shared" si="14"/>
        <v>4</v>
      </c>
      <c r="G87" s="18">
        <f t="shared" si="14"/>
        <v>12</v>
      </c>
      <c r="H87" s="18">
        <f t="shared" si="14"/>
        <v>16</v>
      </c>
      <c r="I87" s="18">
        <f t="shared" si="14"/>
        <v>3</v>
      </c>
      <c r="J87" s="18">
        <f t="shared" si="14"/>
        <v>6</v>
      </c>
      <c r="K87" s="18">
        <f t="shared" si="14"/>
        <v>16</v>
      </c>
      <c r="L87" s="18">
        <f t="shared" si="14"/>
        <v>5</v>
      </c>
      <c r="M87" s="18">
        <f t="shared" si="14"/>
        <v>7</v>
      </c>
      <c r="N87" s="18">
        <f t="shared" si="14"/>
        <v>4</v>
      </c>
      <c r="O87" s="18">
        <f t="shared" si="14"/>
        <v>16</v>
      </c>
      <c r="P87" s="18">
        <f t="shared" si="14"/>
        <v>1</v>
      </c>
      <c r="Q87" s="18">
        <f t="shared" si="14"/>
        <v>6</v>
      </c>
      <c r="R87" s="18">
        <f t="shared" si="14"/>
        <v>7</v>
      </c>
      <c r="S87" s="18">
        <f t="shared" si="14"/>
        <v>9</v>
      </c>
      <c r="T87" s="18">
        <f t="shared" si="14"/>
        <v>5</v>
      </c>
      <c r="U87" s="18">
        <f t="shared" si="14"/>
        <v>0</v>
      </c>
      <c r="V87" s="18">
        <f t="shared" si="14"/>
        <v>7</v>
      </c>
      <c r="W87" s="18">
        <f t="shared" si="14"/>
        <v>2</v>
      </c>
      <c r="X87" s="18">
        <f t="shared" si="14"/>
        <v>21</v>
      </c>
      <c r="Y87" s="18">
        <f t="shared" si="14"/>
        <v>2</v>
      </c>
      <c r="Z87" s="18">
        <f t="shared" si="14"/>
        <v>10</v>
      </c>
      <c r="AA87" s="18">
        <f t="shared" si="14"/>
        <v>7</v>
      </c>
      <c r="AB87" s="18">
        <f t="shared" si="14"/>
        <v>7</v>
      </c>
      <c r="AC87" s="18">
        <f t="shared" si="14"/>
        <v>1</v>
      </c>
      <c r="AD87" s="18">
        <f t="shared" si="14"/>
        <v>2</v>
      </c>
      <c r="AE87" s="18">
        <f t="shared" si="14"/>
        <v>5</v>
      </c>
      <c r="AF87" s="18">
        <f t="shared" si="14"/>
        <v>0</v>
      </c>
      <c r="AG87" s="19">
        <f t="shared" si="5"/>
        <v>234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0</v>
      </c>
      <c r="C88" s="60">
        <v>4</v>
      </c>
      <c r="D88" s="60">
        <v>9</v>
      </c>
      <c r="E88" s="60">
        <v>4</v>
      </c>
      <c r="F88" s="60">
        <v>3</v>
      </c>
      <c r="G88" s="60">
        <v>4</v>
      </c>
      <c r="H88" s="60">
        <v>5</v>
      </c>
      <c r="I88" s="60">
        <v>2</v>
      </c>
      <c r="J88" s="60">
        <v>6</v>
      </c>
      <c r="K88" s="60">
        <v>4</v>
      </c>
      <c r="L88" s="60">
        <v>4</v>
      </c>
      <c r="M88" s="60">
        <v>5</v>
      </c>
      <c r="N88" s="60">
        <v>4</v>
      </c>
      <c r="O88" s="60">
        <v>5</v>
      </c>
      <c r="P88" s="60">
        <v>1</v>
      </c>
      <c r="Q88" s="60">
        <v>3</v>
      </c>
      <c r="R88" s="60">
        <v>6</v>
      </c>
      <c r="S88" s="60">
        <v>4</v>
      </c>
      <c r="T88" s="60">
        <v>4</v>
      </c>
      <c r="U88" s="60">
        <v>0</v>
      </c>
      <c r="V88" s="60">
        <v>4</v>
      </c>
      <c r="W88" s="60">
        <v>2</v>
      </c>
      <c r="X88" s="60">
        <v>4</v>
      </c>
      <c r="Y88" s="60">
        <v>0</v>
      </c>
      <c r="Z88" s="60">
        <v>3</v>
      </c>
      <c r="AA88" s="60">
        <v>5</v>
      </c>
      <c r="AB88" s="60">
        <v>4</v>
      </c>
      <c r="AC88" s="60">
        <v>1</v>
      </c>
      <c r="AD88" s="60">
        <v>2</v>
      </c>
      <c r="AE88" s="60">
        <v>2</v>
      </c>
      <c r="AF88" s="60"/>
      <c r="AG88" s="4">
        <f t="shared" si="5"/>
        <v>104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/>
      <c r="AG89" s="5">
        <f t="shared" si="5"/>
        <v>0</v>
      </c>
    </row>
    <row r="90" spans="1:34" ht="15.75" customHeight="1" x14ac:dyDescent="0.25">
      <c r="A90" s="74" t="s">
        <v>39</v>
      </c>
      <c r="B90" s="60">
        <v>0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60">
        <v>0</v>
      </c>
      <c r="I90" s="60">
        <v>0</v>
      </c>
      <c r="J90" s="60">
        <v>0</v>
      </c>
      <c r="K90" s="60">
        <v>2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2</v>
      </c>
      <c r="AA90" s="60">
        <v>1</v>
      </c>
      <c r="AB90" s="60">
        <v>0</v>
      </c>
      <c r="AC90" s="60">
        <v>0</v>
      </c>
      <c r="AD90" s="60">
        <v>0</v>
      </c>
      <c r="AE90" s="60">
        <v>0</v>
      </c>
      <c r="AF90" s="60"/>
      <c r="AG90" s="5">
        <f t="shared" si="5"/>
        <v>5</v>
      </c>
    </row>
    <row r="91" spans="1:34" ht="15.75" customHeight="1" x14ac:dyDescent="0.25">
      <c r="A91" s="74" t="s">
        <v>40</v>
      </c>
      <c r="B91" s="60">
        <v>0</v>
      </c>
      <c r="C91" s="60">
        <v>2</v>
      </c>
      <c r="D91" s="60">
        <v>20</v>
      </c>
      <c r="E91" s="60">
        <v>6</v>
      </c>
      <c r="F91" s="60">
        <v>1</v>
      </c>
      <c r="G91" s="60">
        <v>6</v>
      </c>
      <c r="H91" s="60">
        <v>7</v>
      </c>
      <c r="I91" s="60">
        <v>0</v>
      </c>
      <c r="J91" s="60">
        <v>0</v>
      </c>
      <c r="K91" s="60">
        <v>5</v>
      </c>
      <c r="L91" s="60">
        <v>0</v>
      </c>
      <c r="M91" s="60">
        <v>0</v>
      </c>
      <c r="N91" s="60">
        <v>0</v>
      </c>
      <c r="O91" s="60">
        <v>4</v>
      </c>
      <c r="P91" s="60">
        <v>0</v>
      </c>
      <c r="Q91" s="60">
        <v>2</v>
      </c>
      <c r="R91" s="60">
        <v>0</v>
      </c>
      <c r="S91" s="60">
        <v>5</v>
      </c>
      <c r="T91" s="60">
        <v>1</v>
      </c>
      <c r="U91" s="60">
        <v>0</v>
      </c>
      <c r="V91" s="60">
        <v>3</v>
      </c>
      <c r="W91" s="60">
        <v>0</v>
      </c>
      <c r="X91" s="60">
        <v>12</v>
      </c>
      <c r="Y91" s="60">
        <v>1</v>
      </c>
      <c r="Z91" s="60">
        <v>4</v>
      </c>
      <c r="AA91" s="60">
        <v>0</v>
      </c>
      <c r="AB91" s="60">
        <v>2</v>
      </c>
      <c r="AC91" s="60">
        <v>0</v>
      </c>
      <c r="AD91" s="60">
        <v>0</v>
      </c>
      <c r="AE91" s="60">
        <v>2</v>
      </c>
      <c r="AF91" s="60"/>
      <c r="AG91" s="5">
        <f t="shared" si="5"/>
        <v>83</v>
      </c>
    </row>
    <row r="92" spans="1:34" ht="15.75" customHeight="1" thickBot="1" x14ac:dyDescent="0.3">
      <c r="A92" s="74" t="s">
        <v>41</v>
      </c>
      <c r="B92" s="60">
        <v>0</v>
      </c>
      <c r="C92" s="60">
        <v>0</v>
      </c>
      <c r="D92" s="60">
        <v>8</v>
      </c>
      <c r="E92" s="60">
        <v>0</v>
      </c>
      <c r="F92" s="60">
        <v>0</v>
      </c>
      <c r="G92" s="60">
        <v>2</v>
      </c>
      <c r="H92" s="60">
        <v>4</v>
      </c>
      <c r="I92" s="60">
        <v>1</v>
      </c>
      <c r="J92" s="60">
        <v>0</v>
      </c>
      <c r="K92" s="60">
        <v>5</v>
      </c>
      <c r="L92" s="60">
        <v>1</v>
      </c>
      <c r="M92" s="60">
        <v>2</v>
      </c>
      <c r="N92" s="60">
        <v>0</v>
      </c>
      <c r="O92" s="60">
        <v>7</v>
      </c>
      <c r="P92" s="60">
        <v>0</v>
      </c>
      <c r="Q92" s="60">
        <v>1</v>
      </c>
      <c r="R92" s="60">
        <v>1</v>
      </c>
      <c r="S92" s="60">
        <v>0</v>
      </c>
      <c r="T92" s="60">
        <v>0</v>
      </c>
      <c r="U92" s="60">
        <v>0</v>
      </c>
      <c r="V92" s="60">
        <v>0</v>
      </c>
      <c r="W92" s="60">
        <v>0</v>
      </c>
      <c r="X92" s="60">
        <v>5</v>
      </c>
      <c r="Y92" s="60">
        <v>1</v>
      </c>
      <c r="Z92" s="60">
        <v>1</v>
      </c>
      <c r="AA92" s="60">
        <v>1</v>
      </c>
      <c r="AB92" s="60">
        <v>1</v>
      </c>
      <c r="AC92" s="60">
        <v>0</v>
      </c>
      <c r="AD92" s="60">
        <v>0</v>
      </c>
      <c r="AE92" s="60">
        <v>1</v>
      </c>
      <c r="AF92" s="60"/>
      <c r="AG92" s="5">
        <f t="shared" si="5"/>
        <v>42</v>
      </c>
    </row>
    <row r="93" spans="1:34" ht="15.75" customHeight="1" x14ac:dyDescent="0.25">
      <c r="A93" s="75" t="s">
        <v>42</v>
      </c>
      <c r="B93" s="20">
        <f t="shared" ref="B93:AF93" si="15">+B94+B100</f>
        <v>170</v>
      </c>
      <c r="C93" s="20">
        <f t="shared" si="15"/>
        <v>162</v>
      </c>
      <c r="D93" s="20">
        <f t="shared" si="15"/>
        <v>212</v>
      </c>
      <c r="E93" s="20">
        <f t="shared" si="15"/>
        <v>192</v>
      </c>
      <c r="F93" s="20">
        <f t="shared" si="15"/>
        <v>146</v>
      </c>
      <c r="G93" s="20">
        <f t="shared" si="15"/>
        <v>181</v>
      </c>
      <c r="H93" s="20">
        <f t="shared" si="15"/>
        <v>190</v>
      </c>
      <c r="I93" s="20">
        <f t="shared" si="15"/>
        <v>149</v>
      </c>
      <c r="J93" s="20">
        <f t="shared" si="15"/>
        <v>153</v>
      </c>
      <c r="K93" s="20">
        <f t="shared" si="15"/>
        <v>182</v>
      </c>
      <c r="L93" s="20">
        <f t="shared" si="15"/>
        <v>147</v>
      </c>
      <c r="M93" s="20">
        <f t="shared" si="15"/>
        <v>141</v>
      </c>
      <c r="N93" s="20">
        <f t="shared" si="15"/>
        <v>124</v>
      </c>
      <c r="O93" s="20">
        <f t="shared" si="15"/>
        <v>109</v>
      </c>
      <c r="P93" s="20">
        <f t="shared" si="15"/>
        <v>122</v>
      </c>
      <c r="Q93" s="20">
        <f t="shared" si="15"/>
        <v>144</v>
      </c>
      <c r="R93" s="20">
        <f t="shared" si="15"/>
        <v>130</v>
      </c>
      <c r="S93" s="20">
        <f t="shared" si="15"/>
        <v>141</v>
      </c>
      <c r="T93" s="20">
        <f t="shared" si="15"/>
        <v>147</v>
      </c>
      <c r="U93" s="20">
        <f t="shared" si="15"/>
        <v>106</v>
      </c>
      <c r="V93" s="20">
        <f t="shared" si="15"/>
        <v>140</v>
      </c>
      <c r="W93" s="20">
        <f t="shared" si="15"/>
        <v>127</v>
      </c>
      <c r="X93" s="20">
        <f t="shared" si="15"/>
        <v>121</v>
      </c>
      <c r="Y93" s="20">
        <f t="shared" si="15"/>
        <v>162</v>
      </c>
      <c r="Z93" s="20">
        <f t="shared" si="15"/>
        <v>125</v>
      </c>
      <c r="AA93" s="20">
        <f t="shared" si="15"/>
        <v>132</v>
      </c>
      <c r="AB93" s="20">
        <f t="shared" si="15"/>
        <v>143</v>
      </c>
      <c r="AC93" s="20">
        <f t="shared" si="15"/>
        <v>134</v>
      </c>
      <c r="AD93" s="20">
        <f t="shared" si="15"/>
        <v>129</v>
      </c>
      <c r="AE93" s="20">
        <f t="shared" si="15"/>
        <v>142</v>
      </c>
      <c r="AF93" s="20">
        <f t="shared" si="15"/>
        <v>0</v>
      </c>
      <c r="AG93" s="5">
        <f t="shared" si="5"/>
        <v>4403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17</v>
      </c>
      <c r="C94" s="21">
        <f t="shared" si="16"/>
        <v>22</v>
      </c>
      <c r="D94" s="21">
        <f t="shared" si="16"/>
        <v>34</v>
      </c>
      <c r="E94" s="21">
        <f t="shared" si="16"/>
        <v>33</v>
      </c>
      <c r="F94" s="21">
        <f t="shared" si="16"/>
        <v>24</v>
      </c>
      <c r="G94" s="21">
        <f t="shared" si="16"/>
        <v>24</v>
      </c>
      <c r="H94" s="21">
        <f t="shared" si="16"/>
        <v>21</v>
      </c>
      <c r="I94" s="21">
        <f t="shared" si="16"/>
        <v>23</v>
      </c>
      <c r="J94" s="21">
        <f t="shared" si="16"/>
        <v>23</v>
      </c>
      <c r="K94" s="21">
        <f t="shared" si="16"/>
        <v>32</v>
      </c>
      <c r="L94" s="21">
        <f t="shared" si="16"/>
        <v>28</v>
      </c>
      <c r="M94" s="21">
        <f t="shared" si="16"/>
        <v>19</v>
      </c>
      <c r="N94" s="21">
        <f t="shared" si="16"/>
        <v>17</v>
      </c>
      <c r="O94" s="21">
        <f t="shared" si="16"/>
        <v>15</v>
      </c>
      <c r="P94" s="21">
        <f t="shared" si="16"/>
        <v>17</v>
      </c>
      <c r="Q94" s="21">
        <f t="shared" si="16"/>
        <v>17</v>
      </c>
      <c r="R94" s="21">
        <f t="shared" si="16"/>
        <v>13</v>
      </c>
      <c r="S94" s="21">
        <f t="shared" si="16"/>
        <v>17</v>
      </c>
      <c r="T94" s="21">
        <f t="shared" si="16"/>
        <v>18</v>
      </c>
      <c r="U94" s="21">
        <f t="shared" si="16"/>
        <v>9</v>
      </c>
      <c r="V94" s="21">
        <f t="shared" si="16"/>
        <v>22</v>
      </c>
      <c r="W94" s="21">
        <f t="shared" si="16"/>
        <v>17</v>
      </c>
      <c r="X94" s="21">
        <f t="shared" si="16"/>
        <v>21</v>
      </c>
      <c r="Y94" s="21">
        <f t="shared" si="16"/>
        <v>16</v>
      </c>
      <c r="Z94" s="21">
        <f t="shared" si="16"/>
        <v>12</v>
      </c>
      <c r="AA94" s="21">
        <f t="shared" si="16"/>
        <v>13</v>
      </c>
      <c r="AB94" s="21">
        <f t="shared" si="16"/>
        <v>14</v>
      </c>
      <c r="AC94" s="21">
        <f t="shared" si="16"/>
        <v>6</v>
      </c>
      <c r="AD94" s="21">
        <f t="shared" si="16"/>
        <v>17</v>
      </c>
      <c r="AE94" s="21">
        <f t="shared" si="16"/>
        <v>17</v>
      </c>
      <c r="AF94" s="21">
        <f t="shared" si="16"/>
        <v>0</v>
      </c>
      <c r="AG94" s="5">
        <f t="shared" si="5"/>
        <v>578</v>
      </c>
    </row>
    <row r="95" spans="1:34" ht="15.75" customHeight="1" x14ac:dyDescent="0.25">
      <c r="A95" s="78" t="s">
        <v>44</v>
      </c>
      <c r="B95" s="54">
        <v>1</v>
      </c>
      <c r="C95" s="54">
        <v>0</v>
      </c>
      <c r="D95" s="54">
        <v>1</v>
      </c>
      <c r="E95" s="54">
        <v>2</v>
      </c>
      <c r="F95" s="54">
        <v>0</v>
      </c>
      <c r="G95" s="54">
        <v>0</v>
      </c>
      <c r="H95" s="54">
        <v>1</v>
      </c>
      <c r="I95" s="54">
        <v>0</v>
      </c>
      <c r="J95" s="54">
        <v>0</v>
      </c>
      <c r="K95" s="54">
        <v>0</v>
      </c>
      <c r="L95" s="54">
        <v>0</v>
      </c>
      <c r="M95" s="54">
        <v>1</v>
      </c>
      <c r="N95" s="54">
        <v>0</v>
      </c>
      <c r="O95" s="54">
        <v>1</v>
      </c>
      <c r="P95" s="54">
        <v>0</v>
      </c>
      <c r="Q95" s="54">
        <v>0</v>
      </c>
      <c r="R95" s="54">
        <v>0</v>
      </c>
      <c r="S95" s="54">
        <v>0</v>
      </c>
      <c r="T95" s="54">
        <v>1</v>
      </c>
      <c r="U95" s="54">
        <v>0</v>
      </c>
      <c r="V95" s="54">
        <v>0</v>
      </c>
      <c r="W95" s="54">
        <v>0</v>
      </c>
      <c r="X95" s="54">
        <v>0</v>
      </c>
      <c r="Y95" s="54">
        <v>1</v>
      </c>
      <c r="Z95" s="54">
        <v>1</v>
      </c>
      <c r="AA95" s="54">
        <v>0</v>
      </c>
      <c r="AB95" s="54">
        <v>0</v>
      </c>
      <c r="AC95" s="54">
        <v>0</v>
      </c>
      <c r="AD95" s="54">
        <v>0</v>
      </c>
      <c r="AE95" s="54">
        <v>0</v>
      </c>
      <c r="AF95" s="54"/>
      <c r="AG95" s="5">
        <f t="shared" si="5"/>
        <v>10</v>
      </c>
    </row>
    <row r="96" spans="1:34" ht="15.75" customHeight="1" x14ac:dyDescent="0.25">
      <c r="A96" s="79" t="s">
        <v>45</v>
      </c>
      <c r="B96" s="54">
        <v>1</v>
      </c>
      <c r="C96" s="54">
        <v>2</v>
      </c>
      <c r="D96" s="54">
        <v>1</v>
      </c>
      <c r="E96" s="54">
        <v>2</v>
      </c>
      <c r="F96" s="54">
        <v>0</v>
      </c>
      <c r="G96" s="54">
        <v>3</v>
      </c>
      <c r="H96" s="54">
        <v>0</v>
      </c>
      <c r="I96" s="54">
        <v>1</v>
      </c>
      <c r="J96" s="54">
        <v>2</v>
      </c>
      <c r="K96" s="54">
        <v>1</v>
      </c>
      <c r="L96" s="54">
        <v>0</v>
      </c>
      <c r="M96" s="54">
        <v>0</v>
      </c>
      <c r="N96" s="54">
        <v>1</v>
      </c>
      <c r="O96" s="54">
        <v>2</v>
      </c>
      <c r="P96" s="54">
        <v>0</v>
      </c>
      <c r="Q96" s="54">
        <v>1</v>
      </c>
      <c r="R96" s="54">
        <v>2</v>
      </c>
      <c r="S96" s="54">
        <v>0</v>
      </c>
      <c r="T96" s="54">
        <v>0</v>
      </c>
      <c r="U96" s="54">
        <v>0</v>
      </c>
      <c r="V96" s="54">
        <v>1</v>
      </c>
      <c r="W96" s="54">
        <v>1</v>
      </c>
      <c r="X96" s="54">
        <v>0</v>
      </c>
      <c r="Y96" s="54">
        <v>1</v>
      </c>
      <c r="Z96" s="54">
        <v>1</v>
      </c>
      <c r="AA96" s="54">
        <v>1</v>
      </c>
      <c r="AB96" s="54">
        <v>0</v>
      </c>
      <c r="AC96" s="54">
        <v>1</v>
      </c>
      <c r="AD96" s="54">
        <v>2</v>
      </c>
      <c r="AE96" s="54">
        <v>2</v>
      </c>
      <c r="AF96" s="54"/>
      <c r="AG96" s="5">
        <f t="shared" si="5"/>
        <v>29</v>
      </c>
    </row>
    <row r="97" spans="1:33" ht="15.75" customHeight="1" x14ac:dyDescent="0.25">
      <c r="A97" s="80" t="s">
        <v>46</v>
      </c>
      <c r="B97" s="54">
        <v>1</v>
      </c>
      <c r="C97" s="54">
        <v>4</v>
      </c>
      <c r="D97" s="54">
        <v>4</v>
      </c>
      <c r="E97" s="54">
        <v>8</v>
      </c>
      <c r="F97" s="54">
        <v>7</v>
      </c>
      <c r="G97" s="54">
        <v>5</v>
      </c>
      <c r="H97" s="54">
        <v>4</v>
      </c>
      <c r="I97" s="54">
        <v>6</v>
      </c>
      <c r="J97" s="54">
        <v>5</v>
      </c>
      <c r="K97" s="54">
        <v>4</v>
      </c>
      <c r="L97" s="54">
        <v>7</v>
      </c>
      <c r="M97" s="54">
        <v>3</v>
      </c>
      <c r="N97" s="54">
        <v>7</v>
      </c>
      <c r="O97" s="54">
        <v>5</v>
      </c>
      <c r="P97" s="54">
        <v>6</v>
      </c>
      <c r="Q97" s="54">
        <v>5</v>
      </c>
      <c r="R97" s="54">
        <v>2</v>
      </c>
      <c r="S97" s="54">
        <v>5</v>
      </c>
      <c r="T97" s="54">
        <v>3</v>
      </c>
      <c r="U97" s="54">
        <v>3</v>
      </c>
      <c r="V97" s="54">
        <v>7</v>
      </c>
      <c r="W97" s="54">
        <v>4</v>
      </c>
      <c r="X97" s="54">
        <v>4</v>
      </c>
      <c r="Y97" s="54">
        <v>3</v>
      </c>
      <c r="Z97" s="54">
        <v>6</v>
      </c>
      <c r="AA97" s="54">
        <v>6</v>
      </c>
      <c r="AB97" s="54">
        <v>2</v>
      </c>
      <c r="AC97" s="54">
        <v>1</v>
      </c>
      <c r="AD97" s="54">
        <v>1</v>
      </c>
      <c r="AE97" s="54">
        <v>6</v>
      </c>
      <c r="AF97" s="54"/>
      <c r="AG97" s="5">
        <f t="shared" si="5"/>
        <v>134</v>
      </c>
    </row>
    <row r="98" spans="1:33" ht="15.75" customHeight="1" x14ac:dyDescent="0.25">
      <c r="A98" s="81" t="s">
        <v>47</v>
      </c>
      <c r="B98" s="54">
        <v>8</v>
      </c>
      <c r="C98" s="54">
        <v>10</v>
      </c>
      <c r="D98" s="54">
        <v>13</v>
      </c>
      <c r="E98" s="54">
        <v>13</v>
      </c>
      <c r="F98" s="54">
        <v>7</v>
      </c>
      <c r="G98" s="54">
        <v>7</v>
      </c>
      <c r="H98" s="54">
        <v>12</v>
      </c>
      <c r="I98" s="54">
        <v>9</v>
      </c>
      <c r="J98" s="54">
        <v>10</v>
      </c>
      <c r="K98" s="54">
        <v>9</v>
      </c>
      <c r="L98" s="54">
        <v>13</v>
      </c>
      <c r="M98" s="54">
        <v>8</v>
      </c>
      <c r="N98" s="54">
        <v>5</v>
      </c>
      <c r="O98" s="54">
        <v>3</v>
      </c>
      <c r="P98" s="54">
        <v>7</v>
      </c>
      <c r="Q98" s="54">
        <v>4</v>
      </c>
      <c r="R98" s="54">
        <v>2</v>
      </c>
      <c r="S98" s="54">
        <v>5</v>
      </c>
      <c r="T98" s="54">
        <v>6</v>
      </c>
      <c r="U98" s="54">
        <v>3</v>
      </c>
      <c r="V98" s="54">
        <v>6</v>
      </c>
      <c r="W98" s="54">
        <v>5</v>
      </c>
      <c r="X98" s="54">
        <v>5</v>
      </c>
      <c r="Y98" s="54">
        <v>8</v>
      </c>
      <c r="Z98" s="54">
        <v>2</v>
      </c>
      <c r="AA98" s="54">
        <v>4</v>
      </c>
      <c r="AB98" s="54">
        <v>6</v>
      </c>
      <c r="AC98" s="54">
        <v>2</v>
      </c>
      <c r="AD98" s="54">
        <v>8</v>
      </c>
      <c r="AE98" s="54">
        <v>4</v>
      </c>
      <c r="AF98" s="54"/>
      <c r="AG98" s="5">
        <f t="shared" si="5"/>
        <v>204</v>
      </c>
    </row>
    <row r="99" spans="1:33" ht="15.75" customHeight="1" x14ac:dyDescent="0.25">
      <c r="A99" s="82" t="s">
        <v>48</v>
      </c>
      <c r="B99" s="54">
        <v>6</v>
      </c>
      <c r="C99" s="54">
        <v>6</v>
      </c>
      <c r="D99" s="54">
        <v>15</v>
      </c>
      <c r="E99" s="54">
        <v>8</v>
      </c>
      <c r="F99" s="54">
        <v>10</v>
      </c>
      <c r="G99" s="54">
        <v>9</v>
      </c>
      <c r="H99" s="54">
        <v>4</v>
      </c>
      <c r="I99" s="54">
        <v>7</v>
      </c>
      <c r="J99" s="54">
        <v>6</v>
      </c>
      <c r="K99" s="54">
        <v>18</v>
      </c>
      <c r="L99" s="54">
        <v>8</v>
      </c>
      <c r="M99" s="54">
        <v>7</v>
      </c>
      <c r="N99" s="54">
        <v>4</v>
      </c>
      <c r="O99" s="54">
        <v>4</v>
      </c>
      <c r="P99" s="54">
        <v>4</v>
      </c>
      <c r="Q99" s="54">
        <v>7</v>
      </c>
      <c r="R99" s="54">
        <v>7</v>
      </c>
      <c r="S99" s="54">
        <v>7</v>
      </c>
      <c r="T99" s="54">
        <v>8</v>
      </c>
      <c r="U99" s="54">
        <v>3</v>
      </c>
      <c r="V99" s="54">
        <v>8</v>
      </c>
      <c r="W99" s="54">
        <v>7</v>
      </c>
      <c r="X99" s="54">
        <v>12</v>
      </c>
      <c r="Y99" s="54">
        <v>3</v>
      </c>
      <c r="Z99" s="54">
        <v>2</v>
      </c>
      <c r="AA99" s="54">
        <v>2</v>
      </c>
      <c r="AB99" s="54">
        <v>6</v>
      </c>
      <c r="AC99" s="54">
        <v>2</v>
      </c>
      <c r="AD99" s="54">
        <v>6</v>
      </c>
      <c r="AE99" s="54">
        <v>5</v>
      </c>
      <c r="AF99" s="54"/>
      <c r="AG99" s="5">
        <f t="shared" ref="AG99:AG162" si="17">SUM(B99:AF99)</f>
        <v>201</v>
      </c>
    </row>
    <row r="100" spans="1:33" ht="15.75" customHeight="1" x14ac:dyDescent="0.25">
      <c r="A100" s="76" t="s">
        <v>49</v>
      </c>
      <c r="B100" s="21">
        <f t="shared" ref="B100:AF100" si="18">SUM(B101:B115)</f>
        <v>153</v>
      </c>
      <c r="C100" s="21">
        <f t="shared" si="18"/>
        <v>140</v>
      </c>
      <c r="D100" s="21">
        <f t="shared" si="18"/>
        <v>178</v>
      </c>
      <c r="E100" s="21">
        <f t="shared" si="18"/>
        <v>159</v>
      </c>
      <c r="F100" s="21">
        <f t="shared" si="18"/>
        <v>122</v>
      </c>
      <c r="G100" s="21">
        <f t="shared" si="18"/>
        <v>157</v>
      </c>
      <c r="H100" s="21">
        <f t="shared" si="18"/>
        <v>169</v>
      </c>
      <c r="I100" s="21">
        <f t="shared" si="18"/>
        <v>126</v>
      </c>
      <c r="J100" s="21">
        <f t="shared" si="18"/>
        <v>130</v>
      </c>
      <c r="K100" s="21">
        <f t="shared" si="18"/>
        <v>150</v>
      </c>
      <c r="L100" s="21">
        <f t="shared" si="18"/>
        <v>119</v>
      </c>
      <c r="M100" s="21">
        <f t="shared" si="18"/>
        <v>122</v>
      </c>
      <c r="N100" s="21">
        <f t="shared" si="18"/>
        <v>107</v>
      </c>
      <c r="O100" s="21">
        <f t="shared" si="18"/>
        <v>94</v>
      </c>
      <c r="P100" s="21">
        <f t="shared" si="18"/>
        <v>105</v>
      </c>
      <c r="Q100" s="21">
        <f t="shared" si="18"/>
        <v>127</v>
      </c>
      <c r="R100" s="21">
        <f t="shared" si="18"/>
        <v>117</v>
      </c>
      <c r="S100" s="21">
        <f t="shared" si="18"/>
        <v>124</v>
      </c>
      <c r="T100" s="21">
        <f t="shared" si="18"/>
        <v>129</v>
      </c>
      <c r="U100" s="21">
        <f t="shared" si="18"/>
        <v>97</v>
      </c>
      <c r="V100" s="21">
        <f t="shared" si="18"/>
        <v>118</v>
      </c>
      <c r="W100" s="21">
        <f t="shared" si="18"/>
        <v>110</v>
      </c>
      <c r="X100" s="21">
        <f t="shared" si="18"/>
        <v>100</v>
      </c>
      <c r="Y100" s="21">
        <f t="shared" si="18"/>
        <v>146</v>
      </c>
      <c r="Z100" s="21">
        <f t="shared" si="18"/>
        <v>113</v>
      </c>
      <c r="AA100" s="21">
        <f t="shared" si="18"/>
        <v>119</v>
      </c>
      <c r="AB100" s="21">
        <f t="shared" si="18"/>
        <v>129</v>
      </c>
      <c r="AC100" s="21">
        <f t="shared" si="18"/>
        <v>128</v>
      </c>
      <c r="AD100" s="21">
        <f t="shared" si="18"/>
        <v>112</v>
      </c>
      <c r="AE100" s="21">
        <f t="shared" si="18"/>
        <v>125</v>
      </c>
      <c r="AF100" s="21">
        <f t="shared" si="18"/>
        <v>0</v>
      </c>
      <c r="AG100" s="5">
        <f t="shared" si="17"/>
        <v>3825</v>
      </c>
    </row>
    <row r="101" spans="1:33" ht="15.75" customHeight="1" x14ac:dyDescent="0.25">
      <c r="A101" s="82" t="s">
        <v>50</v>
      </c>
      <c r="B101" s="54">
        <v>10</v>
      </c>
      <c r="C101" s="54">
        <v>18</v>
      </c>
      <c r="D101" s="54">
        <v>23</v>
      </c>
      <c r="E101" s="54">
        <v>23</v>
      </c>
      <c r="F101" s="54">
        <v>8</v>
      </c>
      <c r="G101" s="54">
        <v>13</v>
      </c>
      <c r="H101" s="54">
        <v>9</v>
      </c>
      <c r="I101" s="54">
        <v>9</v>
      </c>
      <c r="J101" s="54">
        <v>7</v>
      </c>
      <c r="K101" s="54">
        <v>17</v>
      </c>
      <c r="L101" s="54">
        <v>9</v>
      </c>
      <c r="M101" s="54">
        <v>12</v>
      </c>
      <c r="N101" s="54">
        <v>9</v>
      </c>
      <c r="O101" s="54">
        <v>6</v>
      </c>
      <c r="P101" s="54">
        <v>8</v>
      </c>
      <c r="Q101" s="54">
        <v>10</v>
      </c>
      <c r="R101" s="54">
        <v>6</v>
      </c>
      <c r="S101" s="54">
        <v>8</v>
      </c>
      <c r="T101" s="54">
        <v>5</v>
      </c>
      <c r="U101" s="54">
        <v>9</v>
      </c>
      <c r="V101" s="54">
        <v>4</v>
      </c>
      <c r="W101" s="54">
        <v>7</v>
      </c>
      <c r="X101" s="54">
        <v>6</v>
      </c>
      <c r="Y101" s="54">
        <v>12</v>
      </c>
      <c r="Z101" s="54">
        <v>8</v>
      </c>
      <c r="AA101" s="54">
        <v>12</v>
      </c>
      <c r="AB101" s="54">
        <v>7</v>
      </c>
      <c r="AC101" s="54">
        <v>7</v>
      </c>
      <c r="AD101" s="54">
        <v>8</v>
      </c>
      <c r="AE101" s="54">
        <v>10</v>
      </c>
      <c r="AF101" s="54"/>
      <c r="AG101" s="5">
        <f t="shared" si="17"/>
        <v>300</v>
      </c>
    </row>
    <row r="102" spans="1:33" ht="15.75" customHeight="1" x14ac:dyDescent="0.25">
      <c r="A102" s="82" t="s">
        <v>51</v>
      </c>
      <c r="B102" s="54">
        <v>8</v>
      </c>
      <c r="C102" s="54">
        <v>10</v>
      </c>
      <c r="D102" s="54">
        <v>17</v>
      </c>
      <c r="E102" s="54">
        <v>18</v>
      </c>
      <c r="F102" s="54">
        <v>14</v>
      </c>
      <c r="G102" s="54">
        <v>9</v>
      </c>
      <c r="H102" s="54">
        <v>19</v>
      </c>
      <c r="I102" s="54">
        <v>8</v>
      </c>
      <c r="J102" s="54">
        <v>8</v>
      </c>
      <c r="K102" s="54">
        <v>13</v>
      </c>
      <c r="L102" s="54">
        <v>19</v>
      </c>
      <c r="M102" s="54">
        <v>9</v>
      </c>
      <c r="N102" s="54">
        <v>14</v>
      </c>
      <c r="O102" s="54">
        <v>10</v>
      </c>
      <c r="P102" s="54">
        <v>11</v>
      </c>
      <c r="Q102" s="54">
        <v>9</v>
      </c>
      <c r="R102" s="54">
        <v>9</v>
      </c>
      <c r="S102" s="54">
        <v>12</v>
      </c>
      <c r="T102" s="54">
        <v>14</v>
      </c>
      <c r="U102" s="54">
        <v>8</v>
      </c>
      <c r="V102" s="54">
        <v>9</v>
      </c>
      <c r="W102" s="54">
        <v>8</v>
      </c>
      <c r="X102" s="54">
        <v>12</v>
      </c>
      <c r="Y102" s="54">
        <v>11</v>
      </c>
      <c r="Z102" s="54">
        <v>12</v>
      </c>
      <c r="AA102" s="54">
        <v>15</v>
      </c>
      <c r="AB102" s="54">
        <v>21</v>
      </c>
      <c r="AC102" s="54">
        <v>13</v>
      </c>
      <c r="AD102" s="54">
        <v>10</v>
      </c>
      <c r="AE102" s="54">
        <v>8</v>
      </c>
      <c r="AF102" s="54"/>
      <c r="AG102" s="5">
        <f t="shared" si="17"/>
        <v>358</v>
      </c>
    </row>
    <row r="103" spans="1:33" ht="15.75" customHeight="1" x14ac:dyDescent="0.25">
      <c r="A103" s="78" t="s">
        <v>52</v>
      </c>
      <c r="B103" s="54">
        <v>16</v>
      </c>
      <c r="C103" s="54">
        <v>8</v>
      </c>
      <c r="D103" s="54">
        <v>22</v>
      </c>
      <c r="E103" s="54">
        <v>18</v>
      </c>
      <c r="F103" s="54">
        <v>12</v>
      </c>
      <c r="G103" s="54">
        <v>9</v>
      </c>
      <c r="H103" s="54">
        <v>18</v>
      </c>
      <c r="I103" s="54">
        <v>19</v>
      </c>
      <c r="J103" s="54">
        <v>11</v>
      </c>
      <c r="K103" s="54">
        <v>12</v>
      </c>
      <c r="L103" s="54">
        <v>12</v>
      </c>
      <c r="M103" s="54">
        <v>8</v>
      </c>
      <c r="N103" s="54">
        <v>10</v>
      </c>
      <c r="O103" s="54">
        <v>8</v>
      </c>
      <c r="P103" s="54">
        <v>10</v>
      </c>
      <c r="Q103" s="54">
        <v>6</v>
      </c>
      <c r="R103" s="54">
        <v>15</v>
      </c>
      <c r="S103" s="54">
        <v>14</v>
      </c>
      <c r="T103" s="54">
        <v>13</v>
      </c>
      <c r="U103" s="54">
        <v>10</v>
      </c>
      <c r="V103" s="54">
        <v>17</v>
      </c>
      <c r="W103" s="54">
        <v>7</v>
      </c>
      <c r="X103" s="54">
        <v>8</v>
      </c>
      <c r="Y103" s="54">
        <v>11</v>
      </c>
      <c r="Z103" s="54">
        <v>8</v>
      </c>
      <c r="AA103" s="54">
        <v>15</v>
      </c>
      <c r="AB103" s="54">
        <v>8</v>
      </c>
      <c r="AC103" s="54">
        <v>8</v>
      </c>
      <c r="AD103" s="54">
        <v>11</v>
      </c>
      <c r="AE103" s="54">
        <v>17</v>
      </c>
      <c r="AF103" s="54"/>
      <c r="AG103" s="5">
        <f t="shared" si="17"/>
        <v>361</v>
      </c>
    </row>
    <row r="104" spans="1:33" ht="15.75" customHeight="1" x14ac:dyDescent="0.25">
      <c r="A104" s="78" t="s">
        <v>53</v>
      </c>
      <c r="B104" s="54">
        <v>15</v>
      </c>
      <c r="C104" s="54">
        <v>12</v>
      </c>
      <c r="D104" s="54">
        <v>14</v>
      </c>
      <c r="E104" s="54">
        <v>13</v>
      </c>
      <c r="F104" s="54">
        <v>7</v>
      </c>
      <c r="G104" s="54">
        <v>19</v>
      </c>
      <c r="H104" s="54">
        <v>8</v>
      </c>
      <c r="I104" s="54">
        <v>8</v>
      </c>
      <c r="J104" s="54">
        <v>9</v>
      </c>
      <c r="K104" s="54">
        <v>10</v>
      </c>
      <c r="L104" s="54">
        <v>9</v>
      </c>
      <c r="M104" s="54">
        <v>16</v>
      </c>
      <c r="N104" s="54">
        <v>9</v>
      </c>
      <c r="O104" s="54">
        <v>5</v>
      </c>
      <c r="P104" s="54">
        <v>7</v>
      </c>
      <c r="Q104" s="54">
        <v>9</v>
      </c>
      <c r="R104" s="54">
        <v>8</v>
      </c>
      <c r="S104" s="54">
        <v>8</v>
      </c>
      <c r="T104" s="54">
        <v>14</v>
      </c>
      <c r="U104" s="54">
        <v>9</v>
      </c>
      <c r="V104" s="54">
        <v>10</v>
      </c>
      <c r="W104" s="54">
        <v>11</v>
      </c>
      <c r="X104" s="54">
        <v>7</v>
      </c>
      <c r="Y104" s="54">
        <v>14</v>
      </c>
      <c r="Z104" s="54">
        <v>10</v>
      </c>
      <c r="AA104" s="54">
        <v>8</v>
      </c>
      <c r="AB104" s="54">
        <v>11</v>
      </c>
      <c r="AC104" s="54">
        <v>9</v>
      </c>
      <c r="AD104" s="54">
        <v>16</v>
      </c>
      <c r="AE104" s="54">
        <v>8</v>
      </c>
      <c r="AF104" s="54"/>
      <c r="AG104" s="5">
        <f t="shared" si="17"/>
        <v>313</v>
      </c>
    </row>
    <row r="105" spans="1:33" ht="15.75" customHeight="1" x14ac:dyDescent="0.25">
      <c r="A105" s="78" t="s">
        <v>54</v>
      </c>
      <c r="B105" s="54">
        <v>14</v>
      </c>
      <c r="C105" s="54">
        <v>8</v>
      </c>
      <c r="D105" s="54">
        <v>12</v>
      </c>
      <c r="E105" s="54">
        <v>11</v>
      </c>
      <c r="F105" s="54">
        <v>11</v>
      </c>
      <c r="G105" s="54">
        <v>13</v>
      </c>
      <c r="H105" s="54">
        <v>14</v>
      </c>
      <c r="I105" s="54">
        <v>14</v>
      </c>
      <c r="J105" s="54">
        <v>10</v>
      </c>
      <c r="K105" s="54">
        <v>16</v>
      </c>
      <c r="L105" s="54">
        <v>6</v>
      </c>
      <c r="M105" s="54">
        <v>11</v>
      </c>
      <c r="N105" s="54">
        <v>11</v>
      </c>
      <c r="O105" s="54">
        <v>8</v>
      </c>
      <c r="P105" s="54">
        <v>7</v>
      </c>
      <c r="Q105" s="54">
        <v>15</v>
      </c>
      <c r="R105" s="54">
        <v>7</v>
      </c>
      <c r="S105" s="54">
        <v>13</v>
      </c>
      <c r="T105" s="54">
        <v>15</v>
      </c>
      <c r="U105" s="54">
        <v>14</v>
      </c>
      <c r="V105" s="54">
        <v>4</v>
      </c>
      <c r="W105" s="54">
        <v>13</v>
      </c>
      <c r="X105" s="54">
        <v>4</v>
      </c>
      <c r="Y105" s="54">
        <v>8</v>
      </c>
      <c r="Z105" s="54">
        <v>8</v>
      </c>
      <c r="AA105" s="54">
        <v>7</v>
      </c>
      <c r="AB105" s="54">
        <v>10</v>
      </c>
      <c r="AC105" s="54">
        <v>10</v>
      </c>
      <c r="AD105" s="54">
        <v>7</v>
      </c>
      <c r="AE105" s="54">
        <v>11</v>
      </c>
      <c r="AF105" s="54"/>
      <c r="AG105" s="5">
        <f t="shared" si="17"/>
        <v>312</v>
      </c>
    </row>
    <row r="106" spans="1:33" ht="15.75" customHeight="1" x14ac:dyDescent="0.25">
      <c r="A106" s="78" t="s">
        <v>55</v>
      </c>
      <c r="B106" s="54">
        <v>13</v>
      </c>
      <c r="C106" s="54">
        <v>7</v>
      </c>
      <c r="D106" s="54">
        <v>14</v>
      </c>
      <c r="E106" s="54">
        <v>7</v>
      </c>
      <c r="F106" s="54">
        <v>8</v>
      </c>
      <c r="G106" s="54">
        <v>14</v>
      </c>
      <c r="H106" s="54">
        <v>14</v>
      </c>
      <c r="I106" s="54">
        <v>13</v>
      </c>
      <c r="J106" s="54">
        <v>8</v>
      </c>
      <c r="K106" s="54">
        <v>7</v>
      </c>
      <c r="L106" s="54">
        <v>5</v>
      </c>
      <c r="M106" s="54">
        <v>7</v>
      </c>
      <c r="N106" s="54">
        <v>6</v>
      </c>
      <c r="O106" s="54">
        <v>8</v>
      </c>
      <c r="P106" s="54">
        <v>11</v>
      </c>
      <c r="Q106" s="54">
        <v>10</v>
      </c>
      <c r="R106" s="54">
        <v>10</v>
      </c>
      <c r="S106" s="54">
        <v>12</v>
      </c>
      <c r="T106" s="54">
        <v>9</v>
      </c>
      <c r="U106" s="54">
        <v>9</v>
      </c>
      <c r="V106" s="54">
        <v>8</v>
      </c>
      <c r="W106" s="54">
        <v>7</v>
      </c>
      <c r="X106" s="54">
        <v>10</v>
      </c>
      <c r="Y106" s="54">
        <v>9</v>
      </c>
      <c r="Z106" s="54">
        <v>3</v>
      </c>
      <c r="AA106" s="54">
        <v>8</v>
      </c>
      <c r="AB106" s="54">
        <v>5</v>
      </c>
      <c r="AC106" s="54">
        <v>3</v>
      </c>
      <c r="AD106" s="54">
        <v>11</v>
      </c>
      <c r="AE106" s="54">
        <v>10</v>
      </c>
      <c r="AF106" s="54"/>
      <c r="AG106" s="5">
        <f t="shared" si="17"/>
        <v>266</v>
      </c>
    </row>
    <row r="107" spans="1:33" ht="15.75" customHeight="1" x14ac:dyDescent="0.25">
      <c r="A107" s="78" t="s">
        <v>56</v>
      </c>
      <c r="B107" s="54">
        <v>19</v>
      </c>
      <c r="C107" s="54">
        <v>9</v>
      </c>
      <c r="D107" s="54">
        <v>6</v>
      </c>
      <c r="E107" s="54">
        <v>11</v>
      </c>
      <c r="F107" s="54">
        <v>9</v>
      </c>
      <c r="G107" s="54">
        <v>11</v>
      </c>
      <c r="H107" s="54">
        <v>10</v>
      </c>
      <c r="I107" s="54">
        <v>11</v>
      </c>
      <c r="J107" s="54">
        <v>10</v>
      </c>
      <c r="K107" s="54">
        <v>12</v>
      </c>
      <c r="L107" s="54">
        <v>10</v>
      </c>
      <c r="M107" s="54">
        <v>6</v>
      </c>
      <c r="N107" s="54">
        <v>3</v>
      </c>
      <c r="O107" s="54">
        <v>4</v>
      </c>
      <c r="P107" s="54">
        <v>6</v>
      </c>
      <c r="Q107" s="54">
        <v>13</v>
      </c>
      <c r="R107" s="54">
        <v>12</v>
      </c>
      <c r="S107" s="54">
        <v>7</v>
      </c>
      <c r="T107" s="54">
        <v>7</v>
      </c>
      <c r="U107" s="54">
        <v>5</v>
      </c>
      <c r="V107" s="54">
        <v>11</v>
      </c>
      <c r="W107" s="54">
        <v>6</v>
      </c>
      <c r="X107" s="54">
        <v>9</v>
      </c>
      <c r="Y107" s="54">
        <v>14</v>
      </c>
      <c r="Z107" s="54">
        <v>10</v>
      </c>
      <c r="AA107" s="54">
        <v>4</v>
      </c>
      <c r="AB107" s="54">
        <v>6</v>
      </c>
      <c r="AC107" s="54">
        <v>12</v>
      </c>
      <c r="AD107" s="54">
        <v>7</v>
      </c>
      <c r="AE107" s="54">
        <v>8</v>
      </c>
      <c r="AF107" s="54"/>
      <c r="AG107" s="5">
        <f t="shared" si="17"/>
        <v>268</v>
      </c>
    </row>
    <row r="108" spans="1:33" ht="15.75" customHeight="1" x14ac:dyDescent="0.25">
      <c r="A108" s="78" t="s">
        <v>57</v>
      </c>
      <c r="B108" s="54">
        <v>6</v>
      </c>
      <c r="C108" s="54">
        <v>8</v>
      </c>
      <c r="D108" s="54">
        <v>12</v>
      </c>
      <c r="E108" s="54">
        <v>9</v>
      </c>
      <c r="F108" s="54">
        <v>13</v>
      </c>
      <c r="G108" s="54">
        <v>13</v>
      </c>
      <c r="H108" s="54">
        <v>12</v>
      </c>
      <c r="I108" s="54">
        <v>12</v>
      </c>
      <c r="J108" s="54">
        <v>4</v>
      </c>
      <c r="K108" s="54">
        <v>7</v>
      </c>
      <c r="L108" s="54">
        <v>12</v>
      </c>
      <c r="M108" s="54">
        <v>15</v>
      </c>
      <c r="N108" s="54">
        <v>7</v>
      </c>
      <c r="O108" s="54">
        <v>8</v>
      </c>
      <c r="P108" s="54">
        <v>9</v>
      </c>
      <c r="Q108" s="54">
        <v>10</v>
      </c>
      <c r="R108" s="54">
        <v>12</v>
      </c>
      <c r="S108" s="54">
        <v>8</v>
      </c>
      <c r="T108" s="54">
        <v>5</v>
      </c>
      <c r="U108" s="54">
        <v>8</v>
      </c>
      <c r="V108" s="54">
        <v>10</v>
      </c>
      <c r="W108" s="54">
        <v>6</v>
      </c>
      <c r="X108" s="54">
        <v>5</v>
      </c>
      <c r="Y108" s="54">
        <v>10</v>
      </c>
      <c r="Z108" s="54">
        <v>12</v>
      </c>
      <c r="AA108" s="54">
        <v>7</v>
      </c>
      <c r="AB108" s="54">
        <v>10</v>
      </c>
      <c r="AC108" s="54">
        <v>11</v>
      </c>
      <c r="AD108" s="54">
        <v>7</v>
      </c>
      <c r="AE108" s="54">
        <v>10</v>
      </c>
      <c r="AF108" s="54"/>
      <c r="AG108" s="5">
        <f t="shared" si="17"/>
        <v>278</v>
      </c>
    </row>
    <row r="109" spans="1:33" ht="15.75" customHeight="1" x14ac:dyDescent="0.25">
      <c r="A109" s="78" t="s">
        <v>58</v>
      </c>
      <c r="B109" s="54">
        <v>19</v>
      </c>
      <c r="C109" s="54">
        <v>19</v>
      </c>
      <c r="D109" s="54">
        <v>15</v>
      </c>
      <c r="E109" s="54">
        <v>12</v>
      </c>
      <c r="F109" s="54">
        <v>7</v>
      </c>
      <c r="G109" s="54">
        <v>18</v>
      </c>
      <c r="H109" s="54">
        <v>19</v>
      </c>
      <c r="I109" s="54">
        <v>2</v>
      </c>
      <c r="J109" s="54">
        <v>13</v>
      </c>
      <c r="K109" s="54">
        <v>14</v>
      </c>
      <c r="L109" s="54">
        <v>10</v>
      </c>
      <c r="M109" s="54">
        <v>4</v>
      </c>
      <c r="N109" s="54">
        <v>13</v>
      </c>
      <c r="O109" s="54">
        <v>7</v>
      </c>
      <c r="P109" s="54">
        <v>5</v>
      </c>
      <c r="Q109" s="54">
        <v>9</v>
      </c>
      <c r="R109" s="54">
        <v>9</v>
      </c>
      <c r="S109" s="54">
        <v>13</v>
      </c>
      <c r="T109" s="54">
        <v>6</v>
      </c>
      <c r="U109" s="54">
        <v>6</v>
      </c>
      <c r="V109" s="54">
        <v>9</v>
      </c>
      <c r="W109" s="54">
        <v>14</v>
      </c>
      <c r="X109" s="54">
        <v>9</v>
      </c>
      <c r="Y109" s="54">
        <v>13</v>
      </c>
      <c r="Z109" s="54">
        <v>7</v>
      </c>
      <c r="AA109" s="54">
        <v>5</v>
      </c>
      <c r="AB109" s="54">
        <v>14</v>
      </c>
      <c r="AC109" s="54">
        <v>15</v>
      </c>
      <c r="AD109" s="54">
        <v>8</v>
      </c>
      <c r="AE109" s="54">
        <v>9</v>
      </c>
      <c r="AF109" s="54"/>
      <c r="AG109" s="5">
        <f t="shared" si="17"/>
        <v>323</v>
      </c>
    </row>
    <row r="110" spans="1:33" ht="15.75" customHeight="1" x14ac:dyDescent="0.25">
      <c r="A110" s="78" t="s">
        <v>59</v>
      </c>
      <c r="B110" s="54">
        <v>10</v>
      </c>
      <c r="C110" s="54">
        <v>11</v>
      </c>
      <c r="D110" s="54">
        <v>10</v>
      </c>
      <c r="E110" s="54">
        <v>10</v>
      </c>
      <c r="F110" s="54">
        <v>10</v>
      </c>
      <c r="G110" s="54">
        <v>12</v>
      </c>
      <c r="H110" s="54">
        <v>13</v>
      </c>
      <c r="I110" s="54">
        <v>8</v>
      </c>
      <c r="J110" s="54">
        <v>15</v>
      </c>
      <c r="K110" s="54">
        <v>11</v>
      </c>
      <c r="L110" s="54">
        <v>9</v>
      </c>
      <c r="M110" s="54">
        <v>14</v>
      </c>
      <c r="N110" s="54">
        <v>10</v>
      </c>
      <c r="O110" s="54">
        <v>9</v>
      </c>
      <c r="P110" s="54">
        <v>11</v>
      </c>
      <c r="Q110" s="54">
        <v>10</v>
      </c>
      <c r="R110" s="54">
        <v>11</v>
      </c>
      <c r="S110" s="54">
        <v>10</v>
      </c>
      <c r="T110" s="54">
        <v>6</v>
      </c>
      <c r="U110" s="54">
        <v>4</v>
      </c>
      <c r="V110" s="54">
        <v>8</v>
      </c>
      <c r="W110" s="54">
        <v>9</v>
      </c>
      <c r="X110" s="54">
        <v>9</v>
      </c>
      <c r="Y110" s="54">
        <v>15</v>
      </c>
      <c r="Z110" s="54">
        <v>11</v>
      </c>
      <c r="AA110" s="54">
        <v>13</v>
      </c>
      <c r="AB110" s="54">
        <v>6</v>
      </c>
      <c r="AC110" s="54">
        <v>12</v>
      </c>
      <c r="AD110" s="54">
        <v>8</v>
      </c>
      <c r="AE110" s="54">
        <v>4</v>
      </c>
      <c r="AF110" s="54"/>
      <c r="AG110" s="5">
        <f t="shared" si="17"/>
        <v>299</v>
      </c>
    </row>
    <row r="111" spans="1:33" ht="15.75" customHeight="1" x14ac:dyDescent="0.25">
      <c r="A111" s="78" t="s">
        <v>60</v>
      </c>
      <c r="B111" s="54">
        <v>7</v>
      </c>
      <c r="C111" s="54">
        <v>13</v>
      </c>
      <c r="D111" s="54">
        <v>9</v>
      </c>
      <c r="E111" s="54">
        <v>9</v>
      </c>
      <c r="F111" s="54">
        <v>4</v>
      </c>
      <c r="G111" s="54">
        <v>10</v>
      </c>
      <c r="H111" s="54">
        <v>17</v>
      </c>
      <c r="I111" s="54">
        <v>6</v>
      </c>
      <c r="J111" s="54">
        <v>13</v>
      </c>
      <c r="K111" s="54">
        <v>9</v>
      </c>
      <c r="L111" s="54">
        <v>5</v>
      </c>
      <c r="M111" s="54">
        <v>7</v>
      </c>
      <c r="N111" s="54">
        <v>3</v>
      </c>
      <c r="O111" s="54">
        <v>6</v>
      </c>
      <c r="P111" s="54">
        <v>8</v>
      </c>
      <c r="Q111" s="54">
        <v>13</v>
      </c>
      <c r="R111" s="54">
        <v>2</v>
      </c>
      <c r="S111" s="54">
        <v>6</v>
      </c>
      <c r="T111" s="54">
        <v>11</v>
      </c>
      <c r="U111" s="54">
        <v>9</v>
      </c>
      <c r="V111" s="54">
        <v>14</v>
      </c>
      <c r="W111" s="54">
        <v>6</v>
      </c>
      <c r="X111" s="54">
        <v>9</v>
      </c>
      <c r="Y111" s="54">
        <v>11</v>
      </c>
      <c r="Z111" s="54">
        <v>10</v>
      </c>
      <c r="AA111" s="54">
        <v>10</v>
      </c>
      <c r="AB111" s="54">
        <v>12</v>
      </c>
      <c r="AC111" s="54">
        <v>10</v>
      </c>
      <c r="AD111" s="54">
        <v>6</v>
      </c>
      <c r="AE111" s="54">
        <v>9</v>
      </c>
      <c r="AF111" s="54"/>
      <c r="AG111" s="5">
        <f t="shared" si="17"/>
        <v>264</v>
      </c>
    </row>
    <row r="112" spans="1:33" ht="15.75" customHeight="1" x14ac:dyDescent="0.25">
      <c r="A112" s="78" t="s">
        <v>61</v>
      </c>
      <c r="B112" s="54">
        <v>6</v>
      </c>
      <c r="C112" s="54">
        <v>8</v>
      </c>
      <c r="D112" s="54">
        <v>10</v>
      </c>
      <c r="E112" s="54">
        <v>9</v>
      </c>
      <c r="F112" s="54">
        <v>9</v>
      </c>
      <c r="G112" s="54">
        <v>5</v>
      </c>
      <c r="H112" s="54">
        <v>6</v>
      </c>
      <c r="I112" s="54">
        <v>6</v>
      </c>
      <c r="J112" s="54">
        <v>10</v>
      </c>
      <c r="K112" s="54">
        <v>7</v>
      </c>
      <c r="L112" s="54">
        <v>8</v>
      </c>
      <c r="M112" s="54">
        <v>5</v>
      </c>
      <c r="N112" s="54">
        <v>5</v>
      </c>
      <c r="O112" s="54">
        <v>9</v>
      </c>
      <c r="P112" s="54">
        <v>3</v>
      </c>
      <c r="Q112" s="54">
        <v>5</v>
      </c>
      <c r="R112" s="54">
        <v>4</v>
      </c>
      <c r="S112" s="54">
        <v>6</v>
      </c>
      <c r="T112" s="54">
        <v>10</v>
      </c>
      <c r="U112" s="54">
        <v>3</v>
      </c>
      <c r="V112" s="54">
        <v>4</v>
      </c>
      <c r="W112" s="54">
        <v>5</v>
      </c>
      <c r="X112" s="54">
        <v>6</v>
      </c>
      <c r="Y112" s="54">
        <v>6</v>
      </c>
      <c r="Z112" s="54">
        <v>4</v>
      </c>
      <c r="AA112" s="54">
        <v>3</v>
      </c>
      <c r="AB112" s="54">
        <v>8</v>
      </c>
      <c r="AC112" s="54">
        <v>6</v>
      </c>
      <c r="AD112" s="54">
        <v>7</v>
      </c>
      <c r="AE112" s="54">
        <v>8</v>
      </c>
      <c r="AF112" s="54"/>
      <c r="AG112" s="5">
        <f t="shared" si="17"/>
        <v>191</v>
      </c>
    </row>
    <row r="113" spans="1:37" ht="15.75" customHeight="1" x14ac:dyDescent="0.25">
      <c r="A113" s="78" t="s">
        <v>62</v>
      </c>
      <c r="B113" s="54">
        <v>5</v>
      </c>
      <c r="C113" s="54">
        <v>1</v>
      </c>
      <c r="D113" s="54">
        <v>7</v>
      </c>
      <c r="E113" s="54">
        <v>0</v>
      </c>
      <c r="F113" s="54">
        <v>5</v>
      </c>
      <c r="G113" s="54">
        <v>5</v>
      </c>
      <c r="H113" s="54">
        <v>3</v>
      </c>
      <c r="I113" s="54">
        <v>1</v>
      </c>
      <c r="J113" s="54">
        <v>3</v>
      </c>
      <c r="K113" s="54">
        <v>7</v>
      </c>
      <c r="L113" s="54">
        <v>3</v>
      </c>
      <c r="M113" s="54">
        <v>3</v>
      </c>
      <c r="N113" s="54">
        <v>3</v>
      </c>
      <c r="O113" s="54">
        <v>2</v>
      </c>
      <c r="P113" s="54">
        <v>4</v>
      </c>
      <c r="Q113" s="54">
        <v>5</v>
      </c>
      <c r="R113" s="54">
        <v>5</v>
      </c>
      <c r="S113" s="54">
        <v>1</v>
      </c>
      <c r="T113" s="54">
        <v>7</v>
      </c>
      <c r="U113" s="54">
        <v>2</v>
      </c>
      <c r="V113" s="54">
        <v>4</v>
      </c>
      <c r="W113" s="54">
        <v>7</v>
      </c>
      <c r="X113" s="54">
        <v>3</v>
      </c>
      <c r="Y113" s="54">
        <v>3</v>
      </c>
      <c r="Z113" s="54">
        <v>5</v>
      </c>
      <c r="AA113" s="54">
        <v>3</v>
      </c>
      <c r="AB113" s="54">
        <v>4</v>
      </c>
      <c r="AC113" s="54">
        <v>7</v>
      </c>
      <c r="AD113" s="54">
        <v>1</v>
      </c>
      <c r="AE113" s="54">
        <v>3</v>
      </c>
      <c r="AF113" s="54"/>
      <c r="AG113" s="5">
        <f t="shared" si="17"/>
        <v>112</v>
      </c>
    </row>
    <row r="114" spans="1:37" ht="15.75" customHeight="1" x14ac:dyDescent="0.25">
      <c r="A114" s="78" t="s">
        <v>63</v>
      </c>
      <c r="B114" s="54">
        <v>5</v>
      </c>
      <c r="C114" s="54">
        <v>8</v>
      </c>
      <c r="D114" s="54">
        <v>7</v>
      </c>
      <c r="E114" s="54">
        <v>9</v>
      </c>
      <c r="F114" s="54">
        <v>5</v>
      </c>
      <c r="G114" s="54">
        <v>6</v>
      </c>
      <c r="H114" s="54">
        <v>7</v>
      </c>
      <c r="I114" s="54">
        <v>9</v>
      </c>
      <c r="J114" s="54">
        <v>9</v>
      </c>
      <c r="K114" s="54">
        <v>8</v>
      </c>
      <c r="L114" s="54">
        <v>2</v>
      </c>
      <c r="M114" s="54">
        <v>5</v>
      </c>
      <c r="N114" s="54">
        <v>4</v>
      </c>
      <c r="O114" s="54">
        <v>4</v>
      </c>
      <c r="P114" s="54">
        <v>5</v>
      </c>
      <c r="Q114" s="54">
        <v>3</v>
      </c>
      <c r="R114" s="54">
        <v>7</v>
      </c>
      <c r="S114" s="54">
        <v>6</v>
      </c>
      <c r="T114" s="54">
        <v>7</v>
      </c>
      <c r="U114" s="54">
        <v>1</v>
      </c>
      <c r="V114" s="54">
        <v>6</v>
      </c>
      <c r="W114" s="54">
        <v>4</v>
      </c>
      <c r="X114" s="54">
        <v>3</v>
      </c>
      <c r="Y114" s="54">
        <v>9</v>
      </c>
      <c r="Z114" s="54">
        <v>5</v>
      </c>
      <c r="AA114" s="54">
        <v>9</v>
      </c>
      <c r="AB114" s="54">
        <v>7</v>
      </c>
      <c r="AC114" s="54">
        <v>5</v>
      </c>
      <c r="AD114" s="54">
        <v>5</v>
      </c>
      <c r="AE114" s="54">
        <v>10</v>
      </c>
      <c r="AF114" s="54"/>
      <c r="AG114" s="5">
        <f t="shared" si="17"/>
        <v>180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38</v>
      </c>
      <c r="C116" s="20">
        <f t="shared" si="19"/>
        <v>27</v>
      </c>
      <c r="D116" s="20">
        <f t="shared" si="19"/>
        <v>48</v>
      </c>
      <c r="E116" s="20">
        <f t="shared" si="19"/>
        <v>31</v>
      </c>
      <c r="F116" s="20">
        <f t="shared" si="19"/>
        <v>20</v>
      </c>
      <c r="G116" s="20">
        <f t="shared" si="19"/>
        <v>26</v>
      </c>
      <c r="H116" s="20">
        <f t="shared" si="19"/>
        <v>34</v>
      </c>
      <c r="I116" s="20">
        <f t="shared" si="19"/>
        <v>27</v>
      </c>
      <c r="J116" s="20">
        <f t="shared" si="19"/>
        <v>33</v>
      </c>
      <c r="K116" s="20">
        <f t="shared" si="19"/>
        <v>37</v>
      </c>
      <c r="L116" s="20">
        <f t="shared" si="19"/>
        <v>23</v>
      </c>
      <c r="M116" s="20">
        <f t="shared" si="19"/>
        <v>29</v>
      </c>
      <c r="N116" s="20">
        <f t="shared" si="19"/>
        <v>15</v>
      </c>
      <c r="O116" s="20">
        <f t="shared" si="19"/>
        <v>29</v>
      </c>
      <c r="P116" s="20">
        <f t="shared" si="19"/>
        <v>21</v>
      </c>
      <c r="Q116" s="20">
        <f t="shared" si="19"/>
        <v>40</v>
      </c>
      <c r="R116" s="20">
        <f t="shared" si="19"/>
        <v>27</v>
      </c>
      <c r="S116" s="20">
        <f t="shared" si="19"/>
        <v>23</v>
      </c>
      <c r="T116" s="20">
        <f t="shared" si="19"/>
        <v>22</v>
      </c>
      <c r="U116" s="20">
        <f t="shared" si="19"/>
        <v>15</v>
      </c>
      <c r="V116" s="20">
        <f t="shared" si="19"/>
        <v>24</v>
      </c>
      <c r="W116" s="20">
        <f t="shared" si="19"/>
        <v>27</v>
      </c>
      <c r="X116" s="20">
        <f t="shared" si="19"/>
        <v>28</v>
      </c>
      <c r="Y116" s="20">
        <f t="shared" si="19"/>
        <v>29</v>
      </c>
      <c r="Z116" s="20">
        <f t="shared" si="19"/>
        <v>23</v>
      </c>
      <c r="AA116" s="20">
        <f t="shared" si="19"/>
        <v>25</v>
      </c>
      <c r="AB116" s="20">
        <f t="shared" si="19"/>
        <v>28</v>
      </c>
      <c r="AC116" s="20">
        <f t="shared" si="19"/>
        <v>33</v>
      </c>
      <c r="AD116" s="20">
        <f t="shared" si="19"/>
        <v>22</v>
      </c>
      <c r="AE116" s="20">
        <f t="shared" si="19"/>
        <v>31</v>
      </c>
      <c r="AF116" s="20">
        <f t="shared" si="19"/>
        <v>0</v>
      </c>
      <c r="AG116" s="5">
        <f t="shared" si="17"/>
        <v>835</v>
      </c>
      <c r="AK116" s="84">
        <v>612</v>
      </c>
    </row>
    <row r="117" spans="1:37" ht="15.75" customHeight="1" x14ac:dyDescent="0.25">
      <c r="A117" s="85" t="s">
        <v>65</v>
      </c>
      <c r="B117" s="54">
        <v>38</v>
      </c>
      <c r="C117" s="54">
        <v>26</v>
      </c>
      <c r="D117" s="54">
        <v>47</v>
      </c>
      <c r="E117" s="54">
        <v>30</v>
      </c>
      <c r="F117" s="54">
        <v>19</v>
      </c>
      <c r="G117" s="54">
        <v>25</v>
      </c>
      <c r="H117" s="54">
        <v>32</v>
      </c>
      <c r="I117" s="54">
        <v>27</v>
      </c>
      <c r="J117" s="54">
        <v>32</v>
      </c>
      <c r="K117" s="54">
        <v>37</v>
      </c>
      <c r="L117" s="54">
        <v>23</v>
      </c>
      <c r="M117" s="54">
        <v>29</v>
      </c>
      <c r="N117" s="54">
        <v>14</v>
      </c>
      <c r="O117" s="54">
        <v>27</v>
      </c>
      <c r="P117" s="54">
        <v>18</v>
      </c>
      <c r="Q117" s="54">
        <v>38</v>
      </c>
      <c r="R117" s="54">
        <v>24</v>
      </c>
      <c r="S117" s="54">
        <v>22</v>
      </c>
      <c r="T117" s="54">
        <v>22</v>
      </c>
      <c r="U117" s="54">
        <v>13</v>
      </c>
      <c r="V117" s="54">
        <v>23</v>
      </c>
      <c r="W117" s="54">
        <v>26</v>
      </c>
      <c r="X117" s="54">
        <v>28</v>
      </c>
      <c r="Y117" s="54">
        <v>28</v>
      </c>
      <c r="Z117" s="54">
        <v>23</v>
      </c>
      <c r="AA117" s="54">
        <v>25</v>
      </c>
      <c r="AB117" s="54">
        <v>25</v>
      </c>
      <c r="AC117" s="54">
        <v>33</v>
      </c>
      <c r="AD117" s="54">
        <v>22</v>
      </c>
      <c r="AE117" s="54">
        <v>31</v>
      </c>
      <c r="AF117" s="54"/>
      <c r="AG117" s="5">
        <f t="shared" si="17"/>
        <v>807</v>
      </c>
      <c r="AK117" s="84">
        <v>613</v>
      </c>
    </row>
    <row r="118" spans="1:37" ht="15.75" customHeight="1" thickBot="1" x14ac:dyDescent="0.3">
      <c r="A118" s="86" t="s">
        <v>77</v>
      </c>
      <c r="B118" s="87">
        <v>0</v>
      </c>
      <c r="C118" s="87">
        <v>1</v>
      </c>
      <c r="D118" s="87">
        <v>1</v>
      </c>
      <c r="E118" s="87">
        <v>1</v>
      </c>
      <c r="F118" s="87">
        <v>1</v>
      </c>
      <c r="G118" s="87">
        <v>1</v>
      </c>
      <c r="H118" s="87">
        <v>2</v>
      </c>
      <c r="I118" s="87">
        <v>0</v>
      </c>
      <c r="J118" s="87">
        <v>1</v>
      </c>
      <c r="K118" s="87">
        <v>0</v>
      </c>
      <c r="L118" s="87">
        <v>0</v>
      </c>
      <c r="M118" s="87">
        <v>0</v>
      </c>
      <c r="N118" s="87">
        <v>1</v>
      </c>
      <c r="O118" s="87">
        <v>2</v>
      </c>
      <c r="P118" s="87">
        <v>3</v>
      </c>
      <c r="Q118" s="87">
        <v>2</v>
      </c>
      <c r="R118" s="87">
        <v>3</v>
      </c>
      <c r="S118" s="87">
        <v>1</v>
      </c>
      <c r="T118" s="87">
        <v>0</v>
      </c>
      <c r="U118" s="87">
        <v>2</v>
      </c>
      <c r="V118" s="87">
        <v>1</v>
      </c>
      <c r="W118" s="87">
        <v>1</v>
      </c>
      <c r="X118" s="87">
        <v>0</v>
      </c>
      <c r="Y118" s="87">
        <v>1</v>
      </c>
      <c r="Z118" s="87">
        <v>0</v>
      </c>
      <c r="AA118" s="87">
        <v>0</v>
      </c>
      <c r="AB118" s="87">
        <v>3</v>
      </c>
      <c r="AC118" s="87">
        <v>0</v>
      </c>
      <c r="AD118" s="87">
        <v>0</v>
      </c>
      <c r="AE118" s="87">
        <v>0</v>
      </c>
      <c r="AF118" s="87"/>
      <c r="AG118" s="5">
        <f t="shared" si="17"/>
        <v>28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170</v>
      </c>
      <c r="C119" s="20">
        <f t="shared" si="20"/>
        <v>162</v>
      </c>
      <c r="D119" s="20">
        <f t="shared" si="20"/>
        <v>212</v>
      </c>
      <c r="E119" s="20">
        <f t="shared" si="20"/>
        <v>192</v>
      </c>
      <c r="F119" s="20">
        <f t="shared" si="20"/>
        <v>146</v>
      </c>
      <c r="G119" s="20">
        <f t="shared" si="20"/>
        <v>181</v>
      </c>
      <c r="H119" s="20">
        <f t="shared" si="20"/>
        <v>190</v>
      </c>
      <c r="I119" s="20">
        <f t="shared" si="20"/>
        <v>149</v>
      </c>
      <c r="J119" s="20">
        <f t="shared" si="20"/>
        <v>153</v>
      </c>
      <c r="K119" s="20">
        <f t="shared" si="20"/>
        <v>182</v>
      </c>
      <c r="L119" s="20">
        <f t="shared" si="20"/>
        <v>147</v>
      </c>
      <c r="M119" s="20">
        <f t="shared" si="20"/>
        <v>141</v>
      </c>
      <c r="N119" s="20">
        <f t="shared" si="20"/>
        <v>124</v>
      </c>
      <c r="O119" s="20">
        <f t="shared" si="20"/>
        <v>109</v>
      </c>
      <c r="P119" s="20">
        <f t="shared" si="20"/>
        <v>122</v>
      </c>
      <c r="Q119" s="20">
        <f t="shared" si="20"/>
        <v>144</v>
      </c>
      <c r="R119" s="20">
        <f t="shared" si="20"/>
        <v>130</v>
      </c>
      <c r="S119" s="20">
        <f t="shared" si="20"/>
        <v>141</v>
      </c>
      <c r="T119" s="20">
        <f t="shared" si="20"/>
        <v>147</v>
      </c>
      <c r="U119" s="20">
        <f t="shared" si="20"/>
        <v>106</v>
      </c>
      <c r="V119" s="20">
        <f t="shared" si="20"/>
        <v>140</v>
      </c>
      <c r="W119" s="20">
        <f t="shared" si="20"/>
        <v>127</v>
      </c>
      <c r="X119" s="20">
        <f t="shared" si="20"/>
        <v>121</v>
      </c>
      <c r="Y119" s="20">
        <f t="shared" si="20"/>
        <v>162</v>
      </c>
      <c r="Z119" s="20">
        <f t="shared" si="20"/>
        <v>125</v>
      </c>
      <c r="AA119" s="20">
        <f t="shared" si="20"/>
        <v>132</v>
      </c>
      <c r="AB119" s="20">
        <f t="shared" si="20"/>
        <v>143</v>
      </c>
      <c r="AC119" s="20">
        <f t="shared" si="20"/>
        <v>134</v>
      </c>
      <c r="AD119" s="20">
        <f t="shared" si="20"/>
        <v>129</v>
      </c>
      <c r="AE119" s="20">
        <f t="shared" si="20"/>
        <v>142</v>
      </c>
      <c r="AF119" s="20">
        <f t="shared" si="20"/>
        <v>0</v>
      </c>
      <c r="AG119" s="7">
        <f t="shared" si="17"/>
        <v>4403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38</v>
      </c>
      <c r="C120" s="54">
        <v>25</v>
      </c>
      <c r="D120" s="54">
        <v>41</v>
      </c>
      <c r="E120" s="54">
        <v>29</v>
      </c>
      <c r="F120" s="54">
        <v>19</v>
      </c>
      <c r="G120" s="54">
        <v>23</v>
      </c>
      <c r="H120" s="54">
        <v>30</v>
      </c>
      <c r="I120" s="54">
        <v>27</v>
      </c>
      <c r="J120" s="54">
        <v>32</v>
      </c>
      <c r="K120" s="54">
        <v>34</v>
      </c>
      <c r="L120" s="54">
        <v>22</v>
      </c>
      <c r="M120" s="54">
        <v>26</v>
      </c>
      <c r="N120" s="54">
        <v>14</v>
      </c>
      <c r="O120" s="54">
        <v>25</v>
      </c>
      <c r="P120" s="54">
        <v>18</v>
      </c>
      <c r="Q120" s="54">
        <v>37</v>
      </c>
      <c r="R120" s="54">
        <v>24</v>
      </c>
      <c r="S120" s="54">
        <v>21</v>
      </c>
      <c r="T120" s="54">
        <v>22</v>
      </c>
      <c r="U120" s="54">
        <v>13</v>
      </c>
      <c r="V120" s="54">
        <v>21</v>
      </c>
      <c r="W120" s="54">
        <v>26</v>
      </c>
      <c r="X120" s="54">
        <v>24</v>
      </c>
      <c r="Y120" s="54">
        <v>27</v>
      </c>
      <c r="Z120" s="54">
        <v>22</v>
      </c>
      <c r="AA120" s="54">
        <v>23</v>
      </c>
      <c r="AB120" s="54">
        <v>23</v>
      </c>
      <c r="AC120" s="54">
        <v>33</v>
      </c>
      <c r="AD120" s="54">
        <v>22</v>
      </c>
      <c r="AE120" s="54">
        <v>29</v>
      </c>
      <c r="AF120" s="54"/>
      <c r="AG120" s="5">
        <f t="shared" si="17"/>
        <v>770</v>
      </c>
      <c r="AK120" s="88" t="s">
        <v>131</v>
      </c>
    </row>
    <row r="121" spans="1:37" ht="15.75" customHeight="1" x14ac:dyDescent="0.25">
      <c r="A121" s="85" t="s">
        <v>66</v>
      </c>
      <c r="B121" s="54">
        <v>6</v>
      </c>
      <c r="C121" s="54">
        <v>9</v>
      </c>
      <c r="D121" s="54">
        <v>8</v>
      </c>
      <c r="E121" s="54">
        <v>12</v>
      </c>
      <c r="F121" s="54">
        <v>4</v>
      </c>
      <c r="G121" s="54">
        <v>5</v>
      </c>
      <c r="H121" s="54">
        <v>11</v>
      </c>
      <c r="I121" s="54">
        <v>6</v>
      </c>
      <c r="J121" s="54">
        <v>9</v>
      </c>
      <c r="K121" s="54">
        <v>5</v>
      </c>
      <c r="L121" s="54">
        <v>3</v>
      </c>
      <c r="M121" s="54">
        <v>8</v>
      </c>
      <c r="N121" s="54">
        <v>4</v>
      </c>
      <c r="O121" s="54">
        <v>6</v>
      </c>
      <c r="P121" s="54">
        <v>5</v>
      </c>
      <c r="Q121" s="54">
        <v>4</v>
      </c>
      <c r="R121" s="54">
        <v>4</v>
      </c>
      <c r="S121" s="54">
        <v>4</v>
      </c>
      <c r="T121" s="54">
        <v>7</v>
      </c>
      <c r="U121" s="54">
        <v>3</v>
      </c>
      <c r="V121" s="54">
        <v>2</v>
      </c>
      <c r="W121" s="54">
        <v>5</v>
      </c>
      <c r="X121" s="54">
        <v>7</v>
      </c>
      <c r="Y121" s="54">
        <v>3</v>
      </c>
      <c r="Z121" s="54">
        <v>2</v>
      </c>
      <c r="AA121" s="54">
        <v>4</v>
      </c>
      <c r="AB121" s="54">
        <v>7</v>
      </c>
      <c r="AC121" s="54">
        <v>5</v>
      </c>
      <c r="AD121" s="54">
        <v>6</v>
      </c>
      <c r="AE121" s="54">
        <v>4</v>
      </c>
      <c r="AF121" s="54"/>
      <c r="AG121" s="5">
        <f t="shared" si="17"/>
        <v>168</v>
      </c>
      <c r="AK121" s="84" t="s">
        <v>132</v>
      </c>
    </row>
    <row r="122" spans="1:37" ht="15.75" customHeight="1" x14ac:dyDescent="0.25">
      <c r="A122" s="85" t="s">
        <v>67</v>
      </c>
      <c r="B122" s="54">
        <v>8</v>
      </c>
      <c r="C122" s="54">
        <v>12</v>
      </c>
      <c r="D122" s="54">
        <v>9</v>
      </c>
      <c r="E122" s="54">
        <v>6</v>
      </c>
      <c r="F122" s="54">
        <v>7</v>
      </c>
      <c r="G122" s="54">
        <v>4</v>
      </c>
      <c r="H122" s="54">
        <v>4</v>
      </c>
      <c r="I122" s="54">
        <v>6</v>
      </c>
      <c r="J122" s="54">
        <v>11</v>
      </c>
      <c r="K122" s="54">
        <v>7</v>
      </c>
      <c r="L122" s="54">
        <v>1</v>
      </c>
      <c r="M122" s="54">
        <v>6</v>
      </c>
      <c r="N122" s="54">
        <v>6</v>
      </c>
      <c r="O122" s="54">
        <v>2</v>
      </c>
      <c r="P122" s="54">
        <v>5</v>
      </c>
      <c r="Q122" s="54">
        <v>4</v>
      </c>
      <c r="R122" s="54">
        <v>4</v>
      </c>
      <c r="S122" s="54">
        <v>7</v>
      </c>
      <c r="T122" s="54">
        <v>8</v>
      </c>
      <c r="U122" s="54">
        <v>2</v>
      </c>
      <c r="V122" s="54">
        <v>4</v>
      </c>
      <c r="W122" s="54">
        <v>7</v>
      </c>
      <c r="X122" s="54">
        <v>8</v>
      </c>
      <c r="Y122" s="54">
        <v>6</v>
      </c>
      <c r="Z122" s="54">
        <v>6</v>
      </c>
      <c r="AA122" s="54">
        <v>6</v>
      </c>
      <c r="AB122" s="54">
        <v>6</v>
      </c>
      <c r="AC122" s="54">
        <v>5</v>
      </c>
      <c r="AD122" s="54">
        <v>8</v>
      </c>
      <c r="AE122" s="54">
        <v>7</v>
      </c>
      <c r="AF122" s="54"/>
      <c r="AG122" s="5">
        <f t="shared" si="17"/>
        <v>182</v>
      </c>
      <c r="AK122" s="88" t="s">
        <v>133</v>
      </c>
    </row>
    <row r="123" spans="1:37" ht="15.75" customHeight="1" x14ac:dyDescent="0.25">
      <c r="A123" s="85" t="s">
        <v>68</v>
      </c>
      <c r="B123" s="54">
        <v>1</v>
      </c>
      <c r="C123" s="54">
        <v>6</v>
      </c>
      <c r="D123" s="54">
        <v>15</v>
      </c>
      <c r="E123" s="54">
        <v>11</v>
      </c>
      <c r="F123" s="54">
        <v>7</v>
      </c>
      <c r="G123" s="54">
        <v>4</v>
      </c>
      <c r="H123" s="54">
        <v>8</v>
      </c>
      <c r="I123" s="54">
        <v>8</v>
      </c>
      <c r="J123" s="54">
        <v>5</v>
      </c>
      <c r="K123" s="54">
        <v>5</v>
      </c>
      <c r="L123" s="54">
        <v>7</v>
      </c>
      <c r="M123" s="54">
        <v>11</v>
      </c>
      <c r="N123" s="54">
        <v>6</v>
      </c>
      <c r="O123" s="54">
        <v>3</v>
      </c>
      <c r="P123" s="54">
        <v>13</v>
      </c>
      <c r="Q123" s="54">
        <v>8</v>
      </c>
      <c r="R123" s="54">
        <v>4</v>
      </c>
      <c r="S123" s="54">
        <v>3</v>
      </c>
      <c r="T123" s="54">
        <v>9</v>
      </c>
      <c r="U123" s="54">
        <v>7</v>
      </c>
      <c r="V123" s="54">
        <v>9</v>
      </c>
      <c r="W123" s="54">
        <v>6</v>
      </c>
      <c r="X123" s="54">
        <v>5</v>
      </c>
      <c r="Y123" s="54">
        <v>8</v>
      </c>
      <c r="Z123" s="54">
        <v>5</v>
      </c>
      <c r="AA123" s="54">
        <v>6</v>
      </c>
      <c r="AB123" s="54">
        <v>6</v>
      </c>
      <c r="AC123" s="54">
        <v>3</v>
      </c>
      <c r="AD123" s="54">
        <v>5</v>
      </c>
      <c r="AE123" s="54">
        <v>0</v>
      </c>
      <c r="AF123" s="54"/>
      <c r="AG123" s="5">
        <f t="shared" si="17"/>
        <v>194</v>
      </c>
      <c r="AK123" s="84" t="s">
        <v>134</v>
      </c>
    </row>
    <row r="124" spans="1:37" ht="15.75" customHeight="1" x14ac:dyDescent="0.25">
      <c r="A124" s="85" t="s">
        <v>69</v>
      </c>
      <c r="B124" s="54">
        <v>11</v>
      </c>
      <c r="C124" s="54">
        <v>11</v>
      </c>
      <c r="D124" s="54">
        <v>9</v>
      </c>
      <c r="E124" s="54">
        <v>13</v>
      </c>
      <c r="F124" s="54">
        <v>7</v>
      </c>
      <c r="G124" s="54">
        <v>10</v>
      </c>
      <c r="H124" s="54">
        <v>11</v>
      </c>
      <c r="I124" s="54">
        <v>12</v>
      </c>
      <c r="J124" s="54">
        <v>13</v>
      </c>
      <c r="K124" s="54">
        <v>8</v>
      </c>
      <c r="L124" s="54">
        <v>8</v>
      </c>
      <c r="M124" s="54">
        <v>11</v>
      </c>
      <c r="N124" s="54">
        <v>7</v>
      </c>
      <c r="O124" s="54">
        <v>10</v>
      </c>
      <c r="P124" s="54">
        <v>4</v>
      </c>
      <c r="Q124" s="54">
        <v>12</v>
      </c>
      <c r="R124" s="54">
        <v>6</v>
      </c>
      <c r="S124" s="54">
        <v>5</v>
      </c>
      <c r="T124" s="54">
        <v>6</v>
      </c>
      <c r="U124" s="54">
        <v>2</v>
      </c>
      <c r="V124" s="54">
        <v>4</v>
      </c>
      <c r="W124" s="54">
        <v>9</v>
      </c>
      <c r="X124" s="54">
        <v>6</v>
      </c>
      <c r="Y124" s="54">
        <v>6</v>
      </c>
      <c r="Z124" s="54">
        <v>5</v>
      </c>
      <c r="AA124" s="54">
        <v>5</v>
      </c>
      <c r="AB124" s="54">
        <v>7</v>
      </c>
      <c r="AC124" s="54">
        <v>8</v>
      </c>
      <c r="AD124" s="54">
        <v>6</v>
      </c>
      <c r="AE124" s="54">
        <v>7</v>
      </c>
      <c r="AF124" s="54"/>
      <c r="AG124" s="5">
        <f t="shared" si="17"/>
        <v>239</v>
      </c>
      <c r="AK124" s="88" t="s">
        <v>135</v>
      </c>
    </row>
    <row r="125" spans="1:37" ht="15.75" customHeight="1" x14ac:dyDescent="0.25">
      <c r="A125" s="85" t="s">
        <v>70</v>
      </c>
      <c r="B125" s="54">
        <v>77</v>
      </c>
      <c r="C125" s="54">
        <v>70</v>
      </c>
      <c r="D125" s="54">
        <v>96</v>
      </c>
      <c r="E125" s="54">
        <v>80</v>
      </c>
      <c r="F125" s="54">
        <v>84</v>
      </c>
      <c r="G125" s="54">
        <v>112</v>
      </c>
      <c r="H125" s="54">
        <v>106</v>
      </c>
      <c r="I125" s="54">
        <v>66</v>
      </c>
      <c r="J125" s="54">
        <v>68</v>
      </c>
      <c r="K125" s="54">
        <v>106</v>
      </c>
      <c r="L125" s="54">
        <v>82</v>
      </c>
      <c r="M125" s="54">
        <v>57</v>
      </c>
      <c r="N125" s="54">
        <v>68</v>
      </c>
      <c r="O125" s="54">
        <v>50</v>
      </c>
      <c r="P125" s="54">
        <v>62</v>
      </c>
      <c r="Q125" s="54">
        <v>57</v>
      </c>
      <c r="R125" s="54">
        <v>69</v>
      </c>
      <c r="S125" s="54">
        <v>92</v>
      </c>
      <c r="T125" s="54">
        <v>77</v>
      </c>
      <c r="U125" s="54">
        <v>60</v>
      </c>
      <c r="V125" s="54">
        <v>80</v>
      </c>
      <c r="W125" s="54">
        <v>56</v>
      </c>
      <c r="X125" s="54">
        <v>52</v>
      </c>
      <c r="Y125" s="54">
        <v>80</v>
      </c>
      <c r="Z125" s="54">
        <v>60</v>
      </c>
      <c r="AA125" s="54">
        <v>60</v>
      </c>
      <c r="AB125" s="54">
        <v>66</v>
      </c>
      <c r="AC125" s="54">
        <v>68</v>
      </c>
      <c r="AD125" s="54">
        <v>57</v>
      </c>
      <c r="AE125" s="54">
        <v>68</v>
      </c>
      <c r="AF125" s="54"/>
      <c r="AG125" s="5">
        <f t="shared" si="17"/>
        <v>2186</v>
      </c>
      <c r="AK125" s="88" t="s">
        <v>136</v>
      </c>
    </row>
    <row r="126" spans="1:37" ht="15.75" customHeight="1" x14ac:dyDescent="0.25">
      <c r="A126" s="85" t="s">
        <v>71</v>
      </c>
      <c r="B126" s="54">
        <v>3</v>
      </c>
      <c r="C126" s="54">
        <v>5</v>
      </c>
      <c r="D126" s="54">
        <v>3</v>
      </c>
      <c r="E126" s="54">
        <v>8</v>
      </c>
      <c r="F126" s="54">
        <v>1</v>
      </c>
      <c r="G126" s="54">
        <v>2</v>
      </c>
      <c r="H126" s="54">
        <v>1</v>
      </c>
      <c r="I126" s="54">
        <v>3</v>
      </c>
      <c r="J126" s="54">
        <v>2</v>
      </c>
      <c r="K126" s="54">
        <v>2</v>
      </c>
      <c r="L126" s="54">
        <v>5</v>
      </c>
      <c r="M126" s="54">
        <v>2</v>
      </c>
      <c r="N126" s="54">
        <v>3</v>
      </c>
      <c r="O126" s="54">
        <v>0</v>
      </c>
      <c r="P126" s="54">
        <v>1</v>
      </c>
      <c r="Q126" s="54">
        <v>5</v>
      </c>
      <c r="R126" s="54">
        <v>0</v>
      </c>
      <c r="S126" s="54">
        <v>1</v>
      </c>
      <c r="T126" s="54">
        <v>3</v>
      </c>
      <c r="U126" s="54">
        <v>0</v>
      </c>
      <c r="V126" s="54">
        <v>1</v>
      </c>
      <c r="W126" s="54">
        <v>1</v>
      </c>
      <c r="X126" s="54">
        <v>2</v>
      </c>
      <c r="Y126" s="54">
        <v>8</v>
      </c>
      <c r="Z126" s="54">
        <v>2</v>
      </c>
      <c r="AA126" s="54">
        <v>4</v>
      </c>
      <c r="AB126" s="54">
        <v>4</v>
      </c>
      <c r="AC126" s="54">
        <v>1</v>
      </c>
      <c r="AD126" s="54">
        <v>4</v>
      </c>
      <c r="AE126" s="54">
        <v>5</v>
      </c>
      <c r="AF126" s="54"/>
      <c r="AG126" s="5">
        <f t="shared" si="17"/>
        <v>82</v>
      </c>
      <c r="AK126" s="84" t="s">
        <v>137</v>
      </c>
    </row>
    <row r="127" spans="1:37" ht="15.75" customHeight="1" x14ac:dyDescent="0.25">
      <c r="A127" s="85" t="s">
        <v>72</v>
      </c>
      <c r="B127" s="54">
        <v>3</v>
      </c>
      <c r="C127" s="54">
        <v>1</v>
      </c>
      <c r="D127" s="54">
        <v>0</v>
      </c>
      <c r="E127" s="54">
        <v>7</v>
      </c>
      <c r="F127" s="54">
        <v>0</v>
      </c>
      <c r="G127" s="54">
        <v>2</v>
      </c>
      <c r="H127" s="54">
        <v>0</v>
      </c>
      <c r="I127" s="54">
        <v>1</v>
      </c>
      <c r="J127" s="54">
        <v>1</v>
      </c>
      <c r="K127" s="54">
        <v>0</v>
      </c>
      <c r="L127" s="54">
        <v>3</v>
      </c>
      <c r="M127" s="54">
        <v>4</v>
      </c>
      <c r="N127" s="54">
        <v>0</v>
      </c>
      <c r="O127" s="54">
        <v>1</v>
      </c>
      <c r="P127" s="54">
        <v>1</v>
      </c>
      <c r="Q127" s="54">
        <v>1</v>
      </c>
      <c r="R127" s="54">
        <v>1</v>
      </c>
      <c r="S127" s="54">
        <v>0</v>
      </c>
      <c r="T127" s="54">
        <v>1</v>
      </c>
      <c r="U127" s="54">
        <v>0</v>
      </c>
      <c r="V127" s="54">
        <v>1</v>
      </c>
      <c r="W127" s="54">
        <v>1</v>
      </c>
      <c r="X127" s="54">
        <v>3</v>
      </c>
      <c r="Y127" s="54">
        <v>0</v>
      </c>
      <c r="Z127" s="54">
        <v>4</v>
      </c>
      <c r="AA127" s="54">
        <v>1</v>
      </c>
      <c r="AB127" s="54">
        <v>2</v>
      </c>
      <c r="AC127" s="54">
        <v>0</v>
      </c>
      <c r="AD127" s="54">
        <v>1</v>
      </c>
      <c r="AE127" s="54">
        <v>0</v>
      </c>
      <c r="AF127" s="54"/>
      <c r="AG127" s="5">
        <f t="shared" si="17"/>
        <v>40</v>
      </c>
      <c r="AK127" s="88" t="s">
        <v>138</v>
      </c>
    </row>
    <row r="128" spans="1:37" ht="15.75" customHeight="1" x14ac:dyDescent="0.25">
      <c r="A128" s="56" t="s">
        <v>73</v>
      </c>
      <c r="B128" s="54">
        <v>3</v>
      </c>
      <c r="C128" s="54">
        <v>3</v>
      </c>
      <c r="D128" s="54">
        <v>3</v>
      </c>
      <c r="E128" s="54">
        <v>2</v>
      </c>
      <c r="F128" s="54">
        <v>3</v>
      </c>
      <c r="G128" s="54">
        <v>3</v>
      </c>
      <c r="H128" s="54">
        <v>2</v>
      </c>
      <c r="I128" s="54">
        <v>3</v>
      </c>
      <c r="J128" s="54">
        <v>2</v>
      </c>
      <c r="K128" s="54">
        <v>0</v>
      </c>
      <c r="L128" s="54">
        <v>0</v>
      </c>
      <c r="M128" s="54">
        <v>3</v>
      </c>
      <c r="N128" s="54">
        <v>2</v>
      </c>
      <c r="O128" s="54">
        <v>3</v>
      </c>
      <c r="P128" s="54">
        <v>1</v>
      </c>
      <c r="Q128" s="54">
        <v>1</v>
      </c>
      <c r="R128" s="54">
        <v>1</v>
      </c>
      <c r="S128" s="54">
        <v>0</v>
      </c>
      <c r="T128" s="54">
        <v>1</v>
      </c>
      <c r="U128" s="54">
        <v>2</v>
      </c>
      <c r="V128" s="54">
        <v>2</v>
      </c>
      <c r="W128" s="54">
        <v>2</v>
      </c>
      <c r="X128" s="54">
        <v>2</v>
      </c>
      <c r="Y128" s="54">
        <v>4</v>
      </c>
      <c r="Z128" s="54">
        <v>4</v>
      </c>
      <c r="AA128" s="54">
        <v>4</v>
      </c>
      <c r="AB128" s="54">
        <v>1</v>
      </c>
      <c r="AC128" s="54">
        <v>2</v>
      </c>
      <c r="AD128" s="54">
        <v>1</v>
      </c>
      <c r="AE128" s="54">
        <v>4</v>
      </c>
      <c r="AF128" s="54"/>
      <c r="AG128" s="5">
        <f t="shared" si="17"/>
        <v>64</v>
      </c>
      <c r="AK128" s="88" t="s">
        <v>139</v>
      </c>
    </row>
    <row r="129" spans="1:37" ht="15.75" customHeight="1" x14ac:dyDescent="0.25">
      <c r="A129" s="56" t="s">
        <v>74</v>
      </c>
      <c r="B129" s="54">
        <v>2</v>
      </c>
      <c r="C129" s="54">
        <v>2</v>
      </c>
      <c r="D129" s="54">
        <v>1</v>
      </c>
      <c r="E129" s="54">
        <v>0</v>
      </c>
      <c r="F129" s="54">
        <v>1</v>
      </c>
      <c r="G129" s="54">
        <v>0</v>
      </c>
      <c r="H129" s="54">
        <v>1</v>
      </c>
      <c r="I129" s="54">
        <v>1</v>
      </c>
      <c r="J129" s="54">
        <v>1</v>
      </c>
      <c r="K129" s="54">
        <v>0</v>
      </c>
      <c r="L129" s="54">
        <v>0</v>
      </c>
      <c r="M129" s="54">
        <v>0</v>
      </c>
      <c r="N129" s="54">
        <v>0</v>
      </c>
      <c r="O129" s="54">
        <v>0</v>
      </c>
      <c r="P129" s="54">
        <v>0</v>
      </c>
      <c r="Q129" s="54">
        <v>2</v>
      </c>
      <c r="R129" s="54">
        <v>3</v>
      </c>
      <c r="S129" s="54">
        <v>0</v>
      </c>
      <c r="T129" s="54">
        <v>0</v>
      </c>
      <c r="U129" s="54">
        <v>1</v>
      </c>
      <c r="V129" s="54">
        <v>0</v>
      </c>
      <c r="W129" s="54">
        <v>1</v>
      </c>
      <c r="X129" s="54">
        <v>0</v>
      </c>
      <c r="Y129" s="54">
        <v>1</v>
      </c>
      <c r="Z129" s="54">
        <v>1</v>
      </c>
      <c r="AA129" s="54">
        <v>1</v>
      </c>
      <c r="AB129" s="54">
        <v>2</v>
      </c>
      <c r="AC129" s="54">
        <v>2</v>
      </c>
      <c r="AD129" s="54">
        <v>0</v>
      </c>
      <c r="AE129" s="54">
        <v>1</v>
      </c>
      <c r="AF129" s="54"/>
      <c r="AG129" s="5">
        <f t="shared" si="17"/>
        <v>24</v>
      </c>
      <c r="AK129" s="84" t="s">
        <v>140</v>
      </c>
    </row>
    <row r="130" spans="1:37" ht="15.75" customHeight="1" x14ac:dyDescent="0.25">
      <c r="A130" s="56" t="s">
        <v>75</v>
      </c>
      <c r="B130" s="54">
        <v>0</v>
      </c>
      <c r="C130" s="54">
        <v>0</v>
      </c>
      <c r="D130" s="54">
        <v>0</v>
      </c>
      <c r="E130" s="54">
        <v>0</v>
      </c>
      <c r="F130" s="54">
        <v>0</v>
      </c>
      <c r="G130" s="54">
        <v>0</v>
      </c>
      <c r="H130" s="54">
        <v>1</v>
      </c>
      <c r="I130" s="54">
        <v>2</v>
      </c>
      <c r="J130" s="54">
        <v>1</v>
      </c>
      <c r="K130" s="54">
        <v>1</v>
      </c>
      <c r="L130" s="54">
        <v>0</v>
      </c>
      <c r="M130" s="54">
        <v>0</v>
      </c>
      <c r="N130" s="54">
        <v>1</v>
      </c>
      <c r="O130" s="54">
        <v>0</v>
      </c>
      <c r="P130" s="54">
        <v>0</v>
      </c>
      <c r="Q130" s="54">
        <v>1</v>
      </c>
      <c r="R130" s="54">
        <v>0</v>
      </c>
      <c r="S130" s="54">
        <v>0</v>
      </c>
      <c r="T130" s="54">
        <v>0</v>
      </c>
      <c r="U130" s="54">
        <v>0</v>
      </c>
      <c r="V130" s="54">
        <v>1</v>
      </c>
      <c r="W130" s="54">
        <v>0</v>
      </c>
      <c r="X130" s="54">
        <v>1</v>
      </c>
      <c r="Y130" s="54">
        <v>2</v>
      </c>
      <c r="Z130" s="54">
        <v>0</v>
      </c>
      <c r="AA130" s="54">
        <v>0</v>
      </c>
      <c r="AB130" s="54">
        <v>1</v>
      </c>
      <c r="AC130" s="54">
        <v>1</v>
      </c>
      <c r="AD130" s="54">
        <v>0</v>
      </c>
      <c r="AE130" s="54">
        <v>0</v>
      </c>
      <c r="AF130" s="54"/>
      <c r="AG130" s="5">
        <f t="shared" si="17"/>
        <v>13</v>
      </c>
      <c r="AK130" s="84" t="s">
        <v>141</v>
      </c>
    </row>
    <row r="131" spans="1:37" ht="15.75" customHeight="1" x14ac:dyDescent="0.25">
      <c r="A131" s="85" t="s">
        <v>76</v>
      </c>
      <c r="B131" s="54">
        <v>6</v>
      </c>
      <c r="C131" s="54">
        <v>9</v>
      </c>
      <c r="D131" s="54">
        <v>18</v>
      </c>
      <c r="E131" s="54">
        <v>8</v>
      </c>
      <c r="F131" s="54">
        <v>5</v>
      </c>
      <c r="G131" s="54">
        <v>7</v>
      </c>
      <c r="H131" s="54">
        <v>8</v>
      </c>
      <c r="I131" s="54">
        <v>7</v>
      </c>
      <c r="J131" s="54">
        <v>4</v>
      </c>
      <c r="K131" s="54">
        <v>8</v>
      </c>
      <c r="L131" s="54">
        <v>5</v>
      </c>
      <c r="M131" s="54">
        <v>5</v>
      </c>
      <c r="N131" s="54">
        <v>5</v>
      </c>
      <c r="O131" s="54">
        <v>5</v>
      </c>
      <c r="P131" s="54">
        <v>9</v>
      </c>
      <c r="Q131" s="54">
        <v>10</v>
      </c>
      <c r="R131" s="54">
        <v>11</v>
      </c>
      <c r="S131" s="54">
        <v>5</v>
      </c>
      <c r="T131" s="54">
        <v>7</v>
      </c>
      <c r="U131" s="54">
        <v>9</v>
      </c>
      <c r="V131" s="54">
        <v>8</v>
      </c>
      <c r="W131" s="54">
        <v>9</v>
      </c>
      <c r="X131" s="54">
        <v>8</v>
      </c>
      <c r="Y131" s="54">
        <v>10</v>
      </c>
      <c r="Z131" s="54">
        <v>9</v>
      </c>
      <c r="AA131" s="54">
        <v>8</v>
      </c>
      <c r="AB131" s="54">
        <v>9</v>
      </c>
      <c r="AC131" s="54">
        <v>3</v>
      </c>
      <c r="AD131" s="54">
        <v>11</v>
      </c>
      <c r="AE131" s="54">
        <v>8</v>
      </c>
      <c r="AF131" s="54"/>
      <c r="AG131" s="5">
        <f t="shared" si="17"/>
        <v>234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12</v>
      </c>
      <c r="C132" s="87">
        <v>9</v>
      </c>
      <c r="D132" s="87">
        <v>9</v>
      </c>
      <c r="E132" s="87">
        <v>16</v>
      </c>
      <c r="F132" s="87">
        <v>8</v>
      </c>
      <c r="G132" s="87">
        <v>9</v>
      </c>
      <c r="H132" s="87">
        <v>7</v>
      </c>
      <c r="I132" s="87">
        <v>7</v>
      </c>
      <c r="J132" s="87">
        <v>4</v>
      </c>
      <c r="K132" s="87">
        <v>6</v>
      </c>
      <c r="L132" s="87">
        <v>11</v>
      </c>
      <c r="M132" s="87">
        <v>8</v>
      </c>
      <c r="N132" s="87">
        <v>8</v>
      </c>
      <c r="O132" s="87">
        <v>4</v>
      </c>
      <c r="P132" s="87">
        <v>3</v>
      </c>
      <c r="Q132" s="87">
        <v>2</v>
      </c>
      <c r="R132" s="87">
        <v>3</v>
      </c>
      <c r="S132" s="87">
        <v>3</v>
      </c>
      <c r="T132" s="87">
        <v>6</v>
      </c>
      <c r="U132" s="87">
        <v>7</v>
      </c>
      <c r="V132" s="87">
        <v>7</v>
      </c>
      <c r="W132" s="87">
        <v>4</v>
      </c>
      <c r="X132" s="87">
        <v>3</v>
      </c>
      <c r="Y132" s="87">
        <v>7</v>
      </c>
      <c r="Z132" s="87">
        <v>5</v>
      </c>
      <c r="AA132" s="87">
        <v>10</v>
      </c>
      <c r="AB132" s="87">
        <v>9</v>
      </c>
      <c r="AC132" s="87">
        <v>3</v>
      </c>
      <c r="AD132" s="87">
        <v>8</v>
      </c>
      <c r="AE132" s="87">
        <v>9</v>
      </c>
      <c r="AF132" s="87"/>
      <c r="AG132" s="9">
        <f t="shared" si="17"/>
        <v>207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170</v>
      </c>
      <c r="C133" s="14">
        <f t="shared" si="21"/>
        <v>162</v>
      </c>
      <c r="D133" s="14">
        <f t="shared" si="21"/>
        <v>212</v>
      </c>
      <c r="E133" s="14">
        <f t="shared" si="21"/>
        <v>192</v>
      </c>
      <c r="F133" s="14">
        <f t="shared" si="21"/>
        <v>146</v>
      </c>
      <c r="G133" s="14">
        <f t="shared" si="21"/>
        <v>181</v>
      </c>
      <c r="H133" s="14">
        <f t="shared" si="21"/>
        <v>190</v>
      </c>
      <c r="I133" s="14">
        <f t="shared" si="21"/>
        <v>149</v>
      </c>
      <c r="J133" s="14">
        <f t="shared" si="21"/>
        <v>153</v>
      </c>
      <c r="K133" s="14">
        <f t="shared" si="21"/>
        <v>182</v>
      </c>
      <c r="L133" s="14">
        <f t="shared" si="21"/>
        <v>147</v>
      </c>
      <c r="M133" s="14">
        <f t="shared" si="21"/>
        <v>141</v>
      </c>
      <c r="N133" s="14">
        <f t="shared" si="21"/>
        <v>124</v>
      </c>
      <c r="O133" s="14">
        <f t="shared" si="21"/>
        <v>109</v>
      </c>
      <c r="P133" s="14">
        <f t="shared" si="21"/>
        <v>122</v>
      </c>
      <c r="Q133" s="14">
        <f t="shared" si="21"/>
        <v>144</v>
      </c>
      <c r="R133" s="14">
        <f t="shared" si="21"/>
        <v>130</v>
      </c>
      <c r="S133" s="14">
        <f t="shared" si="21"/>
        <v>141</v>
      </c>
      <c r="T133" s="14">
        <f t="shared" si="21"/>
        <v>147</v>
      </c>
      <c r="U133" s="14">
        <f t="shared" si="21"/>
        <v>106</v>
      </c>
      <c r="V133" s="14">
        <f t="shared" si="21"/>
        <v>140</v>
      </c>
      <c r="W133" s="14">
        <f t="shared" si="21"/>
        <v>127</v>
      </c>
      <c r="X133" s="14">
        <f t="shared" si="21"/>
        <v>121</v>
      </c>
      <c r="Y133" s="14">
        <f t="shared" si="21"/>
        <v>162</v>
      </c>
      <c r="Z133" s="14">
        <f t="shared" si="21"/>
        <v>125</v>
      </c>
      <c r="AA133" s="14">
        <f t="shared" si="21"/>
        <v>132</v>
      </c>
      <c r="AB133" s="14">
        <f t="shared" si="21"/>
        <v>143</v>
      </c>
      <c r="AC133" s="14">
        <f t="shared" si="21"/>
        <v>134</v>
      </c>
      <c r="AD133" s="14">
        <f t="shared" si="21"/>
        <v>129</v>
      </c>
      <c r="AE133" s="14">
        <f t="shared" si="21"/>
        <v>142</v>
      </c>
      <c r="AF133" s="14">
        <f t="shared" si="21"/>
        <v>0</v>
      </c>
      <c r="AG133" s="10">
        <f t="shared" si="17"/>
        <v>4403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0</v>
      </c>
      <c r="C134" s="22">
        <f t="shared" si="22"/>
        <v>6</v>
      </c>
      <c r="D134" s="22">
        <f t="shared" si="22"/>
        <v>37</v>
      </c>
      <c r="E134" s="22">
        <f t="shared" si="22"/>
        <v>10</v>
      </c>
      <c r="F134" s="22">
        <f t="shared" si="22"/>
        <v>4</v>
      </c>
      <c r="G134" s="22">
        <f t="shared" si="22"/>
        <v>12</v>
      </c>
      <c r="H134" s="22">
        <f t="shared" si="22"/>
        <v>16</v>
      </c>
      <c r="I134" s="22">
        <f t="shared" si="22"/>
        <v>3</v>
      </c>
      <c r="J134" s="22">
        <f t="shared" si="22"/>
        <v>6</v>
      </c>
      <c r="K134" s="22">
        <f t="shared" si="22"/>
        <v>16</v>
      </c>
      <c r="L134" s="22">
        <f t="shared" si="22"/>
        <v>5</v>
      </c>
      <c r="M134" s="22">
        <f t="shared" si="22"/>
        <v>7</v>
      </c>
      <c r="N134" s="22">
        <f t="shared" si="22"/>
        <v>4</v>
      </c>
      <c r="O134" s="22">
        <f t="shared" si="22"/>
        <v>16</v>
      </c>
      <c r="P134" s="22">
        <f t="shared" si="22"/>
        <v>1</v>
      </c>
      <c r="Q134" s="22">
        <f t="shared" si="22"/>
        <v>6</v>
      </c>
      <c r="R134" s="22">
        <f t="shared" si="22"/>
        <v>7</v>
      </c>
      <c r="S134" s="22">
        <f t="shared" si="22"/>
        <v>9</v>
      </c>
      <c r="T134" s="22">
        <f t="shared" si="22"/>
        <v>5</v>
      </c>
      <c r="U134" s="22">
        <f t="shared" si="22"/>
        <v>0</v>
      </c>
      <c r="V134" s="22">
        <f t="shared" si="22"/>
        <v>7</v>
      </c>
      <c r="W134" s="22">
        <f t="shared" si="22"/>
        <v>2</v>
      </c>
      <c r="X134" s="22">
        <f t="shared" si="22"/>
        <v>21</v>
      </c>
      <c r="Y134" s="22">
        <f t="shared" si="22"/>
        <v>2</v>
      </c>
      <c r="Z134" s="22">
        <f t="shared" si="22"/>
        <v>10</v>
      </c>
      <c r="AA134" s="22">
        <f t="shared" si="22"/>
        <v>7</v>
      </c>
      <c r="AB134" s="22">
        <f t="shared" si="22"/>
        <v>7</v>
      </c>
      <c r="AC134" s="22">
        <f t="shared" si="22"/>
        <v>1</v>
      </c>
      <c r="AD134" s="22">
        <f t="shared" si="22"/>
        <v>2</v>
      </c>
      <c r="AE134" s="22">
        <f t="shared" si="22"/>
        <v>5</v>
      </c>
      <c r="AF134" s="22">
        <f t="shared" si="22"/>
        <v>0</v>
      </c>
      <c r="AG134" s="23">
        <f t="shared" si="17"/>
        <v>234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1</v>
      </c>
      <c r="C135" s="1">
        <f t="shared" si="23"/>
        <v>0</v>
      </c>
      <c r="D135" s="1">
        <f t="shared" si="23"/>
        <v>0</v>
      </c>
      <c r="E135" s="1">
        <f t="shared" si="23"/>
        <v>2</v>
      </c>
      <c r="F135" s="1">
        <f t="shared" si="23"/>
        <v>1</v>
      </c>
      <c r="G135" s="1">
        <f t="shared" si="23"/>
        <v>0</v>
      </c>
      <c r="H135" s="1">
        <f t="shared" si="23"/>
        <v>1</v>
      </c>
      <c r="I135" s="1">
        <f t="shared" si="23"/>
        <v>2</v>
      </c>
      <c r="J135" s="1">
        <f t="shared" si="23"/>
        <v>0</v>
      </c>
      <c r="K135" s="1">
        <f t="shared" si="23"/>
        <v>0</v>
      </c>
      <c r="L135" s="1">
        <f t="shared" si="23"/>
        <v>0</v>
      </c>
      <c r="M135" s="1">
        <f t="shared" si="23"/>
        <v>0</v>
      </c>
      <c r="N135" s="1">
        <f t="shared" si="23"/>
        <v>1</v>
      </c>
      <c r="O135" s="1">
        <f t="shared" si="23"/>
        <v>1</v>
      </c>
      <c r="P135" s="1">
        <f t="shared" si="23"/>
        <v>1</v>
      </c>
      <c r="Q135" s="1">
        <f t="shared" si="23"/>
        <v>1</v>
      </c>
      <c r="R135" s="1">
        <f t="shared" si="23"/>
        <v>0</v>
      </c>
      <c r="S135" s="1">
        <f t="shared" si="23"/>
        <v>0</v>
      </c>
      <c r="T135" s="1">
        <f t="shared" si="23"/>
        <v>2</v>
      </c>
      <c r="U135" s="1">
        <f t="shared" si="23"/>
        <v>1</v>
      </c>
      <c r="V135" s="1">
        <f t="shared" si="23"/>
        <v>0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0</v>
      </c>
      <c r="AA135" s="1">
        <f t="shared" si="23"/>
        <v>1</v>
      </c>
      <c r="AB135" s="1">
        <f t="shared" si="23"/>
        <v>1</v>
      </c>
      <c r="AC135" s="1">
        <f t="shared" si="23"/>
        <v>1</v>
      </c>
      <c r="AD135" s="1">
        <f t="shared" si="23"/>
        <v>1</v>
      </c>
      <c r="AE135" s="1">
        <f t="shared" si="23"/>
        <v>1</v>
      </c>
      <c r="AF135" s="1">
        <f t="shared" si="23"/>
        <v>0</v>
      </c>
      <c r="AG135" s="2">
        <f t="shared" si="17"/>
        <v>19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1</v>
      </c>
      <c r="C136" s="91">
        <v>0</v>
      </c>
      <c r="D136" s="91">
        <v>0</v>
      </c>
      <c r="E136" s="91">
        <v>2</v>
      </c>
      <c r="F136" s="91">
        <v>1</v>
      </c>
      <c r="G136" s="91">
        <v>0</v>
      </c>
      <c r="H136" s="91">
        <v>1</v>
      </c>
      <c r="I136" s="91">
        <v>2</v>
      </c>
      <c r="J136" s="91">
        <v>0</v>
      </c>
      <c r="K136" s="91">
        <v>0</v>
      </c>
      <c r="L136" s="91">
        <v>0</v>
      </c>
      <c r="M136" s="91">
        <v>0</v>
      </c>
      <c r="N136" s="91">
        <v>1</v>
      </c>
      <c r="O136" s="91">
        <v>1</v>
      </c>
      <c r="P136" s="91">
        <v>1</v>
      </c>
      <c r="Q136" s="91">
        <v>1</v>
      </c>
      <c r="R136" s="91">
        <v>0</v>
      </c>
      <c r="S136" s="91">
        <v>0</v>
      </c>
      <c r="T136" s="91">
        <v>2</v>
      </c>
      <c r="U136" s="91">
        <v>1</v>
      </c>
      <c r="V136" s="91">
        <v>0</v>
      </c>
      <c r="W136" s="91">
        <v>0</v>
      </c>
      <c r="X136" s="91">
        <v>0</v>
      </c>
      <c r="Y136" s="91">
        <v>0</v>
      </c>
      <c r="Z136" s="91">
        <v>0</v>
      </c>
      <c r="AA136" s="91">
        <v>1</v>
      </c>
      <c r="AB136" s="91">
        <v>1</v>
      </c>
      <c r="AC136" s="91">
        <v>1</v>
      </c>
      <c r="AD136" s="91">
        <v>1</v>
      </c>
      <c r="AE136" s="91">
        <v>1</v>
      </c>
      <c r="AF136" s="91"/>
      <c r="AG136" s="28">
        <f t="shared" si="17"/>
        <v>19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/>
      <c r="AG137" s="29">
        <f t="shared" si="17"/>
        <v>0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/>
      <c r="AG138" s="30">
        <f t="shared" si="17"/>
        <v>0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2</v>
      </c>
      <c r="C139" s="31">
        <f t="shared" si="24"/>
        <v>7</v>
      </c>
      <c r="D139" s="31">
        <f t="shared" si="24"/>
        <v>1</v>
      </c>
      <c r="E139" s="31">
        <f t="shared" si="24"/>
        <v>5</v>
      </c>
      <c r="F139" s="31">
        <f t="shared" si="24"/>
        <v>3</v>
      </c>
      <c r="G139" s="31">
        <f t="shared" si="24"/>
        <v>9</v>
      </c>
      <c r="H139" s="31">
        <f t="shared" si="24"/>
        <v>5</v>
      </c>
      <c r="I139" s="31">
        <f t="shared" si="24"/>
        <v>2</v>
      </c>
      <c r="J139" s="31">
        <f t="shared" si="24"/>
        <v>5</v>
      </c>
      <c r="K139" s="31">
        <f t="shared" si="24"/>
        <v>8</v>
      </c>
      <c r="L139" s="31">
        <f t="shared" si="24"/>
        <v>4</v>
      </c>
      <c r="M139" s="31">
        <f t="shared" si="24"/>
        <v>2</v>
      </c>
      <c r="N139" s="31">
        <f t="shared" si="24"/>
        <v>6</v>
      </c>
      <c r="O139" s="31">
        <f t="shared" si="24"/>
        <v>2</v>
      </c>
      <c r="P139" s="31">
        <f t="shared" si="24"/>
        <v>1</v>
      </c>
      <c r="Q139" s="31">
        <f t="shared" si="24"/>
        <v>8</v>
      </c>
      <c r="R139" s="31">
        <f t="shared" si="24"/>
        <v>1</v>
      </c>
      <c r="S139" s="31">
        <f t="shared" si="24"/>
        <v>8</v>
      </c>
      <c r="T139" s="31">
        <f t="shared" si="24"/>
        <v>3</v>
      </c>
      <c r="U139" s="31">
        <f t="shared" si="24"/>
        <v>1</v>
      </c>
      <c r="V139" s="31">
        <f t="shared" si="24"/>
        <v>2</v>
      </c>
      <c r="W139" s="31">
        <f t="shared" si="24"/>
        <v>2</v>
      </c>
      <c r="X139" s="31">
        <f t="shared" si="24"/>
        <v>9</v>
      </c>
      <c r="Y139" s="31">
        <f t="shared" si="24"/>
        <v>7</v>
      </c>
      <c r="Z139" s="31">
        <f t="shared" si="24"/>
        <v>4</v>
      </c>
      <c r="AA139" s="31">
        <f t="shared" si="24"/>
        <v>3</v>
      </c>
      <c r="AB139" s="31">
        <f t="shared" si="24"/>
        <v>4</v>
      </c>
      <c r="AC139" s="31">
        <f t="shared" si="24"/>
        <v>6</v>
      </c>
      <c r="AD139" s="31">
        <f t="shared" si="24"/>
        <v>4</v>
      </c>
      <c r="AE139" s="31">
        <f t="shared" si="24"/>
        <v>7</v>
      </c>
      <c r="AF139" s="31">
        <f t="shared" si="24"/>
        <v>0</v>
      </c>
      <c r="AG139" s="32">
        <f t="shared" si="17"/>
        <v>131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0</v>
      </c>
      <c r="C140" s="97">
        <v>0</v>
      </c>
      <c r="D140" s="97">
        <v>0</v>
      </c>
      <c r="E140" s="97">
        <v>1</v>
      </c>
      <c r="F140" s="97">
        <v>0</v>
      </c>
      <c r="G140" s="97">
        <v>0</v>
      </c>
      <c r="H140" s="97">
        <v>1</v>
      </c>
      <c r="I140" s="97">
        <v>0</v>
      </c>
      <c r="J140" s="97">
        <v>0</v>
      </c>
      <c r="K140" s="97">
        <v>2</v>
      </c>
      <c r="L140" s="97">
        <v>1</v>
      </c>
      <c r="M140" s="97">
        <v>0</v>
      </c>
      <c r="N140" s="97">
        <v>3</v>
      </c>
      <c r="O140" s="97">
        <v>0</v>
      </c>
      <c r="P140" s="97">
        <v>0</v>
      </c>
      <c r="Q140" s="97">
        <v>1</v>
      </c>
      <c r="R140" s="97">
        <v>0</v>
      </c>
      <c r="S140" s="97">
        <v>2</v>
      </c>
      <c r="T140" s="97">
        <v>0</v>
      </c>
      <c r="U140" s="97">
        <v>0</v>
      </c>
      <c r="V140" s="97">
        <v>0</v>
      </c>
      <c r="W140" s="97">
        <v>2</v>
      </c>
      <c r="X140" s="97">
        <v>3</v>
      </c>
      <c r="Y140" s="97">
        <v>2</v>
      </c>
      <c r="Z140" s="97">
        <v>0</v>
      </c>
      <c r="AA140" s="97">
        <v>0</v>
      </c>
      <c r="AB140" s="97">
        <v>0</v>
      </c>
      <c r="AC140" s="97">
        <v>0</v>
      </c>
      <c r="AD140" s="97">
        <v>1</v>
      </c>
      <c r="AE140" s="97">
        <v>0</v>
      </c>
      <c r="AF140" s="97"/>
      <c r="AG140" s="33">
        <f t="shared" si="17"/>
        <v>19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2</v>
      </c>
      <c r="C141" s="98">
        <v>7</v>
      </c>
      <c r="D141" s="98">
        <v>1</v>
      </c>
      <c r="E141" s="98">
        <v>4</v>
      </c>
      <c r="F141" s="98">
        <v>3</v>
      </c>
      <c r="G141" s="98">
        <v>9</v>
      </c>
      <c r="H141" s="98">
        <v>4</v>
      </c>
      <c r="I141" s="98">
        <v>2</v>
      </c>
      <c r="J141" s="98">
        <v>5</v>
      </c>
      <c r="K141" s="98">
        <v>6</v>
      </c>
      <c r="L141" s="98">
        <v>3</v>
      </c>
      <c r="M141" s="98">
        <v>2</v>
      </c>
      <c r="N141" s="98">
        <v>3</v>
      </c>
      <c r="O141" s="98">
        <v>2</v>
      </c>
      <c r="P141" s="98">
        <v>1</v>
      </c>
      <c r="Q141" s="98">
        <v>7</v>
      </c>
      <c r="R141" s="98">
        <v>1</v>
      </c>
      <c r="S141" s="98">
        <v>6</v>
      </c>
      <c r="T141" s="98">
        <v>3</v>
      </c>
      <c r="U141" s="98">
        <v>1</v>
      </c>
      <c r="V141" s="98">
        <v>2</v>
      </c>
      <c r="W141" s="98">
        <v>0</v>
      </c>
      <c r="X141" s="98">
        <v>6</v>
      </c>
      <c r="Y141" s="98">
        <v>5</v>
      </c>
      <c r="Z141" s="98">
        <v>4</v>
      </c>
      <c r="AA141" s="98">
        <v>3</v>
      </c>
      <c r="AB141" s="98">
        <v>4</v>
      </c>
      <c r="AC141" s="98">
        <v>6</v>
      </c>
      <c r="AD141" s="98">
        <v>3</v>
      </c>
      <c r="AE141" s="98">
        <v>7</v>
      </c>
      <c r="AF141" s="98"/>
      <c r="AG141" s="34">
        <f t="shared" si="17"/>
        <v>112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>
        <v>1</v>
      </c>
      <c r="C143" s="102">
        <v>5</v>
      </c>
      <c r="D143" s="102">
        <v>0</v>
      </c>
      <c r="E143" s="102">
        <v>2</v>
      </c>
      <c r="F143" s="102">
        <v>2</v>
      </c>
      <c r="G143" s="102">
        <v>3</v>
      </c>
      <c r="H143" s="102">
        <v>2</v>
      </c>
      <c r="I143" s="102">
        <v>2</v>
      </c>
      <c r="J143" s="102">
        <v>2</v>
      </c>
      <c r="K143" s="102">
        <v>1</v>
      </c>
      <c r="L143" s="102">
        <v>1</v>
      </c>
      <c r="M143" s="102">
        <v>0</v>
      </c>
      <c r="N143" s="102">
        <v>0</v>
      </c>
      <c r="O143" s="102">
        <v>1</v>
      </c>
      <c r="P143" s="102">
        <v>0</v>
      </c>
      <c r="Q143" s="102">
        <v>0</v>
      </c>
      <c r="R143" s="102">
        <v>0</v>
      </c>
      <c r="S143" s="102">
        <v>1</v>
      </c>
      <c r="T143" s="102">
        <v>2</v>
      </c>
      <c r="U143" s="102">
        <v>0</v>
      </c>
      <c r="V143" s="102">
        <v>0</v>
      </c>
      <c r="W143" s="102">
        <v>0</v>
      </c>
      <c r="X143" s="102">
        <v>2</v>
      </c>
      <c r="Y143" s="102">
        <v>1</v>
      </c>
      <c r="Z143" s="102">
        <v>1</v>
      </c>
      <c r="AA143" s="102">
        <v>0</v>
      </c>
      <c r="AB143" s="102">
        <v>1</v>
      </c>
      <c r="AC143" s="102">
        <v>0</v>
      </c>
      <c r="AD143" s="102">
        <v>0</v>
      </c>
      <c r="AE143" s="102">
        <v>0</v>
      </c>
      <c r="AF143" s="102">
        <v>0</v>
      </c>
      <c r="AG143" s="36">
        <f t="shared" si="17"/>
        <v>30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66</v>
      </c>
      <c r="C144" s="37">
        <f t="shared" si="25"/>
        <v>63</v>
      </c>
      <c r="D144" s="37">
        <f t="shared" si="25"/>
        <v>84</v>
      </c>
      <c r="E144" s="37">
        <f t="shared" si="25"/>
        <v>73</v>
      </c>
      <c r="F144" s="37">
        <f t="shared" si="25"/>
        <v>51</v>
      </c>
      <c r="G144" s="37">
        <f t="shared" si="25"/>
        <v>66</v>
      </c>
      <c r="H144" s="37">
        <f t="shared" si="25"/>
        <v>62</v>
      </c>
      <c r="I144" s="37">
        <f t="shared" si="25"/>
        <v>53</v>
      </c>
      <c r="J144" s="37">
        <f t="shared" si="25"/>
        <v>54</v>
      </c>
      <c r="K144" s="37">
        <f t="shared" si="25"/>
        <v>49</v>
      </c>
      <c r="L144" s="37">
        <f t="shared" si="25"/>
        <v>53</v>
      </c>
      <c r="M144" s="37">
        <f t="shared" si="25"/>
        <v>43</v>
      </c>
      <c r="N144" s="37">
        <f t="shared" si="25"/>
        <v>41</v>
      </c>
      <c r="O144" s="37">
        <f t="shared" si="25"/>
        <v>28</v>
      </c>
      <c r="P144" s="37">
        <f t="shared" si="25"/>
        <v>25</v>
      </c>
      <c r="Q144" s="37">
        <f t="shared" si="25"/>
        <v>26</v>
      </c>
      <c r="R144" s="37">
        <f t="shared" si="25"/>
        <v>25</v>
      </c>
      <c r="S144" s="37">
        <f t="shared" si="25"/>
        <v>36</v>
      </c>
      <c r="T144" s="37">
        <f t="shared" si="25"/>
        <v>49</v>
      </c>
      <c r="U144" s="37">
        <f t="shared" si="25"/>
        <v>34</v>
      </c>
      <c r="V144" s="37">
        <f t="shared" si="25"/>
        <v>30</v>
      </c>
      <c r="W144" s="37">
        <f t="shared" si="25"/>
        <v>34</v>
      </c>
      <c r="X144" s="37">
        <f t="shared" si="25"/>
        <v>23</v>
      </c>
      <c r="Y144" s="37">
        <f t="shared" si="25"/>
        <v>45</v>
      </c>
      <c r="Z144" s="37">
        <f t="shared" si="25"/>
        <v>30</v>
      </c>
      <c r="AA144" s="37">
        <f t="shared" si="25"/>
        <v>32</v>
      </c>
      <c r="AB144" s="37">
        <f t="shared" si="25"/>
        <v>26</v>
      </c>
      <c r="AC144" s="37">
        <f t="shared" si="25"/>
        <v>29</v>
      </c>
      <c r="AD144" s="37">
        <f t="shared" si="25"/>
        <v>27</v>
      </c>
      <c r="AE144" s="37">
        <f t="shared" si="25"/>
        <v>31</v>
      </c>
      <c r="AF144" s="37">
        <f t="shared" si="25"/>
        <v>0</v>
      </c>
      <c r="AG144" s="24">
        <f t="shared" si="17"/>
        <v>1288</v>
      </c>
      <c r="AK144" s="84" t="s">
        <v>155</v>
      </c>
    </row>
    <row r="145" spans="1:37" ht="15.75" customHeight="1" x14ac:dyDescent="0.25">
      <c r="A145" s="104" t="s">
        <v>92</v>
      </c>
      <c r="B145" s="105">
        <v>4</v>
      </c>
      <c r="C145" s="105">
        <v>11</v>
      </c>
      <c r="D145" s="105">
        <v>4</v>
      </c>
      <c r="E145" s="105">
        <v>9</v>
      </c>
      <c r="F145" s="105">
        <v>3</v>
      </c>
      <c r="G145" s="105">
        <v>9</v>
      </c>
      <c r="H145" s="105">
        <v>5</v>
      </c>
      <c r="I145" s="105">
        <v>7</v>
      </c>
      <c r="J145" s="105">
        <v>4</v>
      </c>
      <c r="K145" s="105">
        <v>3</v>
      </c>
      <c r="L145" s="105">
        <v>3</v>
      </c>
      <c r="M145" s="105">
        <v>9</v>
      </c>
      <c r="N145" s="105">
        <v>6</v>
      </c>
      <c r="O145" s="105">
        <v>7</v>
      </c>
      <c r="P145" s="105">
        <v>1</v>
      </c>
      <c r="Q145" s="105">
        <v>6</v>
      </c>
      <c r="R145" s="105">
        <v>3</v>
      </c>
      <c r="S145" s="105">
        <v>3</v>
      </c>
      <c r="T145" s="105">
        <v>2</v>
      </c>
      <c r="U145" s="105">
        <v>2</v>
      </c>
      <c r="V145" s="105">
        <v>3</v>
      </c>
      <c r="W145" s="105">
        <v>10</v>
      </c>
      <c r="X145" s="105">
        <v>4</v>
      </c>
      <c r="Y145" s="105">
        <v>2</v>
      </c>
      <c r="Z145" s="105">
        <v>6</v>
      </c>
      <c r="AA145" s="105">
        <v>3</v>
      </c>
      <c r="AB145" s="105">
        <v>4</v>
      </c>
      <c r="AC145" s="105">
        <v>0</v>
      </c>
      <c r="AD145" s="105">
        <v>4</v>
      </c>
      <c r="AE145" s="105">
        <v>6</v>
      </c>
      <c r="AF145" s="105"/>
      <c r="AG145" s="38">
        <f t="shared" si="17"/>
        <v>143</v>
      </c>
      <c r="AK145" s="84" t="s">
        <v>156</v>
      </c>
    </row>
    <row r="146" spans="1:37" ht="15.75" customHeight="1" x14ac:dyDescent="0.25">
      <c r="A146" s="106" t="s">
        <v>93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/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2</v>
      </c>
      <c r="H147" s="77">
        <v>1</v>
      </c>
      <c r="I147" s="77">
        <v>0</v>
      </c>
      <c r="J147" s="77">
        <v>1</v>
      </c>
      <c r="K147" s="77">
        <v>0</v>
      </c>
      <c r="L147" s="77">
        <v>3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2</v>
      </c>
      <c r="S147" s="77">
        <v>0</v>
      </c>
      <c r="T147" s="77">
        <v>0</v>
      </c>
      <c r="U147" s="77">
        <v>1</v>
      </c>
      <c r="V147" s="77">
        <v>0</v>
      </c>
      <c r="W147" s="77">
        <v>0</v>
      </c>
      <c r="X147" s="77">
        <v>1</v>
      </c>
      <c r="Y147" s="77">
        <v>0</v>
      </c>
      <c r="Z147" s="77">
        <v>3</v>
      </c>
      <c r="AA147" s="77">
        <v>1</v>
      </c>
      <c r="AB147" s="77">
        <v>1</v>
      </c>
      <c r="AC147" s="77">
        <v>0</v>
      </c>
      <c r="AD147" s="77">
        <v>0</v>
      </c>
      <c r="AE147" s="77">
        <v>0</v>
      </c>
      <c r="AF147" s="77"/>
      <c r="AG147" s="5">
        <f t="shared" si="17"/>
        <v>16</v>
      </c>
      <c r="AK147" s="84" t="s">
        <v>158</v>
      </c>
    </row>
    <row r="148" spans="1:37" ht="15.75" customHeight="1" x14ac:dyDescent="0.25">
      <c r="A148" s="106" t="s">
        <v>95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/>
      <c r="AG148" s="5">
        <f t="shared" si="17"/>
        <v>0</v>
      </c>
      <c r="AK148" s="84" t="s">
        <v>159</v>
      </c>
    </row>
    <row r="149" spans="1:37" ht="15.75" customHeight="1" x14ac:dyDescent="0.25">
      <c r="A149" s="107" t="s">
        <v>96</v>
      </c>
      <c r="B149" s="108">
        <v>58</v>
      </c>
      <c r="C149" s="108">
        <v>50</v>
      </c>
      <c r="D149" s="108">
        <v>73</v>
      </c>
      <c r="E149" s="108">
        <v>59</v>
      </c>
      <c r="F149" s="108">
        <v>46</v>
      </c>
      <c r="G149" s="108">
        <v>54</v>
      </c>
      <c r="H149" s="108">
        <v>52</v>
      </c>
      <c r="I149" s="108">
        <v>39</v>
      </c>
      <c r="J149" s="108">
        <v>42</v>
      </c>
      <c r="K149" s="108">
        <v>45</v>
      </c>
      <c r="L149" s="108">
        <v>41</v>
      </c>
      <c r="M149" s="108">
        <v>30</v>
      </c>
      <c r="N149" s="108">
        <v>33</v>
      </c>
      <c r="O149" s="108">
        <v>21</v>
      </c>
      <c r="P149" s="108">
        <v>21</v>
      </c>
      <c r="Q149" s="108">
        <v>18</v>
      </c>
      <c r="R149" s="108">
        <v>18</v>
      </c>
      <c r="S149" s="108">
        <v>31</v>
      </c>
      <c r="T149" s="108">
        <v>42</v>
      </c>
      <c r="U149" s="108">
        <v>27</v>
      </c>
      <c r="V149" s="108">
        <v>26</v>
      </c>
      <c r="W149" s="108">
        <v>21</v>
      </c>
      <c r="X149" s="108">
        <v>12</v>
      </c>
      <c r="Y149" s="108">
        <v>39</v>
      </c>
      <c r="Z149" s="108">
        <v>17</v>
      </c>
      <c r="AA149" s="108">
        <v>25</v>
      </c>
      <c r="AB149" s="108">
        <v>19</v>
      </c>
      <c r="AC149" s="108">
        <v>20</v>
      </c>
      <c r="AD149" s="108">
        <v>22</v>
      </c>
      <c r="AE149" s="108">
        <v>25</v>
      </c>
      <c r="AF149" s="108"/>
      <c r="AG149" s="39">
        <f t="shared" si="17"/>
        <v>1026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>
        <v>0</v>
      </c>
      <c r="C153" s="77">
        <v>0</v>
      </c>
      <c r="D153" s="77">
        <v>0</v>
      </c>
      <c r="E153" s="77">
        <v>0</v>
      </c>
      <c r="F153" s="77">
        <v>1</v>
      </c>
      <c r="G153" s="77">
        <v>0</v>
      </c>
      <c r="H153" s="77">
        <v>0</v>
      </c>
      <c r="I153" s="77">
        <v>0</v>
      </c>
      <c r="J153" s="77">
        <v>2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1</v>
      </c>
      <c r="Y153" s="77">
        <v>1</v>
      </c>
      <c r="Z153" s="77">
        <v>0</v>
      </c>
      <c r="AA153" s="77">
        <v>2</v>
      </c>
      <c r="AB153" s="77">
        <v>0</v>
      </c>
      <c r="AC153" s="77">
        <v>0</v>
      </c>
      <c r="AD153" s="77">
        <v>0</v>
      </c>
      <c r="AE153" s="77">
        <v>0</v>
      </c>
      <c r="AF153" s="77"/>
      <c r="AG153" s="5">
        <f t="shared" si="17"/>
        <v>7</v>
      </c>
      <c r="AK153" s="109" t="s">
        <v>127</v>
      </c>
    </row>
    <row r="154" spans="1:37" ht="15.75" customHeight="1" x14ac:dyDescent="0.25">
      <c r="A154" s="76" t="s">
        <v>101</v>
      </c>
      <c r="B154" s="77">
        <v>0</v>
      </c>
      <c r="C154" s="77">
        <v>0</v>
      </c>
      <c r="D154" s="77">
        <v>2</v>
      </c>
      <c r="E154" s="77">
        <v>4</v>
      </c>
      <c r="F154" s="77">
        <v>1</v>
      </c>
      <c r="G154" s="77">
        <v>0</v>
      </c>
      <c r="H154" s="77">
        <v>1</v>
      </c>
      <c r="I154" s="77">
        <v>1</v>
      </c>
      <c r="J154" s="77">
        <v>0</v>
      </c>
      <c r="K154" s="77">
        <v>1</v>
      </c>
      <c r="L154" s="77">
        <v>5</v>
      </c>
      <c r="M154" s="77">
        <v>3</v>
      </c>
      <c r="N154" s="77">
        <v>0</v>
      </c>
      <c r="O154" s="77">
        <v>0</v>
      </c>
      <c r="P154" s="77">
        <v>0</v>
      </c>
      <c r="Q154" s="77">
        <v>0</v>
      </c>
      <c r="R154" s="77">
        <v>0</v>
      </c>
      <c r="S154" s="77">
        <v>1</v>
      </c>
      <c r="T154" s="77">
        <v>0</v>
      </c>
      <c r="U154" s="77">
        <v>0</v>
      </c>
      <c r="V154" s="77">
        <v>0</v>
      </c>
      <c r="W154" s="77">
        <v>0</v>
      </c>
      <c r="X154" s="77">
        <v>0</v>
      </c>
      <c r="Y154" s="77">
        <v>0</v>
      </c>
      <c r="Z154" s="77">
        <v>0</v>
      </c>
      <c r="AA154" s="77">
        <v>1</v>
      </c>
      <c r="AB154" s="77">
        <v>0</v>
      </c>
      <c r="AC154" s="77">
        <v>1</v>
      </c>
      <c r="AD154" s="77">
        <v>0</v>
      </c>
      <c r="AE154" s="77">
        <v>0</v>
      </c>
      <c r="AF154" s="77"/>
      <c r="AG154" s="5">
        <f t="shared" si="17"/>
        <v>21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>
        <v>2</v>
      </c>
      <c r="C158" s="111">
        <v>2</v>
      </c>
      <c r="D158" s="111">
        <v>1</v>
      </c>
      <c r="E158" s="111">
        <v>0</v>
      </c>
      <c r="F158" s="111">
        <v>0</v>
      </c>
      <c r="G158" s="111">
        <v>0</v>
      </c>
      <c r="H158" s="111">
        <v>2</v>
      </c>
      <c r="I158" s="111">
        <v>4</v>
      </c>
      <c r="J158" s="111">
        <v>4</v>
      </c>
      <c r="K158" s="111">
        <v>0</v>
      </c>
      <c r="L158" s="111">
        <v>0</v>
      </c>
      <c r="M158" s="111">
        <v>0</v>
      </c>
      <c r="N158" s="111">
        <v>1</v>
      </c>
      <c r="O158" s="111">
        <v>0</v>
      </c>
      <c r="P158" s="111">
        <v>2</v>
      </c>
      <c r="Q158" s="111">
        <v>1</v>
      </c>
      <c r="R158" s="111">
        <v>2</v>
      </c>
      <c r="S158" s="111">
        <v>0</v>
      </c>
      <c r="T158" s="111">
        <v>3</v>
      </c>
      <c r="U158" s="111">
        <v>3</v>
      </c>
      <c r="V158" s="111">
        <v>0</v>
      </c>
      <c r="W158" s="111">
        <v>3</v>
      </c>
      <c r="X158" s="111">
        <v>2</v>
      </c>
      <c r="Y158" s="111">
        <v>1</v>
      </c>
      <c r="Z158" s="111">
        <v>3</v>
      </c>
      <c r="AA158" s="111">
        <v>0</v>
      </c>
      <c r="AB158" s="111">
        <v>0</v>
      </c>
      <c r="AC158" s="111">
        <v>5</v>
      </c>
      <c r="AD158" s="111">
        <v>0</v>
      </c>
      <c r="AE158" s="111">
        <v>0</v>
      </c>
      <c r="AF158" s="111"/>
      <c r="AG158" s="40">
        <f t="shared" si="17"/>
        <v>41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/>
      <c r="AG162" s="5">
        <f t="shared" si="17"/>
        <v>0</v>
      </c>
    </row>
    <row r="163" spans="1:34" ht="15.75" customHeight="1" x14ac:dyDescent="0.25">
      <c r="A163" s="112" t="s">
        <v>110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/>
      <c r="AG165" s="5">
        <f t="shared" si="26"/>
        <v>0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>
        <v>0</v>
      </c>
      <c r="C167" s="77">
        <v>0</v>
      </c>
      <c r="D167" s="77">
        <v>1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1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2</v>
      </c>
      <c r="Y167" s="77">
        <v>0</v>
      </c>
      <c r="Z167" s="77">
        <v>0</v>
      </c>
      <c r="AA167" s="77">
        <v>0</v>
      </c>
      <c r="AB167" s="77">
        <v>1</v>
      </c>
      <c r="AC167" s="77">
        <v>1</v>
      </c>
      <c r="AD167" s="77">
        <v>0</v>
      </c>
      <c r="AE167" s="77">
        <v>0</v>
      </c>
      <c r="AF167" s="77"/>
      <c r="AG167" s="5">
        <f t="shared" si="26"/>
        <v>6</v>
      </c>
    </row>
    <row r="168" spans="1:34" ht="15.75" customHeight="1" x14ac:dyDescent="0.25">
      <c r="A168" s="76" t="s">
        <v>115</v>
      </c>
      <c r="B168" s="113">
        <v>1</v>
      </c>
      <c r="C168" s="113">
        <v>0</v>
      </c>
      <c r="D168" s="113">
        <v>3</v>
      </c>
      <c r="E168" s="113">
        <v>1</v>
      </c>
      <c r="F168" s="113">
        <v>0</v>
      </c>
      <c r="G168" s="113">
        <v>1</v>
      </c>
      <c r="H168" s="113">
        <v>1</v>
      </c>
      <c r="I168" s="113">
        <v>1</v>
      </c>
      <c r="J168" s="113">
        <v>1</v>
      </c>
      <c r="K168" s="113">
        <v>0</v>
      </c>
      <c r="L168" s="113">
        <v>0</v>
      </c>
      <c r="M168" s="113">
        <v>1</v>
      </c>
      <c r="N168" s="113">
        <v>1</v>
      </c>
      <c r="O168" s="113">
        <v>0</v>
      </c>
      <c r="P168" s="113">
        <v>1</v>
      </c>
      <c r="Q168" s="113">
        <v>1</v>
      </c>
      <c r="R168" s="113">
        <v>0</v>
      </c>
      <c r="S168" s="113">
        <v>1</v>
      </c>
      <c r="T168" s="113">
        <v>1</v>
      </c>
      <c r="U168" s="113">
        <v>0</v>
      </c>
      <c r="V168" s="113">
        <v>1</v>
      </c>
      <c r="W168" s="113">
        <v>0</v>
      </c>
      <c r="X168" s="113">
        <v>0</v>
      </c>
      <c r="Y168" s="113">
        <v>1</v>
      </c>
      <c r="Z168" s="113">
        <v>1</v>
      </c>
      <c r="AA168" s="113">
        <v>0</v>
      </c>
      <c r="AB168" s="113">
        <v>0</v>
      </c>
      <c r="AC168" s="113">
        <v>1</v>
      </c>
      <c r="AD168" s="113">
        <v>0</v>
      </c>
      <c r="AE168" s="113">
        <v>0</v>
      </c>
      <c r="AF168" s="113"/>
      <c r="AG168" s="5">
        <f t="shared" si="26"/>
        <v>19</v>
      </c>
    </row>
    <row r="169" spans="1:34" ht="15.75" customHeight="1" x14ac:dyDescent="0.25">
      <c r="A169" s="114" t="s">
        <v>116</v>
      </c>
      <c r="B169" s="113">
        <v>1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1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1</v>
      </c>
      <c r="U169" s="113">
        <v>1</v>
      </c>
      <c r="V169" s="113">
        <v>0</v>
      </c>
      <c r="W169" s="113">
        <v>0</v>
      </c>
      <c r="X169" s="113">
        <v>1</v>
      </c>
      <c r="Y169" s="113">
        <v>1</v>
      </c>
      <c r="Z169" s="113">
        <v>0</v>
      </c>
      <c r="AA169" s="113">
        <v>0</v>
      </c>
      <c r="AB169" s="113">
        <v>1</v>
      </c>
      <c r="AC169" s="113">
        <v>1</v>
      </c>
      <c r="AD169" s="113">
        <v>1</v>
      </c>
      <c r="AE169" s="113">
        <v>0</v>
      </c>
      <c r="AF169" s="113"/>
      <c r="AG169" s="5">
        <f t="shared" si="26"/>
        <v>9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170</v>
      </c>
      <c r="C171" s="41">
        <f t="shared" si="27"/>
        <v>162</v>
      </c>
      <c r="D171" s="41">
        <f t="shared" si="27"/>
        <v>212</v>
      </c>
      <c r="E171" s="41">
        <f t="shared" si="27"/>
        <v>192</v>
      </c>
      <c r="F171" s="41">
        <f t="shared" si="27"/>
        <v>146</v>
      </c>
      <c r="G171" s="41">
        <f t="shared" si="27"/>
        <v>181</v>
      </c>
      <c r="H171" s="41">
        <f t="shared" si="27"/>
        <v>190</v>
      </c>
      <c r="I171" s="41">
        <f t="shared" si="27"/>
        <v>149</v>
      </c>
      <c r="J171" s="41">
        <f t="shared" si="27"/>
        <v>153</v>
      </c>
      <c r="K171" s="41">
        <f t="shared" si="27"/>
        <v>182</v>
      </c>
      <c r="L171" s="41">
        <f t="shared" si="27"/>
        <v>147</v>
      </c>
      <c r="M171" s="41">
        <f t="shared" si="27"/>
        <v>141</v>
      </c>
      <c r="N171" s="41">
        <f t="shared" si="27"/>
        <v>124</v>
      </c>
      <c r="O171" s="41">
        <f t="shared" si="27"/>
        <v>109</v>
      </c>
      <c r="P171" s="41">
        <f t="shared" si="27"/>
        <v>122</v>
      </c>
      <c r="Q171" s="41">
        <f t="shared" si="27"/>
        <v>144</v>
      </c>
      <c r="R171" s="41">
        <f t="shared" si="27"/>
        <v>130</v>
      </c>
      <c r="S171" s="41">
        <f t="shared" si="27"/>
        <v>141</v>
      </c>
      <c r="T171" s="41">
        <f t="shared" si="27"/>
        <v>147</v>
      </c>
      <c r="U171" s="41">
        <f t="shared" si="27"/>
        <v>106</v>
      </c>
      <c r="V171" s="41">
        <f t="shared" si="27"/>
        <v>140</v>
      </c>
      <c r="W171" s="41">
        <f t="shared" si="27"/>
        <v>127</v>
      </c>
      <c r="X171" s="41">
        <f t="shared" si="27"/>
        <v>121</v>
      </c>
      <c r="Y171" s="41">
        <f t="shared" si="27"/>
        <v>162</v>
      </c>
      <c r="Z171" s="41">
        <f t="shared" si="27"/>
        <v>125</v>
      </c>
      <c r="AA171" s="41">
        <f t="shared" si="27"/>
        <v>132</v>
      </c>
      <c r="AB171" s="41">
        <f t="shared" si="27"/>
        <v>143</v>
      </c>
      <c r="AC171" s="41">
        <f t="shared" si="27"/>
        <v>134</v>
      </c>
      <c r="AD171" s="41">
        <f t="shared" si="27"/>
        <v>129</v>
      </c>
      <c r="AE171" s="41">
        <f t="shared" si="27"/>
        <v>142</v>
      </c>
      <c r="AF171" s="41">
        <f t="shared" si="27"/>
        <v>0</v>
      </c>
      <c r="AG171" s="42">
        <f t="shared" si="26"/>
        <v>4403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/>
      <c r="AG172" s="43">
        <f t="shared" si="26"/>
        <v>0</v>
      </c>
    </row>
    <row r="173" spans="1:34" ht="15.75" customHeight="1" x14ac:dyDescent="0.25">
      <c r="A173" s="119" t="s">
        <v>38</v>
      </c>
      <c r="B173" s="120">
        <v>3</v>
      </c>
      <c r="C173" s="120">
        <v>2</v>
      </c>
      <c r="D173" s="120">
        <v>0</v>
      </c>
      <c r="E173" s="120">
        <v>1</v>
      </c>
      <c r="F173" s="120">
        <v>4</v>
      </c>
      <c r="G173" s="120">
        <v>2</v>
      </c>
      <c r="H173" s="120">
        <v>3</v>
      </c>
      <c r="I173" s="120">
        <v>2</v>
      </c>
      <c r="J173" s="120">
        <v>1</v>
      </c>
      <c r="K173" s="120">
        <v>2</v>
      </c>
      <c r="L173" s="120">
        <v>0</v>
      </c>
      <c r="M173" s="120">
        <v>1</v>
      </c>
      <c r="N173" s="120">
        <v>2</v>
      </c>
      <c r="O173" s="120">
        <v>0</v>
      </c>
      <c r="P173" s="120">
        <v>2</v>
      </c>
      <c r="Q173" s="120">
        <v>0</v>
      </c>
      <c r="R173" s="120">
        <v>2</v>
      </c>
      <c r="S173" s="120">
        <v>2</v>
      </c>
      <c r="T173" s="120">
        <v>1</v>
      </c>
      <c r="U173" s="120">
        <v>1</v>
      </c>
      <c r="V173" s="120">
        <v>0</v>
      </c>
      <c r="W173" s="120">
        <v>0</v>
      </c>
      <c r="X173" s="120">
        <v>1</v>
      </c>
      <c r="Y173" s="120">
        <v>1</v>
      </c>
      <c r="Z173" s="120">
        <v>1</v>
      </c>
      <c r="AA173" s="120">
        <v>2</v>
      </c>
      <c r="AB173" s="120">
        <v>2</v>
      </c>
      <c r="AC173" s="120">
        <v>1</v>
      </c>
      <c r="AD173" s="120">
        <v>0</v>
      </c>
      <c r="AE173" s="120">
        <v>0</v>
      </c>
      <c r="AF173" s="120"/>
      <c r="AG173" s="44">
        <f t="shared" si="26"/>
        <v>39</v>
      </c>
    </row>
    <row r="174" spans="1:34" ht="15.75" customHeight="1" x14ac:dyDescent="0.25">
      <c r="A174" s="119" t="s">
        <v>39</v>
      </c>
      <c r="B174" s="120">
        <v>18</v>
      </c>
      <c r="C174" s="120">
        <v>30</v>
      </c>
      <c r="D174" s="120">
        <v>24</v>
      </c>
      <c r="E174" s="120">
        <v>24</v>
      </c>
      <c r="F174" s="120">
        <v>21</v>
      </c>
      <c r="G174" s="120">
        <v>33</v>
      </c>
      <c r="H174" s="120">
        <v>29</v>
      </c>
      <c r="I174" s="120">
        <v>23</v>
      </c>
      <c r="J174" s="120">
        <v>28</v>
      </c>
      <c r="K174" s="120">
        <v>26</v>
      </c>
      <c r="L174" s="120">
        <v>13</v>
      </c>
      <c r="M174" s="120">
        <v>27</v>
      </c>
      <c r="N174" s="120">
        <v>19</v>
      </c>
      <c r="O174" s="120">
        <v>24</v>
      </c>
      <c r="P174" s="120">
        <v>18</v>
      </c>
      <c r="Q174" s="120">
        <v>26</v>
      </c>
      <c r="R174" s="120">
        <v>12</v>
      </c>
      <c r="S174" s="120">
        <v>16</v>
      </c>
      <c r="T174" s="120">
        <v>24</v>
      </c>
      <c r="U174" s="120">
        <v>12</v>
      </c>
      <c r="V174" s="120">
        <v>22</v>
      </c>
      <c r="W174" s="120">
        <v>27</v>
      </c>
      <c r="X174" s="120">
        <v>35</v>
      </c>
      <c r="Y174" s="120">
        <v>15</v>
      </c>
      <c r="Z174" s="120">
        <v>23</v>
      </c>
      <c r="AA174" s="120">
        <v>15</v>
      </c>
      <c r="AB174" s="120">
        <v>20</v>
      </c>
      <c r="AC174" s="120">
        <v>15</v>
      </c>
      <c r="AD174" s="120">
        <v>11</v>
      </c>
      <c r="AE174" s="120">
        <v>24</v>
      </c>
      <c r="AF174" s="120"/>
      <c r="AG174" s="44">
        <f t="shared" si="26"/>
        <v>654</v>
      </c>
    </row>
    <row r="175" spans="1:34" ht="15.75" customHeight="1" x14ac:dyDescent="0.25">
      <c r="A175" s="119" t="s">
        <v>40</v>
      </c>
      <c r="B175" s="120">
        <v>128</v>
      </c>
      <c r="C175" s="120">
        <v>108</v>
      </c>
      <c r="D175" s="120">
        <v>164</v>
      </c>
      <c r="E175" s="120">
        <v>155</v>
      </c>
      <c r="F175" s="120">
        <v>103</v>
      </c>
      <c r="G175" s="120">
        <v>118</v>
      </c>
      <c r="H175" s="120">
        <v>146</v>
      </c>
      <c r="I175" s="120">
        <v>95</v>
      </c>
      <c r="J175" s="120">
        <v>121</v>
      </c>
      <c r="K175" s="120">
        <v>129</v>
      </c>
      <c r="L175" s="120">
        <v>122</v>
      </c>
      <c r="M175" s="120">
        <v>98</v>
      </c>
      <c r="N175" s="120">
        <v>90</v>
      </c>
      <c r="O175" s="120">
        <v>72</v>
      </c>
      <c r="P175" s="120">
        <v>87</v>
      </c>
      <c r="Q175" s="120">
        <v>98</v>
      </c>
      <c r="R175" s="120">
        <v>97</v>
      </c>
      <c r="S175" s="120">
        <v>112</v>
      </c>
      <c r="T175" s="120">
        <v>109</v>
      </c>
      <c r="U175" s="120">
        <v>76</v>
      </c>
      <c r="V175" s="120">
        <v>97</v>
      </c>
      <c r="W175" s="120">
        <v>91</v>
      </c>
      <c r="X175" s="120">
        <v>75</v>
      </c>
      <c r="Y175" s="120">
        <v>129</v>
      </c>
      <c r="Z175" s="120">
        <v>82</v>
      </c>
      <c r="AA175" s="120">
        <v>94</v>
      </c>
      <c r="AB175" s="120">
        <v>98</v>
      </c>
      <c r="AC175" s="120">
        <v>85</v>
      </c>
      <c r="AD175" s="120">
        <v>86</v>
      </c>
      <c r="AE175" s="120">
        <v>94</v>
      </c>
      <c r="AF175" s="120"/>
      <c r="AG175" s="44">
        <f t="shared" si="26"/>
        <v>3159</v>
      </c>
    </row>
    <row r="176" spans="1:34" ht="15.75" customHeight="1" thickBot="1" x14ac:dyDescent="0.3">
      <c r="A176" s="121" t="s">
        <v>41</v>
      </c>
      <c r="B176" s="122">
        <v>21</v>
      </c>
      <c r="C176" s="122">
        <v>22</v>
      </c>
      <c r="D176" s="122">
        <v>24</v>
      </c>
      <c r="E176" s="122">
        <v>12</v>
      </c>
      <c r="F176" s="122">
        <v>18</v>
      </c>
      <c r="G176" s="122">
        <v>28</v>
      </c>
      <c r="H176" s="122">
        <v>12</v>
      </c>
      <c r="I176" s="122">
        <v>29</v>
      </c>
      <c r="J176" s="122">
        <v>3</v>
      </c>
      <c r="K176" s="122">
        <v>25</v>
      </c>
      <c r="L176" s="122">
        <v>12</v>
      </c>
      <c r="M176" s="122">
        <v>15</v>
      </c>
      <c r="N176" s="122">
        <v>13</v>
      </c>
      <c r="O176" s="122">
        <v>13</v>
      </c>
      <c r="P176" s="122">
        <v>15</v>
      </c>
      <c r="Q176" s="122">
        <v>20</v>
      </c>
      <c r="R176" s="122">
        <v>19</v>
      </c>
      <c r="S176" s="122">
        <v>11</v>
      </c>
      <c r="T176" s="122">
        <v>13</v>
      </c>
      <c r="U176" s="122">
        <v>17</v>
      </c>
      <c r="V176" s="122">
        <v>21</v>
      </c>
      <c r="W176" s="122">
        <v>9</v>
      </c>
      <c r="X176" s="122">
        <v>10</v>
      </c>
      <c r="Y176" s="122">
        <v>17</v>
      </c>
      <c r="Z176" s="122">
        <v>19</v>
      </c>
      <c r="AA176" s="122">
        <v>21</v>
      </c>
      <c r="AB176" s="122">
        <v>23</v>
      </c>
      <c r="AC176" s="122">
        <v>33</v>
      </c>
      <c r="AD176" s="122">
        <v>32</v>
      </c>
      <c r="AE176" s="122">
        <v>24</v>
      </c>
      <c r="AF176" s="122"/>
      <c r="AG176" s="45">
        <f t="shared" si="26"/>
        <v>551</v>
      </c>
    </row>
    <row r="177" spans="1:34" ht="15.75" customHeight="1" x14ac:dyDescent="0.25">
      <c r="A177" s="123" t="s">
        <v>120</v>
      </c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26">
        <f t="shared" si="26"/>
        <v>0</v>
      </c>
      <c r="AH177" s="140" t="s">
        <v>177</v>
      </c>
    </row>
    <row r="178" spans="1:34" ht="15.75" customHeight="1" x14ac:dyDescent="0.25">
      <c r="A178" s="125" t="s">
        <v>122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123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QCyBodJss1b28uGPMmMUO3+xvNIQCdEFSKq3dp0fuydDZKKMbZR3sxhJs5hPCxbQuaJ1e30FXlDjvKuAsvex0Q==" saltValue="mEMEScLsvDjrXHT50z7VUQ==" spinCount="100000" sheet="1" objects="1" scenarios="1"/>
  <dataConsolidate/>
  <mergeCells count="2">
    <mergeCell ref="A1:AG1"/>
    <mergeCell ref="AH177:AH180"/>
  </mergeCells>
  <conditionalFormatting sqref="AD29:AF52">
    <cfRule type="cellIs" dxfId="20" priority="3" operator="lessThan">
      <formula>0</formula>
    </cfRule>
  </conditionalFormatting>
  <conditionalFormatting sqref="AH171">
    <cfRule type="cellIs" dxfId="19" priority="2" operator="equal">
      <formula>"X"</formula>
    </cfRule>
  </conditionalFormatting>
  <conditionalFormatting sqref="AH1:AH1048576">
    <cfRule type="cellIs" dxfId="18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B92865D0-E646-4C17-ACF8-2947B75C6B26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40E5A-37A4-4C8A-B7EE-27B9E6DAEBE7}">
  <sheetPr codeName="Hoja23"/>
  <dimension ref="A1:AK954"/>
  <sheetViews>
    <sheetView zoomScale="80" zoomScaleNormal="80" workbookViewId="0">
      <pane xSplit="1" ySplit="3" topLeftCell="B115" activePane="bottomRight" state="frozen"/>
      <selection activeCell="Q5" sqref="Q5"/>
      <selection pane="topRight" activeCell="Q5" sqref="Q5"/>
      <selection pane="bottomLeft" activeCell="Q5" sqref="Q5"/>
      <selection pane="bottomRight" activeCell="AF3" sqref="AF3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0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95</v>
      </c>
      <c r="C3" s="1">
        <f t="shared" si="1"/>
        <v>100</v>
      </c>
      <c r="D3" s="1">
        <f t="shared" si="1"/>
        <v>101</v>
      </c>
      <c r="E3" s="1">
        <f t="shared" si="1"/>
        <v>93</v>
      </c>
      <c r="F3" s="1">
        <f t="shared" si="1"/>
        <v>84</v>
      </c>
      <c r="G3" s="1">
        <f t="shared" si="1"/>
        <v>148</v>
      </c>
      <c r="H3" s="1">
        <f t="shared" si="1"/>
        <v>143</v>
      </c>
      <c r="I3" s="1">
        <f t="shared" si="1"/>
        <v>106</v>
      </c>
      <c r="J3" s="1">
        <f t="shared" si="1"/>
        <v>108</v>
      </c>
      <c r="K3" s="1">
        <f t="shared" si="1"/>
        <v>109</v>
      </c>
      <c r="L3" s="1">
        <f t="shared" si="1"/>
        <v>90</v>
      </c>
      <c r="M3" s="1">
        <f t="shared" si="1"/>
        <v>84</v>
      </c>
      <c r="N3" s="1">
        <f t="shared" si="1"/>
        <v>157</v>
      </c>
      <c r="O3" s="1">
        <f t="shared" si="1"/>
        <v>132</v>
      </c>
      <c r="P3" s="1">
        <f t="shared" si="1"/>
        <v>91</v>
      </c>
      <c r="Q3" s="1">
        <f t="shared" si="1"/>
        <v>192</v>
      </c>
      <c r="R3" s="1">
        <f t="shared" si="1"/>
        <v>122</v>
      </c>
      <c r="S3" s="1">
        <f t="shared" si="1"/>
        <v>122</v>
      </c>
      <c r="T3" s="1">
        <f t="shared" si="1"/>
        <v>105</v>
      </c>
      <c r="U3" s="1">
        <f t="shared" si="1"/>
        <v>158</v>
      </c>
      <c r="V3" s="1">
        <f t="shared" si="1"/>
        <v>179</v>
      </c>
      <c r="W3" s="1">
        <f t="shared" si="1"/>
        <v>144</v>
      </c>
      <c r="X3" s="1">
        <f t="shared" si="1"/>
        <v>115</v>
      </c>
      <c r="Y3" s="1">
        <f t="shared" si="1"/>
        <v>125</v>
      </c>
      <c r="Z3" s="1">
        <f t="shared" si="1"/>
        <v>126</v>
      </c>
      <c r="AA3" s="1">
        <f t="shared" si="1"/>
        <v>111</v>
      </c>
      <c r="AB3" s="1">
        <f t="shared" si="1"/>
        <v>170</v>
      </c>
      <c r="AC3" s="1">
        <f t="shared" si="1"/>
        <v>169</v>
      </c>
      <c r="AD3" s="1">
        <f t="shared" si="1"/>
        <v>146</v>
      </c>
      <c r="AE3" s="1">
        <f t="shared" si="1"/>
        <v>115</v>
      </c>
      <c r="AF3" s="1">
        <f t="shared" si="1"/>
        <v>104</v>
      </c>
      <c r="AG3" s="2">
        <f t="shared" ref="AG3:AG66" si="2">SUM(B3:AF3)</f>
        <v>3844</v>
      </c>
    </row>
    <row r="4" spans="1:33" ht="18.75" x14ac:dyDescent="0.25">
      <c r="A4" s="53" t="s">
        <v>3</v>
      </c>
      <c r="B4" s="54">
        <v>0</v>
      </c>
      <c r="C4" s="55">
        <v>0</v>
      </c>
      <c r="D4" s="55">
        <v>0</v>
      </c>
      <c r="E4" s="55">
        <v>0</v>
      </c>
      <c r="F4" s="55">
        <v>0</v>
      </c>
      <c r="G4" s="55">
        <v>1</v>
      </c>
      <c r="H4" s="55">
        <v>2</v>
      </c>
      <c r="I4" s="55">
        <v>0</v>
      </c>
      <c r="J4" s="55">
        <v>0</v>
      </c>
      <c r="K4" s="55">
        <v>0</v>
      </c>
      <c r="L4" s="55">
        <v>0</v>
      </c>
      <c r="M4" s="55">
        <v>0</v>
      </c>
      <c r="N4" s="55">
        <v>7</v>
      </c>
      <c r="O4" s="55">
        <v>4</v>
      </c>
      <c r="P4" s="55">
        <v>0</v>
      </c>
      <c r="Q4" s="55">
        <v>7</v>
      </c>
      <c r="R4" s="55">
        <v>0</v>
      </c>
      <c r="S4" s="55">
        <v>0</v>
      </c>
      <c r="T4" s="55">
        <v>0</v>
      </c>
      <c r="U4" s="55">
        <v>6</v>
      </c>
      <c r="V4" s="55">
        <v>1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3</v>
      </c>
      <c r="AC4" s="55">
        <v>3</v>
      </c>
      <c r="AD4" s="55">
        <v>0</v>
      </c>
      <c r="AE4" s="55">
        <v>0</v>
      </c>
      <c r="AF4" s="55">
        <v>0</v>
      </c>
      <c r="AG4" s="4">
        <f t="shared" si="2"/>
        <v>34</v>
      </c>
    </row>
    <row r="5" spans="1:33" ht="18.75" x14ac:dyDescent="0.25">
      <c r="A5" s="56" t="s">
        <v>4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8</v>
      </c>
      <c r="H5" s="54">
        <v>8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5</v>
      </c>
      <c r="O5" s="54">
        <v>6</v>
      </c>
      <c r="P5" s="54">
        <v>0</v>
      </c>
      <c r="Q5" s="54">
        <v>9</v>
      </c>
      <c r="R5" s="54">
        <v>0</v>
      </c>
      <c r="S5" s="54">
        <v>0</v>
      </c>
      <c r="T5" s="54">
        <v>0</v>
      </c>
      <c r="U5" s="54">
        <v>5</v>
      </c>
      <c r="V5" s="54">
        <v>4</v>
      </c>
      <c r="W5" s="54">
        <v>0</v>
      </c>
      <c r="X5" s="54">
        <v>0</v>
      </c>
      <c r="Y5" s="54">
        <v>0</v>
      </c>
      <c r="Z5" s="54">
        <v>0</v>
      </c>
      <c r="AA5" s="54">
        <v>0</v>
      </c>
      <c r="AB5" s="54">
        <v>10</v>
      </c>
      <c r="AC5" s="54">
        <v>7</v>
      </c>
      <c r="AD5" s="54">
        <v>0</v>
      </c>
      <c r="AE5" s="54">
        <v>0</v>
      </c>
      <c r="AF5" s="54">
        <v>0</v>
      </c>
      <c r="AG5" s="5">
        <f t="shared" si="2"/>
        <v>62</v>
      </c>
    </row>
    <row r="6" spans="1:33" ht="18.75" x14ac:dyDescent="0.25">
      <c r="A6" s="56" t="s">
        <v>5</v>
      </c>
      <c r="B6" s="54">
        <v>0</v>
      </c>
      <c r="C6" s="54">
        <v>0</v>
      </c>
      <c r="D6" s="54">
        <v>0</v>
      </c>
      <c r="E6" s="54">
        <v>0</v>
      </c>
      <c r="F6" s="54">
        <v>0</v>
      </c>
      <c r="G6" s="54">
        <v>15</v>
      </c>
      <c r="H6" s="54">
        <v>5</v>
      </c>
      <c r="I6" s="54">
        <v>0</v>
      </c>
      <c r="J6" s="54">
        <v>0</v>
      </c>
      <c r="K6" s="54">
        <v>0</v>
      </c>
      <c r="L6" s="54">
        <v>0</v>
      </c>
      <c r="M6" s="54">
        <v>0</v>
      </c>
      <c r="N6" s="54">
        <v>8</v>
      </c>
      <c r="O6" s="54">
        <v>7</v>
      </c>
      <c r="P6" s="54">
        <v>0</v>
      </c>
      <c r="Q6" s="54">
        <v>12</v>
      </c>
      <c r="R6" s="54">
        <v>0</v>
      </c>
      <c r="S6" s="54">
        <v>0</v>
      </c>
      <c r="T6" s="54">
        <v>0</v>
      </c>
      <c r="U6" s="54">
        <v>20</v>
      </c>
      <c r="V6" s="54">
        <v>11</v>
      </c>
      <c r="W6" s="54">
        <v>0</v>
      </c>
      <c r="X6" s="54">
        <v>0</v>
      </c>
      <c r="Y6" s="54">
        <v>0</v>
      </c>
      <c r="Z6" s="54">
        <v>0</v>
      </c>
      <c r="AA6" s="54">
        <v>0</v>
      </c>
      <c r="AB6" s="54">
        <v>16</v>
      </c>
      <c r="AC6" s="54">
        <v>17</v>
      </c>
      <c r="AD6" s="54">
        <v>0</v>
      </c>
      <c r="AE6" s="54">
        <v>0</v>
      </c>
      <c r="AF6" s="54">
        <v>0</v>
      </c>
      <c r="AG6" s="5">
        <f t="shared" si="2"/>
        <v>111</v>
      </c>
    </row>
    <row r="7" spans="1:33" ht="18.75" x14ac:dyDescent="0.25">
      <c r="A7" s="56" t="s">
        <v>6</v>
      </c>
      <c r="B7" s="54">
        <v>0</v>
      </c>
      <c r="C7" s="54">
        <v>0</v>
      </c>
      <c r="D7" s="54">
        <v>0</v>
      </c>
      <c r="E7" s="54">
        <v>0</v>
      </c>
      <c r="F7" s="54">
        <v>0</v>
      </c>
      <c r="G7" s="54">
        <v>13</v>
      </c>
      <c r="H7" s="54">
        <v>7</v>
      </c>
      <c r="I7" s="54">
        <v>0</v>
      </c>
      <c r="J7" s="54">
        <v>0</v>
      </c>
      <c r="K7" s="54">
        <v>0</v>
      </c>
      <c r="L7" s="54">
        <v>0</v>
      </c>
      <c r="M7" s="54">
        <v>0</v>
      </c>
      <c r="N7" s="54">
        <v>13</v>
      </c>
      <c r="O7" s="54">
        <v>16</v>
      </c>
      <c r="P7" s="54">
        <v>0</v>
      </c>
      <c r="Q7" s="54">
        <v>17</v>
      </c>
      <c r="R7" s="54">
        <v>0</v>
      </c>
      <c r="S7" s="54">
        <v>0</v>
      </c>
      <c r="T7" s="54">
        <v>0</v>
      </c>
      <c r="U7" s="54">
        <v>6</v>
      </c>
      <c r="V7" s="54">
        <v>13</v>
      </c>
      <c r="W7" s="54">
        <v>0</v>
      </c>
      <c r="X7" s="54">
        <v>0</v>
      </c>
      <c r="Y7" s="54">
        <v>0</v>
      </c>
      <c r="Z7" s="54">
        <v>0</v>
      </c>
      <c r="AA7" s="54">
        <v>0</v>
      </c>
      <c r="AB7" s="54">
        <v>20</v>
      </c>
      <c r="AC7" s="54">
        <v>19</v>
      </c>
      <c r="AD7" s="54">
        <v>0</v>
      </c>
      <c r="AE7" s="54">
        <v>0</v>
      </c>
      <c r="AF7" s="54">
        <v>0</v>
      </c>
      <c r="AG7" s="5">
        <f t="shared" si="2"/>
        <v>124</v>
      </c>
    </row>
    <row r="8" spans="1:33" ht="18.75" x14ac:dyDescent="0.25">
      <c r="A8" s="56" t="s">
        <v>7</v>
      </c>
      <c r="B8" s="54">
        <v>0</v>
      </c>
      <c r="C8" s="54">
        <v>0</v>
      </c>
      <c r="D8" s="54">
        <v>0</v>
      </c>
      <c r="E8" s="54">
        <v>0</v>
      </c>
      <c r="F8" s="54">
        <v>0</v>
      </c>
      <c r="G8" s="54">
        <v>7</v>
      </c>
      <c r="H8" s="54">
        <v>13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10</v>
      </c>
      <c r="O8" s="54">
        <v>9</v>
      </c>
      <c r="P8" s="54">
        <v>0</v>
      </c>
      <c r="Q8" s="54">
        <v>10</v>
      </c>
      <c r="R8" s="54">
        <v>0</v>
      </c>
      <c r="S8" s="54">
        <v>0</v>
      </c>
      <c r="T8" s="54">
        <v>0</v>
      </c>
      <c r="U8" s="54">
        <v>16</v>
      </c>
      <c r="V8" s="54">
        <v>16</v>
      </c>
      <c r="W8" s="54">
        <v>0</v>
      </c>
      <c r="X8" s="54">
        <v>0</v>
      </c>
      <c r="Y8" s="54">
        <v>0</v>
      </c>
      <c r="Z8" s="54">
        <v>0</v>
      </c>
      <c r="AA8" s="54">
        <v>0</v>
      </c>
      <c r="AB8" s="54">
        <v>16</v>
      </c>
      <c r="AC8" s="54">
        <v>15</v>
      </c>
      <c r="AD8" s="54">
        <v>0</v>
      </c>
      <c r="AE8" s="54">
        <v>0</v>
      </c>
      <c r="AF8" s="54">
        <v>0</v>
      </c>
      <c r="AG8" s="5">
        <f t="shared" si="2"/>
        <v>112</v>
      </c>
    </row>
    <row r="9" spans="1:33" ht="18.75" x14ac:dyDescent="0.25">
      <c r="A9" s="56" t="s">
        <v>8</v>
      </c>
      <c r="B9" s="54">
        <v>0</v>
      </c>
      <c r="C9" s="54">
        <v>0</v>
      </c>
      <c r="D9" s="54">
        <v>0</v>
      </c>
      <c r="E9" s="54">
        <v>0</v>
      </c>
      <c r="F9" s="54">
        <v>0</v>
      </c>
      <c r="G9" s="54">
        <v>11</v>
      </c>
      <c r="H9" s="54">
        <v>14</v>
      </c>
      <c r="I9" s="54">
        <v>0</v>
      </c>
      <c r="J9" s="54">
        <v>0</v>
      </c>
      <c r="K9" s="54">
        <v>0</v>
      </c>
      <c r="L9" s="54">
        <v>0</v>
      </c>
      <c r="M9" s="54">
        <v>0</v>
      </c>
      <c r="N9" s="54">
        <v>9</v>
      </c>
      <c r="O9" s="54">
        <v>6</v>
      </c>
      <c r="P9" s="54">
        <v>0</v>
      </c>
      <c r="Q9" s="54">
        <v>13</v>
      </c>
      <c r="R9" s="54">
        <v>0</v>
      </c>
      <c r="S9" s="54">
        <v>0</v>
      </c>
      <c r="T9" s="54">
        <v>0</v>
      </c>
      <c r="U9" s="54">
        <v>13</v>
      </c>
      <c r="V9" s="54">
        <v>9</v>
      </c>
      <c r="W9" s="54">
        <v>0</v>
      </c>
      <c r="X9" s="54">
        <v>0</v>
      </c>
      <c r="Y9" s="54">
        <v>0</v>
      </c>
      <c r="Z9" s="54">
        <v>0</v>
      </c>
      <c r="AA9" s="54">
        <v>0</v>
      </c>
      <c r="AB9" s="54">
        <v>11</v>
      </c>
      <c r="AC9" s="54">
        <v>10</v>
      </c>
      <c r="AD9" s="54">
        <v>0</v>
      </c>
      <c r="AE9" s="54">
        <v>0</v>
      </c>
      <c r="AF9" s="54">
        <v>0</v>
      </c>
      <c r="AG9" s="5">
        <f t="shared" si="2"/>
        <v>96</v>
      </c>
    </row>
    <row r="10" spans="1:33" ht="18.75" x14ac:dyDescent="0.25">
      <c r="A10" s="56" t="s">
        <v>9</v>
      </c>
      <c r="B10" s="54">
        <v>0</v>
      </c>
      <c r="C10" s="54">
        <v>0</v>
      </c>
      <c r="D10" s="54">
        <v>0</v>
      </c>
      <c r="E10" s="54">
        <v>0</v>
      </c>
      <c r="F10" s="54">
        <v>0</v>
      </c>
      <c r="G10" s="54">
        <v>10</v>
      </c>
      <c r="H10" s="54">
        <v>6</v>
      </c>
      <c r="I10" s="54">
        <v>0</v>
      </c>
      <c r="J10" s="54">
        <v>0</v>
      </c>
      <c r="K10" s="54">
        <v>0</v>
      </c>
      <c r="L10" s="54">
        <v>0</v>
      </c>
      <c r="M10" s="54">
        <v>0</v>
      </c>
      <c r="N10" s="54">
        <v>11</v>
      </c>
      <c r="O10" s="54">
        <v>15</v>
      </c>
      <c r="P10" s="54">
        <v>0</v>
      </c>
      <c r="Q10" s="54">
        <v>7</v>
      </c>
      <c r="R10" s="54">
        <v>0</v>
      </c>
      <c r="S10" s="54">
        <v>0</v>
      </c>
      <c r="T10" s="54">
        <v>0</v>
      </c>
      <c r="U10" s="54">
        <v>8</v>
      </c>
      <c r="V10" s="54">
        <v>15</v>
      </c>
      <c r="W10" s="54">
        <v>0</v>
      </c>
      <c r="X10" s="54">
        <v>0</v>
      </c>
      <c r="Y10" s="54">
        <v>0</v>
      </c>
      <c r="Z10" s="54">
        <v>0</v>
      </c>
      <c r="AA10" s="54">
        <v>0</v>
      </c>
      <c r="AB10" s="54">
        <v>15</v>
      </c>
      <c r="AC10" s="54">
        <v>13</v>
      </c>
      <c r="AD10" s="54">
        <v>0</v>
      </c>
      <c r="AE10" s="54">
        <v>0</v>
      </c>
      <c r="AF10" s="54">
        <v>0</v>
      </c>
      <c r="AG10" s="5">
        <f t="shared" si="2"/>
        <v>100</v>
      </c>
    </row>
    <row r="11" spans="1:33" ht="18.75" x14ac:dyDescent="0.25">
      <c r="A11" s="56" t="s">
        <v>10</v>
      </c>
      <c r="B11" s="54">
        <v>0</v>
      </c>
      <c r="C11" s="54">
        <v>0</v>
      </c>
      <c r="D11" s="54">
        <v>0</v>
      </c>
      <c r="E11" s="54">
        <v>0</v>
      </c>
      <c r="F11" s="54">
        <v>4</v>
      </c>
      <c r="G11" s="54">
        <v>11</v>
      </c>
      <c r="H11" s="54">
        <v>14</v>
      </c>
      <c r="I11" s="54">
        <v>0</v>
      </c>
      <c r="J11" s="54">
        <v>0</v>
      </c>
      <c r="K11" s="54">
        <v>0</v>
      </c>
      <c r="L11" s="54">
        <v>0</v>
      </c>
      <c r="M11" s="54">
        <v>1</v>
      </c>
      <c r="N11" s="54">
        <v>12</v>
      </c>
      <c r="O11" s="54">
        <v>14</v>
      </c>
      <c r="P11" s="54">
        <v>0</v>
      </c>
      <c r="Q11" s="54">
        <v>12</v>
      </c>
      <c r="R11" s="54">
        <v>0</v>
      </c>
      <c r="S11" s="54">
        <v>0</v>
      </c>
      <c r="T11" s="54">
        <v>4</v>
      </c>
      <c r="U11" s="54">
        <v>9</v>
      </c>
      <c r="V11" s="54">
        <v>17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9</v>
      </c>
      <c r="AC11" s="54">
        <v>10</v>
      </c>
      <c r="AD11" s="54">
        <v>0</v>
      </c>
      <c r="AE11" s="54">
        <v>0</v>
      </c>
      <c r="AF11" s="54">
        <v>0</v>
      </c>
      <c r="AG11" s="5">
        <f t="shared" si="2"/>
        <v>117</v>
      </c>
    </row>
    <row r="12" spans="1:33" ht="18.75" x14ac:dyDescent="0.25">
      <c r="A12" s="56" t="s">
        <v>11</v>
      </c>
      <c r="B12" s="54">
        <v>0</v>
      </c>
      <c r="C12" s="54">
        <v>0</v>
      </c>
      <c r="D12" s="54">
        <v>5</v>
      </c>
      <c r="E12" s="54">
        <v>4</v>
      </c>
      <c r="F12" s="54">
        <v>21</v>
      </c>
      <c r="G12" s="54">
        <v>12</v>
      </c>
      <c r="H12" s="54">
        <v>14</v>
      </c>
      <c r="I12" s="54">
        <v>0</v>
      </c>
      <c r="J12" s="54">
        <v>0</v>
      </c>
      <c r="K12" s="54">
        <v>5</v>
      </c>
      <c r="L12" s="54">
        <v>5</v>
      </c>
      <c r="M12" s="54">
        <v>25</v>
      </c>
      <c r="N12" s="54">
        <v>9</v>
      </c>
      <c r="O12" s="54">
        <v>8</v>
      </c>
      <c r="P12" s="54">
        <v>0</v>
      </c>
      <c r="Q12" s="54">
        <v>21</v>
      </c>
      <c r="R12" s="54">
        <v>3</v>
      </c>
      <c r="S12" s="54">
        <v>4</v>
      </c>
      <c r="T12" s="54">
        <v>33</v>
      </c>
      <c r="U12" s="54">
        <v>10</v>
      </c>
      <c r="V12" s="54">
        <v>18</v>
      </c>
      <c r="W12" s="54">
        <v>1</v>
      </c>
      <c r="X12" s="54">
        <v>7</v>
      </c>
      <c r="Y12" s="54">
        <v>10</v>
      </c>
      <c r="Z12" s="54">
        <v>6</v>
      </c>
      <c r="AA12" s="54">
        <v>37</v>
      </c>
      <c r="AB12" s="54">
        <v>14</v>
      </c>
      <c r="AC12" s="54">
        <v>7</v>
      </c>
      <c r="AD12" s="54">
        <v>0</v>
      </c>
      <c r="AE12" s="54">
        <v>5</v>
      </c>
      <c r="AF12" s="54">
        <v>4</v>
      </c>
      <c r="AG12" s="5">
        <f t="shared" si="2"/>
        <v>288</v>
      </c>
    </row>
    <row r="13" spans="1:33" ht="18.75" x14ac:dyDescent="0.25">
      <c r="A13" s="56" t="s">
        <v>12</v>
      </c>
      <c r="B13" s="54">
        <v>40</v>
      </c>
      <c r="C13" s="54">
        <v>53</v>
      </c>
      <c r="D13" s="54">
        <v>39</v>
      </c>
      <c r="E13" s="54">
        <v>41</v>
      </c>
      <c r="F13" s="54">
        <v>16</v>
      </c>
      <c r="G13" s="54">
        <v>9</v>
      </c>
      <c r="H13" s="54">
        <v>4</v>
      </c>
      <c r="I13" s="54">
        <v>55</v>
      </c>
      <c r="J13" s="54">
        <v>53</v>
      </c>
      <c r="K13" s="54">
        <v>53</v>
      </c>
      <c r="L13" s="54">
        <v>37</v>
      </c>
      <c r="M13" s="54">
        <v>12</v>
      </c>
      <c r="N13" s="54">
        <v>13</v>
      </c>
      <c r="O13" s="54">
        <v>15</v>
      </c>
      <c r="P13" s="54">
        <v>44</v>
      </c>
      <c r="Q13" s="54">
        <v>17</v>
      </c>
      <c r="R13" s="54">
        <v>56</v>
      </c>
      <c r="S13" s="54">
        <v>41</v>
      </c>
      <c r="T13" s="54">
        <v>12</v>
      </c>
      <c r="U13" s="54">
        <v>18</v>
      </c>
      <c r="V13" s="54">
        <v>20</v>
      </c>
      <c r="W13" s="54">
        <v>65</v>
      </c>
      <c r="X13" s="54">
        <v>53</v>
      </c>
      <c r="Y13" s="54">
        <v>51</v>
      </c>
      <c r="Z13" s="54">
        <v>48</v>
      </c>
      <c r="AA13" s="54">
        <v>14</v>
      </c>
      <c r="AB13" s="54">
        <v>6</v>
      </c>
      <c r="AC13" s="54">
        <v>9</v>
      </c>
      <c r="AD13" s="54">
        <v>68</v>
      </c>
      <c r="AE13" s="54">
        <v>46</v>
      </c>
      <c r="AF13" s="54">
        <v>39</v>
      </c>
      <c r="AG13" s="5">
        <f t="shared" si="2"/>
        <v>1047</v>
      </c>
    </row>
    <row r="14" spans="1:33" ht="18.75" x14ac:dyDescent="0.25">
      <c r="A14" s="56" t="s">
        <v>13</v>
      </c>
      <c r="B14" s="54">
        <v>9</v>
      </c>
      <c r="C14" s="54">
        <v>15</v>
      </c>
      <c r="D14" s="54">
        <v>9</v>
      </c>
      <c r="E14" s="54">
        <v>11</v>
      </c>
      <c r="F14" s="54">
        <v>6</v>
      </c>
      <c r="G14" s="54">
        <v>7</v>
      </c>
      <c r="H14" s="54">
        <v>9</v>
      </c>
      <c r="I14" s="54">
        <v>8</v>
      </c>
      <c r="J14" s="54">
        <v>12</v>
      </c>
      <c r="K14" s="54">
        <v>9</v>
      </c>
      <c r="L14" s="54">
        <v>8</v>
      </c>
      <c r="M14" s="54">
        <v>9</v>
      </c>
      <c r="N14" s="54">
        <v>10</v>
      </c>
      <c r="O14" s="54">
        <v>5</v>
      </c>
      <c r="P14" s="54">
        <v>9</v>
      </c>
      <c r="Q14" s="54">
        <v>7</v>
      </c>
      <c r="R14" s="54">
        <v>14</v>
      </c>
      <c r="S14" s="54">
        <v>19</v>
      </c>
      <c r="T14" s="54">
        <v>13</v>
      </c>
      <c r="U14" s="54">
        <v>7</v>
      </c>
      <c r="V14" s="54">
        <v>10</v>
      </c>
      <c r="W14" s="54">
        <v>16</v>
      </c>
      <c r="X14" s="54">
        <v>11</v>
      </c>
      <c r="Y14" s="54">
        <v>14</v>
      </c>
      <c r="Z14" s="54">
        <v>12</v>
      </c>
      <c r="AA14" s="54">
        <v>17</v>
      </c>
      <c r="AB14" s="54">
        <v>5</v>
      </c>
      <c r="AC14" s="54">
        <v>8</v>
      </c>
      <c r="AD14" s="54">
        <v>15</v>
      </c>
      <c r="AE14" s="54">
        <v>16</v>
      </c>
      <c r="AF14" s="54">
        <v>15</v>
      </c>
      <c r="AG14" s="5">
        <f t="shared" si="2"/>
        <v>335</v>
      </c>
    </row>
    <row r="15" spans="1:33" ht="18.75" x14ac:dyDescent="0.25">
      <c r="A15" s="56" t="s">
        <v>14</v>
      </c>
      <c r="B15" s="54">
        <v>11</v>
      </c>
      <c r="C15" s="54">
        <v>7</v>
      </c>
      <c r="D15" s="54">
        <v>7</v>
      </c>
      <c r="E15" s="54">
        <v>9</v>
      </c>
      <c r="F15" s="54">
        <v>10</v>
      </c>
      <c r="G15" s="54">
        <v>8</v>
      </c>
      <c r="H15" s="54">
        <v>8</v>
      </c>
      <c r="I15" s="54">
        <v>12</v>
      </c>
      <c r="J15" s="54">
        <v>10</v>
      </c>
      <c r="K15" s="54">
        <v>9</v>
      </c>
      <c r="L15" s="54">
        <v>7</v>
      </c>
      <c r="M15" s="54">
        <v>7</v>
      </c>
      <c r="N15" s="54">
        <v>10</v>
      </c>
      <c r="O15" s="54">
        <v>4</v>
      </c>
      <c r="P15" s="54">
        <v>10</v>
      </c>
      <c r="Q15" s="54">
        <v>10</v>
      </c>
      <c r="R15" s="54">
        <v>12</v>
      </c>
      <c r="S15" s="54">
        <v>11</v>
      </c>
      <c r="T15" s="54">
        <v>9</v>
      </c>
      <c r="U15" s="54">
        <v>11</v>
      </c>
      <c r="V15" s="54">
        <v>12</v>
      </c>
      <c r="W15" s="54">
        <v>13</v>
      </c>
      <c r="X15" s="54">
        <v>12</v>
      </c>
      <c r="Y15" s="54">
        <v>10</v>
      </c>
      <c r="Z15" s="54">
        <v>14</v>
      </c>
      <c r="AA15" s="54">
        <v>14</v>
      </c>
      <c r="AB15" s="54">
        <v>10</v>
      </c>
      <c r="AC15" s="54">
        <v>13</v>
      </c>
      <c r="AD15" s="54">
        <v>14</v>
      </c>
      <c r="AE15" s="54">
        <v>6</v>
      </c>
      <c r="AF15" s="54">
        <v>11</v>
      </c>
      <c r="AG15" s="5">
        <f t="shared" si="2"/>
        <v>311</v>
      </c>
    </row>
    <row r="16" spans="1:33" ht="18.75" x14ac:dyDescent="0.25">
      <c r="A16" s="56" t="s">
        <v>15</v>
      </c>
      <c r="B16" s="54">
        <v>8</v>
      </c>
      <c r="C16" s="54">
        <v>3</v>
      </c>
      <c r="D16" s="54">
        <v>14</v>
      </c>
      <c r="E16" s="54">
        <v>7</v>
      </c>
      <c r="F16" s="54">
        <v>6</v>
      </c>
      <c r="G16" s="54">
        <v>2</v>
      </c>
      <c r="H16" s="54">
        <v>2</v>
      </c>
      <c r="I16" s="54">
        <v>3</v>
      </c>
      <c r="J16" s="54">
        <v>6</v>
      </c>
      <c r="K16" s="54">
        <v>9</v>
      </c>
      <c r="L16" s="54">
        <v>13</v>
      </c>
      <c r="M16" s="54">
        <v>5</v>
      </c>
      <c r="N16" s="54">
        <v>8</v>
      </c>
      <c r="O16" s="54">
        <v>3</v>
      </c>
      <c r="P16" s="54">
        <v>7</v>
      </c>
      <c r="Q16" s="54">
        <v>11</v>
      </c>
      <c r="R16" s="54">
        <v>4</v>
      </c>
      <c r="S16" s="54">
        <v>17</v>
      </c>
      <c r="T16" s="54">
        <v>8</v>
      </c>
      <c r="U16" s="54">
        <v>3</v>
      </c>
      <c r="V16" s="54">
        <v>8</v>
      </c>
      <c r="W16" s="54">
        <v>17</v>
      </c>
      <c r="X16" s="54">
        <v>16</v>
      </c>
      <c r="Y16" s="54">
        <v>8</v>
      </c>
      <c r="Z16" s="54">
        <v>4</v>
      </c>
      <c r="AA16" s="54">
        <v>6</v>
      </c>
      <c r="AB16" s="54">
        <v>6</v>
      </c>
      <c r="AC16" s="54">
        <v>11</v>
      </c>
      <c r="AD16" s="54">
        <v>10</v>
      </c>
      <c r="AE16" s="54">
        <v>6</v>
      </c>
      <c r="AF16" s="54">
        <v>11</v>
      </c>
      <c r="AG16" s="5">
        <f t="shared" si="2"/>
        <v>242</v>
      </c>
    </row>
    <row r="17" spans="1:33" ht="18.75" x14ac:dyDescent="0.25">
      <c r="A17" s="56" t="s">
        <v>16</v>
      </c>
      <c r="B17" s="54">
        <v>10</v>
      </c>
      <c r="C17" s="54">
        <v>4</v>
      </c>
      <c r="D17" s="54">
        <v>6</v>
      </c>
      <c r="E17" s="54">
        <v>4</v>
      </c>
      <c r="F17" s="54">
        <v>4</v>
      </c>
      <c r="G17" s="54">
        <v>6</v>
      </c>
      <c r="H17" s="54">
        <v>6</v>
      </c>
      <c r="I17" s="54">
        <v>13</v>
      </c>
      <c r="J17" s="54">
        <v>7</v>
      </c>
      <c r="K17" s="54">
        <v>8</v>
      </c>
      <c r="L17" s="54">
        <v>5</v>
      </c>
      <c r="M17" s="54">
        <v>5</v>
      </c>
      <c r="N17" s="54">
        <v>8</v>
      </c>
      <c r="O17" s="54">
        <v>6</v>
      </c>
      <c r="P17" s="54">
        <v>7</v>
      </c>
      <c r="Q17" s="54">
        <v>14</v>
      </c>
      <c r="R17" s="54">
        <v>11</v>
      </c>
      <c r="S17" s="54">
        <v>9</v>
      </c>
      <c r="T17" s="54">
        <v>8</v>
      </c>
      <c r="U17" s="54">
        <v>5</v>
      </c>
      <c r="V17" s="54">
        <v>5</v>
      </c>
      <c r="W17" s="54">
        <v>7</v>
      </c>
      <c r="X17" s="54">
        <v>6</v>
      </c>
      <c r="Y17" s="54">
        <v>11</v>
      </c>
      <c r="Z17" s="54">
        <v>10</v>
      </c>
      <c r="AA17" s="54">
        <v>5</v>
      </c>
      <c r="AB17" s="54">
        <v>7</v>
      </c>
      <c r="AC17" s="54">
        <v>10</v>
      </c>
      <c r="AD17" s="54">
        <v>13</v>
      </c>
      <c r="AE17" s="54">
        <v>8</v>
      </c>
      <c r="AF17" s="54">
        <v>9</v>
      </c>
      <c r="AG17" s="5">
        <f t="shared" si="2"/>
        <v>237</v>
      </c>
    </row>
    <row r="18" spans="1:33" ht="18.75" x14ac:dyDescent="0.25">
      <c r="A18" s="56" t="s">
        <v>17</v>
      </c>
      <c r="B18" s="54">
        <v>6</v>
      </c>
      <c r="C18" s="54">
        <v>6</v>
      </c>
      <c r="D18" s="54">
        <v>3</v>
      </c>
      <c r="E18" s="54">
        <v>3</v>
      </c>
      <c r="F18" s="54">
        <v>5</v>
      </c>
      <c r="G18" s="54">
        <v>6</v>
      </c>
      <c r="H18" s="54">
        <v>8</v>
      </c>
      <c r="I18" s="54">
        <v>5</v>
      </c>
      <c r="J18" s="54">
        <v>7</v>
      </c>
      <c r="K18" s="54">
        <v>8</v>
      </c>
      <c r="L18" s="54">
        <v>5</v>
      </c>
      <c r="M18" s="54">
        <v>2</v>
      </c>
      <c r="N18" s="54">
        <v>5</v>
      </c>
      <c r="O18" s="54">
        <v>3</v>
      </c>
      <c r="P18" s="54">
        <v>5</v>
      </c>
      <c r="Q18" s="54">
        <v>5</v>
      </c>
      <c r="R18" s="54">
        <v>7</v>
      </c>
      <c r="S18" s="54">
        <v>4</v>
      </c>
      <c r="T18" s="54">
        <v>5</v>
      </c>
      <c r="U18" s="54">
        <v>4</v>
      </c>
      <c r="V18" s="54">
        <v>5</v>
      </c>
      <c r="W18" s="54">
        <v>11</v>
      </c>
      <c r="X18" s="54">
        <v>2</v>
      </c>
      <c r="Y18" s="54">
        <v>6</v>
      </c>
      <c r="Z18" s="54">
        <v>9</v>
      </c>
      <c r="AA18" s="54">
        <v>3</v>
      </c>
      <c r="AB18" s="54">
        <v>6</v>
      </c>
      <c r="AC18" s="54">
        <v>3</v>
      </c>
      <c r="AD18" s="54">
        <v>10</v>
      </c>
      <c r="AE18" s="54">
        <v>12</v>
      </c>
      <c r="AF18" s="54">
        <v>6</v>
      </c>
      <c r="AG18" s="5">
        <f t="shared" si="2"/>
        <v>175</v>
      </c>
    </row>
    <row r="19" spans="1:33" ht="18.75" x14ac:dyDescent="0.25">
      <c r="A19" s="56" t="s">
        <v>18</v>
      </c>
      <c r="B19" s="54">
        <v>1</v>
      </c>
      <c r="C19" s="54">
        <v>1</v>
      </c>
      <c r="D19" s="54">
        <v>7</v>
      </c>
      <c r="E19" s="54">
        <v>2</v>
      </c>
      <c r="F19" s="54">
        <v>3</v>
      </c>
      <c r="G19" s="54">
        <v>3</v>
      </c>
      <c r="H19" s="54">
        <v>6</v>
      </c>
      <c r="I19" s="54">
        <v>1</v>
      </c>
      <c r="J19" s="54">
        <v>5</v>
      </c>
      <c r="K19" s="54">
        <v>1</v>
      </c>
      <c r="L19" s="54">
        <v>2</v>
      </c>
      <c r="M19" s="54">
        <v>2</v>
      </c>
      <c r="N19" s="54">
        <v>4</v>
      </c>
      <c r="O19" s="54">
        <v>3</v>
      </c>
      <c r="P19" s="54">
        <v>3</v>
      </c>
      <c r="Q19" s="54">
        <v>3</v>
      </c>
      <c r="R19" s="54">
        <v>1</v>
      </c>
      <c r="S19" s="54">
        <v>2</v>
      </c>
      <c r="T19" s="54">
        <v>2</v>
      </c>
      <c r="U19" s="54">
        <v>6</v>
      </c>
      <c r="V19" s="54">
        <v>3</v>
      </c>
      <c r="W19" s="54">
        <v>4</v>
      </c>
      <c r="X19" s="54">
        <v>1</v>
      </c>
      <c r="Y19" s="54">
        <v>6</v>
      </c>
      <c r="Z19" s="54">
        <v>12</v>
      </c>
      <c r="AA19" s="54">
        <v>4</v>
      </c>
      <c r="AB19" s="54">
        <v>3</v>
      </c>
      <c r="AC19" s="54">
        <v>4</v>
      </c>
      <c r="AD19" s="54">
        <v>3</v>
      </c>
      <c r="AE19" s="54">
        <v>4</v>
      </c>
      <c r="AF19" s="54">
        <v>1</v>
      </c>
      <c r="AG19" s="5">
        <f t="shared" si="2"/>
        <v>103</v>
      </c>
    </row>
    <row r="20" spans="1:33" ht="18.75" x14ac:dyDescent="0.25">
      <c r="A20" s="56" t="s">
        <v>19</v>
      </c>
      <c r="B20" s="54">
        <v>5</v>
      </c>
      <c r="C20" s="54">
        <v>4</v>
      </c>
      <c r="D20" s="54">
        <v>4</v>
      </c>
      <c r="E20" s="54">
        <v>3</v>
      </c>
      <c r="F20" s="54">
        <v>1</v>
      </c>
      <c r="G20" s="54">
        <v>1</v>
      </c>
      <c r="H20" s="54">
        <v>6</v>
      </c>
      <c r="I20" s="54">
        <v>0</v>
      </c>
      <c r="J20" s="54">
        <v>4</v>
      </c>
      <c r="K20" s="54">
        <v>1</v>
      </c>
      <c r="L20" s="54">
        <v>3</v>
      </c>
      <c r="M20" s="54">
        <v>3</v>
      </c>
      <c r="N20" s="54">
        <v>5</v>
      </c>
      <c r="O20" s="54">
        <v>1</v>
      </c>
      <c r="P20" s="54">
        <v>1</v>
      </c>
      <c r="Q20" s="54">
        <v>6</v>
      </c>
      <c r="R20" s="54">
        <v>6</v>
      </c>
      <c r="S20" s="54">
        <v>4</v>
      </c>
      <c r="T20" s="54">
        <v>1</v>
      </c>
      <c r="U20" s="54">
        <v>3</v>
      </c>
      <c r="V20" s="54">
        <v>5</v>
      </c>
      <c r="W20" s="54">
        <v>3</v>
      </c>
      <c r="X20" s="54">
        <v>2</v>
      </c>
      <c r="Y20" s="54">
        <v>4</v>
      </c>
      <c r="Z20" s="54">
        <v>1</v>
      </c>
      <c r="AA20" s="54">
        <v>3</v>
      </c>
      <c r="AB20" s="54">
        <v>6</v>
      </c>
      <c r="AC20" s="54">
        <v>1</v>
      </c>
      <c r="AD20" s="54">
        <v>6</v>
      </c>
      <c r="AE20" s="54">
        <v>4</v>
      </c>
      <c r="AF20" s="54">
        <v>3</v>
      </c>
      <c r="AG20" s="5">
        <f t="shared" si="2"/>
        <v>100</v>
      </c>
    </row>
    <row r="21" spans="1:33" ht="15.75" customHeight="1" x14ac:dyDescent="0.25">
      <c r="A21" s="56" t="s">
        <v>20</v>
      </c>
      <c r="B21" s="54">
        <v>2</v>
      </c>
      <c r="C21" s="54">
        <v>0</v>
      </c>
      <c r="D21" s="54">
        <v>2</v>
      </c>
      <c r="E21" s="54">
        <v>2</v>
      </c>
      <c r="F21" s="54">
        <v>4</v>
      </c>
      <c r="G21" s="54">
        <v>4</v>
      </c>
      <c r="H21" s="54">
        <v>1</v>
      </c>
      <c r="I21" s="54">
        <v>3</v>
      </c>
      <c r="J21" s="54">
        <v>1</v>
      </c>
      <c r="K21" s="54">
        <v>3</v>
      </c>
      <c r="L21" s="54">
        <v>2</v>
      </c>
      <c r="M21" s="54">
        <v>1</v>
      </c>
      <c r="N21" s="54">
        <v>4</v>
      </c>
      <c r="O21" s="54">
        <v>1</v>
      </c>
      <c r="P21" s="54">
        <v>0</v>
      </c>
      <c r="Q21" s="54">
        <v>4</v>
      </c>
      <c r="R21" s="54">
        <v>2</v>
      </c>
      <c r="S21" s="54">
        <v>1</v>
      </c>
      <c r="T21" s="54">
        <v>2</v>
      </c>
      <c r="U21" s="54">
        <v>3</v>
      </c>
      <c r="V21" s="54">
        <v>2</v>
      </c>
      <c r="W21" s="54">
        <v>0</v>
      </c>
      <c r="X21" s="54">
        <v>2</v>
      </c>
      <c r="Y21" s="54">
        <v>2</v>
      </c>
      <c r="Z21" s="54">
        <v>2</v>
      </c>
      <c r="AA21" s="54">
        <v>3</v>
      </c>
      <c r="AB21" s="54">
        <v>2</v>
      </c>
      <c r="AC21" s="54">
        <v>2</v>
      </c>
      <c r="AD21" s="54">
        <v>1</v>
      </c>
      <c r="AE21" s="54">
        <v>2</v>
      </c>
      <c r="AF21" s="54">
        <v>2</v>
      </c>
      <c r="AG21" s="5">
        <f t="shared" si="2"/>
        <v>62</v>
      </c>
    </row>
    <row r="22" spans="1:33" ht="15.75" customHeight="1" x14ac:dyDescent="0.25">
      <c r="A22" s="56" t="s">
        <v>21</v>
      </c>
      <c r="B22" s="54">
        <v>0</v>
      </c>
      <c r="C22" s="54">
        <v>0</v>
      </c>
      <c r="D22" s="54">
        <v>1</v>
      </c>
      <c r="E22" s="54">
        <v>0</v>
      </c>
      <c r="F22" s="54">
        <v>3</v>
      </c>
      <c r="G22" s="54">
        <v>3</v>
      </c>
      <c r="H22" s="54">
        <v>5</v>
      </c>
      <c r="I22" s="54">
        <v>1</v>
      </c>
      <c r="J22" s="54">
        <v>1</v>
      </c>
      <c r="K22" s="54">
        <v>0</v>
      </c>
      <c r="L22" s="54">
        <v>0</v>
      </c>
      <c r="M22" s="54">
        <v>5</v>
      </c>
      <c r="N22" s="54">
        <v>1</v>
      </c>
      <c r="O22" s="54">
        <v>0</v>
      </c>
      <c r="P22" s="54">
        <v>1</v>
      </c>
      <c r="Q22" s="54">
        <v>1</v>
      </c>
      <c r="R22" s="54">
        <v>1</v>
      </c>
      <c r="S22" s="54">
        <v>2</v>
      </c>
      <c r="T22" s="54">
        <v>1</v>
      </c>
      <c r="U22" s="54">
        <v>1</v>
      </c>
      <c r="V22" s="54">
        <v>1</v>
      </c>
      <c r="W22" s="54">
        <v>3</v>
      </c>
      <c r="X22" s="54">
        <v>1</v>
      </c>
      <c r="Y22" s="54">
        <v>1</v>
      </c>
      <c r="Z22" s="54">
        <v>4</v>
      </c>
      <c r="AA22" s="54">
        <v>1</v>
      </c>
      <c r="AB22" s="54">
        <v>2</v>
      </c>
      <c r="AC22" s="54">
        <v>2</v>
      </c>
      <c r="AD22" s="54">
        <v>2</v>
      </c>
      <c r="AE22" s="54">
        <v>1</v>
      </c>
      <c r="AF22" s="54">
        <v>0</v>
      </c>
      <c r="AG22" s="5">
        <f t="shared" si="2"/>
        <v>45</v>
      </c>
    </row>
    <row r="23" spans="1:33" ht="15.75" customHeight="1" x14ac:dyDescent="0.25">
      <c r="A23" s="56" t="s">
        <v>22</v>
      </c>
      <c r="B23" s="54">
        <v>1</v>
      </c>
      <c r="C23" s="54">
        <v>3</v>
      </c>
      <c r="D23" s="54">
        <v>0</v>
      </c>
      <c r="E23" s="54">
        <v>1</v>
      </c>
      <c r="F23" s="54">
        <v>0</v>
      </c>
      <c r="G23" s="54">
        <v>2</v>
      </c>
      <c r="H23" s="54">
        <v>1</v>
      </c>
      <c r="I23" s="54">
        <v>0</v>
      </c>
      <c r="J23" s="54">
        <v>0</v>
      </c>
      <c r="K23" s="54">
        <v>1</v>
      </c>
      <c r="L23" s="54">
        <v>0</v>
      </c>
      <c r="M23" s="54">
        <v>1</v>
      </c>
      <c r="N23" s="54">
        <v>0</v>
      </c>
      <c r="O23" s="54">
        <v>2</v>
      </c>
      <c r="P23" s="54">
        <v>1</v>
      </c>
      <c r="Q23" s="54">
        <v>2</v>
      </c>
      <c r="R23" s="54">
        <v>2</v>
      </c>
      <c r="S23" s="54">
        <v>3</v>
      </c>
      <c r="T23" s="54">
        <v>1</v>
      </c>
      <c r="U23" s="54">
        <v>1</v>
      </c>
      <c r="V23" s="54">
        <v>0</v>
      </c>
      <c r="W23" s="54">
        <v>3</v>
      </c>
      <c r="X23" s="54">
        <v>1</v>
      </c>
      <c r="Y23" s="54">
        <v>1</v>
      </c>
      <c r="Z23" s="54">
        <v>1</v>
      </c>
      <c r="AA23" s="54">
        <v>1</v>
      </c>
      <c r="AB23" s="54">
        <v>1</v>
      </c>
      <c r="AC23" s="54">
        <v>2</v>
      </c>
      <c r="AD23" s="54">
        <v>1</v>
      </c>
      <c r="AE23" s="54">
        <v>0</v>
      </c>
      <c r="AF23" s="54">
        <v>3</v>
      </c>
      <c r="AG23" s="5">
        <f t="shared" si="2"/>
        <v>36</v>
      </c>
    </row>
    <row r="24" spans="1:33" ht="15.75" customHeight="1" x14ac:dyDescent="0.25">
      <c r="A24" s="56" t="s">
        <v>23</v>
      </c>
      <c r="B24" s="54">
        <v>1</v>
      </c>
      <c r="C24" s="54">
        <v>3</v>
      </c>
      <c r="D24" s="54">
        <v>1</v>
      </c>
      <c r="E24" s="54">
        <v>2</v>
      </c>
      <c r="F24" s="54">
        <v>1</v>
      </c>
      <c r="G24" s="54">
        <v>4</v>
      </c>
      <c r="H24" s="54">
        <v>0</v>
      </c>
      <c r="I24" s="54">
        <v>2</v>
      </c>
      <c r="J24" s="54">
        <v>0</v>
      </c>
      <c r="K24" s="54">
        <v>1</v>
      </c>
      <c r="L24" s="54">
        <v>1</v>
      </c>
      <c r="M24" s="54">
        <v>0</v>
      </c>
      <c r="N24" s="54">
        <v>0</v>
      </c>
      <c r="O24" s="54">
        <v>0</v>
      </c>
      <c r="P24" s="54">
        <v>1</v>
      </c>
      <c r="Q24" s="54">
        <v>1</v>
      </c>
      <c r="R24" s="54">
        <v>1</v>
      </c>
      <c r="S24" s="54">
        <v>3</v>
      </c>
      <c r="T24" s="54">
        <v>3</v>
      </c>
      <c r="U24" s="54">
        <v>2</v>
      </c>
      <c r="V24" s="54">
        <v>1</v>
      </c>
      <c r="W24" s="54">
        <v>0</v>
      </c>
      <c r="X24" s="54">
        <v>0</v>
      </c>
      <c r="Y24" s="54">
        <v>1</v>
      </c>
      <c r="Z24" s="54">
        <v>1</v>
      </c>
      <c r="AA24" s="54">
        <v>0</v>
      </c>
      <c r="AB24" s="54">
        <v>0</v>
      </c>
      <c r="AC24" s="54">
        <v>1</v>
      </c>
      <c r="AD24" s="54">
        <v>0</v>
      </c>
      <c r="AE24" s="54">
        <v>2</v>
      </c>
      <c r="AF24" s="54">
        <v>0</v>
      </c>
      <c r="AG24" s="5">
        <f t="shared" si="2"/>
        <v>33</v>
      </c>
    </row>
    <row r="25" spans="1:33" ht="15.75" customHeight="1" x14ac:dyDescent="0.25">
      <c r="A25" s="56" t="s">
        <v>24</v>
      </c>
      <c r="B25" s="54">
        <v>0</v>
      </c>
      <c r="C25" s="54">
        <v>0</v>
      </c>
      <c r="D25" s="54">
        <v>2</v>
      </c>
      <c r="E25" s="54">
        <v>3</v>
      </c>
      <c r="F25" s="54">
        <v>0</v>
      </c>
      <c r="G25" s="54">
        <v>1</v>
      </c>
      <c r="H25" s="54">
        <v>0</v>
      </c>
      <c r="I25" s="54">
        <v>1</v>
      </c>
      <c r="J25" s="54">
        <v>1</v>
      </c>
      <c r="K25" s="54">
        <v>0</v>
      </c>
      <c r="L25" s="54">
        <v>0</v>
      </c>
      <c r="M25" s="54">
        <v>4</v>
      </c>
      <c r="N25" s="54">
        <v>0</v>
      </c>
      <c r="O25" s="54">
        <v>1</v>
      </c>
      <c r="P25" s="54">
        <v>0</v>
      </c>
      <c r="Q25" s="54">
        <v>2</v>
      </c>
      <c r="R25" s="54">
        <v>2</v>
      </c>
      <c r="S25" s="54">
        <v>0</v>
      </c>
      <c r="T25" s="54">
        <v>1</v>
      </c>
      <c r="U25" s="54">
        <v>1</v>
      </c>
      <c r="V25" s="54">
        <v>2</v>
      </c>
      <c r="W25" s="54">
        <v>0</v>
      </c>
      <c r="X25" s="54">
        <v>0</v>
      </c>
      <c r="Y25" s="54">
        <v>0</v>
      </c>
      <c r="Z25" s="54">
        <v>0</v>
      </c>
      <c r="AA25" s="54">
        <v>1</v>
      </c>
      <c r="AB25" s="54">
        <v>0</v>
      </c>
      <c r="AC25" s="54">
        <v>0</v>
      </c>
      <c r="AD25" s="54">
        <v>0</v>
      </c>
      <c r="AE25" s="54">
        <v>2</v>
      </c>
      <c r="AF25" s="54">
        <v>0</v>
      </c>
      <c r="AG25" s="5">
        <f t="shared" si="2"/>
        <v>24</v>
      </c>
    </row>
    <row r="26" spans="1:33" ht="15.75" customHeight="1" x14ac:dyDescent="0.25">
      <c r="A26" s="56" t="s">
        <v>25</v>
      </c>
      <c r="B26" s="54">
        <v>1</v>
      </c>
      <c r="C26" s="54">
        <v>1</v>
      </c>
      <c r="D26" s="54">
        <v>1</v>
      </c>
      <c r="E26" s="54">
        <v>1</v>
      </c>
      <c r="F26" s="54">
        <v>0</v>
      </c>
      <c r="G26" s="54">
        <v>1</v>
      </c>
      <c r="H26" s="54">
        <v>3</v>
      </c>
      <c r="I26" s="54">
        <v>2</v>
      </c>
      <c r="J26" s="54">
        <v>0</v>
      </c>
      <c r="K26" s="54">
        <v>1</v>
      </c>
      <c r="L26" s="54">
        <v>2</v>
      </c>
      <c r="M26" s="54">
        <v>2</v>
      </c>
      <c r="N26" s="54">
        <v>2</v>
      </c>
      <c r="O26" s="54">
        <v>1</v>
      </c>
      <c r="P26" s="54">
        <v>2</v>
      </c>
      <c r="Q26" s="54">
        <v>1</v>
      </c>
      <c r="R26" s="54">
        <v>0</v>
      </c>
      <c r="S26" s="54">
        <v>2</v>
      </c>
      <c r="T26" s="54">
        <v>0</v>
      </c>
      <c r="U26" s="54">
        <v>0</v>
      </c>
      <c r="V26" s="54">
        <v>0</v>
      </c>
      <c r="W26" s="54">
        <v>1</v>
      </c>
      <c r="X26" s="54">
        <v>1</v>
      </c>
      <c r="Y26" s="54">
        <v>0</v>
      </c>
      <c r="Z26" s="54">
        <v>1</v>
      </c>
      <c r="AA26" s="54">
        <v>2</v>
      </c>
      <c r="AB26" s="54">
        <v>1</v>
      </c>
      <c r="AC26" s="54">
        <v>1</v>
      </c>
      <c r="AD26" s="54">
        <v>3</v>
      </c>
      <c r="AE26" s="54">
        <v>1</v>
      </c>
      <c r="AF26" s="54">
        <v>0</v>
      </c>
      <c r="AG26" s="5">
        <f t="shared" si="2"/>
        <v>34</v>
      </c>
    </row>
    <row r="27" spans="1:33" ht="15.75" customHeight="1" thickBot="1" x14ac:dyDescent="0.3">
      <c r="A27" s="57" t="s">
        <v>26</v>
      </c>
      <c r="B27" s="58">
        <v>0</v>
      </c>
      <c r="C27" s="58">
        <v>0</v>
      </c>
      <c r="D27" s="58">
        <v>0</v>
      </c>
      <c r="E27" s="58">
        <v>0</v>
      </c>
      <c r="F27" s="58">
        <v>0</v>
      </c>
      <c r="G27" s="58">
        <v>3</v>
      </c>
      <c r="H27" s="58">
        <v>1</v>
      </c>
      <c r="I27" s="58">
        <v>0</v>
      </c>
      <c r="J27" s="58">
        <v>1</v>
      </c>
      <c r="K27" s="58">
        <v>0</v>
      </c>
      <c r="L27" s="58">
        <v>0</v>
      </c>
      <c r="M27" s="58">
        <v>0</v>
      </c>
      <c r="N27" s="58">
        <v>3</v>
      </c>
      <c r="O27" s="58">
        <v>2</v>
      </c>
      <c r="P27" s="58">
        <v>0</v>
      </c>
      <c r="Q27" s="58">
        <v>0</v>
      </c>
      <c r="R27" s="58">
        <v>0</v>
      </c>
      <c r="S27" s="58">
        <v>0</v>
      </c>
      <c r="T27" s="58">
        <v>2</v>
      </c>
      <c r="U27" s="58">
        <v>0</v>
      </c>
      <c r="V27" s="58">
        <v>1</v>
      </c>
      <c r="W27" s="58">
        <v>0</v>
      </c>
      <c r="X27" s="58">
        <v>0</v>
      </c>
      <c r="Y27" s="58">
        <v>0</v>
      </c>
      <c r="Z27" s="58">
        <v>1</v>
      </c>
      <c r="AA27" s="58">
        <v>0</v>
      </c>
      <c r="AB27" s="58">
        <v>1</v>
      </c>
      <c r="AC27" s="58">
        <v>1</v>
      </c>
      <c r="AD27" s="58">
        <v>0</v>
      </c>
      <c r="AE27" s="58">
        <v>0</v>
      </c>
      <c r="AF27" s="58">
        <v>0</v>
      </c>
      <c r="AG27" s="5">
        <f t="shared" si="2"/>
        <v>16</v>
      </c>
    </row>
    <row r="28" spans="1:33" ht="15.75" customHeight="1" x14ac:dyDescent="0.25">
      <c r="A28" s="59" t="s">
        <v>27</v>
      </c>
      <c r="B28" s="6">
        <f t="shared" ref="B28:AF28" si="3">SUM(B29:B52)</f>
        <v>92</v>
      </c>
      <c r="C28" s="6">
        <f t="shared" si="3"/>
        <v>100</v>
      </c>
      <c r="D28" s="6">
        <f t="shared" si="3"/>
        <v>99</v>
      </c>
      <c r="E28" s="6">
        <f t="shared" si="3"/>
        <v>84</v>
      </c>
      <c r="F28" s="6">
        <f t="shared" si="3"/>
        <v>83</v>
      </c>
      <c r="G28" s="6">
        <f t="shared" si="3"/>
        <v>143</v>
      </c>
      <c r="H28" s="6">
        <f t="shared" si="3"/>
        <v>140</v>
      </c>
      <c r="I28" s="6">
        <f t="shared" si="3"/>
        <v>98</v>
      </c>
      <c r="J28" s="6">
        <f t="shared" si="3"/>
        <v>99</v>
      </c>
      <c r="K28" s="6">
        <f t="shared" si="3"/>
        <v>105</v>
      </c>
      <c r="L28" s="6">
        <f t="shared" si="3"/>
        <v>89</v>
      </c>
      <c r="M28" s="6">
        <f t="shared" si="3"/>
        <v>84</v>
      </c>
      <c r="N28" s="6">
        <f t="shared" si="3"/>
        <v>154</v>
      </c>
      <c r="O28" s="6">
        <f t="shared" si="3"/>
        <v>128</v>
      </c>
      <c r="P28" s="6">
        <f t="shared" si="3"/>
        <v>90</v>
      </c>
      <c r="Q28" s="6">
        <f t="shared" si="3"/>
        <v>189</v>
      </c>
      <c r="R28" s="6">
        <f t="shared" si="3"/>
        <v>112</v>
      </c>
      <c r="S28" s="6">
        <f t="shared" si="3"/>
        <v>113</v>
      </c>
      <c r="T28" s="6">
        <f t="shared" si="3"/>
        <v>102</v>
      </c>
      <c r="U28" s="6">
        <f t="shared" si="3"/>
        <v>156</v>
      </c>
      <c r="V28" s="6">
        <f t="shared" si="3"/>
        <v>176</v>
      </c>
      <c r="W28" s="6">
        <f t="shared" si="3"/>
        <v>138</v>
      </c>
      <c r="X28" s="6">
        <f t="shared" si="3"/>
        <v>111</v>
      </c>
      <c r="Y28" s="6">
        <f t="shared" si="3"/>
        <v>120</v>
      </c>
      <c r="Z28" s="6">
        <f t="shared" si="3"/>
        <v>117</v>
      </c>
      <c r="AA28" s="6">
        <f t="shared" si="3"/>
        <v>109</v>
      </c>
      <c r="AB28" s="6">
        <f t="shared" si="3"/>
        <v>165</v>
      </c>
      <c r="AC28" s="6">
        <f t="shared" si="3"/>
        <v>163</v>
      </c>
      <c r="AD28" s="6">
        <f t="shared" si="3"/>
        <v>135</v>
      </c>
      <c r="AE28" s="6">
        <f t="shared" si="3"/>
        <v>113</v>
      </c>
      <c r="AF28" s="6">
        <f t="shared" si="3"/>
        <v>98</v>
      </c>
      <c r="AG28" s="7">
        <f t="shared" si="2"/>
        <v>3705</v>
      </c>
    </row>
    <row r="29" spans="1:33" ht="15.75" customHeight="1" x14ac:dyDescent="0.25">
      <c r="A29" s="53" t="s">
        <v>3</v>
      </c>
      <c r="B29" s="54">
        <v>0</v>
      </c>
      <c r="C29" s="55">
        <v>0</v>
      </c>
      <c r="D29" s="55">
        <v>0</v>
      </c>
      <c r="E29" s="55">
        <v>0</v>
      </c>
      <c r="F29" s="55">
        <v>0</v>
      </c>
      <c r="G29" s="55">
        <v>1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55">
        <v>0</v>
      </c>
      <c r="N29" s="55">
        <v>3</v>
      </c>
      <c r="O29" s="55">
        <v>2</v>
      </c>
      <c r="P29" s="55">
        <v>0</v>
      </c>
      <c r="Q29" s="55">
        <v>2</v>
      </c>
      <c r="R29" s="55">
        <v>0</v>
      </c>
      <c r="S29" s="55">
        <v>0</v>
      </c>
      <c r="T29" s="55">
        <v>0</v>
      </c>
      <c r="U29" s="55">
        <v>5</v>
      </c>
      <c r="V29" s="55">
        <v>1</v>
      </c>
      <c r="W29" s="55">
        <v>0</v>
      </c>
      <c r="X29" s="55">
        <v>0</v>
      </c>
      <c r="Y29" s="55">
        <v>0</v>
      </c>
      <c r="Z29" s="55">
        <v>0</v>
      </c>
      <c r="AA29" s="55">
        <v>0</v>
      </c>
      <c r="AB29" s="55">
        <v>3</v>
      </c>
      <c r="AC29" s="55">
        <v>2</v>
      </c>
      <c r="AD29" s="54">
        <v>0</v>
      </c>
      <c r="AE29" s="54">
        <v>0</v>
      </c>
      <c r="AF29" s="54">
        <v>0</v>
      </c>
      <c r="AG29" s="5">
        <f t="shared" si="2"/>
        <v>19</v>
      </c>
    </row>
    <row r="30" spans="1:33" ht="15.75" customHeight="1" x14ac:dyDescent="0.25">
      <c r="A30" s="56" t="s">
        <v>4</v>
      </c>
      <c r="B30" s="54">
        <v>0</v>
      </c>
      <c r="C30" s="54">
        <v>0</v>
      </c>
      <c r="D30" s="54">
        <v>0</v>
      </c>
      <c r="E30" s="54">
        <v>0</v>
      </c>
      <c r="F30" s="54">
        <v>0</v>
      </c>
      <c r="G30" s="54">
        <v>3</v>
      </c>
      <c r="H30" s="54">
        <v>7</v>
      </c>
      <c r="I30" s="54">
        <v>0</v>
      </c>
      <c r="J30" s="54">
        <v>0</v>
      </c>
      <c r="K30" s="54">
        <v>0</v>
      </c>
      <c r="L30" s="54">
        <v>0</v>
      </c>
      <c r="M30" s="54">
        <v>0</v>
      </c>
      <c r="N30" s="54">
        <v>8</v>
      </c>
      <c r="O30" s="54">
        <v>6</v>
      </c>
      <c r="P30" s="54">
        <v>0</v>
      </c>
      <c r="Q30" s="54">
        <v>6</v>
      </c>
      <c r="R30" s="54">
        <v>0</v>
      </c>
      <c r="S30" s="54">
        <v>0</v>
      </c>
      <c r="T30" s="54">
        <v>0</v>
      </c>
      <c r="U30" s="54">
        <v>6</v>
      </c>
      <c r="V30" s="54">
        <v>2</v>
      </c>
      <c r="W30" s="54">
        <v>0</v>
      </c>
      <c r="X30" s="54">
        <v>0</v>
      </c>
      <c r="Y30" s="54">
        <v>0</v>
      </c>
      <c r="Z30" s="54">
        <v>0</v>
      </c>
      <c r="AA30" s="54">
        <v>0</v>
      </c>
      <c r="AB30" s="54">
        <v>3</v>
      </c>
      <c r="AC30" s="54">
        <v>3</v>
      </c>
      <c r="AD30" s="54">
        <v>0</v>
      </c>
      <c r="AE30" s="54">
        <v>0</v>
      </c>
      <c r="AF30" s="54">
        <v>0</v>
      </c>
      <c r="AG30" s="5">
        <f t="shared" si="2"/>
        <v>44</v>
      </c>
    </row>
    <row r="31" spans="1:33" ht="15.75" customHeight="1" x14ac:dyDescent="0.25">
      <c r="A31" s="56" t="s">
        <v>5</v>
      </c>
      <c r="B31" s="54">
        <v>0</v>
      </c>
      <c r="C31" s="54">
        <v>0</v>
      </c>
      <c r="D31" s="54">
        <v>0</v>
      </c>
      <c r="E31" s="54">
        <v>0</v>
      </c>
      <c r="F31" s="54">
        <v>0</v>
      </c>
      <c r="G31" s="54">
        <v>10</v>
      </c>
      <c r="H31" s="54">
        <v>7</v>
      </c>
      <c r="I31" s="54">
        <v>0</v>
      </c>
      <c r="J31" s="54">
        <v>0</v>
      </c>
      <c r="K31" s="54">
        <v>0</v>
      </c>
      <c r="L31" s="54">
        <v>0</v>
      </c>
      <c r="M31" s="54">
        <v>0</v>
      </c>
      <c r="N31" s="54">
        <v>6</v>
      </c>
      <c r="O31" s="54">
        <v>9</v>
      </c>
      <c r="P31" s="54">
        <v>0</v>
      </c>
      <c r="Q31" s="54">
        <v>11</v>
      </c>
      <c r="R31" s="54">
        <v>0</v>
      </c>
      <c r="S31" s="54">
        <v>0</v>
      </c>
      <c r="T31" s="54">
        <v>0</v>
      </c>
      <c r="U31" s="54">
        <v>7</v>
      </c>
      <c r="V31" s="54">
        <v>6</v>
      </c>
      <c r="W31" s="54">
        <v>0</v>
      </c>
      <c r="X31" s="54">
        <v>0</v>
      </c>
      <c r="Y31" s="54">
        <v>0</v>
      </c>
      <c r="Z31" s="54">
        <v>0</v>
      </c>
      <c r="AA31" s="54">
        <v>0</v>
      </c>
      <c r="AB31" s="54">
        <v>13</v>
      </c>
      <c r="AC31" s="54">
        <v>13</v>
      </c>
      <c r="AD31" s="54">
        <v>0</v>
      </c>
      <c r="AE31" s="54">
        <v>0</v>
      </c>
      <c r="AF31" s="54">
        <v>0</v>
      </c>
      <c r="AG31" s="5">
        <f t="shared" si="2"/>
        <v>82</v>
      </c>
    </row>
    <row r="32" spans="1:33" ht="15.75" customHeight="1" x14ac:dyDescent="0.25">
      <c r="A32" s="56" t="s">
        <v>6</v>
      </c>
      <c r="B32" s="54">
        <v>0</v>
      </c>
      <c r="C32" s="54">
        <v>0</v>
      </c>
      <c r="D32" s="54">
        <v>0</v>
      </c>
      <c r="E32" s="54">
        <v>0</v>
      </c>
      <c r="F32" s="54">
        <v>0</v>
      </c>
      <c r="G32" s="54">
        <v>12</v>
      </c>
      <c r="H32" s="54">
        <v>4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11</v>
      </c>
      <c r="O32" s="54">
        <v>6</v>
      </c>
      <c r="P32" s="54">
        <v>0</v>
      </c>
      <c r="Q32" s="54">
        <v>12</v>
      </c>
      <c r="R32" s="54">
        <v>0</v>
      </c>
      <c r="S32" s="54">
        <v>0</v>
      </c>
      <c r="T32" s="54">
        <v>0</v>
      </c>
      <c r="U32" s="54">
        <v>11</v>
      </c>
      <c r="V32" s="54">
        <v>10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13</v>
      </c>
      <c r="AC32" s="54">
        <v>10</v>
      </c>
      <c r="AD32" s="54">
        <v>0</v>
      </c>
      <c r="AE32" s="54">
        <v>0</v>
      </c>
      <c r="AF32" s="54">
        <v>0</v>
      </c>
      <c r="AG32" s="5">
        <f t="shared" si="2"/>
        <v>89</v>
      </c>
    </row>
    <row r="33" spans="1:33" ht="15.75" customHeight="1" x14ac:dyDescent="0.25">
      <c r="A33" s="56" t="s">
        <v>7</v>
      </c>
      <c r="B33" s="54">
        <v>0</v>
      </c>
      <c r="C33" s="54">
        <v>0</v>
      </c>
      <c r="D33" s="54">
        <v>0</v>
      </c>
      <c r="E33" s="54">
        <v>0</v>
      </c>
      <c r="F33" s="54">
        <v>0</v>
      </c>
      <c r="G33" s="54">
        <v>10</v>
      </c>
      <c r="H33" s="54">
        <v>13</v>
      </c>
      <c r="I33" s="54">
        <v>0</v>
      </c>
      <c r="J33" s="54">
        <v>0</v>
      </c>
      <c r="K33" s="54">
        <v>0</v>
      </c>
      <c r="L33" s="54">
        <v>0</v>
      </c>
      <c r="M33" s="54">
        <v>0</v>
      </c>
      <c r="N33" s="54">
        <v>11</v>
      </c>
      <c r="O33" s="54">
        <v>12</v>
      </c>
      <c r="P33" s="54">
        <v>0</v>
      </c>
      <c r="Q33" s="54">
        <v>8</v>
      </c>
      <c r="R33" s="54">
        <v>0</v>
      </c>
      <c r="S33" s="54">
        <v>0</v>
      </c>
      <c r="T33" s="54">
        <v>0</v>
      </c>
      <c r="U33" s="54">
        <v>12</v>
      </c>
      <c r="V33" s="54">
        <v>12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6</v>
      </c>
      <c r="AC33" s="54">
        <v>13</v>
      </c>
      <c r="AD33" s="54">
        <v>0</v>
      </c>
      <c r="AE33" s="54">
        <v>0</v>
      </c>
      <c r="AF33" s="54">
        <v>0</v>
      </c>
      <c r="AG33" s="5">
        <f t="shared" si="2"/>
        <v>97</v>
      </c>
    </row>
    <row r="34" spans="1:33" ht="15.75" customHeight="1" x14ac:dyDescent="0.25">
      <c r="A34" s="56" t="s">
        <v>8</v>
      </c>
      <c r="B34" s="54">
        <v>0</v>
      </c>
      <c r="C34" s="54">
        <v>0</v>
      </c>
      <c r="D34" s="54">
        <v>0</v>
      </c>
      <c r="E34" s="54">
        <v>0</v>
      </c>
      <c r="F34" s="54">
        <v>0</v>
      </c>
      <c r="G34" s="54">
        <v>11</v>
      </c>
      <c r="H34" s="54">
        <v>10</v>
      </c>
      <c r="I34" s="54">
        <v>0</v>
      </c>
      <c r="J34" s="54">
        <v>0</v>
      </c>
      <c r="K34" s="54">
        <v>0</v>
      </c>
      <c r="L34" s="54">
        <v>0</v>
      </c>
      <c r="M34" s="54">
        <v>0</v>
      </c>
      <c r="N34" s="54">
        <v>9</v>
      </c>
      <c r="O34" s="54">
        <v>12</v>
      </c>
      <c r="P34" s="54">
        <v>0</v>
      </c>
      <c r="Q34" s="54">
        <v>13</v>
      </c>
      <c r="R34" s="54">
        <v>0</v>
      </c>
      <c r="S34" s="54">
        <v>0</v>
      </c>
      <c r="T34" s="54">
        <v>0</v>
      </c>
      <c r="U34" s="54">
        <v>10</v>
      </c>
      <c r="V34" s="54">
        <v>10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13</v>
      </c>
      <c r="AC34" s="54">
        <v>11</v>
      </c>
      <c r="AD34" s="54">
        <v>0</v>
      </c>
      <c r="AE34" s="54">
        <v>0</v>
      </c>
      <c r="AF34" s="54">
        <v>0</v>
      </c>
      <c r="AG34" s="5">
        <f t="shared" si="2"/>
        <v>99</v>
      </c>
    </row>
    <row r="35" spans="1:33" ht="15.75" customHeight="1" x14ac:dyDescent="0.25">
      <c r="A35" s="56" t="s">
        <v>9</v>
      </c>
      <c r="B35" s="54">
        <v>0</v>
      </c>
      <c r="C35" s="54">
        <v>0</v>
      </c>
      <c r="D35" s="54">
        <v>0</v>
      </c>
      <c r="E35" s="54">
        <v>0</v>
      </c>
      <c r="F35" s="54">
        <v>0</v>
      </c>
      <c r="G35" s="54">
        <v>4</v>
      </c>
      <c r="H35" s="54">
        <v>9</v>
      </c>
      <c r="I35" s="54">
        <v>0</v>
      </c>
      <c r="J35" s="54">
        <v>0</v>
      </c>
      <c r="K35" s="54">
        <v>0</v>
      </c>
      <c r="L35" s="54">
        <v>0</v>
      </c>
      <c r="M35" s="54">
        <v>0</v>
      </c>
      <c r="N35" s="54">
        <v>8</v>
      </c>
      <c r="O35" s="54">
        <v>6</v>
      </c>
      <c r="P35" s="54">
        <v>0</v>
      </c>
      <c r="Q35" s="54">
        <v>7</v>
      </c>
      <c r="R35" s="54">
        <v>0</v>
      </c>
      <c r="S35" s="54">
        <v>0</v>
      </c>
      <c r="T35" s="54">
        <v>0</v>
      </c>
      <c r="U35" s="54">
        <v>12</v>
      </c>
      <c r="V35" s="54">
        <v>11</v>
      </c>
      <c r="W35" s="54">
        <v>0</v>
      </c>
      <c r="X35" s="54">
        <v>0</v>
      </c>
      <c r="Y35" s="54">
        <v>0</v>
      </c>
      <c r="Z35" s="54">
        <v>0</v>
      </c>
      <c r="AA35" s="54">
        <v>0</v>
      </c>
      <c r="AB35" s="54">
        <v>7</v>
      </c>
      <c r="AC35" s="54">
        <v>4</v>
      </c>
      <c r="AD35" s="54">
        <v>0</v>
      </c>
      <c r="AE35" s="54">
        <v>0</v>
      </c>
      <c r="AF35" s="54">
        <v>0</v>
      </c>
      <c r="AG35" s="5">
        <f t="shared" si="2"/>
        <v>68</v>
      </c>
    </row>
    <row r="36" spans="1:33" ht="15.75" customHeight="1" x14ac:dyDescent="0.25">
      <c r="A36" s="56" t="s">
        <v>10</v>
      </c>
      <c r="B36" s="54">
        <v>0</v>
      </c>
      <c r="C36" s="54">
        <v>0</v>
      </c>
      <c r="D36" s="54">
        <v>0</v>
      </c>
      <c r="E36" s="54">
        <v>0</v>
      </c>
      <c r="F36" s="54">
        <v>0</v>
      </c>
      <c r="G36" s="54">
        <v>10</v>
      </c>
      <c r="H36" s="54">
        <v>8</v>
      </c>
      <c r="I36" s="54">
        <v>0</v>
      </c>
      <c r="J36" s="54">
        <v>0</v>
      </c>
      <c r="K36" s="54">
        <v>0</v>
      </c>
      <c r="L36" s="54">
        <v>0</v>
      </c>
      <c r="M36" s="54">
        <v>0</v>
      </c>
      <c r="N36" s="54">
        <v>10</v>
      </c>
      <c r="O36" s="54">
        <v>7</v>
      </c>
      <c r="P36" s="54">
        <v>0</v>
      </c>
      <c r="Q36" s="54">
        <v>10</v>
      </c>
      <c r="R36" s="54">
        <v>0</v>
      </c>
      <c r="S36" s="54">
        <v>0</v>
      </c>
      <c r="T36" s="54">
        <v>0</v>
      </c>
      <c r="U36" s="54">
        <v>6</v>
      </c>
      <c r="V36" s="54">
        <v>6</v>
      </c>
      <c r="W36" s="54">
        <v>0</v>
      </c>
      <c r="X36" s="54">
        <v>0</v>
      </c>
      <c r="Y36" s="54">
        <v>0</v>
      </c>
      <c r="Z36" s="54">
        <v>0</v>
      </c>
      <c r="AA36" s="54">
        <v>0</v>
      </c>
      <c r="AB36" s="54">
        <v>12</v>
      </c>
      <c r="AC36" s="54">
        <v>8</v>
      </c>
      <c r="AD36" s="54">
        <v>0</v>
      </c>
      <c r="AE36" s="54">
        <v>0</v>
      </c>
      <c r="AF36" s="54">
        <v>0</v>
      </c>
      <c r="AG36" s="5">
        <f t="shared" si="2"/>
        <v>77</v>
      </c>
    </row>
    <row r="37" spans="1:33" ht="15.75" customHeight="1" x14ac:dyDescent="0.25">
      <c r="A37" s="56" t="s">
        <v>11</v>
      </c>
      <c r="B37" s="54">
        <v>0</v>
      </c>
      <c r="C37" s="54">
        <v>0</v>
      </c>
      <c r="D37" s="54">
        <v>0</v>
      </c>
      <c r="E37" s="54">
        <v>0</v>
      </c>
      <c r="F37" s="54">
        <v>10</v>
      </c>
      <c r="G37" s="54">
        <v>9</v>
      </c>
      <c r="H37" s="54">
        <v>12</v>
      </c>
      <c r="I37" s="54">
        <v>0</v>
      </c>
      <c r="J37" s="54">
        <v>0</v>
      </c>
      <c r="K37" s="54">
        <v>0</v>
      </c>
      <c r="L37" s="54">
        <v>0</v>
      </c>
      <c r="M37" s="54">
        <v>13</v>
      </c>
      <c r="N37" s="54">
        <v>9</v>
      </c>
      <c r="O37" s="54">
        <v>12</v>
      </c>
      <c r="P37" s="54">
        <v>0</v>
      </c>
      <c r="Q37" s="54">
        <v>12</v>
      </c>
      <c r="R37" s="54">
        <v>0</v>
      </c>
      <c r="S37" s="54">
        <v>0</v>
      </c>
      <c r="T37" s="54">
        <v>11</v>
      </c>
      <c r="U37" s="54">
        <v>18</v>
      </c>
      <c r="V37" s="54">
        <v>17</v>
      </c>
      <c r="W37" s="54">
        <v>0</v>
      </c>
      <c r="X37" s="54">
        <v>0</v>
      </c>
      <c r="Y37" s="54">
        <v>0</v>
      </c>
      <c r="Z37" s="54">
        <v>0</v>
      </c>
      <c r="AA37" s="54">
        <v>8</v>
      </c>
      <c r="AB37" s="54">
        <v>13</v>
      </c>
      <c r="AC37" s="54">
        <v>17</v>
      </c>
      <c r="AD37" s="54">
        <v>0</v>
      </c>
      <c r="AE37" s="54">
        <v>0</v>
      </c>
      <c r="AF37" s="54">
        <v>0</v>
      </c>
      <c r="AG37" s="5">
        <f t="shared" si="2"/>
        <v>161</v>
      </c>
    </row>
    <row r="38" spans="1:33" ht="15.75" customHeight="1" x14ac:dyDescent="0.25">
      <c r="A38" s="56" t="s">
        <v>12</v>
      </c>
      <c r="B38" s="54">
        <v>6</v>
      </c>
      <c r="C38" s="54">
        <v>17</v>
      </c>
      <c r="D38" s="54">
        <v>20</v>
      </c>
      <c r="E38" s="54">
        <v>7</v>
      </c>
      <c r="F38" s="54">
        <v>16</v>
      </c>
      <c r="G38" s="54">
        <v>13</v>
      </c>
      <c r="H38" s="54">
        <v>12</v>
      </c>
      <c r="I38" s="54">
        <v>4</v>
      </c>
      <c r="J38" s="54">
        <v>10</v>
      </c>
      <c r="K38" s="54">
        <v>13</v>
      </c>
      <c r="L38" s="54">
        <v>8</v>
      </c>
      <c r="M38" s="54">
        <v>20</v>
      </c>
      <c r="N38" s="54">
        <v>11</v>
      </c>
      <c r="O38" s="54">
        <v>9</v>
      </c>
      <c r="P38" s="54">
        <v>19</v>
      </c>
      <c r="Q38" s="54">
        <v>15</v>
      </c>
      <c r="R38" s="54">
        <v>7</v>
      </c>
      <c r="S38" s="54">
        <v>10</v>
      </c>
      <c r="T38" s="54">
        <v>18</v>
      </c>
      <c r="U38" s="54">
        <v>13</v>
      </c>
      <c r="V38" s="54">
        <v>20</v>
      </c>
      <c r="W38" s="54">
        <v>11</v>
      </c>
      <c r="X38" s="54">
        <v>15</v>
      </c>
      <c r="Y38" s="54">
        <v>10</v>
      </c>
      <c r="Z38" s="54">
        <v>5</v>
      </c>
      <c r="AA38" s="54">
        <v>11</v>
      </c>
      <c r="AB38" s="54">
        <v>17</v>
      </c>
      <c r="AC38" s="54">
        <v>15</v>
      </c>
      <c r="AD38" s="54">
        <v>13</v>
      </c>
      <c r="AE38" s="54">
        <v>12</v>
      </c>
      <c r="AF38" s="54">
        <v>10</v>
      </c>
      <c r="AG38" s="5">
        <f t="shared" si="2"/>
        <v>387</v>
      </c>
    </row>
    <row r="39" spans="1:33" ht="15.75" customHeight="1" x14ac:dyDescent="0.25">
      <c r="A39" s="56" t="s">
        <v>13</v>
      </c>
      <c r="B39" s="54">
        <v>19</v>
      </c>
      <c r="C39" s="54">
        <v>21</v>
      </c>
      <c r="D39" s="54">
        <v>18</v>
      </c>
      <c r="E39" s="54">
        <v>23</v>
      </c>
      <c r="F39" s="54">
        <v>12</v>
      </c>
      <c r="G39" s="54">
        <v>6</v>
      </c>
      <c r="H39" s="54">
        <v>7</v>
      </c>
      <c r="I39" s="54">
        <v>11</v>
      </c>
      <c r="J39" s="54">
        <v>21</v>
      </c>
      <c r="K39" s="54">
        <v>22</v>
      </c>
      <c r="L39" s="54">
        <v>21</v>
      </c>
      <c r="M39" s="54">
        <v>8</v>
      </c>
      <c r="N39" s="54">
        <v>12</v>
      </c>
      <c r="O39" s="54">
        <v>13</v>
      </c>
      <c r="P39" s="54">
        <v>19</v>
      </c>
      <c r="Q39" s="54">
        <v>8</v>
      </c>
      <c r="R39" s="54">
        <v>17</v>
      </c>
      <c r="S39" s="54">
        <v>14</v>
      </c>
      <c r="T39" s="54">
        <v>20</v>
      </c>
      <c r="U39" s="54">
        <v>13</v>
      </c>
      <c r="V39" s="54">
        <v>14</v>
      </c>
      <c r="W39" s="54">
        <v>14</v>
      </c>
      <c r="X39" s="54">
        <v>21</v>
      </c>
      <c r="Y39" s="54">
        <v>13</v>
      </c>
      <c r="Z39" s="54">
        <v>12</v>
      </c>
      <c r="AA39" s="54">
        <v>20</v>
      </c>
      <c r="AB39" s="54">
        <v>9</v>
      </c>
      <c r="AC39" s="54">
        <v>6</v>
      </c>
      <c r="AD39" s="54">
        <v>26</v>
      </c>
      <c r="AE39" s="54">
        <v>12</v>
      </c>
      <c r="AF39" s="54">
        <v>24</v>
      </c>
      <c r="AG39" s="5">
        <f t="shared" si="2"/>
        <v>476</v>
      </c>
    </row>
    <row r="40" spans="1:33" ht="15.75" customHeight="1" x14ac:dyDescent="0.25">
      <c r="A40" s="56" t="s">
        <v>14</v>
      </c>
      <c r="B40" s="54">
        <v>23</v>
      </c>
      <c r="C40" s="54">
        <v>20</v>
      </c>
      <c r="D40" s="54">
        <v>16</v>
      </c>
      <c r="E40" s="54">
        <v>24</v>
      </c>
      <c r="F40" s="54">
        <v>13</v>
      </c>
      <c r="G40" s="54">
        <v>12</v>
      </c>
      <c r="H40" s="54">
        <v>10</v>
      </c>
      <c r="I40" s="54">
        <v>22</v>
      </c>
      <c r="J40" s="54">
        <v>19</v>
      </c>
      <c r="K40" s="54">
        <v>30</v>
      </c>
      <c r="L40" s="54">
        <v>24</v>
      </c>
      <c r="M40" s="54">
        <v>10</v>
      </c>
      <c r="N40" s="54">
        <v>10</v>
      </c>
      <c r="O40" s="54">
        <v>9</v>
      </c>
      <c r="P40" s="54">
        <v>16</v>
      </c>
      <c r="Q40" s="54">
        <v>13</v>
      </c>
      <c r="R40" s="54">
        <v>30</v>
      </c>
      <c r="S40" s="54">
        <v>18</v>
      </c>
      <c r="T40" s="54">
        <v>12</v>
      </c>
      <c r="U40" s="54">
        <v>12</v>
      </c>
      <c r="V40" s="54">
        <v>22</v>
      </c>
      <c r="W40" s="54">
        <v>25</v>
      </c>
      <c r="X40" s="54">
        <v>24</v>
      </c>
      <c r="Y40" s="54">
        <v>25</v>
      </c>
      <c r="Z40" s="54">
        <v>20</v>
      </c>
      <c r="AA40" s="54">
        <v>23</v>
      </c>
      <c r="AB40" s="54">
        <v>11</v>
      </c>
      <c r="AC40" s="54">
        <v>14</v>
      </c>
      <c r="AD40" s="54">
        <v>37</v>
      </c>
      <c r="AE40" s="54">
        <v>21</v>
      </c>
      <c r="AF40" s="54">
        <v>24</v>
      </c>
      <c r="AG40" s="5">
        <f t="shared" si="2"/>
        <v>589</v>
      </c>
    </row>
    <row r="41" spans="1:33" ht="15.75" customHeight="1" x14ac:dyDescent="0.25">
      <c r="A41" s="56" t="s">
        <v>15</v>
      </c>
      <c r="B41" s="54">
        <v>14</v>
      </c>
      <c r="C41" s="54">
        <v>15</v>
      </c>
      <c r="D41" s="54">
        <v>11</v>
      </c>
      <c r="E41" s="54">
        <v>11</v>
      </c>
      <c r="F41" s="54">
        <v>10</v>
      </c>
      <c r="G41" s="54">
        <v>7</v>
      </c>
      <c r="H41" s="54">
        <v>6</v>
      </c>
      <c r="I41" s="54">
        <v>26</v>
      </c>
      <c r="J41" s="54">
        <v>15</v>
      </c>
      <c r="K41" s="54">
        <v>13</v>
      </c>
      <c r="L41" s="54">
        <v>11</v>
      </c>
      <c r="M41" s="54">
        <v>5</v>
      </c>
      <c r="N41" s="54">
        <v>12</v>
      </c>
      <c r="O41" s="54">
        <v>5</v>
      </c>
      <c r="P41" s="54">
        <v>12</v>
      </c>
      <c r="Q41" s="54">
        <v>14</v>
      </c>
      <c r="R41" s="54">
        <v>23</v>
      </c>
      <c r="S41" s="54">
        <v>22</v>
      </c>
      <c r="T41" s="54">
        <v>12</v>
      </c>
      <c r="U41" s="54">
        <v>4</v>
      </c>
      <c r="V41" s="54">
        <v>15</v>
      </c>
      <c r="W41" s="54">
        <v>31</v>
      </c>
      <c r="X41" s="54">
        <v>23</v>
      </c>
      <c r="Y41" s="54">
        <v>30</v>
      </c>
      <c r="Z41" s="54">
        <v>20</v>
      </c>
      <c r="AA41" s="54">
        <v>20</v>
      </c>
      <c r="AB41" s="54">
        <v>12</v>
      </c>
      <c r="AC41" s="54">
        <v>12</v>
      </c>
      <c r="AD41" s="54">
        <v>17</v>
      </c>
      <c r="AE41" s="54">
        <v>21</v>
      </c>
      <c r="AF41" s="54">
        <v>12</v>
      </c>
      <c r="AG41" s="5">
        <f t="shared" si="2"/>
        <v>461</v>
      </c>
    </row>
    <row r="42" spans="1:33" ht="15.75" customHeight="1" x14ac:dyDescent="0.25">
      <c r="A42" s="56" t="s">
        <v>16</v>
      </c>
      <c r="B42" s="54">
        <v>8</v>
      </c>
      <c r="C42" s="54">
        <v>7</v>
      </c>
      <c r="D42" s="54">
        <v>10</v>
      </c>
      <c r="E42" s="54">
        <v>4</v>
      </c>
      <c r="F42" s="54">
        <v>5</v>
      </c>
      <c r="G42" s="54">
        <v>4</v>
      </c>
      <c r="H42" s="54">
        <v>3</v>
      </c>
      <c r="I42" s="54">
        <v>11</v>
      </c>
      <c r="J42" s="54">
        <v>9</v>
      </c>
      <c r="K42" s="54">
        <v>11</v>
      </c>
      <c r="L42" s="54">
        <v>8</v>
      </c>
      <c r="M42" s="54">
        <v>6</v>
      </c>
      <c r="N42" s="54">
        <v>8</v>
      </c>
      <c r="O42" s="54">
        <v>4</v>
      </c>
      <c r="P42" s="54">
        <v>7</v>
      </c>
      <c r="Q42" s="54">
        <v>12</v>
      </c>
      <c r="R42" s="54">
        <v>7</v>
      </c>
      <c r="S42" s="54">
        <v>12</v>
      </c>
      <c r="T42" s="54">
        <v>9</v>
      </c>
      <c r="U42" s="54">
        <v>4</v>
      </c>
      <c r="V42" s="54">
        <v>8</v>
      </c>
      <c r="W42" s="54">
        <v>22</v>
      </c>
      <c r="X42" s="54">
        <v>12</v>
      </c>
      <c r="Y42" s="54">
        <v>12</v>
      </c>
      <c r="Z42" s="54">
        <v>18</v>
      </c>
      <c r="AA42" s="54">
        <v>9</v>
      </c>
      <c r="AB42" s="54">
        <v>8</v>
      </c>
      <c r="AC42" s="54">
        <v>13</v>
      </c>
      <c r="AD42" s="54">
        <v>14</v>
      </c>
      <c r="AE42" s="54">
        <v>12</v>
      </c>
      <c r="AF42" s="54">
        <v>8</v>
      </c>
      <c r="AG42" s="5">
        <f t="shared" si="2"/>
        <v>285</v>
      </c>
    </row>
    <row r="43" spans="1:33" ht="15.75" customHeight="1" x14ac:dyDescent="0.25">
      <c r="A43" s="56" t="s">
        <v>17</v>
      </c>
      <c r="B43" s="54">
        <v>10</v>
      </c>
      <c r="C43" s="54">
        <v>4</v>
      </c>
      <c r="D43" s="54">
        <v>6</v>
      </c>
      <c r="E43" s="54">
        <v>2</v>
      </c>
      <c r="F43" s="54">
        <v>5</v>
      </c>
      <c r="G43" s="54">
        <v>7</v>
      </c>
      <c r="H43" s="54">
        <v>8</v>
      </c>
      <c r="I43" s="54">
        <v>12</v>
      </c>
      <c r="J43" s="54">
        <v>7</v>
      </c>
      <c r="K43" s="54">
        <v>4</v>
      </c>
      <c r="L43" s="54">
        <v>6</v>
      </c>
      <c r="M43" s="54">
        <v>4</v>
      </c>
      <c r="N43" s="54">
        <v>4</v>
      </c>
      <c r="O43" s="54">
        <v>5</v>
      </c>
      <c r="P43" s="54">
        <v>2</v>
      </c>
      <c r="Q43" s="54">
        <v>14</v>
      </c>
      <c r="R43" s="54">
        <v>11</v>
      </c>
      <c r="S43" s="54">
        <v>9</v>
      </c>
      <c r="T43" s="54">
        <v>5</v>
      </c>
      <c r="U43" s="54">
        <v>5</v>
      </c>
      <c r="V43" s="54">
        <v>4</v>
      </c>
      <c r="W43" s="54">
        <v>15</v>
      </c>
      <c r="X43" s="54">
        <v>9</v>
      </c>
      <c r="Y43" s="54">
        <v>14</v>
      </c>
      <c r="Z43" s="54">
        <v>8</v>
      </c>
      <c r="AA43" s="54">
        <v>3</v>
      </c>
      <c r="AB43" s="54">
        <v>6</v>
      </c>
      <c r="AC43" s="54">
        <v>6</v>
      </c>
      <c r="AD43" s="54">
        <v>9</v>
      </c>
      <c r="AE43" s="54">
        <v>9</v>
      </c>
      <c r="AF43" s="54">
        <v>8</v>
      </c>
      <c r="AG43" s="5">
        <f t="shared" si="2"/>
        <v>221</v>
      </c>
    </row>
    <row r="44" spans="1:33" ht="15.75" customHeight="1" x14ac:dyDescent="0.25">
      <c r="A44" s="56" t="s">
        <v>18</v>
      </c>
      <c r="B44" s="54">
        <v>1</v>
      </c>
      <c r="C44" s="54">
        <v>5</v>
      </c>
      <c r="D44" s="54">
        <v>5</v>
      </c>
      <c r="E44" s="54">
        <v>2</v>
      </c>
      <c r="F44" s="54">
        <v>3</v>
      </c>
      <c r="G44" s="54">
        <v>3</v>
      </c>
      <c r="H44" s="54">
        <v>8</v>
      </c>
      <c r="I44" s="54">
        <v>3</v>
      </c>
      <c r="J44" s="54">
        <v>6</v>
      </c>
      <c r="K44" s="54">
        <v>4</v>
      </c>
      <c r="L44" s="54">
        <v>3</v>
      </c>
      <c r="M44" s="54">
        <v>2</v>
      </c>
      <c r="N44" s="54">
        <v>5</v>
      </c>
      <c r="O44" s="54">
        <v>3</v>
      </c>
      <c r="P44" s="54">
        <v>7</v>
      </c>
      <c r="Q44" s="54">
        <v>10</v>
      </c>
      <c r="R44" s="54">
        <v>2</v>
      </c>
      <c r="S44" s="54">
        <v>11</v>
      </c>
      <c r="T44" s="54">
        <v>4</v>
      </c>
      <c r="U44" s="54">
        <v>4</v>
      </c>
      <c r="V44" s="54">
        <v>5</v>
      </c>
      <c r="W44" s="54">
        <v>9</v>
      </c>
      <c r="X44" s="54">
        <v>1</v>
      </c>
      <c r="Y44" s="54">
        <v>3</v>
      </c>
      <c r="Z44" s="54">
        <v>5</v>
      </c>
      <c r="AA44" s="54">
        <v>4</v>
      </c>
      <c r="AB44" s="54">
        <v>7</v>
      </c>
      <c r="AC44" s="54">
        <v>5</v>
      </c>
      <c r="AD44" s="54">
        <v>4</v>
      </c>
      <c r="AE44" s="54">
        <v>12</v>
      </c>
      <c r="AF44" s="54">
        <v>3</v>
      </c>
      <c r="AG44" s="5">
        <f t="shared" si="2"/>
        <v>149</v>
      </c>
    </row>
    <row r="45" spans="1:33" ht="15.75" customHeight="1" x14ac:dyDescent="0.25">
      <c r="A45" s="56" t="s">
        <v>19</v>
      </c>
      <c r="B45" s="54">
        <v>1</v>
      </c>
      <c r="C45" s="54">
        <v>3</v>
      </c>
      <c r="D45" s="54">
        <v>2</v>
      </c>
      <c r="E45" s="54">
        <v>2</v>
      </c>
      <c r="F45" s="54">
        <v>1</v>
      </c>
      <c r="G45" s="54">
        <v>4</v>
      </c>
      <c r="H45" s="54">
        <v>4</v>
      </c>
      <c r="I45" s="54">
        <v>0</v>
      </c>
      <c r="J45" s="54">
        <v>7</v>
      </c>
      <c r="K45" s="54">
        <v>2</v>
      </c>
      <c r="L45" s="54">
        <v>0</v>
      </c>
      <c r="M45" s="54">
        <v>3</v>
      </c>
      <c r="N45" s="54">
        <v>7</v>
      </c>
      <c r="O45" s="54">
        <v>1</v>
      </c>
      <c r="P45" s="54">
        <v>2</v>
      </c>
      <c r="Q45" s="54">
        <v>9</v>
      </c>
      <c r="R45" s="54">
        <v>4</v>
      </c>
      <c r="S45" s="54">
        <v>4</v>
      </c>
      <c r="T45" s="54">
        <v>1</v>
      </c>
      <c r="U45" s="54">
        <v>4</v>
      </c>
      <c r="V45" s="54">
        <v>3</v>
      </c>
      <c r="W45" s="54">
        <v>3</v>
      </c>
      <c r="X45" s="54">
        <v>0</v>
      </c>
      <c r="Y45" s="54">
        <v>6</v>
      </c>
      <c r="Z45" s="54">
        <v>6</v>
      </c>
      <c r="AA45" s="54">
        <v>0</v>
      </c>
      <c r="AB45" s="54">
        <v>3</v>
      </c>
      <c r="AC45" s="54">
        <v>2</v>
      </c>
      <c r="AD45" s="54">
        <v>3</v>
      </c>
      <c r="AE45" s="54">
        <v>1</v>
      </c>
      <c r="AF45" s="54">
        <v>2</v>
      </c>
      <c r="AG45" s="5">
        <f t="shared" si="2"/>
        <v>90</v>
      </c>
    </row>
    <row r="46" spans="1:33" ht="15.75" customHeight="1" x14ac:dyDescent="0.25">
      <c r="A46" s="56" t="s">
        <v>20</v>
      </c>
      <c r="B46" s="54">
        <v>5</v>
      </c>
      <c r="C46" s="54">
        <v>1</v>
      </c>
      <c r="D46" s="54">
        <v>4</v>
      </c>
      <c r="E46" s="54">
        <v>2</v>
      </c>
      <c r="F46" s="54">
        <v>1</v>
      </c>
      <c r="G46" s="54">
        <v>1</v>
      </c>
      <c r="H46" s="54">
        <v>2</v>
      </c>
      <c r="I46" s="54">
        <v>1</v>
      </c>
      <c r="J46" s="54">
        <v>2</v>
      </c>
      <c r="K46" s="54">
        <v>1</v>
      </c>
      <c r="L46" s="54">
        <v>4</v>
      </c>
      <c r="M46" s="54">
        <v>1</v>
      </c>
      <c r="N46" s="54">
        <v>3</v>
      </c>
      <c r="O46" s="54">
        <v>2</v>
      </c>
      <c r="P46" s="54">
        <v>1</v>
      </c>
      <c r="Q46" s="54">
        <v>5</v>
      </c>
      <c r="R46" s="54">
        <v>4</v>
      </c>
      <c r="S46" s="54">
        <v>2</v>
      </c>
      <c r="T46" s="54">
        <v>0</v>
      </c>
      <c r="U46" s="54">
        <v>5</v>
      </c>
      <c r="V46" s="54">
        <v>3</v>
      </c>
      <c r="W46" s="54">
        <v>1</v>
      </c>
      <c r="X46" s="54">
        <v>2</v>
      </c>
      <c r="Y46" s="54">
        <v>4</v>
      </c>
      <c r="Z46" s="54">
        <v>9</v>
      </c>
      <c r="AA46" s="54">
        <v>1</v>
      </c>
      <c r="AB46" s="54">
        <v>3</v>
      </c>
      <c r="AC46" s="54">
        <v>1</v>
      </c>
      <c r="AD46" s="54">
        <v>3</v>
      </c>
      <c r="AE46" s="54">
        <v>5</v>
      </c>
      <c r="AF46" s="54">
        <v>1</v>
      </c>
      <c r="AG46" s="5">
        <f t="shared" si="2"/>
        <v>80</v>
      </c>
    </row>
    <row r="47" spans="1:33" ht="15.75" customHeight="1" x14ac:dyDescent="0.25">
      <c r="A47" s="56" t="s">
        <v>21</v>
      </c>
      <c r="B47" s="54">
        <v>2</v>
      </c>
      <c r="C47" s="54">
        <v>0</v>
      </c>
      <c r="D47" s="54">
        <v>3</v>
      </c>
      <c r="E47" s="54">
        <v>1</v>
      </c>
      <c r="F47" s="54">
        <v>3</v>
      </c>
      <c r="G47" s="54">
        <v>4</v>
      </c>
      <c r="H47" s="54">
        <v>1</v>
      </c>
      <c r="I47" s="54">
        <v>3</v>
      </c>
      <c r="J47" s="54">
        <v>1</v>
      </c>
      <c r="K47" s="54">
        <v>2</v>
      </c>
      <c r="L47" s="54">
        <v>1</v>
      </c>
      <c r="M47" s="54">
        <v>4</v>
      </c>
      <c r="N47" s="54">
        <v>2</v>
      </c>
      <c r="O47" s="54">
        <v>0</v>
      </c>
      <c r="P47" s="54">
        <v>1</v>
      </c>
      <c r="Q47" s="54">
        <v>2</v>
      </c>
      <c r="R47" s="54">
        <v>2</v>
      </c>
      <c r="S47" s="54">
        <v>2</v>
      </c>
      <c r="T47" s="54">
        <v>3</v>
      </c>
      <c r="U47" s="54">
        <v>1</v>
      </c>
      <c r="V47" s="54">
        <v>3</v>
      </c>
      <c r="W47" s="54">
        <v>1</v>
      </c>
      <c r="X47" s="54">
        <v>2</v>
      </c>
      <c r="Y47" s="54">
        <v>1</v>
      </c>
      <c r="Z47" s="54">
        <v>9</v>
      </c>
      <c r="AA47" s="54">
        <v>1</v>
      </c>
      <c r="AB47" s="54">
        <v>3</v>
      </c>
      <c r="AC47" s="54">
        <v>2</v>
      </c>
      <c r="AD47" s="54">
        <v>3</v>
      </c>
      <c r="AE47" s="54">
        <v>2</v>
      </c>
      <c r="AF47" s="54">
        <v>3</v>
      </c>
      <c r="AG47" s="5">
        <f t="shared" si="2"/>
        <v>68</v>
      </c>
    </row>
    <row r="48" spans="1:33" ht="15.75" customHeight="1" x14ac:dyDescent="0.25">
      <c r="A48" s="56" t="s">
        <v>22</v>
      </c>
      <c r="B48" s="54">
        <v>0</v>
      </c>
      <c r="C48" s="54">
        <v>2</v>
      </c>
      <c r="D48" s="54">
        <v>0</v>
      </c>
      <c r="E48" s="54">
        <v>1</v>
      </c>
      <c r="F48" s="54">
        <v>3</v>
      </c>
      <c r="G48" s="54">
        <v>2</v>
      </c>
      <c r="H48" s="54">
        <v>1</v>
      </c>
      <c r="I48" s="54">
        <v>0</v>
      </c>
      <c r="J48" s="54">
        <v>0</v>
      </c>
      <c r="K48" s="54">
        <v>1</v>
      </c>
      <c r="L48" s="54">
        <v>0</v>
      </c>
      <c r="M48" s="54">
        <v>2</v>
      </c>
      <c r="N48" s="54">
        <v>0</v>
      </c>
      <c r="O48" s="54">
        <v>0</v>
      </c>
      <c r="P48" s="54">
        <v>0</v>
      </c>
      <c r="Q48" s="54">
        <v>1</v>
      </c>
      <c r="R48" s="54">
        <v>1</v>
      </c>
      <c r="S48" s="54">
        <v>1</v>
      </c>
      <c r="T48" s="54">
        <v>0</v>
      </c>
      <c r="U48" s="54">
        <v>1</v>
      </c>
      <c r="V48" s="54">
        <v>0</v>
      </c>
      <c r="W48" s="54">
        <v>3</v>
      </c>
      <c r="X48" s="54">
        <v>1</v>
      </c>
      <c r="Y48" s="54">
        <v>1</v>
      </c>
      <c r="Z48" s="54">
        <v>2</v>
      </c>
      <c r="AA48" s="54">
        <v>5</v>
      </c>
      <c r="AB48" s="54">
        <v>1</v>
      </c>
      <c r="AC48" s="54">
        <v>1</v>
      </c>
      <c r="AD48" s="54">
        <v>2</v>
      </c>
      <c r="AE48" s="54">
        <v>1</v>
      </c>
      <c r="AF48" s="54">
        <v>0</v>
      </c>
      <c r="AG48" s="5">
        <f t="shared" si="2"/>
        <v>33</v>
      </c>
    </row>
    <row r="49" spans="1:33" ht="15.75" customHeight="1" x14ac:dyDescent="0.25">
      <c r="A49" s="56" t="s">
        <v>23</v>
      </c>
      <c r="B49" s="54">
        <v>1</v>
      </c>
      <c r="C49" s="54">
        <v>3</v>
      </c>
      <c r="D49" s="54">
        <v>1</v>
      </c>
      <c r="E49" s="54">
        <v>0</v>
      </c>
      <c r="F49" s="54">
        <v>1</v>
      </c>
      <c r="G49" s="54">
        <v>4</v>
      </c>
      <c r="H49" s="54">
        <v>3</v>
      </c>
      <c r="I49" s="54">
        <v>1</v>
      </c>
      <c r="J49" s="54">
        <v>0</v>
      </c>
      <c r="K49" s="54">
        <v>0</v>
      </c>
      <c r="L49" s="54">
        <v>0</v>
      </c>
      <c r="M49" s="54">
        <v>0</v>
      </c>
      <c r="N49" s="54">
        <v>0</v>
      </c>
      <c r="O49" s="54">
        <v>2</v>
      </c>
      <c r="P49" s="54">
        <v>2</v>
      </c>
      <c r="Q49" s="54">
        <v>2</v>
      </c>
      <c r="R49" s="54">
        <v>2</v>
      </c>
      <c r="S49" s="54">
        <v>3</v>
      </c>
      <c r="T49" s="54">
        <v>4</v>
      </c>
      <c r="U49" s="54">
        <v>2</v>
      </c>
      <c r="V49" s="54">
        <v>1</v>
      </c>
      <c r="W49" s="54">
        <v>2</v>
      </c>
      <c r="X49" s="54">
        <v>0</v>
      </c>
      <c r="Y49" s="54">
        <v>1</v>
      </c>
      <c r="Z49" s="54">
        <v>0</v>
      </c>
      <c r="AA49" s="54">
        <v>1</v>
      </c>
      <c r="AB49" s="54">
        <v>1</v>
      </c>
      <c r="AC49" s="54">
        <v>3</v>
      </c>
      <c r="AD49" s="54">
        <v>1</v>
      </c>
      <c r="AE49" s="54">
        <v>1</v>
      </c>
      <c r="AF49" s="54">
        <v>3</v>
      </c>
      <c r="AG49" s="5">
        <f t="shared" si="2"/>
        <v>45</v>
      </c>
    </row>
    <row r="50" spans="1:33" ht="15.75" customHeight="1" x14ac:dyDescent="0.25">
      <c r="A50" s="56" t="s">
        <v>24</v>
      </c>
      <c r="B50" s="54">
        <v>1</v>
      </c>
      <c r="C50" s="54">
        <v>1</v>
      </c>
      <c r="D50" s="54">
        <v>2</v>
      </c>
      <c r="E50" s="54">
        <v>4</v>
      </c>
      <c r="F50" s="54">
        <v>0</v>
      </c>
      <c r="G50" s="54">
        <v>2</v>
      </c>
      <c r="H50" s="54">
        <v>1</v>
      </c>
      <c r="I50" s="54">
        <v>2</v>
      </c>
      <c r="J50" s="54">
        <v>1</v>
      </c>
      <c r="K50" s="54">
        <v>1</v>
      </c>
      <c r="L50" s="54">
        <v>1</v>
      </c>
      <c r="M50" s="54">
        <v>1</v>
      </c>
      <c r="N50" s="54">
        <v>0</v>
      </c>
      <c r="O50" s="54">
        <v>0</v>
      </c>
      <c r="P50" s="54">
        <v>0</v>
      </c>
      <c r="Q50" s="54">
        <v>2</v>
      </c>
      <c r="R50" s="54">
        <v>1</v>
      </c>
      <c r="S50" s="54">
        <v>3</v>
      </c>
      <c r="T50" s="54">
        <v>1</v>
      </c>
      <c r="U50" s="54">
        <v>0</v>
      </c>
      <c r="V50" s="54">
        <v>1</v>
      </c>
      <c r="W50" s="54">
        <v>0</v>
      </c>
      <c r="X50" s="54">
        <v>0</v>
      </c>
      <c r="Y50" s="54">
        <v>0</v>
      </c>
      <c r="Z50" s="54">
        <v>1</v>
      </c>
      <c r="AA50" s="54">
        <v>1</v>
      </c>
      <c r="AB50" s="54">
        <v>0</v>
      </c>
      <c r="AC50" s="54">
        <v>0</v>
      </c>
      <c r="AD50" s="54">
        <v>0</v>
      </c>
      <c r="AE50" s="54">
        <v>3</v>
      </c>
      <c r="AF50" s="54">
        <v>0</v>
      </c>
      <c r="AG50" s="5">
        <f t="shared" si="2"/>
        <v>30</v>
      </c>
    </row>
    <row r="51" spans="1:33" ht="15.75" customHeight="1" x14ac:dyDescent="0.25">
      <c r="A51" s="56" t="s">
        <v>25</v>
      </c>
      <c r="B51" s="54">
        <v>1</v>
      </c>
      <c r="C51" s="54">
        <v>1</v>
      </c>
      <c r="D51" s="54">
        <v>1</v>
      </c>
      <c r="E51" s="54">
        <v>0</v>
      </c>
      <c r="F51" s="54">
        <v>0</v>
      </c>
      <c r="G51" s="54">
        <v>0</v>
      </c>
      <c r="H51" s="54">
        <v>2</v>
      </c>
      <c r="I51" s="54">
        <v>2</v>
      </c>
      <c r="J51" s="54">
        <v>0</v>
      </c>
      <c r="K51" s="54">
        <v>1</v>
      </c>
      <c r="L51" s="54">
        <v>0</v>
      </c>
      <c r="M51" s="54">
        <v>3</v>
      </c>
      <c r="N51" s="54">
        <v>2</v>
      </c>
      <c r="O51" s="54">
        <v>2</v>
      </c>
      <c r="P51" s="54">
        <v>2</v>
      </c>
      <c r="Q51" s="54">
        <v>1</v>
      </c>
      <c r="R51" s="54">
        <v>1</v>
      </c>
      <c r="S51" s="54">
        <v>1</v>
      </c>
      <c r="T51" s="54">
        <v>0</v>
      </c>
      <c r="U51" s="54">
        <v>1</v>
      </c>
      <c r="V51" s="54">
        <v>1</v>
      </c>
      <c r="W51" s="54">
        <v>1</v>
      </c>
      <c r="X51" s="54">
        <v>1</v>
      </c>
      <c r="Y51" s="54">
        <v>0</v>
      </c>
      <c r="Z51" s="54">
        <v>0</v>
      </c>
      <c r="AA51" s="54">
        <v>0</v>
      </c>
      <c r="AB51" s="54">
        <v>0</v>
      </c>
      <c r="AC51" s="54">
        <v>1</v>
      </c>
      <c r="AD51" s="54">
        <v>3</v>
      </c>
      <c r="AE51" s="54">
        <v>1</v>
      </c>
      <c r="AF51" s="54">
        <v>0</v>
      </c>
      <c r="AG51" s="5">
        <f t="shared" si="2"/>
        <v>29</v>
      </c>
    </row>
    <row r="52" spans="1:33" ht="15.75" customHeight="1" thickBot="1" x14ac:dyDescent="0.3">
      <c r="A52" s="57" t="s">
        <v>26</v>
      </c>
      <c r="B52" s="58">
        <v>0</v>
      </c>
      <c r="C52" s="58">
        <v>0</v>
      </c>
      <c r="D52" s="58">
        <v>0</v>
      </c>
      <c r="E52" s="58">
        <v>1</v>
      </c>
      <c r="F52" s="58">
        <v>0</v>
      </c>
      <c r="G52" s="58">
        <v>4</v>
      </c>
      <c r="H52" s="58">
        <v>2</v>
      </c>
      <c r="I52" s="58">
        <v>0</v>
      </c>
      <c r="J52" s="58">
        <v>1</v>
      </c>
      <c r="K52" s="58">
        <v>0</v>
      </c>
      <c r="L52" s="58">
        <v>2</v>
      </c>
      <c r="M52" s="58">
        <v>2</v>
      </c>
      <c r="N52" s="58">
        <v>3</v>
      </c>
      <c r="O52" s="58">
        <v>1</v>
      </c>
      <c r="P52" s="58">
        <v>0</v>
      </c>
      <c r="Q52" s="58">
        <v>0</v>
      </c>
      <c r="R52" s="58">
        <v>0</v>
      </c>
      <c r="S52" s="58">
        <v>1</v>
      </c>
      <c r="T52" s="58">
        <v>2</v>
      </c>
      <c r="U52" s="58">
        <v>0</v>
      </c>
      <c r="V52" s="58">
        <v>1</v>
      </c>
      <c r="W52" s="58">
        <v>0</v>
      </c>
      <c r="X52" s="58">
        <v>0</v>
      </c>
      <c r="Y52" s="58">
        <v>0</v>
      </c>
      <c r="Z52" s="58">
        <v>2</v>
      </c>
      <c r="AA52" s="58">
        <v>2</v>
      </c>
      <c r="AB52" s="58">
        <v>1</v>
      </c>
      <c r="AC52" s="58">
        <v>1</v>
      </c>
      <c r="AD52" s="60">
        <v>0</v>
      </c>
      <c r="AE52" s="60">
        <v>0</v>
      </c>
      <c r="AF52" s="60">
        <v>0</v>
      </c>
      <c r="AG52" s="9">
        <f t="shared" si="2"/>
        <v>26</v>
      </c>
    </row>
    <row r="53" spans="1:33" ht="15.75" customHeight="1" thickBot="1" x14ac:dyDescent="0.3">
      <c r="A53" s="52" t="s">
        <v>28</v>
      </c>
      <c r="B53" s="1">
        <f t="shared" ref="B53:AF53" si="4">SUM(B54:B77)</f>
        <v>3</v>
      </c>
      <c r="C53" s="1">
        <f t="shared" si="4"/>
        <v>0</v>
      </c>
      <c r="D53" s="1">
        <f t="shared" si="4"/>
        <v>2</v>
      </c>
      <c r="E53" s="1">
        <f t="shared" si="4"/>
        <v>9</v>
      </c>
      <c r="F53" s="1">
        <f t="shared" si="4"/>
        <v>1</v>
      </c>
      <c r="G53" s="1">
        <f t="shared" si="4"/>
        <v>5</v>
      </c>
      <c r="H53" s="1">
        <f t="shared" si="4"/>
        <v>3</v>
      </c>
      <c r="I53" s="1">
        <f t="shared" si="4"/>
        <v>8</v>
      </c>
      <c r="J53" s="1">
        <f t="shared" si="4"/>
        <v>9</v>
      </c>
      <c r="K53" s="1">
        <f t="shared" si="4"/>
        <v>4</v>
      </c>
      <c r="L53" s="1">
        <f t="shared" si="4"/>
        <v>1</v>
      </c>
      <c r="M53" s="1">
        <f t="shared" si="4"/>
        <v>0</v>
      </c>
      <c r="N53" s="1">
        <f t="shared" si="4"/>
        <v>3</v>
      </c>
      <c r="O53" s="1">
        <f t="shared" si="4"/>
        <v>4</v>
      </c>
      <c r="P53" s="1">
        <f t="shared" si="4"/>
        <v>1</v>
      </c>
      <c r="Q53" s="1">
        <f t="shared" si="4"/>
        <v>3</v>
      </c>
      <c r="R53" s="1">
        <f t="shared" si="4"/>
        <v>10</v>
      </c>
      <c r="S53" s="1">
        <f t="shared" si="4"/>
        <v>9</v>
      </c>
      <c r="T53" s="1">
        <f t="shared" si="4"/>
        <v>3</v>
      </c>
      <c r="U53" s="1">
        <f t="shared" si="4"/>
        <v>2</v>
      </c>
      <c r="V53" s="1">
        <f t="shared" si="4"/>
        <v>3</v>
      </c>
      <c r="W53" s="1">
        <f t="shared" si="4"/>
        <v>6</v>
      </c>
      <c r="X53" s="1">
        <f t="shared" si="4"/>
        <v>4</v>
      </c>
      <c r="Y53" s="1">
        <f t="shared" si="4"/>
        <v>5</v>
      </c>
      <c r="Z53" s="1">
        <f t="shared" si="4"/>
        <v>9</v>
      </c>
      <c r="AA53" s="1">
        <f t="shared" si="4"/>
        <v>2</v>
      </c>
      <c r="AB53" s="1">
        <f t="shared" si="4"/>
        <v>5</v>
      </c>
      <c r="AC53" s="1">
        <f t="shared" si="4"/>
        <v>6</v>
      </c>
      <c r="AD53" s="1">
        <f t="shared" si="4"/>
        <v>11</v>
      </c>
      <c r="AE53" s="1">
        <f t="shared" si="4"/>
        <v>2</v>
      </c>
      <c r="AF53" s="1">
        <f t="shared" si="4"/>
        <v>6</v>
      </c>
      <c r="AG53" s="10">
        <f t="shared" si="2"/>
        <v>139</v>
      </c>
    </row>
    <row r="54" spans="1:33" ht="15.75" customHeight="1" x14ac:dyDescent="0.25">
      <c r="A54" s="56" t="s">
        <v>3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0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0</v>
      </c>
    </row>
    <row r="56" spans="1:33" ht="15.75" customHeight="1" x14ac:dyDescent="0.25">
      <c r="A56" s="56" t="s">
        <v>5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1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1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2</v>
      </c>
    </row>
    <row r="57" spans="1:33" ht="15.75" customHeight="1" x14ac:dyDescent="0.25">
      <c r="A57" s="56" t="s">
        <v>6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2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1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2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5</v>
      </c>
    </row>
    <row r="58" spans="1:33" ht="15.75" customHeight="1" x14ac:dyDescent="0.25">
      <c r="A58" s="56" t="s">
        <v>7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1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>
        <v>0</v>
      </c>
      <c r="AG58" s="5">
        <f t="shared" si="2"/>
        <v>1</v>
      </c>
    </row>
    <row r="59" spans="1:33" ht="15.75" customHeight="1" x14ac:dyDescent="0.25">
      <c r="A59" s="56" t="s">
        <v>8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1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>
        <v>0</v>
      </c>
      <c r="AG59" s="5">
        <f t="shared" si="2"/>
        <v>1</v>
      </c>
    </row>
    <row r="60" spans="1:33" ht="15.75" customHeight="1" x14ac:dyDescent="0.25">
      <c r="A60" s="56" t="s">
        <v>9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1</v>
      </c>
      <c r="AD60" s="54">
        <v>0</v>
      </c>
      <c r="AE60" s="54">
        <v>0</v>
      </c>
      <c r="AF60" s="54">
        <v>0</v>
      </c>
      <c r="AG60" s="5">
        <f t="shared" si="2"/>
        <v>1</v>
      </c>
    </row>
    <row r="61" spans="1:33" ht="15.75" customHeight="1" x14ac:dyDescent="0.25">
      <c r="A61" s="56" t="s">
        <v>10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1</v>
      </c>
      <c r="AC61" s="54">
        <v>1</v>
      </c>
      <c r="AD61" s="54">
        <v>0</v>
      </c>
      <c r="AE61" s="54">
        <v>0</v>
      </c>
      <c r="AF61" s="54">
        <v>0</v>
      </c>
      <c r="AG61" s="5">
        <f t="shared" si="2"/>
        <v>2</v>
      </c>
    </row>
    <row r="62" spans="1:33" ht="15.75" customHeight="1" x14ac:dyDescent="0.25">
      <c r="A62" s="56" t="s">
        <v>11</v>
      </c>
      <c r="B62" s="54">
        <v>0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0</v>
      </c>
      <c r="O62" s="54">
        <v>2</v>
      </c>
      <c r="P62" s="54">
        <v>0</v>
      </c>
      <c r="Q62" s="54">
        <v>1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0</v>
      </c>
      <c r="Z62" s="54">
        <v>0</v>
      </c>
      <c r="AA62" s="54">
        <v>0</v>
      </c>
      <c r="AB62" s="54">
        <v>2</v>
      </c>
      <c r="AC62" s="54">
        <v>3</v>
      </c>
      <c r="AD62" s="54">
        <v>0</v>
      </c>
      <c r="AE62" s="54">
        <v>0</v>
      </c>
      <c r="AF62" s="54">
        <v>0</v>
      </c>
      <c r="AG62" s="5">
        <f t="shared" si="2"/>
        <v>8</v>
      </c>
    </row>
    <row r="63" spans="1:33" ht="15.75" customHeight="1" x14ac:dyDescent="0.25">
      <c r="A63" s="56" t="s">
        <v>12</v>
      </c>
      <c r="B63" s="54">
        <v>0</v>
      </c>
      <c r="C63" s="54">
        <v>0</v>
      </c>
      <c r="D63" s="54">
        <v>2</v>
      </c>
      <c r="E63" s="54">
        <v>1</v>
      </c>
      <c r="F63" s="54">
        <v>0</v>
      </c>
      <c r="G63" s="54">
        <v>1</v>
      </c>
      <c r="H63" s="54">
        <v>0</v>
      </c>
      <c r="I63" s="54">
        <v>1</v>
      </c>
      <c r="J63" s="54">
        <v>3</v>
      </c>
      <c r="K63" s="54">
        <v>2</v>
      </c>
      <c r="L63" s="54">
        <v>1</v>
      </c>
      <c r="M63" s="54">
        <v>0</v>
      </c>
      <c r="N63" s="54">
        <v>0</v>
      </c>
      <c r="O63" s="54">
        <v>2</v>
      </c>
      <c r="P63" s="54">
        <v>1</v>
      </c>
      <c r="Q63" s="54">
        <v>1</v>
      </c>
      <c r="R63" s="54">
        <v>0</v>
      </c>
      <c r="S63" s="54">
        <v>0</v>
      </c>
      <c r="T63" s="54">
        <v>1</v>
      </c>
      <c r="U63" s="54">
        <v>0</v>
      </c>
      <c r="V63" s="54">
        <v>0</v>
      </c>
      <c r="W63" s="54">
        <v>1</v>
      </c>
      <c r="X63" s="54">
        <v>0</v>
      </c>
      <c r="Y63" s="54">
        <v>0</v>
      </c>
      <c r="Z63" s="54">
        <v>1</v>
      </c>
      <c r="AA63" s="54">
        <v>0</v>
      </c>
      <c r="AB63" s="54">
        <v>1</v>
      </c>
      <c r="AC63" s="54">
        <v>1</v>
      </c>
      <c r="AD63" s="54">
        <v>0</v>
      </c>
      <c r="AE63" s="54">
        <v>0</v>
      </c>
      <c r="AF63" s="54">
        <v>3</v>
      </c>
      <c r="AG63" s="5">
        <f t="shared" si="2"/>
        <v>23</v>
      </c>
    </row>
    <row r="64" spans="1:33" ht="15.75" customHeight="1" x14ac:dyDescent="0.25">
      <c r="A64" s="56" t="s">
        <v>13</v>
      </c>
      <c r="B64" s="54">
        <v>1</v>
      </c>
      <c r="C64" s="54">
        <v>0</v>
      </c>
      <c r="D64" s="54">
        <v>0</v>
      </c>
      <c r="E64" s="54">
        <v>4</v>
      </c>
      <c r="F64" s="54">
        <v>0</v>
      </c>
      <c r="G64" s="54">
        <v>1</v>
      </c>
      <c r="H64" s="54">
        <v>0</v>
      </c>
      <c r="I64" s="54">
        <v>3</v>
      </c>
      <c r="J64" s="54">
        <v>3</v>
      </c>
      <c r="K64" s="54">
        <v>1</v>
      </c>
      <c r="L64" s="54">
        <v>0</v>
      </c>
      <c r="M64" s="54">
        <v>0</v>
      </c>
      <c r="N64" s="54">
        <v>0</v>
      </c>
      <c r="O64" s="54">
        <v>0</v>
      </c>
      <c r="P64" s="54">
        <v>0</v>
      </c>
      <c r="Q64" s="54">
        <v>0</v>
      </c>
      <c r="R64" s="54">
        <v>5</v>
      </c>
      <c r="S64" s="54">
        <v>0</v>
      </c>
      <c r="T64" s="54">
        <v>1</v>
      </c>
      <c r="U64" s="54">
        <v>2</v>
      </c>
      <c r="V64" s="54">
        <v>0</v>
      </c>
      <c r="W64" s="54">
        <v>1</v>
      </c>
      <c r="X64" s="54">
        <v>2</v>
      </c>
      <c r="Y64" s="54">
        <v>4</v>
      </c>
      <c r="Z64" s="54">
        <v>0</v>
      </c>
      <c r="AA64" s="54">
        <v>1</v>
      </c>
      <c r="AB64" s="54">
        <v>0</v>
      </c>
      <c r="AC64" s="54">
        <v>0</v>
      </c>
      <c r="AD64" s="54">
        <v>2</v>
      </c>
      <c r="AE64" s="54">
        <v>0</v>
      </c>
      <c r="AF64" s="54">
        <v>1</v>
      </c>
      <c r="AG64" s="5">
        <f t="shared" si="2"/>
        <v>32</v>
      </c>
    </row>
    <row r="65" spans="1:33" ht="15.75" customHeight="1" x14ac:dyDescent="0.25">
      <c r="A65" s="56" t="s">
        <v>14</v>
      </c>
      <c r="B65" s="54">
        <v>0</v>
      </c>
      <c r="C65" s="54">
        <v>0</v>
      </c>
      <c r="D65" s="54">
        <v>0</v>
      </c>
      <c r="E65" s="54">
        <v>1</v>
      </c>
      <c r="F65" s="54">
        <v>0</v>
      </c>
      <c r="G65" s="54">
        <v>0</v>
      </c>
      <c r="H65" s="54">
        <v>0</v>
      </c>
      <c r="I65" s="54">
        <v>2</v>
      </c>
      <c r="J65" s="54">
        <v>0</v>
      </c>
      <c r="K65" s="54">
        <v>1</v>
      </c>
      <c r="L65" s="54">
        <v>0</v>
      </c>
      <c r="M65" s="54">
        <v>0</v>
      </c>
      <c r="N65" s="54">
        <v>0</v>
      </c>
      <c r="O65" s="54">
        <v>0</v>
      </c>
      <c r="P65" s="54">
        <v>0</v>
      </c>
      <c r="Q65" s="54">
        <v>0</v>
      </c>
      <c r="R65" s="54">
        <v>3</v>
      </c>
      <c r="S65" s="54">
        <v>1</v>
      </c>
      <c r="T65" s="54">
        <v>0</v>
      </c>
      <c r="U65" s="54">
        <v>0</v>
      </c>
      <c r="V65" s="54">
        <v>0</v>
      </c>
      <c r="W65" s="54">
        <v>2</v>
      </c>
      <c r="X65" s="54">
        <v>0</v>
      </c>
      <c r="Y65" s="54">
        <v>0</v>
      </c>
      <c r="Z65" s="54">
        <v>2</v>
      </c>
      <c r="AA65" s="54">
        <v>0</v>
      </c>
      <c r="AB65" s="54">
        <v>0</v>
      </c>
      <c r="AC65" s="54">
        <v>0</v>
      </c>
      <c r="AD65" s="54">
        <v>6</v>
      </c>
      <c r="AE65" s="54">
        <v>0</v>
      </c>
      <c r="AF65" s="54">
        <v>2</v>
      </c>
      <c r="AG65" s="5">
        <f t="shared" si="2"/>
        <v>20</v>
      </c>
    </row>
    <row r="66" spans="1:33" ht="15.75" customHeight="1" x14ac:dyDescent="0.25">
      <c r="A66" s="56" t="s">
        <v>15</v>
      </c>
      <c r="B66" s="54">
        <v>1</v>
      </c>
      <c r="C66" s="54">
        <v>0</v>
      </c>
      <c r="D66" s="54">
        <v>0</v>
      </c>
      <c r="E66" s="54">
        <v>0</v>
      </c>
      <c r="F66" s="54">
        <v>0</v>
      </c>
      <c r="G66" s="54">
        <v>0</v>
      </c>
      <c r="H66" s="54">
        <v>0</v>
      </c>
      <c r="I66" s="54">
        <v>1</v>
      </c>
      <c r="J66" s="54">
        <v>2</v>
      </c>
      <c r="K66" s="54">
        <v>0</v>
      </c>
      <c r="L66" s="54">
        <v>0</v>
      </c>
      <c r="M66" s="54">
        <v>0</v>
      </c>
      <c r="N66" s="54">
        <v>0</v>
      </c>
      <c r="O66" s="54">
        <v>0</v>
      </c>
      <c r="P66" s="54">
        <v>0</v>
      </c>
      <c r="Q66" s="54">
        <v>0</v>
      </c>
      <c r="R66" s="54">
        <v>0</v>
      </c>
      <c r="S66" s="54">
        <v>1</v>
      </c>
      <c r="T66" s="54">
        <v>0</v>
      </c>
      <c r="U66" s="54">
        <v>0</v>
      </c>
      <c r="V66" s="54">
        <v>0</v>
      </c>
      <c r="W66" s="54">
        <v>1</v>
      </c>
      <c r="X66" s="54">
        <v>0</v>
      </c>
      <c r="Y66" s="54">
        <v>0</v>
      </c>
      <c r="Z66" s="54">
        <v>2</v>
      </c>
      <c r="AA66" s="54">
        <v>1</v>
      </c>
      <c r="AB66" s="54">
        <v>0</v>
      </c>
      <c r="AC66" s="54">
        <v>0</v>
      </c>
      <c r="AD66" s="54">
        <v>1</v>
      </c>
      <c r="AE66" s="54">
        <v>1</v>
      </c>
      <c r="AF66" s="54">
        <v>0</v>
      </c>
      <c r="AG66" s="5">
        <f t="shared" si="2"/>
        <v>11</v>
      </c>
    </row>
    <row r="67" spans="1:33" ht="15.75" customHeight="1" x14ac:dyDescent="0.25">
      <c r="A67" s="56" t="s">
        <v>16</v>
      </c>
      <c r="B67" s="54">
        <v>0</v>
      </c>
      <c r="C67" s="54">
        <v>0</v>
      </c>
      <c r="D67" s="54">
        <v>0</v>
      </c>
      <c r="E67" s="54">
        <v>0</v>
      </c>
      <c r="F67" s="54">
        <v>0</v>
      </c>
      <c r="G67" s="54">
        <v>0</v>
      </c>
      <c r="H67" s="54">
        <v>0</v>
      </c>
      <c r="I67" s="54">
        <v>1</v>
      </c>
      <c r="J67" s="54">
        <v>1</v>
      </c>
      <c r="K67" s="54">
        <v>0</v>
      </c>
      <c r="L67" s="54">
        <v>0</v>
      </c>
      <c r="M67" s="54">
        <v>0</v>
      </c>
      <c r="N67" s="54">
        <v>0</v>
      </c>
      <c r="O67" s="54">
        <v>0</v>
      </c>
      <c r="P67" s="54">
        <v>0</v>
      </c>
      <c r="Q67" s="54">
        <v>0</v>
      </c>
      <c r="R67" s="54">
        <v>1</v>
      </c>
      <c r="S67" s="54">
        <v>3</v>
      </c>
      <c r="T67" s="54">
        <v>0</v>
      </c>
      <c r="U67" s="54">
        <v>0</v>
      </c>
      <c r="V67" s="54">
        <v>0</v>
      </c>
      <c r="W67" s="54">
        <v>1</v>
      </c>
      <c r="X67" s="54">
        <v>1</v>
      </c>
      <c r="Y67" s="54">
        <v>1</v>
      </c>
      <c r="Z67" s="54">
        <v>3</v>
      </c>
      <c r="AA67" s="54">
        <v>0</v>
      </c>
      <c r="AB67" s="54">
        <v>0</v>
      </c>
      <c r="AC67" s="54">
        <v>0</v>
      </c>
      <c r="AD67" s="54">
        <v>0</v>
      </c>
      <c r="AE67" s="54">
        <v>0</v>
      </c>
      <c r="AF67" s="54">
        <v>0</v>
      </c>
      <c r="AG67" s="5">
        <f t="shared" ref="AG67:AG98" si="5">SUM(B67:AF67)</f>
        <v>12</v>
      </c>
    </row>
    <row r="68" spans="1:33" ht="15.75" customHeight="1" x14ac:dyDescent="0.25">
      <c r="A68" s="56" t="s">
        <v>17</v>
      </c>
      <c r="B68" s="54">
        <v>0</v>
      </c>
      <c r="C68" s="54">
        <v>0</v>
      </c>
      <c r="D68" s="54">
        <v>0</v>
      </c>
      <c r="E68" s="54">
        <v>1</v>
      </c>
      <c r="F68" s="54">
        <v>0</v>
      </c>
      <c r="G68" s="54">
        <v>0</v>
      </c>
      <c r="H68" s="54">
        <v>0</v>
      </c>
      <c r="I68" s="54">
        <v>0</v>
      </c>
      <c r="J68" s="54">
        <v>0</v>
      </c>
      <c r="K68" s="54">
        <v>0</v>
      </c>
      <c r="L68" s="54">
        <v>0</v>
      </c>
      <c r="M68" s="54">
        <v>0</v>
      </c>
      <c r="N68" s="54">
        <v>0</v>
      </c>
      <c r="O68" s="54">
        <v>0</v>
      </c>
      <c r="P68" s="54">
        <v>0</v>
      </c>
      <c r="Q68" s="54">
        <v>0</v>
      </c>
      <c r="R68" s="54">
        <v>1</v>
      </c>
      <c r="S68" s="54">
        <v>4</v>
      </c>
      <c r="T68" s="54">
        <v>1</v>
      </c>
      <c r="U68" s="54">
        <v>0</v>
      </c>
      <c r="V68" s="54">
        <v>0</v>
      </c>
      <c r="W68" s="54">
        <v>0</v>
      </c>
      <c r="X68" s="54">
        <v>0</v>
      </c>
      <c r="Y68" s="54">
        <v>0</v>
      </c>
      <c r="Z68" s="54">
        <v>0</v>
      </c>
      <c r="AA68" s="54">
        <v>0</v>
      </c>
      <c r="AB68" s="54">
        <v>0</v>
      </c>
      <c r="AC68" s="54">
        <v>0</v>
      </c>
      <c r="AD68" s="54">
        <v>1</v>
      </c>
      <c r="AE68" s="54">
        <v>1</v>
      </c>
      <c r="AF68" s="54">
        <v>0</v>
      </c>
      <c r="AG68" s="5">
        <f t="shared" si="5"/>
        <v>9</v>
      </c>
    </row>
    <row r="69" spans="1:33" ht="15.75" customHeight="1" x14ac:dyDescent="0.25">
      <c r="A69" s="56" t="s">
        <v>18</v>
      </c>
      <c r="B69" s="54">
        <v>1</v>
      </c>
      <c r="C69" s="54">
        <v>0</v>
      </c>
      <c r="D69" s="54">
        <v>0</v>
      </c>
      <c r="E69" s="54">
        <v>0</v>
      </c>
      <c r="F69" s="54">
        <v>1</v>
      </c>
      <c r="G69" s="54">
        <v>0</v>
      </c>
      <c r="H69" s="54">
        <v>1</v>
      </c>
      <c r="I69" s="54">
        <v>0</v>
      </c>
      <c r="J69" s="54">
        <v>0</v>
      </c>
      <c r="K69" s="54">
        <v>0</v>
      </c>
      <c r="L69" s="54">
        <v>0</v>
      </c>
      <c r="M69" s="54">
        <v>0</v>
      </c>
      <c r="N69" s="54">
        <v>1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0</v>
      </c>
      <c r="W69" s="54">
        <v>0</v>
      </c>
      <c r="X69" s="54">
        <v>0</v>
      </c>
      <c r="Y69" s="54">
        <v>0</v>
      </c>
      <c r="Z69" s="54">
        <v>1</v>
      </c>
      <c r="AA69" s="54">
        <v>0</v>
      </c>
      <c r="AB69" s="54">
        <v>0</v>
      </c>
      <c r="AC69" s="54">
        <v>0</v>
      </c>
      <c r="AD69" s="54">
        <v>0</v>
      </c>
      <c r="AE69" s="54">
        <v>0</v>
      </c>
      <c r="AF69" s="54">
        <v>0</v>
      </c>
      <c r="AG69" s="5">
        <f t="shared" si="5"/>
        <v>5</v>
      </c>
    </row>
    <row r="70" spans="1:33" ht="15.75" customHeight="1" x14ac:dyDescent="0.25">
      <c r="A70" s="56" t="s">
        <v>19</v>
      </c>
      <c r="B70" s="54">
        <v>0</v>
      </c>
      <c r="C70" s="54">
        <v>0</v>
      </c>
      <c r="D70" s="54">
        <v>0</v>
      </c>
      <c r="E70" s="54">
        <v>1</v>
      </c>
      <c r="F70" s="54">
        <v>0</v>
      </c>
      <c r="G70" s="54">
        <v>0</v>
      </c>
      <c r="H70" s="54">
        <v>1</v>
      </c>
      <c r="I70" s="54">
        <v>0</v>
      </c>
      <c r="J70" s="54">
        <v>0</v>
      </c>
      <c r="K70" s="54">
        <v>0</v>
      </c>
      <c r="L70" s="54">
        <v>0</v>
      </c>
      <c r="M70" s="54">
        <v>0</v>
      </c>
      <c r="N70" s="54">
        <v>0</v>
      </c>
      <c r="O70" s="54">
        <v>0</v>
      </c>
      <c r="P70" s="54">
        <v>0</v>
      </c>
      <c r="Q70" s="54">
        <v>0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4">
        <v>0</v>
      </c>
      <c r="X70" s="54">
        <v>1</v>
      </c>
      <c r="Y70" s="54">
        <v>0</v>
      </c>
      <c r="Z70" s="54">
        <v>0</v>
      </c>
      <c r="AA70" s="54">
        <v>0</v>
      </c>
      <c r="AB70" s="54">
        <v>0</v>
      </c>
      <c r="AC70" s="54">
        <v>0</v>
      </c>
      <c r="AD70" s="55">
        <v>0</v>
      </c>
      <c r="AE70" s="55">
        <v>0</v>
      </c>
      <c r="AF70" s="55">
        <v>0</v>
      </c>
      <c r="AG70" s="5">
        <f t="shared" si="5"/>
        <v>3</v>
      </c>
    </row>
    <row r="71" spans="1:33" ht="15.75" customHeight="1" x14ac:dyDescent="0.25">
      <c r="A71" s="56" t="s">
        <v>20</v>
      </c>
      <c r="B71" s="54">
        <v>0</v>
      </c>
      <c r="C71" s="54">
        <v>0</v>
      </c>
      <c r="D71" s="54">
        <v>0</v>
      </c>
      <c r="E71" s="54">
        <v>0</v>
      </c>
      <c r="F71" s="54">
        <v>0</v>
      </c>
      <c r="G71" s="54">
        <v>0</v>
      </c>
      <c r="H71" s="54">
        <v>0</v>
      </c>
      <c r="I71" s="54">
        <v>0</v>
      </c>
      <c r="J71" s="54">
        <v>0</v>
      </c>
      <c r="K71" s="54">
        <v>0</v>
      </c>
      <c r="L71" s="54">
        <v>0</v>
      </c>
      <c r="M71" s="54">
        <v>0</v>
      </c>
      <c r="N71" s="54">
        <v>0</v>
      </c>
      <c r="O71" s="54">
        <v>0</v>
      </c>
      <c r="P71" s="54">
        <v>0</v>
      </c>
      <c r="Q71" s="54">
        <v>0</v>
      </c>
      <c r="R71" s="54">
        <v>0</v>
      </c>
      <c r="S71" s="54">
        <v>0</v>
      </c>
      <c r="T71" s="54">
        <v>0</v>
      </c>
      <c r="U71" s="54">
        <v>0</v>
      </c>
      <c r="V71" s="54">
        <v>0</v>
      </c>
      <c r="W71" s="54">
        <v>0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0</v>
      </c>
      <c r="AD71" s="55">
        <v>1</v>
      </c>
      <c r="AE71" s="55">
        <v>0</v>
      </c>
      <c r="AF71" s="55">
        <v>0</v>
      </c>
      <c r="AG71" s="5">
        <f t="shared" si="5"/>
        <v>1</v>
      </c>
    </row>
    <row r="72" spans="1:33" ht="15.75" customHeight="1" x14ac:dyDescent="0.25">
      <c r="A72" s="56" t="s">
        <v>21</v>
      </c>
      <c r="B72" s="54">
        <v>0</v>
      </c>
      <c r="C72" s="54">
        <v>0</v>
      </c>
      <c r="D72" s="54">
        <v>0</v>
      </c>
      <c r="E72" s="54">
        <v>0</v>
      </c>
      <c r="F72" s="54">
        <v>0</v>
      </c>
      <c r="G72" s="54">
        <v>1</v>
      </c>
      <c r="H72" s="54">
        <v>0</v>
      </c>
      <c r="I72" s="54">
        <v>0</v>
      </c>
      <c r="J72" s="54">
        <v>0</v>
      </c>
      <c r="K72" s="54">
        <v>0</v>
      </c>
      <c r="L72" s="54">
        <v>0</v>
      </c>
      <c r="M72" s="54">
        <v>0</v>
      </c>
      <c r="N72" s="54">
        <v>1</v>
      </c>
      <c r="O72" s="54">
        <v>0</v>
      </c>
      <c r="P72" s="54">
        <v>0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4">
        <v>0</v>
      </c>
      <c r="X72" s="54">
        <v>0</v>
      </c>
      <c r="Y72" s="54">
        <v>0</v>
      </c>
      <c r="Z72" s="54">
        <v>0</v>
      </c>
      <c r="AA72" s="54">
        <v>0</v>
      </c>
      <c r="AB72" s="54">
        <v>0</v>
      </c>
      <c r="AC72" s="54">
        <v>0</v>
      </c>
      <c r="AD72" s="55">
        <v>0</v>
      </c>
      <c r="AE72" s="55">
        <v>0</v>
      </c>
      <c r="AF72" s="55">
        <v>0</v>
      </c>
      <c r="AG72" s="5">
        <f t="shared" si="5"/>
        <v>2</v>
      </c>
    </row>
    <row r="73" spans="1:33" ht="15.75" customHeight="1" x14ac:dyDescent="0.25">
      <c r="A73" s="56" t="s">
        <v>22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>
        <v>0</v>
      </c>
      <c r="AG73" s="5">
        <f t="shared" si="5"/>
        <v>0</v>
      </c>
    </row>
    <row r="74" spans="1:33" ht="15.75" customHeight="1" x14ac:dyDescent="0.25">
      <c r="A74" s="56" t="s">
        <v>23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0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1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1</v>
      </c>
    </row>
    <row r="76" spans="1:33" ht="15.75" customHeight="1" x14ac:dyDescent="0.25">
      <c r="A76" s="56" t="s">
        <v>25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0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0</v>
      </c>
    </row>
    <row r="78" spans="1:33" ht="19.5" customHeight="1" thickBot="1" x14ac:dyDescent="0.3">
      <c r="A78" s="63" t="s">
        <v>29</v>
      </c>
      <c r="B78" s="11">
        <f t="shared" ref="B78:AF78" si="6">SUM(B79:B80)</f>
        <v>95</v>
      </c>
      <c r="C78" s="11">
        <f t="shared" si="6"/>
        <v>100</v>
      </c>
      <c r="D78" s="11">
        <f t="shared" si="6"/>
        <v>101</v>
      </c>
      <c r="E78" s="11">
        <f t="shared" si="6"/>
        <v>93</v>
      </c>
      <c r="F78" s="11">
        <f t="shared" si="6"/>
        <v>84</v>
      </c>
      <c r="G78" s="11">
        <f t="shared" si="6"/>
        <v>148</v>
      </c>
      <c r="H78" s="11">
        <f t="shared" si="6"/>
        <v>143</v>
      </c>
      <c r="I78" s="11">
        <f t="shared" si="6"/>
        <v>106</v>
      </c>
      <c r="J78" s="11">
        <f t="shared" si="6"/>
        <v>108</v>
      </c>
      <c r="K78" s="11">
        <f t="shared" si="6"/>
        <v>109</v>
      </c>
      <c r="L78" s="11">
        <f t="shared" si="6"/>
        <v>90</v>
      </c>
      <c r="M78" s="11">
        <f t="shared" si="6"/>
        <v>84</v>
      </c>
      <c r="N78" s="11">
        <f t="shared" si="6"/>
        <v>157</v>
      </c>
      <c r="O78" s="11">
        <f t="shared" si="6"/>
        <v>132</v>
      </c>
      <c r="P78" s="11">
        <f t="shared" si="6"/>
        <v>91</v>
      </c>
      <c r="Q78" s="11">
        <f t="shared" si="6"/>
        <v>192</v>
      </c>
      <c r="R78" s="11">
        <f t="shared" si="6"/>
        <v>122</v>
      </c>
      <c r="S78" s="11">
        <f t="shared" si="6"/>
        <v>122</v>
      </c>
      <c r="T78" s="11">
        <f t="shared" si="6"/>
        <v>105</v>
      </c>
      <c r="U78" s="11">
        <f t="shared" si="6"/>
        <v>158</v>
      </c>
      <c r="V78" s="11">
        <f t="shared" si="6"/>
        <v>179</v>
      </c>
      <c r="W78" s="11">
        <f t="shared" si="6"/>
        <v>144</v>
      </c>
      <c r="X78" s="11">
        <f t="shared" si="6"/>
        <v>115</v>
      </c>
      <c r="Y78" s="11">
        <f t="shared" si="6"/>
        <v>125</v>
      </c>
      <c r="Z78" s="11">
        <f t="shared" si="6"/>
        <v>126</v>
      </c>
      <c r="AA78" s="11">
        <f t="shared" si="6"/>
        <v>111</v>
      </c>
      <c r="AB78" s="11">
        <f t="shared" si="6"/>
        <v>170</v>
      </c>
      <c r="AC78" s="11">
        <f t="shared" si="6"/>
        <v>169</v>
      </c>
      <c r="AD78" s="11">
        <f t="shared" si="6"/>
        <v>146</v>
      </c>
      <c r="AE78" s="11">
        <f t="shared" si="6"/>
        <v>115</v>
      </c>
      <c r="AF78" s="11">
        <f t="shared" si="6"/>
        <v>104</v>
      </c>
      <c r="AG78" s="10">
        <f t="shared" si="5"/>
        <v>3844</v>
      </c>
    </row>
    <row r="79" spans="1:33" ht="19.5" customHeight="1" x14ac:dyDescent="0.25">
      <c r="A79" s="64" t="s">
        <v>30</v>
      </c>
      <c r="B79" s="3">
        <f t="shared" ref="B79" si="7">SUM(B4:B27)-B80</f>
        <v>95</v>
      </c>
      <c r="C79" s="3">
        <f t="shared" ref="C79" si="8">SUM(C4:C27)-C80</f>
        <v>100</v>
      </c>
      <c r="D79" s="3">
        <f t="shared" ref="D79:AF79" si="9">SUM(D4:D27)-D80</f>
        <v>101</v>
      </c>
      <c r="E79" s="3">
        <f t="shared" si="9"/>
        <v>93</v>
      </c>
      <c r="F79" s="3">
        <f t="shared" si="9"/>
        <v>84</v>
      </c>
      <c r="G79" s="3">
        <f t="shared" si="9"/>
        <v>148</v>
      </c>
      <c r="H79" s="3">
        <f t="shared" si="9"/>
        <v>143</v>
      </c>
      <c r="I79" s="3">
        <f t="shared" si="9"/>
        <v>106</v>
      </c>
      <c r="J79" s="3">
        <f t="shared" si="9"/>
        <v>108</v>
      </c>
      <c r="K79" s="3">
        <f t="shared" si="9"/>
        <v>109</v>
      </c>
      <c r="L79" s="3">
        <f t="shared" si="9"/>
        <v>90</v>
      </c>
      <c r="M79" s="3">
        <f t="shared" si="9"/>
        <v>84</v>
      </c>
      <c r="N79" s="3">
        <f t="shared" si="9"/>
        <v>157</v>
      </c>
      <c r="O79" s="3">
        <f t="shared" si="9"/>
        <v>132</v>
      </c>
      <c r="P79" s="3">
        <f t="shared" si="9"/>
        <v>91</v>
      </c>
      <c r="Q79" s="3">
        <f t="shared" si="9"/>
        <v>192</v>
      </c>
      <c r="R79" s="3">
        <f t="shared" si="9"/>
        <v>122</v>
      </c>
      <c r="S79" s="3">
        <f t="shared" si="9"/>
        <v>122</v>
      </c>
      <c r="T79" s="3">
        <f t="shared" si="9"/>
        <v>105</v>
      </c>
      <c r="U79" s="3">
        <f t="shared" si="9"/>
        <v>158</v>
      </c>
      <c r="V79" s="3">
        <f t="shared" si="9"/>
        <v>179</v>
      </c>
      <c r="W79" s="3">
        <f t="shared" si="9"/>
        <v>144</v>
      </c>
      <c r="X79" s="3">
        <f t="shared" si="9"/>
        <v>115</v>
      </c>
      <c r="Y79" s="3">
        <f t="shared" si="9"/>
        <v>125</v>
      </c>
      <c r="Z79" s="3">
        <f t="shared" si="9"/>
        <v>126</v>
      </c>
      <c r="AA79" s="3">
        <f t="shared" si="9"/>
        <v>111</v>
      </c>
      <c r="AB79" s="3">
        <f t="shared" si="9"/>
        <v>170</v>
      </c>
      <c r="AC79" s="3">
        <f t="shared" si="9"/>
        <v>169</v>
      </c>
      <c r="AD79" s="3">
        <f t="shared" si="9"/>
        <v>146</v>
      </c>
      <c r="AE79" s="3">
        <f t="shared" si="9"/>
        <v>115</v>
      </c>
      <c r="AF79" s="3">
        <f t="shared" si="9"/>
        <v>104</v>
      </c>
      <c r="AG79" s="4">
        <f t="shared" si="5"/>
        <v>3844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3</v>
      </c>
      <c r="C81" s="12">
        <f t="shared" si="10"/>
        <v>0</v>
      </c>
      <c r="D81" s="12">
        <f t="shared" si="10"/>
        <v>2</v>
      </c>
      <c r="E81" s="12">
        <f t="shared" si="10"/>
        <v>9</v>
      </c>
      <c r="F81" s="12">
        <f t="shared" si="10"/>
        <v>1</v>
      </c>
      <c r="G81" s="12">
        <f t="shared" si="10"/>
        <v>5</v>
      </c>
      <c r="H81" s="12">
        <f t="shared" si="10"/>
        <v>3</v>
      </c>
      <c r="I81" s="12">
        <f t="shared" si="10"/>
        <v>8</v>
      </c>
      <c r="J81" s="12">
        <f t="shared" si="10"/>
        <v>9</v>
      </c>
      <c r="K81" s="12">
        <f t="shared" si="10"/>
        <v>4</v>
      </c>
      <c r="L81" s="12">
        <f t="shared" si="10"/>
        <v>1</v>
      </c>
      <c r="M81" s="12">
        <f t="shared" si="10"/>
        <v>0</v>
      </c>
      <c r="N81" s="12">
        <f t="shared" si="10"/>
        <v>3</v>
      </c>
      <c r="O81" s="12">
        <f t="shared" si="10"/>
        <v>4</v>
      </c>
      <c r="P81" s="12">
        <f t="shared" si="10"/>
        <v>1</v>
      </c>
      <c r="Q81" s="12">
        <f t="shared" si="10"/>
        <v>3</v>
      </c>
      <c r="R81" s="12">
        <f t="shared" si="10"/>
        <v>10</v>
      </c>
      <c r="S81" s="12">
        <f t="shared" si="10"/>
        <v>9</v>
      </c>
      <c r="T81" s="12">
        <f t="shared" si="10"/>
        <v>3</v>
      </c>
      <c r="U81" s="12">
        <f t="shared" si="10"/>
        <v>2</v>
      </c>
      <c r="V81" s="12">
        <f t="shared" si="10"/>
        <v>3</v>
      </c>
      <c r="W81" s="12">
        <f t="shared" si="10"/>
        <v>6</v>
      </c>
      <c r="X81" s="12">
        <f t="shared" si="10"/>
        <v>4</v>
      </c>
      <c r="Y81" s="12">
        <f t="shared" si="10"/>
        <v>5</v>
      </c>
      <c r="Z81" s="12">
        <f t="shared" si="10"/>
        <v>9</v>
      </c>
      <c r="AA81" s="12">
        <f t="shared" si="10"/>
        <v>2</v>
      </c>
      <c r="AB81" s="12">
        <f t="shared" si="10"/>
        <v>5</v>
      </c>
      <c r="AC81" s="12">
        <f t="shared" si="10"/>
        <v>6</v>
      </c>
      <c r="AD81" s="12">
        <f t="shared" si="10"/>
        <v>11</v>
      </c>
      <c r="AE81" s="12">
        <f t="shared" si="10"/>
        <v>2</v>
      </c>
      <c r="AF81" s="12">
        <f t="shared" si="10"/>
        <v>6</v>
      </c>
      <c r="AG81" s="10">
        <f t="shared" si="5"/>
        <v>139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2</v>
      </c>
      <c r="H82" s="3">
        <f t="shared" si="11"/>
        <v>1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1</v>
      </c>
      <c r="O82" s="3">
        <f t="shared" si="11"/>
        <v>2</v>
      </c>
      <c r="P82" s="3">
        <f t="shared" si="11"/>
        <v>0</v>
      </c>
      <c r="Q82" s="3">
        <f t="shared" si="11"/>
        <v>2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3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4</v>
      </c>
      <c r="AC82" s="3">
        <f t="shared" si="11"/>
        <v>5</v>
      </c>
      <c r="AD82" s="3">
        <f t="shared" si="11"/>
        <v>0</v>
      </c>
      <c r="AE82" s="3">
        <f t="shared" si="11"/>
        <v>0</v>
      </c>
      <c r="AF82" s="3">
        <f t="shared" si="11"/>
        <v>0</v>
      </c>
      <c r="AG82" s="4">
        <f t="shared" si="5"/>
        <v>20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3</v>
      </c>
      <c r="C83" s="8">
        <f t="shared" si="12"/>
        <v>0</v>
      </c>
      <c r="D83" s="8">
        <f t="shared" si="12"/>
        <v>2</v>
      </c>
      <c r="E83" s="8">
        <f t="shared" si="12"/>
        <v>9</v>
      </c>
      <c r="F83" s="8">
        <f t="shared" si="12"/>
        <v>1</v>
      </c>
      <c r="G83" s="8">
        <f t="shared" si="12"/>
        <v>3</v>
      </c>
      <c r="H83" s="8">
        <f t="shared" si="12"/>
        <v>2</v>
      </c>
      <c r="I83" s="8">
        <f t="shared" si="12"/>
        <v>8</v>
      </c>
      <c r="J83" s="8">
        <f t="shared" si="12"/>
        <v>9</v>
      </c>
      <c r="K83" s="8">
        <f t="shared" si="12"/>
        <v>4</v>
      </c>
      <c r="L83" s="8">
        <f t="shared" si="12"/>
        <v>1</v>
      </c>
      <c r="M83" s="8">
        <f t="shared" si="12"/>
        <v>0</v>
      </c>
      <c r="N83" s="8">
        <f t="shared" si="12"/>
        <v>2</v>
      </c>
      <c r="O83" s="8">
        <f t="shared" si="12"/>
        <v>2</v>
      </c>
      <c r="P83" s="8">
        <f t="shared" si="12"/>
        <v>1</v>
      </c>
      <c r="Q83" s="8">
        <f t="shared" si="12"/>
        <v>1</v>
      </c>
      <c r="R83" s="8">
        <f t="shared" si="12"/>
        <v>10</v>
      </c>
      <c r="S83" s="8">
        <f t="shared" si="12"/>
        <v>9</v>
      </c>
      <c r="T83" s="8">
        <f t="shared" si="12"/>
        <v>3</v>
      </c>
      <c r="U83" s="8">
        <f t="shared" si="12"/>
        <v>2</v>
      </c>
      <c r="V83" s="8">
        <f t="shared" si="12"/>
        <v>0</v>
      </c>
      <c r="W83" s="8">
        <f t="shared" si="12"/>
        <v>6</v>
      </c>
      <c r="X83" s="8">
        <f t="shared" si="12"/>
        <v>4</v>
      </c>
      <c r="Y83" s="8">
        <f t="shared" si="12"/>
        <v>5</v>
      </c>
      <c r="Z83" s="8">
        <f t="shared" si="12"/>
        <v>9</v>
      </c>
      <c r="AA83" s="8">
        <f t="shared" si="12"/>
        <v>2</v>
      </c>
      <c r="AB83" s="8">
        <f t="shared" si="12"/>
        <v>1</v>
      </c>
      <c r="AC83" s="8">
        <f t="shared" si="12"/>
        <v>1</v>
      </c>
      <c r="AD83" s="8">
        <f t="shared" si="12"/>
        <v>11</v>
      </c>
      <c r="AE83" s="8">
        <f t="shared" si="12"/>
        <v>2</v>
      </c>
      <c r="AF83" s="8">
        <f t="shared" si="12"/>
        <v>6</v>
      </c>
      <c r="AG83" s="5">
        <f t="shared" si="5"/>
        <v>119</v>
      </c>
    </row>
    <row r="84" spans="1:34" ht="15.75" customHeight="1" thickBot="1" x14ac:dyDescent="0.3">
      <c r="A84" s="67" t="s">
        <v>33</v>
      </c>
      <c r="B84" s="14">
        <f t="shared" ref="B84:AF84" si="13">SUM(B85:B86)</f>
        <v>3</v>
      </c>
      <c r="C84" s="14">
        <f t="shared" si="13"/>
        <v>0</v>
      </c>
      <c r="D84" s="14">
        <f t="shared" si="13"/>
        <v>2</v>
      </c>
      <c r="E84" s="14">
        <f t="shared" si="13"/>
        <v>9</v>
      </c>
      <c r="F84" s="14">
        <f t="shared" si="13"/>
        <v>1</v>
      </c>
      <c r="G84" s="14">
        <f t="shared" si="13"/>
        <v>5</v>
      </c>
      <c r="H84" s="14">
        <f t="shared" si="13"/>
        <v>3</v>
      </c>
      <c r="I84" s="14">
        <f t="shared" si="13"/>
        <v>8</v>
      </c>
      <c r="J84" s="14">
        <f t="shared" si="13"/>
        <v>9</v>
      </c>
      <c r="K84" s="14">
        <f t="shared" si="13"/>
        <v>4</v>
      </c>
      <c r="L84" s="14">
        <f t="shared" si="13"/>
        <v>1</v>
      </c>
      <c r="M84" s="14">
        <f t="shared" si="13"/>
        <v>0</v>
      </c>
      <c r="N84" s="14">
        <f t="shared" si="13"/>
        <v>3</v>
      </c>
      <c r="O84" s="14">
        <f t="shared" si="13"/>
        <v>4</v>
      </c>
      <c r="P84" s="14">
        <f t="shared" si="13"/>
        <v>1</v>
      </c>
      <c r="Q84" s="14">
        <f t="shared" si="13"/>
        <v>3</v>
      </c>
      <c r="R84" s="14">
        <f t="shared" si="13"/>
        <v>10</v>
      </c>
      <c r="S84" s="14">
        <f t="shared" si="13"/>
        <v>9</v>
      </c>
      <c r="T84" s="14">
        <f t="shared" si="13"/>
        <v>3</v>
      </c>
      <c r="U84" s="14">
        <f t="shared" si="13"/>
        <v>2</v>
      </c>
      <c r="V84" s="14">
        <f t="shared" si="13"/>
        <v>3</v>
      </c>
      <c r="W84" s="14">
        <f t="shared" si="13"/>
        <v>6</v>
      </c>
      <c r="X84" s="14">
        <f t="shared" si="13"/>
        <v>4</v>
      </c>
      <c r="Y84" s="14">
        <f t="shared" si="13"/>
        <v>5</v>
      </c>
      <c r="Z84" s="14">
        <f t="shared" si="13"/>
        <v>9</v>
      </c>
      <c r="AA84" s="14">
        <f t="shared" si="13"/>
        <v>2</v>
      </c>
      <c r="AB84" s="14">
        <f t="shared" si="13"/>
        <v>5</v>
      </c>
      <c r="AC84" s="14">
        <f t="shared" si="13"/>
        <v>6</v>
      </c>
      <c r="AD84" s="14">
        <f t="shared" si="13"/>
        <v>11</v>
      </c>
      <c r="AE84" s="14">
        <f t="shared" si="13"/>
        <v>2</v>
      </c>
      <c r="AF84" s="14">
        <f t="shared" si="13"/>
        <v>6</v>
      </c>
      <c r="AG84" s="15">
        <f t="shared" si="5"/>
        <v>139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1</v>
      </c>
      <c r="C85" s="69">
        <v>0</v>
      </c>
      <c r="D85" s="69">
        <v>0</v>
      </c>
      <c r="E85" s="69">
        <v>3</v>
      </c>
      <c r="F85" s="69">
        <v>0</v>
      </c>
      <c r="G85" s="69">
        <v>2</v>
      </c>
      <c r="H85" s="69">
        <v>1</v>
      </c>
      <c r="I85" s="69">
        <v>2</v>
      </c>
      <c r="J85" s="69">
        <v>1</v>
      </c>
      <c r="K85" s="69">
        <v>1</v>
      </c>
      <c r="L85" s="69">
        <v>0</v>
      </c>
      <c r="M85" s="69">
        <v>0</v>
      </c>
      <c r="N85" s="69">
        <v>0</v>
      </c>
      <c r="O85" s="69">
        <v>3</v>
      </c>
      <c r="P85" s="69">
        <v>0</v>
      </c>
      <c r="Q85" s="69">
        <v>0</v>
      </c>
      <c r="R85" s="69">
        <v>1</v>
      </c>
      <c r="S85" s="69">
        <v>2</v>
      </c>
      <c r="T85" s="69">
        <v>1</v>
      </c>
      <c r="U85" s="69">
        <v>0</v>
      </c>
      <c r="V85" s="69">
        <v>1</v>
      </c>
      <c r="W85" s="69">
        <v>1</v>
      </c>
      <c r="X85" s="69">
        <v>2</v>
      </c>
      <c r="Y85" s="69">
        <v>1</v>
      </c>
      <c r="Z85" s="69">
        <v>0</v>
      </c>
      <c r="AA85" s="69">
        <v>0</v>
      </c>
      <c r="AB85" s="69">
        <v>1</v>
      </c>
      <c r="AC85" s="69">
        <v>1</v>
      </c>
      <c r="AD85" s="69">
        <v>4</v>
      </c>
      <c r="AE85" s="69">
        <v>0</v>
      </c>
      <c r="AF85" s="69">
        <v>2</v>
      </c>
      <c r="AG85" s="16">
        <f t="shared" si="5"/>
        <v>31</v>
      </c>
    </row>
    <row r="86" spans="1:34" ht="15.75" customHeight="1" thickBot="1" x14ac:dyDescent="0.3">
      <c r="A86" s="70" t="s">
        <v>35</v>
      </c>
      <c r="B86" s="71">
        <v>2</v>
      </c>
      <c r="C86" s="71">
        <v>0</v>
      </c>
      <c r="D86" s="71">
        <v>2</v>
      </c>
      <c r="E86" s="71">
        <v>6</v>
      </c>
      <c r="F86" s="71">
        <v>1</v>
      </c>
      <c r="G86" s="71">
        <v>3</v>
      </c>
      <c r="H86" s="71">
        <v>2</v>
      </c>
      <c r="I86" s="71">
        <v>6</v>
      </c>
      <c r="J86" s="71">
        <v>8</v>
      </c>
      <c r="K86" s="71">
        <v>3</v>
      </c>
      <c r="L86" s="71">
        <v>1</v>
      </c>
      <c r="M86" s="71">
        <v>0</v>
      </c>
      <c r="N86" s="71">
        <v>3</v>
      </c>
      <c r="O86" s="71">
        <v>1</v>
      </c>
      <c r="P86" s="71">
        <v>1</v>
      </c>
      <c r="Q86" s="71">
        <v>3</v>
      </c>
      <c r="R86" s="71">
        <v>9</v>
      </c>
      <c r="S86" s="71">
        <v>7</v>
      </c>
      <c r="T86" s="71">
        <v>2</v>
      </c>
      <c r="U86" s="71">
        <v>2</v>
      </c>
      <c r="V86" s="71">
        <v>2</v>
      </c>
      <c r="W86" s="71">
        <v>5</v>
      </c>
      <c r="X86" s="71">
        <v>2</v>
      </c>
      <c r="Y86" s="71">
        <v>4</v>
      </c>
      <c r="Z86" s="71">
        <v>9</v>
      </c>
      <c r="AA86" s="71">
        <v>2</v>
      </c>
      <c r="AB86" s="71">
        <v>4</v>
      </c>
      <c r="AC86" s="71">
        <v>5</v>
      </c>
      <c r="AD86" s="71">
        <v>7</v>
      </c>
      <c r="AE86" s="71">
        <v>2</v>
      </c>
      <c r="AF86" s="71">
        <v>4</v>
      </c>
      <c r="AG86" s="17">
        <f t="shared" si="5"/>
        <v>108</v>
      </c>
    </row>
    <row r="87" spans="1:34" ht="15.75" customHeight="1" thickBot="1" x14ac:dyDescent="0.3">
      <c r="A87" s="72" t="s">
        <v>36</v>
      </c>
      <c r="B87" s="18">
        <f t="shared" ref="B87:AF87" si="14">SUM(B88:B92)</f>
        <v>3</v>
      </c>
      <c r="C87" s="18">
        <f t="shared" si="14"/>
        <v>0</v>
      </c>
      <c r="D87" s="18">
        <f t="shared" si="14"/>
        <v>2</v>
      </c>
      <c r="E87" s="18">
        <f t="shared" si="14"/>
        <v>9</v>
      </c>
      <c r="F87" s="18">
        <f t="shared" si="14"/>
        <v>1</v>
      </c>
      <c r="G87" s="18">
        <f t="shared" si="14"/>
        <v>5</v>
      </c>
      <c r="H87" s="18">
        <f t="shared" si="14"/>
        <v>3</v>
      </c>
      <c r="I87" s="18">
        <f t="shared" si="14"/>
        <v>8</v>
      </c>
      <c r="J87" s="18">
        <f t="shared" si="14"/>
        <v>9</v>
      </c>
      <c r="K87" s="18">
        <f t="shared" si="14"/>
        <v>4</v>
      </c>
      <c r="L87" s="18">
        <f t="shared" si="14"/>
        <v>1</v>
      </c>
      <c r="M87" s="18">
        <f t="shared" si="14"/>
        <v>0</v>
      </c>
      <c r="N87" s="18">
        <f t="shared" si="14"/>
        <v>3</v>
      </c>
      <c r="O87" s="18">
        <f t="shared" si="14"/>
        <v>4</v>
      </c>
      <c r="P87" s="18">
        <f t="shared" si="14"/>
        <v>1</v>
      </c>
      <c r="Q87" s="18">
        <f t="shared" si="14"/>
        <v>3</v>
      </c>
      <c r="R87" s="18">
        <f t="shared" si="14"/>
        <v>10</v>
      </c>
      <c r="S87" s="18">
        <f t="shared" si="14"/>
        <v>9</v>
      </c>
      <c r="T87" s="18">
        <f t="shared" si="14"/>
        <v>3</v>
      </c>
      <c r="U87" s="18">
        <f t="shared" si="14"/>
        <v>2</v>
      </c>
      <c r="V87" s="18">
        <f t="shared" si="14"/>
        <v>3</v>
      </c>
      <c r="W87" s="18">
        <f t="shared" si="14"/>
        <v>6</v>
      </c>
      <c r="X87" s="18">
        <f t="shared" si="14"/>
        <v>4</v>
      </c>
      <c r="Y87" s="18">
        <f t="shared" si="14"/>
        <v>5</v>
      </c>
      <c r="Z87" s="18">
        <f t="shared" si="14"/>
        <v>9</v>
      </c>
      <c r="AA87" s="18">
        <f t="shared" si="14"/>
        <v>2</v>
      </c>
      <c r="AB87" s="18">
        <f t="shared" si="14"/>
        <v>5</v>
      </c>
      <c r="AC87" s="18">
        <f t="shared" si="14"/>
        <v>6</v>
      </c>
      <c r="AD87" s="18">
        <f t="shared" si="14"/>
        <v>11</v>
      </c>
      <c r="AE87" s="18">
        <f t="shared" si="14"/>
        <v>2</v>
      </c>
      <c r="AF87" s="18">
        <f t="shared" si="14"/>
        <v>6</v>
      </c>
      <c r="AG87" s="19">
        <f t="shared" si="5"/>
        <v>139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2</v>
      </c>
      <c r="C88" s="60">
        <v>0</v>
      </c>
      <c r="D88" s="60">
        <v>2</v>
      </c>
      <c r="E88" s="60">
        <v>7</v>
      </c>
      <c r="F88" s="60">
        <v>0</v>
      </c>
      <c r="G88" s="60">
        <v>4</v>
      </c>
      <c r="H88" s="60">
        <v>3</v>
      </c>
      <c r="I88" s="60">
        <v>4</v>
      </c>
      <c r="J88" s="60">
        <v>6</v>
      </c>
      <c r="K88" s="60">
        <v>1</v>
      </c>
      <c r="L88" s="60">
        <v>1</v>
      </c>
      <c r="M88" s="60">
        <v>0</v>
      </c>
      <c r="N88" s="60">
        <v>2</v>
      </c>
      <c r="O88" s="60">
        <v>2</v>
      </c>
      <c r="P88" s="60">
        <v>1</v>
      </c>
      <c r="Q88" s="60">
        <v>2</v>
      </c>
      <c r="R88" s="60">
        <v>5</v>
      </c>
      <c r="S88" s="60">
        <v>1</v>
      </c>
      <c r="T88" s="60">
        <v>3</v>
      </c>
      <c r="U88" s="60">
        <v>2</v>
      </c>
      <c r="V88" s="60">
        <v>3</v>
      </c>
      <c r="W88" s="60">
        <v>3</v>
      </c>
      <c r="X88" s="60">
        <v>3</v>
      </c>
      <c r="Y88" s="60">
        <v>4</v>
      </c>
      <c r="Z88" s="60">
        <v>2</v>
      </c>
      <c r="AA88" s="60">
        <v>0</v>
      </c>
      <c r="AB88" s="60">
        <v>1</v>
      </c>
      <c r="AC88" s="60">
        <v>3</v>
      </c>
      <c r="AD88" s="60">
        <v>3</v>
      </c>
      <c r="AE88" s="60">
        <v>0</v>
      </c>
      <c r="AF88" s="60">
        <v>4</v>
      </c>
      <c r="AG88" s="4">
        <f t="shared" si="5"/>
        <v>74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0</v>
      </c>
    </row>
    <row r="90" spans="1:34" ht="15.75" customHeight="1" x14ac:dyDescent="0.25">
      <c r="A90" s="74" t="s">
        <v>39</v>
      </c>
      <c r="B90" s="60">
        <v>0</v>
      </c>
      <c r="C90" s="60">
        <v>0</v>
      </c>
      <c r="D90" s="60">
        <v>0</v>
      </c>
      <c r="E90" s="60">
        <v>1</v>
      </c>
      <c r="F90" s="60">
        <v>0</v>
      </c>
      <c r="G90" s="60">
        <v>0</v>
      </c>
      <c r="H90" s="60">
        <v>0</v>
      </c>
      <c r="I90" s="60">
        <v>0</v>
      </c>
      <c r="J90" s="60">
        <v>0</v>
      </c>
      <c r="K90" s="60">
        <v>1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1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>
        <v>0</v>
      </c>
      <c r="AF90" s="60">
        <v>0</v>
      </c>
      <c r="AG90" s="5">
        <f t="shared" si="5"/>
        <v>3</v>
      </c>
    </row>
    <row r="91" spans="1:34" ht="15.75" customHeight="1" x14ac:dyDescent="0.25">
      <c r="A91" s="74" t="s">
        <v>40</v>
      </c>
      <c r="B91" s="60">
        <v>0</v>
      </c>
      <c r="C91" s="60">
        <v>0</v>
      </c>
      <c r="D91" s="60">
        <v>0</v>
      </c>
      <c r="E91" s="60">
        <v>1</v>
      </c>
      <c r="F91" s="60">
        <v>1</v>
      </c>
      <c r="G91" s="60">
        <v>1</v>
      </c>
      <c r="H91" s="60">
        <v>0</v>
      </c>
      <c r="I91" s="60">
        <v>4</v>
      </c>
      <c r="J91" s="60">
        <v>3</v>
      </c>
      <c r="K91" s="60">
        <v>1</v>
      </c>
      <c r="L91" s="60">
        <v>0</v>
      </c>
      <c r="M91" s="60">
        <v>0</v>
      </c>
      <c r="N91" s="60">
        <v>1</v>
      </c>
      <c r="O91" s="60">
        <v>1</v>
      </c>
      <c r="P91" s="60">
        <v>0</v>
      </c>
      <c r="Q91" s="60">
        <v>0</v>
      </c>
      <c r="R91" s="60">
        <v>3</v>
      </c>
      <c r="S91" s="60">
        <v>8</v>
      </c>
      <c r="T91" s="60">
        <v>0</v>
      </c>
      <c r="U91" s="60">
        <v>0</v>
      </c>
      <c r="V91" s="60">
        <v>0</v>
      </c>
      <c r="W91" s="60">
        <v>2</v>
      </c>
      <c r="X91" s="60">
        <v>1</v>
      </c>
      <c r="Y91" s="60">
        <v>1</v>
      </c>
      <c r="Z91" s="60">
        <v>7</v>
      </c>
      <c r="AA91" s="60">
        <v>2</v>
      </c>
      <c r="AB91" s="60">
        <v>4</v>
      </c>
      <c r="AC91" s="60">
        <v>1</v>
      </c>
      <c r="AD91" s="60">
        <v>3</v>
      </c>
      <c r="AE91" s="60">
        <v>1</v>
      </c>
      <c r="AF91" s="60">
        <v>0</v>
      </c>
      <c r="AG91" s="5">
        <f t="shared" si="5"/>
        <v>46</v>
      </c>
    </row>
    <row r="92" spans="1:34" ht="15.75" customHeight="1" thickBot="1" x14ac:dyDescent="0.3">
      <c r="A92" s="74" t="s">
        <v>41</v>
      </c>
      <c r="B92" s="60">
        <v>1</v>
      </c>
      <c r="C92" s="60">
        <v>0</v>
      </c>
      <c r="D92" s="60">
        <v>0</v>
      </c>
      <c r="E92" s="60">
        <v>0</v>
      </c>
      <c r="F92" s="60">
        <v>0</v>
      </c>
      <c r="G92" s="60">
        <v>0</v>
      </c>
      <c r="H92" s="60">
        <v>0</v>
      </c>
      <c r="I92" s="60">
        <v>0</v>
      </c>
      <c r="J92" s="60">
        <v>0</v>
      </c>
      <c r="K92" s="60">
        <v>1</v>
      </c>
      <c r="L92" s="60">
        <v>0</v>
      </c>
      <c r="M92" s="60">
        <v>0</v>
      </c>
      <c r="N92" s="60">
        <v>0</v>
      </c>
      <c r="O92" s="60">
        <v>1</v>
      </c>
      <c r="P92" s="60">
        <v>0</v>
      </c>
      <c r="Q92" s="60">
        <v>0</v>
      </c>
      <c r="R92" s="60">
        <v>2</v>
      </c>
      <c r="S92" s="60">
        <v>0</v>
      </c>
      <c r="T92" s="60">
        <v>0</v>
      </c>
      <c r="U92" s="60">
        <v>0</v>
      </c>
      <c r="V92" s="60">
        <v>0</v>
      </c>
      <c r="W92" s="60">
        <v>1</v>
      </c>
      <c r="X92" s="60">
        <v>0</v>
      </c>
      <c r="Y92" s="60">
        <v>0</v>
      </c>
      <c r="Z92" s="60">
        <v>0</v>
      </c>
      <c r="AA92" s="60">
        <v>0</v>
      </c>
      <c r="AB92" s="60">
        <v>0</v>
      </c>
      <c r="AC92" s="60">
        <v>2</v>
      </c>
      <c r="AD92" s="60">
        <v>5</v>
      </c>
      <c r="AE92" s="60">
        <v>1</v>
      </c>
      <c r="AF92" s="60">
        <v>2</v>
      </c>
      <c r="AG92" s="5">
        <f t="shared" si="5"/>
        <v>16</v>
      </c>
    </row>
    <row r="93" spans="1:34" ht="15.75" customHeight="1" x14ac:dyDescent="0.25">
      <c r="A93" s="75" t="s">
        <v>42</v>
      </c>
      <c r="B93" s="20">
        <f t="shared" ref="B93:AF93" si="15">+B94+B100</f>
        <v>92</v>
      </c>
      <c r="C93" s="20">
        <f t="shared" si="15"/>
        <v>100</v>
      </c>
      <c r="D93" s="20">
        <f t="shared" si="15"/>
        <v>99</v>
      </c>
      <c r="E93" s="20">
        <f t="shared" si="15"/>
        <v>84</v>
      </c>
      <c r="F93" s="20">
        <f t="shared" si="15"/>
        <v>83</v>
      </c>
      <c r="G93" s="20">
        <f t="shared" si="15"/>
        <v>143</v>
      </c>
      <c r="H93" s="20">
        <f t="shared" si="15"/>
        <v>140</v>
      </c>
      <c r="I93" s="20">
        <f t="shared" si="15"/>
        <v>98</v>
      </c>
      <c r="J93" s="20">
        <f t="shared" si="15"/>
        <v>99</v>
      </c>
      <c r="K93" s="20">
        <f t="shared" si="15"/>
        <v>105</v>
      </c>
      <c r="L93" s="20">
        <f t="shared" si="15"/>
        <v>89</v>
      </c>
      <c r="M93" s="20">
        <f t="shared" si="15"/>
        <v>84</v>
      </c>
      <c r="N93" s="20">
        <f t="shared" si="15"/>
        <v>154</v>
      </c>
      <c r="O93" s="20">
        <f t="shared" si="15"/>
        <v>128</v>
      </c>
      <c r="P93" s="20">
        <f t="shared" si="15"/>
        <v>90</v>
      </c>
      <c r="Q93" s="20">
        <f t="shared" si="15"/>
        <v>189</v>
      </c>
      <c r="R93" s="20">
        <f t="shared" si="15"/>
        <v>112</v>
      </c>
      <c r="S93" s="20">
        <f t="shared" si="15"/>
        <v>113</v>
      </c>
      <c r="T93" s="20">
        <f t="shared" si="15"/>
        <v>102</v>
      </c>
      <c r="U93" s="20">
        <f t="shared" si="15"/>
        <v>156</v>
      </c>
      <c r="V93" s="20">
        <f t="shared" si="15"/>
        <v>176</v>
      </c>
      <c r="W93" s="20">
        <f t="shared" si="15"/>
        <v>138</v>
      </c>
      <c r="X93" s="20">
        <f t="shared" si="15"/>
        <v>111</v>
      </c>
      <c r="Y93" s="20">
        <f t="shared" si="15"/>
        <v>120</v>
      </c>
      <c r="Z93" s="20">
        <f t="shared" si="15"/>
        <v>117</v>
      </c>
      <c r="AA93" s="20">
        <f t="shared" si="15"/>
        <v>109</v>
      </c>
      <c r="AB93" s="20">
        <f t="shared" si="15"/>
        <v>165</v>
      </c>
      <c r="AC93" s="20">
        <f t="shared" si="15"/>
        <v>163</v>
      </c>
      <c r="AD93" s="20">
        <f t="shared" si="15"/>
        <v>135</v>
      </c>
      <c r="AE93" s="20">
        <f t="shared" si="15"/>
        <v>113</v>
      </c>
      <c r="AF93" s="20">
        <f t="shared" si="15"/>
        <v>98</v>
      </c>
      <c r="AG93" s="5">
        <f t="shared" si="5"/>
        <v>3705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8</v>
      </c>
      <c r="C94" s="21">
        <f t="shared" si="16"/>
        <v>7</v>
      </c>
      <c r="D94" s="21">
        <f t="shared" si="16"/>
        <v>12</v>
      </c>
      <c r="E94" s="21">
        <f t="shared" si="16"/>
        <v>12</v>
      </c>
      <c r="F94" s="21">
        <f t="shared" si="16"/>
        <v>3</v>
      </c>
      <c r="G94" s="21">
        <f t="shared" si="16"/>
        <v>14</v>
      </c>
      <c r="H94" s="21">
        <f t="shared" si="16"/>
        <v>15</v>
      </c>
      <c r="I94" s="21">
        <f t="shared" si="16"/>
        <v>6</v>
      </c>
      <c r="J94" s="21">
        <f t="shared" si="16"/>
        <v>12</v>
      </c>
      <c r="K94" s="21">
        <f t="shared" si="16"/>
        <v>12</v>
      </c>
      <c r="L94" s="21">
        <f t="shared" si="16"/>
        <v>7</v>
      </c>
      <c r="M94" s="21">
        <f t="shared" si="16"/>
        <v>2</v>
      </c>
      <c r="N94" s="21">
        <f t="shared" si="16"/>
        <v>17</v>
      </c>
      <c r="O94" s="21">
        <f t="shared" si="16"/>
        <v>14</v>
      </c>
      <c r="P94" s="21">
        <f t="shared" si="16"/>
        <v>8</v>
      </c>
      <c r="Q94" s="21">
        <f t="shared" si="16"/>
        <v>23</v>
      </c>
      <c r="R94" s="21">
        <f t="shared" si="16"/>
        <v>13</v>
      </c>
      <c r="S94" s="21">
        <f t="shared" si="16"/>
        <v>13</v>
      </c>
      <c r="T94" s="21">
        <f t="shared" si="16"/>
        <v>17</v>
      </c>
      <c r="U94" s="21">
        <f t="shared" si="16"/>
        <v>18</v>
      </c>
      <c r="V94" s="21">
        <f t="shared" si="16"/>
        <v>34</v>
      </c>
      <c r="W94" s="21">
        <f t="shared" si="16"/>
        <v>16</v>
      </c>
      <c r="X94" s="21">
        <f t="shared" si="16"/>
        <v>17</v>
      </c>
      <c r="Y94" s="21">
        <f t="shared" si="16"/>
        <v>20</v>
      </c>
      <c r="Z94" s="21">
        <f t="shared" si="16"/>
        <v>17</v>
      </c>
      <c r="AA94" s="21">
        <f t="shared" si="16"/>
        <v>11</v>
      </c>
      <c r="AB94" s="21">
        <f t="shared" si="16"/>
        <v>18</v>
      </c>
      <c r="AC94" s="21">
        <f t="shared" si="16"/>
        <v>27</v>
      </c>
      <c r="AD94" s="21">
        <f t="shared" si="16"/>
        <v>23</v>
      </c>
      <c r="AE94" s="21">
        <f t="shared" si="16"/>
        <v>24</v>
      </c>
      <c r="AF94" s="21">
        <f t="shared" si="16"/>
        <v>14</v>
      </c>
      <c r="AG94" s="5">
        <f t="shared" si="5"/>
        <v>454</v>
      </c>
    </row>
    <row r="95" spans="1:34" ht="15.75" customHeight="1" x14ac:dyDescent="0.25">
      <c r="A95" s="78" t="s">
        <v>44</v>
      </c>
      <c r="B95" s="54">
        <v>0</v>
      </c>
      <c r="C95" s="54">
        <v>0</v>
      </c>
      <c r="D95" s="54">
        <v>0</v>
      </c>
      <c r="E95" s="54">
        <v>0</v>
      </c>
      <c r="F95" s="54">
        <v>0</v>
      </c>
      <c r="G95" s="54">
        <v>0</v>
      </c>
      <c r="H95" s="54">
        <v>0</v>
      </c>
      <c r="I95" s="54">
        <v>0</v>
      </c>
      <c r="J95" s="54">
        <v>0</v>
      </c>
      <c r="K95" s="54">
        <v>0</v>
      </c>
      <c r="L95" s="54">
        <v>0</v>
      </c>
      <c r="M95" s="54">
        <v>0</v>
      </c>
      <c r="N95" s="54">
        <v>0</v>
      </c>
      <c r="O95" s="54">
        <v>0</v>
      </c>
      <c r="P95" s="54">
        <v>0</v>
      </c>
      <c r="Q95" s="54">
        <v>1</v>
      </c>
      <c r="R95" s="54">
        <v>0</v>
      </c>
      <c r="S95" s="54">
        <v>0</v>
      </c>
      <c r="T95" s="54">
        <v>0</v>
      </c>
      <c r="U95" s="54">
        <v>0</v>
      </c>
      <c r="V95" s="54">
        <v>2</v>
      </c>
      <c r="W95" s="54">
        <v>0</v>
      </c>
      <c r="X95" s="54">
        <v>0</v>
      </c>
      <c r="Y95" s="54">
        <v>1</v>
      </c>
      <c r="Z95" s="54">
        <v>0</v>
      </c>
      <c r="AA95" s="54">
        <v>1</v>
      </c>
      <c r="AB95" s="54">
        <v>2</v>
      </c>
      <c r="AC95" s="54">
        <v>0</v>
      </c>
      <c r="AD95" s="54">
        <v>0</v>
      </c>
      <c r="AE95" s="54">
        <v>0</v>
      </c>
      <c r="AF95" s="54">
        <v>0</v>
      </c>
      <c r="AG95" s="5">
        <f t="shared" si="5"/>
        <v>7</v>
      </c>
    </row>
    <row r="96" spans="1:34" ht="15.75" customHeight="1" x14ac:dyDescent="0.25">
      <c r="A96" s="79" t="s">
        <v>45</v>
      </c>
      <c r="B96" s="54">
        <v>0</v>
      </c>
      <c r="C96" s="54">
        <v>1</v>
      </c>
      <c r="D96" s="54">
        <v>0</v>
      </c>
      <c r="E96" s="54">
        <v>0</v>
      </c>
      <c r="F96" s="54">
        <v>0</v>
      </c>
      <c r="G96" s="54">
        <v>1</v>
      </c>
      <c r="H96" s="54">
        <v>1</v>
      </c>
      <c r="I96" s="54">
        <v>0</v>
      </c>
      <c r="J96" s="54">
        <v>0</v>
      </c>
      <c r="K96" s="54">
        <v>1</v>
      </c>
      <c r="L96" s="54">
        <v>0</v>
      </c>
      <c r="M96" s="54">
        <v>0</v>
      </c>
      <c r="N96" s="54">
        <v>1</v>
      </c>
      <c r="O96" s="54">
        <v>2</v>
      </c>
      <c r="P96" s="54">
        <v>1</v>
      </c>
      <c r="Q96" s="54">
        <v>0</v>
      </c>
      <c r="R96" s="54">
        <v>0</v>
      </c>
      <c r="S96" s="54">
        <v>0</v>
      </c>
      <c r="T96" s="54">
        <v>1</v>
      </c>
      <c r="U96" s="54">
        <v>2</v>
      </c>
      <c r="V96" s="54">
        <v>2</v>
      </c>
      <c r="W96" s="54">
        <v>0</v>
      </c>
      <c r="X96" s="54">
        <v>1</v>
      </c>
      <c r="Y96" s="54">
        <v>2</v>
      </c>
      <c r="Z96" s="54">
        <v>0</v>
      </c>
      <c r="AA96" s="54">
        <v>0</v>
      </c>
      <c r="AB96" s="54">
        <v>1</v>
      </c>
      <c r="AC96" s="54">
        <v>2</v>
      </c>
      <c r="AD96" s="54">
        <v>0</v>
      </c>
      <c r="AE96" s="54">
        <v>1</v>
      </c>
      <c r="AF96" s="54">
        <v>0</v>
      </c>
      <c r="AG96" s="5">
        <f t="shared" si="5"/>
        <v>20</v>
      </c>
    </row>
    <row r="97" spans="1:33" ht="15.75" customHeight="1" x14ac:dyDescent="0.25">
      <c r="A97" s="80" t="s">
        <v>46</v>
      </c>
      <c r="B97" s="54">
        <v>2</v>
      </c>
      <c r="C97" s="54">
        <v>4</v>
      </c>
      <c r="D97" s="54">
        <v>2</v>
      </c>
      <c r="E97" s="54">
        <v>2</v>
      </c>
      <c r="F97" s="54">
        <v>1</v>
      </c>
      <c r="G97" s="54">
        <v>2</v>
      </c>
      <c r="H97" s="54">
        <v>2</v>
      </c>
      <c r="I97" s="54">
        <v>0</v>
      </c>
      <c r="J97" s="54">
        <v>2</v>
      </c>
      <c r="K97" s="54">
        <v>3</v>
      </c>
      <c r="L97" s="54">
        <v>2</v>
      </c>
      <c r="M97" s="54">
        <v>0</v>
      </c>
      <c r="N97" s="54">
        <v>4</v>
      </c>
      <c r="O97" s="54">
        <v>4</v>
      </c>
      <c r="P97" s="54">
        <v>2</v>
      </c>
      <c r="Q97" s="54">
        <v>6</v>
      </c>
      <c r="R97" s="54">
        <v>2</v>
      </c>
      <c r="S97" s="54">
        <v>2</v>
      </c>
      <c r="T97" s="54">
        <v>4</v>
      </c>
      <c r="U97" s="54">
        <v>6</v>
      </c>
      <c r="V97" s="54">
        <v>12</v>
      </c>
      <c r="W97" s="54">
        <v>0</v>
      </c>
      <c r="X97" s="54">
        <v>2</v>
      </c>
      <c r="Y97" s="54">
        <v>3</v>
      </c>
      <c r="Z97" s="54">
        <v>4</v>
      </c>
      <c r="AA97" s="54">
        <v>0</v>
      </c>
      <c r="AB97" s="54">
        <v>3</v>
      </c>
      <c r="AC97" s="54">
        <v>1</v>
      </c>
      <c r="AD97" s="54">
        <v>3</v>
      </c>
      <c r="AE97" s="54">
        <v>6</v>
      </c>
      <c r="AF97" s="54">
        <v>4</v>
      </c>
      <c r="AG97" s="5">
        <f t="shared" si="5"/>
        <v>90</v>
      </c>
    </row>
    <row r="98" spans="1:33" ht="15.75" customHeight="1" x14ac:dyDescent="0.25">
      <c r="A98" s="81" t="s">
        <v>47</v>
      </c>
      <c r="B98" s="54">
        <v>3</v>
      </c>
      <c r="C98" s="54">
        <v>1</v>
      </c>
      <c r="D98" s="54">
        <v>7</v>
      </c>
      <c r="E98" s="54">
        <v>7</v>
      </c>
      <c r="F98" s="54">
        <v>0</v>
      </c>
      <c r="G98" s="54">
        <v>3</v>
      </c>
      <c r="H98" s="54">
        <v>7</v>
      </c>
      <c r="I98" s="54">
        <v>0</v>
      </c>
      <c r="J98" s="54">
        <v>6</v>
      </c>
      <c r="K98" s="54">
        <v>4</v>
      </c>
      <c r="L98" s="54">
        <v>1</v>
      </c>
      <c r="M98" s="54">
        <v>0</v>
      </c>
      <c r="N98" s="54">
        <v>8</v>
      </c>
      <c r="O98" s="54">
        <v>3</v>
      </c>
      <c r="P98" s="54">
        <v>3</v>
      </c>
      <c r="Q98" s="54">
        <v>8</v>
      </c>
      <c r="R98" s="54">
        <v>6</v>
      </c>
      <c r="S98" s="54">
        <v>2</v>
      </c>
      <c r="T98" s="54">
        <v>8</v>
      </c>
      <c r="U98" s="54">
        <v>5</v>
      </c>
      <c r="V98" s="54">
        <v>8</v>
      </c>
      <c r="W98" s="54">
        <v>5</v>
      </c>
      <c r="X98" s="54">
        <v>7</v>
      </c>
      <c r="Y98" s="54">
        <v>6</v>
      </c>
      <c r="Z98" s="54">
        <v>8</v>
      </c>
      <c r="AA98" s="54">
        <v>1</v>
      </c>
      <c r="AB98" s="54">
        <v>7</v>
      </c>
      <c r="AC98" s="54">
        <v>15</v>
      </c>
      <c r="AD98" s="54">
        <v>9</v>
      </c>
      <c r="AE98" s="54">
        <v>9</v>
      </c>
      <c r="AF98" s="54">
        <v>4</v>
      </c>
      <c r="AG98" s="5">
        <f t="shared" si="5"/>
        <v>161</v>
      </c>
    </row>
    <row r="99" spans="1:33" ht="15.75" customHeight="1" x14ac:dyDescent="0.25">
      <c r="A99" s="82" t="s">
        <v>48</v>
      </c>
      <c r="B99" s="54">
        <v>3</v>
      </c>
      <c r="C99" s="54">
        <v>1</v>
      </c>
      <c r="D99" s="54">
        <v>3</v>
      </c>
      <c r="E99" s="54">
        <v>3</v>
      </c>
      <c r="F99" s="54">
        <v>2</v>
      </c>
      <c r="G99" s="54">
        <v>8</v>
      </c>
      <c r="H99" s="54">
        <v>5</v>
      </c>
      <c r="I99" s="54">
        <v>6</v>
      </c>
      <c r="J99" s="54">
        <v>4</v>
      </c>
      <c r="K99" s="54">
        <v>4</v>
      </c>
      <c r="L99" s="54">
        <v>4</v>
      </c>
      <c r="M99" s="54">
        <v>2</v>
      </c>
      <c r="N99" s="54">
        <v>4</v>
      </c>
      <c r="O99" s="54">
        <v>5</v>
      </c>
      <c r="P99" s="54">
        <v>2</v>
      </c>
      <c r="Q99" s="54">
        <v>8</v>
      </c>
      <c r="R99" s="54">
        <v>5</v>
      </c>
      <c r="S99" s="54">
        <v>9</v>
      </c>
      <c r="T99" s="54">
        <v>4</v>
      </c>
      <c r="U99" s="54">
        <v>5</v>
      </c>
      <c r="V99" s="54">
        <v>10</v>
      </c>
      <c r="W99" s="54">
        <v>11</v>
      </c>
      <c r="X99" s="54">
        <v>7</v>
      </c>
      <c r="Y99" s="54">
        <v>8</v>
      </c>
      <c r="Z99" s="54">
        <v>5</v>
      </c>
      <c r="AA99" s="54">
        <v>9</v>
      </c>
      <c r="AB99" s="54">
        <v>5</v>
      </c>
      <c r="AC99" s="54">
        <v>9</v>
      </c>
      <c r="AD99" s="54">
        <v>11</v>
      </c>
      <c r="AE99" s="54">
        <v>8</v>
      </c>
      <c r="AF99" s="54">
        <v>6</v>
      </c>
      <c r="AG99" s="5">
        <f t="shared" ref="AG99:AG162" si="17">SUM(B99:AF99)</f>
        <v>176</v>
      </c>
    </row>
    <row r="100" spans="1:33" ht="15.75" customHeight="1" x14ac:dyDescent="0.25">
      <c r="A100" s="76" t="s">
        <v>49</v>
      </c>
      <c r="B100" s="21">
        <f t="shared" ref="B100:AF100" si="18">SUM(B101:B115)</f>
        <v>84</v>
      </c>
      <c r="C100" s="21">
        <f t="shared" si="18"/>
        <v>93</v>
      </c>
      <c r="D100" s="21">
        <f t="shared" si="18"/>
        <v>87</v>
      </c>
      <c r="E100" s="21">
        <f t="shared" si="18"/>
        <v>72</v>
      </c>
      <c r="F100" s="21">
        <f t="shared" si="18"/>
        <v>80</v>
      </c>
      <c r="G100" s="21">
        <f t="shared" si="18"/>
        <v>129</v>
      </c>
      <c r="H100" s="21">
        <f t="shared" si="18"/>
        <v>125</v>
      </c>
      <c r="I100" s="21">
        <f t="shared" si="18"/>
        <v>92</v>
      </c>
      <c r="J100" s="21">
        <f t="shared" si="18"/>
        <v>87</v>
      </c>
      <c r="K100" s="21">
        <f t="shared" si="18"/>
        <v>93</v>
      </c>
      <c r="L100" s="21">
        <f t="shared" si="18"/>
        <v>82</v>
      </c>
      <c r="M100" s="21">
        <f t="shared" si="18"/>
        <v>82</v>
      </c>
      <c r="N100" s="21">
        <f t="shared" si="18"/>
        <v>137</v>
      </c>
      <c r="O100" s="21">
        <f t="shared" si="18"/>
        <v>114</v>
      </c>
      <c r="P100" s="21">
        <f t="shared" si="18"/>
        <v>82</v>
      </c>
      <c r="Q100" s="21">
        <f t="shared" si="18"/>
        <v>166</v>
      </c>
      <c r="R100" s="21">
        <f t="shared" si="18"/>
        <v>99</v>
      </c>
      <c r="S100" s="21">
        <f t="shared" si="18"/>
        <v>100</v>
      </c>
      <c r="T100" s="21">
        <f t="shared" si="18"/>
        <v>85</v>
      </c>
      <c r="U100" s="21">
        <f t="shared" si="18"/>
        <v>138</v>
      </c>
      <c r="V100" s="21">
        <f t="shared" si="18"/>
        <v>142</v>
      </c>
      <c r="W100" s="21">
        <f t="shared" si="18"/>
        <v>122</v>
      </c>
      <c r="X100" s="21">
        <f t="shared" si="18"/>
        <v>94</v>
      </c>
      <c r="Y100" s="21">
        <f t="shared" si="18"/>
        <v>100</v>
      </c>
      <c r="Z100" s="21">
        <f t="shared" si="18"/>
        <v>100</v>
      </c>
      <c r="AA100" s="21">
        <f t="shared" si="18"/>
        <v>98</v>
      </c>
      <c r="AB100" s="21">
        <f t="shared" si="18"/>
        <v>147</v>
      </c>
      <c r="AC100" s="21">
        <f t="shared" si="18"/>
        <v>136</v>
      </c>
      <c r="AD100" s="21">
        <f t="shared" si="18"/>
        <v>112</v>
      </c>
      <c r="AE100" s="21">
        <f t="shared" si="18"/>
        <v>89</v>
      </c>
      <c r="AF100" s="21">
        <f t="shared" si="18"/>
        <v>84</v>
      </c>
      <c r="AG100" s="5">
        <f t="shared" si="17"/>
        <v>3251</v>
      </c>
    </row>
    <row r="101" spans="1:33" ht="15.75" customHeight="1" x14ac:dyDescent="0.25">
      <c r="A101" s="82" t="s">
        <v>50</v>
      </c>
      <c r="B101" s="54">
        <v>6</v>
      </c>
      <c r="C101" s="54">
        <v>8</v>
      </c>
      <c r="D101" s="54">
        <v>7</v>
      </c>
      <c r="E101" s="54">
        <v>4</v>
      </c>
      <c r="F101" s="54">
        <v>2</v>
      </c>
      <c r="G101" s="54">
        <v>10</v>
      </c>
      <c r="H101" s="54">
        <v>10</v>
      </c>
      <c r="I101" s="54">
        <v>7</v>
      </c>
      <c r="J101" s="54">
        <v>10</v>
      </c>
      <c r="K101" s="54">
        <v>17</v>
      </c>
      <c r="L101" s="54">
        <v>9</v>
      </c>
      <c r="M101" s="54">
        <v>6</v>
      </c>
      <c r="N101" s="54">
        <v>9</v>
      </c>
      <c r="O101" s="54">
        <v>9</v>
      </c>
      <c r="P101" s="54">
        <v>11</v>
      </c>
      <c r="Q101" s="54">
        <v>14</v>
      </c>
      <c r="R101" s="54">
        <v>7</v>
      </c>
      <c r="S101" s="54">
        <v>10</v>
      </c>
      <c r="T101" s="54">
        <v>6</v>
      </c>
      <c r="U101" s="54">
        <v>15</v>
      </c>
      <c r="V101" s="54">
        <v>8</v>
      </c>
      <c r="W101" s="54">
        <v>14</v>
      </c>
      <c r="X101" s="54">
        <v>13</v>
      </c>
      <c r="Y101" s="54">
        <v>12</v>
      </c>
      <c r="Z101" s="54">
        <v>11</v>
      </c>
      <c r="AA101" s="54">
        <v>3</v>
      </c>
      <c r="AB101" s="54">
        <v>12</v>
      </c>
      <c r="AC101" s="54">
        <v>11</v>
      </c>
      <c r="AD101" s="54">
        <v>22</v>
      </c>
      <c r="AE101" s="54">
        <v>15</v>
      </c>
      <c r="AF101" s="54">
        <v>8</v>
      </c>
      <c r="AG101" s="5">
        <f t="shared" si="17"/>
        <v>306</v>
      </c>
    </row>
    <row r="102" spans="1:33" ht="15.75" customHeight="1" x14ac:dyDescent="0.25">
      <c r="A102" s="82" t="s">
        <v>51</v>
      </c>
      <c r="B102" s="54">
        <v>8</v>
      </c>
      <c r="C102" s="54">
        <v>7</v>
      </c>
      <c r="D102" s="54">
        <v>7</v>
      </c>
      <c r="E102" s="54">
        <v>10</v>
      </c>
      <c r="F102" s="54">
        <v>7</v>
      </c>
      <c r="G102" s="54">
        <v>7</v>
      </c>
      <c r="H102" s="54">
        <v>12</v>
      </c>
      <c r="I102" s="54">
        <v>12</v>
      </c>
      <c r="J102" s="54">
        <v>5</v>
      </c>
      <c r="K102" s="54">
        <v>8</v>
      </c>
      <c r="L102" s="54">
        <v>7</v>
      </c>
      <c r="M102" s="54">
        <v>10</v>
      </c>
      <c r="N102" s="54">
        <v>12</v>
      </c>
      <c r="O102" s="54">
        <v>9</v>
      </c>
      <c r="P102" s="54">
        <v>4</v>
      </c>
      <c r="Q102" s="54">
        <v>14</v>
      </c>
      <c r="R102" s="54">
        <v>11</v>
      </c>
      <c r="S102" s="54">
        <v>3</v>
      </c>
      <c r="T102" s="54">
        <v>8</v>
      </c>
      <c r="U102" s="54">
        <v>9</v>
      </c>
      <c r="V102" s="54">
        <v>8</v>
      </c>
      <c r="W102" s="54">
        <v>11</v>
      </c>
      <c r="X102" s="54">
        <v>10</v>
      </c>
      <c r="Y102" s="54">
        <v>15</v>
      </c>
      <c r="Z102" s="54">
        <v>11</v>
      </c>
      <c r="AA102" s="54">
        <v>8</v>
      </c>
      <c r="AB102" s="54">
        <v>13</v>
      </c>
      <c r="AC102" s="54">
        <v>5</v>
      </c>
      <c r="AD102" s="54">
        <v>12</v>
      </c>
      <c r="AE102" s="54">
        <v>6</v>
      </c>
      <c r="AF102" s="54">
        <v>6</v>
      </c>
      <c r="AG102" s="5">
        <f t="shared" si="17"/>
        <v>275</v>
      </c>
    </row>
    <row r="103" spans="1:33" ht="15.75" customHeight="1" x14ac:dyDescent="0.25">
      <c r="A103" s="78" t="s">
        <v>52</v>
      </c>
      <c r="B103" s="54">
        <v>11</v>
      </c>
      <c r="C103" s="54">
        <v>7</v>
      </c>
      <c r="D103" s="54">
        <v>8</v>
      </c>
      <c r="E103" s="54">
        <v>5</v>
      </c>
      <c r="F103" s="54">
        <v>11</v>
      </c>
      <c r="G103" s="54">
        <v>13</v>
      </c>
      <c r="H103" s="54">
        <v>10</v>
      </c>
      <c r="I103" s="54">
        <v>5</v>
      </c>
      <c r="J103" s="54">
        <v>4</v>
      </c>
      <c r="K103" s="54">
        <v>7</v>
      </c>
      <c r="L103" s="54">
        <v>6</v>
      </c>
      <c r="M103" s="54">
        <v>14</v>
      </c>
      <c r="N103" s="54">
        <v>12</v>
      </c>
      <c r="O103" s="54">
        <v>11</v>
      </c>
      <c r="P103" s="54">
        <v>6</v>
      </c>
      <c r="Q103" s="54">
        <v>14</v>
      </c>
      <c r="R103" s="54">
        <v>11</v>
      </c>
      <c r="S103" s="54">
        <v>6</v>
      </c>
      <c r="T103" s="54">
        <v>12</v>
      </c>
      <c r="U103" s="54">
        <v>9</v>
      </c>
      <c r="V103" s="54">
        <v>19</v>
      </c>
      <c r="W103" s="54">
        <v>10</v>
      </c>
      <c r="X103" s="54">
        <v>12</v>
      </c>
      <c r="Y103" s="54">
        <v>8</v>
      </c>
      <c r="Z103" s="54">
        <v>9</v>
      </c>
      <c r="AA103" s="54">
        <v>5</v>
      </c>
      <c r="AB103" s="54">
        <v>12</v>
      </c>
      <c r="AC103" s="54">
        <v>14</v>
      </c>
      <c r="AD103" s="54">
        <v>8</v>
      </c>
      <c r="AE103" s="54">
        <v>4</v>
      </c>
      <c r="AF103" s="54">
        <v>6</v>
      </c>
      <c r="AG103" s="5">
        <f t="shared" si="17"/>
        <v>289</v>
      </c>
    </row>
    <row r="104" spans="1:33" ht="15.75" customHeight="1" x14ac:dyDescent="0.25">
      <c r="A104" s="78" t="s">
        <v>53</v>
      </c>
      <c r="B104" s="54">
        <v>6</v>
      </c>
      <c r="C104" s="54">
        <v>9</v>
      </c>
      <c r="D104" s="54">
        <v>17</v>
      </c>
      <c r="E104" s="54">
        <v>6</v>
      </c>
      <c r="F104" s="54">
        <v>11</v>
      </c>
      <c r="G104" s="54">
        <v>12</v>
      </c>
      <c r="H104" s="54">
        <v>19</v>
      </c>
      <c r="I104" s="54">
        <v>5</v>
      </c>
      <c r="J104" s="54">
        <v>6</v>
      </c>
      <c r="K104" s="54">
        <v>6</v>
      </c>
      <c r="L104" s="54">
        <v>2</v>
      </c>
      <c r="M104" s="54">
        <v>4</v>
      </c>
      <c r="N104" s="54">
        <v>7</v>
      </c>
      <c r="O104" s="54">
        <v>11</v>
      </c>
      <c r="P104" s="54">
        <v>8</v>
      </c>
      <c r="Q104" s="54">
        <v>9</v>
      </c>
      <c r="R104" s="54">
        <v>4</v>
      </c>
      <c r="S104" s="54">
        <v>12</v>
      </c>
      <c r="T104" s="54">
        <v>6</v>
      </c>
      <c r="U104" s="54">
        <v>10</v>
      </c>
      <c r="V104" s="54">
        <v>11</v>
      </c>
      <c r="W104" s="54">
        <v>11</v>
      </c>
      <c r="X104" s="54">
        <v>9</v>
      </c>
      <c r="Y104" s="54">
        <v>9</v>
      </c>
      <c r="Z104" s="54">
        <v>7</v>
      </c>
      <c r="AA104" s="54">
        <v>10</v>
      </c>
      <c r="AB104" s="54">
        <v>11</v>
      </c>
      <c r="AC104" s="54">
        <v>11</v>
      </c>
      <c r="AD104" s="54">
        <v>9</v>
      </c>
      <c r="AE104" s="54">
        <v>9</v>
      </c>
      <c r="AF104" s="54">
        <v>8</v>
      </c>
      <c r="AG104" s="5">
        <f t="shared" si="17"/>
        <v>275</v>
      </c>
    </row>
    <row r="105" spans="1:33" ht="15.75" customHeight="1" x14ac:dyDescent="0.25">
      <c r="A105" s="78" t="s">
        <v>54</v>
      </c>
      <c r="B105" s="54">
        <v>4</v>
      </c>
      <c r="C105" s="54">
        <v>8</v>
      </c>
      <c r="D105" s="54">
        <v>8</v>
      </c>
      <c r="E105" s="54">
        <v>2</v>
      </c>
      <c r="F105" s="54">
        <v>6</v>
      </c>
      <c r="G105" s="54">
        <v>5</v>
      </c>
      <c r="H105" s="54">
        <v>5</v>
      </c>
      <c r="I105" s="54">
        <v>6</v>
      </c>
      <c r="J105" s="54">
        <v>4</v>
      </c>
      <c r="K105" s="54">
        <v>9</v>
      </c>
      <c r="L105" s="54">
        <v>6</v>
      </c>
      <c r="M105" s="54">
        <v>3</v>
      </c>
      <c r="N105" s="54">
        <v>5</v>
      </c>
      <c r="O105" s="54">
        <v>8</v>
      </c>
      <c r="P105" s="54">
        <v>8</v>
      </c>
      <c r="Q105" s="54">
        <v>14</v>
      </c>
      <c r="R105" s="54">
        <v>6</v>
      </c>
      <c r="S105" s="54">
        <v>8</v>
      </c>
      <c r="T105" s="54">
        <v>6</v>
      </c>
      <c r="U105" s="54">
        <v>4</v>
      </c>
      <c r="V105" s="54">
        <v>14</v>
      </c>
      <c r="W105" s="54">
        <v>9</v>
      </c>
      <c r="X105" s="54">
        <v>6</v>
      </c>
      <c r="Y105" s="54">
        <v>10</v>
      </c>
      <c r="Z105" s="54">
        <v>7</v>
      </c>
      <c r="AA105" s="54">
        <v>6</v>
      </c>
      <c r="AB105" s="54">
        <v>11</v>
      </c>
      <c r="AC105" s="54">
        <v>10</v>
      </c>
      <c r="AD105" s="54">
        <v>11</v>
      </c>
      <c r="AE105" s="54">
        <v>3</v>
      </c>
      <c r="AF105" s="54">
        <v>8</v>
      </c>
      <c r="AG105" s="5">
        <f t="shared" si="17"/>
        <v>220</v>
      </c>
    </row>
    <row r="106" spans="1:33" ht="15.75" customHeight="1" x14ac:dyDescent="0.25">
      <c r="A106" s="78" t="s">
        <v>55</v>
      </c>
      <c r="B106" s="54">
        <v>4</v>
      </c>
      <c r="C106" s="54">
        <v>5</v>
      </c>
      <c r="D106" s="54">
        <v>2</v>
      </c>
      <c r="E106" s="54">
        <v>2</v>
      </c>
      <c r="F106" s="54">
        <v>3</v>
      </c>
      <c r="G106" s="54">
        <v>9</v>
      </c>
      <c r="H106" s="54">
        <v>9</v>
      </c>
      <c r="I106" s="54">
        <v>8</v>
      </c>
      <c r="J106" s="54">
        <v>9</v>
      </c>
      <c r="K106" s="54">
        <v>3</v>
      </c>
      <c r="L106" s="54">
        <v>8</v>
      </c>
      <c r="M106" s="54">
        <v>7</v>
      </c>
      <c r="N106" s="54">
        <v>11</v>
      </c>
      <c r="O106" s="54">
        <v>7</v>
      </c>
      <c r="P106" s="54">
        <v>8</v>
      </c>
      <c r="Q106" s="54">
        <v>10</v>
      </c>
      <c r="R106" s="54">
        <v>5</v>
      </c>
      <c r="S106" s="54">
        <v>8</v>
      </c>
      <c r="T106" s="54">
        <v>7</v>
      </c>
      <c r="U106" s="54">
        <v>10</v>
      </c>
      <c r="V106" s="54">
        <v>7</v>
      </c>
      <c r="W106" s="54">
        <v>7</v>
      </c>
      <c r="X106" s="54">
        <v>3</v>
      </c>
      <c r="Y106" s="54">
        <v>8</v>
      </c>
      <c r="Z106" s="54">
        <v>4</v>
      </c>
      <c r="AA106" s="54">
        <v>8</v>
      </c>
      <c r="AB106" s="54">
        <v>2</v>
      </c>
      <c r="AC106" s="54">
        <v>9</v>
      </c>
      <c r="AD106" s="54">
        <v>7</v>
      </c>
      <c r="AE106" s="54">
        <v>5</v>
      </c>
      <c r="AF106" s="54">
        <v>3</v>
      </c>
      <c r="AG106" s="5">
        <f t="shared" si="17"/>
        <v>198</v>
      </c>
    </row>
    <row r="107" spans="1:33" ht="15.75" customHeight="1" x14ac:dyDescent="0.25">
      <c r="A107" s="78" t="s">
        <v>56</v>
      </c>
      <c r="B107" s="54">
        <v>7</v>
      </c>
      <c r="C107" s="54">
        <v>8</v>
      </c>
      <c r="D107" s="54">
        <v>4</v>
      </c>
      <c r="E107" s="54">
        <v>7</v>
      </c>
      <c r="F107" s="54">
        <v>5</v>
      </c>
      <c r="G107" s="54">
        <v>13</v>
      </c>
      <c r="H107" s="54">
        <v>4</v>
      </c>
      <c r="I107" s="54">
        <v>6</v>
      </c>
      <c r="J107" s="54">
        <v>8</v>
      </c>
      <c r="K107" s="54">
        <v>8</v>
      </c>
      <c r="L107" s="54">
        <v>8</v>
      </c>
      <c r="M107" s="54">
        <v>7</v>
      </c>
      <c r="N107" s="54">
        <v>15</v>
      </c>
      <c r="O107" s="54">
        <v>13</v>
      </c>
      <c r="P107" s="54">
        <v>3</v>
      </c>
      <c r="Q107" s="54">
        <v>10</v>
      </c>
      <c r="R107" s="54">
        <v>7</v>
      </c>
      <c r="S107" s="54">
        <v>8</v>
      </c>
      <c r="T107" s="54">
        <v>9</v>
      </c>
      <c r="U107" s="54">
        <v>11</v>
      </c>
      <c r="V107" s="54">
        <v>18</v>
      </c>
      <c r="W107" s="54">
        <v>8</v>
      </c>
      <c r="X107" s="54">
        <v>7</v>
      </c>
      <c r="Y107" s="54">
        <v>8</v>
      </c>
      <c r="Z107" s="54">
        <v>6</v>
      </c>
      <c r="AA107" s="54">
        <v>8</v>
      </c>
      <c r="AB107" s="54">
        <v>8</v>
      </c>
      <c r="AC107" s="54">
        <v>6</v>
      </c>
      <c r="AD107" s="54">
        <v>7</v>
      </c>
      <c r="AE107" s="54">
        <v>9</v>
      </c>
      <c r="AF107" s="54">
        <v>6</v>
      </c>
      <c r="AG107" s="5">
        <f t="shared" si="17"/>
        <v>252</v>
      </c>
    </row>
    <row r="108" spans="1:33" ht="15.75" customHeight="1" x14ac:dyDescent="0.25">
      <c r="A108" s="78" t="s">
        <v>57</v>
      </c>
      <c r="B108" s="54">
        <v>5</v>
      </c>
      <c r="C108" s="54">
        <v>6</v>
      </c>
      <c r="D108" s="54">
        <v>5</v>
      </c>
      <c r="E108" s="54">
        <v>6</v>
      </c>
      <c r="F108" s="54">
        <v>9</v>
      </c>
      <c r="G108" s="54">
        <v>13</v>
      </c>
      <c r="H108" s="54">
        <v>11</v>
      </c>
      <c r="I108" s="54">
        <v>6</v>
      </c>
      <c r="J108" s="54">
        <v>10</v>
      </c>
      <c r="K108" s="54">
        <v>8</v>
      </c>
      <c r="L108" s="54">
        <v>10</v>
      </c>
      <c r="M108" s="54">
        <v>4</v>
      </c>
      <c r="N108" s="54">
        <v>10</v>
      </c>
      <c r="O108" s="54">
        <v>10</v>
      </c>
      <c r="P108" s="54">
        <v>6</v>
      </c>
      <c r="Q108" s="54">
        <v>13</v>
      </c>
      <c r="R108" s="54">
        <v>5</v>
      </c>
      <c r="S108" s="54">
        <v>5</v>
      </c>
      <c r="T108" s="54">
        <v>4</v>
      </c>
      <c r="U108" s="54">
        <v>15</v>
      </c>
      <c r="V108" s="54">
        <v>12</v>
      </c>
      <c r="W108" s="54">
        <v>13</v>
      </c>
      <c r="X108" s="54">
        <v>9</v>
      </c>
      <c r="Y108" s="54">
        <v>6</v>
      </c>
      <c r="Z108" s="54">
        <v>10</v>
      </c>
      <c r="AA108" s="54">
        <v>9</v>
      </c>
      <c r="AB108" s="54">
        <v>15</v>
      </c>
      <c r="AC108" s="54">
        <v>14</v>
      </c>
      <c r="AD108" s="54">
        <v>4</v>
      </c>
      <c r="AE108" s="54">
        <v>9</v>
      </c>
      <c r="AF108" s="54">
        <v>6</v>
      </c>
      <c r="AG108" s="5">
        <f t="shared" si="17"/>
        <v>268</v>
      </c>
    </row>
    <row r="109" spans="1:33" ht="15.75" customHeight="1" x14ac:dyDescent="0.25">
      <c r="A109" s="78" t="s">
        <v>58</v>
      </c>
      <c r="B109" s="54">
        <v>7</v>
      </c>
      <c r="C109" s="54">
        <v>12</v>
      </c>
      <c r="D109" s="54">
        <v>10</v>
      </c>
      <c r="E109" s="54">
        <v>8</v>
      </c>
      <c r="F109" s="54">
        <v>6</v>
      </c>
      <c r="G109" s="54">
        <v>9</v>
      </c>
      <c r="H109" s="54">
        <v>10</v>
      </c>
      <c r="I109" s="54">
        <v>8</v>
      </c>
      <c r="J109" s="54">
        <v>6</v>
      </c>
      <c r="K109" s="54">
        <v>6</v>
      </c>
      <c r="L109" s="54">
        <v>5</v>
      </c>
      <c r="M109" s="54">
        <v>6</v>
      </c>
      <c r="N109" s="54">
        <v>13</v>
      </c>
      <c r="O109" s="54">
        <v>6</v>
      </c>
      <c r="P109" s="54">
        <v>7</v>
      </c>
      <c r="Q109" s="54">
        <v>19</v>
      </c>
      <c r="R109" s="54">
        <v>11</v>
      </c>
      <c r="S109" s="54">
        <v>9</v>
      </c>
      <c r="T109" s="54">
        <v>6</v>
      </c>
      <c r="U109" s="54">
        <v>10</v>
      </c>
      <c r="V109" s="54">
        <v>7</v>
      </c>
      <c r="W109" s="54">
        <v>9</v>
      </c>
      <c r="X109" s="54">
        <v>7</v>
      </c>
      <c r="Y109" s="54">
        <v>6</v>
      </c>
      <c r="Z109" s="54">
        <v>7</v>
      </c>
      <c r="AA109" s="54">
        <v>6</v>
      </c>
      <c r="AB109" s="54">
        <v>16</v>
      </c>
      <c r="AC109" s="54">
        <v>15</v>
      </c>
      <c r="AD109" s="54">
        <v>7</v>
      </c>
      <c r="AE109" s="54">
        <v>9</v>
      </c>
      <c r="AF109" s="54">
        <v>9</v>
      </c>
      <c r="AG109" s="5">
        <f t="shared" si="17"/>
        <v>272</v>
      </c>
    </row>
    <row r="110" spans="1:33" ht="15.75" customHeight="1" x14ac:dyDescent="0.25">
      <c r="A110" s="78" t="s">
        <v>59</v>
      </c>
      <c r="B110" s="54">
        <v>5</v>
      </c>
      <c r="C110" s="54">
        <v>6</v>
      </c>
      <c r="D110" s="54">
        <v>5</v>
      </c>
      <c r="E110" s="54">
        <v>6</v>
      </c>
      <c r="F110" s="54">
        <v>7</v>
      </c>
      <c r="G110" s="54">
        <v>9</v>
      </c>
      <c r="H110" s="54">
        <v>10</v>
      </c>
      <c r="I110" s="54">
        <v>11</v>
      </c>
      <c r="J110" s="54">
        <v>10</v>
      </c>
      <c r="K110" s="54">
        <v>5</v>
      </c>
      <c r="L110" s="54">
        <v>4</v>
      </c>
      <c r="M110" s="54">
        <v>11</v>
      </c>
      <c r="N110" s="54">
        <v>14</v>
      </c>
      <c r="O110" s="54">
        <v>11</v>
      </c>
      <c r="P110" s="54">
        <v>5</v>
      </c>
      <c r="Q110" s="54">
        <v>18</v>
      </c>
      <c r="R110" s="54">
        <v>9</v>
      </c>
      <c r="S110" s="54">
        <v>8</v>
      </c>
      <c r="T110" s="54">
        <v>6</v>
      </c>
      <c r="U110" s="54">
        <v>15</v>
      </c>
      <c r="V110" s="54">
        <v>7</v>
      </c>
      <c r="W110" s="54">
        <v>6</v>
      </c>
      <c r="X110" s="54">
        <v>8</v>
      </c>
      <c r="Y110" s="54">
        <v>5</v>
      </c>
      <c r="Z110" s="54">
        <v>5</v>
      </c>
      <c r="AA110" s="54">
        <v>11</v>
      </c>
      <c r="AB110" s="54">
        <v>16</v>
      </c>
      <c r="AC110" s="54">
        <v>10</v>
      </c>
      <c r="AD110" s="54">
        <v>5</v>
      </c>
      <c r="AE110" s="54">
        <v>4</v>
      </c>
      <c r="AF110" s="54">
        <v>4</v>
      </c>
      <c r="AG110" s="5">
        <f t="shared" si="17"/>
        <v>256</v>
      </c>
    </row>
    <row r="111" spans="1:33" ht="15.75" customHeight="1" x14ac:dyDescent="0.25">
      <c r="A111" s="78" t="s">
        <v>60</v>
      </c>
      <c r="B111" s="54">
        <v>10</v>
      </c>
      <c r="C111" s="54">
        <v>5</v>
      </c>
      <c r="D111" s="54">
        <v>3</v>
      </c>
      <c r="E111" s="54">
        <v>5</v>
      </c>
      <c r="F111" s="54">
        <v>5</v>
      </c>
      <c r="G111" s="54">
        <v>13</v>
      </c>
      <c r="H111" s="54">
        <v>10</v>
      </c>
      <c r="I111" s="54">
        <v>10</v>
      </c>
      <c r="J111" s="54">
        <v>7</v>
      </c>
      <c r="K111" s="54">
        <v>6</v>
      </c>
      <c r="L111" s="54">
        <v>7</v>
      </c>
      <c r="M111" s="54">
        <v>4</v>
      </c>
      <c r="N111" s="54">
        <v>11</v>
      </c>
      <c r="O111" s="54">
        <v>7</v>
      </c>
      <c r="P111" s="54">
        <v>9</v>
      </c>
      <c r="Q111" s="54">
        <v>13</v>
      </c>
      <c r="R111" s="54">
        <v>8</v>
      </c>
      <c r="S111" s="54">
        <v>13</v>
      </c>
      <c r="T111" s="54">
        <v>1</v>
      </c>
      <c r="U111" s="54">
        <v>12</v>
      </c>
      <c r="V111" s="54">
        <v>9</v>
      </c>
      <c r="W111" s="54">
        <v>5</v>
      </c>
      <c r="X111" s="54">
        <v>1</v>
      </c>
      <c r="Y111" s="54">
        <v>6</v>
      </c>
      <c r="Z111" s="54">
        <v>5</v>
      </c>
      <c r="AA111" s="54">
        <v>9</v>
      </c>
      <c r="AB111" s="54">
        <v>8</v>
      </c>
      <c r="AC111" s="54">
        <v>9</v>
      </c>
      <c r="AD111" s="54">
        <v>9</v>
      </c>
      <c r="AE111" s="54">
        <v>7</v>
      </c>
      <c r="AF111" s="54">
        <v>5</v>
      </c>
      <c r="AG111" s="5">
        <f t="shared" si="17"/>
        <v>232</v>
      </c>
    </row>
    <row r="112" spans="1:33" ht="15.75" customHeight="1" x14ac:dyDescent="0.25">
      <c r="A112" s="78" t="s">
        <v>61</v>
      </c>
      <c r="B112" s="54">
        <v>4</v>
      </c>
      <c r="C112" s="54">
        <v>6</v>
      </c>
      <c r="D112" s="54">
        <v>2</v>
      </c>
      <c r="E112" s="54">
        <v>5</v>
      </c>
      <c r="F112" s="54">
        <v>2</v>
      </c>
      <c r="G112" s="54">
        <v>10</v>
      </c>
      <c r="H112" s="54">
        <v>10</v>
      </c>
      <c r="I112" s="54">
        <v>2</v>
      </c>
      <c r="J112" s="54">
        <v>2</v>
      </c>
      <c r="K112" s="54">
        <v>4</v>
      </c>
      <c r="L112" s="54">
        <v>4</v>
      </c>
      <c r="M112" s="54">
        <v>3</v>
      </c>
      <c r="N112" s="54">
        <v>14</v>
      </c>
      <c r="O112" s="54">
        <v>3</v>
      </c>
      <c r="P112" s="54">
        <v>2</v>
      </c>
      <c r="Q112" s="54">
        <v>8</v>
      </c>
      <c r="R112" s="54">
        <v>5</v>
      </c>
      <c r="S112" s="54">
        <v>3</v>
      </c>
      <c r="T112" s="54">
        <v>5</v>
      </c>
      <c r="U112" s="54">
        <v>8</v>
      </c>
      <c r="V112" s="54">
        <v>6</v>
      </c>
      <c r="W112" s="54">
        <v>10</v>
      </c>
      <c r="X112" s="54">
        <v>3</v>
      </c>
      <c r="Y112" s="54">
        <v>3</v>
      </c>
      <c r="Z112" s="54">
        <v>5</v>
      </c>
      <c r="AA112" s="54">
        <v>4</v>
      </c>
      <c r="AB112" s="54">
        <v>8</v>
      </c>
      <c r="AC112" s="54">
        <v>10</v>
      </c>
      <c r="AD112" s="54">
        <v>3</v>
      </c>
      <c r="AE112" s="54">
        <v>2</v>
      </c>
      <c r="AF112" s="54">
        <v>6</v>
      </c>
      <c r="AG112" s="5">
        <f t="shared" si="17"/>
        <v>162</v>
      </c>
    </row>
    <row r="113" spans="1:37" ht="15.75" customHeight="1" x14ac:dyDescent="0.25">
      <c r="A113" s="78" t="s">
        <v>62</v>
      </c>
      <c r="B113" s="54">
        <v>3</v>
      </c>
      <c r="C113" s="54">
        <v>6</v>
      </c>
      <c r="D113" s="54">
        <v>6</v>
      </c>
      <c r="E113" s="54">
        <v>3</v>
      </c>
      <c r="F113" s="54">
        <v>1</v>
      </c>
      <c r="G113" s="54">
        <v>5</v>
      </c>
      <c r="H113" s="54">
        <v>1</v>
      </c>
      <c r="I113" s="54">
        <v>3</v>
      </c>
      <c r="J113" s="54">
        <v>2</v>
      </c>
      <c r="K113" s="54">
        <v>4</v>
      </c>
      <c r="L113" s="54">
        <v>2</v>
      </c>
      <c r="M113" s="54">
        <v>1</v>
      </c>
      <c r="N113" s="54">
        <v>1</v>
      </c>
      <c r="O113" s="54">
        <v>5</v>
      </c>
      <c r="P113" s="54">
        <v>2</v>
      </c>
      <c r="Q113" s="54">
        <v>3</v>
      </c>
      <c r="R113" s="54">
        <v>2</v>
      </c>
      <c r="S113" s="54">
        <v>3</v>
      </c>
      <c r="T113" s="54">
        <v>4</v>
      </c>
      <c r="U113" s="54">
        <v>4</v>
      </c>
      <c r="V113" s="54">
        <v>8</v>
      </c>
      <c r="W113" s="54">
        <v>6</v>
      </c>
      <c r="X113" s="54">
        <v>2</v>
      </c>
      <c r="Y113" s="54">
        <v>2</v>
      </c>
      <c r="Z113" s="54">
        <v>4</v>
      </c>
      <c r="AA113" s="54">
        <v>4</v>
      </c>
      <c r="AB113" s="54">
        <v>9</v>
      </c>
      <c r="AC113" s="54">
        <v>1</v>
      </c>
      <c r="AD113" s="54">
        <v>3</v>
      </c>
      <c r="AE113" s="54">
        <v>2</v>
      </c>
      <c r="AF113" s="54">
        <v>5</v>
      </c>
      <c r="AG113" s="5">
        <f t="shared" si="17"/>
        <v>107</v>
      </c>
    </row>
    <row r="114" spans="1:37" ht="15.75" customHeight="1" x14ac:dyDescent="0.25">
      <c r="A114" s="78" t="s">
        <v>63</v>
      </c>
      <c r="B114" s="54">
        <v>4</v>
      </c>
      <c r="C114" s="54">
        <v>0</v>
      </c>
      <c r="D114" s="54">
        <v>3</v>
      </c>
      <c r="E114" s="54">
        <v>3</v>
      </c>
      <c r="F114" s="54">
        <v>5</v>
      </c>
      <c r="G114" s="54">
        <v>1</v>
      </c>
      <c r="H114" s="54">
        <v>4</v>
      </c>
      <c r="I114" s="54">
        <v>3</v>
      </c>
      <c r="J114" s="54">
        <v>4</v>
      </c>
      <c r="K114" s="54">
        <v>2</v>
      </c>
      <c r="L114" s="54">
        <v>4</v>
      </c>
      <c r="M114" s="54">
        <v>2</v>
      </c>
      <c r="N114" s="54">
        <v>3</v>
      </c>
      <c r="O114" s="54">
        <v>4</v>
      </c>
      <c r="P114" s="54">
        <v>3</v>
      </c>
      <c r="Q114" s="54">
        <v>7</v>
      </c>
      <c r="R114" s="54">
        <v>8</v>
      </c>
      <c r="S114" s="54">
        <v>4</v>
      </c>
      <c r="T114" s="54">
        <v>5</v>
      </c>
      <c r="U114" s="54">
        <v>6</v>
      </c>
      <c r="V114" s="54">
        <v>8</v>
      </c>
      <c r="W114" s="54">
        <v>3</v>
      </c>
      <c r="X114" s="54">
        <v>4</v>
      </c>
      <c r="Y114" s="54">
        <v>2</v>
      </c>
      <c r="Z114" s="54">
        <v>9</v>
      </c>
      <c r="AA114" s="54">
        <v>7</v>
      </c>
      <c r="AB114" s="54">
        <v>6</v>
      </c>
      <c r="AC114" s="54">
        <v>11</v>
      </c>
      <c r="AD114" s="54">
        <v>5</v>
      </c>
      <c r="AE114" s="54">
        <v>5</v>
      </c>
      <c r="AF114" s="54">
        <v>4</v>
      </c>
      <c r="AG114" s="5">
        <f t="shared" si="17"/>
        <v>139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19</v>
      </c>
      <c r="C116" s="20">
        <f t="shared" si="19"/>
        <v>21</v>
      </c>
      <c r="D116" s="20">
        <f t="shared" si="19"/>
        <v>21</v>
      </c>
      <c r="E116" s="20">
        <f t="shared" si="19"/>
        <v>23</v>
      </c>
      <c r="F116" s="20">
        <f t="shared" si="19"/>
        <v>17</v>
      </c>
      <c r="G116" s="20">
        <f t="shared" si="19"/>
        <v>34</v>
      </c>
      <c r="H116" s="20">
        <f t="shared" si="19"/>
        <v>31</v>
      </c>
      <c r="I116" s="20">
        <f t="shared" si="19"/>
        <v>22</v>
      </c>
      <c r="J116" s="20">
        <f t="shared" si="19"/>
        <v>21</v>
      </c>
      <c r="K116" s="20">
        <f t="shared" si="19"/>
        <v>28</v>
      </c>
      <c r="L116" s="20">
        <f t="shared" si="19"/>
        <v>23</v>
      </c>
      <c r="M116" s="20">
        <f t="shared" si="19"/>
        <v>24</v>
      </c>
      <c r="N116" s="20">
        <f t="shared" si="19"/>
        <v>31</v>
      </c>
      <c r="O116" s="20">
        <f t="shared" si="19"/>
        <v>24</v>
      </c>
      <c r="P116" s="20">
        <f t="shared" si="19"/>
        <v>15</v>
      </c>
      <c r="Q116" s="20">
        <f t="shared" si="19"/>
        <v>37</v>
      </c>
      <c r="R116" s="20">
        <f t="shared" si="19"/>
        <v>18</v>
      </c>
      <c r="S116" s="20">
        <f t="shared" si="19"/>
        <v>24</v>
      </c>
      <c r="T116" s="20">
        <f t="shared" si="19"/>
        <v>16</v>
      </c>
      <c r="U116" s="20">
        <f t="shared" si="19"/>
        <v>39</v>
      </c>
      <c r="V116" s="20">
        <f t="shared" si="19"/>
        <v>42</v>
      </c>
      <c r="W116" s="20">
        <f t="shared" si="19"/>
        <v>30</v>
      </c>
      <c r="X116" s="20">
        <f t="shared" si="19"/>
        <v>21</v>
      </c>
      <c r="Y116" s="20">
        <f t="shared" si="19"/>
        <v>18</v>
      </c>
      <c r="Z116" s="20">
        <f t="shared" si="19"/>
        <v>26</v>
      </c>
      <c r="AA116" s="20">
        <f t="shared" si="19"/>
        <v>21</v>
      </c>
      <c r="AB116" s="20">
        <f t="shared" si="19"/>
        <v>35</v>
      </c>
      <c r="AC116" s="20">
        <f t="shared" si="19"/>
        <v>46</v>
      </c>
      <c r="AD116" s="20">
        <f t="shared" si="19"/>
        <v>34</v>
      </c>
      <c r="AE116" s="20">
        <f t="shared" si="19"/>
        <v>18</v>
      </c>
      <c r="AF116" s="20">
        <f t="shared" si="19"/>
        <v>18</v>
      </c>
      <c r="AG116" s="5">
        <f t="shared" si="17"/>
        <v>797</v>
      </c>
      <c r="AK116" s="84">
        <v>612</v>
      </c>
    </row>
    <row r="117" spans="1:37" ht="15.75" customHeight="1" x14ac:dyDescent="0.25">
      <c r="A117" s="85" t="s">
        <v>65</v>
      </c>
      <c r="B117" s="54">
        <v>19</v>
      </c>
      <c r="C117" s="54">
        <v>21</v>
      </c>
      <c r="D117" s="54">
        <v>21</v>
      </c>
      <c r="E117" s="54">
        <v>22</v>
      </c>
      <c r="F117" s="54">
        <v>16</v>
      </c>
      <c r="G117" s="54">
        <v>32</v>
      </c>
      <c r="H117" s="54">
        <v>28</v>
      </c>
      <c r="I117" s="54">
        <v>22</v>
      </c>
      <c r="J117" s="54">
        <v>19</v>
      </c>
      <c r="K117" s="54">
        <v>27</v>
      </c>
      <c r="L117" s="54">
        <v>23</v>
      </c>
      <c r="M117" s="54">
        <v>23</v>
      </c>
      <c r="N117" s="54">
        <v>30</v>
      </c>
      <c r="O117" s="54">
        <v>23</v>
      </c>
      <c r="P117" s="54">
        <v>15</v>
      </c>
      <c r="Q117" s="54">
        <v>37</v>
      </c>
      <c r="R117" s="54">
        <v>18</v>
      </c>
      <c r="S117" s="54">
        <v>23</v>
      </c>
      <c r="T117" s="54">
        <v>16</v>
      </c>
      <c r="U117" s="54">
        <v>39</v>
      </c>
      <c r="V117" s="54">
        <v>40</v>
      </c>
      <c r="W117" s="54">
        <v>30</v>
      </c>
      <c r="X117" s="54">
        <v>20</v>
      </c>
      <c r="Y117" s="54">
        <v>17</v>
      </c>
      <c r="Z117" s="54">
        <v>23</v>
      </c>
      <c r="AA117" s="54">
        <v>21</v>
      </c>
      <c r="AB117" s="54">
        <v>35</v>
      </c>
      <c r="AC117" s="54">
        <v>44</v>
      </c>
      <c r="AD117" s="54">
        <v>34</v>
      </c>
      <c r="AE117" s="54">
        <v>17</v>
      </c>
      <c r="AF117" s="54">
        <v>17</v>
      </c>
      <c r="AG117" s="5">
        <f t="shared" si="17"/>
        <v>772</v>
      </c>
      <c r="AK117" s="84">
        <v>613</v>
      </c>
    </row>
    <row r="118" spans="1:37" ht="15.75" customHeight="1" thickBot="1" x14ac:dyDescent="0.3">
      <c r="A118" s="86" t="s">
        <v>77</v>
      </c>
      <c r="B118" s="87">
        <v>0</v>
      </c>
      <c r="C118" s="87">
        <v>0</v>
      </c>
      <c r="D118" s="87">
        <v>0</v>
      </c>
      <c r="E118" s="87">
        <v>1</v>
      </c>
      <c r="F118" s="87">
        <v>1</v>
      </c>
      <c r="G118" s="87">
        <v>2</v>
      </c>
      <c r="H118" s="87">
        <v>3</v>
      </c>
      <c r="I118" s="87">
        <v>0</v>
      </c>
      <c r="J118" s="87">
        <v>2</v>
      </c>
      <c r="K118" s="87">
        <v>1</v>
      </c>
      <c r="L118" s="87">
        <v>0</v>
      </c>
      <c r="M118" s="87">
        <v>1</v>
      </c>
      <c r="N118" s="87">
        <v>1</v>
      </c>
      <c r="O118" s="87">
        <v>1</v>
      </c>
      <c r="P118" s="87">
        <v>0</v>
      </c>
      <c r="Q118" s="87">
        <v>0</v>
      </c>
      <c r="R118" s="87">
        <v>0</v>
      </c>
      <c r="S118" s="87">
        <v>1</v>
      </c>
      <c r="T118" s="87">
        <v>0</v>
      </c>
      <c r="U118" s="87">
        <v>0</v>
      </c>
      <c r="V118" s="87">
        <v>2</v>
      </c>
      <c r="W118" s="87">
        <v>0</v>
      </c>
      <c r="X118" s="87">
        <v>1</v>
      </c>
      <c r="Y118" s="87">
        <v>1</v>
      </c>
      <c r="Z118" s="87">
        <v>3</v>
      </c>
      <c r="AA118" s="87">
        <v>0</v>
      </c>
      <c r="AB118" s="87">
        <v>0</v>
      </c>
      <c r="AC118" s="87">
        <v>2</v>
      </c>
      <c r="AD118" s="87">
        <v>0</v>
      </c>
      <c r="AE118" s="87">
        <v>1</v>
      </c>
      <c r="AF118" s="87">
        <v>1</v>
      </c>
      <c r="AG118" s="5">
        <f t="shared" si="17"/>
        <v>25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92</v>
      </c>
      <c r="C119" s="20">
        <f t="shared" si="20"/>
        <v>100</v>
      </c>
      <c r="D119" s="20">
        <f t="shared" si="20"/>
        <v>99</v>
      </c>
      <c r="E119" s="20">
        <f t="shared" si="20"/>
        <v>84</v>
      </c>
      <c r="F119" s="20">
        <f t="shared" si="20"/>
        <v>83</v>
      </c>
      <c r="G119" s="20">
        <f t="shared" si="20"/>
        <v>143</v>
      </c>
      <c r="H119" s="20">
        <f t="shared" si="20"/>
        <v>140</v>
      </c>
      <c r="I119" s="20">
        <f t="shared" si="20"/>
        <v>98</v>
      </c>
      <c r="J119" s="20">
        <f t="shared" si="20"/>
        <v>99</v>
      </c>
      <c r="K119" s="20">
        <f t="shared" si="20"/>
        <v>105</v>
      </c>
      <c r="L119" s="20">
        <f t="shared" si="20"/>
        <v>89</v>
      </c>
      <c r="M119" s="20">
        <f t="shared" si="20"/>
        <v>84</v>
      </c>
      <c r="N119" s="20">
        <f t="shared" si="20"/>
        <v>154</v>
      </c>
      <c r="O119" s="20">
        <f t="shared" si="20"/>
        <v>128</v>
      </c>
      <c r="P119" s="20">
        <f t="shared" si="20"/>
        <v>90</v>
      </c>
      <c r="Q119" s="20">
        <f t="shared" si="20"/>
        <v>189</v>
      </c>
      <c r="R119" s="20">
        <f t="shared" si="20"/>
        <v>112</v>
      </c>
      <c r="S119" s="20">
        <f t="shared" si="20"/>
        <v>113</v>
      </c>
      <c r="T119" s="20">
        <f t="shared" si="20"/>
        <v>102</v>
      </c>
      <c r="U119" s="20">
        <f t="shared" si="20"/>
        <v>156</v>
      </c>
      <c r="V119" s="20">
        <f t="shared" si="20"/>
        <v>176</v>
      </c>
      <c r="W119" s="20">
        <f t="shared" si="20"/>
        <v>138</v>
      </c>
      <c r="X119" s="20">
        <f t="shared" si="20"/>
        <v>111</v>
      </c>
      <c r="Y119" s="20">
        <f t="shared" si="20"/>
        <v>120</v>
      </c>
      <c r="Z119" s="20">
        <f t="shared" si="20"/>
        <v>117</v>
      </c>
      <c r="AA119" s="20">
        <f t="shared" si="20"/>
        <v>109</v>
      </c>
      <c r="AB119" s="20">
        <f t="shared" si="20"/>
        <v>165</v>
      </c>
      <c r="AC119" s="20">
        <f t="shared" si="20"/>
        <v>163</v>
      </c>
      <c r="AD119" s="20">
        <f t="shared" si="20"/>
        <v>135</v>
      </c>
      <c r="AE119" s="20">
        <f t="shared" si="20"/>
        <v>113</v>
      </c>
      <c r="AF119" s="20">
        <f t="shared" si="20"/>
        <v>98</v>
      </c>
      <c r="AG119" s="7">
        <f t="shared" si="17"/>
        <v>3705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18</v>
      </c>
      <c r="C120" s="54">
        <v>21</v>
      </c>
      <c r="D120" s="54">
        <v>20</v>
      </c>
      <c r="E120" s="54">
        <v>19</v>
      </c>
      <c r="F120" s="54">
        <v>16</v>
      </c>
      <c r="G120" s="54">
        <v>32</v>
      </c>
      <c r="H120" s="54">
        <v>27</v>
      </c>
      <c r="I120" s="54">
        <v>21</v>
      </c>
      <c r="J120" s="54">
        <v>17</v>
      </c>
      <c r="K120" s="54">
        <v>27</v>
      </c>
      <c r="L120" s="54">
        <v>22</v>
      </c>
      <c r="M120" s="54">
        <v>23</v>
      </c>
      <c r="N120" s="54">
        <v>29</v>
      </c>
      <c r="O120" s="54">
        <v>23</v>
      </c>
      <c r="P120" s="54">
        <v>15</v>
      </c>
      <c r="Q120" s="54">
        <v>37</v>
      </c>
      <c r="R120" s="54">
        <v>16</v>
      </c>
      <c r="S120" s="54">
        <v>21</v>
      </c>
      <c r="T120" s="54">
        <v>15</v>
      </c>
      <c r="U120" s="54">
        <v>39</v>
      </c>
      <c r="V120" s="54">
        <v>40</v>
      </c>
      <c r="W120" s="54">
        <v>30</v>
      </c>
      <c r="X120" s="54">
        <v>20</v>
      </c>
      <c r="Y120" s="54">
        <v>17</v>
      </c>
      <c r="Z120" s="54">
        <v>21</v>
      </c>
      <c r="AA120" s="54">
        <v>20</v>
      </c>
      <c r="AB120" s="54">
        <v>34</v>
      </c>
      <c r="AC120" s="54">
        <v>43</v>
      </c>
      <c r="AD120" s="54">
        <v>31</v>
      </c>
      <c r="AE120" s="54">
        <v>17</v>
      </c>
      <c r="AF120" s="54">
        <v>16</v>
      </c>
      <c r="AG120" s="5">
        <f t="shared" si="17"/>
        <v>747</v>
      </c>
      <c r="AK120" s="88" t="s">
        <v>131</v>
      </c>
    </row>
    <row r="121" spans="1:37" ht="15.75" customHeight="1" x14ac:dyDescent="0.25">
      <c r="A121" s="85" t="s">
        <v>66</v>
      </c>
      <c r="B121" s="54">
        <v>3</v>
      </c>
      <c r="C121" s="54">
        <v>1</v>
      </c>
      <c r="D121" s="54">
        <v>4</v>
      </c>
      <c r="E121" s="54">
        <v>4</v>
      </c>
      <c r="F121" s="54">
        <v>1</v>
      </c>
      <c r="G121" s="54">
        <v>3</v>
      </c>
      <c r="H121" s="54">
        <v>7</v>
      </c>
      <c r="I121" s="54">
        <v>2</v>
      </c>
      <c r="J121" s="54">
        <v>2</v>
      </c>
      <c r="K121" s="54">
        <v>8</v>
      </c>
      <c r="L121" s="54">
        <v>3</v>
      </c>
      <c r="M121" s="54">
        <v>2</v>
      </c>
      <c r="N121" s="54">
        <v>4</v>
      </c>
      <c r="O121" s="54">
        <v>3</v>
      </c>
      <c r="P121" s="54">
        <v>3</v>
      </c>
      <c r="Q121" s="54">
        <v>3</v>
      </c>
      <c r="R121" s="54">
        <v>3</v>
      </c>
      <c r="S121" s="54">
        <v>2</v>
      </c>
      <c r="T121" s="54">
        <v>1</v>
      </c>
      <c r="U121" s="54">
        <v>3</v>
      </c>
      <c r="V121" s="54">
        <v>6</v>
      </c>
      <c r="W121" s="54">
        <v>5</v>
      </c>
      <c r="X121" s="54">
        <v>4</v>
      </c>
      <c r="Y121" s="54">
        <v>5</v>
      </c>
      <c r="Z121" s="54">
        <v>0</v>
      </c>
      <c r="AA121" s="54">
        <v>0</v>
      </c>
      <c r="AB121" s="54">
        <v>8</v>
      </c>
      <c r="AC121" s="54">
        <v>2</v>
      </c>
      <c r="AD121" s="54">
        <v>4</v>
      </c>
      <c r="AE121" s="54">
        <v>1</v>
      </c>
      <c r="AF121" s="54">
        <v>2</v>
      </c>
      <c r="AG121" s="5">
        <f t="shared" si="17"/>
        <v>99</v>
      </c>
      <c r="AK121" s="84" t="s">
        <v>132</v>
      </c>
    </row>
    <row r="122" spans="1:37" ht="15.75" customHeight="1" x14ac:dyDescent="0.25">
      <c r="A122" s="85" t="s">
        <v>67</v>
      </c>
      <c r="B122" s="54">
        <v>4</v>
      </c>
      <c r="C122" s="54">
        <v>2</v>
      </c>
      <c r="D122" s="54">
        <v>10</v>
      </c>
      <c r="E122" s="54">
        <v>5</v>
      </c>
      <c r="F122" s="54">
        <v>3</v>
      </c>
      <c r="G122" s="54">
        <v>6</v>
      </c>
      <c r="H122" s="54">
        <v>7</v>
      </c>
      <c r="I122" s="54">
        <v>5</v>
      </c>
      <c r="J122" s="54">
        <v>9</v>
      </c>
      <c r="K122" s="54">
        <v>3</v>
      </c>
      <c r="L122" s="54">
        <v>2</v>
      </c>
      <c r="M122" s="54">
        <v>2</v>
      </c>
      <c r="N122" s="54">
        <v>7</v>
      </c>
      <c r="O122" s="54">
        <v>9</v>
      </c>
      <c r="P122" s="54">
        <v>2</v>
      </c>
      <c r="Q122" s="54">
        <v>13</v>
      </c>
      <c r="R122" s="54">
        <v>2</v>
      </c>
      <c r="S122" s="54">
        <v>2</v>
      </c>
      <c r="T122" s="54">
        <v>2</v>
      </c>
      <c r="U122" s="54">
        <v>8</v>
      </c>
      <c r="V122" s="54">
        <v>7</v>
      </c>
      <c r="W122" s="54">
        <v>3</v>
      </c>
      <c r="X122" s="54">
        <v>2</v>
      </c>
      <c r="Y122" s="54">
        <v>6</v>
      </c>
      <c r="Z122" s="54">
        <v>3</v>
      </c>
      <c r="AA122" s="54">
        <v>4</v>
      </c>
      <c r="AB122" s="54">
        <v>8</v>
      </c>
      <c r="AC122" s="54">
        <v>10</v>
      </c>
      <c r="AD122" s="54">
        <v>7</v>
      </c>
      <c r="AE122" s="54">
        <v>6</v>
      </c>
      <c r="AF122" s="54">
        <v>8</v>
      </c>
      <c r="AG122" s="5">
        <f t="shared" si="17"/>
        <v>167</v>
      </c>
      <c r="AK122" s="88" t="s">
        <v>133</v>
      </c>
    </row>
    <row r="123" spans="1:37" ht="15.75" customHeight="1" x14ac:dyDescent="0.25">
      <c r="A123" s="85" t="s">
        <v>68</v>
      </c>
      <c r="B123" s="54">
        <v>4</v>
      </c>
      <c r="C123" s="54">
        <v>7</v>
      </c>
      <c r="D123" s="54">
        <v>4</v>
      </c>
      <c r="E123" s="54">
        <v>6</v>
      </c>
      <c r="F123" s="54">
        <v>0</v>
      </c>
      <c r="G123" s="54">
        <v>4</v>
      </c>
      <c r="H123" s="54">
        <v>13</v>
      </c>
      <c r="I123" s="54">
        <v>4</v>
      </c>
      <c r="J123" s="54">
        <v>9</v>
      </c>
      <c r="K123" s="54">
        <v>9</v>
      </c>
      <c r="L123" s="54">
        <v>3</v>
      </c>
      <c r="M123" s="54">
        <v>4</v>
      </c>
      <c r="N123" s="54">
        <v>12</v>
      </c>
      <c r="O123" s="54">
        <v>9</v>
      </c>
      <c r="P123" s="54">
        <v>6</v>
      </c>
      <c r="Q123" s="54">
        <v>4</v>
      </c>
      <c r="R123" s="54">
        <v>6</v>
      </c>
      <c r="S123" s="54">
        <v>4</v>
      </c>
      <c r="T123" s="54">
        <v>5</v>
      </c>
      <c r="U123" s="54">
        <v>2</v>
      </c>
      <c r="V123" s="54">
        <v>7</v>
      </c>
      <c r="W123" s="54">
        <v>6</v>
      </c>
      <c r="X123" s="54">
        <v>5</v>
      </c>
      <c r="Y123" s="54">
        <v>5</v>
      </c>
      <c r="Z123" s="54">
        <v>2</v>
      </c>
      <c r="AA123" s="54">
        <v>11</v>
      </c>
      <c r="AB123" s="54">
        <v>10</v>
      </c>
      <c r="AC123" s="54">
        <v>5</v>
      </c>
      <c r="AD123" s="54">
        <v>7</v>
      </c>
      <c r="AE123" s="54">
        <v>5</v>
      </c>
      <c r="AF123" s="54">
        <v>2</v>
      </c>
      <c r="AG123" s="5">
        <f t="shared" si="17"/>
        <v>180</v>
      </c>
      <c r="AK123" s="84" t="s">
        <v>134</v>
      </c>
    </row>
    <row r="124" spans="1:37" ht="15.75" customHeight="1" x14ac:dyDescent="0.25">
      <c r="A124" s="85" t="s">
        <v>69</v>
      </c>
      <c r="B124" s="54">
        <v>1</v>
      </c>
      <c r="C124" s="54">
        <v>8</v>
      </c>
      <c r="D124" s="54">
        <v>5</v>
      </c>
      <c r="E124" s="54">
        <v>6</v>
      </c>
      <c r="F124" s="54">
        <v>6</v>
      </c>
      <c r="G124" s="54">
        <v>5</v>
      </c>
      <c r="H124" s="54">
        <v>6</v>
      </c>
      <c r="I124" s="54">
        <v>1</v>
      </c>
      <c r="J124" s="54">
        <v>9</v>
      </c>
      <c r="K124" s="54">
        <v>7</v>
      </c>
      <c r="L124" s="54">
        <v>7</v>
      </c>
      <c r="M124" s="54">
        <v>6</v>
      </c>
      <c r="N124" s="54">
        <v>11</v>
      </c>
      <c r="O124" s="54">
        <v>12</v>
      </c>
      <c r="P124" s="54">
        <v>6</v>
      </c>
      <c r="Q124" s="54">
        <v>10</v>
      </c>
      <c r="R124" s="54">
        <v>2</v>
      </c>
      <c r="S124" s="54">
        <v>4</v>
      </c>
      <c r="T124" s="54">
        <v>10</v>
      </c>
      <c r="U124" s="54">
        <v>9</v>
      </c>
      <c r="V124" s="54">
        <v>16</v>
      </c>
      <c r="W124" s="54">
        <v>13</v>
      </c>
      <c r="X124" s="54">
        <v>10</v>
      </c>
      <c r="Y124" s="54">
        <v>6</v>
      </c>
      <c r="Z124" s="54">
        <v>7</v>
      </c>
      <c r="AA124" s="54">
        <v>6</v>
      </c>
      <c r="AB124" s="54">
        <v>8</v>
      </c>
      <c r="AC124" s="54">
        <v>12</v>
      </c>
      <c r="AD124" s="54">
        <v>7</v>
      </c>
      <c r="AE124" s="54">
        <v>14</v>
      </c>
      <c r="AF124" s="54">
        <v>8</v>
      </c>
      <c r="AG124" s="5">
        <f t="shared" si="17"/>
        <v>238</v>
      </c>
      <c r="AK124" s="88" t="s">
        <v>135</v>
      </c>
    </row>
    <row r="125" spans="1:37" ht="15.75" customHeight="1" x14ac:dyDescent="0.25">
      <c r="A125" s="85" t="s">
        <v>70</v>
      </c>
      <c r="B125" s="54">
        <v>50</v>
      </c>
      <c r="C125" s="54">
        <v>49</v>
      </c>
      <c r="D125" s="54">
        <v>38</v>
      </c>
      <c r="E125" s="54">
        <v>34</v>
      </c>
      <c r="F125" s="54">
        <v>46</v>
      </c>
      <c r="G125" s="54">
        <v>67</v>
      </c>
      <c r="H125" s="54">
        <v>64</v>
      </c>
      <c r="I125" s="54">
        <v>50</v>
      </c>
      <c r="J125" s="54">
        <v>43</v>
      </c>
      <c r="K125" s="54">
        <v>38</v>
      </c>
      <c r="L125" s="54">
        <v>46</v>
      </c>
      <c r="M125" s="54">
        <v>33</v>
      </c>
      <c r="N125" s="54">
        <v>65</v>
      </c>
      <c r="O125" s="54">
        <v>51</v>
      </c>
      <c r="P125" s="54">
        <v>47</v>
      </c>
      <c r="Q125" s="54">
        <v>89</v>
      </c>
      <c r="R125" s="54">
        <v>73</v>
      </c>
      <c r="S125" s="54">
        <v>53</v>
      </c>
      <c r="T125" s="54">
        <v>54</v>
      </c>
      <c r="U125" s="54">
        <v>68</v>
      </c>
      <c r="V125" s="54">
        <v>72</v>
      </c>
      <c r="W125" s="54">
        <v>61</v>
      </c>
      <c r="X125" s="54">
        <v>57</v>
      </c>
      <c r="Y125" s="54">
        <v>63</v>
      </c>
      <c r="Z125" s="54">
        <v>61</v>
      </c>
      <c r="AA125" s="54">
        <v>55</v>
      </c>
      <c r="AB125" s="54">
        <v>79</v>
      </c>
      <c r="AC125" s="54">
        <v>71</v>
      </c>
      <c r="AD125" s="54">
        <v>61</v>
      </c>
      <c r="AE125" s="54">
        <v>55</v>
      </c>
      <c r="AF125" s="54">
        <v>52</v>
      </c>
      <c r="AG125" s="5">
        <f t="shared" si="17"/>
        <v>1745</v>
      </c>
      <c r="AK125" s="88" t="s">
        <v>136</v>
      </c>
    </row>
    <row r="126" spans="1:37" ht="15.75" customHeight="1" x14ac:dyDescent="0.25">
      <c r="A126" s="85" t="s">
        <v>71</v>
      </c>
      <c r="B126" s="54">
        <v>3</v>
      </c>
      <c r="C126" s="54">
        <v>3</v>
      </c>
      <c r="D126" s="54">
        <v>4</v>
      </c>
      <c r="E126" s="54">
        <v>2</v>
      </c>
      <c r="F126" s="54">
        <v>0</v>
      </c>
      <c r="G126" s="54">
        <v>2</v>
      </c>
      <c r="H126" s="54">
        <v>0</v>
      </c>
      <c r="I126" s="54">
        <v>3</v>
      </c>
      <c r="J126" s="54">
        <v>0</v>
      </c>
      <c r="K126" s="54">
        <v>2</v>
      </c>
      <c r="L126" s="54">
        <v>1</v>
      </c>
      <c r="M126" s="54">
        <v>1</v>
      </c>
      <c r="N126" s="54">
        <v>5</v>
      </c>
      <c r="O126" s="54">
        <v>7</v>
      </c>
      <c r="P126" s="54">
        <v>2</v>
      </c>
      <c r="Q126" s="54">
        <v>6</v>
      </c>
      <c r="R126" s="54">
        <v>1</v>
      </c>
      <c r="S126" s="54">
        <v>2</v>
      </c>
      <c r="T126" s="54">
        <v>2</v>
      </c>
      <c r="U126" s="54">
        <v>3</v>
      </c>
      <c r="V126" s="54">
        <v>1</v>
      </c>
      <c r="W126" s="54">
        <v>3</v>
      </c>
      <c r="X126" s="54">
        <v>5</v>
      </c>
      <c r="Y126" s="54">
        <v>0</v>
      </c>
      <c r="Z126" s="54">
        <v>5</v>
      </c>
      <c r="AA126" s="54">
        <v>5</v>
      </c>
      <c r="AB126" s="54">
        <v>0</v>
      </c>
      <c r="AC126" s="54">
        <v>5</v>
      </c>
      <c r="AD126" s="54">
        <v>3</v>
      </c>
      <c r="AE126" s="54">
        <v>1</v>
      </c>
      <c r="AF126" s="54">
        <v>0</v>
      </c>
      <c r="AG126" s="5">
        <f t="shared" si="17"/>
        <v>77</v>
      </c>
      <c r="AK126" s="84" t="s">
        <v>137</v>
      </c>
    </row>
    <row r="127" spans="1:37" ht="15.75" customHeight="1" x14ac:dyDescent="0.25">
      <c r="A127" s="85" t="s">
        <v>72</v>
      </c>
      <c r="B127" s="54">
        <v>0</v>
      </c>
      <c r="C127" s="54">
        <v>0</v>
      </c>
      <c r="D127" s="54">
        <v>1</v>
      </c>
      <c r="E127" s="54">
        <v>0</v>
      </c>
      <c r="F127" s="54">
        <v>0</v>
      </c>
      <c r="G127" s="54">
        <v>0</v>
      </c>
      <c r="H127" s="54">
        <v>1</v>
      </c>
      <c r="I127" s="54">
        <v>0</v>
      </c>
      <c r="J127" s="54">
        <v>1</v>
      </c>
      <c r="K127" s="54">
        <v>0</v>
      </c>
      <c r="L127" s="54">
        <v>0</v>
      </c>
      <c r="M127" s="54">
        <v>0</v>
      </c>
      <c r="N127" s="54">
        <v>2</v>
      </c>
      <c r="O127" s="54">
        <v>2</v>
      </c>
      <c r="P127" s="54">
        <v>0</v>
      </c>
      <c r="Q127" s="54">
        <v>2</v>
      </c>
      <c r="R127" s="54">
        <v>1</v>
      </c>
      <c r="S127" s="54">
        <v>5</v>
      </c>
      <c r="T127" s="54">
        <v>4</v>
      </c>
      <c r="U127" s="54">
        <v>5</v>
      </c>
      <c r="V127" s="54">
        <v>1</v>
      </c>
      <c r="W127" s="54">
        <v>0</v>
      </c>
      <c r="X127" s="54">
        <v>1</v>
      </c>
      <c r="Y127" s="54">
        <v>2</v>
      </c>
      <c r="Z127" s="54">
        <v>1</v>
      </c>
      <c r="AA127" s="54">
        <v>0</v>
      </c>
      <c r="AB127" s="54">
        <v>0</v>
      </c>
      <c r="AC127" s="54">
        <v>2</v>
      </c>
      <c r="AD127" s="54">
        <v>0</v>
      </c>
      <c r="AE127" s="54">
        <v>0</v>
      </c>
      <c r="AF127" s="54">
        <v>0</v>
      </c>
      <c r="AG127" s="5">
        <f t="shared" si="17"/>
        <v>31</v>
      </c>
      <c r="AK127" s="88" t="s">
        <v>138</v>
      </c>
    </row>
    <row r="128" spans="1:37" ht="15.75" customHeight="1" x14ac:dyDescent="0.25">
      <c r="A128" s="56" t="s">
        <v>73</v>
      </c>
      <c r="B128" s="54">
        <v>1</v>
      </c>
      <c r="C128" s="54">
        <v>2</v>
      </c>
      <c r="D128" s="54">
        <v>1</v>
      </c>
      <c r="E128" s="54">
        <v>1</v>
      </c>
      <c r="F128" s="54">
        <v>2</v>
      </c>
      <c r="G128" s="54">
        <v>0</v>
      </c>
      <c r="H128" s="54">
        <v>1</v>
      </c>
      <c r="I128" s="54">
        <v>1</v>
      </c>
      <c r="J128" s="54">
        <v>1</v>
      </c>
      <c r="K128" s="54">
        <v>1</v>
      </c>
      <c r="L128" s="54">
        <v>0</v>
      </c>
      <c r="M128" s="54">
        <v>1</v>
      </c>
      <c r="N128" s="54">
        <v>2</v>
      </c>
      <c r="O128" s="54">
        <v>0</v>
      </c>
      <c r="P128" s="54">
        <v>0</v>
      </c>
      <c r="Q128" s="54">
        <v>4</v>
      </c>
      <c r="R128" s="54">
        <v>2</v>
      </c>
      <c r="S128" s="54">
        <v>5</v>
      </c>
      <c r="T128" s="54">
        <v>3</v>
      </c>
      <c r="U128" s="54">
        <v>3</v>
      </c>
      <c r="V128" s="54">
        <v>3</v>
      </c>
      <c r="W128" s="54">
        <v>1</v>
      </c>
      <c r="X128" s="54">
        <v>2</v>
      </c>
      <c r="Y128" s="54">
        <v>1</v>
      </c>
      <c r="Z128" s="54">
        <v>1</v>
      </c>
      <c r="AA128" s="54">
        <v>2</v>
      </c>
      <c r="AB128" s="54">
        <v>1</v>
      </c>
      <c r="AC128" s="54">
        <v>1</v>
      </c>
      <c r="AD128" s="54">
        <v>1</v>
      </c>
      <c r="AE128" s="54">
        <v>0</v>
      </c>
      <c r="AF128" s="54">
        <v>0</v>
      </c>
      <c r="AG128" s="5">
        <f t="shared" si="17"/>
        <v>44</v>
      </c>
      <c r="AK128" s="88" t="s">
        <v>139</v>
      </c>
    </row>
    <row r="129" spans="1:37" ht="15.75" customHeight="1" x14ac:dyDescent="0.25">
      <c r="A129" s="56" t="s">
        <v>74</v>
      </c>
      <c r="B129" s="54">
        <v>0</v>
      </c>
      <c r="C129" s="54">
        <v>0</v>
      </c>
      <c r="D129" s="54">
        <v>0</v>
      </c>
      <c r="E129" s="54">
        <v>0</v>
      </c>
      <c r="F129" s="54">
        <v>1</v>
      </c>
      <c r="G129" s="54">
        <v>4</v>
      </c>
      <c r="H129" s="54">
        <v>0</v>
      </c>
      <c r="I129" s="54">
        <v>2</v>
      </c>
      <c r="J129" s="54">
        <v>1</v>
      </c>
      <c r="K129" s="54">
        <v>2</v>
      </c>
      <c r="L129" s="54">
        <v>0</v>
      </c>
      <c r="M129" s="54">
        <v>0</v>
      </c>
      <c r="N129" s="54">
        <v>1</v>
      </c>
      <c r="O129" s="54">
        <v>2</v>
      </c>
      <c r="P129" s="54">
        <v>0</v>
      </c>
      <c r="Q129" s="54">
        <v>0</v>
      </c>
      <c r="R129" s="54">
        <v>0</v>
      </c>
      <c r="S129" s="54">
        <v>1</v>
      </c>
      <c r="T129" s="54">
        <v>1</v>
      </c>
      <c r="U129" s="54">
        <v>1</v>
      </c>
      <c r="V129" s="54">
        <v>2</v>
      </c>
      <c r="W129" s="54">
        <v>1</v>
      </c>
      <c r="X129" s="54">
        <v>0</v>
      </c>
      <c r="Y129" s="54">
        <v>4</v>
      </c>
      <c r="Z129" s="54">
        <v>0</v>
      </c>
      <c r="AA129" s="54">
        <v>0</v>
      </c>
      <c r="AB129" s="54">
        <v>3</v>
      </c>
      <c r="AC129" s="54">
        <v>1</v>
      </c>
      <c r="AD129" s="54">
        <v>1</v>
      </c>
      <c r="AE129" s="54">
        <v>3</v>
      </c>
      <c r="AF129" s="54">
        <v>1</v>
      </c>
      <c r="AG129" s="5">
        <f t="shared" si="17"/>
        <v>32</v>
      </c>
      <c r="AK129" s="84" t="s">
        <v>140</v>
      </c>
    </row>
    <row r="130" spans="1:37" ht="15.75" customHeight="1" x14ac:dyDescent="0.25">
      <c r="A130" s="56" t="s">
        <v>75</v>
      </c>
      <c r="B130" s="54">
        <v>0</v>
      </c>
      <c r="C130" s="54">
        <v>0</v>
      </c>
      <c r="D130" s="54">
        <v>0</v>
      </c>
      <c r="E130" s="54">
        <v>0</v>
      </c>
      <c r="F130" s="54">
        <v>0</v>
      </c>
      <c r="G130" s="54">
        <v>0</v>
      </c>
      <c r="H130" s="54">
        <v>1</v>
      </c>
      <c r="I130" s="54">
        <v>0</v>
      </c>
      <c r="J130" s="54">
        <v>0</v>
      </c>
      <c r="K130" s="54">
        <v>0</v>
      </c>
      <c r="L130" s="54">
        <v>0</v>
      </c>
      <c r="M130" s="54">
        <v>0</v>
      </c>
      <c r="N130" s="54">
        <v>0</v>
      </c>
      <c r="O130" s="54">
        <v>0</v>
      </c>
      <c r="P130" s="54">
        <v>0</v>
      </c>
      <c r="Q130" s="54">
        <v>0</v>
      </c>
      <c r="R130" s="54">
        <v>1</v>
      </c>
      <c r="S130" s="54">
        <v>0</v>
      </c>
      <c r="T130" s="54">
        <v>0</v>
      </c>
      <c r="U130" s="54">
        <v>0</v>
      </c>
      <c r="V130" s="54">
        <v>1</v>
      </c>
      <c r="W130" s="54">
        <v>1</v>
      </c>
      <c r="X130" s="54">
        <v>1</v>
      </c>
      <c r="Y130" s="54">
        <v>0</v>
      </c>
      <c r="Z130" s="54">
        <v>0</v>
      </c>
      <c r="AA130" s="54">
        <v>1</v>
      </c>
      <c r="AB130" s="54">
        <v>0</v>
      </c>
      <c r="AC130" s="54">
        <v>1</v>
      </c>
      <c r="AD130" s="54">
        <v>0</v>
      </c>
      <c r="AE130" s="54">
        <v>0</v>
      </c>
      <c r="AF130" s="54">
        <v>0</v>
      </c>
      <c r="AG130" s="5">
        <f t="shared" si="17"/>
        <v>7</v>
      </c>
      <c r="AK130" s="84" t="s">
        <v>141</v>
      </c>
    </row>
    <row r="131" spans="1:37" ht="15.75" customHeight="1" x14ac:dyDescent="0.25">
      <c r="A131" s="85" t="s">
        <v>76</v>
      </c>
      <c r="B131" s="54">
        <v>3</v>
      </c>
      <c r="C131" s="54">
        <v>2</v>
      </c>
      <c r="D131" s="54">
        <v>2</v>
      </c>
      <c r="E131" s="54">
        <v>2</v>
      </c>
      <c r="F131" s="54">
        <v>4</v>
      </c>
      <c r="G131" s="54">
        <v>9</v>
      </c>
      <c r="H131" s="54">
        <v>8</v>
      </c>
      <c r="I131" s="54">
        <v>6</v>
      </c>
      <c r="J131" s="54">
        <v>3</v>
      </c>
      <c r="K131" s="54">
        <v>3</v>
      </c>
      <c r="L131" s="54">
        <v>2</v>
      </c>
      <c r="M131" s="54">
        <v>6</v>
      </c>
      <c r="N131" s="54">
        <v>5</v>
      </c>
      <c r="O131" s="54">
        <v>5</v>
      </c>
      <c r="P131" s="54">
        <v>4</v>
      </c>
      <c r="Q131" s="54">
        <v>8</v>
      </c>
      <c r="R131" s="54">
        <v>5</v>
      </c>
      <c r="S131" s="54">
        <v>8</v>
      </c>
      <c r="T131" s="54">
        <v>3</v>
      </c>
      <c r="U131" s="54">
        <v>7</v>
      </c>
      <c r="V131" s="54">
        <v>9</v>
      </c>
      <c r="W131" s="54">
        <v>6</v>
      </c>
      <c r="X131" s="54">
        <v>1</v>
      </c>
      <c r="Y131" s="54">
        <v>8</v>
      </c>
      <c r="Z131" s="54">
        <v>5</v>
      </c>
      <c r="AA131" s="54">
        <v>0</v>
      </c>
      <c r="AB131" s="54">
        <v>5</v>
      </c>
      <c r="AC131" s="54">
        <v>5</v>
      </c>
      <c r="AD131" s="54">
        <v>7</v>
      </c>
      <c r="AE131" s="54">
        <v>5</v>
      </c>
      <c r="AF131" s="54">
        <v>7</v>
      </c>
      <c r="AG131" s="5">
        <f t="shared" si="17"/>
        <v>153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5</v>
      </c>
      <c r="C132" s="87">
        <v>5</v>
      </c>
      <c r="D132" s="87">
        <v>10</v>
      </c>
      <c r="E132" s="87">
        <v>5</v>
      </c>
      <c r="F132" s="87">
        <v>4</v>
      </c>
      <c r="G132" s="87">
        <v>11</v>
      </c>
      <c r="H132" s="87">
        <v>5</v>
      </c>
      <c r="I132" s="87">
        <v>3</v>
      </c>
      <c r="J132" s="87">
        <v>4</v>
      </c>
      <c r="K132" s="87">
        <v>5</v>
      </c>
      <c r="L132" s="87">
        <v>3</v>
      </c>
      <c r="M132" s="87">
        <v>6</v>
      </c>
      <c r="N132" s="87">
        <v>11</v>
      </c>
      <c r="O132" s="87">
        <v>5</v>
      </c>
      <c r="P132" s="87">
        <v>5</v>
      </c>
      <c r="Q132" s="87">
        <v>13</v>
      </c>
      <c r="R132" s="87">
        <v>0</v>
      </c>
      <c r="S132" s="87">
        <v>6</v>
      </c>
      <c r="T132" s="87">
        <v>2</v>
      </c>
      <c r="U132" s="87">
        <v>8</v>
      </c>
      <c r="V132" s="87">
        <v>11</v>
      </c>
      <c r="W132" s="87">
        <v>8</v>
      </c>
      <c r="X132" s="87">
        <v>3</v>
      </c>
      <c r="Y132" s="87">
        <v>3</v>
      </c>
      <c r="Z132" s="87">
        <v>11</v>
      </c>
      <c r="AA132" s="87">
        <v>5</v>
      </c>
      <c r="AB132" s="87">
        <v>9</v>
      </c>
      <c r="AC132" s="87">
        <v>5</v>
      </c>
      <c r="AD132" s="87">
        <v>6</v>
      </c>
      <c r="AE132" s="87">
        <v>6</v>
      </c>
      <c r="AF132" s="87">
        <v>2</v>
      </c>
      <c r="AG132" s="9">
        <f t="shared" si="17"/>
        <v>185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92</v>
      </c>
      <c r="C133" s="14">
        <f t="shared" si="21"/>
        <v>100</v>
      </c>
      <c r="D133" s="14">
        <f t="shared" si="21"/>
        <v>99</v>
      </c>
      <c r="E133" s="14">
        <f t="shared" si="21"/>
        <v>84</v>
      </c>
      <c r="F133" s="14">
        <f t="shared" si="21"/>
        <v>83</v>
      </c>
      <c r="G133" s="14">
        <f t="shared" si="21"/>
        <v>143</v>
      </c>
      <c r="H133" s="14">
        <f t="shared" si="21"/>
        <v>140</v>
      </c>
      <c r="I133" s="14">
        <f t="shared" si="21"/>
        <v>98</v>
      </c>
      <c r="J133" s="14">
        <f t="shared" si="21"/>
        <v>99</v>
      </c>
      <c r="K133" s="14">
        <f t="shared" si="21"/>
        <v>105</v>
      </c>
      <c r="L133" s="14">
        <f t="shared" si="21"/>
        <v>89</v>
      </c>
      <c r="M133" s="14">
        <f t="shared" si="21"/>
        <v>84</v>
      </c>
      <c r="N133" s="14">
        <f t="shared" si="21"/>
        <v>154</v>
      </c>
      <c r="O133" s="14">
        <f t="shared" si="21"/>
        <v>128</v>
      </c>
      <c r="P133" s="14">
        <f t="shared" si="21"/>
        <v>90</v>
      </c>
      <c r="Q133" s="14">
        <f t="shared" si="21"/>
        <v>189</v>
      </c>
      <c r="R133" s="14">
        <f t="shared" si="21"/>
        <v>112</v>
      </c>
      <c r="S133" s="14">
        <f t="shared" si="21"/>
        <v>113</v>
      </c>
      <c r="T133" s="14">
        <f t="shared" si="21"/>
        <v>102</v>
      </c>
      <c r="U133" s="14">
        <f t="shared" si="21"/>
        <v>156</v>
      </c>
      <c r="V133" s="14">
        <f t="shared" si="21"/>
        <v>176</v>
      </c>
      <c r="W133" s="14">
        <f t="shared" si="21"/>
        <v>138</v>
      </c>
      <c r="X133" s="14">
        <f t="shared" si="21"/>
        <v>111</v>
      </c>
      <c r="Y133" s="14">
        <f t="shared" si="21"/>
        <v>120</v>
      </c>
      <c r="Z133" s="14">
        <f t="shared" si="21"/>
        <v>117</v>
      </c>
      <c r="AA133" s="14">
        <f t="shared" si="21"/>
        <v>109</v>
      </c>
      <c r="AB133" s="14">
        <f t="shared" si="21"/>
        <v>165</v>
      </c>
      <c r="AC133" s="14">
        <f t="shared" si="21"/>
        <v>163</v>
      </c>
      <c r="AD133" s="14">
        <f t="shared" si="21"/>
        <v>135</v>
      </c>
      <c r="AE133" s="14">
        <f t="shared" si="21"/>
        <v>113</v>
      </c>
      <c r="AF133" s="14">
        <f t="shared" si="21"/>
        <v>98</v>
      </c>
      <c r="AG133" s="10">
        <f t="shared" si="17"/>
        <v>3705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3</v>
      </c>
      <c r="C134" s="22">
        <f t="shared" si="22"/>
        <v>0</v>
      </c>
      <c r="D134" s="22">
        <f t="shared" si="22"/>
        <v>2</v>
      </c>
      <c r="E134" s="22">
        <f t="shared" si="22"/>
        <v>9</v>
      </c>
      <c r="F134" s="22">
        <f t="shared" si="22"/>
        <v>1</v>
      </c>
      <c r="G134" s="22">
        <f t="shared" si="22"/>
        <v>5</v>
      </c>
      <c r="H134" s="22">
        <f t="shared" si="22"/>
        <v>3</v>
      </c>
      <c r="I134" s="22">
        <f t="shared" si="22"/>
        <v>8</v>
      </c>
      <c r="J134" s="22">
        <f t="shared" si="22"/>
        <v>9</v>
      </c>
      <c r="K134" s="22">
        <f t="shared" si="22"/>
        <v>4</v>
      </c>
      <c r="L134" s="22">
        <f t="shared" si="22"/>
        <v>1</v>
      </c>
      <c r="M134" s="22">
        <f t="shared" si="22"/>
        <v>0</v>
      </c>
      <c r="N134" s="22">
        <f t="shared" si="22"/>
        <v>3</v>
      </c>
      <c r="O134" s="22">
        <f t="shared" si="22"/>
        <v>4</v>
      </c>
      <c r="P134" s="22">
        <f t="shared" si="22"/>
        <v>1</v>
      </c>
      <c r="Q134" s="22">
        <f t="shared" si="22"/>
        <v>3</v>
      </c>
      <c r="R134" s="22">
        <f t="shared" si="22"/>
        <v>10</v>
      </c>
      <c r="S134" s="22">
        <f t="shared" si="22"/>
        <v>9</v>
      </c>
      <c r="T134" s="22">
        <f t="shared" si="22"/>
        <v>3</v>
      </c>
      <c r="U134" s="22">
        <f t="shared" si="22"/>
        <v>2</v>
      </c>
      <c r="V134" s="22">
        <f t="shared" si="22"/>
        <v>3</v>
      </c>
      <c r="W134" s="22">
        <f t="shared" si="22"/>
        <v>6</v>
      </c>
      <c r="X134" s="22">
        <f t="shared" si="22"/>
        <v>4</v>
      </c>
      <c r="Y134" s="22">
        <f t="shared" si="22"/>
        <v>5</v>
      </c>
      <c r="Z134" s="22">
        <f t="shared" si="22"/>
        <v>9</v>
      </c>
      <c r="AA134" s="22">
        <f t="shared" si="22"/>
        <v>2</v>
      </c>
      <c r="AB134" s="22">
        <f t="shared" si="22"/>
        <v>5</v>
      </c>
      <c r="AC134" s="22">
        <f t="shared" si="22"/>
        <v>6</v>
      </c>
      <c r="AD134" s="22">
        <f t="shared" si="22"/>
        <v>11</v>
      </c>
      <c r="AE134" s="22">
        <f t="shared" si="22"/>
        <v>2</v>
      </c>
      <c r="AF134" s="22">
        <f t="shared" si="22"/>
        <v>6</v>
      </c>
      <c r="AG134" s="23">
        <f t="shared" si="17"/>
        <v>139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1</v>
      </c>
      <c r="E135" s="1">
        <f t="shared" si="23"/>
        <v>0</v>
      </c>
      <c r="F135" s="1">
        <f t="shared" si="23"/>
        <v>0</v>
      </c>
      <c r="G135" s="1">
        <f t="shared" si="23"/>
        <v>1</v>
      </c>
      <c r="H135" s="1">
        <f t="shared" si="23"/>
        <v>2</v>
      </c>
      <c r="I135" s="1">
        <f t="shared" si="23"/>
        <v>0</v>
      </c>
      <c r="J135" s="1">
        <f t="shared" si="23"/>
        <v>0</v>
      </c>
      <c r="K135" s="1">
        <f t="shared" si="23"/>
        <v>1</v>
      </c>
      <c r="L135" s="1">
        <f t="shared" si="23"/>
        <v>0</v>
      </c>
      <c r="M135" s="1">
        <f t="shared" si="23"/>
        <v>0</v>
      </c>
      <c r="N135" s="1">
        <f t="shared" si="23"/>
        <v>0</v>
      </c>
      <c r="O135" s="1">
        <f t="shared" si="23"/>
        <v>0</v>
      </c>
      <c r="P135" s="1">
        <f t="shared" si="23"/>
        <v>1</v>
      </c>
      <c r="Q135" s="1">
        <f t="shared" si="23"/>
        <v>0</v>
      </c>
      <c r="R135" s="1">
        <f t="shared" si="23"/>
        <v>0</v>
      </c>
      <c r="S135" s="1">
        <f t="shared" si="23"/>
        <v>0</v>
      </c>
      <c r="T135" s="1">
        <f t="shared" si="23"/>
        <v>0</v>
      </c>
      <c r="U135" s="1">
        <f t="shared" si="23"/>
        <v>0</v>
      </c>
      <c r="V135" s="1">
        <f t="shared" si="23"/>
        <v>0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0</v>
      </c>
      <c r="AA135" s="1">
        <f t="shared" si="23"/>
        <v>0</v>
      </c>
      <c r="AB135" s="1">
        <f t="shared" si="23"/>
        <v>0</v>
      </c>
      <c r="AC135" s="1">
        <f t="shared" si="23"/>
        <v>1</v>
      </c>
      <c r="AD135" s="1">
        <f t="shared" si="23"/>
        <v>0</v>
      </c>
      <c r="AE135" s="1">
        <f t="shared" si="23"/>
        <v>0</v>
      </c>
      <c r="AF135" s="1">
        <f t="shared" si="23"/>
        <v>2</v>
      </c>
      <c r="AG135" s="2">
        <f t="shared" si="17"/>
        <v>9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0</v>
      </c>
      <c r="C136" s="91">
        <v>0</v>
      </c>
      <c r="D136" s="91">
        <v>1</v>
      </c>
      <c r="E136" s="91">
        <v>0</v>
      </c>
      <c r="F136" s="91">
        <v>0</v>
      </c>
      <c r="G136" s="91">
        <v>0</v>
      </c>
      <c r="H136" s="91">
        <v>2</v>
      </c>
      <c r="I136" s="91">
        <v>0</v>
      </c>
      <c r="J136" s="91">
        <v>0</v>
      </c>
      <c r="K136" s="91">
        <v>1</v>
      </c>
      <c r="L136" s="91">
        <v>0</v>
      </c>
      <c r="M136" s="91">
        <v>0</v>
      </c>
      <c r="N136" s="91">
        <v>0</v>
      </c>
      <c r="O136" s="91">
        <v>0</v>
      </c>
      <c r="P136" s="91">
        <v>0</v>
      </c>
      <c r="Q136" s="91">
        <v>0</v>
      </c>
      <c r="R136" s="91">
        <v>0</v>
      </c>
      <c r="S136" s="91">
        <v>0</v>
      </c>
      <c r="T136" s="91">
        <v>0</v>
      </c>
      <c r="U136" s="91">
        <v>0</v>
      </c>
      <c r="V136" s="91">
        <v>0</v>
      </c>
      <c r="W136" s="91">
        <v>0</v>
      </c>
      <c r="X136" s="91">
        <v>0</v>
      </c>
      <c r="Y136" s="91">
        <v>0</v>
      </c>
      <c r="Z136" s="91">
        <v>0</v>
      </c>
      <c r="AA136" s="91">
        <v>0</v>
      </c>
      <c r="AB136" s="91">
        <v>0</v>
      </c>
      <c r="AC136" s="91">
        <v>0</v>
      </c>
      <c r="AD136" s="91">
        <v>0</v>
      </c>
      <c r="AE136" s="91">
        <v>0</v>
      </c>
      <c r="AF136" s="91">
        <v>2</v>
      </c>
      <c r="AG136" s="28">
        <f t="shared" si="17"/>
        <v>6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1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1</v>
      </c>
      <c r="AD137" s="93">
        <v>0</v>
      </c>
      <c r="AE137" s="93">
        <v>0</v>
      </c>
      <c r="AF137" s="93">
        <v>0</v>
      </c>
      <c r="AG137" s="29">
        <f t="shared" si="17"/>
        <v>2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1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1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2</v>
      </c>
      <c r="C139" s="31">
        <f t="shared" si="24"/>
        <v>1</v>
      </c>
      <c r="D139" s="31">
        <f t="shared" si="24"/>
        <v>6</v>
      </c>
      <c r="E139" s="31">
        <f t="shared" si="24"/>
        <v>1</v>
      </c>
      <c r="F139" s="31">
        <f t="shared" si="24"/>
        <v>0</v>
      </c>
      <c r="G139" s="31">
        <f t="shared" si="24"/>
        <v>3</v>
      </c>
      <c r="H139" s="31">
        <f t="shared" si="24"/>
        <v>1</v>
      </c>
      <c r="I139" s="31">
        <f t="shared" si="24"/>
        <v>2</v>
      </c>
      <c r="J139" s="31">
        <f t="shared" si="24"/>
        <v>1</v>
      </c>
      <c r="K139" s="31">
        <f t="shared" si="24"/>
        <v>3</v>
      </c>
      <c r="L139" s="31">
        <f t="shared" si="24"/>
        <v>4</v>
      </c>
      <c r="M139" s="31">
        <f t="shared" si="24"/>
        <v>1</v>
      </c>
      <c r="N139" s="31">
        <f t="shared" si="24"/>
        <v>3</v>
      </c>
      <c r="O139" s="31">
        <f t="shared" si="24"/>
        <v>6</v>
      </c>
      <c r="P139" s="31">
        <f t="shared" si="24"/>
        <v>3</v>
      </c>
      <c r="Q139" s="31">
        <f t="shared" si="24"/>
        <v>7</v>
      </c>
      <c r="R139" s="31">
        <f t="shared" si="24"/>
        <v>3</v>
      </c>
      <c r="S139" s="31">
        <f t="shared" si="24"/>
        <v>3</v>
      </c>
      <c r="T139" s="31">
        <f t="shared" si="24"/>
        <v>2</v>
      </c>
      <c r="U139" s="31">
        <f t="shared" si="24"/>
        <v>5</v>
      </c>
      <c r="V139" s="31">
        <f t="shared" si="24"/>
        <v>3</v>
      </c>
      <c r="W139" s="31">
        <f t="shared" si="24"/>
        <v>1</v>
      </c>
      <c r="X139" s="31">
        <f t="shared" si="24"/>
        <v>6</v>
      </c>
      <c r="Y139" s="31">
        <f t="shared" si="24"/>
        <v>1</v>
      </c>
      <c r="Z139" s="31">
        <f t="shared" si="24"/>
        <v>3</v>
      </c>
      <c r="AA139" s="31">
        <f t="shared" si="24"/>
        <v>1</v>
      </c>
      <c r="AB139" s="31">
        <f t="shared" si="24"/>
        <v>2</v>
      </c>
      <c r="AC139" s="31">
        <f t="shared" si="24"/>
        <v>4</v>
      </c>
      <c r="AD139" s="31">
        <f t="shared" si="24"/>
        <v>3</v>
      </c>
      <c r="AE139" s="31">
        <f t="shared" si="24"/>
        <v>1</v>
      </c>
      <c r="AF139" s="31">
        <f t="shared" si="24"/>
        <v>3</v>
      </c>
      <c r="AG139" s="32">
        <f t="shared" si="17"/>
        <v>85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0</v>
      </c>
      <c r="C140" s="97">
        <v>0</v>
      </c>
      <c r="D140" s="97">
        <v>0</v>
      </c>
      <c r="E140" s="97">
        <v>0</v>
      </c>
      <c r="F140" s="97">
        <v>0</v>
      </c>
      <c r="G140" s="97">
        <v>0</v>
      </c>
      <c r="H140" s="97">
        <v>0</v>
      </c>
      <c r="I140" s="97">
        <v>0</v>
      </c>
      <c r="J140" s="97">
        <v>0</v>
      </c>
      <c r="K140" s="97">
        <v>0</v>
      </c>
      <c r="L140" s="97">
        <v>0</v>
      </c>
      <c r="M140" s="97">
        <v>0</v>
      </c>
      <c r="N140" s="97">
        <v>0</v>
      </c>
      <c r="O140" s="97">
        <v>0</v>
      </c>
      <c r="P140" s="97">
        <v>0</v>
      </c>
      <c r="Q140" s="97">
        <v>0</v>
      </c>
      <c r="R140" s="97">
        <v>0</v>
      </c>
      <c r="S140" s="97">
        <v>0</v>
      </c>
      <c r="T140" s="97">
        <v>0</v>
      </c>
      <c r="U140" s="97">
        <v>0</v>
      </c>
      <c r="V140" s="97">
        <v>0</v>
      </c>
      <c r="W140" s="97">
        <v>1</v>
      </c>
      <c r="X140" s="97">
        <v>1</v>
      </c>
      <c r="Y140" s="97">
        <v>1</v>
      </c>
      <c r="Z140" s="97">
        <v>1</v>
      </c>
      <c r="AA140" s="97">
        <v>0</v>
      </c>
      <c r="AB140" s="97">
        <v>1</v>
      </c>
      <c r="AC140" s="97">
        <v>0</v>
      </c>
      <c r="AD140" s="97">
        <v>0</v>
      </c>
      <c r="AE140" s="97">
        <v>0</v>
      </c>
      <c r="AF140" s="97">
        <v>0</v>
      </c>
      <c r="AG140" s="33">
        <f t="shared" si="17"/>
        <v>5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2</v>
      </c>
      <c r="C141" s="98">
        <v>1</v>
      </c>
      <c r="D141" s="98">
        <v>6</v>
      </c>
      <c r="E141" s="98">
        <v>1</v>
      </c>
      <c r="F141" s="98">
        <v>0</v>
      </c>
      <c r="G141" s="98">
        <v>3</v>
      </c>
      <c r="H141" s="98">
        <v>1</v>
      </c>
      <c r="I141" s="98">
        <v>2</v>
      </c>
      <c r="J141" s="98">
        <v>1</v>
      </c>
      <c r="K141" s="98">
        <v>3</v>
      </c>
      <c r="L141" s="98">
        <v>4</v>
      </c>
      <c r="M141" s="98">
        <v>1</v>
      </c>
      <c r="N141" s="98">
        <v>3</v>
      </c>
      <c r="O141" s="98">
        <v>6</v>
      </c>
      <c r="P141" s="98">
        <v>3</v>
      </c>
      <c r="Q141" s="98">
        <v>7</v>
      </c>
      <c r="R141" s="98">
        <v>3</v>
      </c>
      <c r="S141" s="98">
        <v>3</v>
      </c>
      <c r="T141" s="98">
        <v>2</v>
      </c>
      <c r="U141" s="98">
        <v>5</v>
      </c>
      <c r="V141" s="98">
        <v>3</v>
      </c>
      <c r="W141" s="98">
        <v>0</v>
      </c>
      <c r="X141" s="98">
        <v>5</v>
      </c>
      <c r="Y141" s="98">
        <v>0</v>
      </c>
      <c r="Z141" s="98">
        <v>2</v>
      </c>
      <c r="AA141" s="98">
        <v>1</v>
      </c>
      <c r="AB141" s="98">
        <v>1</v>
      </c>
      <c r="AC141" s="98">
        <v>4</v>
      </c>
      <c r="AD141" s="98">
        <v>3</v>
      </c>
      <c r="AE141" s="98">
        <v>1</v>
      </c>
      <c r="AF141" s="98">
        <v>3</v>
      </c>
      <c r="AG141" s="34">
        <f t="shared" si="17"/>
        <v>80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>
        <v>0</v>
      </c>
      <c r="C143" s="102">
        <v>1</v>
      </c>
      <c r="D143" s="102">
        <v>0</v>
      </c>
      <c r="E143" s="102">
        <v>1</v>
      </c>
      <c r="F143" s="102">
        <v>1</v>
      </c>
      <c r="G143" s="102">
        <v>0</v>
      </c>
      <c r="H143" s="102">
        <v>0</v>
      </c>
      <c r="I143" s="102">
        <v>1</v>
      </c>
      <c r="J143" s="102">
        <v>1</v>
      </c>
      <c r="K143" s="102">
        <v>0</v>
      </c>
      <c r="L143" s="102">
        <v>0</v>
      </c>
      <c r="M143" s="102">
        <v>1</v>
      </c>
      <c r="N143" s="102">
        <v>0</v>
      </c>
      <c r="O143" s="102">
        <v>1</v>
      </c>
      <c r="P143" s="102">
        <v>0</v>
      </c>
      <c r="Q143" s="102">
        <v>0</v>
      </c>
      <c r="R143" s="102">
        <v>2</v>
      </c>
      <c r="S143" s="102">
        <v>0</v>
      </c>
      <c r="T143" s="102">
        <v>0</v>
      </c>
      <c r="U143" s="102">
        <v>0</v>
      </c>
      <c r="V143" s="102">
        <v>2</v>
      </c>
      <c r="W143" s="102">
        <v>2</v>
      </c>
      <c r="X143" s="102">
        <v>1</v>
      </c>
      <c r="Y143" s="102">
        <v>0</v>
      </c>
      <c r="Z143" s="102">
        <v>1</v>
      </c>
      <c r="AA143" s="102">
        <v>1</v>
      </c>
      <c r="AB143" s="102">
        <v>0</v>
      </c>
      <c r="AC143" s="102">
        <v>3</v>
      </c>
      <c r="AD143" s="102">
        <v>0</v>
      </c>
      <c r="AE143" s="102">
        <v>0</v>
      </c>
      <c r="AF143" s="102">
        <v>0</v>
      </c>
      <c r="AG143" s="36">
        <f t="shared" si="17"/>
        <v>19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21</v>
      </c>
      <c r="C144" s="37">
        <f t="shared" si="25"/>
        <v>19</v>
      </c>
      <c r="D144" s="37">
        <f t="shared" si="25"/>
        <v>13</v>
      </c>
      <c r="E144" s="37">
        <f t="shared" si="25"/>
        <v>17</v>
      </c>
      <c r="F144" s="37">
        <f t="shared" si="25"/>
        <v>18</v>
      </c>
      <c r="G144" s="37">
        <f t="shared" si="25"/>
        <v>27</v>
      </c>
      <c r="H144" s="37">
        <f t="shared" si="25"/>
        <v>35</v>
      </c>
      <c r="I144" s="37">
        <f t="shared" si="25"/>
        <v>20</v>
      </c>
      <c r="J144" s="37">
        <f t="shared" si="25"/>
        <v>19</v>
      </c>
      <c r="K144" s="37">
        <f t="shared" si="25"/>
        <v>27</v>
      </c>
      <c r="L144" s="37">
        <f t="shared" si="25"/>
        <v>14</v>
      </c>
      <c r="M144" s="37">
        <f t="shared" si="25"/>
        <v>23</v>
      </c>
      <c r="N144" s="37">
        <f t="shared" si="25"/>
        <v>39</v>
      </c>
      <c r="O144" s="37">
        <f t="shared" si="25"/>
        <v>27</v>
      </c>
      <c r="P144" s="37">
        <f t="shared" si="25"/>
        <v>20</v>
      </c>
      <c r="Q144" s="37">
        <f t="shared" si="25"/>
        <v>49</v>
      </c>
      <c r="R144" s="37">
        <f t="shared" si="25"/>
        <v>17</v>
      </c>
      <c r="S144" s="37">
        <f t="shared" si="25"/>
        <v>16</v>
      </c>
      <c r="T144" s="37">
        <f t="shared" si="25"/>
        <v>22</v>
      </c>
      <c r="U144" s="37">
        <f t="shared" si="25"/>
        <v>29</v>
      </c>
      <c r="V144" s="37">
        <f t="shared" si="25"/>
        <v>52</v>
      </c>
      <c r="W144" s="37">
        <f t="shared" si="25"/>
        <v>49</v>
      </c>
      <c r="X144" s="37">
        <f t="shared" si="25"/>
        <v>37</v>
      </c>
      <c r="Y144" s="37">
        <f t="shared" si="25"/>
        <v>45</v>
      </c>
      <c r="Z144" s="37">
        <f t="shared" si="25"/>
        <v>38</v>
      </c>
      <c r="AA144" s="37">
        <f t="shared" si="25"/>
        <v>22</v>
      </c>
      <c r="AB144" s="37">
        <f t="shared" si="25"/>
        <v>43</v>
      </c>
      <c r="AC144" s="37">
        <f t="shared" si="25"/>
        <v>46</v>
      </c>
      <c r="AD144" s="37">
        <f t="shared" si="25"/>
        <v>53</v>
      </c>
      <c r="AE144" s="37">
        <f t="shared" si="25"/>
        <v>40</v>
      </c>
      <c r="AF144" s="37">
        <f t="shared" si="25"/>
        <v>27</v>
      </c>
      <c r="AG144" s="24">
        <f t="shared" si="17"/>
        <v>924</v>
      </c>
      <c r="AK144" s="84" t="s">
        <v>155</v>
      </c>
    </row>
    <row r="145" spans="1:37" ht="15.75" customHeight="1" x14ac:dyDescent="0.25">
      <c r="A145" s="104" t="s">
        <v>92</v>
      </c>
      <c r="B145" s="105">
        <v>2</v>
      </c>
      <c r="C145" s="105">
        <v>2</v>
      </c>
      <c r="D145" s="105">
        <v>3</v>
      </c>
      <c r="E145" s="105">
        <v>4</v>
      </c>
      <c r="F145" s="105">
        <v>2</v>
      </c>
      <c r="G145" s="105">
        <v>3</v>
      </c>
      <c r="H145" s="105">
        <v>6</v>
      </c>
      <c r="I145" s="105">
        <v>2</v>
      </c>
      <c r="J145" s="105">
        <v>4</v>
      </c>
      <c r="K145" s="105">
        <v>3</v>
      </c>
      <c r="L145" s="105">
        <v>1</v>
      </c>
      <c r="M145" s="105">
        <v>5</v>
      </c>
      <c r="N145" s="105">
        <v>9</v>
      </c>
      <c r="O145" s="105">
        <v>2</v>
      </c>
      <c r="P145" s="105">
        <v>4</v>
      </c>
      <c r="Q145" s="105">
        <v>5</v>
      </c>
      <c r="R145" s="105">
        <v>3</v>
      </c>
      <c r="S145" s="105">
        <v>3</v>
      </c>
      <c r="T145" s="105">
        <v>3</v>
      </c>
      <c r="U145" s="105">
        <v>8</v>
      </c>
      <c r="V145" s="105">
        <v>7</v>
      </c>
      <c r="W145" s="105">
        <v>8</v>
      </c>
      <c r="X145" s="105">
        <v>4</v>
      </c>
      <c r="Y145" s="105">
        <v>4</v>
      </c>
      <c r="Z145" s="105">
        <v>10</v>
      </c>
      <c r="AA145" s="105">
        <v>1</v>
      </c>
      <c r="AB145" s="105">
        <v>4</v>
      </c>
      <c r="AC145" s="105">
        <v>1</v>
      </c>
      <c r="AD145" s="105">
        <v>4</v>
      </c>
      <c r="AE145" s="105">
        <v>3</v>
      </c>
      <c r="AF145" s="105">
        <v>2</v>
      </c>
      <c r="AG145" s="38">
        <f t="shared" si="17"/>
        <v>122</v>
      </c>
      <c r="AK145" s="84" t="s">
        <v>156</v>
      </c>
    </row>
    <row r="146" spans="1:37" ht="15.75" customHeight="1" x14ac:dyDescent="0.25">
      <c r="A146" s="106" t="s">
        <v>93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2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2</v>
      </c>
      <c r="AK147" s="84" t="s">
        <v>158</v>
      </c>
    </row>
    <row r="148" spans="1:37" ht="15.75" customHeight="1" x14ac:dyDescent="0.25">
      <c r="A148" s="106" t="s">
        <v>95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159</v>
      </c>
    </row>
    <row r="149" spans="1:37" ht="15.75" customHeight="1" x14ac:dyDescent="0.25">
      <c r="A149" s="107" t="s">
        <v>96</v>
      </c>
      <c r="B149" s="108">
        <v>18</v>
      </c>
      <c r="C149" s="108">
        <v>15</v>
      </c>
      <c r="D149" s="108">
        <v>8</v>
      </c>
      <c r="E149" s="108">
        <v>11</v>
      </c>
      <c r="F149" s="108">
        <v>14</v>
      </c>
      <c r="G149" s="108">
        <v>22</v>
      </c>
      <c r="H149" s="108">
        <v>27</v>
      </c>
      <c r="I149" s="108">
        <v>18</v>
      </c>
      <c r="J149" s="108">
        <v>15</v>
      </c>
      <c r="K149" s="108">
        <v>19</v>
      </c>
      <c r="L149" s="108">
        <v>11</v>
      </c>
      <c r="M149" s="108">
        <v>15</v>
      </c>
      <c r="N149" s="108">
        <v>25</v>
      </c>
      <c r="O149" s="108">
        <v>22</v>
      </c>
      <c r="P149" s="108">
        <v>15</v>
      </c>
      <c r="Q149" s="108">
        <v>36</v>
      </c>
      <c r="R149" s="108">
        <v>12</v>
      </c>
      <c r="S149" s="108">
        <v>10</v>
      </c>
      <c r="T149" s="108">
        <v>15</v>
      </c>
      <c r="U149" s="108">
        <v>19</v>
      </c>
      <c r="V149" s="108">
        <v>39</v>
      </c>
      <c r="W149" s="108">
        <v>39</v>
      </c>
      <c r="X149" s="108">
        <v>29</v>
      </c>
      <c r="Y149" s="108">
        <v>40</v>
      </c>
      <c r="Z149" s="108">
        <v>25</v>
      </c>
      <c r="AA149" s="108">
        <v>19</v>
      </c>
      <c r="AB149" s="108">
        <v>31</v>
      </c>
      <c r="AC149" s="108">
        <v>41</v>
      </c>
      <c r="AD149" s="108">
        <v>47</v>
      </c>
      <c r="AE149" s="108">
        <v>36</v>
      </c>
      <c r="AF149" s="108">
        <v>23</v>
      </c>
      <c r="AG149" s="39">
        <f t="shared" si="17"/>
        <v>716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1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2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17"/>
        <v>3</v>
      </c>
      <c r="AK153" s="109" t="s">
        <v>127</v>
      </c>
    </row>
    <row r="154" spans="1:37" ht="15.75" customHeight="1" x14ac:dyDescent="0.25">
      <c r="A154" s="76" t="s">
        <v>101</v>
      </c>
      <c r="B154" s="77">
        <v>1</v>
      </c>
      <c r="C154" s="77">
        <v>0</v>
      </c>
      <c r="D154" s="77">
        <v>0</v>
      </c>
      <c r="E154" s="77">
        <v>0</v>
      </c>
      <c r="F154" s="77">
        <v>0</v>
      </c>
      <c r="G154" s="77">
        <v>0</v>
      </c>
      <c r="H154" s="77">
        <v>0</v>
      </c>
      <c r="I154" s="77">
        <v>0</v>
      </c>
      <c r="J154" s="77">
        <v>0</v>
      </c>
      <c r="K154" s="77">
        <v>4</v>
      </c>
      <c r="L154" s="77">
        <v>1</v>
      </c>
      <c r="M154" s="77">
        <v>0</v>
      </c>
      <c r="N154" s="77">
        <v>0</v>
      </c>
      <c r="O154" s="77">
        <v>0</v>
      </c>
      <c r="P154" s="77">
        <v>0</v>
      </c>
      <c r="Q154" s="77">
        <v>0</v>
      </c>
      <c r="R154" s="77">
        <v>1</v>
      </c>
      <c r="S154" s="77">
        <v>0</v>
      </c>
      <c r="T154" s="77">
        <v>2</v>
      </c>
      <c r="U154" s="77">
        <v>0</v>
      </c>
      <c r="V154" s="77">
        <v>0</v>
      </c>
      <c r="W154" s="77">
        <v>2</v>
      </c>
      <c r="X154" s="77">
        <v>2</v>
      </c>
      <c r="Y154" s="77">
        <v>1</v>
      </c>
      <c r="Z154" s="77">
        <v>2</v>
      </c>
      <c r="AA154" s="77">
        <v>2</v>
      </c>
      <c r="AB154" s="77">
        <v>0</v>
      </c>
      <c r="AC154" s="77">
        <v>0</v>
      </c>
      <c r="AD154" s="77">
        <v>2</v>
      </c>
      <c r="AE154" s="77">
        <v>0</v>
      </c>
      <c r="AF154" s="77">
        <v>2</v>
      </c>
      <c r="AG154" s="5">
        <f t="shared" si="17"/>
        <v>22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>
        <v>0</v>
      </c>
      <c r="C158" s="111">
        <v>0</v>
      </c>
      <c r="D158" s="111">
        <v>1</v>
      </c>
      <c r="E158" s="111">
        <v>2</v>
      </c>
      <c r="F158" s="111">
        <v>1</v>
      </c>
      <c r="G158" s="111">
        <v>2</v>
      </c>
      <c r="H158" s="111">
        <v>0</v>
      </c>
      <c r="I158" s="111">
        <v>0</v>
      </c>
      <c r="J158" s="111">
        <v>0</v>
      </c>
      <c r="K158" s="111">
        <v>0</v>
      </c>
      <c r="L158" s="111">
        <v>0</v>
      </c>
      <c r="M158" s="111">
        <v>2</v>
      </c>
      <c r="N158" s="111">
        <v>5</v>
      </c>
      <c r="O158" s="111">
        <v>0</v>
      </c>
      <c r="P158" s="111">
        <v>1</v>
      </c>
      <c r="Q158" s="111">
        <v>5</v>
      </c>
      <c r="R158" s="111">
        <v>0</v>
      </c>
      <c r="S158" s="111">
        <v>3</v>
      </c>
      <c r="T158" s="111">
        <v>2</v>
      </c>
      <c r="U158" s="111">
        <v>2</v>
      </c>
      <c r="V158" s="111">
        <v>3</v>
      </c>
      <c r="W158" s="111">
        <v>0</v>
      </c>
      <c r="X158" s="111">
        <v>0</v>
      </c>
      <c r="Y158" s="111">
        <v>0</v>
      </c>
      <c r="Z158" s="111">
        <v>0</v>
      </c>
      <c r="AA158" s="111">
        <v>0</v>
      </c>
      <c r="AB158" s="111">
        <v>5</v>
      </c>
      <c r="AC158" s="111">
        <v>1</v>
      </c>
      <c r="AD158" s="111">
        <v>0</v>
      </c>
      <c r="AE158" s="111">
        <v>0</v>
      </c>
      <c r="AF158" s="111">
        <v>0</v>
      </c>
      <c r="AG158" s="40">
        <f t="shared" si="17"/>
        <v>35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2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1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3</v>
      </c>
    </row>
    <row r="163" spans="1:34" ht="15.75" customHeight="1" x14ac:dyDescent="0.25">
      <c r="A163" s="112" t="s">
        <v>110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1</v>
      </c>
      <c r="AD165" s="77">
        <v>0</v>
      </c>
      <c r="AE165" s="77">
        <v>0</v>
      </c>
      <c r="AF165" s="77">
        <v>0</v>
      </c>
      <c r="AG165" s="5">
        <f t="shared" si="26"/>
        <v>1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1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1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>
        <v>0</v>
      </c>
      <c r="AG167" s="5">
        <f t="shared" si="26"/>
        <v>2</v>
      </c>
    </row>
    <row r="168" spans="1:34" ht="15.75" customHeight="1" x14ac:dyDescent="0.25">
      <c r="A168" s="76" t="s">
        <v>115</v>
      </c>
      <c r="B168" s="113">
        <v>0</v>
      </c>
      <c r="C168" s="113">
        <v>2</v>
      </c>
      <c r="D168" s="113">
        <v>1</v>
      </c>
      <c r="E168" s="113">
        <v>0</v>
      </c>
      <c r="F168" s="113">
        <v>1</v>
      </c>
      <c r="G168" s="113">
        <v>0</v>
      </c>
      <c r="H168" s="113">
        <v>1</v>
      </c>
      <c r="I168" s="113">
        <v>0</v>
      </c>
      <c r="J168" s="113">
        <v>0</v>
      </c>
      <c r="K168" s="113">
        <v>0</v>
      </c>
      <c r="L168" s="113">
        <v>1</v>
      </c>
      <c r="M168" s="113">
        <v>1</v>
      </c>
      <c r="N168" s="113">
        <v>0</v>
      </c>
      <c r="O168" s="113">
        <v>0</v>
      </c>
      <c r="P168" s="113">
        <v>0</v>
      </c>
      <c r="Q168" s="113">
        <v>1</v>
      </c>
      <c r="R168" s="113">
        <v>0</v>
      </c>
      <c r="S168" s="113">
        <v>0</v>
      </c>
      <c r="T168" s="113">
        <v>0</v>
      </c>
      <c r="U168" s="113">
        <v>0</v>
      </c>
      <c r="V168" s="113">
        <v>0</v>
      </c>
      <c r="W168" s="113">
        <v>0</v>
      </c>
      <c r="X168" s="113">
        <v>1</v>
      </c>
      <c r="Y168" s="113">
        <v>0</v>
      </c>
      <c r="Z168" s="113">
        <v>0</v>
      </c>
      <c r="AA168" s="113">
        <v>0</v>
      </c>
      <c r="AB168" s="113">
        <v>2</v>
      </c>
      <c r="AC168" s="113">
        <v>2</v>
      </c>
      <c r="AD168" s="113">
        <v>0</v>
      </c>
      <c r="AE168" s="113">
        <v>1</v>
      </c>
      <c r="AF168" s="113">
        <v>0</v>
      </c>
      <c r="AG168" s="5">
        <f t="shared" si="26"/>
        <v>14</v>
      </c>
    </row>
    <row r="169" spans="1:34" ht="15.75" customHeight="1" x14ac:dyDescent="0.25">
      <c r="A169" s="114" t="s">
        <v>116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1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1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1</v>
      </c>
      <c r="AA169" s="113">
        <v>0</v>
      </c>
      <c r="AB169" s="113">
        <v>1</v>
      </c>
      <c r="AC169" s="113">
        <v>0</v>
      </c>
      <c r="AD169" s="113">
        <v>0</v>
      </c>
      <c r="AE169" s="113">
        <v>0</v>
      </c>
      <c r="AF169" s="113">
        <v>0</v>
      </c>
      <c r="AG169" s="5">
        <f t="shared" si="26"/>
        <v>4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92</v>
      </c>
      <c r="C171" s="41">
        <f t="shared" si="27"/>
        <v>100</v>
      </c>
      <c r="D171" s="41">
        <f t="shared" si="27"/>
        <v>99</v>
      </c>
      <c r="E171" s="41">
        <f t="shared" si="27"/>
        <v>84</v>
      </c>
      <c r="F171" s="41">
        <f t="shared" si="27"/>
        <v>83</v>
      </c>
      <c r="G171" s="41">
        <f t="shared" si="27"/>
        <v>143</v>
      </c>
      <c r="H171" s="41">
        <f t="shared" si="27"/>
        <v>140</v>
      </c>
      <c r="I171" s="41">
        <f t="shared" si="27"/>
        <v>98</v>
      </c>
      <c r="J171" s="41">
        <f t="shared" si="27"/>
        <v>99</v>
      </c>
      <c r="K171" s="41">
        <f t="shared" si="27"/>
        <v>105</v>
      </c>
      <c r="L171" s="41">
        <f t="shared" si="27"/>
        <v>89</v>
      </c>
      <c r="M171" s="41">
        <f t="shared" si="27"/>
        <v>84</v>
      </c>
      <c r="N171" s="41">
        <f t="shared" si="27"/>
        <v>154</v>
      </c>
      <c r="O171" s="41">
        <f t="shared" si="27"/>
        <v>128</v>
      </c>
      <c r="P171" s="41">
        <f t="shared" si="27"/>
        <v>90</v>
      </c>
      <c r="Q171" s="41">
        <f t="shared" si="27"/>
        <v>189</v>
      </c>
      <c r="R171" s="41">
        <f t="shared" si="27"/>
        <v>112</v>
      </c>
      <c r="S171" s="41">
        <f t="shared" si="27"/>
        <v>113</v>
      </c>
      <c r="T171" s="41">
        <f t="shared" si="27"/>
        <v>102</v>
      </c>
      <c r="U171" s="41">
        <f t="shared" si="27"/>
        <v>156</v>
      </c>
      <c r="V171" s="41">
        <f t="shared" si="27"/>
        <v>176</v>
      </c>
      <c r="W171" s="41">
        <f t="shared" si="27"/>
        <v>138</v>
      </c>
      <c r="X171" s="41">
        <f t="shared" si="27"/>
        <v>111</v>
      </c>
      <c r="Y171" s="41">
        <f t="shared" si="27"/>
        <v>120</v>
      </c>
      <c r="Z171" s="41">
        <f t="shared" si="27"/>
        <v>117</v>
      </c>
      <c r="AA171" s="41">
        <f t="shared" si="27"/>
        <v>109</v>
      </c>
      <c r="AB171" s="41">
        <f t="shared" si="27"/>
        <v>165</v>
      </c>
      <c r="AC171" s="41">
        <f t="shared" si="27"/>
        <v>163</v>
      </c>
      <c r="AD171" s="41">
        <f t="shared" si="27"/>
        <v>135</v>
      </c>
      <c r="AE171" s="41">
        <f t="shared" si="27"/>
        <v>113</v>
      </c>
      <c r="AF171" s="41">
        <f t="shared" si="27"/>
        <v>98</v>
      </c>
      <c r="AG171" s="42">
        <f t="shared" si="26"/>
        <v>3705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0</v>
      </c>
    </row>
    <row r="173" spans="1:34" ht="15.75" customHeight="1" x14ac:dyDescent="0.25">
      <c r="A173" s="119" t="s">
        <v>38</v>
      </c>
      <c r="B173" s="120">
        <v>0</v>
      </c>
      <c r="C173" s="120">
        <v>1</v>
      </c>
      <c r="D173" s="120">
        <v>2</v>
      </c>
      <c r="E173" s="120">
        <v>1</v>
      </c>
      <c r="F173" s="120">
        <v>2</v>
      </c>
      <c r="G173" s="120">
        <v>2</v>
      </c>
      <c r="H173" s="120">
        <v>0</v>
      </c>
      <c r="I173" s="120">
        <v>0</v>
      </c>
      <c r="J173" s="120">
        <v>0</v>
      </c>
      <c r="K173" s="120">
        <v>0</v>
      </c>
      <c r="L173" s="120">
        <v>2</v>
      </c>
      <c r="M173" s="120">
        <v>0</v>
      </c>
      <c r="N173" s="120">
        <v>1</v>
      </c>
      <c r="O173" s="120">
        <v>0</v>
      </c>
      <c r="P173" s="120">
        <v>0</v>
      </c>
      <c r="Q173" s="120">
        <v>2</v>
      </c>
      <c r="R173" s="120">
        <v>1</v>
      </c>
      <c r="S173" s="120">
        <v>0</v>
      </c>
      <c r="T173" s="120">
        <v>0</v>
      </c>
      <c r="U173" s="120">
        <v>3</v>
      </c>
      <c r="V173" s="120">
        <v>2</v>
      </c>
      <c r="W173" s="120">
        <v>0</v>
      </c>
      <c r="X173" s="120">
        <v>1</v>
      </c>
      <c r="Y173" s="120">
        <v>0</v>
      </c>
      <c r="Z173" s="120">
        <v>1</v>
      </c>
      <c r="AA173" s="120">
        <v>0</v>
      </c>
      <c r="AB173" s="120">
        <v>0</v>
      </c>
      <c r="AC173" s="120">
        <v>2</v>
      </c>
      <c r="AD173" s="120">
        <v>0</v>
      </c>
      <c r="AE173" s="120">
        <v>0</v>
      </c>
      <c r="AF173" s="120">
        <v>2</v>
      </c>
      <c r="AG173" s="44">
        <f t="shared" si="26"/>
        <v>25</v>
      </c>
    </row>
    <row r="174" spans="1:34" ht="15.75" customHeight="1" x14ac:dyDescent="0.25">
      <c r="A174" s="119" t="s">
        <v>39</v>
      </c>
      <c r="B174" s="120">
        <v>12</v>
      </c>
      <c r="C174" s="120">
        <v>11</v>
      </c>
      <c r="D174" s="120">
        <v>10</v>
      </c>
      <c r="E174" s="120">
        <v>14</v>
      </c>
      <c r="F174" s="120">
        <v>14</v>
      </c>
      <c r="G174" s="120">
        <v>19</v>
      </c>
      <c r="H174" s="120">
        <v>25</v>
      </c>
      <c r="I174" s="120">
        <v>12</v>
      </c>
      <c r="J174" s="120">
        <v>20</v>
      </c>
      <c r="K174" s="120">
        <v>15</v>
      </c>
      <c r="L174" s="120">
        <v>11</v>
      </c>
      <c r="M174" s="120">
        <v>14</v>
      </c>
      <c r="N174" s="120">
        <v>29</v>
      </c>
      <c r="O174" s="120">
        <v>17</v>
      </c>
      <c r="P174" s="120">
        <v>9</v>
      </c>
      <c r="Q174" s="120">
        <v>28</v>
      </c>
      <c r="R174" s="120">
        <v>14</v>
      </c>
      <c r="S174" s="120">
        <v>19</v>
      </c>
      <c r="T174" s="120">
        <v>19</v>
      </c>
      <c r="U174" s="120">
        <v>28</v>
      </c>
      <c r="V174" s="120">
        <v>28</v>
      </c>
      <c r="W174" s="120">
        <v>19</v>
      </c>
      <c r="X174" s="120">
        <v>7</v>
      </c>
      <c r="Y174" s="120">
        <v>16</v>
      </c>
      <c r="Z174" s="120">
        <v>20</v>
      </c>
      <c r="AA174" s="120">
        <v>9</v>
      </c>
      <c r="AB174" s="120">
        <v>26</v>
      </c>
      <c r="AC174" s="120">
        <v>15</v>
      </c>
      <c r="AD174" s="120">
        <v>15</v>
      </c>
      <c r="AE174" s="120">
        <v>13</v>
      </c>
      <c r="AF174" s="120">
        <v>11</v>
      </c>
      <c r="AG174" s="44">
        <f t="shared" si="26"/>
        <v>519</v>
      </c>
    </row>
    <row r="175" spans="1:34" ht="15.75" customHeight="1" x14ac:dyDescent="0.25">
      <c r="A175" s="119" t="s">
        <v>40</v>
      </c>
      <c r="B175" s="120">
        <v>71</v>
      </c>
      <c r="C175" s="120">
        <v>83</v>
      </c>
      <c r="D175" s="120">
        <v>61</v>
      </c>
      <c r="E175" s="120">
        <v>59</v>
      </c>
      <c r="F175" s="120">
        <v>57</v>
      </c>
      <c r="G175" s="120">
        <v>106</v>
      </c>
      <c r="H175" s="120">
        <v>102</v>
      </c>
      <c r="I175" s="120">
        <v>80</v>
      </c>
      <c r="J175" s="120">
        <v>72</v>
      </c>
      <c r="K175" s="120">
        <v>79</v>
      </c>
      <c r="L175" s="120">
        <v>63</v>
      </c>
      <c r="M175" s="120">
        <v>54</v>
      </c>
      <c r="N175" s="120">
        <v>109</v>
      </c>
      <c r="O175" s="120">
        <v>93</v>
      </c>
      <c r="P175" s="120">
        <v>76</v>
      </c>
      <c r="Q175" s="120">
        <v>132</v>
      </c>
      <c r="R175" s="120">
        <v>91</v>
      </c>
      <c r="S175" s="120">
        <v>88</v>
      </c>
      <c r="T175" s="120">
        <v>70</v>
      </c>
      <c r="U175" s="120">
        <v>100</v>
      </c>
      <c r="V175" s="120">
        <v>127</v>
      </c>
      <c r="W175" s="120">
        <v>101</v>
      </c>
      <c r="X175" s="120">
        <v>99</v>
      </c>
      <c r="Y175" s="120">
        <v>98</v>
      </c>
      <c r="Z175" s="120">
        <v>82</v>
      </c>
      <c r="AA175" s="120">
        <v>74</v>
      </c>
      <c r="AB175" s="120">
        <v>129</v>
      </c>
      <c r="AC175" s="120">
        <v>123</v>
      </c>
      <c r="AD175" s="120">
        <v>112</v>
      </c>
      <c r="AE175" s="120">
        <v>72</v>
      </c>
      <c r="AF175" s="120">
        <v>73</v>
      </c>
      <c r="AG175" s="44">
        <f t="shared" si="26"/>
        <v>2736</v>
      </c>
    </row>
    <row r="176" spans="1:34" ht="15.75" customHeight="1" thickBot="1" x14ac:dyDescent="0.3">
      <c r="A176" s="121" t="s">
        <v>41</v>
      </c>
      <c r="B176" s="122">
        <v>9</v>
      </c>
      <c r="C176" s="122">
        <v>5</v>
      </c>
      <c r="D176" s="122">
        <v>26</v>
      </c>
      <c r="E176" s="122">
        <v>10</v>
      </c>
      <c r="F176" s="122">
        <v>10</v>
      </c>
      <c r="G176" s="122">
        <v>16</v>
      </c>
      <c r="H176" s="122">
        <v>13</v>
      </c>
      <c r="I176" s="122">
        <v>6</v>
      </c>
      <c r="J176" s="122">
        <v>7</v>
      </c>
      <c r="K176" s="122">
        <v>11</v>
      </c>
      <c r="L176" s="122">
        <v>13</v>
      </c>
      <c r="M176" s="122">
        <v>16</v>
      </c>
      <c r="N176" s="122">
        <v>15</v>
      </c>
      <c r="O176" s="122">
        <v>18</v>
      </c>
      <c r="P176" s="122">
        <v>5</v>
      </c>
      <c r="Q176" s="122">
        <v>27</v>
      </c>
      <c r="R176" s="122">
        <v>6</v>
      </c>
      <c r="S176" s="122">
        <v>6</v>
      </c>
      <c r="T176" s="122">
        <v>13</v>
      </c>
      <c r="U176" s="122">
        <v>25</v>
      </c>
      <c r="V176" s="122">
        <v>19</v>
      </c>
      <c r="W176" s="122">
        <v>18</v>
      </c>
      <c r="X176" s="122">
        <v>4</v>
      </c>
      <c r="Y176" s="122">
        <v>6</v>
      </c>
      <c r="Z176" s="122">
        <v>14</v>
      </c>
      <c r="AA176" s="122">
        <v>26</v>
      </c>
      <c r="AB176" s="122">
        <v>10</v>
      </c>
      <c r="AC176" s="122">
        <v>23</v>
      </c>
      <c r="AD176" s="122">
        <v>8</v>
      </c>
      <c r="AE176" s="122">
        <v>28</v>
      </c>
      <c r="AF176" s="122">
        <v>12</v>
      </c>
      <c r="AG176" s="45">
        <f t="shared" si="26"/>
        <v>425</v>
      </c>
    </row>
    <row r="177" spans="1:34" ht="15.75" customHeight="1" x14ac:dyDescent="0.25">
      <c r="A177" s="123" t="s">
        <v>120</v>
      </c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26">
        <f t="shared" si="26"/>
        <v>0</v>
      </c>
      <c r="AH177" s="140" t="s">
        <v>177</v>
      </c>
    </row>
    <row r="178" spans="1:34" ht="15.75" customHeight="1" x14ac:dyDescent="0.25">
      <c r="A178" s="125" t="s">
        <v>122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123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QCyBodJss1b28uGPMmMUO3+xvNIQCdEFSKq3dp0fuydDZKKMbZR3sxhJs5hPCxbQuaJ1e30FXlDjvKuAsvex0Q==" saltValue="mEMEScLsvDjrXHT50z7VUQ==" spinCount="100000" sheet="1" objects="1" scenarios="1"/>
  <dataConsolidate/>
  <mergeCells count="2">
    <mergeCell ref="A1:AG1"/>
    <mergeCell ref="AH177:AH180"/>
  </mergeCells>
  <conditionalFormatting sqref="AD29:AF52">
    <cfRule type="cellIs" dxfId="17" priority="3" operator="lessThan">
      <formula>0</formula>
    </cfRule>
  </conditionalFormatting>
  <conditionalFormatting sqref="AH171">
    <cfRule type="cellIs" dxfId="16" priority="2" operator="equal">
      <formula>"X"</formula>
    </cfRule>
  </conditionalFormatting>
  <conditionalFormatting sqref="AH1:AH1048576">
    <cfRule type="cellIs" dxfId="15" priority="1" operator="equal">
      <formula>"*"</formula>
    </cfRule>
  </conditionalFormatting>
  <dataValidations count="1">
    <dataValidation type="decimal" allowBlank="1" showInputMessage="1" showErrorMessage="1" prompt="ERROR - Por favor ingrese solo Números" sqref="A101:A115 A98:A99" xr:uid="{B5F3FB12-312B-4556-8D0F-DC252BEAAC91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371FA-4B34-45C9-B53B-A59FC23219BB}">
  <sheetPr codeName="Hoja24"/>
  <dimension ref="A1:AK954"/>
  <sheetViews>
    <sheetView zoomScale="80" zoomScaleNormal="80" workbookViewId="0">
      <pane xSplit="1" ySplit="3" topLeftCell="B120" activePane="bottomRight" state="frozen"/>
      <selection activeCell="Q5" sqref="Q5"/>
      <selection pane="topRight" activeCell="Q5" sqref="Q5"/>
      <selection pane="bottomLeft" activeCell="Q5" sqref="Q5"/>
      <selection pane="bottomRight" activeCell="AF143" sqref="AF143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171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80</v>
      </c>
      <c r="C3" s="1">
        <f t="shared" si="1"/>
        <v>99</v>
      </c>
      <c r="D3" s="1">
        <f t="shared" si="1"/>
        <v>171</v>
      </c>
      <c r="E3" s="1">
        <f t="shared" si="1"/>
        <v>182</v>
      </c>
      <c r="F3" s="1">
        <f t="shared" si="1"/>
        <v>140</v>
      </c>
      <c r="G3" s="1">
        <f t="shared" si="1"/>
        <v>127</v>
      </c>
      <c r="H3" s="1">
        <f t="shared" si="1"/>
        <v>103</v>
      </c>
      <c r="I3" s="1">
        <f t="shared" si="1"/>
        <v>114</v>
      </c>
      <c r="J3" s="1">
        <f t="shared" si="1"/>
        <v>130</v>
      </c>
      <c r="K3" s="1">
        <f t="shared" si="1"/>
        <v>198</v>
      </c>
      <c r="L3" s="1">
        <f t="shared" si="1"/>
        <v>158</v>
      </c>
      <c r="M3" s="1">
        <f t="shared" si="1"/>
        <v>143</v>
      </c>
      <c r="N3" s="1">
        <f t="shared" si="1"/>
        <v>136</v>
      </c>
      <c r="O3" s="1">
        <f t="shared" si="1"/>
        <v>128</v>
      </c>
      <c r="P3" s="1">
        <f t="shared" si="1"/>
        <v>185</v>
      </c>
      <c r="Q3" s="1">
        <f t="shared" si="1"/>
        <v>121</v>
      </c>
      <c r="R3" s="1">
        <f t="shared" si="1"/>
        <v>189</v>
      </c>
      <c r="S3" s="1">
        <f t="shared" si="1"/>
        <v>173</v>
      </c>
      <c r="T3" s="1">
        <f t="shared" si="1"/>
        <v>149</v>
      </c>
      <c r="U3" s="1">
        <f t="shared" si="1"/>
        <v>235</v>
      </c>
      <c r="V3" s="1">
        <f t="shared" si="1"/>
        <v>137</v>
      </c>
      <c r="W3" s="1">
        <f t="shared" si="1"/>
        <v>102</v>
      </c>
      <c r="X3" s="1">
        <f t="shared" si="1"/>
        <v>117</v>
      </c>
      <c r="Y3" s="1">
        <f t="shared" si="1"/>
        <v>200</v>
      </c>
      <c r="Z3" s="1">
        <f t="shared" si="1"/>
        <v>193</v>
      </c>
      <c r="AA3" s="1">
        <f t="shared" si="1"/>
        <v>162</v>
      </c>
      <c r="AB3" s="1">
        <f t="shared" si="1"/>
        <v>126</v>
      </c>
      <c r="AC3" s="1">
        <f t="shared" si="1"/>
        <v>132</v>
      </c>
      <c r="AD3" s="1">
        <f t="shared" si="1"/>
        <v>120</v>
      </c>
      <c r="AE3" s="1">
        <f t="shared" si="1"/>
        <v>150</v>
      </c>
      <c r="AF3" s="1">
        <f t="shared" si="1"/>
        <v>216</v>
      </c>
      <c r="AG3" s="2">
        <f t="shared" ref="AG3:AG66" si="2">SUM(B3:AF3)</f>
        <v>4616</v>
      </c>
    </row>
    <row r="4" spans="1:33" ht="18.75" x14ac:dyDescent="0.25">
      <c r="A4" s="53" t="s">
        <v>3</v>
      </c>
      <c r="B4" s="54">
        <v>0</v>
      </c>
      <c r="C4" s="55">
        <v>0</v>
      </c>
      <c r="D4" s="55">
        <v>7</v>
      </c>
      <c r="E4" s="55">
        <v>1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14</v>
      </c>
      <c r="L4" s="55">
        <v>3</v>
      </c>
      <c r="M4" s="55">
        <v>0</v>
      </c>
      <c r="N4" s="55">
        <v>0</v>
      </c>
      <c r="O4" s="55">
        <v>0</v>
      </c>
      <c r="P4" s="55">
        <v>13</v>
      </c>
      <c r="Q4" s="55">
        <v>0</v>
      </c>
      <c r="R4" s="55">
        <v>6</v>
      </c>
      <c r="S4" s="55">
        <v>8</v>
      </c>
      <c r="T4" s="55">
        <v>0</v>
      </c>
      <c r="U4" s="55">
        <v>7</v>
      </c>
      <c r="V4" s="55">
        <v>0</v>
      </c>
      <c r="W4" s="55">
        <v>0</v>
      </c>
      <c r="X4" s="55">
        <v>0</v>
      </c>
      <c r="Y4" s="55">
        <v>5</v>
      </c>
      <c r="Z4" s="55">
        <v>3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9</v>
      </c>
      <c r="AG4" s="4">
        <f t="shared" si="2"/>
        <v>76</v>
      </c>
    </row>
    <row r="5" spans="1:33" ht="18.75" x14ac:dyDescent="0.25">
      <c r="A5" s="56" t="s">
        <v>4</v>
      </c>
      <c r="B5" s="54">
        <v>0</v>
      </c>
      <c r="C5" s="54">
        <v>0</v>
      </c>
      <c r="D5" s="54">
        <v>6</v>
      </c>
      <c r="E5" s="54">
        <v>3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14</v>
      </c>
      <c r="L5" s="54">
        <v>9</v>
      </c>
      <c r="M5" s="54">
        <v>0</v>
      </c>
      <c r="N5" s="54">
        <v>0</v>
      </c>
      <c r="O5" s="54">
        <v>0</v>
      </c>
      <c r="P5" s="54">
        <v>10</v>
      </c>
      <c r="Q5" s="54">
        <v>0</v>
      </c>
      <c r="R5" s="54">
        <v>10</v>
      </c>
      <c r="S5" s="54">
        <v>9</v>
      </c>
      <c r="T5" s="54">
        <v>0</v>
      </c>
      <c r="U5" s="54">
        <v>14</v>
      </c>
      <c r="V5" s="54">
        <v>0</v>
      </c>
      <c r="W5" s="54">
        <v>0</v>
      </c>
      <c r="X5" s="54">
        <v>0</v>
      </c>
      <c r="Y5" s="54">
        <v>12</v>
      </c>
      <c r="Z5" s="54">
        <v>15</v>
      </c>
      <c r="AA5" s="54">
        <v>0</v>
      </c>
      <c r="AB5" s="54">
        <v>0</v>
      </c>
      <c r="AC5" s="54">
        <v>0</v>
      </c>
      <c r="AD5" s="54">
        <v>0</v>
      </c>
      <c r="AE5" s="54">
        <v>0</v>
      </c>
      <c r="AF5" s="54">
        <v>11</v>
      </c>
      <c r="AG5" s="5">
        <f t="shared" si="2"/>
        <v>113</v>
      </c>
    </row>
    <row r="6" spans="1:33" ht="18.75" x14ac:dyDescent="0.25">
      <c r="A6" s="56" t="s">
        <v>5</v>
      </c>
      <c r="B6" s="54">
        <v>0</v>
      </c>
      <c r="C6" s="54">
        <v>0</v>
      </c>
      <c r="D6" s="54">
        <v>14</v>
      </c>
      <c r="E6" s="54">
        <v>13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12</v>
      </c>
      <c r="L6" s="54">
        <v>7</v>
      </c>
      <c r="M6" s="54">
        <v>0</v>
      </c>
      <c r="N6" s="54">
        <v>0</v>
      </c>
      <c r="O6" s="54">
        <v>0</v>
      </c>
      <c r="P6" s="54">
        <v>18</v>
      </c>
      <c r="Q6" s="54">
        <v>0</v>
      </c>
      <c r="R6" s="54">
        <v>12</v>
      </c>
      <c r="S6" s="54">
        <v>14</v>
      </c>
      <c r="T6" s="54">
        <v>0</v>
      </c>
      <c r="U6" s="54">
        <v>15</v>
      </c>
      <c r="V6" s="54">
        <v>0</v>
      </c>
      <c r="W6" s="54">
        <v>0</v>
      </c>
      <c r="X6" s="54">
        <v>0</v>
      </c>
      <c r="Y6" s="54">
        <v>18</v>
      </c>
      <c r="Z6" s="54">
        <v>12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54">
        <v>13</v>
      </c>
      <c r="AG6" s="5">
        <f t="shared" si="2"/>
        <v>148</v>
      </c>
    </row>
    <row r="7" spans="1:33" ht="18.75" x14ac:dyDescent="0.25">
      <c r="A7" s="56" t="s">
        <v>6</v>
      </c>
      <c r="B7" s="54">
        <v>0</v>
      </c>
      <c r="C7" s="54">
        <v>0</v>
      </c>
      <c r="D7" s="54">
        <v>17</v>
      </c>
      <c r="E7" s="54">
        <v>18</v>
      </c>
      <c r="F7" s="54">
        <v>0</v>
      </c>
      <c r="G7" s="54">
        <v>0</v>
      </c>
      <c r="H7" s="54">
        <v>0</v>
      </c>
      <c r="I7" s="54">
        <v>0</v>
      </c>
      <c r="J7" s="54">
        <v>0</v>
      </c>
      <c r="K7" s="54">
        <v>23</v>
      </c>
      <c r="L7" s="54">
        <v>10</v>
      </c>
      <c r="M7" s="54">
        <v>0</v>
      </c>
      <c r="N7" s="54">
        <v>0</v>
      </c>
      <c r="O7" s="54">
        <v>0</v>
      </c>
      <c r="P7" s="54">
        <v>13</v>
      </c>
      <c r="Q7" s="54">
        <v>0</v>
      </c>
      <c r="R7" s="54">
        <v>15</v>
      </c>
      <c r="S7" s="54">
        <v>14</v>
      </c>
      <c r="T7" s="54">
        <v>0</v>
      </c>
      <c r="U7" s="54">
        <v>17</v>
      </c>
      <c r="V7" s="54">
        <v>0</v>
      </c>
      <c r="W7" s="54">
        <v>0</v>
      </c>
      <c r="X7" s="54">
        <v>0</v>
      </c>
      <c r="Y7" s="54">
        <v>20</v>
      </c>
      <c r="Z7" s="54">
        <v>13</v>
      </c>
      <c r="AA7" s="54">
        <v>0</v>
      </c>
      <c r="AB7" s="54">
        <v>0</v>
      </c>
      <c r="AC7" s="54">
        <v>0</v>
      </c>
      <c r="AD7" s="54">
        <v>0</v>
      </c>
      <c r="AE7" s="54">
        <v>0</v>
      </c>
      <c r="AF7" s="54">
        <v>16</v>
      </c>
      <c r="AG7" s="5">
        <f t="shared" si="2"/>
        <v>176</v>
      </c>
    </row>
    <row r="8" spans="1:33" ht="18.75" x14ac:dyDescent="0.25">
      <c r="A8" s="56" t="s">
        <v>7</v>
      </c>
      <c r="B8" s="54">
        <v>0</v>
      </c>
      <c r="C8" s="54">
        <v>0</v>
      </c>
      <c r="D8" s="54">
        <v>17</v>
      </c>
      <c r="E8" s="54">
        <v>23</v>
      </c>
      <c r="F8" s="54">
        <v>0</v>
      </c>
      <c r="G8" s="54">
        <v>0</v>
      </c>
      <c r="H8" s="54">
        <v>0</v>
      </c>
      <c r="I8" s="54">
        <v>0</v>
      </c>
      <c r="J8" s="54">
        <v>0</v>
      </c>
      <c r="K8" s="54">
        <v>9</v>
      </c>
      <c r="L8" s="54">
        <v>12</v>
      </c>
      <c r="M8" s="54">
        <v>0</v>
      </c>
      <c r="N8" s="54">
        <v>0</v>
      </c>
      <c r="O8" s="54">
        <v>0</v>
      </c>
      <c r="P8" s="54">
        <v>10</v>
      </c>
      <c r="Q8" s="54">
        <v>0</v>
      </c>
      <c r="R8" s="54">
        <v>18</v>
      </c>
      <c r="S8" s="54">
        <v>14</v>
      </c>
      <c r="T8" s="54">
        <v>0</v>
      </c>
      <c r="U8" s="54">
        <v>15</v>
      </c>
      <c r="V8" s="54">
        <v>0</v>
      </c>
      <c r="W8" s="54">
        <v>0</v>
      </c>
      <c r="X8" s="54">
        <v>0</v>
      </c>
      <c r="Y8" s="54">
        <v>10</v>
      </c>
      <c r="Z8" s="54">
        <v>10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54">
        <v>15</v>
      </c>
      <c r="AG8" s="5">
        <f t="shared" si="2"/>
        <v>153</v>
      </c>
    </row>
    <row r="9" spans="1:33" ht="18.75" x14ac:dyDescent="0.25">
      <c r="A9" s="56" t="s">
        <v>8</v>
      </c>
      <c r="B9" s="54">
        <v>0</v>
      </c>
      <c r="C9" s="54">
        <v>0</v>
      </c>
      <c r="D9" s="54">
        <v>8</v>
      </c>
      <c r="E9" s="54">
        <v>14</v>
      </c>
      <c r="F9" s="54">
        <v>0</v>
      </c>
      <c r="G9" s="54">
        <v>0</v>
      </c>
      <c r="H9" s="54">
        <v>0</v>
      </c>
      <c r="I9" s="54">
        <v>0</v>
      </c>
      <c r="J9" s="54">
        <v>0</v>
      </c>
      <c r="K9" s="54">
        <v>7</v>
      </c>
      <c r="L9" s="54">
        <v>10</v>
      </c>
      <c r="M9" s="54">
        <v>0</v>
      </c>
      <c r="N9" s="54">
        <v>0</v>
      </c>
      <c r="O9" s="54">
        <v>0</v>
      </c>
      <c r="P9" s="54">
        <v>9</v>
      </c>
      <c r="Q9" s="54">
        <v>0</v>
      </c>
      <c r="R9" s="54">
        <v>11</v>
      </c>
      <c r="S9" s="54">
        <v>13</v>
      </c>
      <c r="T9" s="54">
        <v>0</v>
      </c>
      <c r="U9" s="54">
        <v>19</v>
      </c>
      <c r="V9" s="54">
        <v>0</v>
      </c>
      <c r="W9" s="54">
        <v>0</v>
      </c>
      <c r="X9" s="54">
        <v>0</v>
      </c>
      <c r="Y9" s="54">
        <v>13</v>
      </c>
      <c r="Z9" s="54">
        <v>20</v>
      </c>
      <c r="AA9" s="54">
        <v>0</v>
      </c>
      <c r="AB9" s="54">
        <v>0</v>
      </c>
      <c r="AC9" s="54">
        <v>0</v>
      </c>
      <c r="AD9" s="54">
        <v>0</v>
      </c>
      <c r="AE9" s="54">
        <v>0</v>
      </c>
      <c r="AF9" s="54">
        <v>16</v>
      </c>
      <c r="AG9" s="5">
        <f t="shared" si="2"/>
        <v>140</v>
      </c>
    </row>
    <row r="10" spans="1:33" ht="18.75" x14ac:dyDescent="0.25">
      <c r="A10" s="56" t="s">
        <v>9</v>
      </c>
      <c r="B10" s="54">
        <v>0</v>
      </c>
      <c r="C10" s="54">
        <v>0</v>
      </c>
      <c r="D10" s="54">
        <v>19</v>
      </c>
      <c r="E10" s="54">
        <v>9</v>
      </c>
      <c r="F10" s="54">
        <v>0</v>
      </c>
      <c r="G10" s="54">
        <v>0</v>
      </c>
      <c r="H10" s="54">
        <v>0</v>
      </c>
      <c r="I10" s="54">
        <v>0</v>
      </c>
      <c r="J10" s="54">
        <v>0</v>
      </c>
      <c r="K10" s="54">
        <v>12</v>
      </c>
      <c r="L10" s="54">
        <v>7</v>
      </c>
      <c r="M10" s="54">
        <v>0</v>
      </c>
      <c r="N10" s="54">
        <v>0</v>
      </c>
      <c r="O10" s="54">
        <v>0</v>
      </c>
      <c r="P10" s="54">
        <v>18</v>
      </c>
      <c r="Q10" s="54">
        <v>0</v>
      </c>
      <c r="R10" s="54">
        <v>13</v>
      </c>
      <c r="S10" s="54">
        <v>8</v>
      </c>
      <c r="T10" s="54">
        <v>0</v>
      </c>
      <c r="U10" s="54">
        <v>9</v>
      </c>
      <c r="V10" s="54">
        <v>0</v>
      </c>
      <c r="W10" s="54">
        <v>0</v>
      </c>
      <c r="X10" s="54">
        <v>0</v>
      </c>
      <c r="Y10" s="54">
        <v>18</v>
      </c>
      <c r="Z10" s="54">
        <v>14</v>
      </c>
      <c r="AA10" s="54">
        <v>0</v>
      </c>
      <c r="AB10" s="54">
        <v>0</v>
      </c>
      <c r="AC10" s="54">
        <v>0</v>
      </c>
      <c r="AD10" s="54">
        <v>0</v>
      </c>
      <c r="AE10" s="54">
        <v>0</v>
      </c>
      <c r="AF10" s="54">
        <v>13</v>
      </c>
      <c r="AG10" s="5">
        <f t="shared" si="2"/>
        <v>140</v>
      </c>
    </row>
    <row r="11" spans="1:33" ht="18.75" x14ac:dyDescent="0.25">
      <c r="A11" s="56" t="s">
        <v>10</v>
      </c>
      <c r="B11" s="54">
        <v>0</v>
      </c>
      <c r="C11" s="54">
        <v>1</v>
      </c>
      <c r="D11" s="54">
        <v>9</v>
      </c>
      <c r="E11" s="54">
        <v>11</v>
      </c>
      <c r="F11" s="54">
        <v>0</v>
      </c>
      <c r="G11" s="54">
        <v>0</v>
      </c>
      <c r="H11" s="54">
        <v>0</v>
      </c>
      <c r="I11" s="54">
        <v>0</v>
      </c>
      <c r="J11" s="54">
        <v>4</v>
      </c>
      <c r="K11" s="54">
        <v>13</v>
      </c>
      <c r="L11" s="54">
        <v>11</v>
      </c>
      <c r="M11" s="54">
        <v>0</v>
      </c>
      <c r="N11" s="54">
        <v>0</v>
      </c>
      <c r="O11" s="54">
        <v>0</v>
      </c>
      <c r="P11" s="54">
        <v>8</v>
      </c>
      <c r="Q11" s="54">
        <v>7</v>
      </c>
      <c r="R11" s="54">
        <v>10</v>
      </c>
      <c r="S11" s="54">
        <v>20</v>
      </c>
      <c r="T11" s="54">
        <v>0</v>
      </c>
      <c r="U11" s="54">
        <v>14</v>
      </c>
      <c r="V11" s="54">
        <v>0</v>
      </c>
      <c r="W11" s="54">
        <v>0</v>
      </c>
      <c r="X11" s="54">
        <v>8</v>
      </c>
      <c r="Y11" s="54">
        <v>10</v>
      </c>
      <c r="Z11" s="54">
        <v>7</v>
      </c>
      <c r="AA11" s="54">
        <v>0</v>
      </c>
      <c r="AB11" s="54">
        <v>0</v>
      </c>
      <c r="AC11" s="54">
        <v>0</v>
      </c>
      <c r="AD11" s="54">
        <v>0</v>
      </c>
      <c r="AE11" s="54">
        <v>3</v>
      </c>
      <c r="AF11" s="54">
        <v>12</v>
      </c>
      <c r="AG11" s="5">
        <f t="shared" si="2"/>
        <v>148</v>
      </c>
    </row>
    <row r="12" spans="1:33" ht="18.75" x14ac:dyDescent="0.25">
      <c r="A12" s="56" t="s">
        <v>11</v>
      </c>
      <c r="B12" s="54">
        <v>1</v>
      </c>
      <c r="C12" s="54">
        <v>35</v>
      </c>
      <c r="D12" s="54">
        <v>11</v>
      </c>
      <c r="E12" s="54">
        <v>14</v>
      </c>
      <c r="F12" s="54">
        <v>3</v>
      </c>
      <c r="G12" s="54">
        <v>6</v>
      </c>
      <c r="H12" s="54">
        <v>4</v>
      </c>
      <c r="I12" s="54">
        <v>6</v>
      </c>
      <c r="J12" s="54">
        <v>46</v>
      </c>
      <c r="K12" s="54">
        <v>16</v>
      </c>
      <c r="L12" s="54">
        <v>8</v>
      </c>
      <c r="M12" s="54">
        <v>0</v>
      </c>
      <c r="N12" s="54">
        <v>3</v>
      </c>
      <c r="O12" s="54">
        <v>3</v>
      </c>
      <c r="P12" s="54">
        <v>10</v>
      </c>
      <c r="Q12" s="54">
        <v>39</v>
      </c>
      <c r="R12" s="54">
        <v>11</v>
      </c>
      <c r="S12" s="54">
        <v>9</v>
      </c>
      <c r="T12" s="54">
        <v>0</v>
      </c>
      <c r="U12" s="54">
        <v>22</v>
      </c>
      <c r="V12" s="54">
        <v>9</v>
      </c>
      <c r="W12" s="54">
        <v>3</v>
      </c>
      <c r="X12" s="54">
        <v>39</v>
      </c>
      <c r="Y12" s="54">
        <v>19</v>
      </c>
      <c r="Z12" s="54">
        <v>16</v>
      </c>
      <c r="AA12" s="54">
        <v>1</v>
      </c>
      <c r="AB12" s="54">
        <v>2</v>
      </c>
      <c r="AC12" s="54">
        <v>4</v>
      </c>
      <c r="AD12" s="54">
        <v>6</v>
      </c>
      <c r="AE12" s="54">
        <v>48</v>
      </c>
      <c r="AF12" s="54">
        <v>10</v>
      </c>
      <c r="AG12" s="5">
        <f t="shared" si="2"/>
        <v>404</v>
      </c>
    </row>
    <row r="13" spans="1:33" ht="18.75" x14ac:dyDescent="0.25">
      <c r="A13" s="56" t="s">
        <v>12</v>
      </c>
      <c r="B13" s="54">
        <v>31</v>
      </c>
      <c r="C13" s="54">
        <v>19</v>
      </c>
      <c r="D13" s="54">
        <v>11</v>
      </c>
      <c r="E13" s="54">
        <v>14</v>
      </c>
      <c r="F13" s="54">
        <v>56</v>
      </c>
      <c r="G13" s="54">
        <v>54</v>
      </c>
      <c r="H13" s="54">
        <v>46</v>
      </c>
      <c r="I13" s="54">
        <v>60</v>
      </c>
      <c r="J13" s="54">
        <v>18</v>
      </c>
      <c r="K13" s="54">
        <v>11</v>
      </c>
      <c r="L13" s="54">
        <v>12</v>
      </c>
      <c r="M13" s="54">
        <v>61</v>
      </c>
      <c r="N13" s="54">
        <v>68</v>
      </c>
      <c r="O13" s="54">
        <v>54</v>
      </c>
      <c r="P13" s="54">
        <v>14</v>
      </c>
      <c r="Q13" s="54">
        <v>21</v>
      </c>
      <c r="R13" s="54">
        <v>13</v>
      </c>
      <c r="S13" s="54">
        <v>6</v>
      </c>
      <c r="T13" s="54">
        <v>67</v>
      </c>
      <c r="U13" s="54">
        <v>20</v>
      </c>
      <c r="V13" s="54">
        <v>64</v>
      </c>
      <c r="W13" s="54">
        <v>40</v>
      </c>
      <c r="X13" s="54">
        <v>14</v>
      </c>
      <c r="Y13" s="54">
        <v>16</v>
      </c>
      <c r="Z13" s="54">
        <v>16</v>
      </c>
      <c r="AA13" s="54">
        <v>56</v>
      </c>
      <c r="AB13" s="54">
        <v>60</v>
      </c>
      <c r="AC13" s="54">
        <v>59</v>
      </c>
      <c r="AD13" s="54">
        <v>47</v>
      </c>
      <c r="AE13" s="54">
        <v>13</v>
      </c>
      <c r="AF13" s="54">
        <v>18</v>
      </c>
      <c r="AG13" s="5">
        <f t="shared" si="2"/>
        <v>1059</v>
      </c>
    </row>
    <row r="14" spans="1:33" ht="18.75" x14ac:dyDescent="0.25">
      <c r="A14" s="56" t="s">
        <v>13</v>
      </c>
      <c r="B14" s="54">
        <v>10</v>
      </c>
      <c r="C14" s="54">
        <v>6</v>
      </c>
      <c r="D14" s="54">
        <v>9</v>
      </c>
      <c r="E14" s="54">
        <v>8</v>
      </c>
      <c r="F14" s="54">
        <v>21</v>
      </c>
      <c r="G14" s="54">
        <v>15</v>
      </c>
      <c r="H14" s="54">
        <v>15</v>
      </c>
      <c r="I14" s="54">
        <v>11</v>
      </c>
      <c r="J14" s="54">
        <v>10</v>
      </c>
      <c r="K14" s="54">
        <v>14</v>
      </c>
      <c r="L14" s="54">
        <v>9</v>
      </c>
      <c r="M14" s="54">
        <v>27</v>
      </c>
      <c r="N14" s="54">
        <v>19</v>
      </c>
      <c r="O14" s="54">
        <v>23</v>
      </c>
      <c r="P14" s="54">
        <v>13</v>
      </c>
      <c r="Q14" s="54">
        <v>5</v>
      </c>
      <c r="R14" s="54">
        <v>10</v>
      </c>
      <c r="S14" s="54">
        <v>8</v>
      </c>
      <c r="T14" s="54">
        <v>13</v>
      </c>
      <c r="U14" s="54">
        <v>20</v>
      </c>
      <c r="V14" s="54">
        <v>13</v>
      </c>
      <c r="W14" s="54">
        <v>15</v>
      </c>
      <c r="X14" s="54">
        <v>12</v>
      </c>
      <c r="Y14" s="54">
        <v>14</v>
      </c>
      <c r="Z14" s="54">
        <v>9</v>
      </c>
      <c r="AA14" s="54">
        <v>44</v>
      </c>
      <c r="AB14" s="54">
        <v>17</v>
      </c>
      <c r="AC14" s="54">
        <v>11</v>
      </c>
      <c r="AD14" s="54">
        <v>17</v>
      </c>
      <c r="AE14" s="54">
        <v>14</v>
      </c>
      <c r="AF14" s="54">
        <v>14</v>
      </c>
      <c r="AG14" s="5">
        <f t="shared" si="2"/>
        <v>446</v>
      </c>
    </row>
    <row r="15" spans="1:33" ht="18.75" x14ac:dyDescent="0.25">
      <c r="A15" s="56" t="s">
        <v>14</v>
      </c>
      <c r="B15" s="54">
        <v>7</v>
      </c>
      <c r="C15" s="54">
        <v>3</v>
      </c>
      <c r="D15" s="54">
        <v>7</v>
      </c>
      <c r="E15" s="54">
        <v>12</v>
      </c>
      <c r="F15" s="54">
        <v>20</v>
      </c>
      <c r="G15" s="54">
        <v>10</v>
      </c>
      <c r="H15" s="54">
        <v>12</v>
      </c>
      <c r="I15" s="54">
        <v>9</v>
      </c>
      <c r="J15" s="54">
        <v>9</v>
      </c>
      <c r="K15" s="54">
        <v>5</v>
      </c>
      <c r="L15" s="54">
        <v>18</v>
      </c>
      <c r="M15" s="54">
        <v>11</v>
      </c>
      <c r="N15" s="54">
        <v>9</v>
      </c>
      <c r="O15" s="54">
        <v>11</v>
      </c>
      <c r="P15" s="54">
        <v>7</v>
      </c>
      <c r="Q15" s="54">
        <v>9</v>
      </c>
      <c r="R15" s="54">
        <v>7</v>
      </c>
      <c r="S15" s="54">
        <v>10</v>
      </c>
      <c r="T15" s="54">
        <v>15</v>
      </c>
      <c r="U15" s="54">
        <v>11</v>
      </c>
      <c r="V15" s="54">
        <v>11</v>
      </c>
      <c r="W15" s="54">
        <v>8</v>
      </c>
      <c r="X15" s="54">
        <v>10</v>
      </c>
      <c r="Y15" s="54">
        <v>8</v>
      </c>
      <c r="Z15" s="54">
        <v>13</v>
      </c>
      <c r="AA15" s="54">
        <v>12</v>
      </c>
      <c r="AB15" s="54">
        <v>4</v>
      </c>
      <c r="AC15" s="54">
        <v>15</v>
      </c>
      <c r="AD15" s="54">
        <v>14</v>
      </c>
      <c r="AE15" s="54">
        <v>14</v>
      </c>
      <c r="AF15" s="54">
        <v>12</v>
      </c>
      <c r="AG15" s="5">
        <f t="shared" si="2"/>
        <v>323</v>
      </c>
    </row>
    <row r="16" spans="1:33" ht="18.75" x14ac:dyDescent="0.25">
      <c r="A16" s="56" t="s">
        <v>15</v>
      </c>
      <c r="B16" s="54">
        <v>4</v>
      </c>
      <c r="C16" s="54">
        <v>12</v>
      </c>
      <c r="D16" s="54">
        <v>8</v>
      </c>
      <c r="E16" s="54">
        <v>11</v>
      </c>
      <c r="F16" s="54">
        <v>13</v>
      </c>
      <c r="G16" s="54">
        <v>6</v>
      </c>
      <c r="H16" s="54">
        <v>4</v>
      </c>
      <c r="I16" s="54">
        <v>5</v>
      </c>
      <c r="J16" s="54">
        <v>14</v>
      </c>
      <c r="K16" s="54">
        <v>14</v>
      </c>
      <c r="L16" s="54">
        <v>11</v>
      </c>
      <c r="M16" s="54">
        <v>12</v>
      </c>
      <c r="N16" s="54">
        <v>5</v>
      </c>
      <c r="O16" s="54">
        <v>9</v>
      </c>
      <c r="P16" s="54">
        <v>7</v>
      </c>
      <c r="Q16" s="54">
        <v>9</v>
      </c>
      <c r="R16" s="54">
        <v>7</v>
      </c>
      <c r="S16" s="54">
        <v>10</v>
      </c>
      <c r="T16" s="54">
        <v>13</v>
      </c>
      <c r="U16" s="54">
        <v>4</v>
      </c>
      <c r="V16" s="54">
        <v>9</v>
      </c>
      <c r="W16" s="54">
        <v>10</v>
      </c>
      <c r="X16" s="54">
        <v>10</v>
      </c>
      <c r="Y16" s="54">
        <v>5</v>
      </c>
      <c r="Z16" s="54">
        <v>7</v>
      </c>
      <c r="AA16" s="54">
        <v>13</v>
      </c>
      <c r="AB16" s="54">
        <v>8</v>
      </c>
      <c r="AC16" s="54">
        <v>9</v>
      </c>
      <c r="AD16" s="54">
        <v>7</v>
      </c>
      <c r="AE16" s="54">
        <v>11</v>
      </c>
      <c r="AF16" s="54">
        <v>13</v>
      </c>
      <c r="AG16" s="5">
        <f t="shared" si="2"/>
        <v>280</v>
      </c>
    </row>
    <row r="17" spans="1:33" ht="18.75" x14ac:dyDescent="0.25">
      <c r="A17" s="56" t="s">
        <v>16</v>
      </c>
      <c r="B17" s="54">
        <v>10</v>
      </c>
      <c r="C17" s="54">
        <v>6</v>
      </c>
      <c r="D17" s="54">
        <v>8</v>
      </c>
      <c r="E17" s="54">
        <v>4</v>
      </c>
      <c r="F17" s="54">
        <v>8</v>
      </c>
      <c r="G17" s="54">
        <v>9</v>
      </c>
      <c r="H17" s="54">
        <v>6</v>
      </c>
      <c r="I17" s="54">
        <v>4</v>
      </c>
      <c r="J17" s="54">
        <v>7</v>
      </c>
      <c r="K17" s="54">
        <v>6</v>
      </c>
      <c r="L17" s="54">
        <v>7</v>
      </c>
      <c r="M17" s="54">
        <v>16</v>
      </c>
      <c r="N17" s="54">
        <v>8</v>
      </c>
      <c r="O17" s="54">
        <v>7</v>
      </c>
      <c r="P17" s="54">
        <v>8</v>
      </c>
      <c r="Q17" s="54">
        <v>14</v>
      </c>
      <c r="R17" s="54">
        <v>8</v>
      </c>
      <c r="S17" s="54">
        <v>5</v>
      </c>
      <c r="T17" s="54">
        <v>11</v>
      </c>
      <c r="U17" s="54">
        <v>9</v>
      </c>
      <c r="V17" s="54">
        <v>10</v>
      </c>
      <c r="W17" s="54">
        <v>9</v>
      </c>
      <c r="X17" s="54">
        <v>10</v>
      </c>
      <c r="Y17" s="54">
        <v>10</v>
      </c>
      <c r="Z17" s="54">
        <v>8</v>
      </c>
      <c r="AA17" s="54">
        <v>12</v>
      </c>
      <c r="AB17" s="54">
        <v>12</v>
      </c>
      <c r="AC17" s="54">
        <v>12</v>
      </c>
      <c r="AD17" s="54">
        <v>13</v>
      </c>
      <c r="AE17" s="54">
        <v>10</v>
      </c>
      <c r="AF17" s="54">
        <v>11</v>
      </c>
      <c r="AG17" s="5">
        <f t="shared" si="2"/>
        <v>278</v>
      </c>
    </row>
    <row r="18" spans="1:33" ht="18.75" x14ac:dyDescent="0.25">
      <c r="A18" s="56" t="s">
        <v>17</v>
      </c>
      <c r="B18" s="54">
        <v>5</v>
      </c>
      <c r="C18" s="54">
        <v>9</v>
      </c>
      <c r="D18" s="54">
        <v>6</v>
      </c>
      <c r="E18" s="54">
        <v>5</v>
      </c>
      <c r="F18" s="54">
        <v>5</v>
      </c>
      <c r="G18" s="54">
        <v>5</v>
      </c>
      <c r="H18" s="54">
        <v>7</v>
      </c>
      <c r="I18" s="54">
        <v>5</v>
      </c>
      <c r="J18" s="54">
        <v>3</v>
      </c>
      <c r="K18" s="54">
        <v>7</v>
      </c>
      <c r="L18" s="54">
        <v>5</v>
      </c>
      <c r="M18" s="54">
        <v>7</v>
      </c>
      <c r="N18" s="54">
        <v>4</v>
      </c>
      <c r="O18" s="54">
        <v>9</v>
      </c>
      <c r="P18" s="54">
        <v>7</v>
      </c>
      <c r="Q18" s="54">
        <v>7</v>
      </c>
      <c r="R18" s="54">
        <v>9</v>
      </c>
      <c r="S18" s="54">
        <v>3</v>
      </c>
      <c r="T18" s="54">
        <v>14</v>
      </c>
      <c r="U18" s="54">
        <v>8</v>
      </c>
      <c r="V18" s="54">
        <v>2</v>
      </c>
      <c r="W18" s="54">
        <v>6</v>
      </c>
      <c r="X18" s="54">
        <v>6</v>
      </c>
      <c r="Y18" s="54">
        <v>5</v>
      </c>
      <c r="Z18" s="54">
        <v>7</v>
      </c>
      <c r="AA18" s="54">
        <v>8</v>
      </c>
      <c r="AB18" s="54">
        <v>9</v>
      </c>
      <c r="AC18" s="54">
        <v>3</v>
      </c>
      <c r="AD18" s="54">
        <v>6</v>
      </c>
      <c r="AE18" s="54">
        <v>10</v>
      </c>
      <c r="AF18" s="54">
        <v>8</v>
      </c>
      <c r="AG18" s="5">
        <f t="shared" si="2"/>
        <v>200</v>
      </c>
    </row>
    <row r="19" spans="1:33" ht="18.75" x14ac:dyDescent="0.25">
      <c r="A19" s="56" t="s">
        <v>18</v>
      </c>
      <c r="B19" s="54">
        <v>2</v>
      </c>
      <c r="C19" s="54">
        <v>2</v>
      </c>
      <c r="D19" s="54">
        <v>5</v>
      </c>
      <c r="E19" s="54">
        <v>4</v>
      </c>
      <c r="F19" s="54">
        <v>2</v>
      </c>
      <c r="G19" s="54">
        <v>6</v>
      </c>
      <c r="H19" s="54">
        <v>4</v>
      </c>
      <c r="I19" s="54">
        <v>3</v>
      </c>
      <c r="J19" s="54">
        <v>6</v>
      </c>
      <c r="K19" s="54">
        <v>7</v>
      </c>
      <c r="L19" s="54">
        <v>1</v>
      </c>
      <c r="M19" s="54">
        <v>2</v>
      </c>
      <c r="N19" s="54">
        <v>8</v>
      </c>
      <c r="O19" s="54">
        <v>3</v>
      </c>
      <c r="P19" s="54">
        <v>7</v>
      </c>
      <c r="Q19" s="54">
        <v>1</v>
      </c>
      <c r="R19" s="54">
        <v>9</v>
      </c>
      <c r="S19" s="54">
        <v>6</v>
      </c>
      <c r="T19" s="54">
        <v>6</v>
      </c>
      <c r="U19" s="54">
        <v>11</v>
      </c>
      <c r="V19" s="54">
        <v>5</v>
      </c>
      <c r="W19" s="54">
        <v>5</v>
      </c>
      <c r="X19" s="54">
        <v>6</v>
      </c>
      <c r="Y19" s="54">
        <v>6</v>
      </c>
      <c r="Z19" s="54">
        <v>9</v>
      </c>
      <c r="AA19" s="54">
        <v>4</v>
      </c>
      <c r="AB19" s="54">
        <v>4</v>
      </c>
      <c r="AC19" s="54">
        <v>9</v>
      </c>
      <c r="AD19" s="54">
        <v>2</v>
      </c>
      <c r="AE19" s="54">
        <v>10</v>
      </c>
      <c r="AF19" s="54">
        <v>8</v>
      </c>
      <c r="AG19" s="5">
        <f t="shared" si="2"/>
        <v>163</v>
      </c>
    </row>
    <row r="20" spans="1:33" ht="18.75" x14ac:dyDescent="0.25">
      <c r="A20" s="56" t="s">
        <v>19</v>
      </c>
      <c r="B20" s="54">
        <v>3</v>
      </c>
      <c r="C20" s="54">
        <v>1</v>
      </c>
      <c r="D20" s="54">
        <v>4</v>
      </c>
      <c r="E20" s="54">
        <v>5</v>
      </c>
      <c r="F20" s="54">
        <v>1</v>
      </c>
      <c r="G20" s="54">
        <v>4</v>
      </c>
      <c r="H20" s="54">
        <v>2</v>
      </c>
      <c r="I20" s="54">
        <v>5</v>
      </c>
      <c r="J20" s="54">
        <v>4</v>
      </c>
      <c r="K20" s="54">
        <v>1</v>
      </c>
      <c r="L20" s="54">
        <v>4</v>
      </c>
      <c r="M20" s="54">
        <v>0</v>
      </c>
      <c r="N20" s="54">
        <v>5</v>
      </c>
      <c r="O20" s="54">
        <v>2</v>
      </c>
      <c r="P20" s="54">
        <v>6</v>
      </c>
      <c r="Q20" s="54">
        <v>4</v>
      </c>
      <c r="R20" s="54">
        <v>4</v>
      </c>
      <c r="S20" s="54">
        <v>7</v>
      </c>
      <c r="T20" s="54">
        <v>3</v>
      </c>
      <c r="U20" s="54">
        <v>2</v>
      </c>
      <c r="V20" s="54">
        <v>2</v>
      </c>
      <c r="W20" s="54">
        <v>0</v>
      </c>
      <c r="X20" s="54">
        <v>1</v>
      </c>
      <c r="Y20" s="54">
        <v>3</v>
      </c>
      <c r="Z20" s="54">
        <v>1</v>
      </c>
      <c r="AA20" s="54">
        <v>3</v>
      </c>
      <c r="AB20" s="54">
        <v>1</v>
      </c>
      <c r="AC20" s="54">
        <v>2</v>
      </c>
      <c r="AD20" s="54">
        <v>2</v>
      </c>
      <c r="AE20" s="54">
        <v>5</v>
      </c>
      <c r="AF20" s="54">
        <v>4</v>
      </c>
      <c r="AG20" s="5">
        <f t="shared" si="2"/>
        <v>91</v>
      </c>
    </row>
    <row r="21" spans="1:33" ht="15.75" customHeight="1" x14ac:dyDescent="0.25">
      <c r="A21" s="56" t="s">
        <v>20</v>
      </c>
      <c r="B21" s="54">
        <v>2</v>
      </c>
      <c r="C21" s="54">
        <v>1</v>
      </c>
      <c r="D21" s="54">
        <v>2</v>
      </c>
      <c r="E21" s="54">
        <v>2</v>
      </c>
      <c r="F21" s="54">
        <v>4</v>
      </c>
      <c r="G21" s="54">
        <v>1</v>
      </c>
      <c r="H21" s="54">
        <v>2</v>
      </c>
      <c r="I21" s="54">
        <v>1</v>
      </c>
      <c r="J21" s="54">
        <v>2</v>
      </c>
      <c r="K21" s="54">
        <v>5</v>
      </c>
      <c r="L21" s="54">
        <v>3</v>
      </c>
      <c r="M21" s="54">
        <v>3</v>
      </c>
      <c r="N21" s="54">
        <v>2</v>
      </c>
      <c r="O21" s="54">
        <v>3</v>
      </c>
      <c r="P21" s="54">
        <v>2</v>
      </c>
      <c r="Q21" s="54">
        <v>1</v>
      </c>
      <c r="R21" s="54">
        <v>5</v>
      </c>
      <c r="S21" s="54">
        <v>2</v>
      </c>
      <c r="T21" s="54">
        <v>0</v>
      </c>
      <c r="U21" s="54">
        <v>2</v>
      </c>
      <c r="V21" s="54">
        <v>5</v>
      </c>
      <c r="W21" s="54">
        <v>0</v>
      </c>
      <c r="X21" s="54">
        <v>1</v>
      </c>
      <c r="Y21" s="54">
        <v>4</v>
      </c>
      <c r="Z21" s="54">
        <v>2</v>
      </c>
      <c r="AA21" s="54">
        <v>3</v>
      </c>
      <c r="AB21" s="54">
        <v>4</v>
      </c>
      <c r="AC21" s="54">
        <v>1</v>
      </c>
      <c r="AD21" s="54">
        <v>2</v>
      </c>
      <c r="AE21" s="54">
        <v>2</v>
      </c>
      <c r="AF21" s="54">
        <v>3</v>
      </c>
      <c r="AG21" s="5">
        <f t="shared" si="2"/>
        <v>72</v>
      </c>
    </row>
    <row r="22" spans="1:33" ht="15.75" customHeight="1" x14ac:dyDescent="0.25">
      <c r="A22" s="56" t="s">
        <v>21</v>
      </c>
      <c r="B22" s="54">
        <v>2</v>
      </c>
      <c r="C22" s="54">
        <v>1</v>
      </c>
      <c r="D22" s="54">
        <v>1</v>
      </c>
      <c r="E22" s="54">
        <v>4</v>
      </c>
      <c r="F22" s="54">
        <v>1</v>
      </c>
      <c r="G22" s="54">
        <v>2</v>
      </c>
      <c r="H22" s="54">
        <v>1</v>
      </c>
      <c r="I22" s="54">
        <v>1</v>
      </c>
      <c r="J22" s="54">
        <v>5</v>
      </c>
      <c r="K22" s="54">
        <v>2</v>
      </c>
      <c r="L22" s="54">
        <v>1</v>
      </c>
      <c r="M22" s="54">
        <v>0</v>
      </c>
      <c r="N22" s="54">
        <v>2</v>
      </c>
      <c r="O22" s="54">
        <v>2</v>
      </c>
      <c r="P22" s="54">
        <v>0</v>
      </c>
      <c r="Q22" s="54">
        <v>2</v>
      </c>
      <c r="R22" s="54">
        <v>2</v>
      </c>
      <c r="S22" s="54">
        <v>0</v>
      </c>
      <c r="T22" s="54">
        <v>3</v>
      </c>
      <c r="U22" s="54">
        <v>2</v>
      </c>
      <c r="V22" s="54">
        <v>3</v>
      </c>
      <c r="W22" s="54">
        <v>1</v>
      </c>
      <c r="X22" s="54">
        <v>0</v>
      </c>
      <c r="Y22" s="54">
        <v>0</v>
      </c>
      <c r="Z22" s="54">
        <v>1</v>
      </c>
      <c r="AA22" s="54">
        <v>1</v>
      </c>
      <c r="AB22" s="54">
        <v>1</v>
      </c>
      <c r="AC22" s="54">
        <v>2</v>
      </c>
      <c r="AD22" s="54">
        <v>3</v>
      </c>
      <c r="AE22" s="54">
        <v>4</v>
      </c>
      <c r="AF22" s="54">
        <v>1</v>
      </c>
      <c r="AG22" s="5">
        <f t="shared" si="2"/>
        <v>51</v>
      </c>
    </row>
    <row r="23" spans="1:33" ht="15.75" customHeight="1" x14ac:dyDescent="0.25">
      <c r="A23" s="56" t="s">
        <v>22</v>
      </c>
      <c r="B23" s="54">
        <v>2</v>
      </c>
      <c r="C23" s="54">
        <v>1</v>
      </c>
      <c r="D23" s="54">
        <v>1</v>
      </c>
      <c r="E23" s="54">
        <v>1</v>
      </c>
      <c r="F23" s="54">
        <v>0</v>
      </c>
      <c r="G23" s="54">
        <v>2</v>
      </c>
      <c r="H23" s="54">
        <v>0</v>
      </c>
      <c r="I23" s="54">
        <v>2</v>
      </c>
      <c r="J23" s="54">
        <v>0</v>
      </c>
      <c r="K23" s="54">
        <v>1</v>
      </c>
      <c r="L23" s="54">
        <v>1</v>
      </c>
      <c r="M23" s="54">
        <v>2</v>
      </c>
      <c r="N23" s="54">
        <v>1</v>
      </c>
      <c r="O23" s="54">
        <v>2</v>
      </c>
      <c r="P23" s="54">
        <v>2</v>
      </c>
      <c r="Q23" s="54">
        <v>2</v>
      </c>
      <c r="R23" s="54">
        <v>2</v>
      </c>
      <c r="S23" s="54">
        <v>2</v>
      </c>
      <c r="T23" s="54">
        <v>4</v>
      </c>
      <c r="U23" s="54">
        <v>2</v>
      </c>
      <c r="V23" s="54">
        <v>2</v>
      </c>
      <c r="W23" s="54">
        <v>1</v>
      </c>
      <c r="X23" s="54">
        <v>0</v>
      </c>
      <c r="Y23" s="54">
        <v>1</v>
      </c>
      <c r="Z23" s="54">
        <v>4</v>
      </c>
      <c r="AA23" s="54">
        <v>2</v>
      </c>
      <c r="AB23" s="54">
        <v>1</v>
      </c>
      <c r="AC23" s="54">
        <v>1</v>
      </c>
      <c r="AD23" s="54">
        <v>0</v>
      </c>
      <c r="AE23" s="54">
        <v>2</v>
      </c>
      <c r="AF23" s="54">
        <v>2</v>
      </c>
      <c r="AG23" s="5">
        <f t="shared" si="2"/>
        <v>46</v>
      </c>
    </row>
    <row r="24" spans="1:33" ht="15.75" customHeight="1" x14ac:dyDescent="0.25">
      <c r="A24" s="56" t="s">
        <v>23</v>
      </c>
      <c r="B24" s="54">
        <v>1</v>
      </c>
      <c r="C24" s="54">
        <v>1</v>
      </c>
      <c r="D24" s="54">
        <v>0</v>
      </c>
      <c r="E24" s="54">
        <v>4</v>
      </c>
      <c r="F24" s="54">
        <v>2</v>
      </c>
      <c r="G24" s="54">
        <v>2</v>
      </c>
      <c r="H24" s="54">
        <v>0</v>
      </c>
      <c r="I24" s="54">
        <v>0</v>
      </c>
      <c r="J24" s="54">
        <v>0</v>
      </c>
      <c r="K24" s="54">
        <v>1</v>
      </c>
      <c r="L24" s="54">
        <v>0</v>
      </c>
      <c r="M24" s="54">
        <v>0</v>
      </c>
      <c r="N24" s="54">
        <v>1</v>
      </c>
      <c r="O24" s="54">
        <v>0</v>
      </c>
      <c r="P24" s="54">
        <v>1</v>
      </c>
      <c r="Q24" s="54">
        <v>0</v>
      </c>
      <c r="R24" s="54">
        <v>1</v>
      </c>
      <c r="S24" s="54">
        <v>1</v>
      </c>
      <c r="T24" s="54">
        <v>0</v>
      </c>
      <c r="U24" s="54">
        <v>3</v>
      </c>
      <c r="V24" s="54">
        <v>0</v>
      </c>
      <c r="W24" s="54">
        <v>0</v>
      </c>
      <c r="X24" s="54">
        <v>0</v>
      </c>
      <c r="Y24" s="54">
        <v>0</v>
      </c>
      <c r="Z24" s="54">
        <v>2</v>
      </c>
      <c r="AA24" s="54">
        <v>0</v>
      </c>
      <c r="AB24" s="54">
        <v>2</v>
      </c>
      <c r="AC24" s="54">
        <v>2</v>
      </c>
      <c r="AD24" s="54">
        <v>0</v>
      </c>
      <c r="AE24" s="54">
        <v>2</v>
      </c>
      <c r="AF24" s="54">
        <v>2</v>
      </c>
      <c r="AG24" s="5">
        <f t="shared" si="2"/>
        <v>28</v>
      </c>
    </row>
    <row r="25" spans="1:33" ht="15.75" customHeight="1" x14ac:dyDescent="0.25">
      <c r="A25" s="56" t="s">
        <v>24</v>
      </c>
      <c r="B25" s="54">
        <v>0</v>
      </c>
      <c r="C25" s="54">
        <v>1</v>
      </c>
      <c r="D25" s="54">
        <v>0</v>
      </c>
      <c r="E25" s="54">
        <v>1</v>
      </c>
      <c r="F25" s="54">
        <v>2</v>
      </c>
      <c r="G25" s="54">
        <v>1</v>
      </c>
      <c r="H25" s="54">
        <v>0</v>
      </c>
      <c r="I25" s="54">
        <v>1</v>
      </c>
      <c r="J25" s="54">
        <v>0</v>
      </c>
      <c r="K25" s="54">
        <v>2</v>
      </c>
      <c r="L25" s="54">
        <v>1</v>
      </c>
      <c r="M25" s="54">
        <v>1</v>
      </c>
      <c r="N25" s="54">
        <v>0</v>
      </c>
      <c r="O25" s="54">
        <v>0</v>
      </c>
      <c r="P25" s="54">
        <v>2</v>
      </c>
      <c r="Q25" s="54">
        <v>0</v>
      </c>
      <c r="R25" s="54">
        <v>3</v>
      </c>
      <c r="S25" s="54">
        <v>0</v>
      </c>
      <c r="T25" s="54">
        <v>0</v>
      </c>
      <c r="U25" s="54">
        <v>2</v>
      </c>
      <c r="V25" s="54">
        <v>1</v>
      </c>
      <c r="W25" s="54">
        <v>1</v>
      </c>
      <c r="X25" s="54">
        <v>0</v>
      </c>
      <c r="Y25" s="54">
        <v>2</v>
      </c>
      <c r="Z25" s="54">
        <v>2</v>
      </c>
      <c r="AA25" s="54">
        <v>3</v>
      </c>
      <c r="AB25" s="54">
        <v>1</v>
      </c>
      <c r="AC25" s="54">
        <v>0</v>
      </c>
      <c r="AD25" s="54">
        <v>1</v>
      </c>
      <c r="AE25" s="54">
        <v>1</v>
      </c>
      <c r="AF25" s="54">
        <v>0</v>
      </c>
      <c r="AG25" s="5">
        <f t="shared" si="2"/>
        <v>29</v>
      </c>
    </row>
    <row r="26" spans="1:33" ht="15.75" customHeight="1" x14ac:dyDescent="0.25">
      <c r="A26" s="56" t="s">
        <v>25</v>
      </c>
      <c r="B26" s="54">
        <v>0</v>
      </c>
      <c r="C26" s="54">
        <v>0</v>
      </c>
      <c r="D26" s="54">
        <v>1</v>
      </c>
      <c r="E26" s="54">
        <v>0</v>
      </c>
      <c r="F26" s="54">
        <v>2</v>
      </c>
      <c r="G26" s="54">
        <v>3</v>
      </c>
      <c r="H26" s="54">
        <v>0</v>
      </c>
      <c r="I26" s="54">
        <v>1</v>
      </c>
      <c r="J26" s="54">
        <v>2</v>
      </c>
      <c r="K26" s="54">
        <v>0</v>
      </c>
      <c r="L26" s="54">
        <v>0</v>
      </c>
      <c r="M26" s="54">
        <v>0</v>
      </c>
      <c r="N26" s="54">
        <v>1</v>
      </c>
      <c r="O26" s="54">
        <v>0</v>
      </c>
      <c r="P26" s="54">
        <v>0</v>
      </c>
      <c r="Q26" s="54">
        <v>0</v>
      </c>
      <c r="R26" s="54">
        <v>1</v>
      </c>
      <c r="S26" s="54">
        <v>2</v>
      </c>
      <c r="T26" s="54">
        <v>0</v>
      </c>
      <c r="U26" s="54">
        <v>5</v>
      </c>
      <c r="V26" s="54">
        <v>1</v>
      </c>
      <c r="W26" s="54">
        <v>3</v>
      </c>
      <c r="X26" s="54">
        <v>0</v>
      </c>
      <c r="Y26" s="54">
        <v>1</v>
      </c>
      <c r="Z26" s="54">
        <v>1</v>
      </c>
      <c r="AA26" s="54">
        <v>0</v>
      </c>
      <c r="AB26" s="54">
        <v>0</v>
      </c>
      <c r="AC26" s="54">
        <v>1</v>
      </c>
      <c r="AD26" s="54">
        <v>0</v>
      </c>
      <c r="AE26" s="54">
        <v>1</v>
      </c>
      <c r="AF26" s="54">
        <v>2</v>
      </c>
      <c r="AG26" s="5">
        <f t="shared" si="2"/>
        <v>28</v>
      </c>
    </row>
    <row r="27" spans="1:33" ht="15.75" customHeight="1" thickBot="1" x14ac:dyDescent="0.3">
      <c r="A27" s="57" t="s">
        <v>26</v>
      </c>
      <c r="B27" s="58">
        <v>0</v>
      </c>
      <c r="C27" s="58">
        <v>0</v>
      </c>
      <c r="D27" s="58">
        <v>0</v>
      </c>
      <c r="E27" s="58">
        <v>1</v>
      </c>
      <c r="F27" s="58">
        <v>0</v>
      </c>
      <c r="G27" s="58">
        <v>1</v>
      </c>
      <c r="H27" s="58">
        <v>0</v>
      </c>
      <c r="I27" s="58">
        <v>0</v>
      </c>
      <c r="J27" s="58">
        <v>0</v>
      </c>
      <c r="K27" s="58">
        <v>2</v>
      </c>
      <c r="L27" s="58">
        <v>8</v>
      </c>
      <c r="M27" s="58">
        <v>1</v>
      </c>
      <c r="N27" s="58">
        <v>0</v>
      </c>
      <c r="O27" s="58">
        <v>0</v>
      </c>
      <c r="P27" s="58">
        <v>0</v>
      </c>
      <c r="Q27" s="58">
        <v>0</v>
      </c>
      <c r="R27" s="58">
        <v>2</v>
      </c>
      <c r="S27" s="58">
        <v>2</v>
      </c>
      <c r="T27" s="58">
        <v>0</v>
      </c>
      <c r="U27" s="58">
        <v>2</v>
      </c>
      <c r="V27" s="58">
        <v>0</v>
      </c>
      <c r="W27" s="58">
        <v>0</v>
      </c>
      <c r="X27" s="58">
        <v>0</v>
      </c>
      <c r="Y27" s="58">
        <v>0</v>
      </c>
      <c r="Z27" s="58">
        <v>1</v>
      </c>
      <c r="AA27" s="58">
        <v>0</v>
      </c>
      <c r="AB27" s="58">
        <v>0</v>
      </c>
      <c r="AC27" s="58">
        <v>1</v>
      </c>
      <c r="AD27" s="58">
        <v>0</v>
      </c>
      <c r="AE27" s="58">
        <v>0</v>
      </c>
      <c r="AF27" s="58">
        <v>3</v>
      </c>
      <c r="AG27" s="5">
        <f t="shared" si="2"/>
        <v>24</v>
      </c>
    </row>
    <row r="28" spans="1:33" ht="15.75" customHeight="1" x14ac:dyDescent="0.25">
      <c r="A28" s="59" t="s">
        <v>27</v>
      </c>
      <c r="B28" s="6">
        <f t="shared" ref="B28:AF28" si="3">SUM(B29:B52)</f>
        <v>78</v>
      </c>
      <c r="C28" s="6">
        <f t="shared" si="3"/>
        <v>97</v>
      </c>
      <c r="D28" s="6">
        <f t="shared" si="3"/>
        <v>166</v>
      </c>
      <c r="E28" s="6">
        <f t="shared" si="3"/>
        <v>173</v>
      </c>
      <c r="F28" s="6">
        <f t="shared" si="3"/>
        <v>128</v>
      </c>
      <c r="G28" s="6">
        <f t="shared" si="3"/>
        <v>120</v>
      </c>
      <c r="H28" s="6">
        <f t="shared" si="3"/>
        <v>98</v>
      </c>
      <c r="I28" s="6">
        <f t="shared" si="3"/>
        <v>105</v>
      </c>
      <c r="J28" s="6">
        <f t="shared" si="3"/>
        <v>125</v>
      </c>
      <c r="K28" s="6">
        <f t="shared" si="3"/>
        <v>195</v>
      </c>
      <c r="L28" s="6">
        <f t="shared" si="3"/>
        <v>157</v>
      </c>
      <c r="M28" s="6">
        <f t="shared" si="3"/>
        <v>137</v>
      </c>
      <c r="N28" s="6">
        <f t="shared" si="3"/>
        <v>117</v>
      </c>
      <c r="O28" s="6">
        <f t="shared" si="3"/>
        <v>122</v>
      </c>
      <c r="P28" s="6">
        <f t="shared" si="3"/>
        <v>178</v>
      </c>
      <c r="Q28" s="6">
        <f t="shared" si="3"/>
        <v>118</v>
      </c>
      <c r="R28" s="6">
        <f t="shared" si="3"/>
        <v>186</v>
      </c>
      <c r="S28" s="6">
        <f t="shared" si="3"/>
        <v>167</v>
      </c>
      <c r="T28" s="6">
        <f t="shared" si="3"/>
        <v>139</v>
      </c>
      <c r="U28" s="6">
        <f t="shared" si="3"/>
        <v>223</v>
      </c>
      <c r="V28" s="6">
        <f t="shared" si="3"/>
        <v>117</v>
      </c>
      <c r="W28" s="6">
        <f t="shared" si="3"/>
        <v>93</v>
      </c>
      <c r="X28" s="6">
        <f t="shared" si="3"/>
        <v>114</v>
      </c>
      <c r="Y28" s="6">
        <f t="shared" si="3"/>
        <v>194</v>
      </c>
      <c r="Z28" s="6">
        <f t="shared" si="3"/>
        <v>189</v>
      </c>
      <c r="AA28" s="6">
        <f t="shared" si="3"/>
        <v>141</v>
      </c>
      <c r="AB28" s="6">
        <f t="shared" si="3"/>
        <v>117</v>
      </c>
      <c r="AC28" s="6">
        <f t="shared" si="3"/>
        <v>119</v>
      </c>
      <c r="AD28" s="6">
        <f t="shared" si="3"/>
        <v>109</v>
      </c>
      <c r="AE28" s="6">
        <f t="shared" si="3"/>
        <v>139</v>
      </c>
      <c r="AF28" s="6">
        <f t="shared" si="3"/>
        <v>200</v>
      </c>
      <c r="AG28" s="7">
        <f t="shared" si="2"/>
        <v>4361</v>
      </c>
    </row>
    <row r="29" spans="1:33" ht="15.75" customHeight="1" x14ac:dyDescent="0.25">
      <c r="A29" s="53" t="s">
        <v>3</v>
      </c>
      <c r="B29" s="54">
        <v>0</v>
      </c>
      <c r="C29" s="55">
        <v>0</v>
      </c>
      <c r="D29" s="55">
        <v>3</v>
      </c>
      <c r="E29" s="55">
        <v>2</v>
      </c>
      <c r="F29" s="55">
        <v>0</v>
      </c>
      <c r="G29" s="55">
        <v>0</v>
      </c>
      <c r="H29" s="55">
        <v>0</v>
      </c>
      <c r="I29" s="55">
        <v>0</v>
      </c>
      <c r="J29" s="55">
        <v>0</v>
      </c>
      <c r="K29" s="55">
        <v>5</v>
      </c>
      <c r="L29" s="55">
        <v>7</v>
      </c>
      <c r="M29" s="55">
        <v>0</v>
      </c>
      <c r="N29" s="55">
        <v>0</v>
      </c>
      <c r="O29" s="55">
        <v>0</v>
      </c>
      <c r="P29" s="55">
        <v>3</v>
      </c>
      <c r="Q29" s="55">
        <v>0</v>
      </c>
      <c r="R29" s="55">
        <v>5</v>
      </c>
      <c r="S29" s="55">
        <v>4</v>
      </c>
      <c r="T29" s="55">
        <v>0</v>
      </c>
      <c r="U29" s="55">
        <v>5</v>
      </c>
      <c r="V29" s="55">
        <v>0</v>
      </c>
      <c r="W29" s="55">
        <v>0</v>
      </c>
      <c r="X29" s="55">
        <v>0</v>
      </c>
      <c r="Y29" s="55">
        <v>3</v>
      </c>
      <c r="Z29" s="55">
        <v>2</v>
      </c>
      <c r="AA29" s="55">
        <v>0</v>
      </c>
      <c r="AB29" s="55">
        <v>0</v>
      </c>
      <c r="AC29" s="55">
        <v>0</v>
      </c>
      <c r="AD29" s="54">
        <v>0</v>
      </c>
      <c r="AE29" s="54">
        <v>0</v>
      </c>
      <c r="AF29" s="54">
        <v>5</v>
      </c>
      <c r="AG29" s="5">
        <f t="shared" si="2"/>
        <v>44</v>
      </c>
    </row>
    <row r="30" spans="1:33" ht="15.75" customHeight="1" x14ac:dyDescent="0.25">
      <c r="A30" s="56" t="s">
        <v>4</v>
      </c>
      <c r="B30" s="54">
        <v>0</v>
      </c>
      <c r="C30" s="54">
        <v>0</v>
      </c>
      <c r="D30" s="54">
        <v>5</v>
      </c>
      <c r="E30" s="54">
        <v>2</v>
      </c>
      <c r="F30" s="54">
        <v>0</v>
      </c>
      <c r="G30" s="54">
        <v>0</v>
      </c>
      <c r="H30" s="54">
        <v>0</v>
      </c>
      <c r="I30" s="54">
        <v>0</v>
      </c>
      <c r="J30" s="54">
        <v>0</v>
      </c>
      <c r="K30" s="54">
        <v>13</v>
      </c>
      <c r="L30" s="54">
        <v>6</v>
      </c>
      <c r="M30" s="54">
        <v>0</v>
      </c>
      <c r="N30" s="54">
        <v>0</v>
      </c>
      <c r="O30" s="54">
        <v>0</v>
      </c>
      <c r="P30" s="54">
        <v>8</v>
      </c>
      <c r="Q30" s="54">
        <v>0</v>
      </c>
      <c r="R30" s="54">
        <v>6</v>
      </c>
      <c r="S30" s="54">
        <v>7</v>
      </c>
      <c r="T30" s="54">
        <v>0</v>
      </c>
      <c r="U30" s="54">
        <v>5</v>
      </c>
      <c r="V30" s="54">
        <v>0</v>
      </c>
      <c r="W30" s="54">
        <v>0</v>
      </c>
      <c r="X30" s="54">
        <v>0</v>
      </c>
      <c r="Y30" s="54">
        <v>8</v>
      </c>
      <c r="Z30" s="54">
        <v>8</v>
      </c>
      <c r="AA30" s="54">
        <v>0</v>
      </c>
      <c r="AB30" s="54">
        <v>0</v>
      </c>
      <c r="AC30" s="54">
        <v>0</v>
      </c>
      <c r="AD30" s="54">
        <v>0</v>
      </c>
      <c r="AE30" s="54">
        <v>0</v>
      </c>
      <c r="AF30" s="54">
        <v>7</v>
      </c>
      <c r="AG30" s="5">
        <f t="shared" si="2"/>
        <v>75</v>
      </c>
    </row>
    <row r="31" spans="1:33" ht="15.75" customHeight="1" x14ac:dyDescent="0.25">
      <c r="A31" s="56" t="s">
        <v>5</v>
      </c>
      <c r="B31" s="54">
        <v>0</v>
      </c>
      <c r="C31" s="54">
        <v>0</v>
      </c>
      <c r="D31" s="54">
        <v>7</v>
      </c>
      <c r="E31" s="54">
        <v>7</v>
      </c>
      <c r="F31" s="54">
        <v>0</v>
      </c>
      <c r="G31" s="54">
        <v>0</v>
      </c>
      <c r="H31" s="54">
        <v>0</v>
      </c>
      <c r="I31" s="54">
        <v>0</v>
      </c>
      <c r="J31" s="54">
        <v>0</v>
      </c>
      <c r="K31" s="54">
        <v>16</v>
      </c>
      <c r="L31" s="54">
        <v>9</v>
      </c>
      <c r="M31" s="54">
        <v>0</v>
      </c>
      <c r="N31" s="54">
        <v>0</v>
      </c>
      <c r="O31" s="54">
        <v>0</v>
      </c>
      <c r="P31" s="54">
        <v>14</v>
      </c>
      <c r="Q31" s="54">
        <v>0</v>
      </c>
      <c r="R31" s="54">
        <v>12</v>
      </c>
      <c r="S31" s="54">
        <v>13</v>
      </c>
      <c r="T31" s="54">
        <v>0</v>
      </c>
      <c r="U31" s="54">
        <v>18</v>
      </c>
      <c r="V31" s="54">
        <v>0</v>
      </c>
      <c r="W31" s="54">
        <v>0</v>
      </c>
      <c r="X31" s="54">
        <v>0</v>
      </c>
      <c r="Y31" s="54">
        <v>12</v>
      </c>
      <c r="Z31" s="54">
        <v>10</v>
      </c>
      <c r="AA31" s="54">
        <v>0</v>
      </c>
      <c r="AB31" s="54">
        <v>0</v>
      </c>
      <c r="AC31" s="54">
        <v>0</v>
      </c>
      <c r="AD31" s="54">
        <v>0</v>
      </c>
      <c r="AE31" s="54">
        <v>0</v>
      </c>
      <c r="AF31" s="54">
        <v>10</v>
      </c>
      <c r="AG31" s="5">
        <f t="shared" si="2"/>
        <v>128</v>
      </c>
    </row>
    <row r="32" spans="1:33" ht="15.75" customHeight="1" x14ac:dyDescent="0.25">
      <c r="A32" s="56" t="s">
        <v>6</v>
      </c>
      <c r="B32" s="54">
        <v>0</v>
      </c>
      <c r="C32" s="54">
        <v>0</v>
      </c>
      <c r="D32" s="54">
        <v>17</v>
      </c>
      <c r="E32" s="54">
        <v>9</v>
      </c>
      <c r="F32" s="54">
        <v>0</v>
      </c>
      <c r="G32" s="54">
        <v>0</v>
      </c>
      <c r="H32" s="54">
        <v>0</v>
      </c>
      <c r="I32" s="54">
        <v>0</v>
      </c>
      <c r="J32" s="54">
        <v>0</v>
      </c>
      <c r="K32" s="54">
        <v>13</v>
      </c>
      <c r="L32" s="54">
        <v>6</v>
      </c>
      <c r="M32" s="54">
        <v>0</v>
      </c>
      <c r="N32" s="54">
        <v>0</v>
      </c>
      <c r="O32" s="54">
        <v>0</v>
      </c>
      <c r="P32" s="54">
        <v>12</v>
      </c>
      <c r="Q32" s="54">
        <v>0</v>
      </c>
      <c r="R32" s="54">
        <v>12</v>
      </c>
      <c r="S32" s="54">
        <v>9</v>
      </c>
      <c r="T32" s="54">
        <v>0</v>
      </c>
      <c r="U32" s="54">
        <v>11</v>
      </c>
      <c r="V32" s="54">
        <v>0</v>
      </c>
      <c r="W32" s="54">
        <v>0</v>
      </c>
      <c r="X32" s="54">
        <v>0</v>
      </c>
      <c r="Y32" s="54">
        <v>15</v>
      </c>
      <c r="Z32" s="54">
        <v>12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54">
        <v>15</v>
      </c>
      <c r="AG32" s="5">
        <f t="shared" si="2"/>
        <v>131</v>
      </c>
    </row>
    <row r="33" spans="1:33" ht="15.75" customHeight="1" x14ac:dyDescent="0.25">
      <c r="A33" s="56" t="s">
        <v>7</v>
      </c>
      <c r="B33" s="54">
        <v>0</v>
      </c>
      <c r="C33" s="54">
        <v>0</v>
      </c>
      <c r="D33" s="54">
        <v>13</v>
      </c>
      <c r="E33" s="54">
        <v>13</v>
      </c>
      <c r="F33" s="54">
        <v>0</v>
      </c>
      <c r="G33" s="54">
        <v>0</v>
      </c>
      <c r="H33" s="54">
        <v>0</v>
      </c>
      <c r="I33" s="54">
        <v>0</v>
      </c>
      <c r="J33" s="54">
        <v>0</v>
      </c>
      <c r="K33" s="54">
        <v>12</v>
      </c>
      <c r="L33" s="54">
        <v>15</v>
      </c>
      <c r="M33" s="54">
        <v>0</v>
      </c>
      <c r="N33" s="54">
        <v>0</v>
      </c>
      <c r="O33" s="54">
        <v>0</v>
      </c>
      <c r="P33" s="54">
        <v>12</v>
      </c>
      <c r="Q33" s="54">
        <v>0</v>
      </c>
      <c r="R33" s="54">
        <v>13</v>
      </c>
      <c r="S33" s="54">
        <v>11</v>
      </c>
      <c r="T33" s="54">
        <v>0</v>
      </c>
      <c r="U33" s="54">
        <v>20</v>
      </c>
      <c r="V33" s="54">
        <v>0</v>
      </c>
      <c r="W33" s="54">
        <v>0</v>
      </c>
      <c r="X33" s="54">
        <v>0</v>
      </c>
      <c r="Y33" s="54">
        <v>15</v>
      </c>
      <c r="Z33" s="54">
        <v>10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54">
        <v>10</v>
      </c>
      <c r="AG33" s="5">
        <f t="shared" si="2"/>
        <v>144</v>
      </c>
    </row>
    <row r="34" spans="1:33" ht="15.75" customHeight="1" x14ac:dyDescent="0.25">
      <c r="A34" s="56" t="s">
        <v>8</v>
      </c>
      <c r="B34" s="54">
        <v>0</v>
      </c>
      <c r="C34" s="54">
        <v>0</v>
      </c>
      <c r="D34" s="54">
        <v>10</v>
      </c>
      <c r="E34" s="54">
        <v>13</v>
      </c>
      <c r="F34" s="54">
        <v>0</v>
      </c>
      <c r="G34" s="54">
        <v>0</v>
      </c>
      <c r="H34" s="54">
        <v>0</v>
      </c>
      <c r="I34" s="54">
        <v>0</v>
      </c>
      <c r="J34" s="54">
        <v>0</v>
      </c>
      <c r="K34" s="54">
        <v>6</v>
      </c>
      <c r="L34" s="54">
        <v>12</v>
      </c>
      <c r="M34" s="54">
        <v>0</v>
      </c>
      <c r="N34" s="54">
        <v>0</v>
      </c>
      <c r="O34" s="54">
        <v>0</v>
      </c>
      <c r="P34" s="54">
        <v>9</v>
      </c>
      <c r="Q34" s="54">
        <v>0</v>
      </c>
      <c r="R34" s="54">
        <v>9</v>
      </c>
      <c r="S34" s="54">
        <v>11</v>
      </c>
      <c r="T34" s="54">
        <v>0</v>
      </c>
      <c r="U34" s="54">
        <v>11</v>
      </c>
      <c r="V34" s="54">
        <v>0</v>
      </c>
      <c r="W34" s="54">
        <v>0</v>
      </c>
      <c r="X34" s="54">
        <v>0</v>
      </c>
      <c r="Y34" s="54">
        <v>8</v>
      </c>
      <c r="Z34" s="54">
        <v>8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54">
        <v>12</v>
      </c>
      <c r="AG34" s="5">
        <f t="shared" si="2"/>
        <v>109</v>
      </c>
    </row>
    <row r="35" spans="1:33" ht="15.75" customHeight="1" x14ac:dyDescent="0.25">
      <c r="A35" s="56" t="s">
        <v>9</v>
      </c>
      <c r="B35" s="54">
        <v>0</v>
      </c>
      <c r="C35" s="54">
        <v>0</v>
      </c>
      <c r="D35" s="54">
        <v>10</v>
      </c>
      <c r="E35" s="54">
        <v>13</v>
      </c>
      <c r="F35" s="54">
        <v>0</v>
      </c>
      <c r="G35" s="54">
        <v>0</v>
      </c>
      <c r="H35" s="54">
        <v>0</v>
      </c>
      <c r="I35" s="54">
        <v>0</v>
      </c>
      <c r="J35" s="54">
        <v>0</v>
      </c>
      <c r="K35" s="54">
        <v>4</v>
      </c>
      <c r="L35" s="54">
        <v>6</v>
      </c>
      <c r="M35" s="54">
        <v>0</v>
      </c>
      <c r="N35" s="54">
        <v>0</v>
      </c>
      <c r="O35" s="54">
        <v>0</v>
      </c>
      <c r="P35" s="54">
        <v>12</v>
      </c>
      <c r="Q35" s="54">
        <v>0</v>
      </c>
      <c r="R35" s="54">
        <v>14</v>
      </c>
      <c r="S35" s="54">
        <v>10</v>
      </c>
      <c r="T35" s="54">
        <v>0</v>
      </c>
      <c r="U35" s="54">
        <v>11</v>
      </c>
      <c r="V35" s="54">
        <v>0</v>
      </c>
      <c r="W35" s="54">
        <v>0</v>
      </c>
      <c r="X35" s="54">
        <v>0</v>
      </c>
      <c r="Y35" s="54">
        <v>10</v>
      </c>
      <c r="Z35" s="54">
        <v>16</v>
      </c>
      <c r="AA35" s="54">
        <v>0</v>
      </c>
      <c r="AB35" s="54">
        <v>0</v>
      </c>
      <c r="AC35" s="54">
        <v>0</v>
      </c>
      <c r="AD35" s="54">
        <v>0</v>
      </c>
      <c r="AE35" s="54">
        <v>0</v>
      </c>
      <c r="AF35" s="54">
        <v>9</v>
      </c>
      <c r="AG35" s="5">
        <f t="shared" si="2"/>
        <v>115</v>
      </c>
    </row>
    <row r="36" spans="1:33" ht="15.75" customHeight="1" x14ac:dyDescent="0.25">
      <c r="A36" s="56" t="s">
        <v>10</v>
      </c>
      <c r="B36" s="54">
        <v>0</v>
      </c>
      <c r="C36" s="54">
        <v>0</v>
      </c>
      <c r="D36" s="54">
        <v>14</v>
      </c>
      <c r="E36" s="54">
        <v>9</v>
      </c>
      <c r="F36" s="54">
        <v>0</v>
      </c>
      <c r="G36" s="54">
        <v>0</v>
      </c>
      <c r="H36" s="54">
        <v>0</v>
      </c>
      <c r="I36" s="54">
        <v>0</v>
      </c>
      <c r="J36" s="54">
        <v>0</v>
      </c>
      <c r="K36" s="54">
        <v>11</v>
      </c>
      <c r="L36" s="54">
        <v>3</v>
      </c>
      <c r="M36" s="54">
        <v>0</v>
      </c>
      <c r="N36" s="54">
        <v>0</v>
      </c>
      <c r="O36" s="54">
        <v>0</v>
      </c>
      <c r="P36" s="54">
        <v>7</v>
      </c>
      <c r="Q36" s="54">
        <v>0</v>
      </c>
      <c r="R36" s="54">
        <v>13</v>
      </c>
      <c r="S36" s="54">
        <v>10</v>
      </c>
      <c r="T36" s="54">
        <v>0</v>
      </c>
      <c r="U36" s="54">
        <v>10</v>
      </c>
      <c r="V36" s="54">
        <v>0</v>
      </c>
      <c r="W36" s="54">
        <v>0</v>
      </c>
      <c r="X36" s="54">
        <v>0</v>
      </c>
      <c r="Y36" s="54">
        <v>11</v>
      </c>
      <c r="Z36" s="54">
        <v>19</v>
      </c>
      <c r="AA36" s="54">
        <v>0</v>
      </c>
      <c r="AB36" s="54">
        <v>0</v>
      </c>
      <c r="AC36" s="54">
        <v>0</v>
      </c>
      <c r="AD36" s="54">
        <v>0</v>
      </c>
      <c r="AE36" s="54">
        <v>0</v>
      </c>
      <c r="AF36" s="54">
        <v>5</v>
      </c>
      <c r="AG36" s="5">
        <f t="shared" si="2"/>
        <v>112</v>
      </c>
    </row>
    <row r="37" spans="1:33" ht="15.75" customHeight="1" x14ac:dyDescent="0.25">
      <c r="A37" s="56" t="s">
        <v>11</v>
      </c>
      <c r="B37" s="54">
        <v>0</v>
      </c>
      <c r="C37" s="54">
        <v>9</v>
      </c>
      <c r="D37" s="54">
        <v>15</v>
      </c>
      <c r="E37" s="54">
        <v>13</v>
      </c>
      <c r="F37" s="54">
        <v>0</v>
      </c>
      <c r="G37" s="54">
        <v>0</v>
      </c>
      <c r="H37" s="54">
        <v>0</v>
      </c>
      <c r="I37" s="54">
        <v>0</v>
      </c>
      <c r="J37" s="54">
        <v>7</v>
      </c>
      <c r="K37" s="54">
        <v>14</v>
      </c>
      <c r="L37" s="54">
        <v>14</v>
      </c>
      <c r="M37" s="54">
        <v>0</v>
      </c>
      <c r="N37" s="54">
        <v>0</v>
      </c>
      <c r="O37" s="54">
        <v>0</v>
      </c>
      <c r="P37" s="54">
        <v>13</v>
      </c>
      <c r="Q37" s="54">
        <v>9</v>
      </c>
      <c r="R37" s="54">
        <v>11</v>
      </c>
      <c r="S37" s="54">
        <v>13</v>
      </c>
      <c r="T37" s="54">
        <v>0</v>
      </c>
      <c r="U37" s="54">
        <v>11</v>
      </c>
      <c r="V37" s="54">
        <v>0</v>
      </c>
      <c r="W37" s="54">
        <v>0</v>
      </c>
      <c r="X37" s="54">
        <v>8</v>
      </c>
      <c r="Y37" s="54">
        <v>14</v>
      </c>
      <c r="Z37" s="54">
        <v>8</v>
      </c>
      <c r="AA37" s="54">
        <v>0</v>
      </c>
      <c r="AB37" s="54">
        <v>0</v>
      </c>
      <c r="AC37" s="54">
        <v>0</v>
      </c>
      <c r="AD37" s="54">
        <v>0</v>
      </c>
      <c r="AE37" s="54">
        <v>8</v>
      </c>
      <c r="AF37" s="54">
        <v>12</v>
      </c>
      <c r="AG37" s="5">
        <f t="shared" si="2"/>
        <v>179</v>
      </c>
    </row>
    <row r="38" spans="1:33" ht="15.75" customHeight="1" x14ac:dyDescent="0.25">
      <c r="A38" s="56" t="s">
        <v>12</v>
      </c>
      <c r="B38" s="54">
        <v>6</v>
      </c>
      <c r="C38" s="54">
        <v>16</v>
      </c>
      <c r="D38" s="54">
        <v>14</v>
      </c>
      <c r="E38" s="54">
        <v>18</v>
      </c>
      <c r="F38" s="54">
        <v>7</v>
      </c>
      <c r="G38" s="54">
        <v>3</v>
      </c>
      <c r="H38" s="54">
        <v>5</v>
      </c>
      <c r="I38" s="54">
        <v>6</v>
      </c>
      <c r="J38" s="54">
        <v>13</v>
      </c>
      <c r="K38" s="54">
        <v>11</v>
      </c>
      <c r="L38" s="54">
        <v>9</v>
      </c>
      <c r="M38" s="54">
        <v>7</v>
      </c>
      <c r="N38" s="54">
        <v>6</v>
      </c>
      <c r="O38" s="54">
        <v>16</v>
      </c>
      <c r="P38" s="54">
        <v>11</v>
      </c>
      <c r="Q38" s="54">
        <v>14</v>
      </c>
      <c r="R38" s="54">
        <v>10</v>
      </c>
      <c r="S38" s="54">
        <v>14</v>
      </c>
      <c r="T38" s="54">
        <v>5</v>
      </c>
      <c r="U38" s="54">
        <v>10</v>
      </c>
      <c r="V38" s="54">
        <v>6</v>
      </c>
      <c r="W38" s="54">
        <v>7</v>
      </c>
      <c r="X38" s="54">
        <v>18</v>
      </c>
      <c r="Y38" s="54">
        <v>11</v>
      </c>
      <c r="Z38" s="54">
        <v>10</v>
      </c>
      <c r="AA38" s="54">
        <v>9</v>
      </c>
      <c r="AB38" s="54">
        <v>9</v>
      </c>
      <c r="AC38" s="54">
        <v>7</v>
      </c>
      <c r="AD38" s="54">
        <v>9</v>
      </c>
      <c r="AE38" s="54">
        <v>11</v>
      </c>
      <c r="AF38" s="54">
        <v>12</v>
      </c>
      <c r="AG38" s="5">
        <f t="shared" si="2"/>
        <v>310</v>
      </c>
    </row>
    <row r="39" spans="1:33" ht="15.75" customHeight="1" x14ac:dyDescent="0.25">
      <c r="A39" s="56" t="s">
        <v>13</v>
      </c>
      <c r="B39" s="54">
        <v>24</v>
      </c>
      <c r="C39" s="54">
        <v>17</v>
      </c>
      <c r="D39" s="54">
        <v>12</v>
      </c>
      <c r="E39" s="54">
        <v>12</v>
      </c>
      <c r="F39" s="54">
        <v>17</v>
      </c>
      <c r="G39" s="54">
        <v>19</v>
      </c>
      <c r="H39" s="54">
        <v>21</v>
      </c>
      <c r="I39" s="54">
        <v>19</v>
      </c>
      <c r="J39" s="54">
        <v>15</v>
      </c>
      <c r="K39" s="54">
        <v>13</v>
      </c>
      <c r="L39" s="54">
        <v>12</v>
      </c>
      <c r="M39" s="54">
        <v>26</v>
      </c>
      <c r="N39" s="54">
        <v>21</v>
      </c>
      <c r="O39" s="54">
        <v>13</v>
      </c>
      <c r="P39" s="54">
        <v>15</v>
      </c>
      <c r="Q39" s="54">
        <v>17</v>
      </c>
      <c r="R39" s="54">
        <v>13</v>
      </c>
      <c r="S39" s="54">
        <v>10</v>
      </c>
      <c r="T39" s="54">
        <v>22</v>
      </c>
      <c r="U39" s="54">
        <v>17</v>
      </c>
      <c r="V39" s="54">
        <v>8</v>
      </c>
      <c r="W39" s="54">
        <v>14</v>
      </c>
      <c r="X39" s="54">
        <v>16</v>
      </c>
      <c r="Y39" s="54">
        <v>20</v>
      </c>
      <c r="Z39" s="54">
        <v>13</v>
      </c>
      <c r="AA39" s="54">
        <v>22</v>
      </c>
      <c r="AB39" s="54">
        <v>19</v>
      </c>
      <c r="AC39" s="54">
        <v>17</v>
      </c>
      <c r="AD39" s="54">
        <v>17</v>
      </c>
      <c r="AE39" s="54">
        <v>20</v>
      </c>
      <c r="AF39" s="54">
        <v>9</v>
      </c>
      <c r="AG39" s="5">
        <f t="shared" si="2"/>
        <v>510</v>
      </c>
    </row>
    <row r="40" spans="1:33" ht="15.75" customHeight="1" x14ac:dyDescent="0.25">
      <c r="A40" s="56" t="s">
        <v>14</v>
      </c>
      <c r="B40" s="54">
        <v>14</v>
      </c>
      <c r="C40" s="54">
        <v>15</v>
      </c>
      <c r="D40" s="54">
        <v>6</v>
      </c>
      <c r="E40" s="54">
        <v>12</v>
      </c>
      <c r="F40" s="54">
        <v>27</v>
      </c>
      <c r="G40" s="54">
        <v>18</v>
      </c>
      <c r="H40" s="54">
        <v>18</v>
      </c>
      <c r="I40" s="54">
        <v>16</v>
      </c>
      <c r="J40" s="54">
        <v>16</v>
      </c>
      <c r="K40" s="54">
        <v>18</v>
      </c>
      <c r="L40" s="54">
        <v>17</v>
      </c>
      <c r="M40" s="54">
        <v>22</v>
      </c>
      <c r="N40" s="54">
        <v>15</v>
      </c>
      <c r="O40" s="54">
        <v>23</v>
      </c>
      <c r="P40" s="54">
        <v>18</v>
      </c>
      <c r="Q40" s="54">
        <v>15</v>
      </c>
      <c r="R40" s="54">
        <v>7</v>
      </c>
      <c r="S40" s="54">
        <v>9</v>
      </c>
      <c r="T40" s="54">
        <v>29</v>
      </c>
      <c r="U40" s="54">
        <v>21</v>
      </c>
      <c r="V40" s="54">
        <v>15</v>
      </c>
      <c r="W40" s="54">
        <v>13</v>
      </c>
      <c r="X40" s="54">
        <v>15</v>
      </c>
      <c r="Y40" s="54">
        <v>13</v>
      </c>
      <c r="Z40" s="54">
        <v>18</v>
      </c>
      <c r="AA40" s="54">
        <v>23</v>
      </c>
      <c r="AB40" s="54">
        <v>20</v>
      </c>
      <c r="AC40" s="54">
        <v>21</v>
      </c>
      <c r="AD40" s="54">
        <v>14</v>
      </c>
      <c r="AE40" s="54">
        <v>21</v>
      </c>
      <c r="AF40" s="54">
        <v>22</v>
      </c>
      <c r="AG40" s="5">
        <f t="shared" si="2"/>
        <v>531</v>
      </c>
    </row>
    <row r="41" spans="1:33" ht="15.75" customHeight="1" x14ac:dyDescent="0.25">
      <c r="A41" s="56" t="s">
        <v>15</v>
      </c>
      <c r="B41" s="54">
        <v>7</v>
      </c>
      <c r="C41" s="54">
        <v>15</v>
      </c>
      <c r="D41" s="54">
        <v>9</v>
      </c>
      <c r="E41" s="54">
        <v>12</v>
      </c>
      <c r="F41" s="54">
        <v>23</v>
      </c>
      <c r="G41" s="54">
        <v>16</v>
      </c>
      <c r="H41" s="54">
        <v>22</v>
      </c>
      <c r="I41" s="54">
        <v>21</v>
      </c>
      <c r="J41" s="54">
        <v>18</v>
      </c>
      <c r="K41" s="54">
        <v>19</v>
      </c>
      <c r="L41" s="54">
        <v>8</v>
      </c>
      <c r="M41" s="54">
        <v>25</v>
      </c>
      <c r="N41" s="54">
        <v>12</v>
      </c>
      <c r="O41" s="54">
        <v>24</v>
      </c>
      <c r="P41" s="54">
        <v>8</v>
      </c>
      <c r="Q41" s="54">
        <v>12</v>
      </c>
      <c r="R41" s="54">
        <v>10</v>
      </c>
      <c r="S41" s="54">
        <v>11</v>
      </c>
      <c r="T41" s="54">
        <v>28</v>
      </c>
      <c r="U41" s="54">
        <v>26</v>
      </c>
      <c r="V41" s="54">
        <v>13</v>
      </c>
      <c r="W41" s="54">
        <v>13</v>
      </c>
      <c r="X41" s="54">
        <v>21</v>
      </c>
      <c r="Y41" s="54">
        <v>11</v>
      </c>
      <c r="Z41" s="54">
        <v>14</v>
      </c>
      <c r="AA41" s="54">
        <v>20</v>
      </c>
      <c r="AB41" s="54">
        <v>14</v>
      </c>
      <c r="AC41" s="54">
        <v>16</v>
      </c>
      <c r="AD41" s="54">
        <v>14</v>
      </c>
      <c r="AE41" s="54">
        <v>16</v>
      </c>
      <c r="AF41" s="54">
        <v>14</v>
      </c>
      <c r="AG41" s="5">
        <f t="shared" si="2"/>
        <v>492</v>
      </c>
    </row>
    <row r="42" spans="1:33" ht="15.75" customHeight="1" x14ac:dyDescent="0.25">
      <c r="A42" s="56" t="s">
        <v>16</v>
      </c>
      <c r="B42" s="54">
        <v>5</v>
      </c>
      <c r="C42" s="54">
        <v>5</v>
      </c>
      <c r="D42" s="54">
        <v>7</v>
      </c>
      <c r="E42" s="54">
        <v>10</v>
      </c>
      <c r="F42" s="54">
        <v>20</v>
      </c>
      <c r="G42" s="54">
        <v>19</v>
      </c>
      <c r="H42" s="54">
        <v>14</v>
      </c>
      <c r="I42" s="54">
        <v>13</v>
      </c>
      <c r="J42" s="54">
        <v>15</v>
      </c>
      <c r="K42" s="54">
        <v>12</v>
      </c>
      <c r="L42" s="54">
        <v>10</v>
      </c>
      <c r="M42" s="54">
        <v>22</v>
      </c>
      <c r="N42" s="54">
        <v>11</v>
      </c>
      <c r="O42" s="54">
        <v>13</v>
      </c>
      <c r="P42" s="54">
        <v>4</v>
      </c>
      <c r="Q42" s="54">
        <v>21</v>
      </c>
      <c r="R42" s="54">
        <v>9</v>
      </c>
      <c r="S42" s="54">
        <v>8</v>
      </c>
      <c r="T42" s="54">
        <v>19</v>
      </c>
      <c r="U42" s="54">
        <v>8</v>
      </c>
      <c r="V42" s="54">
        <v>20</v>
      </c>
      <c r="W42" s="54">
        <v>13</v>
      </c>
      <c r="X42" s="54">
        <v>8</v>
      </c>
      <c r="Y42" s="54">
        <v>14</v>
      </c>
      <c r="Z42" s="54">
        <v>9</v>
      </c>
      <c r="AA42" s="54">
        <v>21</v>
      </c>
      <c r="AB42" s="54">
        <v>15</v>
      </c>
      <c r="AC42" s="54">
        <v>16</v>
      </c>
      <c r="AD42" s="54">
        <v>16</v>
      </c>
      <c r="AE42" s="54">
        <v>10</v>
      </c>
      <c r="AF42" s="54">
        <v>15</v>
      </c>
      <c r="AG42" s="5">
        <f t="shared" si="2"/>
        <v>402</v>
      </c>
    </row>
    <row r="43" spans="1:33" ht="15.75" customHeight="1" x14ac:dyDescent="0.25">
      <c r="A43" s="56" t="s">
        <v>17</v>
      </c>
      <c r="B43" s="54">
        <v>5</v>
      </c>
      <c r="C43" s="54">
        <v>8</v>
      </c>
      <c r="D43" s="54">
        <v>8</v>
      </c>
      <c r="E43" s="54">
        <v>4</v>
      </c>
      <c r="F43" s="54">
        <v>14</v>
      </c>
      <c r="G43" s="54">
        <v>15</v>
      </c>
      <c r="H43" s="54">
        <v>7</v>
      </c>
      <c r="I43" s="54">
        <v>7</v>
      </c>
      <c r="J43" s="54">
        <v>12</v>
      </c>
      <c r="K43" s="54">
        <v>3</v>
      </c>
      <c r="L43" s="54">
        <v>6</v>
      </c>
      <c r="M43" s="54">
        <v>10</v>
      </c>
      <c r="N43" s="54">
        <v>12</v>
      </c>
      <c r="O43" s="54">
        <v>8</v>
      </c>
      <c r="P43" s="54">
        <v>6</v>
      </c>
      <c r="Q43" s="54">
        <v>14</v>
      </c>
      <c r="R43" s="54">
        <v>8</v>
      </c>
      <c r="S43" s="54">
        <v>5</v>
      </c>
      <c r="T43" s="54">
        <v>13</v>
      </c>
      <c r="U43" s="54">
        <v>4</v>
      </c>
      <c r="V43" s="54">
        <v>19</v>
      </c>
      <c r="W43" s="54">
        <v>8</v>
      </c>
      <c r="X43" s="54">
        <v>13</v>
      </c>
      <c r="Y43" s="54">
        <v>7</v>
      </c>
      <c r="Z43" s="54">
        <v>7</v>
      </c>
      <c r="AA43" s="54">
        <v>10</v>
      </c>
      <c r="AB43" s="54">
        <v>12</v>
      </c>
      <c r="AC43" s="54">
        <v>10</v>
      </c>
      <c r="AD43" s="54">
        <v>7</v>
      </c>
      <c r="AE43" s="54">
        <v>7</v>
      </c>
      <c r="AF43" s="54">
        <v>7</v>
      </c>
      <c r="AG43" s="5">
        <f t="shared" si="2"/>
        <v>276</v>
      </c>
    </row>
    <row r="44" spans="1:33" ht="15.75" customHeight="1" x14ac:dyDescent="0.25">
      <c r="A44" s="56" t="s">
        <v>18</v>
      </c>
      <c r="B44" s="54">
        <v>5</v>
      </c>
      <c r="C44" s="54">
        <v>4</v>
      </c>
      <c r="D44" s="54">
        <v>5</v>
      </c>
      <c r="E44" s="54">
        <v>5</v>
      </c>
      <c r="F44" s="54">
        <v>2</v>
      </c>
      <c r="G44" s="54">
        <v>9</v>
      </c>
      <c r="H44" s="54">
        <v>5</v>
      </c>
      <c r="I44" s="54">
        <v>7</v>
      </c>
      <c r="J44" s="54">
        <v>7</v>
      </c>
      <c r="K44" s="54">
        <v>9</v>
      </c>
      <c r="L44" s="54">
        <v>3</v>
      </c>
      <c r="M44" s="54">
        <v>7</v>
      </c>
      <c r="N44" s="54">
        <v>10</v>
      </c>
      <c r="O44" s="54">
        <v>9</v>
      </c>
      <c r="P44" s="54">
        <v>6</v>
      </c>
      <c r="Q44" s="54">
        <v>5</v>
      </c>
      <c r="R44" s="54">
        <v>10</v>
      </c>
      <c r="S44" s="54">
        <v>5</v>
      </c>
      <c r="T44" s="54">
        <v>11</v>
      </c>
      <c r="U44" s="54">
        <v>15</v>
      </c>
      <c r="V44" s="54">
        <v>18</v>
      </c>
      <c r="W44" s="54">
        <v>7</v>
      </c>
      <c r="X44" s="54">
        <v>6</v>
      </c>
      <c r="Y44" s="54">
        <v>9</v>
      </c>
      <c r="Z44" s="54">
        <v>10</v>
      </c>
      <c r="AA44" s="54">
        <v>5</v>
      </c>
      <c r="AB44" s="54">
        <v>8</v>
      </c>
      <c r="AC44" s="54">
        <v>7</v>
      </c>
      <c r="AD44" s="54">
        <v>10</v>
      </c>
      <c r="AE44" s="54">
        <v>9</v>
      </c>
      <c r="AF44" s="54">
        <v>9</v>
      </c>
      <c r="AG44" s="5">
        <f t="shared" si="2"/>
        <v>237</v>
      </c>
    </row>
    <row r="45" spans="1:33" ht="15.75" customHeight="1" x14ac:dyDescent="0.25">
      <c r="A45" s="56" t="s">
        <v>19</v>
      </c>
      <c r="B45" s="54">
        <v>3</v>
      </c>
      <c r="C45" s="54">
        <v>3</v>
      </c>
      <c r="D45" s="54">
        <v>3</v>
      </c>
      <c r="E45" s="54">
        <v>5</v>
      </c>
      <c r="F45" s="54">
        <v>5</v>
      </c>
      <c r="G45" s="54">
        <v>8</v>
      </c>
      <c r="H45" s="54">
        <v>2</v>
      </c>
      <c r="I45" s="54">
        <v>7</v>
      </c>
      <c r="J45" s="54">
        <v>10</v>
      </c>
      <c r="K45" s="54">
        <v>3</v>
      </c>
      <c r="L45" s="54">
        <v>3</v>
      </c>
      <c r="M45" s="54">
        <v>5</v>
      </c>
      <c r="N45" s="54">
        <v>12</v>
      </c>
      <c r="O45" s="54">
        <v>7</v>
      </c>
      <c r="P45" s="54">
        <v>10</v>
      </c>
      <c r="Q45" s="54">
        <v>3</v>
      </c>
      <c r="R45" s="54">
        <v>9</v>
      </c>
      <c r="S45" s="54">
        <v>7</v>
      </c>
      <c r="T45" s="54">
        <v>3</v>
      </c>
      <c r="U45" s="54">
        <v>3</v>
      </c>
      <c r="V45" s="54">
        <v>5</v>
      </c>
      <c r="W45" s="54">
        <v>6</v>
      </c>
      <c r="X45" s="54">
        <v>7</v>
      </c>
      <c r="Y45" s="54">
        <v>2</v>
      </c>
      <c r="Z45" s="54">
        <v>2</v>
      </c>
      <c r="AA45" s="54">
        <v>15</v>
      </c>
      <c r="AB45" s="54">
        <v>7</v>
      </c>
      <c r="AC45" s="54">
        <v>7</v>
      </c>
      <c r="AD45" s="54">
        <v>9</v>
      </c>
      <c r="AE45" s="54">
        <v>8</v>
      </c>
      <c r="AF45" s="54">
        <v>7</v>
      </c>
      <c r="AG45" s="5">
        <f t="shared" si="2"/>
        <v>186</v>
      </c>
    </row>
    <row r="46" spans="1:33" ht="15.75" customHeight="1" x14ac:dyDescent="0.25">
      <c r="A46" s="56" t="s">
        <v>20</v>
      </c>
      <c r="B46" s="54">
        <v>1</v>
      </c>
      <c r="C46" s="54">
        <v>0</v>
      </c>
      <c r="D46" s="54">
        <v>3</v>
      </c>
      <c r="E46" s="54">
        <v>4</v>
      </c>
      <c r="F46" s="54">
        <v>3</v>
      </c>
      <c r="G46" s="54">
        <v>1</v>
      </c>
      <c r="H46" s="54">
        <v>3</v>
      </c>
      <c r="I46" s="54">
        <v>2</v>
      </c>
      <c r="J46" s="54">
        <v>4</v>
      </c>
      <c r="K46" s="54">
        <v>7</v>
      </c>
      <c r="L46" s="54">
        <v>2</v>
      </c>
      <c r="M46" s="54">
        <v>9</v>
      </c>
      <c r="N46" s="54">
        <v>9</v>
      </c>
      <c r="O46" s="54">
        <v>0</v>
      </c>
      <c r="P46" s="54">
        <v>4</v>
      </c>
      <c r="Q46" s="54">
        <v>3</v>
      </c>
      <c r="R46" s="54">
        <v>3</v>
      </c>
      <c r="S46" s="54">
        <v>4</v>
      </c>
      <c r="T46" s="54">
        <v>2</v>
      </c>
      <c r="U46" s="54">
        <v>1</v>
      </c>
      <c r="V46" s="54">
        <v>6</v>
      </c>
      <c r="W46" s="54">
        <v>6</v>
      </c>
      <c r="X46" s="54">
        <v>1</v>
      </c>
      <c r="Y46" s="54">
        <v>7</v>
      </c>
      <c r="Z46" s="54">
        <v>1</v>
      </c>
      <c r="AA46" s="54">
        <v>9</v>
      </c>
      <c r="AB46" s="54">
        <v>7</v>
      </c>
      <c r="AC46" s="54">
        <v>10</v>
      </c>
      <c r="AD46" s="54">
        <v>4</v>
      </c>
      <c r="AE46" s="54">
        <v>11</v>
      </c>
      <c r="AF46" s="54">
        <v>6</v>
      </c>
      <c r="AG46" s="5">
        <f t="shared" si="2"/>
        <v>133</v>
      </c>
    </row>
    <row r="47" spans="1:33" ht="15.75" customHeight="1" x14ac:dyDescent="0.25">
      <c r="A47" s="56" t="s">
        <v>21</v>
      </c>
      <c r="B47" s="54">
        <v>4</v>
      </c>
      <c r="C47" s="54">
        <v>1</v>
      </c>
      <c r="D47" s="54">
        <v>3</v>
      </c>
      <c r="E47" s="54">
        <v>1</v>
      </c>
      <c r="F47" s="54">
        <v>4</v>
      </c>
      <c r="G47" s="54">
        <v>2</v>
      </c>
      <c r="H47" s="54">
        <v>1</v>
      </c>
      <c r="I47" s="54">
        <v>3</v>
      </c>
      <c r="J47" s="54">
        <v>3</v>
      </c>
      <c r="K47" s="54">
        <v>0</v>
      </c>
      <c r="L47" s="54">
        <v>4</v>
      </c>
      <c r="M47" s="54">
        <v>0</v>
      </c>
      <c r="N47" s="54">
        <v>6</v>
      </c>
      <c r="O47" s="54">
        <v>4</v>
      </c>
      <c r="P47" s="54">
        <v>1</v>
      </c>
      <c r="Q47" s="54">
        <v>2</v>
      </c>
      <c r="R47" s="54">
        <v>4</v>
      </c>
      <c r="S47" s="54">
        <v>0</v>
      </c>
      <c r="T47" s="54">
        <v>3</v>
      </c>
      <c r="U47" s="54">
        <v>2</v>
      </c>
      <c r="V47" s="54">
        <v>3</v>
      </c>
      <c r="W47" s="54">
        <v>1</v>
      </c>
      <c r="X47" s="54">
        <v>1</v>
      </c>
      <c r="Y47" s="54">
        <v>0</v>
      </c>
      <c r="Z47" s="54">
        <v>2</v>
      </c>
      <c r="AA47" s="54">
        <v>2</v>
      </c>
      <c r="AB47" s="54">
        <v>2</v>
      </c>
      <c r="AC47" s="54">
        <v>1</v>
      </c>
      <c r="AD47" s="54">
        <v>7</v>
      </c>
      <c r="AE47" s="54">
        <v>9</v>
      </c>
      <c r="AF47" s="54">
        <v>2</v>
      </c>
      <c r="AG47" s="5">
        <f t="shared" si="2"/>
        <v>78</v>
      </c>
    </row>
    <row r="48" spans="1:33" ht="15.75" customHeight="1" x14ac:dyDescent="0.25">
      <c r="A48" s="56" t="s">
        <v>22</v>
      </c>
      <c r="B48" s="54">
        <v>1</v>
      </c>
      <c r="C48" s="54">
        <v>2</v>
      </c>
      <c r="D48" s="54">
        <v>1</v>
      </c>
      <c r="E48" s="54">
        <v>3</v>
      </c>
      <c r="F48" s="54">
        <v>0</v>
      </c>
      <c r="G48" s="54">
        <v>0</v>
      </c>
      <c r="H48" s="54">
        <v>0</v>
      </c>
      <c r="I48" s="54">
        <v>1</v>
      </c>
      <c r="J48" s="54">
        <v>3</v>
      </c>
      <c r="K48" s="54">
        <v>1</v>
      </c>
      <c r="L48" s="54">
        <v>0</v>
      </c>
      <c r="M48" s="54">
        <v>2</v>
      </c>
      <c r="N48" s="54">
        <v>1</v>
      </c>
      <c r="O48" s="54">
        <v>4</v>
      </c>
      <c r="P48" s="54">
        <v>2</v>
      </c>
      <c r="Q48" s="54">
        <v>3</v>
      </c>
      <c r="R48" s="54">
        <v>2</v>
      </c>
      <c r="S48" s="54">
        <v>1</v>
      </c>
      <c r="T48" s="54">
        <v>2</v>
      </c>
      <c r="U48" s="54">
        <v>3</v>
      </c>
      <c r="V48" s="54">
        <v>2</v>
      </c>
      <c r="W48" s="54">
        <v>0</v>
      </c>
      <c r="X48" s="54">
        <v>0</v>
      </c>
      <c r="Y48" s="54">
        <v>1</v>
      </c>
      <c r="Z48" s="54">
        <v>4</v>
      </c>
      <c r="AA48" s="54">
        <v>2</v>
      </c>
      <c r="AB48" s="54">
        <v>1</v>
      </c>
      <c r="AC48" s="54">
        <v>3</v>
      </c>
      <c r="AD48" s="54">
        <v>1</v>
      </c>
      <c r="AE48" s="54">
        <v>4</v>
      </c>
      <c r="AF48" s="54">
        <v>3</v>
      </c>
      <c r="AG48" s="5">
        <f t="shared" si="2"/>
        <v>53</v>
      </c>
    </row>
    <row r="49" spans="1:33" ht="15.75" customHeight="1" x14ac:dyDescent="0.25">
      <c r="A49" s="56" t="s">
        <v>23</v>
      </c>
      <c r="B49" s="54">
        <v>2</v>
      </c>
      <c r="C49" s="54">
        <v>1</v>
      </c>
      <c r="D49" s="54">
        <v>0</v>
      </c>
      <c r="E49" s="54">
        <v>3</v>
      </c>
      <c r="F49" s="54">
        <v>2</v>
      </c>
      <c r="G49" s="54">
        <v>3</v>
      </c>
      <c r="H49" s="54">
        <v>0</v>
      </c>
      <c r="I49" s="54">
        <v>1</v>
      </c>
      <c r="J49" s="54">
        <v>0</v>
      </c>
      <c r="K49" s="54">
        <v>2</v>
      </c>
      <c r="L49" s="54">
        <v>1</v>
      </c>
      <c r="M49" s="54">
        <v>0</v>
      </c>
      <c r="N49" s="54">
        <v>1</v>
      </c>
      <c r="O49" s="54">
        <v>1</v>
      </c>
      <c r="P49" s="54">
        <v>1</v>
      </c>
      <c r="Q49" s="54">
        <v>0</v>
      </c>
      <c r="R49" s="54">
        <v>1</v>
      </c>
      <c r="S49" s="54">
        <v>2</v>
      </c>
      <c r="T49" s="54">
        <v>2</v>
      </c>
      <c r="U49" s="54">
        <v>3</v>
      </c>
      <c r="V49" s="54">
        <v>0</v>
      </c>
      <c r="W49" s="54">
        <v>1</v>
      </c>
      <c r="X49" s="54">
        <v>0</v>
      </c>
      <c r="Y49" s="54">
        <v>0</v>
      </c>
      <c r="Z49" s="54">
        <v>3</v>
      </c>
      <c r="AA49" s="54">
        <v>0</v>
      </c>
      <c r="AB49" s="54">
        <v>2</v>
      </c>
      <c r="AC49" s="54">
        <v>2</v>
      </c>
      <c r="AD49" s="54">
        <v>0</v>
      </c>
      <c r="AE49" s="54">
        <v>1</v>
      </c>
      <c r="AF49" s="54">
        <v>3</v>
      </c>
      <c r="AG49" s="5">
        <f t="shared" si="2"/>
        <v>38</v>
      </c>
    </row>
    <row r="50" spans="1:33" ht="15.75" customHeight="1" x14ac:dyDescent="0.25">
      <c r="A50" s="56" t="s">
        <v>24</v>
      </c>
      <c r="B50" s="54">
        <v>1</v>
      </c>
      <c r="C50" s="54">
        <v>1</v>
      </c>
      <c r="D50" s="54">
        <v>0</v>
      </c>
      <c r="E50" s="54">
        <v>3</v>
      </c>
      <c r="F50" s="54">
        <v>2</v>
      </c>
      <c r="G50" s="54">
        <v>3</v>
      </c>
      <c r="H50" s="54">
        <v>0</v>
      </c>
      <c r="I50" s="54">
        <v>1</v>
      </c>
      <c r="J50" s="54">
        <v>0</v>
      </c>
      <c r="K50" s="54">
        <v>3</v>
      </c>
      <c r="L50" s="54">
        <v>1</v>
      </c>
      <c r="M50" s="54">
        <v>1</v>
      </c>
      <c r="N50" s="54">
        <v>0</v>
      </c>
      <c r="O50" s="54">
        <v>0</v>
      </c>
      <c r="P50" s="54">
        <v>0</v>
      </c>
      <c r="Q50" s="54">
        <v>0</v>
      </c>
      <c r="R50" s="54">
        <v>1</v>
      </c>
      <c r="S50" s="54">
        <v>0</v>
      </c>
      <c r="T50" s="54">
        <v>0</v>
      </c>
      <c r="U50" s="54">
        <v>2</v>
      </c>
      <c r="V50" s="54">
        <v>0</v>
      </c>
      <c r="W50" s="54">
        <v>0</v>
      </c>
      <c r="X50" s="54">
        <v>0</v>
      </c>
      <c r="Y50" s="54">
        <v>1</v>
      </c>
      <c r="Z50" s="54">
        <v>0</v>
      </c>
      <c r="AA50" s="54">
        <v>3</v>
      </c>
      <c r="AB50" s="54">
        <v>0</v>
      </c>
      <c r="AC50" s="54">
        <v>0</v>
      </c>
      <c r="AD50" s="54">
        <v>1</v>
      </c>
      <c r="AE50" s="54">
        <v>3</v>
      </c>
      <c r="AF50" s="54">
        <v>1</v>
      </c>
      <c r="AG50" s="5">
        <f t="shared" si="2"/>
        <v>28</v>
      </c>
    </row>
    <row r="51" spans="1:33" ht="15.75" customHeight="1" x14ac:dyDescent="0.25">
      <c r="A51" s="56" t="s">
        <v>25</v>
      </c>
      <c r="B51" s="54">
        <v>0</v>
      </c>
      <c r="C51" s="54">
        <v>0</v>
      </c>
      <c r="D51" s="54">
        <v>0</v>
      </c>
      <c r="E51" s="54">
        <v>0</v>
      </c>
      <c r="F51" s="54">
        <v>2</v>
      </c>
      <c r="G51" s="54">
        <v>1</v>
      </c>
      <c r="H51" s="54">
        <v>0</v>
      </c>
      <c r="I51" s="54">
        <v>0</v>
      </c>
      <c r="J51" s="54">
        <v>1</v>
      </c>
      <c r="K51" s="54">
        <v>0</v>
      </c>
      <c r="L51" s="54">
        <v>0</v>
      </c>
      <c r="M51" s="54">
        <v>0</v>
      </c>
      <c r="N51" s="54">
        <v>1</v>
      </c>
      <c r="O51" s="54">
        <v>0</v>
      </c>
      <c r="P51" s="54">
        <v>2</v>
      </c>
      <c r="Q51" s="54">
        <v>0</v>
      </c>
      <c r="R51" s="54">
        <v>3</v>
      </c>
      <c r="S51" s="54">
        <v>2</v>
      </c>
      <c r="T51" s="54">
        <v>0</v>
      </c>
      <c r="U51" s="54">
        <v>5</v>
      </c>
      <c r="V51" s="54">
        <v>1</v>
      </c>
      <c r="W51" s="54">
        <v>2</v>
      </c>
      <c r="X51" s="54">
        <v>0</v>
      </c>
      <c r="Y51" s="54">
        <v>2</v>
      </c>
      <c r="Z51" s="54">
        <v>3</v>
      </c>
      <c r="AA51" s="54">
        <v>0</v>
      </c>
      <c r="AB51" s="54">
        <v>1</v>
      </c>
      <c r="AC51" s="54">
        <v>1</v>
      </c>
      <c r="AD51" s="54">
        <v>0</v>
      </c>
      <c r="AE51" s="54">
        <v>1</v>
      </c>
      <c r="AF51" s="54">
        <v>2</v>
      </c>
      <c r="AG51" s="5">
        <f t="shared" si="2"/>
        <v>30</v>
      </c>
    </row>
    <row r="52" spans="1:33" ht="15.75" customHeight="1" thickBot="1" x14ac:dyDescent="0.3">
      <c r="A52" s="57" t="s">
        <v>26</v>
      </c>
      <c r="B52" s="58">
        <v>0</v>
      </c>
      <c r="C52" s="58">
        <v>0</v>
      </c>
      <c r="D52" s="58">
        <v>1</v>
      </c>
      <c r="E52" s="58">
        <v>0</v>
      </c>
      <c r="F52" s="58">
        <v>0</v>
      </c>
      <c r="G52" s="58">
        <v>3</v>
      </c>
      <c r="H52" s="58">
        <v>0</v>
      </c>
      <c r="I52" s="58">
        <v>1</v>
      </c>
      <c r="J52" s="58">
        <v>1</v>
      </c>
      <c r="K52" s="58">
        <v>0</v>
      </c>
      <c r="L52" s="58">
        <v>3</v>
      </c>
      <c r="M52" s="58">
        <v>1</v>
      </c>
      <c r="N52" s="58">
        <v>0</v>
      </c>
      <c r="O52" s="58">
        <v>0</v>
      </c>
      <c r="P52" s="58">
        <v>0</v>
      </c>
      <c r="Q52" s="58">
        <v>0</v>
      </c>
      <c r="R52" s="58">
        <v>1</v>
      </c>
      <c r="S52" s="58">
        <v>1</v>
      </c>
      <c r="T52" s="58">
        <v>0</v>
      </c>
      <c r="U52" s="58">
        <v>1</v>
      </c>
      <c r="V52" s="58">
        <v>1</v>
      </c>
      <c r="W52" s="58">
        <v>2</v>
      </c>
      <c r="X52" s="58">
        <v>0</v>
      </c>
      <c r="Y52" s="58">
        <v>0</v>
      </c>
      <c r="Z52" s="58">
        <v>0</v>
      </c>
      <c r="AA52" s="58">
        <v>0</v>
      </c>
      <c r="AB52" s="58">
        <v>0</v>
      </c>
      <c r="AC52" s="58">
        <v>1</v>
      </c>
      <c r="AD52" s="60">
        <v>0</v>
      </c>
      <c r="AE52" s="60">
        <v>0</v>
      </c>
      <c r="AF52" s="60">
        <v>3</v>
      </c>
      <c r="AG52" s="9">
        <f t="shared" si="2"/>
        <v>20</v>
      </c>
    </row>
    <row r="53" spans="1:33" ht="15.75" customHeight="1" thickBot="1" x14ac:dyDescent="0.3">
      <c r="A53" s="52" t="s">
        <v>28</v>
      </c>
      <c r="B53" s="1">
        <f t="shared" ref="B53:AF53" si="4">SUM(B54:B77)</f>
        <v>2</v>
      </c>
      <c r="C53" s="1">
        <f t="shared" si="4"/>
        <v>2</v>
      </c>
      <c r="D53" s="1">
        <f t="shared" si="4"/>
        <v>5</v>
      </c>
      <c r="E53" s="1">
        <f t="shared" si="4"/>
        <v>9</v>
      </c>
      <c r="F53" s="1">
        <f t="shared" si="4"/>
        <v>12</v>
      </c>
      <c r="G53" s="1">
        <f t="shared" si="4"/>
        <v>7</v>
      </c>
      <c r="H53" s="1">
        <f t="shared" si="4"/>
        <v>5</v>
      </c>
      <c r="I53" s="1">
        <f t="shared" si="4"/>
        <v>9</v>
      </c>
      <c r="J53" s="1">
        <f t="shared" si="4"/>
        <v>5</v>
      </c>
      <c r="K53" s="1">
        <f t="shared" si="4"/>
        <v>3</v>
      </c>
      <c r="L53" s="1">
        <f t="shared" si="4"/>
        <v>1</v>
      </c>
      <c r="M53" s="1">
        <f t="shared" si="4"/>
        <v>6</v>
      </c>
      <c r="N53" s="1">
        <f t="shared" si="4"/>
        <v>19</v>
      </c>
      <c r="O53" s="1">
        <f t="shared" si="4"/>
        <v>6</v>
      </c>
      <c r="P53" s="1">
        <f t="shared" si="4"/>
        <v>7</v>
      </c>
      <c r="Q53" s="1">
        <f t="shared" si="4"/>
        <v>3</v>
      </c>
      <c r="R53" s="1">
        <f t="shared" si="4"/>
        <v>3</v>
      </c>
      <c r="S53" s="1">
        <f t="shared" si="4"/>
        <v>6</v>
      </c>
      <c r="T53" s="1">
        <f t="shared" si="4"/>
        <v>10</v>
      </c>
      <c r="U53" s="1">
        <f t="shared" si="4"/>
        <v>12</v>
      </c>
      <c r="V53" s="1">
        <f t="shared" si="4"/>
        <v>20</v>
      </c>
      <c r="W53" s="1">
        <f t="shared" si="4"/>
        <v>9</v>
      </c>
      <c r="X53" s="1">
        <f t="shared" si="4"/>
        <v>3</v>
      </c>
      <c r="Y53" s="1">
        <f t="shared" si="4"/>
        <v>6</v>
      </c>
      <c r="Z53" s="1">
        <f t="shared" si="4"/>
        <v>4</v>
      </c>
      <c r="AA53" s="1">
        <f t="shared" si="4"/>
        <v>21</v>
      </c>
      <c r="AB53" s="1">
        <f t="shared" si="4"/>
        <v>9</v>
      </c>
      <c r="AC53" s="1">
        <f t="shared" si="4"/>
        <v>13</v>
      </c>
      <c r="AD53" s="1">
        <f t="shared" si="4"/>
        <v>11</v>
      </c>
      <c r="AE53" s="1">
        <f t="shared" si="4"/>
        <v>11</v>
      </c>
      <c r="AF53" s="1">
        <f t="shared" si="4"/>
        <v>16</v>
      </c>
      <c r="AG53" s="10">
        <f t="shared" si="2"/>
        <v>255</v>
      </c>
    </row>
    <row r="54" spans="1:33" ht="15.75" customHeight="1" x14ac:dyDescent="0.25">
      <c r="A54" s="56" t="s">
        <v>3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1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1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1</v>
      </c>
      <c r="Q55" s="54">
        <v>0</v>
      </c>
      <c r="R55" s="54">
        <v>1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2</v>
      </c>
    </row>
    <row r="56" spans="1:33" ht="15.75" customHeight="1" x14ac:dyDescent="0.25">
      <c r="A56" s="56" t="s">
        <v>5</v>
      </c>
      <c r="B56" s="54">
        <v>0</v>
      </c>
      <c r="C56" s="54">
        <v>0</v>
      </c>
      <c r="D56" s="54">
        <v>0</v>
      </c>
      <c r="E56" s="54">
        <v>2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2</v>
      </c>
    </row>
    <row r="57" spans="1:33" ht="15.75" customHeight="1" x14ac:dyDescent="0.25">
      <c r="A57" s="56" t="s">
        <v>6</v>
      </c>
      <c r="B57" s="54">
        <v>0</v>
      </c>
      <c r="C57" s="54">
        <v>0</v>
      </c>
      <c r="D57" s="54">
        <v>3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1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1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5</v>
      </c>
    </row>
    <row r="58" spans="1:33" ht="15.75" customHeight="1" x14ac:dyDescent="0.25">
      <c r="A58" s="56" t="s">
        <v>7</v>
      </c>
      <c r="B58" s="54">
        <v>0</v>
      </c>
      <c r="C58" s="54">
        <v>0</v>
      </c>
      <c r="D58" s="54">
        <v>1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1</v>
      </c>
      <c r="V58" s="54">
        <v>0</v>
      </c>
      <c r="W58" s="54">
        <v>0</v>
      </c>
      <c r="X58" s="54">
        <v>0</v>
      </c>
      <c r="Y58" s="54">
        <v>0</v>
      </c>
      <c r="Z58" s="54">
        <v>1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>
        <v>0</v>
      </c>
      <c r="AG58" s="5">
        <f t="shared" si="2"/>
        <v>3</v>
      </c>
    </row>
    <row r="59" spans="1:33" ht="15.75" customHeight="1" x14ac:dyDescent="0.25">
      <c r="A59" s="56" t="s">
        <v>8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1</v>
      </c>
      <c r="Q59" s="54">
        <v>0</v>
      </c>
      <c r="R59" s="54">
        <v>1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2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>
        <v>1</v>
      </c>
      <c r="AG59" s="5">
        <f t="shared" si="2"/>
        <v>5</v>
      </c>
    </row>
    <row r="60" spans="1:33" ht="15.75" customHeight="1" x14ac:dyDescent="0.25">
      <c r="A60" s="56" t="s">
        <v>9</v>
      </c>
      <c r="B60" s="54">
        <v>0</v>
      </c>
      <c r="C60" s="54">
        <v>0</v>
      </c>
      <c r="D60" s="54">
        <v>0</v>
      </c>
      <c r="E60" s="54">
        <v>1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1</v>
      </c>
      <c r="Q60" s="54">
        <v>0</v>
      </c>
      <c r="R60" s="54">
        <v>0</v>
      </c>
      <c r="S60" s="54">
        <v>1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3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54">
        <v>0</v>
      </c>
      <c r="AG60" s="5">
        <f t="shared" si="2"/>
        <v>6</v>
      </c>
    </row>
    <row r="61" spans="1:33" ht="15.75" customHeight="1" x14ac:dyDescent="0.25">
      <c r="A61" s="56" t="s">
        <v>10</v>
      </c>
      <c r="B61" s="54">
        <v>0</v>
      </c>
      <c r="C61" s="54">
        <v>0</v>
      </c>
      <c r="D61" s="54">
        <v>0</v>
      </c>
      <c r="E61" s="54">
        <v>2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1</v>
      </c>
      <c r="Q61" s="54">
        <v>0</v>
      </c>
      <c r="R61" s="54">
        <v>0</v>
      </c>
      <c r="S61" s="54">
        <v>1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54">
        <v>2</v>
      </c>
      <c r="AG61" s="5">
        <f t="shared" si="2"/>
        <v>6</v>
      </c>
    </row>
    <row r="62" spans="1:33" ht="15.75" customHeight="1" x14ac:dyDescent="0.25">
      <c r="A62" s="56" t="s">
        <v>11</v>
      </c>
      <c r="B62" s="54">
        <v>0</v>
      </c>
      <c r="C62" s="54">
        <v>1</v>
      </c>
      <c r="D62" s="54">
        <v>1</v>
      </c>
      <c r="E62" s="54">
        <v>1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1</v>
      </c>
      <c r="L62" s="54">
        <v>0</v>
      </c>
      <c r="M62" s="54">
        <v>0</v>
      </c>
      <c r="N62" s="54">
        <v>0</v>
      </c>
      <c r="O62" s="54">
        <v>0</v>
      </c>
      <c r="P62" s="54">
        <v>1</v>
      </c>
      <c r="Q62" s="54">
        <v>0</v>
      </c>
      <c r="R62" s="54">
        <v>0</v>
      </c>
      <c r="S62" s="54">
        <v>1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0</v>
      </c>
      <c r="Z62" s="54">
        <v>0</v>
      </c>
      <c r="AA62" s="54">
        <v>0</v>
      </c>
      <c r="AB62" s="54">
        <v>0</v>
      </c>
      <c r="AC62" s="54">
        <v>0</v>
      </c>
      <c r="AD62" s="54">
        <v>0</v>
      </c>
      <c r="AE62" s="54">
        <v>0</v>
      </c>
      <c r="AF62" s="54">
        <v>1</v>
      </c>
      <c r="AG62" s="5">
        <f t="shared" si="2"/>
        <v>7</v>
      </c>
    </row>
    <row r="63" spans="1:33" ht="15.75" customHeight="1" x14ac:dyDescent="0.25">
      <c r="A63" s="56" t="s">
        <v>12</v>
      </c>
      <c r="B63" s="54">
        <v>1</v>
      </c>
      <c r="C63" s="54">
        <v>1</v>
      </c>
      <c r="D63" s="54">
        <v>0</v>
      </c>
      <c r="E63" s="54">
        <v>1</v>
      </c>
      <c r="F63" s="54">
        <v>0</v>
      </c>
      <c r="G63" s="54">
        <v>2</v>
      </c>
      <c r="H63" s="54">
        <v>1</v>
      </c>
      <c r="I63" s="54">
        <v>0</v>
      </c>
      <c r="J63" s="54">
        <v>2</v>
      </c>
      <c r="K63" s="54">
        <v>0</v>
      </c>
      <c r="L63" s="54">
        <v>1</v>
      </c>
      <c r="M63" s="54">
        <v>0</v>
      </c>
      <c r="N63" s="54">
        <v>0</v>
      </c>
      <c r="O63" s="54">
        <v>2</v>
      </c>
      <c r="P63" s="54">
        <v>0</v>
      </c>
      <c r="Q63" s="54">
        <v>2</v>
      </c>
      <c r="R63" s="54">
        <v>0</v>
      </c>
      <c r="S63" s="54">
        <v>0</v>
      </c>
      <c r="T63" s="54">
        <v>3</v>
      </c>
      <c r="U63" s="54">
        <v>2</v>
      </c>
      <c r="V63" s="54">
        <v>1</v>
      </c>
      <c r="W63" s="54">
        <v>0</v>
      </c>
      <c r="X63" s="54">
        <v>0</v>
      </c>
      <c r="Y63" s="54">
        <v>1</v>
      </c>
      <c r="Z63" s="54">
        <v>0</v>
      </c>
      <c r="AA63" s="54">
        <v>0</v>
      </c>
      <c r="AB63" s="54">
        <v>0</v>
      </c>
      <c r="AC63" s="54">
        <v>2</v>
      </c>
      <c r="AD63" s="54">
        <v>0</v>
      </c>
      <c r="AE63" s="54">
        <v>3</v>
      </c>
      <c r="AF63" s="54">
        <v>3</v>
      </c>
      <c r="AG63" s="5">
        <f t="shared" si="2"/>
        <v>28</v>
      </c>
    </row>
    <row r="64" spans="1:33" ht="15.75" customHeight="1" x14ac:dyDescent="0.25">
      <c r="A64" s="56" t="s">
        <v>13</v>
      </c>
      <c r="B64" s="54">
        <v>0</v>
      </c>
      <c r="C64" s="54">
        <v>0</v>
      </c>
      <c r="D64" s="54">
        <v>0</v>
      </c>
      <c r="E64" s="54">
        <v>0</v>
      </c>
      <c r="F64" s="54">
        <v>0</v>
      </c>
      <c r="G64" s="54">
        <v>0</v>
      </c>
      <c r="H64" s="54">
        <v>2</v>
      </c>
      <c r="I64" s="54">
        <v>0</v>
      </c>
      <c r="J64" s="54">
        <v>0</v>
      </c>
      <c r="K64" s="54">
        <v>0</v>
      </c>
      <c r="L64" s="54">
        <v>0</v>
      </c>
      <c r="M64" s="54">
        <v>0</v>
      </c>
      <c r="N64" s="54">
        <v>0</v>
      </c>
      <c r="O64" s="54">
        <v>0</v>
      </c>
      <c r="P64" s="54">
        <v>0</v>
      </c>
      <c r="Q64" s="54">
        <v>0</v>
      </c>
      <c r="R64" s="54">
        <v>0</v>
      </c>
      <c r="S64" s="54">
        <v>1</v>
      </c>
      <c r="T64" s="54">
        <v>0</v>
      </c>
      <c r="U64" s="54">
        <v>1</v>
      </c>
      <c r="V64" s="54">
        <v>3</v>
      </c>
      <c r="W64" s="54">
        <v>0</v>
      </c>
      <c r="X64" s="54">
        <v>1</v>
      </c>
      <c r="Y64" s="54">
        <v>2</v>
      </c>
      <c r="Z64" s="54">
        <v>0</v>
      </c>
      <c r="AA64" s="54">
        <v>1</v>
      </c>
      <c r="AB64" s="54">
        <v>0</v>
      </c>
      <c r="AC64" s="54">
        <v>2</v>
      </c>
      <c r="AD64" s="54">
        <v>0</v>
      </c>
      <c r="AE64" s="54">
        <v>2</v>
      </c>
      <c r="AF64" s="54">
        <v>6</v>
      </c>
      <c r="AG64" s="5">
        <f t="shared" si="2"/>
        <v>21</v>
      </c>
    </row>
    <row r="65" spans="1:33" ht="15.75" customHeight="1" x14ac:dyDescent="0.25">
      <c r="A65" s="56" t="s">
        <v>14</v>
      </c>
      <c r="B65" s="54">
        <v>0</v>
      </c>
      <c r="C65" s="54">
        <v>0</v>
      </c>
      <c r="D65" s="54">
        <v>0</v>
      </c>
      <c r="E65" s="54">
        <v>0</v>
      </c>
      <c r="F65" s="54">
        <v>2</v>
      </c>
      <c r="G65" s="54">
        <v>1</v>
      </c>
      <c r="H65" s="54">
        <v>0</v>
      </c>
      <c r="I65" s="54">
        <v>0</v>
      </c>
      <c r="J65" s="54">
        <v>0</v>
      </c>
      <c r="K65" s="54">
        <v>0</v>
      </c>
      <c r="L65" s="54">
        <v>0</v>
      </c>
      <c r="M65" s="54">
        <v>0</v>
      </c>
      <c r="N65" s="54">
        <v>0</v>
      </c>
      <c r="O65" s="54">
        <v>1</v>
      </c>
      <c r="P65" s="54">
        <v>0</v>
      </c>
      <c r="Q65" s="54">
        <v>1</v>
      </c>
      <c r="R65" s="54">
        <v>0</v>
      </c>
      <c r="S65" s="54">
        <v>0</v>
      </c>
      <c r="T65" s="54">
        <v>3</v>
      </c>
      <c r="U65" s="54">
        <v>4</v>
      </c>
      <c r="V65" s="54">
        <v>0</v>
      </c>
      <c r="W65" s="54">
        <v>2</v>
      </c>
      <c r="X65" s="54">
        <v>1</v>
      </c>
      <c r="Y65" s="54">
        <v>0</v>
      </c>
      <c r="Z65" s="54">
        <v>0</v>
      </c>
      <c r="AA65" s="54">
        <v>1</v>
      </c>
      <c r="AB65" s="54">
        <v>5</v>
      </c>
      <c r="AC65" s="54">
        <v>0</v>
      </c>
      <c r="AD65" s="54">
        <v>1</v>
      </c>
      <c r="AE65" s="54">
        <v>1</v>
      </c>
      <c r="AF65" s="54">
        <v>3</v>
      </c>
      <c r="AG65" s="5">
        <f t="shared" si="2"/>
        <v>26</v>
      </c>
    </row>
    <row r="66" spans="1:33" ht="15.75" customHeight="1" x14ac:dyDescent="0.25">
      <c r="A66" s="56" t="s">
        <v>15</v>
      </c>
      <c r="B66" s="54">
        <v>0</v>
      </c>
      <c r="C66" s="54">
        <v>0</v>
      </c>
      <c r="D66" s="54">
        <v>0</v>
      </c>
      <c r="E66" s="54">
        <v>0</v>
      </c>
      <c r="F66" s="54">
        <v>3</v>
      </c>
      <c r="G66" s="54">
        <v>1</v>
      </c>
      <c r="H66" s="54">
        <v>0</v>
      </c>
      <c r="I66" s="54">
        <v>2</v>
      </c>
      <c r="J66" s="54">
        <v>1</v>
      </c>
      <c r="K66" s="54">
        <v>1</v>
      </c>
      <c r="L66" s="54">
        <v>0</v>
      </c>
      <c r="M66" s="54">
        <v>4</v>
      </c>
      <c r="N66" s="54">
        <v>1</v>
      </c>
      <c r="O66" s="54">
        <v>3</v>
      </c>
      <c r="P66" s="54">
        <v>0</v>
      </c>
      <c r="Q66" s="54">
        <v>0</v>
      </c>
      <c r="R66" s="54">
        <v>0</v>
      </c>
      <c r="S66" s="54">
        <v>0</v>
      </c>
      <c r="T66" s="54">
        <v>3</v>
      </c>
      <c r="U66" s="54">
        <v>2</v>
      </c>
      <c r="V66" s="54">
        <v>4</v>
      </c>
      <c r="W66" s="54">
        <v>1</v>
      </c>
      <c r="X66" s="54">
        <v>1</v>
      </c>
      <c r="Y66" s="54">
        <v>0</v>
      </c>
      <c r="Z66" s="54">
        <v>0</v>
      </c>
      <c r="AA66" s="54">
        <v>2</v>
      </c>
      <c r="AB66" s="54">
        <v>2</v>
      </c>
      <c r="AC66" s="54">
        <v>1</v>
      </c>
      <c r="AD66" s="54">
        <v>1</v>
      </c>
      <c r="AE66" s="54">
        <v>4</v>
      </c>
      <c r="AF66" s="54">
        <v>0</v>
      </c>
      <c r="AG66" s="5">
        <f t="shared" si="2"/>
        <v>37</v>
      </c>
    </row>
    <row r="67" spans="1:33" ht="15.75" customHeight="1" x14ac:dyDescent="0.25">
      <c r="A67" s="56" t="s">
        <v>16</v>
      </c>
      <c r="B67" s="54">
        <v>1</v>
      </c>
      <c r="C67" s="54">
        <v>0</v>
      </c>
      <c r="D67" s="54">
        <v>0</v>
      </c>
      <c r="E67" s="54">
        <v>0</v>
      </c>
      <c r="F67" s="54">
        <v>2</v>
      </c>
      <c r="G67" s="54">
        <v>1</v>
      </c>
      <c r="H67" s="54">
        <v>2</v>
      </c>
      <c r="I67" s="54">
        <v>2</v>
      </c>
      <c r="J67" s="54">
        <v>1</v>
      </c>
      <c r="K67" s="54">
        <v>0</v>
      </c>
      <c r="L67" s="54">
        <v>0</v>
      </c>
      <c r="M67" s="54">
        <v>0</v>
      </c>
      <c r="N67" s="54">
        <v>0</v>
      </c>
      <c r="O67" s="54">
        <v>0</v>
      </c>
      <c r="P67" s="54">
        <v>1</v>
      </c>
      <c r="Q67" s="54">
        <v>0</v>
      </c>
      <c r="R67" s="54">
        <v>0</v>
      </c>
      <c r="S67" s="54">
        <v>0</v>
      </c>
      <c r="T67" s="54">
        <v>0</v>
      </c>
      <c r="U67" s="54">
        <v>1</v>
      </c>
      <c r="V67" s="54">
        <v>4</v>
      </c>
      <c r="W67" s="54">
        <v>2</v>
      </c>
      <c r="X67" s="54">
        <v>0</v>
      </c>
      <c r="Y67" s="54">
        <v>0</v>
      </c>
      <c r="Z67" s="54">
        <v>0</v>
      </c>
      <c r="AA67" s="54">
        <v>1</v>
      </c>
      <c r="AB67" s="54">
        <v>1</v>
      </c>
      <c r="AC67" s="54">
        <v>6</v>
      </c>
      <c r="AD67" s="54">
        <v>5</v>
      </c>
      <c r="AE67" s="54">
        <v>1</v>
      </c>
      <c r="AF67" s="54">
        <v>0</v>
      </c>
      <c r="AG67" s="5">
        <f t="shared" ref="AG67:AG98" si="5">SUM(B67:AF67)</f>
        <v>31</v>
      </c>
    </row>
    <row r="68" spans="1:33" ht="15.75" customHeight="1" x14ac:dyDescent="0.25">
      <c r="A68" s="56" t="s">
        <v>17</v>
      </c>
      <c r="B68" s="54">
        <v>0</v>
      </c>
      <c r="C68" s="54">
        <v>0</v>
      </c>
      <c r="D68" s="54">
        <v>0</v>
      </c>
      <c r="E68" s="54">
        <v>1</v>
      </c>
      <c r="F68" s="54">
        <v>3</v>
      </c>
      <c r="G68" s="54">
        <v>2</v>
      </c>
      <c r="H68" s="54">
        <v>0</v>
      </c>
      <c r="I68" s="54">
        <v>3</v>
      </c>
      <c r="J68" s="54">
        <v>0</v>
      </c>
      <c r="K68" s="54">
        <v>0</v>
      </c>
      <c r="L68" s="54">
        <v>0</v>
      </c>
      <c r="M68" s="54">
        <v>1</v>
      </c>
      <c r="N68" s="54">
        <v>2</v>
      </c>
      <c r="O68" s="54">
        <v>0</v>
      </c>
      <c r="P68" s="54">
        <v>0</v>
      </c>
      <c r="Q68" s="54">
        <v>0</v>
      </c>
      <c r="R68" s="54">
        <v>0</v>
      </c>
      <c r="S68" s="54">
        <v>0</v>
      </c>
      <c r="T68" s="54">
        <v>1</v>
      </c>
      <c r="U68" s="54">
        <v>0</v>
      </c>
      <c r="V68" s="54">
        <v>5</v>
      </c>
      <c r="W68" s="54">
        <v>0</v>
      </c>
      <c r="X68" s="54">
        <v>0</v>
      </c>
      <c r="Y68" s="54">
        <v>0</v>
      </c>
      <c r="Z68" s="54">
        <v>0</v>
      </c>
      <c r="AA68" s="54">
        <v>1</v>
      </c>
      <c r="AB68" s="54">
        <v>0</v>
      </c>
      <c r="AC68" s="54">
        <v>0</v>
      </c>
      <c r="AD68" s="54">
        <v>0</v>
      </c>
      <c r="AE68" s="54">
        <v>0</v>
      </c>
      <c r="AF68" s="54">
        <v>0</v>
      </c>
      <c r="AG68" s="5">
        <f t="shared" si="5"/>
        <v>19</v>
      </c>
    </row>
    <row r="69" spans="1:33" ht="15.75" customHeight="1" x14ac:dyDescent="0.25">
      <c r="A69" s="56" t="s">
        <v>18</v>
      </c>
      <c r="B69" s="54">
        <v>0</v>
      </c>
      <c r="C69" s="54">
        <v>0</v>
      </c>
      <c r="D69" s="54">
        <v>0</v>
      </c>
      <c r="E69" s="54">
        <v>1</v>
      </c>
      <c r="F69" s="54">
        <v>1</v>
      </c>
      <c r="G69" s="54">
        <v>0</v>
      </c>
      <c r="H69" s="54">
        <v>0</v>
      </c>
      <c r="I69" s="54">
        <v>0</v>
      </c>
      <c r="J69" s="54">
        <v>0</v>
      </c>
      <c r="K69" s="54">
        <v>0</v>
      </c>
      <c r="L69" s="54">
        <v>0</v>
      </c>
      <c r="M69" s="54">
        <v>0</v>
      </c>
      <c r="N69" s="54">
        <v>7</v>
      </c>
      <c r="O69" s="54">
        <v>0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0</v>
      </c>
      <c r="V69" s="54">
        <v>3</v>
      </c>
      <c r="W69" s="54">
        <v>3</v>
      </c>
      <c r="X69" s="54">
        <v>0</v>
      </c>
      <c r="Y69" s="54">
        <v>1</v>
      </c>
      <c r="Z69" s="54">
        <v>0</v>
      </c>
      <c r="AA69" s="54">
        <v>0</v>
      </c>
      <c r="AB69" s="54">
        <v>1</v>
      </c>
      <c r="AC69" s="54">
        <v>2</v>
      </c>
      <c r="AD69" s="54">
        <v>0</v>
      </c>
      <c r="AE69" s="54">
        <v>0</v>
      </c>
      <c r="AF69" s="54">
        <v>0</v>
      </c>
      <c r="AG69" s="5">
        <f t="shared" si="5"/>
        <v>19</v>
      </c>
    </row>
    <row r="70" spans="1:33" ht="15.75" customHeight="1" x14ac:dyDescent="0.25">
      <c r="A70" s="56" t="s">
        <v>19</v>
      </c>
      <c r="B70" s="54">
        <v>0</v>
      </c>
      <c r="C70" s="54">
        <v>0</v>
      </c>
      <c r="D70" s="54">
        <v>0</v>
      </c>
      <c r="E70" s="54">
        <v>0</v>
      </c>
      <c r="F70" s="54">
        <v>1</v>
      </c>
      <c r="G70" s="54">
        <v>0</v>
      </c>
      <c r="H70" s="54">
        <v>0</v>
      </c>
      <c r="I70" s="54">
        <v>2</v>
      </c>
      <c r="J70" s="54">
        <v>1</v>
      </c>
      <c r="K70" s="54">
        <v>0</v>
      </c>
      <c r="L70" s="54">
        <v>0</v>
      </c>
      <c r="M70" s="54">
        <v>1</v>
      </c>
      <c r="N70" s="54">
        <v>0</v>
      </c>
      <c r="O70" s="54">
        <v>0</v>
      </c>
      <c r="P70" s="54">
        <v>1</v>
      </c>
      <c r="Q70" s="54">
        <v>0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4">
        <v>1</v>
      </c>
      <c r="X70" s="54">
        <v>0</v>
      </c>
      <c r="Y70" s="54">
        <v>0</v>
      </c>
      <c r="Z70" s="54">
        <v>0</v>
      </c>
      <c r="AA70" s="54">
        <v>11</v>
      </c>
      <c r="AB70" s="54">
        <v>0</v>
      </c>
      <c r="AC70" s="54">
        <v>0</v>
      </c>
      <c r="AD70" s="55">
        <v>0</v>
      </c>
      <c r="AE70" s="55">
        <v>0</v>
      </c>
      <c r="AF70" s="55">
        <v>0</v>
      </c>
      <c r="AG70" s="5">
        <f t="shared" si="5"/>
        <v>18</v>
      </c>
    </row>
    <row r="71" spans="1:33" ht="15.75" customHeight="1" x14ac:dyDescent="0.25">
      <c r="A71" s="56" t="s">
        <v>20</v>
      </c>
      <c r="B71" s="54">
        <v>0</v>
      </c>
      <c r="C71" s="54">
        <v>0</v>
      </c>
      <c r="D71" s="54">
        <v>0</v>
      </c>
      <c r="E71" s="54">
        <v>0</v>
      </c>
      <c r="F71" s="54">
        <v>0</v>
      </c>
      <c r="G71" s="54">
        <v>0</v>
      </c>
      <c r="H71" s="54">
        <v>0</v>
      </c>
      <c r="I71" s="54">
        <v>0</v>
      </c>
      <c r="J71" s="54">
        <v>0</v>
      </c>
      <c r="K71" s="54">
        <v>0</v>
      </c>
      <c r="L71" s="54">
        <v>0</v>
      </c>
      <c r="M71" s="54">
        <v>0</v>
      </c>
      <c r="N71" s="54">
        <v>7</v>
      </c>
      <c r="O71" s="54">
        <v>0</v>
      </c>
      <c r="P71" s="54">
        <v>0</v>
      </c>
      <c r="Q71" s="54">
        <v>0</v>
      </c>
      <c r="R71" s="54">
        <v>1</v>
      </c>
      <c r="S71" s="54">
        <v>0</v>
      </c>
      <c r="T71" s="54">
        <v>0</v>
      </c>
      <c r="U71" s="54">
        <v>0</v>
      </c>
      <c r="V71" s="54">
        <v>0</v>
      </c>
      <c r="W71" s="54">
        <v>0</v>
      </c>
      <c r="X71" s="54">
        <v>0</v>
      </c>
      <c r="Y71" s="54">
        <v>0</v>
      </c>
      <c r="Z71" s="54">
        <v>0</v>
      </c>
      <c r="AA71" s="54">
        <v>4</v>
      </c>
      <c r="AB71" s="54">
        <v>0</v>
      </c>
      <c r="AC71" s="54">
        <v>0</v>
      </c>
      <c r="AD71" s="55">
        <v>4</v>
      </c>
      <c r="AE71" s="55">
        <v>0</v>
      </c>
      <c r="AF71" s="55">
        <v>0</v>
      </c>
      <c r="AG71" s="5">
        <f t="shared" si="5"/>
        <v>16</v>
      </c>
    </row>
    <row r="72" spans="1:33" ht="15.75" customHeight="1" x14ac:dyDescent="0.25">
      <c r="A72" s="56" t="s">
        <v>21</v>
      </c>
      <c r="B72" s="54">
        <v>0</v>
      </c>
      <c r="C72" s="54">
        <v>0</v>
      </c>
      <c r="D72" s="54">
        <v>0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0</v>
      </c>
      <c r="K72" s="54">
        <v>0</v>
      </c>
      <c r="L72" s="54">
        <v>0</v>
      </c>
      <c r="M72" s="54">
        <v>0</v>
      </c>
      <c r="N72" s="54">
        <v>2</v>
      </c>
      <c r="O72" s="54">
        <v>0</v>
      </c>
      <c r="P72" s="54">
        <v>0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4">
        <v>0</v>
      </c>
      <c r="X72" s="54">
        <v>0</v>
      </c>
      <c r="Y72" s="54">
        <v>0</v>
      </c>
      <c r="Z72" s="54">
        <v>0</v>
      </c>
      <c r="AA72" s="54">
        <v>0</v>
      </c>
      <c r="AB72" s="54">
        <v>0</v>
      </c>
      <c r="AC72" s="54">
        <v>0</v>
      </c>
      <c r="AD72" s="55">
        <v>0</v>
      </c>
      <c r="AE72" s="55">
        <v>0</v>
      </c>
      <c r="AF72" s="55">
        <v>0</v>
      </c>
      <c r="AG72" s="5">
        <f t="shared" si="5"/>
        <v>2</v>
      </c>
    </row>
    <row r="73" spans="1:33" ht="15.75" customHeight="1" x14ac:dyDescent="0.25">
      <c r="A73" s="56" t="s">
        <v>22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0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0</v>
      </c>
      <c r="AF73" s="55">
        <v>0</v>
      </c>
      <c r="AG73" s="5">
        <f t="shared" si="5"/>
        <v>0</v>
      </c>
    </row>
    <row r="74" spans="1:33" ht="15.75" customHeight="1" x14ac:dyDescent="0.25">
      <c r="A74" s="56" t="s">
        <v>23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0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>
        <v>0</v>
      </c>
      <c r="AG74" s="5">
        <f t="shared" si="5"/>
        <v>0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0</v>
      </c>
    </row>
    <row r="76" spans="1:33" ht="15.75" customHeight="1" x14ac:dyDescent="0.25">
      <c r="A76" s="56" t="s">
        <v>25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0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1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1</v>
      </c>
    </row>
    <row r="78" spans="1:33" ht="19.5" customHeight="1" thickBot="1" x14ac:dyDescent="0.3">
      <c r="A78" s="63" t="s">
        <v>29</v>
      </c>
      <c r="B78" s="11">
        <f t="shared" ref="B78:AF78" si="6">SUM(B79:B80)</f>
        <v>80</v>
      </c>
      <c r="C78" s="11">
        <f t="shared" si="6"/>
        <v>99</v>
      </c>
      <c r="D78" s="11">
        <f t="shared" si="6"/>
        <v>171</v>
      </c>
      <c r="E78" s="11">
        <f t="shared" si="6"/>
        <v>182</v>
      </c>
      <c r="F78" s="11">
        <f t="shared" si="6"/>
        <v>140</v>
      </c>
      <c r="G78" s="11">
        <f t="shared" si="6"/>
        <v>127</v>
      </c>
      <c r="H78" s="11">
        <f t="shared" si="6"/>
        <v>103</v>
      </c>
      <c r="I78" s="11">
        <f t="shared" si="6"/>
        <v>114</v>
      </c>
      <c r="J78" s="11">
        <f t="shared" si="6"/>
        <v>130</v>
      </c>
      <c r="K78" s="11">
        <f t="shared" si="6"/>
        <v>198</v>
      </c>
      <c r="L78" s="11">
        <f t="shared" si="6"/>
        <v>158</v>
      </c>
      <c r="M78" s="11">
        <f t="shared" si="6"/>
        <v>143</v>
      </c>
      <c r="N78" s="11">
        <f t="shared" si="6"/>
        <v>136</v>
      </c>
      <c r="O78" s="11">
        <f t="shared" si="6"/>
        <v>128</v>
      </c>
      <c r="P78" s="11">
        <f t="shared" si="6"/>
        <v>185</v>
      </c>
      <c r="Q78" s="11">
        <f t="shared" si="6"/>
        <v>121</v>
      </c>
      <c r="R78" s="11">
        <f t="shared" si="6"/>
        <v>189</v>
      </c>
      <c r="S78" s="11">
        <f t="shared" si="6"/>
        <v>173</v>
      </c>
      <c r="T78" s="11">
        <f t="shared" si="6"/>
        <v>149</v>
      </c>
      <c r="U78" s="11">
        <f t="shared" si="6"/>
        <v>235</v>
      </c>
      <c r="V78" s="11">
        <f t="shared" si="6"/>
        <v>137</v>
      </c>
      <c r="W78" s="11">
        <f t="shared" si="6"/>
        <v>102</v>
      </c>
      <c r="X78" s="11">
        <f t="shared" si="6"/>
        <v>117</v>
      </c>
      <c r="Y78" s="11">
        <f t="shared" si="6"/>
        <v>200</v>
      </c>
      <c r="Z78" s="11">
        <f t="shared" si="6"/>
        <v>193</v>
      </c>
      <c r="AA78" s="11">
        <f t="shared" si="6"/>
        <v>162</v>
      </c>
      <c r="AB78" s="11">
        <f t="shared" si="6"/>
        <v>126</v>
      </c>
      <c r="AC78" s="11">
        <f t="shared" si="6"/>
        <v>132</v>
      </c>
      <c r="AD78" s="11">
        <f t="shared" si="6"/>
        <v>120</v>
      </c>
      <c r="AE78" s="11">
        <f t="shared" si="6"/>
        <v>150</v>
      </c>
      <c r="AF78" s="11">
        <f t="shared" si="6"/>
        <v>216</v>
      </c>
      <c r="AG78" s="10">
        <f t="shared" si="5"/>
        <v>4616</v>
      </c>
    </row>
    <row r="79" spans="1:33" ht="19.5" customHeight="1" x14ac:dyDescent="0.25">
      <c r="A79" s="64" t="s">
        <v>30</v>
      </c>
      <c r="B79" s="3">
        <f t="shared" ref="B79" si="7">SUM(B4:B27)-B80</f>
        <v>80</v>
      </c>
      <c r="C79" s="3">
        <f t="shared" ref="C79" si="8">SUM(C4:C27)-C80</f>
        <v>99</v>
      </c>
      <c r="D79" s="3">
        <f t="shared" ref="D79:AF79" si="9">SUM(D4:D27)-D80</f>
        <v>171</v>
      </c>
      <c r="E79" s="3">
        <f t="shared" si="9"/>
        <v>182</v>
      </c>
      <c r="F79" s="3">
        <f t="shared" si="9"/>
        <v>140</v>
      </c>
      <c r="G79" s="3">
        <f t="shared" si="9"/>
        <v>127</v>
      </c>
      <c r="H79" s="3">
        <f t="shared" si="9"/>
        <v>103</v>
      </c>
      <c r="I79" s="3">
        <f t="shared" si="9"/>
        <v>114</v>
      </c>
      <c r="J79" s="3">
        <f t="shared" si="9"/>
        <v>130</v>
      </c>
      <c r="K79" s="3">
        <f t="shared" si="9"/>
        <v>198</v>
      </c>
      <c r="L79" s="3">
        <f t="shared" si="9"/>
        <v>158</v>
      </c>
      <c r="M79" s="3">
        <f t="shared" si="9"/>
        <v>143</v>
      </c>
      <c r="N79" s="3">
        <f t="shared" si="9"/>
        <v>136</v>
      </c>
      <c r="O79" s="3">
        <f t="shared" si="9"/>
        <v>128</v>
      </c>
      <c r="P79" s="3">
        <f t="shared" si="9"/>
        <v>185</v>
      </c>
      <c r="Q79" s="3">
        <f t="shared" si="9"/>
        <v>121</v>
      </c>
      <c r="R79" s="3">
        <f t="shared" si="9"/>
        <v>189</v>
      </c>
      <c r="S79" s="3">
        <f t="shared" si="9"/>
        <v>173</v>
      </c>
      <c r="T79" s="3">
        <f t="shared" si="9"/>
        <v>149</v>
      </c>
      <c r="U79" s="3">
        <f t="shared" si="9"/>
        <v>235</v>
      </c>
      <c r="V79" s="3">
        <f t="shared" si="9"/>
        <v>137</v>
      </c>
      <c r="W79" s="3">
        <f t="shared" si="9"/>
        <v>102</v>
      </c>
      <c r="X79" s="3">
        <f t="shared" si="9"/>
        <v>117</v>
      </c>
      <c r="Y79" s="3">
        <f t="shared" si="9"/>
        <v>200</v>
      </c>
      <c r="Z79" s="3">
        <f t="shared" si="9"/>
        <v>193</v>
      </c>
      <c r="AA79" s="3">
        <f t="shared" si="9"/>
        <v>162</v>
      </c>
      <c r="AB79" s="3">
        <f t="shared" si="9"/>
        <v>126</v>
      </c>
      <c r="AC79" s="3">
        <f t="shared" si="9"/>
        <v>132</v>
      </c>
      <c r="AD79" s="3">
        <f t="shared" si="9"/>
        <v>120</v>
      </c>
      <c r="AE79" s="3">
        <f t="shared" si="9"/>
        <v>150</v>
      </c>
      <c r="AF79" s="3">
        <f t="shared" si="9"/>
        <v>216</v>
      </c>
      <c r="AG79" s="4">
        <f t="shared" si="5"/>
        <v>4616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2</v>
      </c>
      <c r="C81" s="12">
        <f t="shared" si="10"/>
        <v>2</v>
      </c>
      <c r="D81" s="12">
        <f t="shared" si="10"/>
        <v>5</v>
      </c>
      <c r="E81" s="12">
        <f t="shared" si="10"/>
        <v>9</v>
      </c>
      <c r="F81" s="12">
        <f t="shared" si="10"/>
        <v>12</v>
      </c>
      <c r="G81" s="12">
        <f t="shared" si="10"/>
        <v>7</v>
      </c>
      <c r="H81" s="12">
        <f t="shared" si="10"/>
        <v>5</v>
      </c>
      <c r="I81" s="12">
        <f t="shared" si="10"/>
        <v>9</v>
      </c>
      <c r="J81" s="12">
        <f t="shared" si="10"/>
        <v>5</v>
      </c>
      <c r="K81" s="12">
        <f t="shared" si="10"/>
        <v>3</v>
      </c>
      <c r="L81" s="12">
        <f t="shared" si="10"/>
        <v>1</v>
      </c>
      <c r="M81" s="12">
        <f t="shared" si="10"/>
        <v>6</v>
      </c>
      <c r="N81" s="12">
        <f t="shared" si="10"/>
        <v>19</v>
      </c>
      <c r="O81" s="12">
        <f t="shared" si="10"/>
        <v>6</v>
      </c>
      <c r="P81" s="12">
        <f t="shared" si="10"/>
        <v>7</v>
      </c>
      <c r="Q81" s="12">
        <f t="shared" si="10"/>
        <v>3</v>
      </c>
      <c r="R81" s="12">
        <f t="shared" si="10"/>
        <v>3</v>
      </c>
      <c r="S81" s="12">
        <f t="shared" si="10"/>
        <v>6</v>
      </c>
      <c r="T81" s="12">
        <f t="shared" si="10"/>
        <v>10</v>
      </c>
      <c r="U81" s="12">
        <f t="shared" si="10"/>
        <v>12</v>
      </c>
      <c r="V81" s="12">
        <f t="shared" si="10"/>
        <v>20</v>
      </c>
      <c r="W81" s="12">
        <f t="shared" si="10"/>
        <v>9</v>
      </c>
      <c r="X81" s="12">
        <f t="shared" si="10"/>
        <v>3</v>
      </c>
      <c r="Y81" s="12">
        <f t="shared" si="10"/>
        <v>6</v>
      </c>
      <c r="Z81" s="12">
        <f t="shared" si="10"/>
        <v>4</v>
      </c>
      <c r="AA81" s="12">
        <f t="shared" si="10"/>
        <v>21</v>
      </c>
      <c r="AB81" s="12">
        <f t="shared" si="10"/>
        <v>9</v>
      </c>
      <c r="AC81" s="12">
        <f t="shared" si="10"/>
        <v>13</v>
      </c>
      <c r="AD81" s="12">
        <f t="shared" si="10"/>
        <v>11</v>
      </c>
      <c r="AE81" s="12">
        <f t="shared" si="10"/>
        <v>11</v>
      </c>
      <c r="AF81" s="12">
        <f t="shared" si="10"/>
        <v>16</v>
      </c>
      <c r="AG81" s="10">
        <f t="shared" si="5"/>
        <v>255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0</v>
      </c>
      <c r="C82" s="3">
        <f t="shared" si="11"/>
        <v>1</v>
      </c>
      <c r="D82" s="3">
        <f t="shared" si="11"/>
        <v>5</v>
      </c>
      <c r="E82" s="3">
        <f t="shared" si="11"/>
        <v>6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0</v>
      </c>
      <c r="J82" s="3">
        <f t="shared" si="11"/>
        <v>0</v>
      </c>
      <c r="K82" s="3">
        <f t="shared" si="11"/>
        <v>2</v>
      </c>
      <c r="L82" s="3">
        <f t="shared" si="11"/>
        <v>0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5</v>
      </c>
      <c r="Q82" s="3">
        <f t="shared" si="11"/>
        <v>0</v>
      </c>
      <c r="R82" s="3">
        <f t="shared" si="11"/>
        <v>2</v>
      </c>
      <c r="S82" s="3">
        <f t="shared" si="11"/>
        <v>5</v>
      </c>
      <c r="T82" s="3">
        <f t="shared" si="11"/>
        <v>0</v>
      </c>
      <c r="U82" s="3">
        <f t="shared" si="11"/>
        <v>1</v>
      </c>
      <c r="V82" s="3">
        <f t="shared" si="11"/>
        <v>0</v>
      </c>
      <c r="W82" s="3">
        <f t="shared" si="11"/>
        <v>0</v>
      </c>
      <c r="X82" s="3">
        <f t="shared" si="11"/>
        <v>0</v>
      </c>
      <c r="Y82" s="3">
        <f t="shared" si="11"/>
        <v>2</v>
      </c>
      <c r="Z82" s="3">
        <f t="shared" si="11"/>
        <v>4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4</v>
      </c>
      <c r="AG82" s="4">
        <f t="shared" si="5"/>
        <v>37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2</v>
      </c>
      <c r="C83" s="8">
        <f t="shared" si="12"/>
        <v>1</v>
      </c>
      <c r="D83" s="8">
        <f t="shared" si="12"/>
        <v>0</v>
      </c>
      <c r="E83" s="8">
        <f t="shared" si="12"/>
        <v>3</v>
      </c>
      <c r="F83" s="8">
        <f t="shared" si="12"/>
        <v>12</v>
      </c>
      <c r="G83" s="8">
        <f t="shared" si="12"/>
        <v>7</v>
      </c>
      <c r="H83" s="8">
        <f t="shared" si="12"/>
        <v>5</v>
      </c>
      <c r="I83" s="8">
        <f t="shared" si="12"/>
        <v>9</v>
      </c>
      <c r="J83" s="8">
        <f t="shared" si="12"/>
        <v>5</v>
      </c>
      <c r="K83" s="8">
        <f t="shared" si="12"/>
        <v>1</v>
      </c>
      <c r="L83" s="8">
        <f t="shared" si="12"/>
        <v>1</v>
      </c>
      <c r="M83" s="8">
        <f t="shared" si="12"/>
        <v>6</v>
      </c>
      <c r="N83" s="8">
        <f t="shared" si="12"/>
        <v>19</v>
      </c>
      <c r="O83" s="8">
        <f t="shared" si="12"/>
        <v>6</v>
      </c>
      <c r="P83" s="8">
        <f t="shared" si="12"/>
        <v>2</v>
      </c>
      <c r="Q83" s="8">
        <f t="shared" si="12"/>
        <v>3</v>
      </c>
      <c r="R83" s="8">
        <f t="shared" si="12"/>
        <v>1</v>
      </c>
      <c r="S83" s="8">
        <f t="shared" si="12"/>
        <v>1</v>
      </c>
      <c r="T83" s="8">
        <f t="shared" si="12"/>
        <v>10</v>
      </c>
      <c r="U83" s="8">
        <f t="shared" si="12"/>
        <v>11</v>
      </c>
      <c r="V83" s="8">
        <f t="shared" si="12"/>
        <v>20</v>
      </c>
      <c r="W83" s="8">
        <f t="shared" si="12"/>
        <v>9</v>
      </c>
      <c r="X83" s="8">
        <f t="shared" si="12"/>
        <v>3</v>
      </c>
      <c r="Y83" s="8">
        <f t="shared" si="12"/>
        <v>4</v>
      </c>
      <c r="Z83" s="8">
        <f t="shared" si="12"/>
        <v>0</v>
      </c>
      <c r="AA83" s="8">
        <f t="shared" si="12"/>
        <v>21</v>
      </c>
      <c r="AB83" s="8">
        <f t="shared" si="12"/>
        <v>9</v>
      </c>
      <c r="AC83" s="8">
        <f t="shared" si="12"/>
        <v>13</v>
      </c>
      <c r="AD83" s="8">
        <f t="shared" si="12"/>
        <v>11</v>
      </c>
      <c r="AE83" s="8">
        <f t="shared" si="12"/>
        <v>11</v>
      </c>
      <c r="AF83" s="8">
        <f t="shared" si="12"/>
        <v>12</v>
      </c>
      <c r="AG83" s="5">
        <f t="shared" si="5"/>
        <v>218</v>
      </c>
    </row>
    <row r="84" spans="1:34" ht="15.75" customHeight="1" thickBot="1" x14ac:dyDescent="0.3">
      <c r="A84" s="67" t="s">
        <v>33</v>
      </c>
      <c r="B84" s="14">
        <f t="shared" ref="B84:AF84" si="13">SUM(B85:B86)</f>
        <v>2</v>
      </c>
      <c r="C84" s="14">
        <f t="shared" si="13"/>
        <v>2</v>
      </c>
      <c r="D84" s="14">
        <f t="shared" si="13"/>
        <v>5</v>
      </c>
      <c r="E84" s="14">
        <f t="shared" si="13"/>
        <v>9</v>
      </c>
      <c r="F84" s="14">
        <f t="shared" si="13"/>
        <v>12</v>
      </c>
      <c r="G84" s="14">
        <f t="shared" si="13"/>
        <v>7</v>
      </c>
      <c r="H84" s="14">
        <f t="shared" si="13"/>
        <v>5</v>
      </c>
      <c r="I84" s="14">
        <f t="shared" si="13"/>
        <v>9</v>
      </c>
      <c r="J84" s="14">
        <f t="shared" si="13"/>
        <v>5</v>
      </c>
      <c r="K84" s="14">
        <f t="shared" si="13"/>
        <v>3</v>
      </c>
      <c r="L84" s="14">
        <f t="shared" si="13"/>
        <v>1</v>
      </c>
      <c r="M84" s="14">
        <f t="shared" si="13"/>
        <v>6</v>
      </c>
      <c r="N84" s="14">
        <f t="shared" si="13"/>
        <v>19</v>
      </c>
      <c r="O84" s="14">
        <f t="shared" si="13"/>
        <v>6</v>
      </c>
      <c r="P84" s="14">
        <f t="shared" si="13"/>
        <v>7</v>
      </c>
      <c r="Q84" s="14">
        <f t="shared" si="13"/>
        <v>3</v>
      </c>
      <c r="R84" s="14">
        <f t="shared" si="13"/>
        <v>3</v>
      </c>
      <c r="S84" s="14">
        <f t="shared" si="13"/>
        <v>6</v>
      </c>
      <c r="T84" s="14">
        <f t="shared" si="13"/>
        <v>10</v>
      </c>
      <c r="U84" s="14">
        <f t="shared" si="13"/>
        <v>12</v>
      </c>
      <c r="V84" s="14">
        <f t="shared" si="13"/>
        <v>20</v>
      </c>
      <c r="W84" s="14">
        <f t="shared" si="13"/>
        <v>9</v>
      </c>
      <c r="X84" s="14">
        <f t="shared" si="13"/>
        <v>3</v>
      </c>
      <c r="Y84" s="14">
        <f t="shared" si="13"/>
        <v>6</v>
      </c>
      <c r="Z84" s="14">
        <f t="shared" si="13"/>
        <v>4</v>
      </c>
      <c r="AA84" s="14">
        <f t="shared" si="13"/>
        <v>21</v>
      </c>
      <c r="AB84" s="14">
        <f t="shared" si="13"/>
        <v>9</v>
      </c>
      <c r="AC84" s="14">
        <f t="shared" si="13"/>
        <v>13</v>
      </c>
      <c r="AD84" s="14">
        <f t="shared" si="13"/>
        <v>11</v>
      </c>
      <c r="AE84" s="14">
        <f t="shared" si="13"/>
        <v>11</v>
      </c>
      <c r="AF84" s="14">
        <f t="shared" si="13"/>
        <v>16</v>
      </c>
      <c r="AG84" s="15">
        <f t="shared" si="5"/>
        <v>255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0</v>
      </c>
      <c r="C85" s="69">
        <v>0</v>
      </c>
      <c r="D85" s="69">
        <v>3</v>
      </c>
      <c r="E85" s="69">
        <v>5</v>
      </c>
      <c r="F85" s="69">
        <v>3</v>
      </c>
      <c r="G85" s="69">
        <v>2</v>
      </c>
      <c r="H85" s="69">
        <v>4</v>
      </c>
      <c r="I85" s="69">
        <v>1</v>
      </c>
      <c r="J85" s="69">
        <v>0</v>
      </c>
      <c r="K85" s="69">
        <v>0</v>
      </c>
      <c r="L85" s="69">
        <v>1</v>
      </c>
      <c r="M85" s="69">
        <v>2</v>
      </c>
      <c r="N85" s="69">
        <v>6</v>
      </c>
      <c r="O85" s="69">
        <v>0</v>
      </c>
      <c r="P85" s="69">
        <v>3</v>
      </c>
      <c r="Q85" s="69">
        <v>0</v>
      </c>
      <c r="R85" s="69">
        <v>0</v>
      </c>
      <c r="S85" s="69">
        <v>1</v>
      </c>
      <c r="T85" s="69">
        <v>4</v>
      </c>
      <c r="U85" s="69">
        <v>1</v>
      </c>
      <c r="V85" s="69">
        <v>8</v>
      </c>
      <c r="W85" s="69">
        <v>4</v>
      </c>
      <c r="X85" s="69">
        <v>0</v>
      </c>
      <c r="Y85" s="69">
        <v>3</v>
      </c>
      <c r="Z85" s="69">
        <v>4</v>
      </c>
      <c r="AA85" s="69">
        <v>12</v>
      </c>
      <c r="AB85" s="69">
        <v>2</v>
      </c>
      <c r="AC85" s="69">
        <v>1</v>
      </c>
      <c r="AD85" s="69">
        <v>1</v>
      </c>
      <c r="AE85" s="69">
        <v>1</v>
      </c>
      <c r="AF85" s="69">
        <v>6</v>
      </c>
      <c r="AG85" s="16">
        <f t="shared" si="5"/>
        <v>78</v>
      </c>
    </row>
    <row r="86" spans="1:34" ht="15.75" customHeight="1" thickBot="1" x14ac:dyDescent="0.3">
      <c r="A86" s="70" t="s">
        <v>35</v>
      </c>
      <c r="B86" s="71">
        <v>2</v>
      </c>
      <c r="C86" s="71">
        <v>2</v>
      </c>
      <c r="D86" s="71">
        <v>2</v>
      </c>
      <c r="E86" s="71">
        <v>4</v>
      </c>
      <c r="F86" s="71">
        <v>9</v>
      </c>
      <c r="G86" s="71">
        <v>5</v>
      </c>
      <c r="H86" s="71">
        <v>1</v>
      </c>
      <c r="I86" s="71">
        <v>8</v>
      </c>
      <c r="J86" s="71">
        <v>5</v>
      </c>
      <c r="K86" s="71">
        <v>3</v>
      </c>
      <c r="L86" s="71">
        <v>0</v>
      </c>
      <c r="M86" s="71">
        <v>4</v>
      </c>
      <c r="N86" s="71">
        <v>13</v>
      </c>
      <c r="O86" s="71">
        <v>6</v>
      </c>
      <c r="P86" s="71">
        <v>4</v>
      </c>
      <c r="Q86" s="71">
        <v>3</v>
      </c>
      <c r="R86" s="71">
        <v>3</v>
      </c>
      <c r="S86" s="71">
        <v>5</v>
      </c>
      <c r="T86" s="71">
        <v>6</v>
      </c>
      <c r="U86" s="71">
        <v>11</v>
      </c>
      <c r="V86" s="71">
        <v>12</v>
      </c>
      <c r="W86" s="71">
        <v>5</v>
      </c>
      <c r="X86" s="71">
        <v>3</v>
      </c>
      <c r="Y86" s="71">
        <v>3</v>
      </c>
      <c r="Z86" s="71">
        <v>0</v>
      </c>
      <c r="AA86" s="71">
        <v>9</v>
      </c>
      <c r="AB86" s="71">
        <v>7</v>
      </c>
      <c r="AC86" s="71">
        <v>12</v>
      </c>
      <c r="AD86" s="71">
        <v>10</v>
      </c>
      <c r="AE86" s="71">
        <v>10</v>
      </c>
      <c r="AF86" s="71">
        <v>10</v>
      </c>
      <c r="AG86" s="17">
        <f t="shared" si="5"/>
        <v>177</v>
      </c>
    </row>
    <row r="87" spans="1:34" ht="15.75" customHeight="1" thickBot="1" x14ac:dyDescent="0.3">
      <c r="A87" s="72" t="s">
        <v>36</v>
      </c>
      <c r="B87" s="18">
        <f t="shared" ref="B87:AF87" si="14">SUM(B88:B92)</f>
        <v>2</v>
      </c>
      <c r="C87" s="18">
        <f t="shared" si="14"/>
        <v>2</v>
      </c>
      <c r="D87" s="18">
        <f t="shared" si="14"/>
        <v>5</v>
      </c>
      <c r="E87" s="18">
        <f t="shared" si="14"/>
        <v>9</v>
      </c>
      <c r="F87" s="18">
        <f t="shared" si="14"/>
        <v>12</v>
      </c>
      <c r="G87" s="18">
        <f t="shared" si="14"/>
        <v>7</v>
      </c>
      <c r="H87" s="18">
        <f t="shared" si="14"/>
        <v>5</v>
      </c>
      <c r="I87" s="18">
        <f t="shared" si="14"/>
        <v>9</v>
      </c>
      <c r="J87" s="18">
        <f t="shared" si="14"/>
        <v>5</v>
      </c>
      <c r="K87" s="18">
        <f t="shared" si="14"/>
        <v>3</v>
      </c>
      <c r="L87" s="18">
        <f t="shared" si="14"/>
        <v>1</v>
      </c>
      <c r="M87" s="18">
        <f t="shared" si="14"/>
        <v>6</v>
      </c>
      <c r="N87" s="18">
        <f t="shared" si="14"/>
        <v>19</v>
      </c>
      <c r="O87" s="18">
        <f t="shared" si="14"/>
        <v>6</v>
      </c>
      <c r="P87" s="18">
        <f t="shared" si="14"/>
        <v>7</v>
      </c>
      <c r="Q87" s="18">
        <f t="shared" si="14"/>
        <v>3</v>
      </c>
      <c r="R87" s="18">
        <f t="shared" si="14"/>
        <v>3</v>
      </c>
      <c r="S87" s="18">
        <f t="shared" si="14"/>
        <v>6</v>
      </c>
      <c r="T87" s="18">
        <f t="shared" si="14"/>
        <v>10</v>
      </c>
      <c r="U87" s="18">
        <f t="shared" si="14"/>
        <v>12</v>
      </c>
      <c r="V87" s="18">
        <f t="shared" si="14"/>
        <v>20</v>
      </c>
      <c r="W87" s="18">
        <f t="shared" si="14"/>
        <v>9</v>
      </c>
      <c r="X87" s="18">
        <f t="shared" si="14"/>
        <v>3</v>
      </c>
      <c r="Y87" s="18">
        <f t="shared" si="14"/>
        <v>6</v>
      </c>
      <c r="Z87" s="18">
        <f t="shared" si="14"/>
        <v>4</v>
      </c>
      <c r="AA87" s="18">
        <f t="shared" si="14"/>
        <v>21</v>
      </c>
      <c r="AB87" s="18">
        <f t="shared" si="14"/>
        <v>9</v>
      </c>
      <c r="AC87" s="18">
        <f t="shared" si="14"/>
        <v>13</v>
      </c>
      <c r="AD87" s="18">
        <f t="shared" si="14"/>
        <v>11</v>
      </c>
      <c r="AE87" s="18">
        <f t="shared" si="14"/>
        <v>11</v>
      </c>
      <c r="AF87" s="18">
        <f t="shared" si="14"/>
        <v>16</v>
      </c>
      <c r="AG87" s="19">
        <f t="shared" si="5"/>
        <v>255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2</v>
      </c>
      <c r="C88" s="60">
        <v>1</v>
      </c>
      <c r="D88" s="60">
        <v>5</v>
      </c>
      <c r="E88" s="60">
        <v>4</v>
      </c>
      <c r="F88" s="60">
        <v>4</v>
      </c>
      <c r="G88" s="60">
        <v>3</v>
      </c>
      <c r="H88" s="60">
        <v>4</v>
      </c>
      <c r="I88" s="60">
        <v>3</v>
      </c>
      <c r="J88" s="60">
        <v>2</v>
      </c>
      <c r="K88" s="60">
        <v>1</v>
      </c>
      <c r="L88" s="60">
        <v>1</v>
      </c>
      <c r="M88" s="60">
        <v>3</v>
      </c>
      <c r="N88" s="60">
        <v>4</v>
      </c>
      <c r="O88" s="60">
        <v>3</v>
      </c>
      <c r="P88" s="60">
        <v>6</v>
      </c>
      <c r="Q88" s="60">
        <v>3</v>
      </c>
      <c r="R88" s="60">
        <v>3</v>
      </c>
      <c r="S88" s="60">
        <v>3</v>
      </c>
      <c r="T88" s="60">
        <v>4</v>
      </c>
      <c r="U88" s="60">
        <v>7</v>
      </c>
      <c r="V88" s="60">
        <v>5</v>
      </c>
      <c r="W88" s="60">
        <v>4</v>
      </c>
      <c r="X88" s="60">
        <v>0</v>
      </c>
      <c r="Y88" s="60">
        <v>3</v>
      </c>
      <c r="Z88" s="60">
        <v>3</v>
      </c>
      <c r="AA88" s="60">
        <v>2</v>
      </c>
      <c r="AB88" s="60">
        <v>2</v>
      </c>
      <c r="AC88" s="60">
        <v>4</v>
      </c>
      <c r="AD88" s="60">
        <v>1</v>
      </c>
      <c r="AE88" s="60">
        <v>5</v>
      </c>
      <c r="AF88" s="60">
        <v>10</v>
      </c>
      <c r="AG88" s="4">
        <f t="shared" si="5"/>
        <v>105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0</v>
      </c>
    </row>
    <row r="90" spans="1:34" ht="15.75" customHeight="1" x14ac:dyDescent="0.25">
      <c r="A90" s="74" t="s">
        <v>39</v>
      </c>
      <c r="B90" s="60">
        <v>0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60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0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>
        <v>0</v>
      </c>
      <c r="AF90" s="60">
        <v>0</v>
      </c>
      <c r="AG90" s="5">
        <f t="shared" si="5"/>
        <v>0</v>
      </c>
    </row>
    <row r="91" spans="1:34" ht="15.75" customHeight="1" x14ac:dyDescent="0.25">
      <c r="A91" s="74" t="s">
        <v>40</v>
      </c>
      <c r="B91" s="60">
        <v>0</v>
      </c>
      <c r="C91" s="60">
        <v>1</v>
      </c>
      <c r="D91" s="60">
        <v>0</v>
      </c>
      <c r="E91" s="60">
        <v>3</v>
      </c>
      <c r="F91" s="60">
        <v>6</v>
      </c>
      <c r="G91" s="60">
        <v>4</v>
      </c>
      <c r="H91" s="60">
        <v>1</v>
      </c>
      <c r="I91" s="60">
        <v>4</v>
      </c>
      <c r="J91" s="60">
        <v>3</v>
      </c>
      <c r="K91" s="60">
        <v>0</v>
      </c>
      <c r="L91" s="60">
        <v>0</v>
      </c>
      <c r="M91" s="60">
        <v>2</v>
      </c>
      <c r="N91" s="60">
        <v>15</v>
      </c>
      <c r="O91" s="60">
        <v>1</v>
      </c>
      <c r="P91" s="60">
        <v>1</v>
      </c>
      <c r="Q91" s="60">
        <v>0</v>
      </c>
      <c r="R91" s="60">
        <v>0</v>
      </c>
      <c r="S91" s="60">
        <v>1</v>
      </c>
      <c r="T91" s="60">
        <v>5</v>
      </c>
      <c r="U91" s="60">
        <v>4</v>
      </c>
      <c r="V91" s="60">
        <v>11</v>
      </c>
      <c r="W91" s="60">
        <v>4</v>
      </c>
      <c r="X91" s="60">
        <v>3</v>
      </c>
      <c r="Y91" s="60">
        <v>3</v>
      </c>
      <c r="Z91" s="60">
        <v>1</v>
      </c>
      <c r="AA91" s="60">
        <v>19</v>
      </c>
      <c r="AB91" s="60">
        <v>6</v>
      </c>
      <c r="AC91" s="60">
        <v>6</v>
      </c>
      <c r="AD91" s="60">
        <v>6</v>
      </c>
      <c r="AE91" s="60">
        <v>6</v>
      </c>
      <c r="AF91" s="60">
        <v>6</v>
      </c>
      <c r="AG91" s="5">
        <f t="shared" si="5"/>
        <v>122</v>
      </c>
    </row>
    <row r="92" spans="1:34" ht="15.75" customHeight="1" thickBot="1" x14ac:dyDescent="0.3">
      <c r="A92" s="74" t="s">
        <v>41</v>
      </c>
      <c r="B92" s="60">
        <v>0</v>
      </c>
      <c r="C92" s="60">
        <v>0</v>
      </c>
      <c r="D92" s="60">
        <v>0</v>
      </c>
      <c r="E92" s="60">
        <v>2</v>
      </c>
      <c r="F92" s="60">
        <v>2</v>
      </c>
      <c r="G92" s="60">
        <v>0</v>
      </c>
      <c r="H92" s="60">
        <v>0</v>
      </c>
      <c r="I92" s="60">
        <v>2</v>
      </c>
      <c r="J92" s="60">
        <v>0</v>
      </c>
      <c r="K92" s="60">
        <v>2</v>
      </c>
      <c r="L92" s="60">
        <v>0</v>
      </c>
      <c r="M92" s="60">
        <v>1</v>
      </c>
      <c r="N92" s="60">
        <v>0</v>
      </c>
      <c r="O92" s="60">
        <v>2</v>
      </c>
      <c r="P92" s="60">
        <v>0</v>
      </c>
      <c r="Q92" s="60">
        <v>0</v>
      </c>
      <c r="R92" s="60">
        <v>0</v>
      </c>
      <c r="S92" s="60">
        <v>2</v>
      </c>
      <c r="T92" s="60">
        <v>1</v>
      </c>
      <c r="U92" s="60">
        <v>1</v>
      </c>
      <c r="V92" s="60">
        <v>4</v>
      </c>
      <c r="W92" s="60">
        <v>1</v>
      </c>
      <c r="X92" s="60">
        <v>0</v>
      </c>
      <c r="Y92" s="60">
        <v>0</v>
      </c>
      <c r="Z92" s="60">
        <v>0</v>
      </c>
      <c r="AA92" s="60">
        <v>0</v>
      </c>
      <c r="AB92" s="60">
        <v>1</v>
      </c>
      <c r="AC92" s="60">
        <v>3</v>
      </c>
      <c r="AD92" s="60">
        <v>4</v>
      </c>
      <c r="AE92" s="60">
        <v>0</v>
      </c>
      <c r="AF92" s="60">
        <v>0</v>
      </c>
      <c r="AG92" s="5">
        <f t="shared" si="5"/>
        <v>28</v>
      </c>
    </row>
    <row r="93" spans="1:34" ht="15.75" customHeight="1" x14ac:dyDescent="0.25">
      <c r="A93" s="75" t="s">
        <v>42</v>
      </c>
      <c r="B93" s="20">
        <f t="shared" ref="B93:AF93" si="15">+B94+B100</f>
        <v>78</v>
      </c>
      <c r="C93" s="20">
        <f t="shared" si="15"/>
        <v>97</v>
      </c>
      <c r="D93" s="20">
        <f t="shared" si="15"/>
        <v>166</v>
      </c>
      <c r="E93" s="20">
        <f t="shared" si="15"/>
        <v>173</v>
      </c>
      <c r="F93" s="20">
        <f t="shared" si="15"/>
        <v>128</v>
      </c>
      <c r="G93" s="20">
        <f t="shared" si="15"/>
        <v>120</v>
      </c>
      <c r="H93" s="20">
        <f t="shared" si="15"/>
        <v>98</v>
      </c>
      <c r="I93" s="20">
        <f t="shared" si="15"/>
        <v>105</v>
      </c>
      <c r="J93" s="20">
        <f t="shared" si="15"/>
        <v>125</v>
      </c>
      <c r="K93" s="20">
        <f t="shared" si="15"/>
        <v>195</v>
      </c>
      <c r="L93" s="20">
        <f t="shared" si="15"/>
        <v>157</v>
      </c>
      <c r="M93" s="20">
        <f t="shared" si="15"/>
        <v>137</v>
      </c>
      <c r="N93" s="20">
        <f t="shared" si="15"/>
        <v>117</v>
      </c>
      <c r="O93" s="20">
        <f t="shared" si="15"/>
        <v>122</v>
      </c>
      <c r="P93" s="20">
        <f t="shared" si="15"/>
        <v>178</v>
      </c>
      <c r="Q93" s="20">
        <f t="shared" si="15"/>
        <v>118</v>
      </c>
      <c r="R93" s="20">
        <f t="shared" si="15"/>
        <v>186</v>
      </c>
      <c r="S93" s="20">
        <f t="shared" si="15"/>
        <v>167</v>
      </c>
      <c r="T93" s="20">
        <f t="shared" si="15"/>
        <v>139</v>
      </c>
      <c r="U93" s="20">
        <f t="shared" si="15"/>
        <v>223</v>
      </c>
      <c r="V93" s="20">
        <f t="shared" si="15"/>
        <v>117</v>
      </c>
      <c r="W93" s="20">
        <f t="shared" si="15"/>
        <v>93</v>
      </c>
      <c r="X93" s="20">
        <f t="shared" si="15"/>
        <v>114</v>
      </c>
      <c r="Y93" s="20">
        <f t="shared" si="15"/>
        <v>194</v>
      </c>
      <c r="Z93" s="20">
        <f t="shared" si="15"/>
        <v>189</v>
      </c>
      <c r="AA93" s="20">
        <f t="shared" si="15"/>
        <v>141</v>
      </c>
      <c r="AB93" s="20">
        <f t="shared" si="15"/>
        <v>117</v>
      </c>
      <c r="AC93" s="20">
        <f t="shared" si="15"/>
        <v>119</v>
      </c>
      <c r="AD93" s="20">
        <f t="shared" si="15"/>
        <v>109</v>
      </c>
      <c r="AE93" s="20">
        <f t="shared" si="15"/>
        <v>139</v>
      </c>
      <c r="AF93" s="20">
        <f t="shared" si="15"/>
        <v>200</v>
      </c>
      <c r="AG93" s="5">
        <f t="shared" si="5"/>
        <v>4361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11</v>
      </c>
      <c r="C94" s="21">
        <f t="shared" si="16"/>
        <v>13</v>
      </c>
      <c r="D94" s="21">
        <f t="shared" si="16"/>
        <v>27</v>
      </c>
      <c r="E94" s="21">
        <f t="shared" si="16"/>
        <v>33</v>
      </c>
      <c r="F94" s="21">
        <f t="shared" si="16"/>
        <v>24</v>
      </c>
      <c r="G94" s="21">
        <f t="shared" si="16"/>
        <v>32</v>
      </c>
      <c r="H94" s="21">
        <f t="shared" si="16"/>
        <v>17</v>
      </c>
      <c r="I94" s="21">
        <f t="shared" si="16"/>
        <v>18</v>
      </c>
      <c r="J94" s="21">
        <f t="shared" si="16"/>
        <v>19</v>
      </c>
      <c r="K94" s="21">
        <f t="shared" si="16"/>
        <v>30</v>
      </c>
      <c r="L94" s="21">
        <f t="shared" si="16"/>
        <v>22</v>
      </c>
      <c r="M94" s="21">
        <f t="shared" si="16"/>
        <v>32</v>
      </c>
      <c r="N94" s="21">
        <f t="shared" si="16"/>
        <v>20</v>
      </c>
      <c r="O94" s="21">
        <f t="shared" si="16"/>
        <v>18</v>
      </c>
      <c r="P94" s="21">
        <f t="shared" si="16"/>
        <v>31</v>
      </c>
      <c r="Q94" s="21">
        <f t="shared" si="16"/>
        <v>15</v>
      </c>
      <c r="R94" s="21">
        <f t="shared" si="16"/>
        <v>34</v>
      </c>
      <c r="S94" s="21">
        <f t="shared" si="16"/>
        <v>25</v>
      </c>
      <c r="T94" s="21">
        <f t="shared" si="16"/>
        <v>21</v>
      </c>
      <c r="U94" s="21">
        <f t="shared" si="16"/>
        <v>45</v>
      </c>
      <c r="V94" s="21">
        <f t="shared" si="16"/>
        <v>19</v>
      </c>
      <c r="W94" s="21">
        <f t="shared" si="16"/>
        <v>15</v>
      </c>
      <c r="X94" s="21">
        <f t="shared" si="16"/>
        <v>20</v>
      </c>
      <c r="Y94" s="21">
        <f t="shared" si="16"/>
        <v>30</v>
      </c>
      <c r="Z94" s="21">
        <f t="shared" si="16"/>
        <v>37</v>
      </c>
      <c r="AA94" s="21">
        <f t="shared" si="16"/>
        <v>32</v>
      </c>
      <c r="AB94" s="21">
        <f t="shared" si="16"/>
        <v>20</v>
      </c>
      <c r="AC94" s="21">
        <f t="shared" si="16"/>
        <v>29</v>
      </c>
      <c r="AD94" s="21">
        <f t="shared" si="16"/>
        <v>18</v>
      </c>
      <c r="AE94" s="21">
        <f t="shared" si="16"/>
        <v>28</v>
      </c>
      <c r="AF94" s="21">
        <f t="shared" si="16"/>
        <v>35</v>
      </c>
      <c r="AG94" s="5">
        <f t="shared" si="5"/>
        <v>770</v>
      </c>
    </row>
    <row r="95" spans="1:34" ht="15.75" customHeight="1" x14ac:dyDescent="0.25">
      <c r="A95" s="78" t="s">
        <v>44</v>
      </c>
      <c r="B95" s="54">
        <v>0</v>
      </c>
      <c r="C95" s="54">
        <v>0</v>
      </c>
      <c r="D95" s="54">
        <v>0</v>
      </c>
      <c r="E95" s="54">
        <v>0</v>
      </c>
      <c r="F95" s="54">
        <v>0</v>
      </c>
      <c r="G95" s="54">
        <v>0</v>
      </c>
      <c r="H95" s="54">
        <v>0</v>
      </c>
      <c r="I95" s="54">
        <v>0</v>
      </c>
      <c r="J95" s="54">
        <v>0</v>
      </c>
      <c r="K95" s="54">
        <v>0</v>
      </c>
      <c r="L95" s="54">
        <v>0</v>
      </c>
      <c r="M95" s="54">
        <v>2</v>
      </c>
      <c r="N95" s="54">
        <v>0</v>
      </c>
      <c r="O95" s="54">
        <v>0</v>
      </c>
      <c r="P95" s="54">
        <v>0</v>
      </c>
      <c r="Q95" s="54">
        <v>0</v>
      </c>
      <c r="R95" s="54">
        <v>0</v>
      </c>
      <c r="S95" s="54">
        <v>1</v>
      </c>
      <c r="T95" s="54">
        <v>0</v>
      </c>
      <c r="U95" s="54">
        <v>2</v>
      </c>
      <c r="V95" s="54">
        <v>0</v>
      </c>
      <c r="W95" s="54">
        <v>1</v>
      </c>
      <c r="X95" s="54">
        <v>0</v>
      </c>
      <c r="Y95" s="54">
        <v>1</v>
      </c>
      <c r="Z95" s="54">
        <v>0</v>
      </c>
      <c r="AA95" s="54">
        <v>3</v>
      </c>
      <c r="AB95" s="54">
        <v>1</v>
      </c>
      <c r="AC95" s="54">
        <v>0</v>
      </c>
      <c r="AD95" s="54">
        <v>0</v>
      </c>
      <c r="AE95" s="54">
        <v>0</v>
      </c>
      <c r="AF95" s="54">
        <v>0</v>
      </c>
      <c r="AG95" s="5">
        <f t="shared" si="5"/>
        <v>11</v>
      </c>
    </row>
    <row r="96" spans="1:34" ht="15.75" customHeight="1" x14ac:dyDescent="0.25">
      <c r="A96" s="79" t="s">
        <v>45</v>
      </c>
      <c r="B96" s="54">
        <v>1</v>
      </c>
      <c r="C96" s="54">
        <v>2</v>
      </c>
      <c r="D96" s="54">
        <v>3</v>
      </c>
      <c r="E96" s="54">
        <v>4</v>
      </c>
      <c r="F96" s="54">
        <v>1</v>
      </c>
      <c r="G96" s="54">
        <v>4</v>
      </c>
      <c r="H96" s="54">
        <v>4</v>
      </c>
      <c r="I96" s="54">
        <v>1</v>
      </c>
      <c r="J96" s="54">
        <v>2</v>
      </c>
      <c r="K96" s="54">
        <v>1</v>
      </c>
      <c r="L96" s="54">
        <v>1</v>
      </c>
      <c r="M96" s="54">
        <v>2</v>
      </c>
      <c r="N96" s="54">
        <v>1</v>
      </c>
      <c r="O96" s="54">
        <v>0</v>
      </c>
      <c r="P96" s="54">
        <v>0</v>
      </c>
      <c r="Q96" s="54">
        <v>3</v>
      </c>
      <c r="R96" s="54">
        <v>1</v>
      </c>
      <c r="S96" s="54">
        <v>1</v>
      </c>
      <c r="T96" s="54">
        <v>1</v>
      </c>
      <c r="U96" s="54">
        <v>3</v>
      </c>
      <c r="V96" s="54">
        <v>1</v>
      </c>
      <c r="W96" s="54">
        <v>0</v>
      </c>
      <c r="X96" s="54">
        <v>1</v>
      </c>
      <c r="Y96" s="54">
        <v>1</v>
      </c>
      <c r="Z96" s="54">
        <v>0</v>
      </c>
      <c r="AA96" s="54">
        <v>3</v>
      </c>
      <c r="AB96" s="54">
        <v>2</v>
      </c>
      <c r="AC96" s="54">
        <v>0</v>
      </c>
      <c r="AD96" s="54">
        <v>1</v>
      </c>
      <c r="AE96" s="54">
        <v>3</v>
      </c>
      <c r="AF96" s="54">
        <v>4</v>
      </c>
      <c r="AG96" s="5">
        <f t="shared" si="5"/>
        <v>52</v>
      </c>
    </row>
    <row r="97" spans="1:33" ht="15.75" customHeight="1" x14ac:dyDescent="0.25">
      <c r="A97" s="80" t="s">
        <v>46</v>
      </c>
      <c r="B97" s="54">
        <v>1</v>
      </c>
      <c r="C97" s="54">
        <v>2</v>
      </c>
      <c r="D97" s="54">
        <v>4</v>
      </c>
      <c r="E97" s="54">
        <v>3</v>
      </c>
      <c r="F97" s="54">
        <v>5</v>
      </c>
      <c r="G97" s="54">
        <v>9</v>
      </c>
      <c r="H97" s="54">
        <v>2</v>
      </c>
      <c r="I97" s="54">
        <v>3</v>
      </c>
      <c r="J97" s="54">
        <v>3</v>
      </c>
      <c r="K97" s="54">
        <v>9</v>
      </c>
      <c r="L97" s="54">
        <v>4</v>
      </c>
      <c r="M97" s="54">
        <v>5</v>
      </c>
      <c r="N97" s="54">
        <v>7</v>
      </c>
      <c r="O97" s="54">
        <v>5</v>
      </c>
      <c r="P97" s="54">
        <v>12</v>
      </c>
      <c r="Q97" s="54">
        <v>1</v>
      </c>
      <c r="R97" s="54">
        <v>5</v>
      </c>
      <c r="S97" s="54">
        <v>11</v>
      </c>
      <c r="T97" s="54">
        <v>9</v>
      </c>
      <c r="U97" s="54">
        <v>11</v>
      </c>
      <c r="V97" s="54">
        <v>3</v>
      </c>
      <c r="W97" s="54">
        <v>2</v>
      </c>
      <c r="X97" s="54">
        <v>5</v>
      </c>
      <c r="Y97" s="54">
        <v>5</v>
      </c>
      <c r="Z97" s="54">
        <v>12</v>
      </c>
      <c r="AA97" s="54">
        <v>7</v>
      </c>
      <c r="AB97" s="54">
        <v>2</v>
      </c>
      <c r="AC97" s="54">
        <v>9</v>
      </c>
      <c r="AD97" s="54">
        <v>2</v>
      </c>
      <c r="AE97" s="54">
        <v>3</v>
      </c>
      <c r="AF97" s="54">
        <v>4</v>
      </c>
      <c r="AG97" s="5">
        <f t="shared" si="5"/>
        <v>165</v>
      </c>
    </row>
    <row r="98" spans="1:33" ht="15.75" customHeight="1" x14ac:dyDescent="0.25">
      <c r="A98" s="81" t="s">
        <v>47</v>
      </c>
      <c r="B98" s="54">
        <v>5</v>
      </c>
      <c r="C98" s="54">
        <v>5</v>
      </c>
      <c r="D98" s="54">
        <v>15</v>
      </c>
      <c r="E98" s="54">
        <v>12</v>
      </c>
      <c r="F98" s="54">
        <v>9</v>
      </c>
      <c r="G98" s="54">
        <v>11</v>
      </c>
      <c r="H98" s="54">
        <v>6</v>
      </c>
      <c r="I98" s="54">
        <v>4</v>
      </c>
      <c r="J98" s="54">
        <v>7</v>
      </c>
      <c r="K98" s="54">
        <v>7</v>
      </c>
      <c r="L98" s="54">
        <v>9</v>
      </c>
      <c r="M98" s="54">
        <v>15</v>
      </c>
      <c r="N98" s="54">
        <v>4</v>
      </c>
      <c r="O98" s="54">
        <v>8</v>
      </c>
      <c r="P98" s="54">
        <v>12</v>
      </c>
      <c r="Q98" s="54">
        <v>6</v>
      </c>
      <c r="R98" s="54">
        <v>12</v>
      </c>
      <c r="S98" s="54">
        <v>5</v>
      </c>
      <c r="T98" s="54">
        <v>10</v>
      </c>
      <c r="U98" s="54">
        <v>19</v>
      </c>
      <c r="V98" s="54">
        <v>8</v>
      </c>
      <c r="W98" s="54">
        <v>8</v>
      </c>
      <c r="X98" s="54">
        <v>6</v>
      </c>
      <c r="Y98" s="54">
        <v>14</v>
      </c>
      <c r="Z98" s="54">
        <v>13</v>
      </c>
      <c r="AA98" s="54">
        <v>7</v>
      </c>
      <c r="AB98" s="54">
        <v>7</v>
      </c>
      <c r="AC98" s="54">
        <v>11</v>
      </c>
      <c r="AD98" s="54">
        <v>7</v>
      </c>
      <c r="AE98" s="54">
        <v>11</v>
      </c>
      <c r="AF98" s="54">
        <v>14</v>
      </c>
      <c r="AG98" s="5">
        <f t="shared" si="5"/>
        <v>287</v>
      </c>
    </row>
    <row r="99" spans="1:33" ht="15.75" customHeight="1" x14ac:dyDescent="0.25">
      <c r="A99" s="82" t="s">
        <v>48</v>
      </c>
      <c r="B99" s="54">
        <v>4</v>
      </c>
      <c r="C99" s="54">
        <v>4</v>
      </c>
      <c r="D99" s="54">
        <v>5</v>
      </c>
      <c r="E99" s="54">
        <v>14</v>
      </c>
      <c r="F99" s="54">
        <v>9</v>
      </c>
      <c r="G99" s="54">
        <v>8</v>
      </c>
      <c r="H99" s="54">
        <v>5</v>
      </c>
      <c r="I99" s="54">
        <v>10</v>
      </c>
      <c r="J99" s="54">
        <v>7</v>
      </c>
      <c r="K99" s="54">
        <v>13</v>
      </c>
      <c r="L99" s="54">
        <v>8</v>
      </c>
      <c r="M99" s="54">
        <v>8</v>
      </c>
      <c r="N99" s="54">
        <v>8</v>
      </c>
      <c r="O99" s="54">
        <v>5</v>
      </c>
      <c r="P99" s="54">
        <v>7</v>
      </c>
      <c r="Q99" s="54">
        <v>5</v>
      </c>
      <c r="R99" s="54">
        <v>16</v>
      </c>
      <c r="S99" s="54">
        <v>7</v>
      </c>
      <c r="T99" s="54">
        <v>1</v>
      </c>
      <c r="U99" s="54">
        <v>10</v>
      </c>
      <c r="V99" s="54">
        <v>7</v>
      </c>
      <c r="W99" s="54">
        <v>4</v>
      </c>
      <c r="X99" s="54">
        <v>8</v>
      </c>
      <c r="Y99" s="54">
        <v>9</v>
      </c>
      <c r="Z99" s="54">
        <v>12</v>
      </c>
      <c r="AA99" s="54">
        <v>12</v>
      </c>
      <c r="AB99" s="54">
        <v>8</v>
      </c>
      <c r="AC99" s="54">
        <v>9</v>
      </c>
      <c r="AD99" s="54">
        <v>8</v>
      </c>
      <c r="AE99" s="54">
        <v>11</v>
      </c>
      <c r="AF99" s="54">
        <v>13</v>
      </c>
      <c r="AG99" s="5">
        <f t="shared" ref="AG99:AG162" si="17">SUM(B99:AF99)</f>
        <v>255</v>
      </c>
    </row>
    <row r="100" spans="1:33" ht="15.75" customHeight="1" x14ac:dyDescent="0.25">
      <c r="A100" s="76" t="s">
        <v>49</v>
      </c>
      <c r="B100" s="21">
        <f t="shared" ref="B100:AF100" si="18">SUM(B101:B115)</f>
        <v>67</v>
      </c>
      <c r="C100" s="21">
        <f t="shared" si="18"/>
        <v>84</v>
      </c>
      <c r="D100" s="21">
        <f t="shared" si="18"/>
        <v>139</v>
      </c>
      <c r="E100" s="21">
        <f t="shared" si="18"/>
        <v>140</v>
      </c>
      <c r="F100" s="21">
        <f t="shared" si="18"/>
        <v>104</v>
      </c>
      <c r="G100" s="21">
        <f t="shared" si="18"/>
        <v>88</v>
      </c>
      <c r="H100" s="21">
        <f t="shared" si="18"/>
        <v>81</v>
      </c>
      <c r="I100" s="21">
        <f t="shared" si="18"/>
        <v>87</v>
      </c>
      <c r="J100" s="21">
        <f t="shared" si="18"/>
        <v>106</v>
      </c>
      <c r="K100" s="21">
        <f t="shared" si="18"/>
        <v>165</v>
      </c>
      <c r="L100" s="21">
        <f t="shared" si="18"/>
        <v>135</v>
      </c>
      <c r="M100" s="21">
        <f t="shared" si="18"/>
        <v>105</v>
      </c>
      <c r="N100" s="21">
        <f t="shared" si="18"/>
        <v>97</v>
      </c>
      <c r="O100" s="21">
        <f t="shared" si="18"/>
        <v>104</v>
      </c>
      <c r="P100" s="21">
        <f t="shared" si="18"/>
        <v>147</v>
      </c>
      <c r="Q100" s="21">
        <f t="shared" si="18"/>
        <v>103</v>
      </c>
      <c r="R100" s="21">
        <f t="shared" si="18"/>
        <v>152</v>
      </c>
      <c r="S100" s="21">
        <f t="shared" si="18"/>
        <v>142</v>
      </c>
      <c r="T100" s="21">
        <f t="shared" si="18"/>
        <v>118</v>
      </c>
      <c r="U100" s="21">
        <f t="shared" si="18"/>
        <v>178</v>
      </c>
      <c r="V100" s="21">
        <f t="shared" si="18"/>
        <v>98</v>
      </c>
      <c r="W100" s="21">
        <f t="shared" si="18"/>
        <v>78</v>
      </c>
      <c r="X100" s="21">
        <f t="shared" si="18"/>
        <v>94</v>
      </c>
      <c r="Y100" s="21">
        <f t="shared" si="18"/>
        <v>164</v>
      </c>
      <c r="Z100" s="21">
        <f t="shared" si="18"/>
        <v>152</v>
      </c>
      <c r="AA100" s="21">
        <f t="shared" si="18"/>
        <v>109</v>
      </c>
      <c r="AB100" s="21">
        <f t="shared" si="18"/>
        <v>97</v>
      </c>
      <c r="AC100" s="21">
        <f t="shared" si="18"/>
        <v>90</v>
      </c>
      <c r="AD100" s="21">
        <f t="shared" si="18"/>
        <v>91</v>
      </c>
      <c r="AE100" s="21">
        <f t="shared" si="18"/>
        <v>111</v>
      </c>
      <c r="AF100" s="21">
        <f t="shared" si="18"/>
        <v>165</v>
      </c>
      <c r="AG100" s="5">
        <f t="shared" si="17"/>
        <v>3591</v>
      </c>
    </row>
    <row r="101" spans="1:33" ht="15.75" customHeight="1" x14ac:dyDescent="0.25">
      <c r="A101" s="82" t="s">
        <v>50</v>
      </c>
      <c r="B101" s="54">
        <v>7</v>
      </c>
      <c r="C101" s="54">
        <v>6</v>
      </c>
      <c r="D101" s="54">
        <v>9</v>
      </c>
      <c r="E101" s="54">
        <v>12</v>
      </c>
      <c r="F101" s="54">
        <v>10</v>
      </c>
      <c r="G101" s="54">
        <v>8</v>
      </c>
      <c r="H101" s="54">
        <v>10</v>
      </c>
      <c r="I101" s="54">
        <v>11</v>
      </c>
      <c r="J101" s="54">
        <v>9</v>
      </c>
      <c r="K101" s="54">
        <v>12</v>
      </c>
      <c r="L101" s="54">
        <v>8</v>
      </c>
      <c r="M101" s="54">
        <v>15</v>
      </c>
      <c r="N101" s="54">
        <v>7</v>
      </c>
      <c r="O101" s="54">
        <v>12</v>
      </c>
      <c r="P101" s="54">
        <v>9</v>
      </c>
      <c r="Q101" s="54">
        <v>8</v>
      </c>
      <c r="R101" s="54">
        <v>4</v>
      </c>
      <c r="S101" s="54">
        <v>8</v>
      </c>
      <c r="T101" s="54">
        <v>13</v>
      </c>
      <c r="U101" s="54">
        <v>14</v>
      </c>
      <c r="V101" s="54">
        <v>16</v>
      </c>
      <c r="W101" s="54">
        <v>11</v>
      </c>
      <c r="X101" s="54">
        <v>9</v>
      </c>
      <c r="Y101" s="54">
        <v>7</v>
      </c>
      <c r="Z101" s="54">
        <v>11</v>
      </c>
      <c r="AA101" s="54">
        <v>7</v>
      </c>
      <c r="AB101" s="54">
        <v>17</v>
      </c>
      <c r="AC101" s="54">
        <v>10</v>
      </c>
      <c r="AD101" s="54">
        <v>2</v>
      </c>
      <c r="AE101" s="54">
        <v>8</v>
      </c>
      <c r="AF101" s="54">
        <v>8</v>
      </c>
      <c r="AG101" s="5">
        <f t="shared" si="17"/>
        <v>298</v>
      </c>
    </row>
    <row r="102" spans="1:33" ht="15.75" customHeight="1" x14ac:dyDescent="0.25">
      <c r="A102" s="82" t="s">
        <v>51</v>
      </c>
      <c r="B102" s="54">
        <v>4</v>
      </c>
      <c r="C102" s="54">
        <v>14</v>
      </c>
      <c r="D102" s="54">
        <v>12</v>
      </c>
      <c r="E102" s="54">
        <v>7</v>
      </c>
      <c r="F102" s="54">
        <v>8</v>
      </c>
      <c r="G102" s="54">
        <v>11</v>
      </c>
      <c r="H102" s="54">
        <v>6</v>
      </c>
      <c r="I102" s="54">
        <v>8</v>
      </c>
      <c r="J102" s="54">
        <v>12</v>
      </c>
      <c r="K102" s="54">
        <v>15</v>
      </c>
      <c r="L102" s="54">
        <v>7</v>
      </c>
      <c r="M102" s="54">
        <v>9</v>
      </c>
      <c r="N102" s="54">
        <v>6</v>
      </c>
      <c r="O102" s="54">
        <v>8</v>
      </c>
      <c r="P102" s="54">
        <v>10</v>
      </c>
      <c r="Q102" s="54">
        <v>6</v>
      </c>
      <c r="R102" s="54">
        <v>12</v>
      </c>
      <c r="S102" s="54">
        <v>15</v>
      </c>
      <c r="T102" s="54">
        <v>9</v>
      </c>
      <c r="U102" s="54">
        <v>16</v>
      </c>
      <c r="V102" s="54">
        <v>9</v>
      </c>
      <c r="W102" s="54">
        <v>6</v>
      </c>
      <c r="X102" s="54">
        <v>12</v>
      </c>
      <c r="Y102" s="54">
        <v>13</v>
      </c>
      <c r="Z102" s="54">
        <v>12</v>
      </c>
      <c r="AA102" s="54">
        <v>11</v>
      </c>
      <c r="AB102" s="54">
        <v>7</v>
      </c>
      <c r="AC102" s="54">
        <v>15</v>
      </c>
      <c r="AD102" s="54">
        <v>9</v>
      </c>
      <c r="AE102" s="54">
        <v>11</v>
      </c>
      <c r="AF102" s="54">
        <v>13</v>
      </c>
      <c r="AG102" s="5">
        <f t="shared" si="17"/>
        <v>313</v>
      </c>
    </row>
    <row r="103" spans="1:33" ht="15.75" customHeight="1" x14ac:dyDescent="0.25">
      <c r="A103" s="78" t="s">
        <v>52</v>
      </c>
      <c r="B103" s="54">
        <v>7</v>
      </c>
      <c r="C103" s="54">
        <v>5</v>
      </c>
      <c r="D103" s="54">
        <v>10</v>
      </c>
      <c r="E103" s="54">
        <v>12</v>
      </c>
      <c r="F103" s="54">
        <v>10</v>
      </c>
      <c r="G103" s="54">
        <v>8</v>
      </c>
      <c r="H103" s="54">
        <v>3</v>
      </c>
      <c r="I103" s="54">
        <v>8</v>
      </c>
      <c r="J103" s="54">
        <v>6</v>
      </c>
      <c r="K103" s="54">
        <v>9</v>
      </c>
      <c r="L103" s="54">
        <v>6</v>
      </c>
      <c r="M103" s="54">
        <v>13</v>
      </c>
      <c r="N103" s="54">
        <v>10</v>
      </c>
      <c r="O103" s="54">
        <v>10</v>
      </c>
      <c r="P103" s="54">
        <v>16</v>
      </c>
      <c r="Q103" s="54">
        <v>12</v>
      </c>
      <c r="R103" s="54">
        <v>21</v>
      </c>
      <c r="S103" s="54">
        <v>9</v>
      </c>
      <c r="T103" s="54">
        <v>14</v>
      </c>
      <c r="U103" s="54">
        <v>12</v>
      </c>
      <c r="V103" s="54">
        <v>9</v>
      </c>
      <c r="W103" s="54">
        <v>8</v>
      </c>
      <c r="X103" s="54">
        <v>7</v>
      </c>
      <c r="Y103" s="54">
        <v>12</v>
      </c>
      <c r="Z103" s="54">
        <v>13</v>
      </c>
      <c r="AA103" s="54">
        <v>13</v>
      </c>
      <c r="AB103" s="54">
        <v>16</v>
      </c>
      <c r="AC103" s="54">
        <v>4</v>
      </c>
      <c r="AD103" s="54">
        <v>13</v>
      </c>
      <c r="AE103" s="54">
        <v>16</v>
      </c>
      <c r="AF103" s="54">
        <v>15</v>
      </c>
      <c r="AG103" s="5">
        <f t="shared" si="17"/>
        <v>327</v>
      </c>
    </row>
    <row r="104" spans="1:33" ht="15.75" customHeight="1" x14ac:dyDescent="0.25">
      <c r="A104" s="78" t="s">
        <v>53</v>
      </c>
      <c r="B104" s="54">
        <v>10</v>
      </c>
      <c r="C104" s="54">
        <v>6</v>
      </c>
      <c r="D104" s="54">
        <v>10</v>
      </c>
      <c r="E104" s="54">
        <v>13</v>
      </c>
      <c r="F104" s="54">
        <v>7</v>
      </c>
      <c r="G104" s="54">
        <v>10</v>
      </c>
      <c r="H104" s="54">
        <v>9</v>
      </c>
      <c r="I104" s="54">
        <v>6</v>
      </c>
      <c r="J104" s="54">
        <v>9</v>
      </c>
      <c r="K104" s="54">
        <v>9</v>
      </c>
      <c r="L104" s="54">
        <v>10</v>
      </c>
      <c r="M104" s="54">
        <v>4</v>
      </c>
      <c r="N104" s="54">
        <v>5</v>
      </c>
      <c r="O104" s="54">
        <v>9</v>
      </c>
      <c r="P104" s="54">
        <v>9</v>
      </c>
      <c r="Q104" s="54">
        <v>8</v>
      </c>
      <c r="R104" s="54">
        <v>9</v>
      </c>
      <c r="S104" s="54">
        <v>15</v>
      </c>
      <c r="T104" s="54">
        <v>8</v>
      </c>
      <c r="U104" s="54">
        <v>11</v>
      </c>
      <c r="V104" s="54">
        <v>4</v>
      </c>
      <c r="W104" s="54">
        <v>2</v>
      </c>
      <c r="X104" s="54">
        <v>7</v>
      </c>
      <c r="Y104" s="54">
        <v>19</v>
      </c>
      <c r="Z104" s="54">
        <v>13</v>
      </c>
      <c r="AA104" s="54">
        <v>7</v>
      </c>
      <c r="AB104" s="54">
        <v>3</v>
      </c>
      <c r="AC104" s="54">
        <v>8</v>
      </c>
      <c r="AD104" s="54">
        <v>7</v>
      </c>
      <c r="AE104" s="54">
        <v>5</v>
      </c>
      <c r="AF104" s="54">
        <v>16</v>
      </c>
      <c r="AG104" s="5">
        <f t="shared" si="17"/>
        <v>268</v>
      </c>
    </row>
    <row r="105" spans="1:33" ht="15.75" customHeight="1" x14ac:dyDescent="0.25">
      <c r="A105" s="78" t="s">
        <v>54</v>
      </c>
      <c r="B105" s="54">
        <v>5</v>
      </c>
      <c r="C105" s="54">
        <v>8</v>
      </c>
      <c r="D105" s="54">
        <v>6</v>
      </c>
      <c r="E105" s="54">
        <v>10</v>
      </c>
      <c r="F105" s="54">
        <v>5</v>
      </c>
      <c r="G105" s="54">
        <v>4</v>
      </c>
      <c r="H105" s="54">
        <v>7</v>
      </c>
      <c r="I105" s="54">
        <v>2</v>
      </c>
      <c r="J105" s="54">
        <v>11</v>
      </c>
      <c r="K105" s="54">
        <v>14</v>
      </c>
      <c r="L105" s="54">
        <v>12</v>
      </c>
      <c r="M105" s="54">
        <v>4</v>
      </c>
      <c r="N105" s="54">
        <v>7</v>
      </c>
      <c r="O105" s="54">
        <v>11</v>
      </c>
      <c r="P105" s="54">
        <v>13</v>
      </c>
      <c r="Q105" s="54">
        <v>5</v>
      </c>
      <c r="R105" s="54">
        <v>9</v>
      </c>
      <c r="S105" s="54">
        <v>16</v>
      </c>
      <c r="T105" s="54">
        <v>9</v>
      </c>
      <c r="U105" s="54">
        <v>19</v>
      </c>
      <c r="V105" s="54">
        <v>7</v>
      </c>
      <c r="W105" s="54">
        <v>3</v>
      </c>
      <c r="X105" s="54">
        <v>5</v>
      </c>
      <c r="Y105" s="54">
        <v>10</v>
      </c>
      <c r="Z105" s="54">
        <v>20</v>
      </c>
      <c r="AA105" s="54">
        <v>8</v>
      </c>
      <c r="AB105" s="54">
        <v>3</v>
      </c>
      <c r="AC105" s="54">
        <v>6</v>
      </c>
      <c r="AD105" s="54">
        <v>4</v>
      </c>
      <c r="AE105" s="54">
        <v>8</v>
      </c>
      <c r="AF105" s="54">
        <v>7</v>
      </c>
      <c r="AG105" s="5">
        <f t="shared" si="17"/>
        <v>258</v>
      </c>
    </row>
    <row r="106" spans="1:33" ht="15.75" customHeight="1" x14ac:dyDescent="0.25">
      <c r="A106" s="78" t="s">
        <v>55</v>
      </c>
      <c r="B106" s="54">
        <v>1</v>
      </c>
      <c r="C106" s="54">
        <v>9</v>
      </c>
      <c r="D106" s="54">
        <v>11</v>
      </c>
      <c r="E106" s="54">
        <v>17</v>
      </c>
      <c r="F106" s="54">
        <v>7</v>
      </c>
      <c r="G106" s="54">
        <v>2</v>
      </c>
      <c r="H106" s="54">
        <v>6</v>
      </c>
      <c r="I106" s="54">
        <v>4</v>
      </c>
      <c r="J106" s="54">
        <v>12</v>
      </c>
      <c r="K106" s="54">
        <v>11</v>
      </c>
      <c r="L106" s="54">
        <v>11</v>
      </c>
      <c r="M106" s="54">
        <v>7</v>
      </c>
      <c r="N106" s="54">
        <v>10</v>
      </c>
      <c r="O106" s="54">
        <v>6</v>
      </c>
      <c r="P106" s="54">
        <v>12</v>
      </c>
      <c r="Q106" s="54">
        <v>5</v>
      </c>
      <c r="R106" s="54">
        <v>15</v>
      </c>
      <c r="S106" s="54">
        <v>10</v>
      </c>
      <c r="T106" s="54">
        <v>8</v>
      </c>
      <c r="U106" s="54">
        <v>16</v>
      </c>
      <c r="V106" s="54">
        <v>5</v>
      </c>
      <c r="W106" s="54">
        <v>8</v>
      </c>
      <c r="X106" s="54">
        <v>5</v>
      </c>
      <c r="Y106" s="54">
        <v>12</v>
      </c>
      <c r="Z106" s="54">
        <v>12</v>
      </c>
      <c r="AA106" s="54">
        <v>4</v>
      </c>
      <c r="AB106" s="54">
        <v>9</v>
      </c>
      <c r="AC106" s="54">
        <v>4</v>
      </c>
      <c r="AD106" s="54">
        <v>8</v>
      </c>
      <c r="AE106" s="54">
        <v>7</v>
      </c>
      <c r="AF106" s="54">
        <v>13</v>
      </c>
      <c r="AG106" s="5">
        <f t="shared" si="17"/>
        <v>267</v>
      </c>
    </row>
    <row r="107" spans="1:33" ht="15.75" customHeight="1" x14ac:dyDescent="0.25">
      <c r="A107" s="78" t="s">
        <v>56</v>
      </c>
      <c r="B107" s="54">
        <v>3</v>
      </c>
      <c r="C107" s="54">
        <v>7</v>
      </c>
      <c r="D107" s="54">
        <v>13</v>
      </c>
      <c r="E107" s="54">
        <v>9</v>
      </c>
      <c r="F107" s="54">
        <v>5</v>
      </c>
      <c r="G107" s="54">
        <v>6</v>
      </c>
      <c r="H107" s="54">
        <v>5</v>
      </c>
      <c r="I107" s="54">
        <v>6</v>
      </c>
      <c r="J107" s="54">
        <v>5</v>
      </c>
      <c r="K107" s="54">
        <v>13</v>
      </c>
      <c r="L107" s="54">
        <v>8</v>
      </c>
      <c r="M107" s="54">
        <v>10</v>
      </c>
      <c r="N107" s="54">
        <v>8</v>
      </c>
      <c r="O107" s="54">
        <v>5</v>
      </c>
      <c r="P107" s="54">
        <v>16</v>
      </c>
      <c r="Q107" s="54">
        <v>8</v>
      </c>
      <c r="R107" s="54">
        <v>12</v>
      </c>
      <c r="S107" s="54">
        <v>10</v>
      </c>
      <c r="T107" s="54">
        <v>13</v>
      </c>
      <c r="U107" s="54">
        <v>14</v>
      </c>
      <c r="V107" s="54">
        <v>10</v>
      </c>
      <c r="W107" s="54">
        <v>4</v>
      </c>
      <c r="X107" s="54">
        <v>10</v>
      </c>
      <c r="Y107" s="54">
        <v>9</v>
      </c>
      <c r="Z107" s="54">
        <v>8</v>
      </c>
      <c r="AA107" s="54">
        <v>9</v>
      </c>
      <c r="AB107" s="54">
        <v>8</v>
      </c>
      <c r="AC107" s="54">
        <v>4</v>
      </c>
      <c r="AD107" s="54">
        <v>3</v>
      </c>
      <c r="AE107" s="54">
        <v>11</v>
      </c>
      <c r="AF107" s="54">
        <v>9</v>
      </c>
      <c r="AG107" s="5">
        <f t="shared" si="17"/>
        <v>261</v>
      </c>
    </row>
    <row r="108" spans="1:33" ht="15.75" customHeight="1" x14ac:dyDescent="0.25">
      <c r="A108" s="78" t="s">
        <v>57</v>
      </c>
      <c r="B108" s="54">
        <v>6</v>
      </c>
      <c r="C108" s="54">
        <v>5</v>
      </c>
      <c r="D108" s="54">
        <v>14</v>
      </c>
      <c r="E108" s="54">
        <v>14</v>
      </c>
      <c r="F108" s="54">
        <v>8</v>
      </c>
      <c r="G108" s="54">
        <v>6</v>
      </c>
      <c r="H108" s="54">
        <v>10</v>
      </c>
      <c r="I108" s="54">
        <v>11</v>
      </c>
      <c r="J108" s="54">
        <v>6</v>
      </c>
      <c r="K108" s="54">
        <v>9</v>
      </c>
      <c r="L108" s="54">
        <v>13</v>
      </c>
      <c r="M108" s="54">
        <v>11</v>
      </c>
      <c r="N108" s="54">
        <v>11</v>
      </c>
      <c r="O108" s="54">
        <v>12</v>
      </c>
      <c r="P108" s="54">
        <v>10</v>
      </c>
      <c r="Q108" s="54">
        <v>11</v>
      </c>
      <c r="R108" s="54">
        <v>15</v>
      </c>
      <c r="S108" s="54">
        <v>13</v>
      </c>
      <c r="T108" s="54">
        <v>9</v>
      </c>
      <c r="U108" s="54">
        <v>12</v>
      </c>
      <c r="V108" s="54">
        <v>8</v>
      </c>
      <c r="W108" s="54">
        <v>14</v>
      </c>
      <c r="X108" s="54">
        <v>7</v>
      </c>
      <c r="Y108" s="54">
        <v>21</v>
      </c>
      <c r="Z108" s="54">
        <v>10</v>
      </c>
      <c r="AA108" s="54">
        <v>9</v>
      </c>
      <c r="AB108" s="54">
        <v>9</v>
      </c>
      <c r="AC108" s="54">
        <v>6</v>
      </c>
      <c r="AD108" s="54">
        <v>8</v>
      </c>
      <c r="AE108" s="54">
        <v>16</v>
      </c>
      <c r="AF108" s="54">
        <v>14</v>
      </c>
      <c r="AG108" s="5">
        <f t="shared" si="17"/>
        <v>328</v>
      </c>
    </row>
    <row r="109" spans="1:33" ht="15.75" customHeight="1" x14ac:dyDescent="0.25">
      <c r="A109" s="78" t="s">
        <v>58</v>
      </c>
      <c r="B109" s="54">
        <v>5</v>
      </c>
      <c r="C109" s="54">
        <v>4</v>
      </c>
      <c r="D109" s="54">
        <v>9</v>
      </c>
      <c r="E109" s="54">
        <v>9</v>
      </c>
      <c r="F109" s="54">
        <v>11</v>
      </c>
      <c r="G109" s="54">
        <v>6</v>
      </c>
      <c r="H109" s="54">
        <v>3</v>
      </c>
      <c r="I109" s="54">
        <v>8</v>
      </c>
      <c r="J109" s="54">
        <v>9</v>
      </c>
      <c r="K109" s="54">
        <v>14</v>
      </c>
      <c r="L109" s="54">
        <v>12</v>
      </c>
      <c r="M109" s="54">
        <v>9</v>
      </c>
      <c r="N109" s="54">
        <v>6</v>
      </c>
      <c r="O109" s="54">
        <v>2</v>
      </c>
      <c r="P109" s="54">
        <v>16</v>
      </c>
      <c r="Q109" s="54">
        <v>14</v>
      </c>
      <c r="R109" s="54">
        <v>9</v>
      </c>
      <c r="S109" s="54">
        <v>9</v>
      </c>
      <c r="T109" s="54">
        <v>10</v>
      </c>
      <c r="U109" s="54">
        <v>10</v>
      </c>
      <c r="V109" s="54">
        <v>11</v>
      </c>
      <c r="W109" s="54">
        <v>6</v>
      </c>
      <c r="X109" s="54">
        <v>8</v>
      </c>
      <c r="Y109" s="54">
        <v>17</v>
      </c>
      <c r="Z109" s="54">
        <v>7</v>
      </c>
      <c r="AA109" s="54">
        <v>10</v>
      </c>
      <c r="AB109" s="54">
        <v>6</v>
      </c>
      <c r="AC109" s="54">
        <v>6</v>
      </c>
      <c r="AD109" s="54">
        <v>11</v>
      </c>
      <c r="AE109" s="54">
        <v>9</v>
      </c>
      <c r="AF109" s="54">
        <v>13</v>
      </c>
      <c r="AG109" s="5">
        <f t="shared" si="17"/>
        <v>279</v>
      </c>
    </row>
    <row r="110" spans="1:33" ht="15.75" customHeight="1" x14ac:dyDescent="0.25">
      <c r="A110" s="78" t="s">
        <v>59</v>
      </c>
      <c r="B110" s="54">
        <v>7</v>
      </c>
      <c r="C110" s="54">
        <v>8</v>
      </c>
      <c r="D110" s="54">
        <v>7</v>
      </c>
      <c r="E110" s="54">
        <v>9</v>
      </c>
      <c r="F110" s="54">
        <v>6</v>
      </c>
      <c r="G110" s="54">
        <v>7</v>
      </c>
      <c r="H110" s="54">
        <v>4</v>
      </c>
      <c r="I110" s="54">
        <v>6</v>
      </c>
      <c r="J110" s="54">
        <v>8</v>
      </c>
      <c r="K110" s="54">
        <v>14</v>
      </c>
      <c r="L110" s="54">
        <v>18</v>
      </c>
      <c r="M110" s="54">
        <v>6</v>
      </c>
      <c r="N110" s="54">
        <v>6</v>
      </c>
      <c r="O110" s="54">
        <v>8</v>
      </c>
      <c r="P110" s="54">
        <v>7</v>
      </c>
      <c r="Q110" s="54">
        <v>10</v>
      </c>
      <c r="R110" s="54">
        <v>12</v>
      </c>
      <c r="S110" s="54">
        <v>8</v>
      </c>
      <c r="T110" s="54">
        <v>6</v>
      </c>
      <c r="U110" s="54">
        <v>11</v>
      </c>
      <c r="V110" s="54">
        <v>5</v>
      </c>
      <c r="W110" s="54">
        <v>5</v>
      </c>
      <c r="X110" s="54">
        <v>8</v>
      </c>
      <c r="Y110" s="54">
        <v>14</v>
      </c>
      <c r="Z110" s="54">
        <v>10</v>
      </c>
      <c r="AA110" s="54">
        <v>7</v>
      </c>
      <c r="AB110" s="54">
        <v>2</v>
      </c>
      <c r="AC110" s="54">
        <v>8</v>
      </c>
      <c r="AD110" s="54">
        <v>7</v>
      </c>
      <c r="AE110" s="54">
        <v>7</v>
      </c>
      <c r="AF110" s="54">
        <v>15</v>
      </c>
      <c r="AG110" s="5">
        <f t="shared" si="17"/>
        <v>256</v>
      </c>
    </row>
    <row r="111" spans="1:33" ht="15.75" customHeight="1" x14ac:dyDescent="0.25">
      <c r="A111" s="78" t="s">
        <v>60</v>
      </c>
      <c r="B111" s="54">
        <v>4</v>
      </c>
      <c r="C111" s="54">
        <v>4</v>
      </c>
      <c r="D111" s="54">
        <v>9</v>
      </c>
      <c r="E111" s="54">
        <v>9</v>
      </c>
      <c r="F111" s="54">
        <v>9</v>
      </c>
      <c r="G111" s="54">
        <v>6</v>
      </c>
      <c r="H111" s="54">
        <v>4</v>
      </c>
      <c r="I111" s="54">
        <v>4</v>
      </c>
      <c r="J111" s="54">
        <v>6</v>
      </c>
      <c r="K111" s="54">
        <v>10</v>
      </c>
      <c r="L111" s="54">
        <v>9</v>
      </c>
      <c r="M111" s="54">
        <v>3</v>
      </c>
      <c r="N111" s="54">
        <v>8</v>
      </c>
      <c r="O111" s="54">
        <v>10</v>
      </c>
      <c r="P111" s="54">
        <v>7</v>
      </c>
      <c r="Q111" s="54">
        <v>4</v>
      </c>
      <c r="R111" s="54">
        <v>7</v>
      </c>
      <c r="S111" s="54">
        <v>13</v>
      </c>
      <c r="T111" s="54">
        <v>6</v>
      </c>
      <c r="U111" s="54">
        <v>19</v>
      </c>
      <c r="V111" s="54">
        <v>2</v>
      </c>
      <c r="W111" s="54">
        <v>4</v>
      </c>
      <c r="X111" s="54">
        <v>3</v>
      </c>
      <c r="Y111" s="54">
        <v>8</v>
      </c>
      <c r="Z111" s="54">
        <v>8</v>
      </c>
      <c r="AA111" s="54">
        <v>8</v>
      </c>
      <c r="AB111" s="54">
        <v>4</v>
      </c>
      <c r="AC111" s="54">
        <v>8</v>
      </c>
      <c r="AD111" s="54">
        <v>7</v>
      </c>
      <c r="AE111" s="54">
        <v>3</v>
      </c>
      <c r="AF111" s="54">
        <v>10</v>
      </c>
      <c r="AG111" s="5">
        <f t="shared" si="17"/>
        <v>216</v>
      </c>
    </row>
    <row r="112" spans="1:33" ht="15.75" customHeight="1" x14ac:dyDescent="0.25">
      <c r="A112" s="78" t="s">
        <v>61</v>
      </c>
      <c r="B112" s="54">
        <v>2</v>
      </c>
      <c r="C112" s="54">
        <v>3</v>
      </c>
      <c r="D112" s="54">
        <v>10</v>
      </c>
      <c r="E112" s="54">
        <v>8</v>
      </c>
      <c r="F112" s="54">
        <v>8</v>
      </c>
      <c r="G112" s="54">
        <v>6</v>
      </c>
      <c r="H112" s="54">
        <v>4</v>
      </c>
      <c r="I112" s="54">
        <v>5</v>
      </c>
      <c r="J112" s="54">
        <v>4</v>
      </c>
      <c r="K112" s="54">
        <v>11</v>
      </c>
      <c r="L112" s="54">
        <v>4</v>
      </c>
      <c r="M112" s="54">
        <v>3</v>
      </c>
      <c r="N112" s="54">
        <v>3</v>
      </c>
      <c r="O112" s="54">
        <v>1</v>
      </c>
      <c r="P112" s="54">
        <v>8</v>
      </c>
      <c r="Q112" s="54">
        <v>4</v>
      </c>
      <c r="R112" s="54">
        <v>8</v>
      </c>
      <c r="S112" s="54">
        <v>5</v>
      </c>
      <c r="T112" s="54">
        <v>5</v>
      </c>
      <c r="U112" s="54">
        <v>9</v>
      </c>
      <c r="V112" s="54">
        <v>6</v>
      </c>
      <c r="W112" s="54">
        <v>2</v>
      </c>
      <c r="X112" s="54">
        <v>4</v>
      </c>
      <c r="Y112" s="54">
        <v>6</v>
      </c>
      <c r="Z112" s="54">
        <v>9</v>
      </c>
      <c r="AA112" s="54">
        <v>6</v>
      </c>
      <c r="AB112" s="54">
        <v>7</v>
      </c>
      <c r="AC112" s="54">
        <v>8</v>
      </c>
      <c r="AD112" s="54">
        <v>2</v>
      </c>
      <c r="AE112" s="54">
        <v>4</v>
      </c>
      <c r="AF112" s="54">
        <v>8</v>
      </c>
      <c r="AG112" s="5">
        <f t="shared" si="17"/>
        <v>173</v>
      </c>
    </row>
    <row r="113" spans="1:37" ht="15.75" customHeight="1" x14ac:dyDescent="0.25">
      <c r="A113" s="78" t="s">
        <v>62</v>
      </c>
      <c r="B113" s="54">
        <v>3</v>
      </c>
      <c r="C113" s="54">
        <v>3</v>
      </c>
      <c r="D113" s="54">
        <v>7</v>
      </c>
      <c r="E113" s="54">
        <v>4</v>
      </c>
      <c r="F113" s="54">
        <v>5</v>
      </c>
      <c r="G113" s="54">
        <v>3</v>
      </c>
      <c r="H113" s="54">
        <v>7</v>
      </c>
      <c r="I113" s="54">
        <v>3</v>
      </c>
      <c r="J113" s="54">
        <v>2</v>
      </c>
      <c r="K113" s="54">
        <v>10</v>
      </c>
      <c r="L113" s="54">
        <v>8</v>
      </c>
      <c r="M113" s="54">
        <v>5</v>
      </c>
      <c r="N113" s="54">
        <v>4</v>
      </c>
      <c r="O113" s="54">
        <v>7</v>
      </c>
      <c r="P113" s="54">
        <v>7</v>
      </c>
      <c r="Q113" s="54">
        <v>3</v>
      </c>
      <c r="R113" s="54">
        <v>10</v>
      </c>
      <c r="S113" s="54">
        <v>7</v>
      </c>
      <c r="T113" s="54">
        <v>3</v>
      </c>
      <c r="U113" s="54">
        <v>11</v>
      </c>
      <c r="V113" s="54">
        <v>2</v>
      </c>
      <c r="W113" s="54">
        <v>2</v>
      </c>
      <c r="X113" s="54">
        <v>1</v>
      </c>
      <c r="Y113" s="54">
        <v>7</v>
      </c>
      <c r="Z113" s="54">
        <v>10</v>
      </c>
      <c r="AA113" s="54">
        <v>1</v>
      </c>
      <c r="AB113" s="54">
        <v>0</v>
      </c>
      <c r="AC113" s="54">
        <v>0</v>
      </c>
      <c r="AD113" s="54">
        <v>5</v>
      </c>
      <c r="AE113" s="54">
        <v>3</v>
      </c>
      <c r="AF113" s="54">
        <v>11</v>
      </c>
      <c r="AG113" s="5">
        <f t="shared" si="17"/>
        <v>154</v>
      </c>
    </row>
    <row r="114" spans="1:37" ht="15.75" customHeight="1" x14ac:dyDescent="0.25">
      <c r="A114" s="78" t="s">
        <v>63</v>
      </c>
      <c r="B114" s="54">
        <v>3</v>
      </c>
      <c r="C114" s="54">
        <v>2</v>
      </c>
      <c r="D114" s="54">
        <v>12</v>
      </c>
      <c r="E114" s="54">
        <v>7</v>
      </c>
      <c r="F114" s="54">
        <v>5</v>
      </c>
      <c r="G114" s="54">
        <v>5</v>
      </c>
      <c r="H114" s="54">
        <v>3</v>
      </c>
      <c r="I114" s="54">
        <v>5</v>
      </c>
      <c r="J114" s="54">
        <v>7</v>
      </c>
      <c r="K114" s="54">
        <v>14</v>
      </c>
      <c r="L114" s="54">
        <v>9</v>
      </c>
      <c r="M114" s="54">
        <v>6</v>
      </c>
      <c r="N114" s="54">
        <v>6</v>
      </c>
      <c r="O114" s="54">
        <v>3</v>
      </c>
      <c r="P114" s="54">
        <v>7</v>
      </c>
      <c r="Q114" s="54">
        <v>5</v>
      </c>
      <c r="R114" s="54">
        <v>9</v>
      </c>
      <c r="S114" s="54">
        <v>4</v>
      </c>
      <c r="T114" s="54">
        <v>5</v>
      </c>
      <c r="U114" s="54">
        <v>4</v>
      </c>
      <c r="V114" s="54">
        <v>4</v>
      </c>
      <c r="W114" s="54">
        <v>3</v>
      </c>
      <c r="X114" s="54">
        <v>8</v>
      </c>
      <c r="Y114" s="54">
        <v>9</v>
      </c>
      <c r="Z114" s="54">
        <v>9</v>
      </c>
      <c r="AA114" s="54">
        <v>9</v>
      </c>
      <c r="AB114" s="54">
        <v>6</v>
      </c>
      <c r="AC114" s="54">
        <v>3</v>
      </c>
      <c r="AD114" s="54">
        <v>5</v>
      </c>
      <c r="AE114" s="54">
        <v>3</v>
      </c>
      <c r="AF114" s="54">
        <v>13</v>
      </c>
      <c r="AG114" s="5">
        <f t="shared" si="17"/>
        <v>193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8</v>
      </c>
      <c r="C116" s="20">
        <f t="shared" si="19"/>
        <v>21</v>
      </c>
      <c r="D116" s="20">
        <f t="shared" si="19"/>
        <v>42</v>
      </c>
      <c r="E116" s="20">
        <f t="shared" si="19"/>
        <v>34</v>
      </c>
      <c r="F116" s="20">
        <f t="shared" si="19"/>
        <v>28</v>
      </c>
      <c r="G116" s="20">
        <f t="shared" si="19"/>
        <v>23</v>
      </c>
      <c r="H116" s="20">
        <f t="shared" si="19"/>
        <v>23</v>
      </c>
      <c r="I116" s="20">
        <f t="shared" si="19"/>
        <v>30</v>
      </c>
      <c r="J116" s="20">
        <f t="shared" si="19"/>
        <v>26</v>
      </c>
      <c r="K116" s="20">
        <f t="shared" si="19"/>
        <v>48</v>
      </c>
      <c r="L116" s="20">
        <f t="shared" si="19"/>
        <v>47</v>
      </c>
      <c r="M116" s="20">
        <f t="shared" si="19"/>
        <v>44</v>
      </c>
      <c r="N116" s="20">
        <f t="shared" si="19"/>
        <v>36</v>
      </c>
      <c r="O116" s="20">
        <f t="shared" si="19"/>
        <v>24</v>
      </c>
      <c r="P116" s="20">
        <f t="shared" si="19"/>
        <v>45</v>
      </c>
      <c r="Q116" s="20">
        <f t="shared" si="19"/>
        <v>20</v>
      </c>
      <c r="R116" s="20">
        <f t="shared" si="19"/>
        <v>51</v>
      </c>
      <c r="S116" s="20">
        <f t="shared" si="19"/>
        <v>40</v>
      </c>
      <c r="T116" s="20">
        <f t="shared" si="19"/>
        <v>21</v>
      </c>
      <c r="U116" s="20">
        <f t="shared" si="19"/>
        <v>62</v>
      </c>
      <c r="V116" s="20">
        <f t="shared" si="19"/>
        <v>29</v>
      </c>
      <c r="W116" s="20">
        <f t="shared" si="19"/>
        <v>22</v>
      </c>
      <c r="X116" s="20">
        <f t="shared" si="19"/>
        <v>23</v>
      </c>
      <c r="Y116" s="20">
        <f t="shared" si="19"/>
        <v>44</v>
      </c>
      <c r="Z116" s="20">
        <f t="shared" si="19"/>
        <v>48</v>
      </c>
      <c r="AA116" s="20">
        <f t="shared" si="19"/>
        <v>27</v>
      </c>
      <c r="AB116" s="20">
        <f t="shared" si="19"/>
        <v>26</v>
      </c>
      <c r="AC116" s="20">
        <f t="shared" si="19"/>
        <v>31</v>
      </c>
      <c r="AD116" s="20">
        <f t="shared" si="19"/>
        <v>29</v>
      </c>
      <c r="AE116" s="20">
        <f t="shared" si="19"/>
        <v>35</v>
      </c>
      <c r="AF116" s="20">
        <f t="shared" si="19"/>
        <v>55</v>
      </c>
      <c r="AG116" s="5">
        <f t="shared" si="17"/>
        <v>1042</v>
      </c>
      <c r="AK116" s="84">
        <v>612</v>
      </c>
    </row>
    <row r="117" spans="1:37" ht="15.75" customHeight="1" x14ac:dyDescent="0.25">
      <c r="A117" s="85" t="s">
        <v>65</v>
      </c>
      <c r="B117" s="54">
        <v>8</v>
      </c>
      <c r="C117" s="54">
        <v>20</v>
      </c>
      <c r="D117" s="54">
        <v>42</v>
      </c>
      <c r="E117" s="54">
        <v>33</v>
      </c>
      <c r="F117" s="54">
        <v>26</v>
      </c>
      <c r="G117" s="54">
        <v>23</v>
      </c>
      <c r="H117" s="54">
        <v>23</v>
      </c>
      <c r="I117" s="54">
        <v>30</v>
      </c>
      <c r="J117" s="54">
        <v>26</v>
      </c>
      <c r="K117" s="54">
        <v>48</v>
      </c>
      <c r="L117" s="54">
        <v>44</v>
      </c>
      <c r="M117" s="54">
        <v>44</v>
      </c>
      <c r="N117" s="54">
        <v>36</v>
      </c>
      <c r="O117" s="54">
        <v>23</v>
      </c>
      <c r="P117" s="54">
        <v>44</v>
      </c>
      <c r="Q117" s="54">
        <v>20</v>
      </c>
      <c r="R117" s="54">
        <v>49</v>
      </c>
      <c r="S117" s="54">
        <v>38</v>
      </c>
      <c r="T117" s="54">
        <v>21</v>
      </c>
      <c r="U117" s="54">
        <v>62</v>
      </c>
      <c r="V117" s="54">
        <v>29</v>
      </c>
      <c r="W117" s="54">
        <v>21</v>
      </c>
      <c r="X117" s="54">
        <v>22</v>
      </c>
      <c r="Y117" s="54">
        <v>44</v>
      </c>
      <c r="Z117" s="54">
        <v>46</v>
      </c>
      <c r="AA117" s="54">
        <v>26</v>
      </c>
      <c r="AB117" s="54">
        <v>25</v>
      </c>
      <c r="AC117" s="54">
        <v>30</v>
      </c>
      <c r="AD117" s="54">
        <v>29</v>
      </c>
      <c r="AE117" s="54">
        <v>34</v>
      </c>
      <c r="AF117" s="54">
        <v>53</v>
      </c>
      <c r="AG117" s="5">
        <f t="shared" si="17"/>
        <v>1019</v>
      </c>
      <c r="AK117" s="84">
        <v>613</v>
      </c>
    </row>
    <row r="118" spans="1:37" ht="15.75" customHeight="1" thickBot="1" x14ac:dyDescent="0.3">
      <c r="A118" s="86" t="s">
        <v>77</v>
      </c>
      <c r="B118" s="87">
        <v>0</v>
      </c>
      <c r="C118" s="87">
        <v>1</v>
      </c>
      <c r="D118" s="87">
        <v>0</v>
      </c>
      <c r="E118" s="87">
        <v>1</v>
      </c>
      <c r="F118" s="87">
        <v>2</v>
      </c>
      <c r="G118" s="87">
        <v>0</v>
      </c>
      <c r="H118" s="87">
        <v>0</v>
      </c>
      <c r="I118" s="87">
        <v>0</v>
      </c>
      <c r="J118" s="87">
        <v>0</v>
      </c>
      <c r="K118" s="87">
        <v>0</v>
      </c>
      <c r="L118" s="87">
        <v>3</v>
      </c>
      <c r="M118" s="87">
        <v>0</v>
      </c>
      <c r="N118" s="87">
        <v>0</v>
      </c>
      <c r="O118" s="87">
        <v>1</v>
      </c>
      <c r="P118" s="87">
        <v>1</v>
      </c>
      <c r="Q118" s="87">
        <v>0</v>
      </c>
      <c r="R118" s="87">
        <v>2</v>
      </c>
      <c r="S118" s="87">
        <v>2</v>
      </c>
      <c r="T118" s="87">
        <v>0</v>
      </c>
      <c r="U118" s="87">
        <v>0</v>
      </c>
      <c r="V118" s="87">
        <v>0</v>
      </c>
      <c r="W118" s="87">
        <v>1</v>
      </c>
      <c r="X118" s="87">
        <v>1</v>
      </c>
      <c r="Y118" s="87">
        <v>0</v>
      </c>
      <c r="Z118" s="87">
        <v>2</v>
      </c>
      <c r="AA118" s="87">
        <v>1</v>
      </c>
      <c r="AB118" s="87">
        <v>1</v>
      </c>
      <c r="AC118" s="87">
        <v>1</v>
      </c>
      <c r="AD118" s="87">
        <v>0</v>
      </c>
      <c r="AE118" s="87">
        <v>1</v>
      </c>
      <c r="AF118" s="87">
        <v>2</v>
      </c>
      <c r="AG118" s="5">
        <f t="shared" si="17"/>
        <v>23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78</v>
      </c>
      <c r="C119" s="20">
        <f t="shared" si="20"/>
        <v>97</v>
      </c>
      <c r="D119" s="20">
        <f t="shared" si="20"/>
        <v>166</v>
      </c>
      <c r="E119" s="20">
        <f t="shared" si="20"/>
        <v>173</v>
      </c>
      <c r="F119" s="20">
        <f t="shared" si="20"/>
        <v>128</v>
      </c>
      <c r="G119" s="20">
        <f t="shared" si="20"/>
        <v>120</v>
      </c>
      <c r="H119" s="20">
        <f t="shared" si="20"/>
        <v>98</v>
      </c>
      <c r="I119" s="20">
        <f t="shared" si="20"/>
        <v>105</v>
      </c>
      <c r="J119" s="20">
        <f t="shared" si="20"/>
        <v>125</v>
      </c>
      <c r="K119" s="20">
        <f t="shared" si="20"/>
        <v>195</v>
      </c>
      <c r="L119" s="20">
        <f t="shared" si="20"/>
        <v>157</v>
      </c>
      <c r="M119" s="20">
        <f t="shared" si="20"/>
        <v>137</v>
      </c>
      <c r="N119" s="20">
        <f t="shared" si="20"/>
        <v>117</v>
      </c>
      <c r="O119" s="20">
        <f t="shared" si="20"/>
        <v>122</v>
      </c>
      <c r="P119" s="20">
        <f t="shared" si="20"/>
        <v>178</v>
      </c>
      <c r="Q119" s="20">
        <f t="shared" si="20"/>
        <v>118</v>
      </c>
      <c r="R119" s="20">
        <f t="shared" si="20"/>
        <v>186</v>
      </c>
      <c r="S119" s="20">
        <f t="shared" si="20"/>
        <v>167</v>
      </c>
      <c r="T119" s="20">
        <f t="shared" si="20"/>
        <v>139</v>
      </c>
      <c r="U119" s="20">
        <f t="shared" si="20"/>
        <v>223</v>
      </c>
      <c r="V119" s="20">
        <f t="shared" si="20"/>
        <v>117</v>
      </c>
      <c r="W119" s="20">
        <f t="shared" si="20"/>
        <v>93</v>
      </c>
      <c r="X119" s="20">
        <f t="shared" si="20"/>
        <v>114</v>
      </c>
      <c r="Y119" s="20">
        <f t="shared" si="20"/>
        <v>194</v>
      </c>
      <c r="Z119" s="20">
        <f t="shared" si="20"/>
        <v>189</v>
      </c>
      <c r="AA119" s="20">
        <f t="shared" si="20"/>
        <v>141</v>
      </c>
      <c r="AB119" s="20">
        <f t="shared" si="20"/>
        <v>117</v>
      </c>
      <c r="AC119" s="20">
        <f t="shared" si="20"/>
        <v>119</v>
      </c>
      <c r="AD119" s="20">
        <f t="shared" si="20"/>
        <v>109</v>
      </c>
      <c r="AE119" s="20">
        <f t="shared" si="20"/>
        <v>139</v>
      </c>
      <c r="AF119" s="20">
        <f t="shared" si="20"/>
        <v>200</v>
      </c>
      <c r="AG119" s="7">
        <f t="shared" si="17"/>
        <v>4361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7</v>
      </c>
      <c r="C120" s="54">
        <v>20</v>
      </c>
      <c r="D120" s="54">
        <v>42</v>
      </c>
      <c r="E120" s="54">
        <v>33</v>
      </c>
      <c r="F120" s="54">
        <v>26</v>
      </c>
      <c r="G120" s="54">
        <v>23</v>
      </c>
      <c r="H120" s="54">
        <v>22</v>
      </c>
      <c r="I120" s="54">
        <v>30</v>
      </c>
      <c r="J120" s="54">
        <v>25</v>
      </c>
      <c r="K120" s="54">
        <v>46</v>
      </c>
      <c r="L120" s="54">
        <v>44</v>
      </c>
      <c r="M120" s="54">
        <v>42</v>
      </c>
      <c r="N120" s="54">
        <v>34</v>
      </c>
      <c r="O120" s="54">
        <v>22</v>
      </c>
      <c r="P120" s="54">
        <v>43</v>
      </c>
      <c r="Q120" s="54">
        <v>20</v>
      </c>
      <c r="R120" s="54">
        <v>48</v>
      </c>
      <c r="S120" s="54">
        <v>38</v>
      </c>
      <c r="T120" s="54">
        <v>19</v>
      </c>
      <c r="U120" s="54">
        <v>57</v>
      </c>
      <c r="V120" s="54">
        <v>24</v>
      </c>
      <c r="W120" s="54">
        <v>19</v>
      </c>
      <c r="X120" s="54">
        <v>20</v>
      </c>
      <c r="Y120" s="54">
        <v>44</v>
      </c>
      <c r="Z120" s="54">
        <v>45</v>
      </c>
      <c r="AA120" s="54">
        <v>25</v>
      </c>
      <c r="AB120" s="54">
        <v>23</v>
      </c>
      <c r="AC120" s="54">
        <v>24</v>
      </c>
      <c r="AD120" s="54">
        <v>24</v>
      </c>
      <c r="AE120" s="54">
        <v>32</v>
      </c>
      <c r="AF120" s="54">
        <v>50</v>
      </c>
      <c r="AG120" s="5">
        <f t="shared" si="17"/>
        <v>971</v>
      </c>
      <c r="AK120" s="88" t="s">
        <v>131</v>
      </c>
    </row>
    <row r="121" spans="1:37" ht="15.75" customHeight="1" x14ac:dyDescent="0.25">
      <c r="A121" s="85" t="s">
        <v>66</v>
      </c>
      <c r="B121" s="54">
        <v>2</v>
      </c>
      <c r="C121" s="54">
        <v>1</v>
      </c>
      <c r="D121" s="54">
        <v>0</v>
      </c>
      <c r="E121" s="54">
        <v>8</v>
      </c>
      <c r="F121" s="54">
        <v>3</v>
      </c>
      <c r="G121" s="54">
        <v>4</v>
      </c>
      <c r="H121" s="54">
        <v>0</v>
      </c>
      <c r="I121" s="54">
        <v>1</v>
      </c>
      <c r="J121" s="54">
        <v>2</v>
      </c>
      <c r="K121" s="54">
        <v>6</v>
      </c>
      <c r="L121" s="54">
        <v>4</v>
      </c>
      <c r="M121" s="54">
        <v>6</v>
      </c>
      <c r="N121" s="54">
        <v>3</v>
      </c>
      <c r="O121" s="54">
        <v>1</v>
      </c>
      <c r="P121" s="54">
        <v>4</v>
      </c>
      <c r="Q121" s="54">
        <v>2</v>
      </c>
      <c r="R121" s="54">
        <v>8</v>
      </c>
      <c r="S121" s="54">
        <v>5</v>
      </c>
      <c r="T121" s="54">
        <v>5</v>
      </c>
      <c r="U121" s="54">
        <v>6</v>
      </c>
      <c r="V121" s="54">
        <v>2</v>
      </c>
      <c r="W121" s="54">
        <v>3</v>
      </c>
      <c r="X121" s="54">
        <v>3</v>
      </c>
      <c r="Y121" s="54">
        <v>4</v>
      </c>
      <c r="Z121" s="54">
        <v>4</v>
      </c>
      <c r="AA121" s="54">
        <v>4</v>
      </c>
      <c r="AB121" s="54">
        <v>3</v>
      </c>
      <c r="AC121" s="54">
        <v>3</v>
      </c>
      <c r="AD121" s="54">
        <v>2</v>
      </c>
      <c r="AE121" s="54">
        <v>6</v>
      </c>
      <c r="AF121" s="54">
        <v>4</v>
      </c>
      <c r="AG121" s="5">
        <f t="shared" si="17"/>
        <v>109</v>
      </c>
      <c r="AK121" s="84" t="s">
        <v>132</v>
      </c>
    </row>
    <row r="122" spans="1:37" ht="15.75" customHeight="1" x14ac:dyDescent="0.25">
      <c r="A122" s="85" t="s">
        <v>67</v>
      </c>
      <c r="B122" s="54">
        <v>8</v>
      </c>
      <c r="C122" s="54">
        <v>5</v>
      </c>
      <c r="D122" s="54">
        <v>12</v>
      </c>
      <c r="E122" s="54">
        <v>12</v>
      </c>
      <c r="F122" s="54">
        <v>6</v>
      </c>
      <c r="G122" s="54">
        <v>4</v>
      </c>
      <c r="H122" s="54">
        <v>4</v>
      </c>
      <c r="I122" s="54">
        <v>2</v>
      </c>
      <c r="J122" s="54">
        <v>6</v>
      </c>
      <c r="K122" s="54">
        <v>13</v>
      </c>
      <c r="L122" s="54">
        <v>8</v>
      </c>
      <c r="M122" s="54">
        <v>6</v>
      </c>
      <c r="N122" s="54">
        <v>4</v>
      </c>
      <c r="O122" s="54">
        <v>7</v>
      </c>
      <c r="P122" s="54">
        <v>9</v>
      </c>
      <c r="Q122" s="54">
        <v>5</v>
      </c>
      <c r="R122" s="54">
        <v>12</v>
      </c>
      <c r="S122" s="54">
        <v>10</v>
      </c>
      <c r="T122" s="54">
        <v>9</v>
      </c>
      <c r="U122" s="54">
        <v>9</v>
      </c>
      <c r="V122" s="54">
        <v>4</v>
      </c>
      <c r="W122" s="54">
        <v>5</v>
      </c>
      <c r="X122" s="54">
        <v>6</v>
      </c>
      <c r="Y122" s="54">
        <v>9</v>
      </c>
      <c r="Z122" s="54">
        <v>16</v>
      </c>
      <c r="AA122" s="54">
        <v>10</v>
      </c>
      <c r="AB122" s="54">
        <v>5</v>
      </c>
      <c r="AC122" s="54">
        <v>5</v>
      </c>
      <c r="AD122" s="54">
        <v>5</v>
      </c>
      <c r="AE122" s="54">
        <v>10</v>
      </c>
      <c r="AF122" s="54">
        <v>10</v>
      </c>
      <c r="AG122" s="5">
        <f t="shared" si="17"/>
        <v>236</v>
      </c>
      <c r="AK122" s="88" t="s">
        <v>133</v>
      </c>
    </row>
    <row r="123" spans="1:37" ht="15.75" customHeight="1" x14ac:dyDescent="0.25">
      <c r="A123" s="85" t="s">
        <v>68</v>
      </c>
      <c r="B123" s="54">
        <v>8</v>
      </c>
      <c r="C123" s="54">
        <v>1</v>
      </c>
      <c r="D123" s="54">
        <v>4</v>
      </c>
      <c r="E123" s="54">
        <v>16</v>
      </c>
      <c r="F123" s="54">
        <v>8</v>
      </c>
      <c r="G123" s="54">
        <v>6</v>
      </c>
      <c r="H123" s="54">
        <v>3</v>
      </c>
      <c r="I123" s="54">
        <v>4</v>
      </c>
      <c r="J123" s="54">
        <v>6</v>
      </c>
      <c r="K123" s="54">
        <v>9</v>
      </c>
      <c r="L123" s="54">
        <v>6</v>
      </c>
      <c r="M123" s="54">
        <v>9</v>
      </c>
      <c r="N123" s="54">
        <v>9</v>
      </c>
      <c r="O123" s="54">
        <v>6</v>
      </c>
      <c r="P123" s="54">
        <v>8</v>
      </c>
      <c r="Q123" s="54">
        <v>5</v>
      </c>
      <c r="R123" s="54">
        <v>8</v>
      </c>
      <c r="S123" s="54">
        <v>3</v>
      </c>
      <c r="T123" s="54">
        <v>7</v>
      </c>
      <c r="U123" s="54">
        <v>5</v>
      </c>
      <c r="V123" s="54">
        <v>11</v>
      </c>
      <c r="W123" s="54">
        <v>7</v>
      </c>
      <c r="X123" s="54">
        <v>5</v>
      </c>
      <c r="Y123" s="54">
        <v>11</v>
      </c>
      <c r="Z123" s="54">
        <v>10</v>
      </c>
      <c r="AA123" s="54">
        <v>8</v>
      </c>
      <c r="AB123" s="54">
        <v>7</v>
      </c>
      <c r="AC123" s="54">
        <v>10</v>
      </c>
      <c r="AD123" s="54">
        <v>7</v>
      </c>
      <c r="AE123" s="54">
        <v>7</v>
      </c>
      <c r="AF123" s="54">
        <v>3</v>
      </c>
      <c r="AG123" s="5">
        <f t="shared" si="17"/>
        <v>217</v>
      </c>
      <c r="AK123" s="84" t="s">
        <v>134</v>
      </c>
    </row>
    <row r="124" spans="1:37" ht="15.75" customHeight="1" x14ac:dyDescent="0.25">
      <c r="A124" s="85" t="s">
        <v>69</v>
      </c>
      <c r="B124" s="54">
        <v>8</v>
      </c>
      <c r="C124" s="54">
        <v>4</v>
      </c>
      <c r="D124" s="54">
        <v>11</v>
      </c>
      <c r="E124" s="54">
        <v>9</v>
      </c>
      <c r="F124" s="54">
        <v>8</v>
      </c>
      <c r="G124" s="54">
        <v>11</v>
      </c>
      <c r="H124" s="54">
        <v>10</v>
      </c>
      <c r="I124" s="54">
        <v>5</v>
      </c>
      <c r="J124" s="54">
        <v>7</v>
      </c>
      <c r="K124" s="54">
        <v>11</v>
      </c>
      <c r="L124" s="54">
        <v>8</v>
      </c>
      <c r="M124" s="54">
        <v>9</v>
      </c>
      <c r="N124" s="54">
        <v>7</v>
      </c>
      <c r="O124" s="54">
        <v>8</v>
      </c>
      <c r="P124" s="54">
        <v>15</v>
      </c>
      <c r="Q124" s="54">
        <v>7</v>
      </c>
      <c r="R124" s="54">
        <v>7</v>
      </c>
      <c r="S124" s="54">
        <v>11</v>
      </c>
      <c r="T124" s="54">
        <v>10</v>
      </c>
      <c r="U124" s="54">
        <v>19</v>
      </c>
      <c r="V124" s="54">
        <v>11</v>
      </c>
      <c r="W124" s="54">
        <v>7</v>
      </c>
      <c r="X124" s="54">
        <v>12</v>
      </c>
      <c r="Y124" s="54">
        <v>17</v>
      </c>
      <c r="Z124" s="54">
        <v>19</v>
      </c>
      <c r="AA124" s="54">
        <v>17</v>
      </c>
      <c r="AB124" s="54">
        <v>12</v>
      </c>
      <c r="AC124" s="54">
        <v>9</v>
      </c>
      <c r="AD124" s="54">
        <v>5</v>
      </c>
      <c r="AE124" s="54">
        <v>6</v>
      </c>
      <c r="AF124" s="54">
        <v>14</v>
      </c>
      <c r="AG124" s="5">
        <f t="shared" si="17"/>
        <v>314</v>
      </c>
      <c r="AK124" s="88" t="s">
        <v>135</v>
      </c>
    </row>
    <row r="125" spans="1:37" ht="15.75" customHeight="1" x14ac:dyDescent="0.25">
      <c r="A125" s="85" t="s">
        <v>70</v>
      </c>
      <c r="B125" s="54">
        <v>31</v>
      </c>
      <c r="C125" s="54">
        <v>52</v>
      </c>
      <c r="D125" s="54">
        <v>81</v>
      </c>
      <c r="E125" s="54">
        <v>69</v>
      </c>
      <c r="F125" s="54">
        <v>58</v>
      </c>
      <c r="G125" s="54">
        <v>52</v>
      </c>
      <c r="H125" s="54">
        <v>40</v>
      </c>
      <c r="I125" s="54">
        <v>39</v>
      </c>
      <c r="J125" s="54">
        <v>63</v>
      </c>
      <c r="K125" s="54">
        <v>85</v>
      </c>
      <c r="L125" s="54">
        <v>63</v>
      </c>
      <c r="M125" s="54">
        <v>48</v>
      </c>
      <c r="N125" s="54">
        <v>50</v>
      </c>
      <c r="O125" s="54">
        <v>58</v>
      </c>
      <c r="P125" s="54">
        <v>69</v>
      </c>
      <c r="Q125" s="54">
        <v>65</v>
      </c>
      <c r="R125" s="54">
        <v>83</v>
      </c>
      <c r="S125" s="54">
        <v>80</v>
      </c>
      <c r="T125" s="54">
        <v>64</v>
      </c>
      <c r="U125" s="54">
        <v>89</v>
      </c>
      <c r="V125" s="54">
        <v>47</v>
      </c>
      <c r="W125" s="54">
        <v>40</v>
      </c>
      <c r="X125" s="54">
        <v>55</v>
      </c>
      <c r="Y125" s="54">
        <v>76</v>
      </c>
      <c r="Z125" s="54">
        <v>60</v>
      </c>
      <c r="AA125" s="54">
        <v>64</v>
      </c>
      <c r="AB125" s="54">
        <v>48</v>
      </c>
      <c r="AC125" s="54">
        <v>50</v>
      </c>
      <c r="AD125" s="54">
        <v>52</v>
      </c>
      <c r="AE125" s="54">
        <v>64</v>
      </c>
      <c r="AF125" s="54">
        <v>93</v>
      </c>
      <c r="AG125" s="5">
        <f t="shared" si="17"/>
        <v>1888</v>
      </c>
      <c r="AK125" s="88" t="s">
        <v>136</v>
      </c>
    </row>
    <row r="126" spans="1:37" ht="15.75" customHeight="1" x14ac:dyDescent="0.25">
      <c r="A126" s="85" t="s">
        <v>71</v>
      </c>
      <c r="B126" s="54">
        <v>2</v>
      </c>
      <c r="C126" s="54">
        <v>1</v>
      </c>
      <c r="D126" s="54">
        <v>5</v>
      </c>
      <c r="E126" s="54">
        <v>4</v>
      </c>
      <c r="F126" s="54">
        <v>1</v>
      </c>
      <c r="G126" s="54">
        <v>5</v>
      </c>
      <c r="H126" s="54">
        <v>2</v>
      </c>
      <c r="I126" s="54">
        <v>1</v>
      </c>
      <c r="J126" s="54">
        <v>4</v>
      </c>
      <c r="K126" s="54">
        <v>3</v>
      </c>
      <c r="L126" s="54">
        <v>0</v>
      </c>
      <c r="M126" s="54">
        <v>3</v>
      </c>
      <c r="N126" s="54">
        <v>0</v>
      </c>
      <c r="O126" s="54">
        <v>1</v>
      </c>
      <c r="P126" s="54">
        <v>2</v>
      </c>
      <c r="Q126" s="54">
        <v>3</v>
      </c>
      <c r="R126" s="54">
        <v>4</v>
      </c>
      <c r="S126" s="54">
        <v>0</v>
      </c>
      <c r="T126" s="54">
        <v>4</v>
      </c>
      <c r="U126" s="54">
        <v>4</v>
      </c>
      <c r="V126" s="54">
        <v>3</v>
      </c>
      <c r="W126" s="54">
        <v>3</v>
      </c>
      <c r="X126" s="54">
        <v>1</v>
      </c>
      <c r="Y126" s="54">
        <v>3</v>
      </c>
      <c r="Z126" s="54">
        <v>9</v>
      </c>
      <c r="AA126" s="54">
        <v>3</v>
      </c>
      <c r="AB126" s="54">
        <v>0</v>
      </c>
      <c r="AC126" s="54">
        <v>3</v>
      </c>
      <c r="AD126" s="54">
        <v>0</v>
      </c>
      <c r="AE126" s="54">
        <v>3</v>
      </c>
      <c r="AF126" s="54">
        <v>2</v>
      </c>
      <c r="AG126" s="5">
        <f t="shared" si="17"/>
        <v>79</v>
      </c>
      <c r="AK126" s="84" t="s">
        <v>137</v>
      </c>
    </row>
    <row r="127" spans="1:37" ht="15.75" customHeight="1" x14ac:dyDescent="0.25">
      <c r="A127" s="85" t="s">
        <v>72</v>
      </c>
      <c r="B127" s="54">
        <v>0</v>
      </c>
      <c r="C127" s="54">
        <v>0</v>
      </c>
      <c r="D127" s="54">
        <v>1</v>
      </c>
      <c r="E127" s="54">
        <v>3</v>
      </c>
      <c r="F127" s="54">
        <v>0</v>
      </c>
      <c r="G127" s="54">
        <v>1</v>
      </c>
      <c r="H127" s="54">
        <v>0</v>
      </c>
      <c r="I127" s="54">
        <v>1</v>
      </c>
      <c r="J127" s="54">
        <v>1</v>
      </c>
      <c r="K127" s="54">
        <v>1</v>
      </c>
      <c r="L127" s="54">
        <v>0</v>
      </c>
      <c r="M127" s="54">
        <v>2</v>
      </c>
      <c r="N127" s="54">
        <v>0</v>
      </c>
      <c r="O127" s="54">
        <v>2</v>
      </c>
      <c r="P127" s="54">
        <v>2</v>
      </c>
      <c r="Q127" s="54">
        <v>1</v>
      </c>
      <c r="R127" s="54">
        <v>3</v>
      </c>
      <c r="S127" s="54">
        <v>2</v>
      </c>
      <c r="T127" s="54">
        <v>2</v>
      </c>
      <c r="U127" s="54">
        <v>5</v>
      </c>
      <c r="V127" s="54">
        <v>0</v>
      </c>
      <c r="W127" s="54">
        <v>0</v>
      </c>
      <c r="X127" s="54">
        <v>0</v>
      </c>
      <c r="Y127" s="54">
        <v>2</v>
      </c>
      <c r="Z127" s="54">
        <v>0</v>
      </c>
      <c r="AA127" s="54">
        <v>0</v>
      </c>
      <c r="AB127" s="54">
        <v>0</v>
      </c>
      <c r="AC127" s="54">
        <v>2</v>
      </c>
      <c r="AD127" s="54">
        <v>0</v>
      </c>
      <c r="AE127" s="54">
        <v>1</v>
      </c>
      <c r="AF127" s="54">
        <v>2</v>
      </c>
      <c r="AG127" s="5">
        <f t="shared" si="17"/>
        <v>34</v>
      </c>
      <c r="AK127" s="88" t="s">
        <v>138</v>
      </c>
    </row>
    <row r="128" spans="1:37" ht="15.75" customHeight="1" x14ac:dyDescent="0.25">
      <c r="A128" s="56" t="s">
        <v>73</v>
      </c>
      <c r="B128" s="54">
        <v>1</v>
      </c>
      <c r="C128" s="54">
        <v>3</v>
      </c>
      <c r="D128" s="54">
        <v>0</v>
      </c>
      <c r="E128" s="54">
        <v>4</v>
      </c>
      <c r="F128" s="54">
        <v>1</v>
      </c>
      <c r="G128" s="54">
        <v>3</v>
      </c>
      <c r="H128" s="54">
        <v>1</v>
      </c>
      <c r="I128" s="54">
        <v>6</v>
      </c>
      <c r="J128" s="54">
        <v>1</v>
      </c>
      <c r="K128" s="54">
        <v>2</v>
      </c>
      <c r="L128" s="54">
        <v>5</v>
      </c>
      <c r="M128" s="54">
        <v>4</v>
      </c>
      <c r="N128" s="54">
        <v>0</v>
      </c>
      <c r="O128" s="54">
        <v>3</v>
      </c>
      <c r="P128" s="54">
        <v>1</v>
      </c>
      <c r="Q128" s="54">
        <v>0</v>
      </c>
      <c r="R128" s="54">
        <v>2</v>
      </c>
      <c r="S128" s="54">
        <v>1</v>
      </c>
      <c r="T128" s="54">
        <v>1</v>
      </c>
      <c r="U128" s="54">
        <v>3</v>
      </c>
      <c r="V128" s="54">
        <v>1</v>
      </c>
      <c r="W128" s="54">
        <v>1</v>
      </c>
      <c r="X128" s="54">
        <v>2</v>
      </c>
      <c r="Y128" s="54">
        <v>0</v>
      </c>
      <c r="Z128" s="54">
        <v>5</v>
      </c>
      <c r="AA128" s="54">
        <v>0</v>
      </c>
      <c r="AB128" s="54">
        <v>4</v>
      </c>
      <c r="AC128" s="54">
        <v>1</v>
      </c>
      <c r="AD128" s="54">
        <v>2</v>
      </c>
      <c r="AE128" s="54">
        <v>4</v>
      </c>
      <c r="AF128" s="54">
        <v>1</v>
      </c>
      <c r="AG128" s="5">
        <f t="shared" si="17"/>
        <v>63</v>
      </c>
      <c r="AK128" s="88" t="s">
        <v>139</v>
      </c>
    </row>
    <row r="129" spans="1:37" ht="15.75" customHeight="1" x14ac:dyDescent="0.25">
      <c r="A129" s="56" t="s">
        <v>74</v>
      </c>
      <c r="B129" s="54">
        <v>0</v>
      </c>
      <c r="C129" s="54">
        <v>0</v>
      </c>
      <c r="D129" s="54">
        <v>0</v>
      </c>
      <c r="E129" s="54">
        <v>2</v>
      </c>
      <c r="F129" s="54">
        <v>2</v>
      </c>
      <c r="G129" s="54">
        <v>1</v>
      </c>
      <c r="H129" s="54">
        <v>1</v>
      </c>
      <c r="I129" s="54">
        <v>1</v>
      </c>
      <c r="J129" s="54">
        <v>0</v>
      </c>
      <c r="K129" s="54">
        <v>3</v>
      </c>
      <c r="L129" s="54">
        <v>0</v>
      </c>
      <c r="M129" s="54">
        <v>0</v>
      </c>
      <c r="N129" s="54">
        <v>1</v>
      </c>
      <c r="O129" s="54">
        <v>2</v>
      </c>
      <c r="P129" s="54">
        <v>2</v>
      </c>
      <c r="Q129" s="54">
        <v>0</v>
      </c>
      <c r="R129" s="54">
        <v>0</v>
      </c>
      <c r="S129" s="54">
        <v>2</v>
      </c>
      <c r="T129" s="54">
        <v>5</v>
      </c>
      <c r="U129" s="54">
        <v>1</v>
      </c>
      <c r="V129" s="54">
        <v>1</v>
      </c>
      <c r="W129" s="54">
        <v>1</v>
      </c>
      <c r="X129" s="54">
        <v>0</v>
      </c>
      <c r="Y129" s="54">
        <v>1</v>
      </c>
      <c r="Z129" s="54">
        <v>1</v>
      </c>
      <c r="AA129" s="54">
        <v>0</v>
      </c>
      <c r="AB129" s="54">
        <v>2</v>
      </c>
      <c r="AC129" s="54">
        <v>3</v>
      </c>
      <c r="AD129" s="54">
        <v>1</v>
      </c>
      <c r="AE129" s="54">
        <v>2</v>
      </c>
      <c r="AF129" s="54">
        <v>0</v>
      </c>
      <c r="AG129" s="5">
        <f t="shared" si="17"/>
        <v>35</v>
      </c>
      <c r="AK129" s="84" t="s">
        <v>140</v>
      </c>
    </row>
    <row r="130" spans="1:37" ht="15.75" customHeight="1" x14ac:dyDescent="0.25">
      <c r="A130" s="56" t="s">
        <v>75</v>
      </c>
      <c r="B130" s="54">
        <v>0</v>
      </c>
      <c r="C130" s="54">
        <v>0</v>
      </c>
      <c r="D130" s="54">
        <v>1</v>
      </c>
      <c r="E130" s="54">
        <v>1</v>
      </c>
      <c r="F130" s="54">
        <v>0</v>
      </c>
      <c r="G130" s="54">
        <v>0</v>
      </c>
      <c r="H130" s="54">
        <v>0</v>
      </c>
      <c r="I130" s="54">
        <v>0</v>
      </c>
      <c r="J130" s="54">
        <v>0</v>
      </c>
      <c r="K130" s="54">
        <v>0</v>
      </c>
      <c r="L130" s="54">
        <v>3</v>
      </c>
      <c r="M130" s="54">
        <v>0</v>
      </c>
      <c r="N130" s="54">
        <v>0</v>
      </c>
      <c r="O130" s="54">
        <v>0</v>
      </c>
      <c r="P130" s="54">
        <v>0</v>
      </c>
      <c r="Q130" s="54">
        <v>0</v>
      </c>
      <c r="R130" s="54">
        <v>0</v>
      </c>
      <c r="S130" s="54">
        <v>0</v>
      </c>
      <c r="T130" s="54">
        <v>0</v>
      </c>
      <c r="U130" s="54">
        <v>2</v>
      </c>
      <c r="V130" s="54">
        <v>0</v>
      </c>
      <c r="W130" s="54">
        <v>0</v>
      </c>
      <c r="X130" s="54">
        <v>0</v>
      </c>
      <c r="Y130" s="54">
        <v>0</v>
      </c>
      <c r="Z130" s="54">
        <v>0</v>
      </c>
      <c r="AA130" s="54">
        <v>0</v>
      </c>
      <c r="AB130" s="54">
        <v>0</v>
      </c>
      <c r="AC130" s="54">
        <v>0</v>
      </c>
      <c r="AD130" s="54">
        <v>0</v>
      </c>
      <c r="AE130" s="54">
        <v>1</v>
      </c>
      <c r="AF130" s="54">
        <v>2</v>
      </c>
      <c r="AG130" s="5">
        <f t="shared" si="17"/>
        <v>10</v>
      </c>
      <c r="AK130" s="84" t="s">
        <v>141</v>
      </c>
    </row>
    <row r="131" spans="1:37" ht="15.75" customHeight="1" x14ac:dyDescent="0.25">
      <c r="A131" s="85" t="s">
        <v>76</v>
      </c>
      <c r="B131" s="54">
        <v>6</v>
      </c>
      <c r="C131" s="54">
        <v>3</v>
      </c>
      <c r="D131" s="54">
        <v>3</v>
      </c>
      <c r="E131" s="54">
        <v>6</v>
      </c>
      <c r="F131" s="54">
        <v>8</v>
      </c>
      <c r="G131" s="54">
        <v>5</v>
      </c>
      <c r="H131" s="54">
        <v>6</v>
      </c>
      <c r="I131" s="54">
        <v>10</v>
      </c>
      <c r="J131" s="54">
        <v>2</v>
      </c>
      <c r="K131" s="54">
        <v>10</v>
      </c>
      <c r="L131" s="54">
        <v>8</v>
      </c>
      <c r="M131" s="54">
        <v>4</v>
      </c>
      <c r="N131" s="54">
        <v>5</v>
      </c>
      <c r="O131" s="54">
        <v>8</v>
      </c>
      <c r="P131" s="54">
        <v>6</v>
      </c>
      <c r="Q131" s="54">
        <v>2</v>
      </c>
      <c r="R131" s="54">
        <v>7</v>
      </c>
      <c r="S131" s="54">
        <v>7</v>
      </c>
      <c r="T131" s="54">
        <v>6</v>
      </c>
      <c r="U131" s="54">
        <v>12</v>
      </c>
      <c r="V131" s="54">
        <v>9</v>
      </c>
      <c r="W131" s="54">
        <v>4</v>
      </c>
      <c r="X131" s="54">
        <v>5</v>
      </c>
      <c r="Y131" s="54">
        <v>12</v>
      </c>
      <c r="Z131" s="54">
        <v>7</v>
      </c>
      <c r="AA131" s="54">
        <v>4</v>
      </c>
      <c r="AB131" s="54">
        <v>5</v>
      </c>
      <c r="AC131" s="54">
        <v>6</v>
      </c>
      <c r="AD131" s="54">
        <v>8</v>
      </c>
      <c r="AE131" s="54">
        <v>3</v>
      </c>
      <c r="AF131" s="54">
        <v>7</v>
      </c>
      <c r="AG131" s="5">
        <f t="shared" si="17"/>
        <v>194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5</v>
      </c>
      <c r="C132" s="87">
        <v>7</v>
      </c>
      <c r="D132" s="87">
        <v>6</v>
      </c>
      <c r="E132" s="87">
        <v>6</v>
      </c>
      <c r="F132" s="87">
        <v>7</v>
      </c>
      <c r="G132" s="87">
        <v>5</v>
      </c>
      <c r="H132" s="87">
        <v>9</v>
      </c>
      <c r="I132" s="87">
        <v>5</v>
      </c>
      <c r="J132" s="87">
        <v>8</v>
      </c>
      <c r="K132" s="87">
        <v>6</v>
      </c>
      <c r="L132" s="87">
        <v>8</v>
      </c>
      <c r="M132" s="87">
        <v>4</v>
      </c>
      <c r="N132" s="87">
        <v>4</v>
      </c>
      <c r="O132" s="87">
        <v>4</v>
      </c>
      <c r="P132" s="87">
        <v>17</v>
      </c>
      <c r="Q132" s="87">
        <v>8</v>
      </c>
      <c r="R132" s="87">
        <v>4</v>
      </c>
      <c r="S132" s="87">
        <v>8</v>
      </c>
      <c r="T132" s="87">
        <v>7</v>
      </c>
      <c r="U132" s="87">
        <v>11</v>
      </c>
      <c r="V132" s="87">
        <v>4</v>
      </c>
      <c r="W132" s="87">
        <v>3</v>
      </c>
      <c r="X132" s="87">
        <v>5</v>
      </c>
      <c r="Y132" s="87">
        <v>15</v>
      </c>
      <c r="Z132" s="87">
        <v>13</v>
      </c>
      <c r="AA132" s="87">
        <v>6</v>
      </c>
      <c r="AB132" s="87">
        <v>8</v>
      </c>
      <c r="AC132" s="87">
        <v>3</v>
      </c>
      <c r="AD132" s="87">
        <v>3</v>
      </c>
      <c r="AE132" s="87">
        <v>0</v>
      </c>
      <c r="AF132" s="87">
        <v>12</v>
      </c>
      <c r="AG132" s="9">
        <f t="shared" si="17"/>
        <v>211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78</v>
      </c>
      <c r="C133" s="14">
        <f t="shared" si="21"/>
        <v>97</v>
      </c>
      <c r="D133" s="14">
        <f t="shared" si="21"/>
        <v>166</v>
      </c>
      <c r="E133" s="14">
        <f t="shared" si="21"/>
        <v>173</v>
      </c>
      <c r="F133" s="14">
        <f t="shared" si="21"/>
        <v>128</v>
      </c>
      <c r="G133" s="14">
        <f t="shared" si="21"/>
        <v>120</v>
      </c>
      <c r="H133" s="14">
        <f t="shared" si="21"/>
        <v>98</v>
      </c>
      <c r="I133" s="14">
        <f t="shared" si="21"/>
        <v>105</v>
      </c>
      <c r="J133" s="14">
        <f t="shared" si="21"/>
        <v>125</v>
      </c>
      <c r="K133" s="14">
        <f t="shared" si="21"/>
        <v>195</v>
      </c>
      <c r="L133" s="14">
        <f t="shared" si="21"/>
        <v>157</v>
      </c>
      <c r="M133" s="14">
        <f t="shared" si="21"/>
        <v>137</v>
      </c>
      <c r="N133" s="14">
        <f t="shared" si="21"/>
        <v>117</v>
      </c>
      <c r="O133" s="14">
        <f t="shared" si="21"/>
        <v>122</v>
      </c>
      <c r="P133" s="14">
        <f t="shared" si="21"/>
        <v>178</v>
      </c>
      <c r="Q133" s="14">
        <f t="shared" si="21"/>
        <v>118</v>
      </c>
      <c r="R133" s="14">
        <f t="shared" si="21"/>
        <v>186</v>
      </c>
      <c r="S133" s="14">
        <f t="shared" si="21"/>
        <v>167</v>
      </c>
      <c r="T133" s="14">
        <f t="shared" si="21"/>
        <v>139</v>
      </c>
      <c r="U133" s="14">
        <f t="shared" si="21"/>
        <v>223</v>
      </c>
      <c r="V133" s="14">
        <f t="shared" si="21"/>
        <v>117</v>
      </c>
      <c r="W133" s="14">
        <f t="shared" si="21"/>
        <v>93</v>
      </c>
      <c r="X133" s="14">
        <f t="shared" si="21"/>
        <v>114</v>
      </c>
      <c r="Y133" s="14">
        <f t="shared" si="21"/>
        <v>194</v>
      </c>
      <c r="Z133" s="14">
        <f t="shared" si="21"/>
        <v>189</v>
      </c>
      <c r="AA133" s="14">
        <f t="shared" si="21"/>
        <v>141</v>
      </c>
      <c r="AB133" s="14">
        <f t="shared" si="21"/>
        <v>117</v>
      </c>
      <c r="AC133" s="14">
        <f t="shared" si="21"/>
        <v>119</v>
      </c>
      <c r="AD133" s="14">
        <f t="shared" si="21"/>
        <v>109</v>
      </c>
      <c r="AE133" s="14">
        <f t="shared" si="21"/>
        <v>139</v>
      </c>
      <c r="AF133" s="14">
        <f t="shared" si="21"/>
        <v>200</v>
      </c>
      <c r="AG133" s="10">
        <f t="shared" si="17"/>
        <v>4361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2</v>
      </c>
      <c r="C134" s="22">
        <f t="shared" si="22"/>
        <v>2</v>
      </c>
      <c r="D134" s="22">
        <f t="shared" si="22"/>
        <v>5</v>
      </c>
      <c r="E134" s="22">
        <f t="shared" si="22"/>
        <v>9</v>
      </c>
      <c r="F134" s="22">
        <f t="shared" si="22"/>
        <v>12</v>
      </c>
      <c r="G134" s="22">
        <f t="shared" si="22"/>
        <v>7</v>
      </c>
      <c r="H134" s="22">
        <f t="shared" si="22"/>
        <v>5</v>
      </c>
      <c r="I134" s="22">
        <f t="shared" si="22"/>
        <v>9</v>
      </c>
      <c r="J134" s="22">
        <f t="shared" si="22"/>
        <v>5</v>
      </c>
      <c r="K134" s="22">
        <f t="shared" si="22"/>
        <v>3</v>
      </c>
      <c r="L134" s="22">
        <f t="shared" si="22"/>
        <v>1</v>
      </c>
      <c r="M134" s="22">
        <f t="shared" si="22"/>
        <v>6</v>
      </c>
      <c r="N134" s="22">
        <f t="shared" si="22"/>
        <v>19</v>
      </c>
      <c r="O134" s="22">
        <f t="shared" si="22"/>
        <v>6</v>
      </c>
      <c r="P134" s="22">
        <f t="shared" si="22"/>
        <v>7</v>
      </c>
      <c r="Q134" s="22">
        <f t="shared" si="22"/>
        <v>3</v>
      </c>
      <c r="R134" s="22">
        <f t="shared" si="22"/>
        <v>3</v>
      </c>
      <c r="S134" s="22">
        <f t="shared" si="22"/>
        <v>6</v>
      </c>
      <c r="T134" s="22">
        <f t="shared" si="22"/>
        <v>10</v>
      </c>
      <c r="U134" s="22">
        <f t="shared" si="22"/>
        <v>12</v>
      </c>
      <c r="V134" s="22">
        <f t="shared" si="22"/>
        <v>20</v>
      </c>
      <c r="W134" s="22">
        <f t="shared" si="22"/>
        <v>9</v>
      </c>
      <c r="X134" s="22">
        <f t="shared" si="22"/>
        <v>3</v>
      </c>
      <c r="Y134" s="22">
        <f t="shared" si="22"/>
        <v>6</v>
      </c>
      <c r="Z134" s="22">
        <f t="shared" si="22"/>
        <v>4</v>
      </c>
      <c r="AA134" s="22">
        <f t="shared" si="22"/>
        <v>21</v>
      </c>
      <c r="AB134" s="22">
        <f t="shared" si="22"/>
        <v>9</v>
      </c>
      <c r="AC134" s="22">
        <f t="shared" si="22"/>
        <v>13</v>
      </c>
      <c r="AD134" s="22">
        <f t="shared" si="22"/>
        <v>11</v>
      </c>
      <c r="AE134" s="22">
        <f t="shared" si="22"/>
        <v>11</v>
      </c>
      <c r="AF134" s="22">
        <f t="shared" si="22"/>
        <v>16</v>
      </c>
      <c r="AG134" s="23">
        <f t="shared" si="17"/>
        <v>255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0</v>
      </c>
      <c r="C135" s="1">
        <f t="shared" si="23"/>
        <v>2</v>
      </c>
      <c r="D135" s="1">
        <f t="shared" si="23"/>
        <v>1</v>
      </c>
      <c r="E135" s="1">
        <f t="shared" si="23"/>
        <v>2</v>
      </c>
      <c r="F135" s="1">
        <f t="shared" si="23"/>
        <v>0</v>
      </c>
      <c r="G135" s="1">
        <f t="shared" si="23"/>
        <v>1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3</v>
      </c>
      <c r="L135" s="1">
        <f t="shared" si="23"/>
        <v>3</v>
      </c>
      <c r="M135" s="1">
        <f t="shared" si="23"/>
        <v>2</v>
      </c>
      <c r="N135" s="1">
        <f t="shared" si="23"/>
        <v>0</v>
      </c>
      <c r="O135" s="1">
        <f t="shared" si="23"/>
        <v>2</v>
      </c>
      <c r="P135" s="1">
        <f t="shared" si="23"/>
        <v>0</v>
      </c>
      <c r="Q135" s="1">
        <f t="shared" si="23"/>
        <v>0</v>
      </c>
      <c r="R135" s="1">
        <f t="shared" si="23"/>
        <v>4</v>
      </c>
      <c r="S135" s="1">
        <f t="shared" si="23"/>
        <v>0</v>
      </c>
      <c r="T135" s="1">
        <f t="shared" si="23"/>
        <v>2</v>
      </c>
      <c r="U135" s="1">
        <f t="shared" si="23"/>
        <v>1</v>
      </c>
      <c r="V135" s="1">
        <f t="shared" si="23"/>
        <v>3</v>
      </c>
      <c r="W135" s="1">
        <f t="shared" si="23"/>
        <v>2</v>
      </c>
      <c r="X135" s="1">
        <f t="shared" si="23"/>
        <v>2</v>
      </c>
      <c r="Y135" s="1">
        <f t="shared" si="23"/>
        <v>3</v>
      </c>
      <c r="Z135" s="1">
        <f t="shared" si="23"/>
        <v>0</v>
      </c>
      <c r="AA135" s="1">
        <f t="shared" si="23"/>
        <v>0</v>
      </c>
      <c r="AB135" s="1">
        <f t="shared" si="23"/>
        <v>0</v>
      </c>
      <c r="AC135" s="1">
        <f t="shared" si="23"/>
        <v>0</v>
      </c>
      <c r="AD135" s="1">
        <f t="shared" si="23"/>
        <v>0</v>
      </c>
      <c r="AE135" s="1">
        <f t="shared" si="23"/>
        <v>0</v>
      </c>
      <c r="AF135" s="1">
        <f t="shared" si="23"/>
        <v>2</v>
      </c>
      <c r="AG135" s="2">
        <f t="shared" si="17"/>
        <v>35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0</v>
      </c>
      <c r="C136" s="91">
        <v>2</v>
      </c>
      <c r="D136" s="91">
        <v>1</v>
      </c>
      <c r="E136" s="91">
        <v>2</v>
      </c>
      <c r="F136" s="91">
        <v>0</v>
      </c>
      <c r="G136" s="91">
        <v>1</v>
      </c>
      <c r="H136" s="91">
        <v>0</v>
      </c>
      <c r="I136" s="91">
        <v>0</v>
      </c>
      <c r="J136" s="91">
        <v>0</v>
      </c>
      <c r="K136" s="91">
        <v>3</v>
      </c>
      <c r="L136" s="91">
        <v>3</v>
      </c>
      <c r="M136" s="91">
        <v>2</v>
      </c>
      <c r="N136" s="91">
        <v>0</v>
      </c>
      <c r="O136" s="91">
        <v>1</v>
      </c>
      <c r="P136" s="91">
        <v>0</v>
      </c>
      <c r="Q136" s="91">
        <v>0</v>
      </c>
      <c r="R136" s="91">
        <v>3</v>
      </c>
      <c r="S136" s="91">
        <v>0</v>
      </c>
      <c r="T136" s="91">
        <v>1</v>
      </c>
      <c r="U136" s="91">
        <v>1</v>
      </c>
      <c r="V136" s="91">
        <v>3</v>
      </c>
      <c r="W136" s="91">
        <v>2</v>
      </c>
      <c r="X136" s="91">
        <v>2</v>
      </c>
      <c r="Y136" s="91">
        <v>3</v>
      </c>
      <c r="Z136" s="91">
        <v>0</v>
      </c>
      <c r="AA136" s="91">
        <v>0</v>
      </c>
      <c r="AB136" s="91">
        <v>0</v>
      </c>
      <c r="AC136" s="91">
        <v>0</v>
      </c>
      <c r="AD136" s="91">
        <v>0</v>
      </c>
      <c r="AE136" s="91">
        <v>0</v>
      </c>
      <c r="AF136" s="91">
        <v>2</v>
      </c>
      <c r="AG136" s="28">
        <f t="shared" si="17"/>
        <v>32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1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29">
        <f t="shared" si="17"/>
        <v>1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1</v>
      </c>
      <c r="P138" s="95">
        <v>0</v>
      </c>
      <c r="Q138" s="95">
        <v>0</v>
      </c>
      <c r="R138" s="95">
        <v>0</v>
      </c>
      <c r="S138" s="95">
        <v>0</v>
      </c>
      <c r="T138" s="95">
        <v>1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2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1</v>
      </c>
      <c r="C139" s="31">
        <f t="shared" si="24"/>
        <v>2</v>
      </c>
      <c r="D139" s="31">
        <f t="shared" si="24"/>
        <v>1</v>
      </c>
      <c r="E139" s="31">
        <f t="shared" si="24"/>
        <v>5</v>
      </c>
      <c r="F139" s="31">
        <f t="shared" si="24"/>
        <v>3</v>
      </c>
      <c r="G139" s="31">
        <f t="shared" si="24"/>
        <v>3</v>
      </c>
      <c r="H139" s="31">
        <f t="shared" si="24"/>
        <v>0</v>
      </c>
      <c r="I139" s="31">
        <f t="shared" si="24"/>
        <v>4</v>
      </c>
      <c r="J139" s="31">
        <f t="shared" si="24"/>
        <v>3</v>
      </c>
      <c r="K139" s="31">
        <f t="shared" si="24"/>
        <v>1</v>
      </c>
      <c r="L139" s="31">
        <f t="shared" si="24"/>
        <v>2</v>
      </c>
      <c r="M139" s="31">
        <f t="shared" si="24"/>
        <v>1</v>
      </c>
      <c r="N139" s="31">
        <f t="shared" si="24"/>
        <v>4</v>
      </c>
      <c r="O139" s="31">
        <f t="shared" si="24"/>
        <v>3</v>
      </c>
      <c r="P139" s="31">
        <f t="shared" si="24"/>
        <v>3</v>
      </c>
      <c r="Q139" s="31">
        <f t="shared" si="24"/>
        <v>3</v>
      </c>
      <c r="R139" s="31">
        <f t="shared" si="24"/>
        <v>1</v>
      </c>
      <c r="S139" s="31">
        <f t="shared" si="24"/>
        <v>4</v>
      </c>
      <c r="T139" s="31">
        <f t="shared" si="24"/>
        <v>2</v>
      </c>
      <c r="U139" s="31">
        <f t="shared" si="24"/>
        <v>2</v>
      </c>
      <c r="V139" s="31">
        <f t="shared" si="24"/>
        <v>1</v>
      </c>
      <c r="W139" s="31">
        <f t="shared" si="24"/>
        <v>2</v>
      </c>
      <c r="X139" s="31">
        <f t="shared" si="24"/>
        <v>5</v>
      </c>
      <c r="Y139" s="31">
        <f t="shared" si="24"/>
        <v>0</v>
      </c>
      <c r="Z139" s="31">
        <f t="shared" si="24"/>
        <v>6</v>
      </c>
      <c r="AA139" s="31">
        <f t="shared" si="24"/>
        <v>4</v>
      </c>
      <c r="AB139" s="31">
        <f t="shared" si="24"/>
        <v>1</v>
      </c>
      <c r="AC139" s="31">
        <f t="shared" si="24"/>
        <v>2</v>
      </c>
      <c r="AD139" s="31">
        <f t="shared" si="24"/>
        <v>1</v>
      </c>
      <c r="AE139" s="31">
        <f t="shared" si="24"/>
        <v>3</v>
      </c>
      <c r="AF139" s="31">
        <f t="shared" si="24"/>
        <v>1</v>
      </c>
      <c r="AG139" s="32">
        <f t="shared" si="17"/>
        <v>74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0</v>
      </c>
      <c r="C140" s="97">
        <v>1</v>
      </c>
      <c r="D140" s="97">
        <v>0</v>
      </c>
      <c r="E140" s="97">
        <v>1</v>
      </c>
      <c r="F140" s="97">
        <v>0</v>
      </c>
      <c r="G140" s="97">
        <v>1</v>
      </c>
      <c r="H140" s="97">
        <v>0</v>
      </c>
      <c r="I140" s="97">
        <v>1</v>
      </c>
      <c r="J140" s="97">
        <v>0</v>
      </c>
      <c r="K140" s="97">
        <v>0</v>
      </c>
      <c r="L140" s="97">
        <v>0</v>
      </c>
      <c r="M140" s="97">
        <v>0</v>
      </c>
      <c r="N140" s="97">
        <v>0</v>
      </c>
      <c r="O140" s="97">
        <v>0</v>
      </c>
      <c r="P140" s="97">
        <v>1</v>
      </c>
      <c r="Q140" s="97">
        <v>1</v>
      </c>
      <c r="R140" s="97">
        <v>0</v>
      </c>
      <c r="S140" s="97">
        <v>2</v>
      </c>
      <c r="T140" s="97">
        <v>0</v>
      </c>
      <c r="U140" s="97">
        <v>0</v>
      </c>
      <c r="V140" s="97">
        <v>0</v>
      </c>
      <c r="W140" s="97">
        <v>0</v>
      </c>
      <c r="X140" s="97">
        <v>1</v>
      </c>
      <c r="Y140" s="97">
        <v>0</v>
      </c>
      <c r="Z140" s="97">
        <v>2</v>
      </c>
      <c r="AA140" s="97">
        <v>1</v>
      </c>
      <c r="AB140" s="97">
        <v>0</v>
      </c>
      <c r="AC140" s="97">
        <v>0</v>
      </c>
      <c r="AD140" s="97">
        <v>0</v>
      </c>
      <c r="AE140" s="97">
        <v>0</v>
      </c>
      <c r="AF140" s="97">
        <v>0</v>
      </c>
      <c r="AG140" s="33">
        <f t="shared" si="17"/>
        <v>12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1</v>
      </c>
      <c r="C141" s="98">
        <v>1</v>
      </c>
      <c r="D141" s="98">
        <v>1</v>
      </c>
      <c r="E141" s="98">
        <v>4</v>
      </c>
      <c r="F141" s="98">
        <v>3</v>
      </c>
      <c r="G141" s="98">
        <v>2</v>
      </c>
      <c r="H141" s="98">
        <v>0</v>
      </c>
      <c r="I141" s="98">
        <v>3</v>
      </c>
      <c r="J141" s="98">
        <v>3</v>
      </c>
      <c r="K141" s="98">
        <v>1</v>
      </c>
      <c r="L141" s="98">
        <v>2</v>
      </c>
      <c r="M141" s="98">
        <v>1</v>
      </c>
      <c r="N141" s="98">
        <v>4</v>
      </c>
      <c r="O141" s="98">
        <v>3</v>
      </c>
      <c r="P141" s="98">
        <v>2</v>
      </c>
      <c r="Q141" s="98">
        <v>2</v>
      </c>
      <c r="R141" s="98">
        <v>1</v>
      </c>
      <c r="S141" s="98">
        <v>2</v>
      </c>
      <c r="T141" s="98">
        <v>2</v>
      </c>
      <c r="U141" s="98">
        <v>2</v>
      </c>
      <c r="V141" s="98">
        <v>1</v>
      </c>
      <c r="W141" s="98">
        <v>2</v>
      </c>
      <c r="X141" s="98">
        <v>4</v>
      </c>
      <c r="Y141" s="98">
        <v>0</v>
      </c>
      <c r="Z141" s="98">
        <v>4</v>
      </c>
      <c r="AA141" s="98">
        <v>3</v>
      </c>
      <c r="AB141" s="98">
        <v>1</v>
      </c>
      <c r="AC141" s="98">
        <v>2</v>
      </c>
      <c r="AD141" s="98">
        <v>1</v>
      </c>
      <c r="AE141" s="98">
        <v>3</v>
      </c>
      <c r="AF141" s="98">
        <v>1</v>
      </c>
      <c r="AG141" s="34">
        <f t="shared" si="17"/>
        <v>62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>
        <v>0</v>
      </c>
      <c r="C143" s="102">
        <v>1</v>
      </c>
      <c r="D143" s="102">
        <v>1</v>
      </c>
      <c r="E143" s="102">
        <v>2</v>
      </c>
      <c r="F143" s="102">
        <v>2</v>
      </c>
      <c r="G143" s="102">
        <v>2</v>
      </c>
      <c r="H143" s="102">
        <v>2</v>
      </c>
      <c r="I143" s="102">
        <v>0</v>
      </c>
      <c r="J143" s="102">
        <v>0</v>
      </c>
      <c r="K143" s="102">
        <v>0</v>
      </c>
      <c r="L143" s="102">
        <v>0</v>
      </c>
      <c r="M143" s="102">
        <v>3</v>
      </c>
      <c r="N143" s="102">
        <v>0</v>
      </c>
      <c r="O143" s="102">
        <v>0</v>
      </c>
      <c r="P143" s="102">
        <v>2</v>
      </c>
      <c r="Q143" s="102">
        <v>1</v>
      </c>
      <c r="R143" s="102">
        <v>2</v>
      </c>
      <c r="S143" s="102">
        <v>2</v>
      </c>
      <c r="T143" s="102">
        <v>1</v>
      </c>
      <c r="U143" s="102">
        <v>1</v>
      </c>
      <c r="V143" s="102">
        <v>0</v>
      </c>
      <c r="W143" s="102">
        <v>1</v>
      </c>
      <c r="X143" s="102">
        <v>2</v>
      </c>
      <c r="Y143" s="102">
        <v>0</v>
      </c>
      <c r="Z143" s="102">
        <v>1</v>
      </c>
      <c r="AA143" s="102">
        <v>0</v>
      </c>
      <c r="AB143" s="102">
        <v>3</v>
      </c>
      <c r="AC143" s="102">
        <v>1</v>
      </c>
      <c r="AD143" s="102">
        <v>5</v>
      </c>
      <c r="AE143" s="102">
        <v>2</v>
      </c>
      <c r="AF143" s="102">
        <v>1</v>
      </c>
      <c r="AG143" s="36">
        <f t="shared" si="17"/>
        <v>38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20</v>
      </c>
      <c r="C144" s="37">
        <f t="shared" si="25"/>
        <v>19</v>
      </c>
      <c r="D144" s="37">
        <f t="shared" si="25"/>
        <v>52</v>
      </c>
      <c r="E144" s="37">
        <f t="shared" si="25"/>
        <v>55</v>
      </c>
      <c r="F144" s="37">
        <f t="shared" si="25"/>
        <v>47</v>
      </c>
      <c r="G144" s="37">
        <f t="shared" si="25"/>
        <v>42</v>
      </c>
      <c r="H144" s="37">
        <f t="shared" si="25"/>
        <v>23</v>
      </c>
      <c r="I144" s="37">
        <f t="shared" si="25"/>
        <v>34</v>
      </c>
      <c r="J144" s="37">
        <f t="shared" si="25"/>
        <v>35</v>
      </c>
      <c r="K144" s="37">
        <f t="shared" si="25"/>
        <v>55</v>
      </c>
      <c r="L144" s="37">
        <f t="shared" si="25"/>
        <v>65</v>
      </c>
      <c r="M144" s="37">
        <f t="shared" si="25"/>
        <v>61</v>
      </c>
      <c r="N144" s="37">
        <f t="shared" si="25"/>
        <v>47</v>
      </c>
      <c r="O144" s="37">
        <f t="shared" si="25"/>
        <v>36</v>
      </c>
      <c r="P144" s="37">
        <f t="shared" si="25"/>
        <v>66</v>
      </c>
      <c r="Q144" s="37">
        <f t="shared" si="25"/>
        <v>32</v>
      </c>
      <c r="R144" s="37">
        <f t="shared" si="25"/>
        <v>62</v>
      </c>
      <c r="S144" s="37">
        <f t="shared" si="25"/>
        <v>50</v>
      </c>
      <c r="T144" s="37">
        <f t="shared" si="25"/>
        <v>58</v>
      </c>
      <c r="U144" s="37">
        <f t="shared" si="25"/>
        <v>81</v>
      </c>
      <c r="V144" s="37">
        <f t="shared" si="25"/>
        <v>41</v>
      </c>
      <c r="W144" s="37">
        <f t="shared" si="25"/>
        <v>32</v>
      </c>
      <c r="X144" s="37">
        <f t="shared" si="25"/>
        <v>43</v>
      </c>
      <c r="Y144" s="37">
        <f t="shared" si="25"/>
        <v>70</v>
      </c>
      <c r="Z144" s="37">
        <f t="shared" si="25"/>
        <v>70</v>
      </c>
      <c r="AA144" s="37">
        <f t="shared" si="25"/>
        <v>53</v>
      </c>
      <c r="AB144" s="37">
        <f t="shared" si="25"/>
        <v>35</v>
      </c>
      <c r="AC144" s="37">
        <f t="shared" si="25"/>
        <v>55</v>
      </c>
      <c r="AD144" s="37">
        <f t="shared" si="25"/>
        <v>39</v>
      </c>
      <c r="AE144" s="37">
        <f t="shared" si="25"/>
        <v>44</v>
      </c>
      <c r="AF144" s="37">
        <f t="shared" si="25"/>
        <v>70</v>
      </c>
      <c r="AG144" s="24">
        <f t="shared" si="17"/>
        <v>1492</v>
      </c>
      <c r="AK144" s="84" t="s">
        <v>155</v>
      </c>
    </row>
    <row r="145" spans="1:37" ht="15.75" customHeight="1" x14ac:dyDescent="0.25">
      <c r="A145" s="104" t="s">
        <v>92</v>
      </c>
      <c r="B145" s="105">
        <v>2</v>
      </c>
      <c r="C145" s="105">
        <v>5</v>
      </c>
      <c r="D145" s="105">
        <v>3</v>
      </c>
      <c r="E145" s="105">
        <v>5</v>
      </c>
      <c r="F145" s="105">
        <v>1</v>
      </c>
      <c r="G145" s="105">
        <v>7</v>
      </c>
      <c r="H145" s="105">
        <v>3</v>
      </c>
      <c r="I145" s="105">
        <v>3</v>
      </c>
      <c r="J145" s="105">
        <v>1</v>
      </c>
      <c r="K145" s="105">
        <v>7</v>
      </c>
      <c r="L145" s="105">
        <v>2</v>
      </c>
      <c r="M145" s="105">
        <v>5</v>
      </c>
      <c r="N145" s="105">
        <v>2</v>
      </c>
      <c r="O145" s="105">
        <v>0</v>
      </c>
      <c r="P145" s="105">
        <v>4</v>
      </c>
      <c r="Q145" s="105">
        <v>3</v>
      </c>
      <c r="R145" s="105">
        <v>5</v>
      </c>
      <c r="S145" s="105">
        <v>0</v>
      </c>
      <c r="T145" s="105">
        <v>1</v>
      </c>
      <c r="U145" s="105">
        <v>6</v>
      </c>
      <c r="V145" s="105">
        <v>2</v>
      </c>
      <c r="W145" s="105">
        <v>1</v>
      </c>
      <c r="X145" s="105">
        <v>1</v>
      </c>
      <c r="Y145" s="105">
        <v>9</v>
      </c>
      <c r="Z145" s="105">
        <v>8</v>
      </c>
      <c r="AA145" s="105">
        <v>4</v>
      </c>
      <c r="AB145" s="105">
        <v>3</v>
      </c>
      <c r="AC145" s="105">
        <v>2</v>
      </c>
      <c r="AD145" s="105">
        <v>3</v>
      </c>
      <c r="AE145" s="105">
        <v>6</v>
      </c>
      <c r="AF145" s="105">
        <v>5</v>
      </c>
      <c r="AG145" s="38">
        <f t="shared" si="17"/>
        <v>109</v>
      </c>
      <c r="AK145" s="84" t="s">
        <v>156</v>
      </c>
    </row>
    <row r="146" spans="1:37" ht="15.75" customHeight="1" x14ac:dyDescent="0.25">
      <c r="A146" s="106" t="s">
        <v>93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3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3</v>
      </c>
      <c r="AK147" s="84" t="s">
        <v>158</v>
      </c>
    </row>
    <row r="148" spans="1:37" ht="15.75" customHeight="1" x14ac:dyDescent="0.25">
      <c r="A148" s="106" t="s">
        <v>95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159</v>
      </c>
    </row>
    <row r="149" spans="1:37" ht="15.75" customHeight="1" x14ac:dyDescent="0.25">
      <c r="A149" s="107" t="s">
        <v>96</v>
      </c>
      <c r="B149" s="108">
        <v>16</v>
      </c>
      <c r="C149" s="108">
        <v>12</v>
      </c>
      <c r="D149" s="108">
        <v>46</v>
      </c>
      <c r="E149" s="108">
        <v>43</v>
      </c>
      <c r="F149" s="108">
        <v>46</v>
      </c>
      <c r="G149" s="108">
        <v>30</v>
      </c>
      <c r="H149" s="108">
        <v>19</v>
      </c>
      <c r="I149" s="108">
        <v>23</v>
      </c>
      <c r="J149" s="108">
        <v>32</v>
      </c>
      <c r="K149" s="108">
        <v>44</v>
      </c>
      <c r="L149" s="108">
        <v>54</v>
      </c>
      <c r="M149" s="108">
        <v>55</v>
      </c>
      <c r="N149" s="108">
        <v>42</v>
      </c>
      <c r="O149" s="108">
        <v>31</v>
      </c>
      <c r="P149" s="108">
        <v>56</v>
      </c>
      <c r="Q149" s="108">
        <v>28</v>
      </c>
      <c r="R149" s="108">
        <v>53</v>
      </c>
      <c r="S149" s="108">
        <v>45</v>
      </c>
      <c r="T149" s="108">
        <v>57</v>
      </c>
      <c r="U149" s="108">
        <v>72</v>
      </c>
      <c r="V149" s="108">
        <v>34</v>
      </c>
      <c r="W149" s="108">
        <v>29</v>
      </c>
      <c r="X149" s="108">
        <v>38</v>
      </c>
      <c r="Y149" s="108">
        <v>51</v>
      </c>
      <c r="Z149" s="108">
        <v>58</v>
      </c>
      <c r="AA149" s="108">
        <v>49</v>
      </c>
      <c r="AB149" s="108">
        <v>29</v>
      </c>
      <c r="AC149" s="108">
        <v>49</v>
      </c>
      <c r="AD149" s="108">
        <v>34</v>
      </c>
      <c r="AE149" s="108">
        <v>34</v>
      </c>
      <c r="AF149" s="108">
        <v>59</v>
      </c>
      <c r="AG149" s="39">
        <f t="shared" si="17"/>
        <v>1268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>
        <v>0</v>
      </c>
      <c r="C153" s="77">
        <v>0</v>
      </c>
      <c r="D153" s="77">
        <v>0</v>
      </c>
      <c r="E153" s="77">
        <v>3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2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17"/>
        <v>5</v>
      </c>
      <c r="AK153" s="109" t="s">
        <v>127</v>
      </c>
    </row>
    <row r="154" spans="1:37" ht="15.75" customHeight="1" x14ac:dyDescent="0.25">
      <c r="A154" s="76" t="s">
        <v>101</v>
      </c>
      <c r="B154" s="77">
        <v>1</v>
      </c>
      <c r="C154" s="77">
        <v>1</v>
      </c>
      <c r="D154" s="77">
        <v>1</v>
      </c>
      <c r="E154" s="77">
        <v>0</v>
      </c>
      <c r="F154" s="77">
        <v>0</v>
      </c>
      <c r="G154" s="77">
        <v>4</v>
      </c>
      <c r="H154" s="77">
        <v>0</v>
      </c>
      <c r="I154" s="77">
        <v>4</v>
      </c>
      <c r="J154" s="77">
        <v>1</v>
      </c>
      <c r="K154" s="77">
        <v>1</v>
      </c>
      <c r="L154" s="77">
        <v>0</v>
      </c>
      <c r="M154" s="77">
        <v>1</v>
      </c>
      <c r="N154" s="77">
        <v>2</v>
      </c>
      <c r="O154" s="77">
        <v>3</v>
      </c>
      <c r="P154" s="77">
        <v>0</v>
      </c>
      <c r="Q154" s="77">
        <v>0</v>
      </c>
      <c r="R154" s="77">
        <v>0</v>
      </c>
      <c r="S154" s="77">
        <v>0</v>
      </c>
      <c r="T154" s="77">
        <v>0</v>
      </c>
      <c r="U154" s="77">
        <v>0</v>
      </c>
      <c r="V154" s="77">
        <v>2</v>
      </c>
      <c r="W154" s="77">
        <v>1</v>
      </c>
      <c r="X154" s="77">
        <v>1</v>
      </c>
      <c r="Y154" s="77">
        <v>0</v>
      </c>
      <c r="Z154" s="77">
        <v>0</v>
      </c>
      <c r="AA154" s="77">
        <v>0</v>
      </c>
      <c r="AB154" s="77">
        <v>1</v>
      </c>
      <c r="AC154" s="77">
        <v>3</v>
      </c>
      <c r="AD154" s="77">
        <v>1</v>
      </c>
      <c r="AE154" s="77">
        <v>2</v>
      </c>
      <c r="AF154" s="77">
        <v>1</v>
      </c>
      <c r="AG154" s="5">
        <f t="shared" si="17"/>
        <v>31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>
        <v>1</v>
      </c>
      <c r="C158" s="111">
        <v>1</v>
      </c>
      <c r="D158" s="111">
        <v>0</v>
      </c>
      <c r="E158" s="111">
        <v>3</v>
      </c>
      <c r="F158" s="111">
        <v>0</v>
      </c>
      <c r="G158" s="111">
        <v>1</v>
      </c>
      <c r="H158" s="111">
        <v>1</v>
      </c>
      <c r="I158" s="111">
        <v>2</v>
      </c>
      <c r="J158" s="111">
        <v>0</v>
      </c>
      <c r="K158" s="111">
        <v>1</v>
      </c>
      <c r="L158" s="111">
        <v>3</v>
      </c>
      <c r="M158" s="111">
        <v>0</v>
      </c>
      <c r="N158" s="111">
        <v>0</v>
      </c>
      <c r="O158" s="111">
        <v>2</v>
      </c>
      <c r="P158" s="111">
        <v>4</v>
      </c>
      <c r="Q158" s="111">
        <v>0</v>
      </c>
      <c r="R158" s="111">
        <v>2</v>
      </c>
      <c r="S158" s="111">
        <v>4</v>
      </c>
      <c r="T158" s="111">
        <v>0</v>
      </c>
      <c r="U158" s="111">
        <v>2</v>
      </c>
      <c r="V158" s="111">
        <v>2</v>
      </c>
      <c r="W158" s="111">
        <v>0</v>
      </c>
      <c r="X158" s="111">
        <v>2</v>
      </c>
      <c r="Y158" s="111">
        <v>5</v>
      </c>
      <c r="Z158" s="111">
        <v>4</v>
      </c>
      <c r="AA158" s="111">
        <v>0</v>
      </c>
      <c r="AB158" s="111">
        <v>0</v>
      </c>
      <c r="AC158" s="111">
        <v>1</v>
      </c>
      <c r="AD158" s="111">
        <v>0</v>
      </c>
      <c r="AE158" s="111">
        <v>2</v>
      </c>
      <c r="AF158" s="111">
        <v>3</v>
      </c>
      <c r="AG158" s="40">
        <f t="shared" si="17"/>
        <v>46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0</v>
      </c>
    </row>
    <row r="163" spans="1:34" ht="15.75" customHeight="1" x14ac:dyDescent="0.25">
      <c r="A163" s="112" t="s">
        <v>110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1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1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>
        <v>0</v>
      </c>
      <c r="C167" s="77">
        <v>0</v>
      </c>
      <c r="D167" s="77">
        <v>0</v>
      </c>
      <c r="E167" s="77">
        <v>1</v>
      </c>
      <c r="F167" s="77">
        <v>0</v>
      </c>
      <c r="G167" s="77">
        <v>0</v>
      </c>
      <c r="H167" s="77">
        <v>0</v>
      </c>
      <c r="I167" s="77">
        <v>1</v>
      </c>
      <c r="J167" s="77">
        <v>1</v>
      </c>
      <c r="K167" s="77">
        <v>1</v>
      </c>
      <c r="L167" s="77">
        <v>0</v>
      </c>
      <c r="M167" s="77">
        <v>0</v>
      </c>
      <c r="N167" s="77">
        <v>0</v>
      </c>
      <c r="O167" s="77">
        <v>0</v>
      </c>
      <c r="P167" s="77">
        <v>1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0</v>
      </c>
      <c r="AD167" s="77">
        <v>1</v>
      </c>
      <c r="AE167" s="77">
        <v>0</v>
      </c>
      <c r="AF167" s="77">
        <v>0</v>
      </c>
      <c r="AG167" s="5">
        <f t="shared" si="26"/>
        <v>6</v>
      </c>
    </row>
    <row r="168" spans="1:34" ht="15.75" customHeight="1" x14ac:dyDescent="0.25">
      <c r="A168" s="76" t="s">
        <v>115</v>
      </c>
      <c r="B168" s="113">
        <v>0</v>
      </c>
      <c r="C168" s="113">
        <v>0</v>
      </c>
      <c r="D168" s="113">
        <v>2</v>
      </c>
      <c r="E168" s="113">
        <v>0</v>
      </c>
      <c r="F168" s="113">
        <v>0</v>
      </c>
      <c r="G168" s="113">
        <v>0</v>
      </c>
      <c r="H168" s="113">
        <v>0</v>
      </c>
      <c r="I168" s="113">
        <v>1</v>
      </c>
      <c r="J168" s="113">
        <v>0</v>
      </c>
      <c r="K168" s="113">
        <v>1</v>
      </c>
      <c r="L168" s="113">
        <v>1</v>
      </c>
      <c r="M168" s="113">
        <v>0</v>
      </c>
      <c r="N168" s="113">
        <v>0</v>
      </c>
      <c r="O168" s="113">
        <v>0</v>
      </c>
      <c r="P168" s="113">
        <v>1</v>
      </c>
      <c r="Q168" s="113">
        <v>1</v>
      </c>
      <c r="R168" s="113">
        <v>1</v>
      </c>
      <c r="S168" s="113">
        <v>1</v>
      </c>
      <c r="T168" s="113">
        <v>0</v>
      </c>
      <c r="U168" s="113">
        <v>1</v>
      </c>
      <c r="V168" s="113">
        <v>1</v>
      </c>
      <c r="W168" s="113">
        <v>0</v>
      </c>
      <c r="X168" s="113">
        <v>0</v>
      </c>
      <c r="Y168" s="113">
        <v>4</v>
      </c>
      <c r="Z168" s="113">
        <v>0</v>
      </c>
      <c r="AA168" s="113">
        <v>0</v>
      </c>
      <c r="AB168" s="113">
        <v>0</v>
      </c>
      <c r="AC168" s="113">
        <v>0</v>
      </c>
      <c r="AD168" s="113">
        <v>0</v>
      </c>
      <c r="AE168" s="113">
        <v>0</v>
      </c>
      <c r="AF168" s="113">
        <v>2</v>
      </c>
      <c r="AG168" s="5">
        <f t="shared" si="26"/>
        <v>17</v>
      </c>
    </row>
    <row r="169" spans="1:34" ht="15.75" customHeight="1" x14ac:dyDescent="0.25">
      <c r="A169" s="114" t="s">
        <v>116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1</v>
      </c>
      <c r="O169" s="113">
        <v>0</v>
      </c>
      <c r="P169" s="113">
        <v>0</v>
      </c>
      <c r="Q169" s="113">
        <v>0</v>
      </c>
      <c r="R169" s="113">
        <v>1</v>
      </c>
      <c r="S169" s="113">
        <v>0</v>
      </c>
      <c r="T169" s="113">
        <v>0</v>
      </c>
      <c r="U169" s="113">
        <v>0</v>
      </c>
      <c r="V169" s="113">
        <v>0</v>
      </c>
      <c r="W169" s="113">
        <v>1</v>
      </c>
      <c r="X169" s="113">
        <v>1</v>
      </c>
      <c r="Y169" s="113">
        <v>0</v>
      </c>
      <c r="Z169" s="113">
        <v>0</v>
      </c>
      <c r="AA169" s="113">
        <v>0</v>
      </c>
      <c r="AB169" s="113">
        <v>2</v>
      </c>
      <c r="AC169" s="113">
        <v>0</v>
      </c>
      <c r="AD169" s="113">
        <v>0</v>
      </c>
      <c r="AE169" s="113">
        <v>0</v>
      </c>
      <c r="AF169" s="113">
        <v>0</v>
      </c>
      <c r="AG169" s="5">
        <f t="shared" si="26"/>
        <v>6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78</v>
      </c>
      <c r="C171" s="41">
        <f t="shared" si="27"/>
        <v>97</v>
      </c>
      <c r="D171" s="41">
        <f t="shared" si="27"/>
        <v>166</v>
      </c>
      <c r="E171" s="41">
        <f t="shared" si="27"/>
        <v>173</v>
      </c>
      <c r="F171" s="41">
        <f t="shared" si="27"/>
        <v>128</v>
      </c>
      <c r="G171" s="41">
        <f t="shared" si="27"/>
        <v>120</v>
      </c>
      <c r="H171" s="41">
        <f t="shared" si="27"/>
        <v>98</v>
      </c>
      <c r="I171" s="41">
        <f t="shared" si="27"/>
        <v>105</v>
      </c>
      <c r="J171" s="41">
        <f t="shared" si="27"/>
        <v>125</v>
      </c>
      <c r="K171" s="41">
        <f t="shared" si="27"/>
        <v>195</v>
      </c>
      <c r="L171" s="41">
        <f t="shared" si="27"/>
        <v>157</v>
      </c>
      <c r="M171" s="41">
        <f t="shared" si="27"/>
        <v>137</v>
      </c>
      <c r="N171" s="41">
        <f t="shared" si="27"/>
        <v>117</v>
      </c>
      <c r="O171" s="41">
        <f t="shared" si="27"/>
        <v>122</v>
      </c>
      <c r="P171" s="41">
        <f t="shared" si="27"/>
        <v>178</v>
      </c>
      <c r="Q171" s="41">
        <f t="shared" si="27"/>
        <v>118</v>
      </c>
      <c r="R171" s="41">
        <f t="shared" si="27"/>
        <v>186</v>
      </c>
      <c r="S171" s="41">
        <f t="shared" si="27"/>
        <v>167</v>
      </c>
      <c r="T171" s="41">
        <f t="shared" si="27"/>
        <v>139</v>
      </c>
      <c r="U171" s="41">
        <f t="shared" si="27"/>
        <v>223</v>
      </c>
      <c r="V171" s="41">
        <f t="shared" si="27"/>
        <v>117</v>
      </c>
      <c r="W171" s="41">
        <f t="shared" si="27"/>
        <v>93</v>
      </c>
      <c r="X171" s="41">
        <f t="shared" si="27"/>
        <v>114</v>
      </c>
      <c r="Y171" s="41">
        <f t="shared" si="27"/>
        <v>194</v>
      </c>
      <c r="Z171" s="41">
        <f t="shared" si="27"/>
        <v>189</v>
      </c>
      <c r="AA171" s="41">
        <f t="shared" si="27"/>
        <v>141</v>
      </c>
      <c r="AB171" s="41">
        <f t="shared" si="27"/>
        <v>117</v>
      </c>
      <c r="AC171" s="41">
        <f t="shared" si="27"/>
        <v>119</v>
      </c>
      <c r="AD171" s="41">
        <f t="shared" si="27"/>
        <v>109</v>
      </c>
      <c r="AE171" s="41">
        <f t="shared" si="27"/>
        <v>139</v>
      </c>
      <c r="AF171" s="41">
        <f t="shared" si="27"/>
        <v>200</v>
      </c>
      <c r="AG171" s="42">
        <f t="shared" si="26"/>
        <v>4361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0</v>
      </c>
      <c r="F172" s="118">
        <v>1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1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2</v>
      </c>
    </row>
    <row r="173" spans="1:34" ht="15.75" customHeight="1" x14ac:dyDescent="0.25">
      <c r="A173" s="119" t="s">
        <v>38</v>
      </c>
      <c r="B173" s="120">
        <v>1</v>
      </c>
      <c r="C173" s="120">
        <v>1</v>
      </c>
      <c r="D173" s="120">
        <v>1</v>
      </c>
      <c r="E173" s="120">
        <v>0</v>
      </c>
      <c r="F173" s="120">
        <v>1</v>
      </c>
      <c r="G173" s="120">
        <v>1</v>
      </c>
      <c r="H173" s="120">
        <v>1</v>
      </c>
      <c r="I173" s="120">
        <v>0</v>
      </c>
      <c r="J173" s="120">
        <v>2</v>
      </c>
      <c r="K173" s="120">
        <v>1</v>
      </c>
      <c r="L173" s="120">
        <v>0</v>
      </c>
      <c r="M173" s="120">
        <v>0</v>
      </c>
      <c r="N173" s="120">
        <v>3</v>
      </c>
      <c r="O173" s="120">
        <v>1</v>
      </c>
      <c r="P173" s="120">
        <v>5</v>
      </c>
      <c r="Q173" s="120">
        <v>1</v>
      </c>
      <c r="R173" s="120">
        <v>2</v>
      </c>
      <c r="S173" s="120">
        <v>4</v>
      </c>
      <c r="T173" s="120">
        <v>0</v>
      </c>
      <c r="U173" s="120">
        <v>0</v>
      </c>
      <c r="V173" s="120">
        <v>0</v>
      </c>
      <c r="W173" s="120">
        <v>2</v>
      </c>
      <c r="X173" s="120">
        <v>3</v>
      </c>
      <c r="Y173" s="120">
        <v>3</v>
      </c>
      <c r="Z173" s="120">
        <v>3</v>
      </c>
      <c r="AA173" s="120">
        <v>2</v>
      </c>
      <c r="AB173" s="120">
        <v>0</v>
      </c>
      <c r="AC173" s="120">
        <v>1</v>
      </c>
      <c r="AD173" s="120">
        <v>0</v>
      </c>
      <c r="AE173" s="120">
        <v>1</v>
      </c>
      <c r="AF173" s="120">
        <v>2</v>
      </c>
      <c r="AG173" s="44">
        <f t="shared" si="26"/>
        <v>42</v>
      </c>
    </row>
    <row r="174" spans="1:34" ht="15.75" customHeight="1" x14ac:dyDescent="0.25">
      <c r="A174" s="119" t="s">
        <v>39</v>
      </c>
      <c r="B174" s="120">
        <v>9</v>
      </c>
      <c r="C174" s="120">
        <v>15</v>
      </c>
      <c r="D174" s="120">
        <v>17</v>
      </c>
      <c r="E174" s="120">
        <v>22</v>
      </c>
      <c r="F174" s="120">
        <v>5</v>
      </c>
      <c r="G174" s="120">
        <v>28</v>
      </c>
      <c r="H174" s="120">
        <v>10</v>
      </c>
      <c r="I174" s="120">
        <v>18</v>
      </c>
      <c r="J174" s="120">
        <v>18</v>
      </c>
      <c r="K174" s="120">
        <v>25</v>
      </c>
      <c r="L174" s="120">
        <v>18</v>
      </c>
      <c r="M174" s="120">
        <v>14</v>
      </c>
      <c r="N174" s="120">
        <v>12</v>
      </c>
      <c r="O174" s="120">
        <v>13</v>
      </c>
      <c r="P174" s="120">
        <v>24</v>
      </c>
      <c r="Q174" s="120">
        <v>17</v>
      </c>
      <c r="R174" s="120">
        <v>31</v>
      </c>
      <c r="S174" s="120">
        <v>16</v>
      </c>
      <c r="T174" s="120">
        <v>17</v>
      </c>
      <c r="U174" s="120">
        <v>26</v>
      </c>
      <c r="V174" s="120">
        <v>15</v>
      </c>
      <c r="W174" s="120">
        <v>11</v>
      </c>
      <c r="X174" s="120">
        <v>15</v>
      </c>
      <c r="Y174" s="120">
        <v>32</v>
      </c>
      <c r="Z174" s="120">
        <v>27</v>
      </c>
      <c r="AA174" s="120">
        <v>20</v>
      </c>
      <c r="AB174" s="120">
        <v>11</v>
      </c>
      <c r="AC174" s="120">
        <v>18</v>
      </c>
      <c r="AD174" s="120">
        <v>12</v>
      </c>
      <c r="AE174" s="120">
        <v>26</v>
      </c>
      <c r="AF174" s="120">
        <v>27</v>
      </c>
      <c r="AG174" s="44">
        <f t="shared" si="26"/>
        <v>569</v>
      </c>
    </row>
    <row r="175" spans="1:34" ht="15.75" customHeight="1" x14ac:dyDescent="0.25">
      <c r="A175" s="119" t="s">
        <v>40</v>
      </c>
      <c r="B175" s="120">
        <v>60</v>
      </c>
      <c r="C175" s="120">
        <v>73</v>
      </c>
      <c r="D175" s="120">
        <v>127</v>
      </c>
      <c r="E175" s="120">
        <v>131</v>
      </c>
      <c r="F175" s="120">
        <v>115</v>
      </c>
      <c r="G175" s="120">
        <v>88</v>
      </c>
      <c r="H175" s="120">
        <v>78</v>
      </c>
      <c r="I175" s="120">
        <v>80</v>
      </c>
      <c r="J175" s="120">
        <v>101</v>
      </c>
      <c r="K175" s="120">
        <v>116</v>
      </c>
      <c r="L175" s="120">
        <v>125</v>
      </c>
      <c r="M175" s="120">
        <v>102</v>
      </c>
      <c r="N175" s="120">
        <v>97</v>
      </c>
      <c r="O175" s="120">
        <v>97</v>
      </c>
      <c r="P175" s="120">
        <v>111</v>
      </c>
      <c r="Q175" s="120">
        <v>73</v>
      </c>
      <c r="R175" s="120">
        <v>125</v>
      </c>
      <c r="S175" s="120">
        <v>128</v>
      </c>
      <c r="T175" s="120">
        <v>94</v>
      </c>
      <c r="U175" s="120">
        <v>170</v>
      </c>
      <c r="V175" s="120">
        <v>88</v>
      </c>
      <c r="W175" s="120">
        <v>69</v>
      </c>
      <c r="X175" s="120">
        <v>93</v>
      </c>
      <c r="Y175" s="120">
        <v>137</v>
      </c>
      <c r="Z175" s="120">
        <v>112</v>
      </c>
      <c r="AA175" s="120">
        <v>116</v>
      </c>
      <c r="AB175" s="120">
        <v>95</v>
      </c>
      <c r="AC175" s="120">
        <v>89</v>
      </c>
      <c r="AD175" s="120">
        <v>77</v>
      </c>
      <c r="AE175" s="120">
        <v>100</v>
      </c>
      <c r="AF175" s="120">
        <v>163</v>
      </c>
      <c r="AG175" s="44">
        <f t="shared" si="26"/>
        <v>3230</v>
      </c>
    </row>
    <row r="176" spans="1:34" ht="15.75" customHeight="1" thickBot="1" x14ac:dyDescent="0.3">
      <c r="A176" s="121" t="s">
        <v>41</v>
      </c>
      <c r="B176" s="122">
        <v>8</v>
      </c>
      <c r="C176" s="122">
        <v>8</v>
      </c>
      <c r="D176" s="122">
        <v>21</v>
      </c>
      <c r="E176" s="122">
        <v>20</v>
      </c>
      <c r="F176" s="122">
        <v>6</v>
      </c>
      <c r="G176" s="122">
        <v>3</v>
      </c>
      <c r="H176" s="122">
        <v>9</v>
      </c>
      <c r="I176" s="122">
        <v>7</v>
      </c>
      <c r="J176" s="122">
        <v>4</v>
      </c>
      <c r="K176" s="122">
        <v>53</v>
      </c>
      <c r="L176" s="122">
        <v>14</v>
      </c>
      <c r="M176" s="122">
        <v>21</v>
      </c>
      <c r="N176" s="122">
        <v>5</v>
      </c>
      <c r="O176" s="122">
        <v>11</v>
      </c>
      <c r="P176" s="122">
        <v>37</v>
      </c>
      <c r="Q176" s="122">
        <v>27</v>
      </c>
      <c r="R176" s="122">
        <v>28</v>
      </c>
      <c r="S176" s="122">
        <v>19</v>
      </c>
      <c r="T176" s="122">
        <v>28</v>
      </c>
      <c r="U176" s="122">
        <v>27</v>
      </c>
      <c r="V176" s="122">
        <v>14</v>
      </c>
      <c r="W176" s="122">
        <v>11</v>
      </c>
      <c r="X176" s="122">
        <v>3</v>
      </c>
      <c r="Y176" s="122">
        <v>22</v>
      </c>
      <c r="Z176" s="122">
        <v>47</v>
      </c>
      <c r="AA176" s="122">
        <v>3</v>
      </c>
      <c r="AB176" s="122">
        <v>11</v>
      </c>
      <c r="AC176" s="122">
        <v>11</v>
      </c>
      <c r="AD176" s="122">
        <v>20</v>
      </c>
      <c r="AE176" s="122">
        <v>12</v>
      </c>
      <c r="AF176" s="122">
        <v>8</v>
      </c>
      <c r="AG176" s="45">
        <f t="shared" si="26"/>
        <v>518</v>
      </c>
    </row>
    <row r="177" spans="1:34" ht="15.75" customHeight="1" x14ac:dyDescent="0.25">
      <c r="A177" s="123" t="s">
        <v>120</v>
      </c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26">
        <f t="shared" si="26"/>
        <v>0</v>
      </c>
      <c r="AH177" s="140" t="s">
        <v>177</v>
      </c>
    </row>
    <row r="178" spans="1:34" ht="15.75" customHeight="1" x14ac:dyDescent="0.25">
      <c r="A178" s="125" t="s">
        <v>122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123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QCyBodJss1b28uGPMmMUO3+xvNIQCdEFSKq3dp0fuydDZKKMbZR3sxhJs5hPCxbQuaJ1e30FXlDjvKuAsvex0Q==" saltValue="mEMEScLsvDjrXHT50z7VUQ==" spinCount="100000" sheet="1" objects="1" scenarios="1"/>
  <dataConsolidate/>
  <mergeCells count="2">
    <mergeCell ref="A1:AG1"/>
    <mergeCell ref="AH177:AH180"/>
  </mergeCells>
  <conditionalFormatting sqref="AD29:AF52">
    <cfRule type="cellIs" dxfId="14" priority="3" operator="lessThan">
      <formula>0</formula>
    </cfRule>
  </conditionalFormatting>
  <conditionalFormatting sqref="AH171">
    <cfRule type="cellIs" dxfId="13" priority="2" operator="equal">
      <formula>"X"</formula>
    </cfRule>
  </conditionalFormatting>
  <conditionalFormatting sqref="AH1:AH1048576">
    <cfRule type="cellIs" dxfId="12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DD193A4B-0951-48EA-9B13-2A2BCED73FDA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946C-C73B-41E8-A375-98272B0636F5}">
  <sheetPr codeName="Hoja25"/>
  <dimension ref="A1:AK954"/>
  <sheetViews>
    <sheetView zoomScale="80" zoomScaleNormal="80" workbookViewId="0">
      <pane xSplit="1" ySplit="3" topLeftCell="B4" activePane="bottomRight" state="frozen"/>
      <selection activeCell="Q5" sqref="Q5"/>
      <selection pane="topRight" activeCell="Q5" sqref="Q5"/>
      <selection pane="bottomLeft" activeCell="Q5" sqref="Q5"/>
      <selection pane="bottomRight" activeCell="B4" sqref="B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172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199</v>
      </c>
      <c r="C3" s="1">
        <f t="shared" si="1"/>
        <v>159</v>
      </c>
      <c r="D3" s="1">
        <f t="shared" si="1"/>
        <v>155</v>
      </c>
      <c r="E3" s="1">
        <f t="shared" si="1"/>
        <v>138</v>
      </c>
      <c r="F3" s="1">
        <f t="shared" si="1"/>
        <v>124</v>
      </c>
      <c r="G3" s="1">
        <f t="shared" si="1"/>
        <v>133</v>
      </c>
      <c r="H3" s="1">
        <f t="shared" si="1"/>
        <v>198</v>
      </c>
      <c r="I3" s="1">
        <f t="shared" si="1"/>
        <v>200</v>
      </c>
      <c r="J3" s="1">
        <f t="shared" si="1"/>
        <v>148</v>
      </c>
      <c r="K3" s="1">
        <f t="shared" si="1"/>
        <v>178</v>
      </c>
      <c r="L3" s="1">
        <f t="shared" si="1"/>
        <v>126</v>
      </c>
      <c r="M3" s="1">
        <f t="shared" si="1"/>
        <v>129</v>
      </c>
      <c r="N3" s="1">
        <f t="shared" si="1"/>
        <v>129</v>
      </c>
      <c r="O3" s="1">
        <f t="shared" si="1"/>
        <v>221</v>
      </c>
      <c r="P3" s="1">
        <f t="shared" si="1"/>
        <v>209</v>
      </c>
      <c r="Q3" s="1">
        <f t="shared" si="1"/>
        <v>163</v>
      </c>
      <c r="R3" s="1">
        <f t="shared" si="1"/>
        <v>140</v>
      </c>
      <c r="S3" s="1">
        <f t="shared" si="1"/>
        <v>161</v>
      </c>
      <c r="T3" s="1">
        <f t="shared" si="1"/>
        <v>200</v>
      </c>
      <c r="U3" s="1">
        <f t="shared" si="1"/>
        <v>262</v>
      </c>
      <c r="V3" s="1">
        <f t="shared" si="1"/>
        <v>215</v>
      </c>
      <c r="W3" s="1">
        <f t="shared" si="1"/>
        <v>226</v>
      </c>
      <c r="X3" s="1">
        <f t="shared" si="1"/>
        <v>200</v>
      </c>
      <c r="Y3" s="1">
        <f t="shared" si="1"/>
        <v>164</v>
      </c>
      <c r="Z3" s="1">
        <f t="shared" si="1"/>
        <v>151</v>
      </c>
      <c r="AA3" s="1">
        <f t="shared" si="1"/>
        <v>152</v>
      </c>
      <c r="AB3" s="1">
        <f t="shared" si="1"/>
        <v>146</v>
      </c>
      <c r="AC3" s="1">
        <f t="shared" si="1"/>
        <v>224</v>
      </c>
      <c r="AD3" s="1">
        <f t="shared" si="1"/>
        <v>225</v>
      </c>
      <c r="AE3" s="1">
        <f t="shared" si="1"/>
        <v>132</v>
      </c>
      <c r="AF3" s="1">
        <f t="shared" si="1"/>
        <v>0</v>
      </c>
      <c r="AG3" s="2">
        <f t="shared" ref="AG3:AG66" si="2">SUM(B3:AF3)</f>
        <v>5207</v>
      </c>
    </row>
    <row r="4" spans="1:33" ht="18.75" x14ac:dyDescent="0.25">
      <c r="A4" s="53" t="s">
        <v>3</v>
      </c>
      <c r="B4" s="54">
        <v>4</v>
      </c>
      <c r="C4" s="55">
        <v>0</v>
      </c>
      <c r="D4" s="55">
        <v>0</v>
      </c>
      <c r="E4" s="55">
        <v>0</v>
      </c>
      <c r="F4" s="55">
        <v>0</v>
      </c>
      <c r="G4" s="55">
        <v>0</v>
      </c>
      <c r="H4" s="55">
        <v>8</v>
      </c>
      <c r="I4" s="55">
        <v>4</v>
      </c>
      <c r="J4" s="55">
        <v>0</v>
      </c>
      <c r="K4" s="55">
        <v>0</v>
      </c>
      <c r="L4" s="55">
        <v>0</v>
      </c>
      <c r="M4" s="55">
        <v>0</v>
      </c>
      <c r="N4" s="55">
        <v>0</v>
      </c>
      <c r="O4" s="55">
        <v>6</v>
      </c>
      <c r="P4" s="55">
        <v>9</v>
      </c>
      <c r="Q4" s="55">
        <v>0</v>
      </c>
      <c r="R4" s="55">
        <v>0</v>
      </c>
      <c r="S4" s="55">
        <v>6</v>
      </c>
      <c r="T4" s="55">
        <v>10</v>
      </c>
      <c r="U4" s="55">
        <v>13</v>
      </c>
      <c r="V4" s="55">
        <v>9</v>
      </c>
      <c r="W4" s="55">
        <v>10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9</v>
      </c>
      <c r="AD4" s="55">
        <v>6</v>
      </c>
      <c r="AE4" s="55">
        <v>0</v>
      </c>
      <c r="AF4" s="55"/>
      <c r="AG4" s="4">
        <f t="shared" si="2"/>
        <v>94</v>
      </c>
    </row>
    <row r="5" spans="1:33" ht="18.75" x14ac:dyDescent="0.25">
      <c r="A5" s="56" t="s">
        <v>4</v>
      </c>
      <c r="B5" s="54">
        <v>7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12</v>
      </c>
      <c r="I5" s="54">
        <v>13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13</v>
      </c>
      <c r="P5" s="54">
        <v>7</v>
      </c>
      <c r="Q5" s="54">
        <v>0</v>
      </c>
      <c r="R5" s="54">
        <v>0</v>
      </c>
      <c r="S5" s="54">
        <v>10</v>
      </c>
      <c r="T5" s="54">
        <v>9</v>
      </c>
      <c r="U5" s="54">
        <v>12</v>
      </c>
      <c r="V5" s="54">
        <v>6</v>
      </c>
      <c r="W5" s="54">
        <v>11</v>
      </c>
      <c r="X5" s="54">
        <v>0</v>
      </c>
      <c r="Y5" s="54">
        <v>0</v>
      </c>
      <c r="Z5" s="54">
        <v>0</v>
      </c>
      <c r="AA5" s="54">
        <v>0</v>
      </c>
      <c r="AB5" s="54">
        <v>0</v>
      </c>
      <c r="AC5" s="54">
        <v>13</v>
      </c>
      <c r="AD5" s="54">
        <v>10</v>
      </c>
      <c r="AE5" s="54">
        <v>0</v>
      </c>
      <c r="AF5" s="54"/>
      <c r="AG5" s="5">
        <f t="shared" si="2"/>
        <v>123</v>
      </c>
    </row>
    <row r="6" spans="1:33" ht="18.75" x14ac:dyDescent="0.25">
      <c r="A6" s="56" t="s">
        <v>5</v>
      </c>
      <c r="B6" s="54">
        <v>16</v>
      </c>
      <c r="C6" s="54">
        <v>0</v>
      </c>
      <c r="D6" s="54">
        <v>0</v>
      </c>
      <c r="E6" s="54">
        <v>0</v>
      </c>
      <c r="F6" s="54">
        <v>0</v>
      </c>
      <c r="G6" s="54">
        <v>0</v>
      </c>
      <c r="H6" s="54">
        <v>17</v>
      </c>
      <c r="I6" s="54">
        <v>12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13</v>
      </c>
      <c r="P6" s="54">
        <v>17</v>
      </c>
      <c r="Q6" s="54">
        <v>0</v>
      </c>
      <c r="R6" s="54">
        <v>0</v>
      </c>
      <c r="S6" s="54">
        <v>9</v>
      </c>
      <c r="T6" s="54">
        <v>11</v>
      </c>
      <c r="U6" s="54">
        <v>17</v>
      </c>
      <c r="V6" s="54">
        <v>19</v>
      </c>
      <c r="W6" s="54">
        <v>14</v>
      </c>
      <c r="X6" s="54">
        <v>0</v>
      </c>
      <c r="Y6" s="54">
        <v>0</v>
      </c>
      <c r="Z6" s="54">
        <v>0</v>
      </c>
      <c r="AA6" s="54">
        <v>0</v>
      </c>
      <c r="AB6" s="54">
        <v>0</v>
      </c>
      <c r="AC6" s="54">
        <v>18</v>
      </c>
      <c r="AD6" s="54">
        <v>24</v>
      </c>
      <c r="AE6" s="54">
        <v>0</v>
      </c>
      <c r="AF6" s="54"/>
      <c r="AG6" s="5">
        <f t="shared" si="2"/>
        <v>187</v>
      </c>
    </row>
    <row r="7" spans="1:33" ht="18.75" x14ac:dyDescent="0.25">
      <c r="A7" s="56" t="s">
        <v>6</v>
      </c>
      <c r="B7" s="54">
        <v>11</v>
      </c>
      <c r="C7" s="54">
        <v>0</v>
      </c>
      <c r="D7" s="54">
        <v>0</v>
      </c>
      <c r="E7" s="54">
        <v>0</v>
      </c>
      <c r="F7" s="54">
        <v>0</v>
      </c>
      <c r="G7" s="54">
        <v>0</v>
      </c>
      <c r="H7" s="54">
        <v>14</v>
      </c>
      <c r="I7" s="54">
        <v>23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17</v>
      </c>
      <c r="P7" s="54">
        <v>19</v>
      </c>
      <c r="Q7" s="54">
        <v>0</v>
      </c>
      <c r="R7" s="54">
        <v>0</v>
      </c>
      <c r="S7" s="54">
        <v>11</v>
      </c>
      <c r="T7" s="54">
        <v>23</v>
      </c>
      <c r="U7" s="54">
        <v>28</v>
      </c>
      <c r="V7" s="54">
        <v>19</v>
      </c>
      <c r="W7" s="54">
        <v>23</v>
      </c>
      <c r="X7" s="54">
        <v>0</v>
      </c>
      <c r="Y7" s="54">
        <v>0</v>
      </c>
      <c r="Z7" s="54">
        <v>0</v>
      </c>
      <c r="AA7" s="54">
        <v>0</v>
      </c>
      <c r="AB7" s="54">
        <v>0</v>
      </c>
      <c r="AC7" s="54">
        <v>18</v>
      </c>
      <c r="AD7" s="54">
        <v>18</v>
      </c>
      <c r="AE7" s="54">
        <v>0</v>
      </c>
      <c r="AF7" s="54"/>
      <c r="AG7" s="5">
        <f t="shared" si="2"/>
        <v>224</v>
      </c>
    </row>
    <row r="8" spans="1:33" ht="18.75" x14ac:dyDescent="0.25">
      <c r="A8" s="56" t="s">
        <v>7</v>
      </c>
      <c r="B8" s="54">
        <v>6</v>
      </c>
      <c r="C8" s="54">
        <v>0</v>
      </c>
      <c r="D8" s="54">
        <v>0</v>
      </c>
      <c r="E8" s="54">
        <v>0</v>
      </c>
      <c r="F8" s="54">
        <v>0</v>
      </c>
      <c r="G8" s="54">
        <v>0</v>
      </c>
      <c r="H8" s="54">
        <v>13</v>
      </c>
      <c r="I8" s="54">
        <v>15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20</v>
      </c>
      <c r="P8" s="54">
        <v>11</v>
      </c>
      <c r="Q8" s="54">
        <v>0</v>
      </c>
      <c r="R8" s="54">
        <v>22</v>
      </c>
      <c r="S8" s="54">
        <v>14</v>
      </c>
      <c r="T8" s="54">
        <v>12</v>
      </c>
      <c r="U8" s="54">
        <v>22</v>
      </c>
      <c r="V8" s="54">
        <v>24</v>
      </c>
      <c r="W8" s="54">
        <v>20</v>
      </c>
      <c r="X8" s="54">
        <v>0</v>
      </c>
      <c r="Y8" s="54">
        <v>0</v>
      </c>
      <c r="Z8" s="54">
        <v>0</v>
      </c>
      <c r="AA8" s="54">
        <v>0</v>
      </c>
      <c r="AB8" s="54">
        <v>0</v>
      </c>
      <c r="AC8" s="54">
        <v>19</v>
      </c>
      <c r="AD8" s="54">
        <v>23</v>
      </c>
      <c r="AE8" s="54">
        <v>0</v>
      </c>
      <c r="AF8" s="54"/>
      <c r="AG8" s="5">
        <f t="shared" si="2"/>
        <v>221</v>
      </c>
    </row>
    <row r="9" spans="1:33" ht="18.75" x14ac:dyDescent="0.25">
      <c r="A9" s="56" t="s">
        <v>8</v>
      </c>
      <c r="B9" s="54">
        <v>18</v>
      </c>
      <c r="C9" s="54">
        <v>0</v>
      </c>
      <c r="D9" s="54">
        <v>0</v>
      </c>
      <c r="E9" s="54">
        <v>0</v>
      </c>
      <c r="F9" s="54">
        <v>0</v>
      </c>
      <c r="G9" s="54">
        <v>0</v>
      </c>
      <c r="H9" s="54">
        <v>14</v>
      </c>
      <c r="I9" s="54">
        <v>13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13</v>
      </c>
      <c r="P9" s="54">
        <v>12</v>
      </c>
      <c r="Q9" s="54">
        <v>0</v>
      </c>
      <c r="R9" s="54">
        <v>9</v>
      </c>
      <c r="S9" s="54">
        <v>6</v>
      </c>
      <c r="T9" s="54">
        <v>9</v>
      </c>
      <c r="U9" s="54">
        <v>16</v>
      </c>
      <c r="V9" s="54">
        <v>16</v>
      </c>
      <c r="W9" s="54">
        <v>10</v>
      </c>
      <c r="X9" s="54">
        <v>0</v>
      </c>
      <c r="Y9" s="54">
        <v>0</v>
      </c>
      <c r="Z9" s="54">
        <v>0</v>
      </c>
      <c r="AA9" s="54">
        <v>0</v>
      </c>
      <c r="AB9" s="54">
        <v>0</v>
      </c>
      <c r="AC9" s="54">
        <v>15</v>
      </c>
      <c r="AD9" s="54">
        <v>12</v>
      </c>
      <c r="AE9" s="54">
        <v>0</v>
      </c>
      <c r="AF9" s="54"/>
      <c r="AG9" s="5">
        <f t="shared" si="2"/>
        <v>163</v>
      </c>
    </row>
    <row r="10" spans="1:33" ht="18.75" x14ac:dyDescent="0.25">
      <c r="A10" s="56" t="s">
        <v>9</v>
      </c>
      <c r="B10" s="54">
        <v>17</v>
      </c>
      <c r="C10" s="54">
        <v>0</v>
      </c>
      <c r="D10" s="54">
        <v>0</v>
      </c>
      <c r="E10" s="54">
        <v>0</v>
      </c>
      <c r="F10" s="54">
        <v>0</v>
      </c>
      <c r="G10" s="54">
        <v>0</v>
      </c>
      <c r="H10" s="54">
        <v>15</v>
      </c>
      <c r="I10" s="54">
        <v>18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10</v>
      </c>
      <c r="P10" s="54">
        <v>18</v>
      </c>
      <c r="Q10" s="54">
        <v>0</v>
      </c>
      <c r="R10" s="54">
        <v>13</v>
      </c>
      <c r="S10" s="54">
        <v>12</v>
      </c>
      <c r="T10" s="54">
        <v>12</v>
      </c>
      <c r="U10" s="54">
        <v>8</v>
      </c>
      <c r="V10" s="54">
        <v>20</v>
      </c>
      <c r="W10" s="54">
        <v>19</v>
      </c>
      <c r="X10" s="54">
        <v>0</v>
      </c>
      <c r="Y10" s="54">
        <v>0</v>
      </c>
      <c r="Z10" s="54">
        <v>0</v>
      </c>
      <c r="AA10" s="54">
        <v>0</v>
      </c>
      <c r="AB10" s="54">
        <v>0</v>
      </c>
      <c r="AC10" s="54">
        <v>13</v>
      </c>
      <c r="AD10" s="54">
        <v>13</v>
      </c>
      <c r="AE10" s="54">
        <v>0</v>
      </c>
      <c r="AF10" s="54"/>
      <c r="AG10" s="5">
        <f t="shared" si="2"/>
        <v>188</v>
      </c>
    </row>
    <row r="11" spans="1:33" ht="18.75" x14ac:dyDescent="0.25">
      <c r="A11" s="56" t="s">
        <v>10</v>
      </c>
      <c r="B11" s="54">
        <v>14</v>
      </c>
      <c r="C11" s="54">
        <v>0</v>
      </c>
      <c r="D11" s="54">
        <v>0</v>
      </c>
      <c r="E11" s="54">
        <v>0</v>
      </c>
      <c r="F11" s="54">
        <v>0</v>
      </c>
      <c r="G11" s="54">
        <v>7</v>
      </c>
      <c r="H11" s="54">
        <v>11</v>
      </c>
      <c r="I11" s="54">
        <v>9</v>
      </c>
      <c r="J11" s="54">
        <v>0</v>
      </c>
      <c r="K11" s="54">
        <v>0</v>
      </c>
      <c r="L11" s="54">
        <v>0</v>
      </c>
      <c r="M11" s="54">
        <v>0</v>
      </c>
      <c r="N11" s="54">
        <v>4</v>
      </c>
      <c r="O11" s="54">
        <v>13</v>
      </c>
      <c r="P11" s="54">
        <v>13</v>
      </c>
      <c r="Q11" s="54">
        <v>0</v>
      </c>
      <c r="R11" s="54">
        <v>10</v>
      </c>
      <c r="S11" s="54">
        <v>11</v>
      </c>
      <c r="T11" s="54">
        <v>18</v>
      </c>
      <c r="U11" s="54">
        <v>22</v>
      </c>
      <c r="V11" s="54">
        <v>13</v>
      </c>
      <c r="W11" s="54">
        <v>16</v>
      </c>
      <c r="X11" s="54">
        <v>0</v>
      </c>
      <c r="Y11" s="54">
        <v>0</v>
      </c>
      <c r="Z11" s="54">
        <v>0</v>
      </c>
      <c r="AA11" s="54">
        <v>0</v>
      </c>
      <c r="AB11" s="54">
        <v>2</v>
      </c>
      <c r="AC11" s="54">
        <v>8</v>
      </c>
      <c r="AD11" s="54">
        <v>8</v>
      </c>
      <c r="AE11" s="54">
        <v>0</v>
      </c>
      <c r="AF11" s="54"/>
      <c r="AG11" s="5">
        <f t="shared" si="2"/>
        <v>179</v>
      </c>
    </row>
    <row r="12" spans="1:33" ht="18.75" x14ac:dyDescent="0.25">
      <c r="A12" s="56" t="s">
        <v>11</v>
      </c>
      <c r="B12" s="54">
        <v>15</v>
      </c>
      <c r="C12" s="54">
        <v>2</v>
      </c>
      <c r="D12" s="54">
        <v>5</v>
      </c>
      <c r="E12" s="54">
        <v>6</v>
      </c>
      <c r="F12" s="54">
        <v>5</v>
      </c>
      <c r="G12" s="54">
        <v>40</v>
      </c>
      <c r="H12" s="54">
        <v>17</v>
      </c>
      <c r="I12" s="54">
        <v>13</v>
      </c>
      <c r="J12" s="54">
        <v>1</v>
      </c>
      <c r="K12" s="54">
        <v>3</v>
      </c>
      <c r="L12" s="54">
        <v>5</v>
      </c>
      <c r="M12" s="54">
        <v>6</v>
      </c>
      <c r="N12" s="54">
        <v>44</v>
      </c>
      <c r="O12" s="54">
        <v>21</v>
      </c>
      <c r="P12" s="54">
        <v>9</v>
      </c>
      <c r="Q12" s="54">
        <v>0</v>
      </c>
      <c r="R12" s="54">
        <v>15</v>
      </c>
      <c r="S12" s="54">
        <v>16</v>
      </c>
      <c r="T12" s="54">
        <v>9</v>
      </c>
      <c r="U12" s="54">
        <v>21</v>
      </c>
      <c r="V12" s="54">
        <v>13</v>
      </c>
      <c r="W12" s="54">
        <v>10</v>
      </c>
      <c r="X12" s="54">
        <v>0</v>
      </c>
      <c r="Y12" s="54">
        <v>4</v>
      </c>
      <c r="Z12" s="54">
        <v>12</v>
      </c>
      <c r="AA12" s="54">
        <v>3</v>
      </c>
      <c r="AB12" s="54">
        <v>52</v>
      </c>
      <c r="AC12" s="54">
        <v>17</v>
      </c>
      <c r="AD12" s="54">
        <v>22</v>
      </c>
      <c r="AE12" s="54">
        <v>0</v>
      </c>
      <c r="AF12" s="54"/>
      <c r="AG12" s="5">
        <f t="shared" si="2"/>
        <v>386</v>
      </c>
    </row>
    <row r="13" spans="1:33" ht="18.75" x14ac:dyDescent="0.25">
      <c r="A13" s="56" t="s">
        <v>12</v>
      </c>
      <c r="B13" s="54">
        <v>8</v>
      </c>
      <c r="C13" s="54">
        <v>62</v>
      </c>
      <c r="D13" s="54">
        <v>51</v>
      </c>
      <c r="E13" s="54">
        <v>57</v>
      </c>
      <c r="F13" s="54">
        <v>53</v>
      </c>
      <c r="G13" s="54">
        <v>14</v>
      </c>
      <c r="H13" s="54">
        <v>13</v>
      </c>
      <c r="I13" s="54">
        <v>7</v>
      </c>
      <c r="J13" s="54">
        <v>54</v>
      </c>
      <c r="K13" s="54">
        <v>71</v>
      </c>
      <c r="L13" s="54">
        <v>48</v>
      </c>
      <c r="M13" s="54">
        <v>43</v>
      </c>
      <c r="N13" s="54">
        <v>26</v>
      </c>
      <c r="O13" s="54">
        <v>15</v>
      </c>
      <c r="P13" s="54">
        <v>14</v>
      </c>
      <c r="Q13" s="54">
        <v>61</v>
      </c>
      <c r="R13" s="54">
        <v>10</v>
      </c>
      <c r="S13" s="54">
        <v>10</v>
      </c>
      <c r="T13" s="54">
        <v>17</v>
      </c>
      <c r="U13" s="54">
        <v>20</v>
      </c>
      <c r="V13" s="54">
        <v>8</v>
      </c>
      <c r="W13" s="54">
        <v>12</v>
      </c>
      <c r="X13" s="54">
        <v>77</v>
      </c>
      <c r="Y13" s="54">
        <v>72</v>
      </c>
      <c r="Z13" s="54">
        <v>55</v>
      </c>
      <c r="AA13" s="54">
        <v>70</v>
      </c>
      <c r="AB13" s="54">
        <v>21</v>
      </c>
      <c r="AC13" s="54">
        <v>15</v>
      </c>
      <c r="AD13" s="54">
        <v>12</v>
      </c>
      <c r="AE13" s="54">
        <v>60</v>
      </c>
      <c r="AF13" s="54"/>
      <c r="AG13" s="5">
        <f t="shared" si="2"/>
        <v>1056</v>
      </c>
    </row>
    <row r="14" spans="1:33" ht="18.75" x14ac:dyDescent="0.25">
      <c r="A14" s="56" t="s">
        <v>13</v>
      </c>
      <c r="B14" s="54">
        <v>13</v>
      </c>
      <c r="C14" s="54">
        <v>27</v>
      </c>
      <c r="D14" s="54">
        <v>17</v>
      </c>
      <c r="E14" s="54">
        <v>19</v>
      </c>
      <c r="F14" s="54">
        <v>12</v>
      </c>
      <c r="G14" s="54">
        <v>14</v>
      </c>
      <c r="H14" s="54">
        <v>12</v>
      </c>
      <c r="I14" s="54">
        <v>14</v>
      </c>
      <c r="J14" s="54">
        <v>31</v>
      </c>
      <c r="K14" s="54">
        <v>23</v>
      </c>
      <c r="L14" s="54">
        <v>19</v>
      </c>
      <c r="M14" s="54">
        <v>17</v>
      </c>
      <c r="N14" s="54">
        <v>11</v>
      </c>
      <c r="O14" s="54">
        <v>13</v>
      </c>
      <c r="P14" s="54">
        <v>14</v>
      </c>
      <c r="Q14" s="54">
        <v>17</v>
      </c>
      <c r="R14" s="54">
        <v>14</v>
      </c>
      <c r="S14" s="54">
        <v>6</v>
      </c>
      <c r="T14" s="54">
        <v>6</v>
      </c>
      <c r="U14" s="54">
        <v>16</v>
      </c>
      <c r="V14" s="54">
        <v>11</v>
      </c>
      <c r="W14" s="54">
        <v>12</v>
      </c>
      <c r="X14" s="54">
        <v>46</v>
      </c>
      <c r="Y14" s="54">
        <v>20</v>
      </c>
      <c r="Z14" s="54">
        <v>16</v>
      </c>
      <c r="AA14" s="54">
        <v>20</v>
      </c>
      <c r="AB14" s="54">
        <v>17</v>
      </c>
      <c r="AC14" s="54">
        <v>19</v>
      </c>
      <c r="AD14" s="54">
        <v>14</v>
      </c>
      <c r="AE14" s="54">
        <v>23</v>
      </c>
      <c r="AF14" s="54"/>
      <c r="AG14" s="5">
        <f t="shared" si="2"/>
        <v>513</v>
      </c>
    </row>
    <row r="15" spans="1:33" ht="18.75" x14ac:dyDescent="0.25">
      <c r="A15" s="56" t="s">
        <v>14</v>
      </c>
      <c r="B15" s="54">
        <v>16</v>
      </c>
      <c r="C15" s="54">
        <v>15</v>
      </c>
      <c r="D15" s="54">
        <v>14</v>
      </c>
      <c r="E15" s="54">
        <v>12</v>
      </c>
      <c r="F15" s="54">
        <v>13</v>
      </c>
      <c r="G15" s="54">
        <v>16</v>
      </c>
      <c r="H15" s="54">
        <v>11</v>
      </c>
      <c r="I15" s="54">
        <v>11</v>
      </c>
      <c r="J15" s="54">
        <v>12</v>
      </c>
      <c r="K15" s="54">
        <v>19</v>
      </c>
      <c r="L15" s="54">
        <v>13</v>
      </c>
      <c r="M15" s="54">
        <v>14</v>
      </c>
      <c r="N15" s="54">
        <v>13</v>
      </c>
      <c r="O15" s="54">
        <v>9</v>
      </c>
      <c r="P15" s="54">
        <v>8</v>
      </c>
      <c r="Q15" s="54">
        <v>19</v>
      </c>
      <c r="R15" s="54">
        <v>4</v>
      </c>
      <c r="S15" s="54">
        <v>9</v>
      </c>
      <c r="T15" s="54">
        <v>8</v>
      </c>
      <c r="U15" s="54">
        <v>9</v>
      </c>
      <c r="V15" s="54">
        <v>5</v>
      </c>
      <c r="W15" s="54">
        <v>12</v>
      </c>
      <c r="X15" s="54">
        <v>17</v>
      </c>
      <c r="Y15" s="54">
        <v>13</v>
      </c>
      <c r="Z15" s="54">
        <v>15</v>
      </c>
      <c r="AA15" s="54">
        <v>10</v>
      </c>
      <c r="AB15" s="54">
        <v>11</v>
      </c>
      <c r="AC15" s="54">
        <v>11</v>
      </c>
      <c r="AD15" s="54">
        <v>8</v>
      </c>
      <c r="AE15" s="54">
        <v>7</v>
      </c>
      <c r="AF15" s="54"/>
      <c r="AG15" s="5">
        <f t="shared" si="2"/>
        <v>354</v>
      </c>
    </row>
    <row r="16" spans="1:33" ht="18.75" x14ac:dyDescent="0.25">
      <c r="A16" s="56" t="s">
        <v>15</v>
      </c>
      <c r="B16" s="54">
        <v>9</v>
      </c>
      <c r="C16" s="54">
        <v>14</v>
      </c>
      <c r="D16" s="54">
        <v>13</v>
      </c>
      <c r="E16" s="54">
        <v>17</v>
      </c>
      <c r="F16" s="54">
        <v>5</v>
      </c>
      <c r="G16" s="54">
        <v>11</v>
      </c>
      <c r="H16" s="54">
        <v>8</v>
      </c>
      <c r="I16" s="54">
        <v>10</v>
      </c>
      <c r="J16" s="54">
        <v>9</v>
      </c>
      <c r="K16" s="54">
        <v>13</v>
      </c>
      <c r="L16" s="54">
        <v>11</v>
      </c>
      <c r="M16" s="54">
        <v>9</v>
      </c>
      <c r="N16" s="54">
        <v>6</v>
      </c>
      <c r="O16" s="54">
        <v>11</v>
      </c>
      <c r="P16" s="54">
        <v>14</v>
      </c>
      <c r="Q16" s="54">
        <v>12</v>
      </c>
      <c r="R16" s="54">
        <v>10</v>
      </c>
      <c r="S16" s="54">
        <v>9</v>
      </c>
      <c r="T16" s="54">
        <v>10</v>
      </c>
      <c r="U16" s="54">
        <v>7</v>
      </c>
      <c r="V16" s="54">
        <v>9</v>
      </c>
      <c r="W16" s="54">
        <v>10</v>
      </c>
      <c r="X16" s="54">
        <v>15</v>
      </c>
      <c r="Y16" s="54">
        <v>17</v>
      </c>
      <c r="Z16" s="54">
        <v>8</v>
      </c>
      <c r="AA16" s="54">
        <v>11</v>
      </c>
      <c r="AB16" s="54">
        <v>12</v>
      </c>
      <c r="AC16" s="54">
        <v>8</v>
      </c>
      <c r="AD16" s="54">
        <v>9</v>
      </c>
      <c r="AE16" s="54">
        <v>11</v>
      </c>
      <c r="AF16" s="54"/>
      <c r="AG16" s="5">
        <f t="shared" si="2"/>
        <v>318</v>
      </c>
    </row>
    <row r="17" spans="1:33" ht="18.75" x14ac:dyDescent="0.25">
      <c r="A17" s="56" t="s">
        <v>16</v>
      </c>
      <c r="B17" s="54">
        <v>13</v>
      </c>
      <c r="C17" s="54">
        <v>14</v>
      </c>
      <c r="D17" s="54">
        <v>14</v>
      </c>
      <c r="E17" s="54">
        <v>11</v>
      </c>
      <c r="F17" s="54">
        <v>10</v>
      </c>
      <c r="G17" s="54">
        <v>9</v>
      </c>
      <c r="H17" s="54">
        <v>10</v>
      </c>
      <c r="I17" s="54">
        <v>11</v>
      </c>
      <c r="J17" s="54">
        <v>8</v>
      </c>
      <c r="K17" s="54">
        <v>14</v>
      </c>
      <c r="L17" s="54">
        <v>9</v>
      </c>
      <c r="M17" s="54">
        <v>13</v>
      </c>
      <c r="N17" s="54">
        <v>7</v>
      </c>
      <c r="O17" s="54">
        <v>17</v>
      </c>
      <c r="P17" s="54">
        <v>9</v>
      </c>
      <c r="Q17" s="54">
        <v>13</v>
      </c>
      <c r="R17" s="54">
        <v>6</v>
      </c>
      <c r="S17" s="54">
        <v>10</v>
      </c>
      <c r="T17" s="54">
        <v>12</v>
      </c>
      <c r="U17" s="54">
        <v>7</v>
      </c>
      <c r="V17" s="54">
        <v>3</v>
      </c>
      <c r="W17" s="54">
        <v>11</v>
      </c>
      <c r="X17" s="54">
        <v>12</v>
      </c>
      <c r="Y17" s="54">
        <v>5</v>
      </c>
      <c r="Z17" s="54">
        <v>8</v>
      </c>
      <c r="AA17" s="54">
        <v>13</v>
      </c>
      <c r="AB17" s="54">
        <v>5</v>
      </c>
      <c r="AC17" s="54">
        <v>9</v>
      </c>
      <c r="AD17" s="54">
        <v>12</v>
      </c>
      <c r="AE17" s="54">
        <v>6</v>
      </c>
      <c r="AF17" s="54"/>
      <c r="AG17" s="5">
        <f t="shared" si="2"/>
        <v>301</v>
      </c>
    </row>
    <row r="18" spans="1:33" ht="18.75" x14ac:dyDescent="0.25">
      <c r="A18" s="56" t="s">
        <v>17</v>
      </c>
      <c r="B18" s="54">
        <v>11</v>
      </c>
      <c r="C18" s="54">
        <v>8</v>
      </c>
      <c r="D18" s="54">
        <v>9</v>
      </c>
      <c r="E18" s="54">
        <v>9</v>
      </c>
      <c r="F18" s="54">
        <v>11</v>
      </c>
      <c r="G18" s="54">
        <v>8</v>
      </c>
      <c r="H18" s="54">
        <v>8</v>
      </c>
      <c r="I18" s="54">
        <v>7</v>
      </c>
      <c r="J18" s="54">
        <v>7</v>
      </c>
      <c r="K18" s="54">
        <v>18</v>
      </c>
      <c r="L18" s="54">
        <v>8</v>
      </c>
      <c r="M18" s="54">
        <v>8</v>
      </c>
      <c r="N18" s="54">
        <v>11</v>
      </c>
      <c r="O18" s="54">
        <v>5</v>
      </c>
      <c r="P18" s="54">
        <v>8</v>
      </c>
      <c r="Q18" s="54">
        <v>13</v>
      </c>
      <c r="R18" s="54">
        <v>5</v>
      </c>
      <c r="S18" s="54">
        <v>6</v>
      </c>
      <c r="T18" s="54">
        <v>8</v>
      </c>
      <c r="U18" s="54">
        <v>6</v>
      </c>
      <c r="V18" s="54">
        <v>6</v>
      </c>
      <c r="W18" s="54">
        <v>9</v>
      </c>
      <c r="X18" s="54">
        <v>3</v>
      </c>
      <c r="Y18" s="54">
        <v>8</v>
      </c>
      <c r="Z18" s="54">
        <v>11</v>
      </c>
      <c r="AA18" s="54">
        <v>10</v>
      </c>
      <c r="AB18" s="54">
        <v>4</v>
      </c>
      <c r="AC18" s="54">
        <v>5</v>
      </c>
      <c r="AD18" s="54">
        <v>9</v>
      </c>
      <c r="AE18" s="54">
        <v>9</v>
      </c>
      <c r="AF18" s="54"/>
      <c r="AG18" s="5">
        <f t="shared" si="2"/>
        <v>248</v>
      </c>
    </row>
    <row r="19" spans="1:33" ht="18.75" x14ac:dyDescent="0.25">
      <c r="A19" s="56" t="s">
        <v>18</v>
      </c>
      <c r="B19" s="54">
        <v>3</v>
      </c>
      <c r="C19" s="54">
        <v>6</v>
      </c>
      <c r="D19" s="54">
        <v>15</v>
      </c>
      <c r="E19" s="54">
        <v>1</v>
      </c>
      <c r="F19" s="54">
        <v>5</v>
      </c>
      <c r="G19" s="54">
        <v>5</v>
      </c>
      <c r="H19" s="54">
        <v>3</v>
      </c>
      <c r="I19" s="54">
        <v>10</v>
      </c>
      <c r="J19" s="54">
        <v>8</v>
      </c>
      <c r="K19" s="54">
        <v>2</v>
      </c>
      <c r="L19" s="54">
        <v>5</v>
      </c>
      <c r="M19" s="54">
        <v>4</v>
      </c>
      <c r="N19" s="54">
        <v>0</v>
      </c>
      <c r="O19" s="54">
        <v>7</v>
      </c>
      <c r="P19" s="54">
        <v>4</v>
      </c>
      <c r="Q19" s="54">
        <v>5</v>
      </c>
      <c r="R19" s="54">
        <v>9</v>
      </c>
      <c r="S19" s="54">
        <v>4</v>
      </c>
      <c r="T19" s="54">
        <v>8</v>
      </c>
      <c r="U19" s="54">
        <v>11</v>
      </c>
      <c r="V19" s="54">
        <v>5</v>
      </c>
      <c r="W19" s="54">
        <v>8</v>
      </c>
      <c r="X19" s="54">
        <v>8</v>
      </c>
      <c r="Y19" s="54">
        <v>4</v>
      </c>
      <c r="Z19" s="54">
        <v>8</v>
      </c>
      <c r="AA19" s="54">
        <v>5</v>
      </c>
      <c r="AB19" s="54">
        <v>11</v>
      </c>
      <c r="AC19" s="54">
        <v>10</v>
      </c>
      <c r="AD19" s="54">
        <v>5</v>
      </c>
      <c r="AE19" s="54">
        <v>6</v>
      </c>
      <c r="AF19" s="54"/>
      <c r="AG19" s="5">
        <f t="shared" si="2"/>
        <v>185</v>
      </c>
    </row>
    <row r="20" spans="1:33" ht="18.75" x14ac:dyDescent="0.25">
      <c r="A20" s="56" t="s">
        <v>19</v>
      </c>
      <c r="B20" s="54">
        <v>5</v>
      </c>
      <c r="C20" s="54">
        <v>1</v>
      </c>
      <c r="D20" s="54">
        <v>6</v>
      </c>
      <c r="E20" s="54">
        <v>1</v>
      </c>
      <c r="F20" s="54">
        <v>2</v>
      </c>
      <c r="G20" s="54">
        <v>3</v>
      </c>
      <c r="H20" s="54">
        <v>5</v>
      </c>
      <c r="I20" s="54">
        <v>0</v>
      </c>
      <c r="J20" s="54">
        <v>8</v>
      </c>
      <c r="K20" s="54">
        <v>3</v>
      </c>
      <c r="L20" s="54">
        <v>1</v>
      </c>
      <c r="M20" s="54">
        <v>4</v>
      </c>
      <c r="N20" s="54">
        <v>1</v>
      </c>
      <c r="O20" s="54">
        <v>8</v>
      </c>
      <c r="P20" s="54">
        <v>4</v>
      </c>
      <c r="Q20" s="54">
        <v>10</v>
      </c>
      <c r="R20" s="54">
        <v>4</v>
      </c>
      <c r="S20" s="54">
        <v>2</v>
      </c>
      <c r="T20" s="54">
        <v>4</v>
      </c>
      <c r="U20" s="54">
        <v>3</v>
      </c>
      <c r="V20" s="54">
        <v>6</v>
      </c>
      <c r="W20" s="54">
        <v>3</v>
      </c>
      <c r="X20" s="54">
        <v>7</v>
      </c>
      <c r="Y20" s="54">
        <v>4</v>
      </c>
      <c r="Z20" s="54">
        <v>4</v>
      </c>
      <c r="AA20" s="54">
        <v>1</v>
      </c>
      <c r="AB20" s="54">
        <v>1</v>
      </c>
      <c r="AC20" s="54">
        <v>2</v>
      </c>
      <c r="AD20" s="54">
        <v>5</v>
      </c>
      <c r="AE20" s="54">
        <v>4</v>
      </c>
      <c r="AF20" s="54"/>
      <c r="AG20" s="5">
        <f t="shared" si="2"/>
        <v>112</v>
      </c>
    </row>
    <row r="21" spans="1:33" ht="15.75" customHeight="1" x14ac:dyDescent="0.25">
      <c r="A21" s="56" t="s">
        <v>20</v>
      </c>
      <c r="B21" s="54">
        <v>2</v>
      </c>
      <c r="C21" s="54">
        <v>3</v>
      </c>
      <c r="D21" s="54">
        <v>2</v>
      </c>
      <c r="E21" s="54">
        <v>1</v>
      </c>
      <c r="F21" s="54">
        <v>2</v>
      </c>
      <c r="G21" s="54">
        <v>1</v>
      </c>
      <c r="H21" s="54">
        <v>2</v>
      </c>
      <c r="I21" s="54">
        <v>3</v>
      </c>
      <c r="J21" s="54">
        <v>3</v>
      </c>
      <c r="K21" s="54">
        <v>4</v>
      </c>
      <c r="L21" s="54">
        <v>2</v>
      </c>
      <c r="M21" s="54">
        <v>2</v>
      </c>
      <c r="N21" s="54">
        <v>3</v>
      </c>
      <c r="O21" s="54">
        <v>3</v>
      </c>
      <c r="P21" s="54">
        <v>5</v>
      </c>
      <c r="Q21" s="54">
        <v>3</v>
      </c>
      <c r="R21" s="54">
        <v>3</v>
      </c>
      <c r="S21" s="54">
        <v>5</v>
      </c>
      <c r="T21" s="54">
        <v>3</v>
      </c>
      <c r="U21" s="54">
        <v>1</v>
      </c>
      <c r="V21" s="54">
        <v>5</v>
      </c>
      <c r="W21" s="54">
        <v>1</v>
      </c>
      <c r="X21" s="54">
        <v>5</v>
      </c>
      <c r="Y21" s="54">
        <v>6</v>
      </c>
      <c r="Z21" s="54">
        <v>2</v>
      </c>
      <c r="AA21" s="54">
        <v>1</v>
      </c>
      <c r="AB21" s="54">
        <v>4</v>
      </c>
      <c r="AC21" s="54">
        <v>3</v>
      </c>
      <c r="AD21" s="54">
        <v>2</v>
      </c>
      <c r="AE21" s="54">
        <v>1</v>
      </c>
      <c r="AF21" s="54"/>
      <c r="AG21" s="5">
        <f t="shared" si="2"/>
        <v>83</v>
      </c>
    </row>
    <row r="22" spans="1:33" ht="15.75" customHeight="1" x14ac:dyDescent="0.25">
      <c r="A22" s="56" t="s">
        <v>21</v>
      </c>
      <c r="B22" s="54">
        <v>1</v>
      </c>
      <c r="C22" s="54">
        <v>1</v>
      </c>
      <c r="D22" s="54">
        <v>0</v>
      </c>
      <c r="E22" s="54">
        <v>0</v>
      </c>
      <c r="F22" s="54">
        <v>1</v>
      </c>
      <c r="G22" s="54">
        <v>0</v>
      </c>
      <c r="H22" s="54">
        <v>0</v>
      </c>
      <c r="I22" s="54">
        <v>2</v>
      </c>
      <c r="J22" s="54">
        <v>6</v>
      </c>
      <c r="K22" s="54">
        <v>3</v>
      </c>
      <c r="L22" s="54">
        <v>2</v>
      </c>
      <c r="M22" s="54">
        <v>1</v>
      </c>
      <c r="N22" s="54">
        <v>1</v>
      </c>
      <c r="O22" s="54">
        <v>3</v>
      </c>
      <c r="P22" s="54">
        <v>4</v>
      </c>
      <c r="Q22" s="54">
        <v>2</v>
      </c>
      <c r="R22" s="54">
        <v>2</v>
      </c>
      <c r="S22" s="54">
        <v>2</v>
      </c>
      <c r="T22" s="54">
        <v>4</v>
      </c>
      <c r="U22" s="54">
        <v>5</v>
      </c>
      <c r="V22" s="54">
        <v>6</v>
      </c>
      <c r="W22" s="54">
        <v>3</v>
      </c>
      <c r="X22" s="54">
        <v>3</v>
      </c>
      <c r="Y22" s="54">
        <v>3</v>
      </c>
      <c r="Z22" s="54">
        <v>2</v>
      </c>
      <c r="AA22" s="54">
        <v>2</v>
      </c>
      <c r="AB22" s="54">
        <v>1</v>
      </c>
      <c r="AC22" s="54">
        <v>2</v>
      </c>
      <c r="AD22" s="54">
        <v>4</v>
      </c>
      <c r="AE22" s="54">
        <v>2</v>
      </c>
      <c r="AF22" s="54"/>
      <c r="AG22" s="5">
        <f t="shared" si="2"/>
        <v>68</v>
      </c>
    </row>
    <row r="23" spans="1:33" ht="15.75" customHeight="1" x14ac:dyDescent="0.25">
      <c r="A23" s="56" t="s">
        <v>22</v>
      </c>
      <c r="B23" s="54">
        <v>1</v>
      </c>
      <c r="C23" s="54">
        <v>2</v>
      </c>
      <c r="D23" s="54">
        <v>3</v>
      </c>
      <c r="E23" s="54">
        <v>1</v>
      </c>
      <c r="F23" s="54">
        <v>2</v>
      </c>
      <c r="G23" s="54">
        <v>1</v>
      </c>
      <c r="H23" s="54">
        <v>0</v>
      </c>
      <c r="I23" s="54">
        <v>1</v>
      </c>
      <c r="J23" s="54">
        <v>0</v>
      </c>
      <c r="K23" s="54">
        <v>2</v>
      </c>
      <c r="L23" s="54">
        <v>2</v>
      </c>
      <c r="M23" s="54">
        <v>0</v>
      </c>
      <c r="N23" s="54">
        <v>1</v>
      </c>
      <c r="O23" s="54">
        <v>2</v>
      </c>
      <c r="P23" s="54">
        <v>5</v>
      </c>
      <c r="Q23" s="54">
        <v>1</v>
      </c>
      <c r="R23" s="54">
        <v>1</v>
      </c>
      <c r="S23" s="54">
        <v>0</v>
      </c>
      <c r="T23" s="54">
        <v>0</v>
      </c>
      <c r="U23" s="54">
        <v>1</v>
      </c>
      <c r="V23" s="54">
        <v>2</v>
      </c>
      <c r="W23" s="54">
        <v>2</v>
      </c>
      <c r="X23" s="54">
        <v>2</v>
      </c>
      <c r="Y23" s="54">
        <v>3</v>
      </c>
      <c r="Z23" s="54">
        <v>6</v>
      </c>
      <c r="AA23" s="54">
        <v>1</v>
      </c>
      <c r="AB23" s="54">
        <v>1</v>
      </c>
      <c r="AC23" s="54">
        <v>4</v>
      </c>
      <c r="AD23" s="54">
        <v>3</v>
      </c>
      <c r="AE23" s="54">
        <v>0</v>
      </c>
      <c r="AF23" s="54"/>
      <c r="AG23" s="5">
        <f t="shared" si="2"/>
        <v>50</v>
      </c>
    </row>
    <row r="24" spans="1:33" ht="15.75" customHeight="1" x14ac:dyDescent="0.25">
      <c r="A24" s="56" t="s">
        <v>23</v>
      </c>
      <c r="B24" s="54">
        <v>0</v>
      </c>
      <c r="C24" s="54">
        <v>1</v>
      </c>
      <c r="D24" s="54">
        <v>2</v>
      </c>
      <c r="E24" s="54">
        <v>2</v>
      </c>
      <c r="F24" s="54">
        <v>0</v>
      </c>
      <c r="G24" s="54">
        <v>1</v>
      </c>
      <c r="H24" s="54">
        <v>0</v>
      </c>
      <c r="I24" s="54">
        <v>0</v>
      </c>
      <c r="J24" s="54">
        <v>0</v>
      </c>
      <c r="K24" s="54">
        <v>1</v>
      </c>
      <c r="L24" s="54">
        <v>0</v>
      </c>
      <c r="M24" s="54">
        <v>2</v>
      </c>
      <c r="N24" s="54">
        <v>0</v>
      </c>
      <c r="O24" s="54">
        <v>0</v>
      </c>
      <c r="P24" s="54">
        <v>2</v>
      </c>
      <c r="Q24" s="54">
        <v>4</v>
      </c>
      <c r="R24" s="54">
        <v>0</v>
      </c>
      <c r="S24" s="54">
        <v>0</v>
      </c>
      <c r="T24" s="54">
        <v>2</v>
      </c>
      <c r="U24" s="54">
        <v>8</v>
      </c>
      <c r="V24" s="54">
        <v>2</v>
      </c>
      <c r="W24" s="54">
        <v>3</v>
      </c>
      <c r="X24" s="54">
        <v>2</v>
      </c>
      <c r="Y24" s="54">
        <v>2</v>
      </c>
      <c r="Z24" s="54">
        <v>2</v>
      </c>
      <c r="AA24" s="54">
        <v>0</v>
      </c>
      <c r="AB24" s="54">
        <v>0</v>
      </c>
      <c r="AC24" s="54">
        <v>3</v>
      </c>
      <c r="AD24" s="54">
        <v>0</v>
      </c>
      <c r="AE24" s="54">
        <v>1</v>
      </c>
      <c r="AF24" s="54"/>
      <c r="AG24" s="5">
        <f t="shared" si="2"/>
        <v>40</v>
      </c>
    </row>
    <row r="25" spans="1:33" ht="15.75" customHeight="1" x14ac:dyDescent="0.25">
      <c r="A25" s="56" t="s">
        <v>24</v>
      </c>
      <c r="B25" s="54">
        <v>2</v>
      </c>
      <c r="C25" s="54">
        <v>1</v>
      </c>
      <c r="D25" s="54">
        <v>1</v>
      </c>
      <c r="E25" s="54">
        <v>1</v>
      </c>
      <c r="F25" s="54">
        <v>1</v>
      </c>
      <c r="G25" s="54">
        <v>0</v>
      </c>
      <c r="H25" s="54">
        <v>0</v>
      </c>
      <c r="I25" s="54">
        <v>0</v>
      </c>
      <c r="J25" s="54">
        <v>1</v>
      </c>
      <c r="K25" s="54">
        <v>1</v>
      </c>
      <c r="L25" s="54">
        <v>1</v>
      </c>
      <c r="M25" s="54">
        <v>3</v>
      </c>
      <c r="N25" s="54">
        <v>1</v>
      </c>
      <c r="O25" s="54">
        <v>2</v>
      </c>
      <c r="P25" s="54">
        <v>1</v>
      </c>
      <c r="Q25" s="54">
        <v>2</v>
      </c>
      <c r="R25" s="54">
        <v>3</v>
      </c>
      <c r="S25" s="54">
        <v>1</v>
      </c>
      <c r="T25" s="54">
        <v>2</v>
      </c>
      <c r="U25" s="54">
        <v>4</v>
      </c>
      <c r="V25" s="54">
        <v>6</v>
      </c>
      <c r="W25" s="54">
        <v>4</v>
      </c>
      <c r="X25" s="54">
        <v>2</v>
      </c>
      <c r="Y25" s="54">
        <v>3</v>
      </c>
      <c r="Z25" s="54">
        <v>1</v>
      </c>
      <c r="AA25" s="54">
        <v>3</v>
      </c>
      <c r="AB25" s="54">
        <v>2</v>
      </c>
      <c r="AC25" s="54">
        <v>0</v>
      </c>
      <c r="AD25" s="54">
        <v>1</v>
      </c>
      <c r="AE25" s="54">
        <v>2</v>
      </c>
      <c r="AF25" s="54"/>
      <c r="AG25" s="5">
        <f t="shared" si="2"/>
        <v>52</v>
      </c>
    </row>
    <row r="26" spans="1:33" ht="15.75" customHeight="1" x14ac:dyDescent="0.25">
      <c r="A26" s="56" t="s">
        <v>25</v>
      </c>
      <c r="B26" s="54">
        <v>3</v>
      </c>
      <c r="C26" s="54">
        <v>2</v>
      </c>
      <c r="D26" s="54">
        <v>3</v>
      </c>
      <c r="E26" s="54">
        <v>0</v>
      </c>
      <c r="F26" s="54">
        <v>2</v>
      </c>
      <c r="G26" s="54">
        <v>3</v>
      </c>
      <c r="H26" s="54">
        <v>2</v>
      </c>
      <c r="I26" s="54">
        <v>2</v>
      </c>
      <c r="J26" s="54">
        <v>0</v>
      </c>
      <c r="K26" s="54">
        <v>1</v>
      </c>
      <c r="L26" s="54">
        <v>0</v>
      </c>
      <c r="M26" s="54">
        <v>3</v>
      </c>
      <c r="N26" s="54">
        <v>0</v>
      </c>
      <c r="O26" s="54">
        <v>0</v>
      </c>
      <c r="P26" s="54">
        <v>1</v>
      </c>
      <c r="Q26" s="54">
        <v>1</v>
      </c>
      <c r="R26" s="54">
        <v>0</v>
      </c>
      <c r="S26" s="54">
        <v>1</v>
      </c>
      <c r="T26" s="54">
        <v>2</v>
      </c>
      <c r="U26" s="54">
        <v>1</v>
      </c>
      <c r="V26" s="54">
        <v>1</v>
      </c>
      <c r="W26" s="54">
        <v>1</v>
      </c>
      <c r="X26" s="54">
        <v>1</v>
      </c>
      <c r="Y26" s="54">
        <v>0</v>
      </c>
      <c r="Z26" s="54">
        <v>1</v>
      </c>
      <c r="AA26" s="54">
        <v>2</v>
      </c>
      <c r="AB26" s="54">
        <v>2</v>
      </c>
      <c r="AC26" s="54">
        <v>0</v>
      </c>
      <c r="AD26" s="54">
        <v>1</v>
      </c>
      <c r="AE26" s="54">
        <v>0</v>
      </c>
      <c r="AF26" s="54"/>
      <c r="AG26" s="5">
        <f t="shared" si="2"/>
        <v>36</v>
      </c>
    </row>
    <row r="27" spans="1:33" ht="15.75" customHeight="1" thickBot="1" x14ac:dyDescent="0.3">
      <c r="A27" s="57" t="s">
        <v>26</v>
      </c>
      <c r="B27" s="58">
        <v>4</v>
      </c>
      <c r="C27" s="58">
        <v>0</v>
      </c>
      <c r="D27" s="58">
        <v>0</v>
      </c>
      <c r="E27" s="58">
        <v>0</v>
      </c>
      <c r="F27" s="58">
        <v>0</v>
      </c>
      <c r="G27" s="58">
        <v>0</v>
      </c>
      <c r="H27" s="58">
        <v>3</v>
      </c>
      <c r="I27" s="58">
        <v>2</v>
      </c>
      <c r="J27" s="58">
        <v>0</v>
      </c>
      <c r="K27" s="58">
        <v>0</v>
      </c>
      <c r="L27" s="58">
        <v>0</v>
      </c>
      <c r="M27" s="58">
        <v>0</v>
      </c>
      <c r="N27" s="58">
        <v>0</v>
      </c>
      <c r="O27" s="58">
        <v>0</v>
      </c>
      <c r="P27" s="58">
        <v>1</v>
      </c>
      <c r="Q27" s="58">
        <v>0</v>
      </c>
      <c r="R27" s="58">
        <v>0</v>
      </c>
      <c r="S27" s="58">
        <v>1</v>
      </c>
      <c r="T27" s="58">
        <v>1</v>
      </c>
      <c r="U27" s="58">
        <v>4</v>
      </c>
      <c r="V27" s="58">
        <v>1</v>
      </c>
      <c r="W27" s="58">
        <v>2</v>
      </c>
      <c r="X27" s="58">
        <v>0</v>
      </c>
      <c r="Y27" s="58">
        <v>0</v>
      </c>
      <c r="Z27" s="58">
        <v>0</v>
      </c>
      <c r="AA27" s="58">
        <v>0</v>
      </c>
      <c r="AB27" s="58">
        <v>0</v>
      </c>
      <c r="AC27" s="58">
        <v>3</v>
      </c>
      <c r="AD27" s="58">
        <v>4</v>
      </c>
      <c r="AE27" s="58">
        <v>0</v>
      </c>
      <c r="AF27" s="58"/>
      <c r="AG27" s="5">
        <f t="shared" si="2"/>
        <v>26</v>
      </c>
    </row>
    <row r="28" spans="1:33" ht="15.75" customHeight="1" x14ac:dyDescent="0.25">
      <c r="A28" s="59" t="s">
        <v>27</v>
      </c>
      <c r="B28" s="6">
        <f t="shared" ref="B28:AF28" si="3">SUM(B29:B52)</f>
        <v>195</v>
      </c>
      <c r="C28" s="6">
        <f t="shared" si="3"/>
        <v>141</v>
      </c>
      <c r="D28" s="6">
        <f t="shared" si="3"/>
        <v>147</v>
      </c>
      <c r="E28" s="6">
        <f t="shared" si="3"/>
        <v>126</v>
      </c>
      <c r="F28" s="6">
        <f t="shared" si="3"/>
        <v>102</v>
      </c>
      <c r="G28" s="6">
        <f t="shared" si="3"/>
        <v>125</v>
      </c>
      <c r="H28" s="6">
        <f t="shared" si="3"/>
        <v>194</v>
      </c>
      <c r="I28" s="6">
        <f t="shared" si="3"/>
        <v>165</v>
      </c>
      <c r="J28" s="6">
        <f t="shared" si="3"/>
        <v>133</v>
      </c>
      <c r="K28" s="6">
        <f t="shared" si="3"/>
        <v>152</v>
      </c>
      <c r="L28" s="6">
        <f t="shared" si="3"/>
        <v>112</v>
      </c>
      <c r="M28" s="6">
        <f t="shared" si="3"/>
        <v>120</v>
      </c>
      <c r="N28" s="6">
        <f t="shared" si="3"/>
        <v>125</v>
      </c>
      <c r="O28" s="6">
        <f t="shared" si="3"/>
        <v>210</v>
      </c>
      <c r="P28" s="6">
        <f t="shared" si="3"/>
        <v>200</v>
      </c>
      <c r="Q28" s="6">
        <f t="shared" si="3"/>
        <v>152</v>
      </c>
      <c r="R28" s="6">
        <f t="shared" si="3"/>
        <v>123</v>
      </c>
      <c r="S28" s="6">
        <f t="shared" si="3"/>
        <v>161</v>
      </c>
      <c r="T28" s="6">
        <f t="shared" si="3"/>
        <v>190</v>
      </c>
      <c r="U28" s="6">
        <f t="shared" si="3"/>
        <v>243</v>
      </c>
      <c r="V28" s="6">
        <f t="shared" si="3"/>
        <v>199</v>
      </c>
      <c r="W28" s="6">
        <f t="shared" si="3"/>
        <v>203</v>
      </c>
      <c r="X28" s="6">
        <f t="shared" si="3"/>
        <v>158</v>
      </c>
      <c r="Y28" s="6">
        <f t="shared" si="3"/>
        <v>140</v>
      </c>
      <c r="Z28" s="6">
        <f t="shared" si="3"/>
        <v>140</v>
      </c>
      <c r="AA28" s="6">
        <f t="shared" si="3"/>
        <v>125</v>
      </c>
      <c r="AB28" s="6">
        <f t="shared" si="3"/>
        <v>124</v>
      </c>
      <c r="AC28" s="6">
        <f t="shared" si="3"/>
        <v>196</v>
      </c>
      <c r="AD28" s="6">
        <f t="shared" si="3"/>
        <v>210</v>
      </c>
      <c r="AE28" s="6">
        <f t="shared" si="3"/>
        <v>114</v>
      </c>
      <c r="AF28" s="6">
        <f t="shared" si="3"/>
        <v>0</v>
      </c>
      <c r="AG28" s="7">
        <f t="shared" si="2"/>
        <v>4725</v>
      </c>
    </row>
    <row r="29" spans="1:33" ht="15.75" customHeight="1" x14ac:dyDescent="0.25">
      <c r="A29" s="53" t="s">
        <v>3</v>
      </c>
      <c r="B29" s="54">
        <v>4</v>
      </c>
      <c r="C29" s="55">
        <v>0</v>
      </c>
      <c r="D29" s="55">
        <v>0</v>
      </c>
      <c r="E29" s="55">
        <v>0</v>
      </c>
      <c r="F29" s="55">
        <v>0</v>
      </c>
      <c r="G29" s="55">
        <v>0</v>
      </c>
      <c r="H29" s="55">
        <v>6</v>
      </c>
      <c r="I29" s="55">
        <v>4</v>
      </c>
      <c r="J29" s="55">
        <v>0</v>
      </c>
      <c r="K29" s="55">
        <v>0</v>
      </c>
      <c r="L29" s="55">
        <v>0</v>
      </c>
      <c r="M29" s="55">
        <v>0</v>
      </c>
      <c r="N29" s="55">
        <v>0</v>
      </c>
      <c r="O29" s="55">
        <v>4</v>
      </c>
      <c r="P29" s="55">
        <v>3</v>
      </c>
      <c r="Q29" s="55">
        <v>0</v>
      </c>
      <c r="R29" s="55">
        <v>0</v>
      </c>
      <c r="S29" s="55">
        <v>6</v>
      </c>
      <c r="T29" s="55">
        <v>1</v>
      </c>
      <c r="U29" s="55">
        <v>11</v>
      </c>
      <c r="V29" s="55">
        <v>5</v>
      </c>
      <c r="W29" s="55">
        <v>3</v>
      </c>
      <c r="X29" s="55">
        <v>0</v>
      </c>
      <c r="Y29" s="55">
        <v>0</v>
      </c>
      <c r="Z29" s="55">
        <v>0</v>
      </c>
      <c r="AA29" s="55">
        <v>0</v>
      </c>
      <c r="AB29" s="55">
        <v>0</v>
      </c>
      <c r="AC29" s="55">
        <v>5</v>
      </c>
      <c r="AD29" s="54">
        <v>2</v>
      </c>
      <c r="AE29" s="54">
        <v>0</v>
      </c>
      <c r="AF29" s="54"/>
      <c r="AG29" s="5">
        <f t="shared" si="2"/>
        <v>54</v>
      </c>
    </row>
    <row r="30" spans="1:33" ht="15.75" customHeight="1" x14ac:dyDescent="0.25">
      <c r="A30" s="56" t="s">
        <v>4</v>
      </c>
      <c r="B30" s="54">
        <v>4</v>
      </c>
      <c r="C30" s="54">
        <v>0</v>
      </c>
      <c r="D30" s="54">
        <v>0</v>
      </c>
      <c r="E30" s="54">
        <v>0</v>
      </c>
      <c r="F30" s="54">
        <v>0</v>
      </c>
      <c r="G30" s="54">
        <v>0</v>
      </c>
      <c r="H30" s="54">
        <v>6</v>
      </c>
      <c r="I30" s="54">
        <v>4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3</v>
      </c>
      <c r="P30" s="54">
        <v>9</v>
      </c>
      <c r="Q30" s="54">
        <v>0</v>
      </c>
      <c r="R30" s="54">
        <v>0</v>
      </c>
      <c r="S30" s="54">
        <v>6</v>
      </c>
      <c r="T30" s="54">
        <v>7</v>
      </c>
      <c r="U30" s="54">
        <v>10</v>
      </c>
      <c r="V30" s="54">
        <v>5</v>
      </c>
      <c r="W30" s="54">
        <v>7</v>
      </c>
      <c r="X30" s="54">
        <v>0</v>
      </c>
      <c r="Y30" s="54">
        <v>0</v>
      </c>
      <c r="Z30" s="54">
        <v>0</v>
      </c>
      <c r="AA30" s="54">
        <v>0</v>
      </c>
      <c r="AB30" s="54">
        <v>0</v>
      </c>
      <c r="AC30" s="54">
        <v>7</v>
      </c>
      <c r="AD30" s="54">
        <v>8</v>
      </c>
      <c r="AE30" s="54">
        <v>0</v>
      </c>
      <c r="AF30" s="54"/>
      <c r="AG30" s="5">
        <f t="shared" si="2"/>
        <v>76</v>
      </c>
    </row>
    <row r="31" spans="1:33" ht="15.75" customHeight="1" x14ac:dyDescent="0.25">
      <c r="A31" s="56" t="s">
        <v>5</v>
      </c>
      <c r="B31" s="54">
        <v>11</v>
      </c>
      <c r="C31" s="54">
        <v>0</v>
      </c>
      <c r="D31" s="54">
        <v>0</v>
      </c>
      <c r="E31" s="54">
        <v>0</v>
      </c>
      <c r="F31" s="54">
        <v>0</v>
      </c>
      <c r="G31" s="54">
        <v>0</v>
      </c>
      <c r="H31" s="54">
        <v>15</v>
      </c>
      <c r="I31" s="54">
        <v>8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18</v>
      </c>
      <c r="P31" s="54">
        <v>10</v>
      </c>
      <c r="Q31" s="54">
        <v>0</v>
      </c>
      <c r="R31" s="54">
        <v>0</v>
      </c>
      <c r="S31" s="54">
        <v>8</v>
      </c>
      <c r="T31" s="54">
        <v>13</v>
      </c>
      <c r="U31" s="54">
        <v>10</v>
      </c>
      <c r="V31" s="54">
        <v>16</v>
      </c>
      <c r="W31" s="54">
        <v>16</v>
      </c>
      <c r="X31" s="54">
        <v>0</v>
      </c>
      <c r="Y31" s="54">
        <v>0</v>
      </c>
      <c r="Z31" s="54">
        <v>0</v>
      </c>
      <c r="AA31" s="54">
        <v>0</v>
      </c>
      <c r="AB31" s="54">
        <v>0</v>
      </c>
      <c r="AC31" s="54">
        <v>10</v>
      </c>
      <c r="AD31" s="54">
        <v>12</v>
      </c>
      <c r="AE31" s="54">
        <v>0</v>
      </c>
      <c r="AF31" s="54"/>
      <c r="AG31" s="5">
        <f t="shared" si="2"/>
        <v>147</v>
      </c>
    </row>
    <row r="32" spans="1:33" ht="15.75" customHeight="1" x14ac:dyDescent="0.25">
      <c r="A32" s="56" t="s">
        <v>6</v>
      </c>
      <c r="B32" s="54">
        <v>12</v>
      </c>
      <c r="C32" s="54">
        <v>0</v>
      </c>
      <c r="D32" s="54">
        <v>0</v>
      </c>
      <c r="E32" s="54">
        <v>0</v>
      </c>
      <c r="F32" s="54">
        <v>0</v>
      </c>
      <c r="G32" s="54">
        <v>0</v>
      </c>
      <c r="H32" s="54">
        <v>19</v>
      </c>
      <c r="I32" s="54">
        <v>9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12</v>
      </c>
      <c r="P32" s="54">
        <v>10</v>
      </c>
      <c r="Q32" s="54">
        <v>0</v>
      </c>
      <c r="R32" s="54">
        <v>0</v>
      </c>
      <c r="S32" s="54">
        <v>12</v>
      </c>
      <c r="T32" s="54">
        <v>15</v>
      </c>
      <c r="U32" s="54">
        <v>15</v>
      </c>
      <c r="V32" s="54">
        <v>10</v>
      </c>
      <c r="W32" s="54">
        <v>9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14</v>
      </c>
      <c r="AD32" s="54">
        <v>12</v>
      </c>
      <c r="AE32" s="54">
        <v>0</v>
      </c>
      <c r="AF32" s="54"/>
      <c r="AG32" s="5">
        <f t="shared" si="2"/>
        <v>149</v>
      </c>
    </row>
    <row r="33" spans="1:33" ht="15.75" customHeight="1" x14ac:dyDescent="0.25">
      <c r="A33" s="56" t="s">
        <v>7</v>
      </c>
      <c r="B33" s="54">
        <v>11</v>
      </c>
      <c r="C33" s="54">
        <v>0</v>
      </c>
      <c r="D33" s="54">
        <v>0</v>
      </c>
      <c r="E33" s="54">
        <v>0</v>
      </c>
      <c r="F33" s="54">
        <v>0</v>
      </c>
      <c r="G33" s="54">
        <v>0</v>
      </c>
      <c r="H33" s="54">
        <v>14</v>
      </c>
      <c r="I33" s="54">
        <v>9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17</v>
      </c>
      <c r="P33" s="54">
        <v>13</v>
      </c>
      <c r="Q33" s="54">
        <v>0</v>
      </c>
      <c r="R33" s="54">
        <v>2</v>
      </c>
      <c r="S33" s="54">
        <v>10</v>
      </c>
      <c r="T33" s="54">
        <v>14</v>
      </c>
      <c r="U33" s="54">
        <v>18</v>
      </c>
      <c r="V33" s="54">
        <v>18</v>
      </c>
      <c r="W33" s="54">
        <v>8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14</v>
      </c>
      <c r="AD33" s="54">
        <v>19</v>
      </c>
      <c r="AE33" s="54">
        <v>0</v>
      </c>
      <c r="AF33" s="54"/>
      <c r="AG33" s="5">
        <f t="shared" si="2"/>
        <v>167</v>
      </c>
    </row>
    <row r="34" spans="1:33" ht="15.75" customHeight="1" x14ac:dyDescent="0.25">
      <c r="A34" s="56" t="s">
        <v>8</v>
      </c>
      <c r="B34" s="54">
        <v>9</v>
      </c>
      <c r="C34" s="54">
        <v>0</v>
      </c>
      <c r="D34" s="54">
        <v>0</v>
      </c>
      <c r="E34" s="54">
        <v>0</v>
      </c>
      <c r="F34" s="54">
        <v>0</v>
      </c>
      <c r="G34" s="54">
        <v>0</v>
      </c>
      <c r="H34" s="54">
        <v>11</v>
      </c>
      <c r="I34" s="54">
        <v>6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14</v>
      </c>
      <c r="P34" s="54">
        <v>13</v>
      </c>
      <c r="Q34" s="54">
        <v>0</v>
      </c>
      <c r="R34" s="54">
        <v>6</v>
      </c>
      <c r="S34" s="54">
        <v>7</v>
      </c>
      <c r="T34" s="54">
        <v>14</v>
      </c>
      <c r="U34" s="54">
        <v>7</v>
      </c>
      <c r="V34" s="54">
        <v>7</v>
      </c>
      <c r="W34" s="54">
        <v>20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8</v>
      </c>
      <c r="AD34" s="54">
        <v>13</v>
      </c>
      <c r="AE34" s="54">
        <v>0</v>
      </c>
      <c r="AF34" s="54"/>
      <c r="AG34" s="5">
        <f t="shared" si="2"/>
        <v>135</v>
      </c>
    </row>
    <row r="35" spans="1:33" ht="15.75" customHeight="1" x14ac:dyDescent="0.25">
      <c r="A35" s="56" t="s">
        <v>9</v>
      </c>
      <c r="B35" s="54">
        <v>11</v>
      </c>
      <c r="C35" s="54">
        <v>0</v>
      </c>
      <c r="D35" s="54">
        <v>0</v>
      </c>
      <c r="E35" s="54">
        <v>0</v>
      </c>
      <c r="F35" s="54">
        <v>0</v>
      </c>
      <c r="G35" s="54">
        <v>0</v>
      </c>
      <c r="H35" s="54">
        <v>10</v>
      </c>
      <c r="I35" s="54">
        <v>6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11</v>
      </c>
      <c r="P35" s="54">
        <v>5</v>
      </c>
      <c r="Q35" s="54">
        <v>0</v>
      </c>
      <c r="R35" s="54">
        <v>7</v>
      </c>
      <c r="S35" s="54">
        <v>12</v>
      </c>
      <c r="T35" s="54">
        <v>6</v>
      </c>
      <c r="U35" s="54">
        <v>13</v>
      </c>
      <c r="V35" s="54">
        <v>5</v>
      </c>
      <c r="W35" s="54">
        <v>8</v>
      </c>
      <c r="X35" s="54">
        <v>0</v>
      </c>
      <c r="Y35" s="54">
        <v>0</v>
      </c>
      <c r="Z35" s="54">
        <v>0</v>
      </c>
      <c r="AA35" s="54">
        <v>0</v>
      </c>
      <c r="AB35" s="54">
        <v>0</v>
      </c>
      <c r="AC35" s="54">
        <v>5</v>
      </c>
      <c r="AD35" s="54">
        <v>9</v>
      </c>
      <c r="AE35" s="54">
        <v>0</v>
      </c>
      <c r="AF35" s="54"/>
      <c r="AG35" s="5">
        <f t="shared" si="2"/>
        <v>108</v>
      </c>
    </row>
    <row r="36" spans="1:33" ht="15.75" customHeight="1" x14ac:dyDescent="0.25">
      <c r="A36" s="56" t="s">
        <v>10</v>
      </c>
      <c r="B36" s="54">
        <v>16</v>
      </c>
      <c r="C36" s="54">
        <v>0</v>
      </c>
      <c r="D36" s="54">
        <v>0</v>
      </c>
      <c r="E36" s="54">
        <v>0</v>
      </c>
      <c r="F36" s="54">
        <v>0</v>
      </c>
      <c r="G36" s="54">
        <v>0</v>
      </c>
      <c r="H36" s="54">
        <v>10</v>
      </c>
      <c r="I36" s="54">
        <v>8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9</v>
      </c>
      <c r="P36" s="54">
        <v>14</v>
      </c>
      <c r="Q36" s="54">
        <v>0</v>
      </c>
      <c r="R36" s="54">
        <v>5</v>
      </c>
      <c r="S36" s="54">
        <v>6</v>
      </c>
      <c r="T36" s="54">
        <v>5</v>
      </c>
      <c r="U36" s="54">
        <v>21</v>
      </c>
      <c r="V36" s="54">
        <v>14</v>
      </c>
      <c r="W36" s="54">
        <v>8</v>
      </c>
      <c r="X36" s="54">
        <v>0</v>
      </c>
      <c r="Y36" s="54">
        <v>0</v>
      </c>
      <c r="Z36" s="54">
        <v>0</v>
      </c>
      <c r="AA36" s="54">
        <v>0</v>
      </c>
      <c r="AB36" s="54">
        <v>0</v>
      </c>
      <c r="AC36" s="54">
        <v>7</v>
      </c>
      <c r="AD36" s="54">
        <v>9</v>
      </c>
      <c r="AE36" s="54">
        <v>0</v>
      </c>
      <c r="AF36" s="54"/>
      <c r="AG36" s="5">
        <f t="shared" si="2"/>
        <v>132</v>
      </c>
    </row>
    <row r="37" spans="1:33" ht="15.75" customHeight="1" x14ac:dyDescent="0.25">
      <c r="A37" s="56" t="s">
        <v>11</v>
      </c>
      <c r="B37" s="54">
        <v>13</v>
      </c>
      <c r="C37" s="54">
        <v>0</v>
      </c>
      <c r="D37" s="54">
        <v>0</v>
      </c>
      <c r="E37" s="54">
        <v>0</v>
      </c>
      <c r="F37" s="54">
        <v>0</v>
      </c>
      <c r="G37" s="54">
        <v>4</v>
      </c>
      <c r="H37" s="54">
        <v>11</v>
      </c>
      <c r="I37" s="54">
        <v>5</v>
      </c>
      <c r="J37" s="54">
        <v>0</v>
      </c>
      <c r="K37" s="54">
        <v>0</v>
      </c>
      <c r="L37" s="54">
        <v>0</v>
      </c>
      <c r="M37" s="54">
        <v>0</v>
      </c>
      <c r="N37" s="54">
        <v>9</v>
      </c>
      <c r="O37" s="54">
        <v>15</v>
      </c>
      <c r="P37" s="54">
        <v>11</v>
      </c>
      <c r="Q37" s="54">
        <v>0</v>
      </c>
      <c r="R37" s="54">
        <v>2</v>
      </c>
      <c r="S37" s="54">
        <v>13</v>
      </c>
      <c r="T37" s="54">
        <v>6</v>
      </c>
      <c r="U37" s="54">
        <v>16</v>
      </c>
      <c r="V37" s="54">
        <v>17</v>
      </c>
      <c r="W37" s="54">
        <v>10</v>
      </c>
      <c r="X37" s="54">
        <v>0</v>
      </c>
      <c r="Y37" s="54">
        <v>0</v>
      </c>
      <c r="Z37" s="54">
        <v>0</v>
      </c>
      <c r="AA37" s="54">
        <v>0</v>
      </c>
      <c r="AB37" s="54">
        <v>4</v>
      </c>
      <c r="AC37" s="54">
        <v>14</v>
      </c>
      <c r="AD37" s="54">
        <v>12</v>
      </c>
      <c r="AE37" s="54">
        <v>0</v>
      </c>
      <c r="AF37" s="54"/>
      <c r="AG37" s="5">
        <f t="shared" si="2"/>
        <v>162</v>
      </c>
    </row>
    <row r="38" spans="1:33" ht="15.75" customHeight="1" x14ac:dyDescent="0.25">
      <c r="A38" s="56" t="s">
        <v>12</v>
      </c>
      <c r="B38" s="54">
        <v>19</v>
      </c>
      <c r="C38" s="54">
        <v>11</v>
      </c>
      <c r="D38" s="54">
        <v>7</v>
      </c>
      <c r="E38" s="54">
        <v>11</v>
      </c>
      <c r="F38" s="54">
        <v>2</v>
      </c>
      <c r="G38" s="54">
        <v>5</v>
      </c>
      <c r="H38" s="54">
        <v>13</v>
      </c>
      <c r="I38" s="54">
        <v>15</v>
      </c>
      <c r="J38" s="54">
        <v>10</v>
      </c>
      <c r="K38" s="54">
        <v>11</v>
      </c>
      <c r="L38" s="54">
        <v>10</v>
      </c>
      <c r="M38" s="54">
        <v>7</v>
      </c>
      <c r="N38" s="54">
        <v>17</v>
      </c>
      <c r="O38" s="54">
        <v>17</v>
      </c>
      <c r="P38" s="54">
        <v>20</v>
      </c>
      <c r="Q38" s="54">
        <v>9</v>
      </c>
      <c r="R38" s="54">
        <v>15</v>
      </c>
      <c r="S38" s="54">
        <v>14</v>
      </c>
      <c r="T38" s="54">
        <v>14</v>
      </c>
      <c r="U38" s="54">
        <v>16</v>
      </c>
      <c r="V38" s="54">
        <v>18</v>
      </c>
      <c r="W38" s="54">
        <v>14</v>
      </c>
      <c r="X38" s="54">
        <v>7</v>
      </c>
      <c r="Y38" s="54">
        <v>10</v>
      </c>
      <c r="Z38" s="54">
        <v>11</v>
      </c>
      <c r="AA38" s="54">
        <v>8</v>
      </c>
      <c r="AB38" s="54">
        <v>11</v>
      </c>
      <c r="AC38" s="54">
        <v>14</v>
      </c>
      <c r="AD38" s="54">
        <v>14</v>
      </c>
      <c r="AE38" s="54">
        <v>8</v>
      </c>
      <c r="AF38" s="54"/>
      <c r="AG38" s="5">
        <f t="shared" si="2"/>
        <v>358</v>
      </c>
    </row>
    <row r="39" spans="1:33" ht="15.75" customHeight="1" x14ac:dyDescent="0.25">
      <c r="A39" s="56" t="s">
        <v>13</v>
      </c>
      <c r="B39" s="54">
        <v>13</v>
      </c>
      <c r="C39" s="54">
        <v>16</v>
      </c>
      <c r="D39" s="54">
        <v>22</v>
      </c>
      <c r="E39" s="54">
        <v>20</v>
      </c>
      <c r="F39" s="54">
        <v>10</v>
      </c>
      <c r="G39" s="54">
        <v>13</v>
      </c>
      <c r="H39" s="54">
        <v>7</v>
      </c>
      <c r="I39" s="54">
        <v>9</v>
      </c>
      <c r="J39" s="54">
        <v>21</v>
      </c>
      <c r="K39" s="54">
        <v>15</v>
      </c>
      <c r="L39" s="54">
        <v>15</v>
      </c>
      <c r="M39" s="54">
        <v>17</v>
      </c>
      <c r="N39" s="54">
        <v>23</v>
      </c>
      <c r="O39" s="54">
        <v>11</v>
      </c>
      <c r="P39" s="54">
        <v>19</v>
      </c>
      <c r="Q39" s="54">
        <v>21</v>
      </c>
      <c r="R39" s="54">
        <v>17</v>
      </c>
      <c r="S39" s="54">
        <v>12</v>
      </c>
      <c r="T39" s="54">
        <v>13</v>
      </c>
      <c r="U39" s="54">
        <v>15</v>
      </c>
      <c r="V39" s="54">
        <v>13</v>
      </c>
      <c r="W39" s="54">
        <v>16</v>
      </c>
      <c r="X39" s="54">
        <v>15</v>
      </c>
      <c r="Y39" s="54">
        <v>24</v>
      </c>
      <c r="Z39" s="54">
        <v>14</v>
      </c>
      <c r="AA39" s="54">
        <v>15</v>
      </c>
      <c r="AB39" s="54">
        <v>14</v>
      </c>
      <c r="AC39" s="54">
        <v>17</v>
      </c>
      <c r="AD39" s="54">
        <v>10</v>
      </c>
      <c r="AE39" s="54">
        <v>13</v>
      </c>
      <c r="AF39" s="54"/>
      <c r="AG39" s="5">
        <f t="shared" si="2"/>
        <v>460</v>
      </c>
    </row>
    <row r="40" spans="1:33" ht="15.75" customHeight="1" x14ac:dyDescent="0.25">
      <c r="A40" s="56" t="s">
        <v>14</v>
      </c>
      <c r="B40" s="54">
        <v>11</v>
      </c>
      <c r="C40" s="54">
        <v>22</v>
      </c>
      <c r="D40" s="54">
        <v>22</v>
      </c>
      <c r="E40" s="54">
        <v>18</v>
      </c>
      <c r="F40" s="54">
        <v>13</v>
      </c>
      <c r="G40" s="54">
        <v>19</v>
      </c>
      <c r="H40" s="54">
        <v>19</v>
      </c>
      <c r="I40" s="54">
        <v>12</v>
      </c>
      <c r="J40" s="54">
        <v>13</v>
      </c>
      <c r="K40" s="54">
        <v>19</v>
      </c>
      <c r="L40" s="54">
        <v>16</v>
      </c>
      <c r="M40" s="54">
        <v>15</v>
      </c>
      <c r="N40" s="54">
        <v>18</v>
      </c>
      <c r="O40" s="54">
        <v>12</v>
      </c>
      <c r="P40" s="54">
        <v>15</v>
      </c>
      <c r="Q40" s="54">
        <v>26</v>
      </c>
      <c r="R40" s="54">
        <v>18</v>
      </c>
      <c r="S40" s="54">
        <v>10</v>
      </c>
      <c r="T40" s="54">
        <v>14</v>
      </c>
      <c r="U40" s="54">
        <v>10</v>
      </c>
      <c r="V40" s="54">
        <v>10</v>
      </c>
      <c r="W40" s="54">
        <v>17</v>
      </c>
      <c r="X40" s="54">
        <v>14</v>
      </c>
      <c r="Y40" s="54">
        <v>15</v>
      </c>
      <c r="Z40" s="54">
        <v>21</v>
      </c>
      <c r="AA40" s="54">
        <v>22</v>
      </c>
      <c r="AB40" s="54">
        <v>15</v>
      </c>
      <c r="AC40" s="54">
        <v>13</v>
      </c>
      <c r="AD40" s="54">
        <v>16</v>
      </c>
      <c r="AE40" s="54">
        <v>21</v>
      </c>
      <c r="AF40" s="54"/>
      <c r="AG40" s="5">
        <f t="shared" si="2"/>
        <v>486</v>
      </c>
    </row>
    <row r="41" spans="1:33" ht="15.75" customHeight="1" x14ac:dyDescent="0.25">
      <c r="A41" s="56" t="s">
        <v>15</v>
      </c>
      <c r="B41" s="54">
        <v>13</v>
      </c>
      <c r="C41" s="54">
        <v>22</v>
      </c>
      <c r="D41" s="54">
        <v>20</v>
      </c>
      <c r="E41" s="54">
        <v>17</v>
      </c>
      <c r="F41" s="54">
        <v>15</v>
      </c>
      <c r="G41" s="54">
        <v>18</v>
      </c>
      <c r="H41" s="54">
        <v>9</v>
      </c>
      <c r="I41" s="54">
        <v>14</v>
      </c>
      <c r="J41" s="54">
        <v>16</v>
      </c>
      <c r="K41" s="54">
        <v>17</v>
      </c>
      <c r="L41" s="54">
        <v>16</v>
      </c>
      <c r="M41" s="54">
        <v>16</v>
      </c>
      <c r="N41" s="54">
        <v>17</v>
      </c>
      <c r="O41" s="54">
        <v>15</v>
      </c>
      <c r="P41" s="54">
        <v>8</v>
      </c>
      <c r="Q41" s="54">
        <v>26</v>
      </c>
      <c r="R41" s="54">
        <v>10</v>
      </c>
      <c r="S41" s="54">
        <v>12</v>
      </c>
      <c r="T41" s="54">
        <v>9</v>
      </c>
      <c r="U41" s="54">
        <v>14</v>
      </c>
      <c r="V41" s="54">
        <v>10</v>
      </c>
      <c r="W41" s="54">
        <v>15</v>
      </c>
      <c r="X41" s="54">
        <v>23</v>
      </c>
      <c r="Y41" s="54">
        <v>12</v>
      </c>
      <c r="Z41" s="54">
        <v>16</v>
      </c>
      <c r="AA41" s="54">
        <v>18</v>
      </c>
      <c r="AB41" s="54">
        <v>13</v>
      </c>
      <c r="AC41" s="54">
        <v>12</v>
      </c>
      <c r="AD41" s="54">
        <v>15</v>
      </c>
      <c r="AE41" s="54">
        <v>16</v>
      </c>
      <c r="AF41" s="54"/>
      <c r="AG41" s="5">
        <f t="shared" si="2"/>
        <v>454</v>
      </c>
    </row>
    <row r="42" spans="1:33" ht="15.75" customHeight="1" x14ac:dyDescent="0.25">
      <c r="A42" s="56" t="s">
        <v>16</v>
      </c>
      <c r="B42" s="54">
        <v>14</v>
      </c>
      <c r="C42" s="54">
        <v>19</v>
      </c>
      <c r="D42" s="54">
        <v>22</v>
      </c>
      <c r="E42" s="54">
        <v>17</v>
      </c>
      <c r="F42" s="54">
        <v>17</v>
      </c>
      <c r="G42" s="54">
        <v>13</v>
      </c>
      <c r="H42" s="54">
        <v>14</v>
      </c>
      <c r="I42" s="54">
        <v>11</v>
      </c>
      <c r="J42" s="54">
        <v>21</v>
      </c>
      <c r="K42" s="54">
        <v>13</v>
      </c>
      <c r="L42" s="54">
        <v>11</v>
      </c>
      <c r="M42" s="54">
        <v>13</v>
      </c>
      <c r="N42" s="54">
        <v>10</v>
      </c>
      <c r="O42" s="54">
        <v>11</v>
      </c>
      <c r="P42" s="54">
        <v>9</v>
      </c>
      <c r="Q42" s="54">
        <v>16</v>
      </c>
      <c r="R42" s="54">
        <v>9</v>
      </c>
      <c r="S42" s="54">
        <v>6</v>
      </c>
      <c r="T42" s="54">
        <v>8</v>
      </c>
      <c r="U42" s="54">
        <v>6</v>
      </c>
      <c r="V42" s="54">
        <v>7</v>
      </c>
      <c r="W42" s="54">
        <v>7</v>
      </c>
      <c r="X42" s="54">
        <v>18</v>
      </c>
      <c r="Y42" s="54">
        <v>15</v>
      </c>
      <c r="Z42" s="54">
        <v>13</v>
      </c>
      <c r="AA42" s="54">
        <v>13</v>
      </c>
      <c r="AB42" s="54">
        <v>13</v>
      </c>
      <c r="AC42" s="54">
        <v>11</v>
      </c>
      <c r="AD42" s="54">
        <v>15</v>
      </c>
      <c r="AE42" s="54">
        <v>12</v>
      </c>
      <c r="AF42" s="54"/>
      <c r="AG42" s="5">
        <f t="shared" si="2"/>
        <v>384</v>
      </c>
    </row>
    <row r="43" spans="1:33" ht="15.75" customHeight="1" x14ac:dyDescent="0.25">
      <c r="A43" s="56" t="s">
        <v>17</v>
      </c>
      <c r="B43" s="54">
        <v>6</v>
      </c>
      <c r="C43" s="54">
        <v>17</v>
      </c>
      <c r="D43" s="54">
        <v>14</v>
      </c>
      <c r="E43" s="54">
        <v>11</v>
      </c>
      <c r="F43" s="54">
        <v>12</v>
      </c>
      <c r="G43" s="54">
        <v>17</v>
      </c>
      <c r="H43" s="54">
        <v>10</v>
      </c>
      <c r="I43" s="54">
        <v>10</v>
      </c>
      <c r="J43" s="54">
        <v>12</v>
      </c>
      <c r="K43" s="54">
        <v>16</v>
      </c>
      <c r="L43" s="54">
        <v>13</v>
      </c>
      <c r="M43" s="54">
        <v>13</v>
      </c>
      <c r="N43" s="54">
        <v>12</v>
      </c>
      <c r="O43" s="54">
        <v>5</v>
      </c>
      <c r="P43" s="54">
        <v>12</v>
      </c>
      <c r="Q43" s="54">
        <v>13</v>
      </c>
      <c r="R43" s="54">
        <v>9</v>
      </c>
      <c r="S43" s="54">
        <v>9</v>
      </c>
      <c r="T43" s="54">
        <v>11</v>
      </c>
      <c r="U43" s="54">
        <v>15</v>
      </c>
      <c r="V43" s="54">
        <v>5</v>
      </c>
      <c r="W43" s="54">
        <v>9</v>
      </c>
      <c r="X43" s="54">
        <v>22</v>
      </c>
      <c r="Y43" s="54">
        <v>13</v>
      </c>
      <c r="Z43" s="54">
        <v>18</v>
      </c>
      <c r="AA43" s="54">
        <v>14</v>
      </c>
      <c r="AB43" s="54">
        <v>14</v>
      </c>
      <c r="AC43" s="54">
        <v>12</v>
      </c>
      <c r="AD43" s="54">
        <v>8</v>
      </c>
      <c r="AE43" s="54">
        <v>13</v>
      </c>
      <c r="AF43" s="54"/>
      <c r="AG43" s="5">
        <f t="shared" si="2"/>
        <v>365</v>
      </c>
    </row>
    <row r="44" spans="1:33" ht="15.75" customHeight="1" x14ac:dyDescent="0.25">
      <c r="A44" s="56" t="s">
        <v>18</v>
      </c>
      <c r="B44" s="54">
        <v>11</v>
      </c>
      <c r="C44" s="54">
        <v>10</v>
      </c>
      <c r="D44" s="54">
        <v>5</v>
      </c>
      <c r="E44" s="54">
        <v>6</v>
      </c>
      <c r="F44" s="54">
        <v>8</v>
      </c>
      <c r="G44" s="54">
        <v>10</v>
      </c>
      <c r="H44" s="54">
        <v>10</v>
      </c>
      <c r="I44" s="54">
        <v>12</v>
      </c>
      <c r="J44" s="54">
        <v>7</v>
      </c>
      <c r="K44" s="54">
        <v>11</v>
      </c>
      <c r="L44" s="54">
        <v>6</v>
      </c>
      <c r="M44" s="54">
        <v>8</v>
      </c>
      <c r="N44" s="54">
        <v>3</v>
      </c>
      <c r="O44" s="54">
        <v>11</v>
      </c>
      <c r="P44" s="54">
        <v>5</v>
      </c>
      <c r="Q44" s="54">
        <v>7</v>
      </c>
      <c r="R44" s="54">
        <v>7</v>
      </c>
      <c r="S44" s="54">
        <v>6</v>
      </c>
      <c r="T44" s="54">
        <v>7</v>
      </c>
      <c r="U44" s="54">
        <v>15</v>
      </c>
      <c r="V44" s="54">
        <v>9</v>
      </c>
      <c r="W44" s="54">
        <v>6</v>
      </c>
      <c r="X44" s="54">
        <v>14</v>
      </c>
      <c r="Y44" s="54">
        <v>8</v>
      </c>
      <c r="Z44" s="54">
        <v>12</v>
      </c>
      <c r="AA44" s="54">
        <v>9</v>
      </c>
      <c r="AB44" s="54">
        <v>11</v>
      </c>
      <c r="AC44" s="54">
        <v>11</v>
      </c>
      <c r="AD44" s="54">
        <v>5</v>
      </c>
      <c r="AE44" s="54">
        <v>8</v>
      </c>
      <c r="AF44" s="54"/>
      <c r="AG44" s="5">
        <f t="shared" si="2"/>
        <v>258</v>
      </c>
    </row>
    <row r="45" spans="1:33" ht="15.75" customHeight="1" x14ac:dyDescent="0.25">
      <c r="A45" s="56" t="s">
        <v>19</v>
      </c>
      <c r="B45" s="54">
        <v>4</v>
      </c>
      <c r="C45" s="54">
        <v>6</v>
      </c>
      <c r="D45" s="54">
        <v>9</v>
      </c>
      <c r="E45" s="54">
        <v>11</v>
      </c>
      <c r="F45" s="54">
        <v>5</v>
      </c>
      <c r="G45" s="54">
        <v>9</v>
      </c>
      <c r="H45" s="54">
        <v>0</v>
      </c>
      <c r="I45" s="54">
        <v>7</v>
      </c>
      <c r="J45" s="54">
        <v>6</v>
      </c>
      <c r="K45" s="54">
        <v>9</v>
      </c>
      <c r="L45" s="54">
        <v>10</v>
      </c>
      <c r="M45" s="54">
        <v>10</v>
      </c>
      <c r="N45" s="54">
        <v>9</v>
      </c>
      <c r="O45" s="54">
        <v>9</v>
      </c>
      <c r="P45" s="54">
        <v>2</v>
      </c>
      <c r="Q45" s="54">
        <v>11</v>
      </c>
      <c r="R45" s="54">
        <v>3</v>
      </c>
      <c r="S45" s="54">
        <v>2</v>
      </c>
      <c r="T45" s="54">
        <v>9</v>
      </c>
      <c r="U45" s="54">
        <v>6</v>
      </c>
      <c r="V45" s="54">
        <v>3</v>
      </c>
      <c r="W45" s="54">
        <v>7</v>
      </c>
      <c r="X45" s="54">
        <v>6</v>
      </c>
      <c r="Y45" s="54">
        <v>8</v>
      </c>
      <c r="Z45" s="54">
        <v>8</v>
      </c>
      <c r="AA45" s="54">
        <v>4</v>
      </c>
      <c r="AB45" s="54">
        <v>5</v>
      </c>
      <c r="AC45" s="54">
        <v>10</v>
      </c>
      <c r="AD45" s="54">
        <v>6</v>
      </c>
      <c r="AE45" s="54">
        <v>8</v>
      </c>
      <c r="AF45" s="54"/>
      <c r="AG45" s="5">
        <f t="shared" si="2"/>
        <v>202</v>
      </c>
    </row>
    <row r="46" spans="1:33" ht="15.75" customHeight="1" x14ac:dyDescent="0.25">
      <c r="A46" s="56" t="s">
        <v>20</v>
      </c>
      <c r="B46" s="54">
        <v>5</v>
      </c>
      <c r="C46" s="54">
        <v>10</v>
      </c>
      <c r="D46" s="54">
        <v>11</v>
      </c>
      <c r="E46" s="54">
        <v>9</v>
      </c>
      <c r="F46" s="54">
        <v>7</v>
      </c>
      <c r="G46" s="54">
        <v>7</v>
      </c>
      <c r="H46" s="54">
        <v>0</v>
      </c>
      <c r="I46" s="54">
        <v>7</v>
      </c>
      <c r="J46" s="54">
        <v>12</v>
      </c>
      <c r="K46" s="54">
        <v>8</v>
      </c>
      <c r="L46" s="54">
        <v>8</v>
      </c>
      <c r="M46" s="54">
        <v>9</v>
      </c>
      <c r="N46" s="54">
        <v>2</v>
      </c>
      <c r="O46" s="54">
        <v>9</v>
      </c>
      <c r="P46" s="54">
        <v>7</v>
      </c>
      <c r="Q46" s="54">
        <v>14</v>
      </c>
      <c r="R46" s="54">
        <v>4</v>
      </c>
      <c r="S46" s="54">
        <v>3</v>
      </c>
      <c r="T46" s="54">
        <v>10</v>
      </c>
      <c r="U46" s="54">
        <v>3</v>
      </c>
      <c r="V46" s="54">
        <v>5</v>
      </c>
      <c r="W46" s="54">
        <v>6</v>
      </c>
      <c r="X46" s="54">
        <v>13</v>
      </c>
      <c r="Y46" s="54">
        <v>9</v>
      </c>
      <c r="Z46" s="54">
        <v>12</v>
      </c>
      <c r="AA46" s="54">
        <v>7</v>
      </c>
      <c r="AB46" s="54">
        <v>4</v>
      </c>
      <c r="AC46" s="54">
        <v>1</v>
      </c>
      <c r="AD46" s="54">
        <v>4</v>
      </c>
      <c r="AE46" s="54">
        <v>5</v>
      </c>
      <c r="AF46" s="54"/>
      <c r="AG46" s="5">
        <f t="shared" si="2"/>
        <v>211</v>
      </c>
    </row>
    <row r="47" spans="1:33" ht="15.75" customHeight="1" x14ac:dyDescent="0.25">
      <c r="A47" s="56" t="s">
        <v>21</v>
      </c>
      <c r="B47" s="54">
        <v>2</v>
      </c>
      <c r="C47" s="54">
        <v>1</v>
      </c>
      <c r="D47" s="54">
        <v>6</v>
      </c>
      <c r="E47" s="54">
        <v>1</v>
      </c>
      <c r="F47" s="54">
        <v>8</v>
      </c>
      <c r="G47" s="54">
        <v>3</v>
      </c>
      <c r="H47" s="54">
        <v>7</v>
      </c>
      <c r="I47" s="54">
        <v>4</v>
      </c>
      <c r="J47" s="54">
        <v>11</v>
      </c>
      <c r="K47" s="54">
        <v>13</v>
      </c>
      <c r="L47" s="54">
        <v>1</v>
      </c>
      <c r="M47" s="54">
        <v>3</v>
      </c>
      <c r="N47" s="54">
        <v>2</v>
      </c>
      <c r="O47" s="54">
        <v>4</v>
      </c>
      <c r="P47" s="54">
        <v>3</v>
      </c>
      <c r="Q47" s="54">
        <v>2</v>
      </c>
      <c r="R47" s="54">
        <v>4</v>
      </c>
      <c r="S47" s="54">
        <v>2</v>
      </c>
      <c r="T47" s="54">
        <v>4</v>
      </c>
      <c r="U47" s="54">
        <v>2</v>
      </c>
      <c r="V47" s="54">
        <v>2</v>
      </c>
      <c r="W47" s="54">
        <v>6</v>
      </c>
      <c r="X47" s="54">
        <v>12</v>
      </c>
      <c r="Y47" s="54">
        <v>8</v>
      </c>
      <c r="Z47" s="54">
        <v>1</v>
      </c>
      <c r="AA47" s="54">
        <v>9</v>
      </c>
      <c r="AB47" s="54">
        <v>10</v>
      </c>
      <c r="AC47" s="54">
        <v>0</v>
      </c>
      <c r="AD47" s="54">
        <v>7</v>
      </c>
      <c r="AE47" s="54">
        <v>3</v>
      </c>
      <c r="AF47" s="54"/>
      <c r="AG47" s="5">
        <f t="shared" si="2"/>
        <v>141</v>
      </c>
    </row>
    <row r="48" spans="1:33" ht="15.75" customHeight="1" x14ac:dyDescent="0.25">
      <c r="A48" s="56" t="s">
        <v>22</v>
      </c>
      <c r="B48" s="54">
        <v>1</v>
      </c>
      <c r="C48" s="54">
        <v>2</v>
      </c>
      <c r="D48" s="54">
        <v>0</v>
      </c>
      <c r="E48" s="54">
        <v>1</v>
      </c>
      <c r="F48" s="54">
        <v>3</v>
      </c>
      <c r="G48" s="54">
        <v>3</v>
      </c>
      <c r="H48" s="54">
        <v>0</v>
      </c>
      <c r="I48" s="54">
        <v>2</v>
      </c>
      <c r="J48" s="54">
        <v>3</v>
      </c>
      <c r="K48" s="54">
        <v>16</v>
      </c>
      <c r="L48" s="54">
        <v>0</v>
      </c>
      <c r="M48" s="54">
        <v>1</v>
      </c>
      <c r="N48" s="54">
        <v>2</v>
      </c>
      <c r="O48" s="54">
        <v>1</v>
      </c>
      <c r="P48" s="54">
        <v>5</v>
      </c>
      <c r="Q48" s="54">
        <v>1</v>
      </c>
      <c r="R48" s="54">
        <v>2</v>
      </c>
      <c r="S48" s="54">
        <v>2</v>
      </c>
      <c r="T48" s="54">
        <v>0</v>
      </c>
      <c r="U48" s="54">
        <v>5</v>
      </c>
      <c r="V48" s="54">
        <v>6</v>
      </c>
      <c r="W48" s="54">
        <v>3</v>
      </c>
      <c r="X48" s="54">
        <v>8</v>
      </c>
      <c r="Y48" s="54">
        <v>10</v>
      </c>
      <c r="Z48" s="54">
        <v>4</v>
      </c>
      <c r="AA48" s="54">
        <v>1</v>
      </c>
      <c r="AB48" s="54">
        <v>5</v>
      </c>
      <c r="AC48" s="54">
        <v>6</v>
      </c>
      <c r="AD48" s="54">
        <v>5</v>
      </c>
      <c r="AE48" s="54">
        <v>4</v>
      </c>
      <c r="AF48" s="54"/>
      <c r="AG48" s="5">
        <f t="shared" si="2"/>
        <v>102</v>
      </c>
    </row>
    <row r="49" spans="1:33" ht="15.75" customHeight="1" x14ac:dyDescent="0.25">
      <c r="A49" s="56" t="s">
        <v>23</v>
      </c>
      <c r="B49" s="54">
        <v>0</v>
      </c>
      <c r="C49" s="54">
        <v>2</v>
      </c>
      <c r="D49" s="54">
        <v>5</v>
      </c>
      <c r="E49" s="54">
        <v>1</v>
      </c>
      <c r="F49" s="54">
        <v>0</v>
      </c>
      <c r="G49" s="54">
        <v>1</v>
      </c>
      <c r="H49" s="54">
        <v>0</v>
      </c>
      <c r="I49" s="54">
        <v>0</v>
      </c>
      <c r="J49" s="54">
        <v>0</v>
      </c>
      <c r="K49" s="54">
        <v>2</v>
      </c>
      <c r="L49" s="54">
        <v>5</v>
      </c>
      <c r="M49" s="54">
        <v>1</v>
      </c>
      <c r="N49" s="54">
        <v>0</v>
      </c>
      <c r="O49" s="54">
        <v>0</v>
      </c>
      <c r="P49" s="54">
        <v>4</v>
      </c>
      <c r="Q49" s="54">
        <v>3</v>
      </c>
      <c r="R49" s="54">
        <v>0</v>
      </c>
      <c r="S49" s="54">
        <v>0</v>
      </c>
      <c r="T49" s="54">
        <v>2</v>
      </c>
      <c r="U49" s="54">
        <v>1</v>
      </c>
      <c r="V49" s="54">
        <v>3</v>
      </c>
      <c r="W49" s="54">
        <v>2</v>
      </c>
      <c r="X49" s="54">
        <v>2</v>
      </c>
      <c r="Y49" s="54">
        <v>4</v>
      </c>
      <c r="Z49" s="54">
        <v>4</v>
      </c>
      <c r="AA49" s="54">
        <v>0</v>
      </c>
      <c r="AB49" s="54">
        <v>1</v>
      </c>
      <c r="AC49" s="54">
        <v>2</v>
      </c>
      <c r="AD49" s="54">
        <v>4</v>
      </c>
      <c r="AE49" s="54">
        <v>0</v>
      </c>
      <c r="AF49" s="54"/>
      <c r="AG49" s="5">
        <f t="shared" si="2"/>
        <v>49</v>
      </c>
    </row>
    <row r="50" spans="1:33" ht="15.75" customHeight="1" x14ac:dyDescent="0.25">
      <c r="A50" s="56" t="s">
        <v>24</v>
      </c>
      <c r="B50" s="54">
        <v>2</v>
      </c>
      <c r="C50" s="54">
        <v>0</v>
      </c>
      <c r="D50" s="54">
        <v>1</v>
      </c>
      <c r="E50" s="54">
        <v>2</v>
      </c>
      <c r="F50" s="54">
        <v>1</v>
      </c>
      <c r="G50" s="54">
        <v>0</v>
      </c>
      <c r="H50" s="54">
        <v>0</v>
      </c>
      <c r="I50" s="54">
        <v>0</v>
      </c>
      <c r="J50" s="54">
        <v>1</v>
      </c>
      <c r="K50" s="54">
        <v>0</v>
      </c>
      <c r="L50" s="54">
        <v>0</v>
      </c>
      <c r="M50" s="54">
        <v>4</v>
      </c>
      <c r="N50" s="54">
        <v>1</v>
      </c>
      <c r="O50" s="54">
        <v>1</v>
      </c>
      <c r="P50" s="54">
        <v>0</v>
      </c>
      <c r="Q50" s="54">
        <v>2</v>
      </c>
      <c r="R50" s="54">
        <v>3</v>
      </c>
      <c r="S50" s="54">
        <v>1</v>
      </c>
      <c r="T50" s="54">
        <v>2</v>
      </c>
      <c r="U50" s="54">
        <v>7</v>
      </c>
      <c r="V50" s="54">
        <v>6</v>
      </c>
      <c r="W50" s="54">
        <v>5</v>
      </c>
      <c r="X50" s="54">
        <v>2</v>
      </c>
      <c r="Y50" s="54">
        <v>2</v>
      </c>
      <c r="Z50" s="54">
        <v>5</v>
      </c>
      <c r="AA50" s="54">
        <v>3</v>
      </c>
      <c r="AB50" s="54">
        <v>2</v>
      </c>
      <c r="AC50" s="54">
        <v>1</v>
      </c>
      <c r="AD50" s="54">
        <v>1</v>
      </c>
      <c r="AE50" s="54">
        <v>2</v>
      </c>
      <c r="AF50" s="54"/>
      <c r="AG50" s="5">
        <f t="shared" si="2"/>
        <v>57</v>
      </c>
    </row>
    <row r="51" spans="1:33" ht="15.75" customHeight="1" x14ac:dyDescent="0.25">
      <c r="A51" s="56" t="s">
        <v>25</v>
      </c>
      <c r="B51" s="54">
        <v>2</v>
      </c>
      <c r="C51" s="54">
        <v>2</v>
      </c>
      <c r="D51" s="54">
        <v>2</v>
      </c>
      <c r="E51" s="54">
        <v>1</v>
      </c>
      <c r="F51" s="54">
        <v>1</v>
      </c>
      <c r="G51" s="54">
        <v>2</v>
      </c>
      <c r="H51" s="54">
        <v>1</v>
      </c>
      <c r="I51" s="54">
        <v>2</v>
      </c>
      <c r="J51" s="54">
        <v>0</v>
      </c>
      <c r="K51" s="54">
        <v>2</v>
      </c>
      <c r="L51" s="54">
        <v>1</v>
      </c>
      <c r="M51" s="54">
        <v>2</v>
      </c>
      <c r="N51" s="54">
        <v>0</v>
      </c>
      <c r="O51" s="54">
        <v>1</v>
      </c>
      <c r="P51" s="54">
        <v>2</v>
      </c>
      <c r="Q51" s="54">
        <v>1</v>
      </c>
      <c r="R51" s="54">
        <v>0</v>
      </c>
      <c r="S51" s="54">
        <v>1</v>
      </c>
      <c r="T51" s="54">
        <v>2</v>
      </c>
      <c r="U51" s="54">
        <v>5</v>
      </c>
      <c r="V51" s="54">
        <v>5</v>
      </c>
      <c r="W51" s="54">
        <v>0</v>
      </c>
      <c r="X51" s="54">
        <v>2</v>
      </c>
      <c r="Y51" s="54">
        <v>2</v>
      </c>
      <c r="Z51" s="54">
        <v>0</v>
      </c>
      <c r="AA51" s="54">
        <v>2</v>
      </c>
      <c r="AB51" s="54">
        <v>1</v>
      </c>
      <c r="AC51" s="54">
        <v>1</v>
      </c>
      <c r="AD51" s="54">
        <v>1</v>
      </c>
      <c r="AE51" s="54">
        <v>1</v>
      </c>
      <c r="AF51" s="54"/>
      <c r="AG51" s="5">
        <f t="shared" si="2"/>
        <v>45</v>
      </c>
    </row>
    <row r="52" spans="1:33" ht="15.75" customHeight="1" thickBot="1" x14ac:dyDescent="0.3">
      <c r="A52" s="57" t="s">
        <v>26</v>
      </c>
      <c r="B52" s="58">
        <v>1</v>
      </c>
      <c r="C52" s="58">
        <v>1</v>
      </c>
      <c r="D52" s="58">
        <v>1</v>
      </c>
      <c r="E52" s="58">
        <v>0</v>
      </c>
      <c r="F52" s="58">
        <v>0</v>
      </c>
      <c r="G52" s="58">
        <v>1</v>
      </c>
      <c r="H52" s="58">
        <v>2</v>
      </c>
      <c r="I52" s="58">
        <v>1</v>
      </c>
      <c r="J52" s="58">
        <v>0</v>
      </c>
      <c r="K52" s="58">
        <v>0</v>
      </c>
      <c r="L52" s="58">
        <v>0</v>
      </c>
      <c r="M52" s="58">
        <v>1</v>
      </c>
      <c r="N52" s="58">
        <v>0</v>
      </c>
      <c r="O52" s="58">
        <v>0</v>
      </c>
      <c r="P52" s="58">
        <v>1</v>
      </c>
      <c r="Q52" s="58">
        <v>0</v>
      </c>
      <c r="R52" s="58">
        <v>0</v>
      </c>
      <c r="S52" s="58">
        <v>1</v>
      </c>
      <c r="T52" s="58">
        <v>4</v>
      </c>
      <c r="U52" s="58">
        <v>2</v>
      </c>
      <c r="V52" s="58">
        <v>0</v>
      </c>
      <c r="W52" s="58">
        <v>1</v>
      </c>
      <c r="X52" s="58">
        <v>0</v>
      </c>
      <c r="Y52" s="58">
        <v>0</v>
      </c>
      <c r="Z52" s="58">
        <v>1</v>
      </c>
      <c r="AA52" s="58">
        <v>0</v>
      </c>
      <c r="AB52" s="58">
        <v>1</v>
      </c>
      <c r="AC52" s="58">
        <v>1</v>
      </c>
      <c r="AD52" s="60">
        <v>3</v>
      </c>
      <c r="AE52" s="60">
        <v>0</v>
      </c>
      <c r="AF52" s="60"/>
      <c r="AG52" s="9">
        <f t="shared" si="2"/>
        <v>23</v>
      </c>
    </row>
    <row r="53" spans="1:33" ht="15.75" customHeight="1" thickBot="1" x14ac:dyDescent="0.3">
      <c r="A53" s="52" t="s">
        <v>28</v>
      </c>
      <c r="B53" s="1">
        <f t="shared" ref="B53:AF53" si="4">SUM(B54:B77)</f>
        <v>4</v>
      </c>
      <c r="C53" s="1">
        <f t="shared" si="4"/>
        <v>18</v>
      </c>
      <c r="D53" s="1">
        <f t="shared" si="4"/>
        <v>8</v>
      </c>
      <c r="E53" s="1">
        <f t="shared" si="4"/>
        <v>12</v>
      </c>
      <c r="F53" s="1">
        <f t="shared" si="4"/>
        <v>22</v>
      </c>
      <c r="G53" s="1">
        <f t="shared" si="4"/>
        <v>8</v>
      </c>
      <c r="H53" s="1">
        <f t="shared" si="4"/>
        <v>4</v>
      </c>
      <c r="I53" s="1">
        <f t="shared" si="4"/>
        <v>35</v>
      </c>
      <c r="J53" s="1">
        <f t="shared" si="4"/>
        <v>15</v>
      </c>
      <c r="K53" s="1">
        <f t="shared" si="4"/>
        <v>26</v>
      </c>
      <c r="L53" s="1">
        <f t="shared" si="4"/>
        <v>14</v>
      </c>
      <c r="M53" s="1">
        <f t="shared" si="4"/>
        <v>9</v>
      </c>
      <c r="N53" s="1">
        <f t="shared" si="4"/>
        <v>4</v>
      </c>
      <c r="O53" s="1">
        <f t="shared" si="4"/>
        <v>11</v>
      </c>
      <c r="P53" s="1">
        <f t="shared" si="4"/>
        <v>9</v>
      </c>
      <c r="Q53" s="1">
        <f t="shared" si="4"/>
        <v>11</v>
      </c>
      <c r="R53" s="1">
        <f t="shared" si="4"/>
        <v>17</v>
      </c>
      <c r="S53" s="1">
        <f t="shared" si="4"/>
        <v>0</v>
      </c>
      <c r="T53" s="1">
        <f t="shared" si="4"/>
        <v>10</v>
      </c>
      <c r="U53" s="1">
        <f t="shared" si="4"/>
        <v>19</v>
      </c>
      <c r="V53" s="1">
        <f t="shared" si="4"/>
        <v>16</v>
      </c>
      <c r="W53" s="1">
        <f t="shared" si="4"/>
        <v>23</v>
      </c>
      <c r="X53" s="1">
        <f t="shared" si="4"/>
        <v>42</v>
      </c>
      <c r="Y53" s="1">
        <f t="shared" si="4"/>
        <v>24</v>
      </c>
      <c r="Z53" s="1">
        <f t="shared" si="4"/>
        <v>11</v>
      </c>
      <c r="AA53" s="1">
        <f t="shared" si="4"/>
        <v>27</v>
      </c>
      <c r="AB53" s="1">
        <f t="shared" si="4"/>
        <v>22</v>
      </c>
      <c r="AC53" s="1">
        <f t="shared" si="4"/>
        <v>28</v>
      </c>
      <c r="AD53" s="1">
        <f t="shared" si="4"/>
        <v>15</v>
      </c>
      <c r="AE53" s="1">
        <f t="shared" si="4"/>
        <v>18</v>
      </c>
      <c r="AF53" s="1">
        <f t="shared" si="4"/>
        <v>0</v>
      </c>
      <c r="AG53" s="10">
        <f t="shared" si="2"/>
        <v>482</v>
      </c>
    </row>
    <row r="54" spans="1:33" ht="15.75" customHeight="1" x14ac:dyDescent="0.25">
      <c r="A54" s="56" t="s">
        <v>3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/>
      <c r="AG54" s="4">
        <f t="shared" si="2"/>
        <v>0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1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/>
      <c r="AG55" s="5">
        <f t="shared" si="2"/>
        <v>1</v>
      </c>
    </row>
    <row r="56" spans="1:33" ht="15.75" customHeight="1" x14ac:dyDescent="0.25">
      <c r="A56" s="56" t="s">
        <v>5</v>
      </c>
      <c r="B56" s="54">
        <v>2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1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1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1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/>
      <c r="AG56" s="5">
        <f t="shared" si="2"/>
        <v>5</v>
      </c>
    </row>
    <row r="57" spans="1:33" ht="15.75" customHeight="1" x14ac:dyDescent="0.25">
      <c r="A57" s="56" t="s">
        <v>6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1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2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1</v>
      </c>
      <c r="AE57" s="54">
        <v>0</v>
      </c>
      <c r="AF57" s="54"/>
      <c r="AG57" s="5">
        <f t="shared" si="2"/>
        <v>4</v>
      </c>
    </row>
    <row r="58" spans="1:33" ht="15.75" customHeight="1" x14ac:dyDescent="0.25">
      <c r="A58" s="56" t="s">
        <v>7</v>
      </c>
      <c r="B58" s="54">
        <v>0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1</v>
      </c>
      <c r="I58" s="54">
        <v>1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1</v>
      </c>
      <c r="U58" s="54">
        <v>2</v>
      </c>
      <c r="V58" s="54">
        <v>0</v>
      </c>
      <c r="W58" s="54">
        <v>1</v>
      </c>
      <c r="X58" s="54">
        <v>0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/>
      <c r="AG58" s="5">
        <f t="shared" si="2"/>
        <v>6</v>
      </c>
    </row>
    <row r="59" spans="1:33" ht="15.75" customHeight="1" x14ac:dyDescent="0.25">
      <c r="A59" s="56" t="s">
        <v>8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1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1</v>
      </c>
      <c r="W59" s="54">
        <v>1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/>
      <c r="AG59" s="5">
        <f t="shared" si="2"/>
        <v>3</v>
      </c>
    </row>
    <row r="60" spans="1:33" ht="15.75" customHeight="1" x14ac:dyDescent="0.25">
      <c r="A60" s="56" t="s">
        <v>9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2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2</v>
      </c>
      <c r="AD60" s="54">
        <v>2</v>
      </c>
      <c r="AE60" s="54">
        <v>0</v>
      </c>
      <c r="AF60" s="54"/>
      <c r="AG60" s="5">
        <f t="shared" si="2"/>
        <v>6</v>
      </c>
    </row>
    <row r="61" spans="1:33" ht="15.75" customHeight="1" x14ac:dyDescent="0.25">
      <c r="A61" s="56" t="s">
        <v>10</v>
      </c>
      <c r="B61" s="54">
        <v>0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2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2</v>
      </c>
      <c r="Q61" s="54">
        <v>0</v>
      </c>
      <c r="R61" s="54">
        <v>3</v>
      </c>
      <c r="S61" s="54">
        <v>0</v>
      </c>
      <c r="T61" s="54">
        <v>1</v>
      </c>
      <c r="U61" s="54">
        <v>4</v>
      </c>
      <c r="V61" s="54">
        <v>2</v>
      </c>
      <c r="W61" s="54">
        <v>1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2</v>
      </c>
      <c r="AD61" s="54">
        <v>0</v>
      </c>
      <c r="AE61" s="54">
        <v>0</v>
      </c>
      <c r="AF61" s="54"/>
      <c r="AG61" s="5">
        <f t="shared" si="2"/>
        <v>17</v>
      </c>
    </row>
    <row r="62" spans="1:33" ht="15.75" customHeight="1" x14ac:dyDescent="0.25">
      <c r="A62" s="56" t="s">
        <v>11</v>
      </c>
      <c r="B62" s="54">
        <v>0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4">
        <v>1</v>
      </c>
      <c r="I62" s="54">
        <v>3</v>
      </c>
      <c r="J62" s="54">
        <v>0</v>
      </c>
      <c r="K62" s="54">
        <v>0</v>
      </c>
      <c r="L62" s="54">
        <v>0</v>
      </c>
      <c r="M62" s="54">
        <v>0</v>
      </c>
      <c r="N62" s="54">
        <v>1</v>
      </c>
      <c r="O62" s="54">
        <v>2</v>
      </c>
      <c r="P62" s="54">
        <v>1</v>
      </c>
      <c r="Q62" s="54">
        <v>0</v>
      </c>
      <c r="R62" s="54">
        <v>1</v>
      </c>
      <c r="S62" s="54">
        <v>0</v>
      </c>
      <c r="T62" s="54">
        <v>0</v>
      </c>
      <c r="U62" s="54">
        <v>2</v>
      </c>
      <c r="V62" s="54">
        <v>4</v>
      </c>
      <c r="W62" s="54">
        <v>4</v>
      </c>
      <c r="X62" s="54">
        <v>0</v>
      </c>
      <c r="Y62" s="54">
        <v>0</v>
      </c>
      <c r="Z62" s="54">
        <v>0</v>
      </c>
      <c r="AA62" s="54">
        <v>0</v>
      </c>
      <c r="AB62" s="54">
        <v>0</v>
      </c>
      <c r="AC62" s="54">
        <v>3</v>
      </c>
      <c r="AD62" s="54">
        <v>0</v>
      </c>
      <c r="AE62" s="54">
        <v>0</v>
      </c>
      <c r="AF62" s="54"/>
      <c r="AG62" s="5">
        <f t="shared" si="2"/>
        <v>22</v>
      </c>
    </row>
    <row r="63" spans="1:33" ht="15.75" customHeight="1" x14ac:dyDescent="0.25">
      <c r="A63" s="56" t="s">
        <v>12</v>
      </c>
      <c r="B63" s="54">
        <v>1</v>
      </c>
      <c r="C63" s="54">
        <v>1</v>
      </c>
      <c r="D63" s="54">
        <v>1</v>
      </c>
      <c r="E63" s="54">
        <v>0</v>
      </c>
      <c r="F63" s="54">
        <v>0</v>
      </c>
      <c r="G63" s="54">
        <v>1</v>
      </c>
      <c r="H63" s="54">
        <v>0</v>
      </c>
      <c r="I63" s="54">
        <v>4</v>
      </c>
      <c r="J63" s="54">
        <v>0</v>
      </c>
      <c r="K63" s="54">
        <v>0</v>
      </c>
      <c r="L63" s="54">
        <v>0</v>
      </c>
      <c r="M63" s="54">
        <v>0</v>
      </c>
      <c r="N63" s="54">
        <v>1</v>
      </c>
      <c r="O63" s="54">
        <v>0</v>
      </c>
      <c r="P63" s="54">
        <v>0</v>
      </c>
      <c r="Q63" s="54">
        <v>1</v>
      </c>
      <c r="R63" s="54">
        <v>3</v>
      </c>
      <c r="S63" s="54">
        <v>0</v>
      </c>
      <c r="T63" s="54">
        <v>4</v>
      </c>
      <c r="U63" s="54">
        <v>2</v>
      </c>
      <c r="V63" s="54">
        <v>4</v>
      </c>
      <c r="W63" s="54">
        <v>4</v>
      </c>
      <c r="X63" s="54">
        <v>1</v>
      </c>
      <c r="Y63" s="54">
        <v>1</v>
      </c>
      <c r="Z63" s="54">
        <v>1</v>
      </c>
      <c r="AA63" s="54">
        <v>0</v>
      </c>
      <c r="AB63" s="54">
        <v>2</v>
      </c>
      <c r="AC63" s="54">
        <v>2</v>
      </c>
      <c r="AD63" s="54">
        <v>2</v>
      </c>
      <c r="AE63" s="54">
        <v>1</v>
      </c>
      <c r="AF63" s="54"/>
      <c r="AG63" s="5">
        <f t="shared" si="2"/>
        <v>37</v>
      </c>
    </row>
    <row r="64" spans="1:33" ht="15.75" customHeight="1" x14ac:dyDescent="0.25">
      <c r="A64" s="56" t="s">
        <v>13</v>
      </c>
      <c r="B64" s="54">
        <v>0</v>
      </c>
      <c r="C64" s="54">
        <v>2</v>
      </c>
      <c r="D64" s="54">
        <v>0</v>
      </c>
      <c r="E64" s="54">
        <v>1</v>
      </c>
      <c r="F64" s="54">
        <v>1</v>
      </c>
      <c r="G64" s="54">
        <v>1</v>
      </c>
      <c r="H64" s="54">
        <v>1</v>
      </c>
      <c r="I64" s="54">
        <v>9</v>
      </c>
      <c r="J64" s="54">
        <v>2</v>
      </c>
      <c r="K64" s="54">
        <v>2</v>
      </c>
      <c r="L64" s="54">
        <v>2</v>
      </c>
      <c r="M64" s="54">
        <v>0</v>
      </c>
      <c r="N64" s="54">
        <v>0</v>
      </c>
      <c r="O64" s="54">
        <v>2</v>
      </c>
      <c r="P64" s="54">
        <v>1</v>
      </c>
      <c r="Q64" s="54">
        <v>2</v>
      </c>
      <c r="R64" s="54">
        <v>4</v>
      </c>
      <c r="S64" s="54">
        <v>0</v>
      </c>
      <c r="T64" s="54">
        <v>0</v>
      </c>
      <c r="U64" s="54">
        <v>3</v>
      </c>
      <c r="V64" s="54">
        <v>3</v>
      </c>
      <c r="W64" s="54">
        <v>5</v>
      </c>
      <c r="X64" s="54">
        <v>0</v>
      </c>
      <c r="Y64" s="54">
        <v>2</v>
      </c>
      <c r="Z64" s="54">
        <v>0</v>
      </c>
      <c r="AA64" s="54">
        <v>2</v>
      </c>
      <c r="AB64" s="54">
        <v>0</v>
      </c>
      <c r="AC64" s="54">
        <v>3</v>
      </c>
      <c r="AD64" s="54">
        <v>4</v>
      </c>
      <c r="AE64" s="54">
        <v>1</v>
      </c>
      <c r="AF64" s="54"/>
      <c r="AG64" s="5">
        <f t="shared" si="2"/>
        <v>53</v>
      </c>
    </row>
    <row r="65" spans="1:33" ht="15.75" customHeight="1" x14ac:dyDescent="0.25">
      <c r="A65" s="56" t="s">
        <v>14</v>
      </c>
      <c r="B65" s="54">
        <v>0</v>
      </c>
      <c r="C65" s="54">
        <v>2</v>
      </c>
      <c r="D65" s="54">
        <v>2</v>
      </c>
      <c r="E65" s="54">
        <v>0</v>
      </c>
      <c r="F65" s="54">
        <v>1</v>
      </c>
      <c r="G65" s="54">
        <v>0</v>
      </c>
      <c r="H65" s="54">
        <v>0</v>
      </c>
      <c r="I65" s="54">
        <v>0</v>
      </c>
      <c r="J65" s="54">
        <v>1</v>
      </c>
      <c r="K65" s="54">
        <v>3</v>
      </c>
      <c r="L65" s="54">
        <v>0</v>
      </c>
      <c r="M65" s="54">
        <v>1</v>
      </c>
      <c r="N65" s="54">
        <v>0</v>
      </c>
      <c r="O65" s="54">
        <v>2</v>
      </c>
      <c r="P65" s="54">
        <v>1</v>
      </c>
      <c r="Q65" s="54">
        <v>4</v>
      </c>
      <c r="R65" s="54">
        <v>2</v>
      </c>
      <c r="S65" s="54">
        <v>0</v>
      </c>
      <c r="T65" s="54">
        <v>0</v>
      </c>
      <c r="U65" s="54">
        <v>1</v>
      </c>
      <c r="V65" s="54">
        <v>0</v>
      </c>
      <c r="W65" s="54">
        <v>0</v>
      </c>
      <c r="X65" s="54">
        <v>5</v>
      </c>
      <c r="Y65" s="54">
        <v>1</v>
      </c>
      <c r="Z65" s="54">
        <v>1</v>
      </c>
      <c r="AA65" s="54">
        <v>0</v>
      </c>
      <c r="AB65" s="54">
        <v>4</v>
      </c>
      <c r="AC65" s="54">
        <v>5</v>
      </c>
      <c r="AD65" s="54">
        <v>1</v>
      </c>
      <c r="AE65" s="54">
        <v>1</v>
      </c>
      <c r="AF65" s="54"/>
      <c r="AG65" s="5">
        <f t="shared" si="2"/>
        <v>38</v>
      </c>
    </row>
    <row r="66" spans="1:33" ht="15.75" customHeight="1" x14ac:dyDescent="0.25">
      <c r="A66" s="56" t="s">
        <v>15</v>
      </c>
      <c r="B66" s="54">
        <v>0</v>
      </c>
      <c r="C66" s="54">
        <v>2</v>
      </c>
      <c r="D66" s="54">
        <v>4</v>
      </c>
      <c r="E66" s="54">
        <v>3</v>
      </c>
      <c r="F66" s="54">
        <v>6</v>
      </c>
      <c r="G66" s="54">
        <v>1</v>
      </c>
      <c r="H66" s="54">
        <v>0</v>
      </c>
      <c r="I66" s="54">
        <v>1</v>
      </c>
      <c r="J66" s="54">
        <v>6</v>
      </c>
      <c r="K66" s="54">
        <v>0</v>
      </c>
      <c r="L66" s="54">
        <v>1</v>
      </c>
      <c r="M66" s="54">
        <v>3</v>
      </c>
      <c r="N66" s="54">
        <v>1</v>
      </c>
      <c r="O66" s="54">
        <v>0</v>
      </c>
      <c r="P66" s="54">
        <v>0</v>
      </c>
      <c r="Q66" s="54">
        <v>1</v>
      </c>
      <c r="R66" s="54">
        <v>2</v>
      </c>
      <c r="S66" s="54">
        <v>0</v>
      </c>
      <c r="T66" s="54">
        <v>1</v>
      </c>
      <c r="U66" s="54">
        <v>1</v>
      </c>
      <c r="V66" s="54">
        <v>0</v>
      </c>
      <c r="W66" s="54">
        <v>1</v>
      </c>
      <c r="X66" s="54">
        <v>4</v>
      </c>
      <c r="Y66" s="54">
        <v>1</v>
      </c>
      <c r="Z66" s="54">
        <v>0</v>
      </c>
      <c r="AA66" s="54">
        <v>2</v>
      </c>
      <c r="AB66" s="54">
        <v>3</v>
      </c>
      <c r="AC66" s="54">
        <v>3</v>
      </c>
      <c r="AD66" s="54">
        <v>3</v>
      </c>
      <c r="AE66" s="54">
        <v>1</v>
      </c>
      <c r="AF66" s="54"/>
      <c r="AG66" s="5">
        <f t="shared" si="2"/>
        <v>51</v>
      </c>
    </row>
    <row r="67" spans="1:33" ht="15.75" customHeight="1" x14ac:dyDescent="0.25">
      <c r="A67" s="56" t="s">
        <v>16</v>
      </c>
      <c r="B67" s="54">
        <v>0</v>
      </c>
      <c r="C67" s="54">
        <v>4</v>
      </c>
      <c r="D67" s="54">
        <v>0</v>
      </c>
      <c r="E67" s="54">
        <v>1</v>
      </c>
      <c r="F67" s="54">
        <v>2</v>
      </c>
      <c r="G67" s="54">
        <v>1</v>
      </c>
      <c r="H67" s="54">
        <v>0</v>
      </c>
      <c r="I67" s="54">
        <v>5</v>
      </c>
      <c r="J67" s="54">
        <v>3</v>
      </c>
      <c r="K67" s="54">
        <v>1</v>
      </c>
      <c r="L67" s="54">
        <v>6</v>
      </c>
      <c r="M67" s="54">
        <v>1</v>
      </c>
      <c r="N67" s="54">
        <v>0</v>
      </c>
      <c r="O67" s="54">
        <v>1</v>
      </c>
      <c r="P67" s="54">
        <v>0</v>
      </c>
      <c r="Q67" s="54">
        <v>0</v>
      </c>
      <c r="R67" s="54">
        <v>0</v>
      </c>
      <c r="S67" s="54">
        <v>0</v>
      </c>
      <c r="T67" s="54">
        <v>1</v>
      </c>
      <c r="U67" s="54">
        <v>0</v>
      </c>
      <c r="V67" s="54">
        <v>0</v>
      </c>
      <c r="W67" s="54">
        <v>1</v>
      </c>
      <c r="X67" s="54">
        <v>3</v>
      </c>
      <c r="Y67" s="54">
        <v>7</v>
      </c>
      <c r="Z67" s="54">
        <v>3</v>
      </c>
      <c r="AA67" s="54">
        <v>2</v>
      </c>
      <c r="AB67" s="54">
        <v>5</v>
      </c>
      <c r="AC67" s="54">
        <v>1</v>
      </c>
      <c r="AD67" s="54">
        <v>0</v>
      </c>
      <c r="AE67" s="54">
        <v>1</v>
      </c>
      <c r="AF67" s="54"/>
      <c r="AG67" s="5">
        <f t="shared" ref="AG67:AG98" si="5">SUM(B67:AF67)</f>
        <v>49</v>
      </c>
    </row>
    <row r="68" spans="1:33" ht="15.75" customHeight="1" x14ac:dyDescent="0.25">
      <c r="A68" s="56" t="s">
        <v>17</v>
      </c>
      <c r="B68" s="54">
        <v>1</v>
      </c>
      <c r="C68" s="54">
        <v>3</v>
      </c>
      <c r="D68" s="54">
        <v>1</v>
      </c>
      <c r="E68" s="54">
        <v>0</v>
      </c>
      <c r="F68" s="54">
        <v>4</v>
      </c>
      <c r="G68" s="54">
        <v>2</v>
      </c>
      <c r="H68" s="54">
        <v>1</v>
      </c>
      <c r="I68" s="54">
        <v>5</v>
      </c>
      <c r="J68" s="54">
        <v>1</v>
      </c>
      <c r="K68" s="54">
        <v>8</v>
      </c>
      <c r="L68" s="54">
        <v>0</v>
      </c>
      <c r="M68" s="54">
        <v>1</v>
      </c>
      <c r="N68" s="54">
        <v>1</v>
      </c>
      <c r="O68" s="54">
        <v>0</v>
      </c>
      <c r="P68" s="54">
        <v>2</v>
      </c>
      <c r="Q68" s="54">
        <v>1</v>
      </c>
      <c r="R68" s="54">
        <v>0</v>
      </c>
      <c r="S68" s="54">
        <v>0</v>
      </c>
      <c r="T68" s="54">
        <v>1</v>
      </c>
      <c r="U68" s="54">
        <v>1</v>
      </c>
      <c r="V68" s="54">
        <v>0</v>
      </c>
      <c r="W68" s="54">
        <v>0</v>
      </c>
      <c r="X68" s="54">
        <v>10</v>
      </c>
      <c r="Y68" s="54">
        <v>3</v>
      </c>
      <c r="Z68" s="54">
        <v>4</v>
      </c>
      <c r="AA68" s="54">
        <v>6</v>
      </c>
      <c r="AB68" s="54">
        <v>2</v>
      </c>
      <c r="AC68" s="54">
        <v>4</v>
      </c>
      <c r="AD68" s="54">
        <v>1</v>
      </c>
      <c r="AE68" s="54">
        <v>5</v>
      </c>
      <c r="AF68" s="54"/>
      <c r="AG68" s="5">
        <f t="shared" si="5"/>
        <v>68</v>
      </c>
    </row>
    <row r="69" spans="1:33" ht="15.75" customHeight="1" x14ac:dyDescent="0.25">
      <c r="A69" s="56" t="s">
        <v>18</v>
      </c>
      <c r="B69" s="54">
        <v>0</v>
      </c>
      <c r="C69" s="54">
        <v>0</v>
      </c>
      <c r="D69" s="54">
        <v>0</v>
      </c>
      <c r="E69" s="54">
        <v>0</v>
      </c>
      <c r="F69" s="54">
        <v>5</v>
      </c>
      <c r="G69" s="54">
        <v>1</v>
      </c>
      <c r="H69" s="54">
        <v>0</v>
      </c>
      <c r="I69" s="54">
        <v>3</v>
      </c>
      <c r="J69" s="54">
        <v>1</v>
      </c>
      <c r="K69" s="54">
        <v>1</v>
      </c>
      <c r="L69" s="54">
        <v>5</v>
      </c>
      <c r="M69" s="54">
        <v>0</v>
      </c>
      <c r="N69" s="54">
        <v>0</v>
      </c>
      <c r="O69" s="54">
        <v>2</v>
      </c>
      <c r="P69" s="54">
        <v>0</v>
      </c>
      <c r="Q69" s="54">
        <v>0</v>
      </c>
      <c r="R69" s="54">
        <v>0</v>
      </c>
      <c r="S69" s="54">
        <v>0</v>
      </c>
      <c r="T69" s="54">
        <v>0</v>
      </c>
      <c r="U69" s="54">
        <v>1</v>
      </c>
      <c r="V69" s="54">
        <v>0</v>
      </c>
      <c r="W69" s="54">
        <v>3</v>
      </c>
      <c r="X69" s="54">
        <v>0</v>
      </c>
      <c r="Y69" s="54">
        <v>2</v>
      </c>
      <c r="Z69" s="54">
        <v>0</v>
      </c>
      <c r="AA69" s="54">
        <v>4</v>
      </c>
      <c r="AB69" s="54">
        <v>1</v>
      </c>
      <c r="AC69" s="54">
        <v>1</v>
      </c>
      <c r="AD69" s="54">
        <v>0</v>
      </c>
      <c r="AE69" s="54">
        <v>3</v>
      </c>
      <c r="AF69" s="54"/>
      <c r="AG69" s="5">
        <f t="shared" si="5"/>
        <v>33</v>
      </c>
    </row>
    <row r="70" spans="1:33" ht="15.75" customHeight="1" x14ac:dyDescent="0.25">
      <c r="A70" s="56" t="s">
        <v>19</v>
      </c>
      <c r="B70" s="54">
        <v>0</v>
      </c>
      <c r="C70" s="54">
        <v>1</v>
      </c>
      <c r="D70" s="54">
        <v>0</v>
      </c>
      <c r="E70" s="54">
        <v>3</v>
      </c>
      <c r="F70" s="54">
        <v>0</v>
      </c>
      <c r="G70" s="54">
        <v>1</v>
      </c>
      <c r="H70" s="54">
        <v>0</v>
      </c>
      <c r="I70" s="54">
        <v>0</v>
      </c>
      <c r="J70" s="54">
        <v>0</v>
      </c>
      <c r="K70" s="54">
        <v>5</v>
      </c>
      <c r="L70" s="54">
        <v>0</v>
      </c>
      <c r="M70" s="54">
        <v>3</v>
      </c>
      <c r="N70" s="54">
        <v>0</v>
      </c>
      <c r="O70" s="54">
        <v>0</v>
      </c>
      <c r="P70" s="54">
        <v>0</v>
      </c>
      <c r="Q70" s="54">
        <v>1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4">
        <v>0</v>
      </c>
      <c r="X70" s="54">
        <v>3</v>
      </c>
      <c r="Y70" s="54">
        <v>3</v>
      </c>
      <c r="Z70" s="54">
        <v>0</v>
      </c>
      <c r="AA70" s="54">
        <v>0</v>
      </c>
      <c r="AB70" s="54">
        <v>0</v>
      </c>
      <c r="AC70" s="54">
        <v>1</v>
      </c>
      <c r="AD70" s="55">
        <v>1</v>
      </c>
      <c r="AE70" s="55">
        <v>3</v>
      </c>
      <c r="AF70" s="55"/>
      <c r="AG70" s="5">
        <f t="shared" si="5"/>
        <v>25</v>
      </c>
    </row>
    <row r="71" spans="1:33" ht="15.75" customHeight="1" x14ac:dyDescent="0.25">
      <c r="A71" s="56" t="s">
        <v>20</v>
      </c>
      <c r="B71" s="54">
        <v>0</v>
      </c>
      <c r="C71" s="54">
        <v>3</v>
      </c>
      <c r="D71" s="54">
        <v>0</v>
      </c>
      <c r="E71" s="54">
        <v>4</v>
      </c>
      <c r="F71" s="54">
        <v>0</v>
      </c>
      <c r="G71" s="54">
        <v>0</v>
      </c>
      <c r="H71" s="54">
        <v>0</v>
      </c>
      <c r="I71" s="54">
        <v>0</v>
      </c>
      <c r="J71" s="54">
        <v>0</v>
      </c>
      <c r="K71" s="54">
        <v>4</v>
      </c>
      <c r="L71" s="54">
        <v>0</v>
      </c>
      <c r="M71" s="54">
        <v>0</v>
      </c>
      <c r="N71" s="54">
        <v>0</v>
      </c>
      <c r="O71" s="54">
        <v>0</v>
      </c>
      <c r="P71" s="54">
        <v>0</v>
      </c>
      <c r="Q71" s="54">
        <v>0</v>
      </c>
      <c r="R71" s="54">
        <v>0</v>
      </c>
      <c r="S71" s="54">
        <v>0</v>
      </c>
      <c r="T71" s="54">
        <v>1</v>
      </c>
      <c r="U71" s="54">
        <v>0</v>
      </c>
      <c r="V71" s="54">
        <v>1</v>
      </c>
      <c r="W71" s="54">
        <v>1</v>
      </c>
      <c r="X71" s="54">
        <v>10</v>
      </c>
      <c r="Y71" s="54">
        <v>0</v>
      </c>
      <c r="Z71" s="54">
        <v>1</v>
      </c>
      <c r="AA71" s="54">
        <v>0</v>
      </c>
      <c r="AB71" s="54">
        <v>1</v>
      </c>
      <c r="AC71" s="54">
        <v>0</v>
      </c>
      <c r="AD71" s="55">
        <v>0</v>
      </c>
      <c r="AE71" s="55">
        <v>1</v>
      </c>
      <c r="AF71" s="55"/>
      <c r="AG71" s="5">
        <f t="shared" si="5"/>
        <v>27</v>
      </c>
    </row>
    <row r="72" spans="1:33" ht="15.75" customHeight="1" x14ac:dyDescent="0.25">
      <c r="A72" s="56" t="s">
        <v>21</v>
      </c>
      <c r="B72" s="54">
        <v>0</v>
      </c>
      <c r="C72" s="54">
        <v>0</v>
      </c>
      <c r="D72" s="54">
        <v>0</v>
      </c>
      <c r="E72" s="54">
        <v>0</v>
      </c>
      <c r="F72" s="54">
        <v>2</v>
      </c>
      <c r="G72" s="54">
        <v>0</v>
      </c>
      <c r="H72" s="54">
        <v>0</v>
      </c>
      <c r="I72" s="54">
        <v>0</v>
      </c>
      <c r="J72" s="54">
        <v>0</v>
      </c>
      <c r="K72" s="54">
        <v>2</v>
      </c>
      <c r="L72" s="54">
        <v>0</v>
      </c>
      <c r="M72" s="54">
        <v>0</v>
      </c>
      <c r="N72" s="54">
        <v>0</v>
      </c>
      <c r="O72" s="54">
        <v>0</v>
      </c>
      <c r="P72" s="54">
        <v>0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4">
        <v>0</v>
      </c>
      <c r="X72" s="54">
        <v>3</v>
      </c>
      <c r="Y72" s="54">
        <v>3</v>
      </c>
      <c r="Z72" s="54">
        <v>0</v>
      </c>
      <c r="AA72" s="54">
        <v>11</v>
      </c>
      <c r="AB72" s="54">
        <v>3</v>
      </c>
      <c r="AC72" s="54">
        <v>1</v>
      </c>
      <c r="AD72" s="55">
        <v>0</v>
      </c>
      <c r="AE72" s="55">
        <v>0</v>
      </c>
      <c r="AF72" s="55"/>
      <c r="AG72" s="5">
        <f t="shared" si="5"/>
        <v>25</v>
      </c>
    </row>
    <row r="73" spans="1:33" ht="15.75" customHeight="1" x14ac:dyDescent="0.25">
      <c r="A73" s="56" t="s">
        <v>22</v>
      </c>
      <c r="B73" s="54">
        <v>0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1</v>
      </c>
      <c r="K73" s="54">
        <v>0</v>
      </c>
      <c r="L73" s="54">
        <v>0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3</v>
      </c>
      <c r="Y73" s="54">
        <v>1</v>
      </c>
      <c r="Z73" s="54">
        <v>1</v>
      </c>
      <c r="AA73" s="54">
        <v>0</v>
      </c>
      <c r="AB73" s="54">
        <v>1</v>
      </c>
      <c r="AC73" s="54">
        <v>0</v>
      </c>
      <c r="AD73" s="55">
        <v>0</v>
      </c>
      <c r="AE73" s="55">
        <v>1</v>
      </c>
      <c r="AF73" s="55"/>
      <c r="AG73" s="5">
        <f t="shared" si="5"/>
        <v>8</v>
      </c>
    </row>
    <row r="74" spans="1:33" ht="15.75" customHeight="1" x14ac:dyDescent="0.25">
      <c r="A74" s="56" t="s">
        <v>23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1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/>
      <c r="AG74" s="5">
        <f t="shared" si="5"/>
        <v>1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1</v>
      </c>
      <c r="R75" s="54">
        <v>0</v>
      </c>
      <c r="S75" s="54">
        <v>0</v>
      </c>
      <c r="T75" s="54">
        <v>0</v>
      </c>
      <c r="U75" s="54">
        <v>0</v>
      </c>
      <c r="V75" s="54">
        <v>1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/>
      <c r="AG75" s="5">
        <f t="shared" si="5"/>
        <v>2</v>
      </c>
    </row>
    <row r="76" spans="1:33" ht="15.75" customHeight="1" x14ac:dyDescent="0.25">
      <c r="A76" s="56" t="s">
        <v>25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/>
      <c r="AG76" s="5">
        <f t="shared" si="5"/>
        <v>0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0</v>
      </c>
      <c r="E77" s="58">
        <v>0</v>
      </c>
      <c r="F77" s="58">
        <v>1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/>
      <c r="AG77" s="9">
        <f t="shared" si="5"/>
        <v>1</v>
      </c>
    </row>
    <row r="78" spans="1:33" ht="19.5" customHeight="1" thickBot="1" x14ac:dyDescent="0.3">
      <c r="A78" s="63" t="s">
        <v>29</v>
      </c>
      <c r="B78" s="11">
        <f t="shared" ref="B78:AF78" si="6">SUM(B79:B80)</f>
        <v>199</v>
      </c>
      <c r="C78" s="11">
        <f t="shared" si="6"/>
        <v>159</v>
      </c>
      <c r="D78" s="11">
        <f t="shared" si="6"/>
        <v>155</v>
      </c>
      <c r="E78" s="11">
        <f t="shared" si="6"/>
        <v>138</v>
      </c>
      <c r="F78" s="11">
        <f t="shared" si="6"/>
        <v>124</v>
      </c>
      <c r="G78" s="11">
        <f t="shared" si="6"/>
        <v>133</v>
      </c>
      <c r="H78" s="11">
        <f t="shared" si="6"/>
        <v>198</v>
      </c>
      <c r="I78" s="11">
        <f t="shared" si="6"/>
        <v>200</v>
      </c>
      <c r="J78" s="11">
        <f t="shared" si="6"/>
        <v>148</v>
      </c>
      <c r="K78" s="11">
        <f t="shared" si="6"/>
        <v>178</v>
      </c>
      <c r="L78" s="11">
        <f t="shared" si="6"/>
        <v>126</v>
      </c>
      <c r="M78" s="11">
        <f t="shared" si="6"/>
        <v>129</v>
      </c>
      <c r="N78" s="11">
        <f t="shared" si="6"/>
        <v>129</v>
      </c>
      <c r="O78" s="11">
        <f t="shared" si="6"/>
        <v>221</v>
      </c>
      <c r="P78" s="11">
        <f t="shared" si="6"/>
        <v>209</v>
      </c>
      <c r="Q78" s="11">
        <f t="shared" si="6"/>
        <v>163</v>
      </c>
      <c r="R78" s="11">
        <f t="shared" si="6"/>
        <v>140</v>
      </c>
      <c r="S78" s="11">
        <f t="shared" si="6"/>
        <v>161</v>
      </c>
      <c r="T78" s="11">
        <f t="shared" si="6"/>
        <v>200</v>
      </c>
      <c r="U78" s="11">
        <f t="shared" si="6"/>
        <v>262</v>
      </c>
      <c r="V78" s="11">
        <f t="shared" si="6"/>
        <v>215</v>
      </c>
      <c r="W78" s="11">
        <f t="shared" si="6"/>
        <v>226</v>
      </c>
      <c r="X78" s="11">
        <f t="shared" si="6"/>
        <v>200</v>
      </c>
      <c r="Y78" s="11">
        <f t="shared" si="6"/>
        <v>164</v>
      </c>
      <c r="Z78" s="11">
        <f t="shared" si="6"/>
        <v>151</v>
      </c>
      <c r="AA78" s="11">
        <f t="shared" si="6"/>
        <v>152</v>
      </c>
      <c r="AB78" s="11">
        <f t="shared" si="6"/>
        <v>146</v>
      </c>
      <c r="AC78" s="11">
        <f t="shared" si="6"/>
        <v>224</v>
      </c>
      <c r="AD78" s="11">
        <f t="shared" si="6"/>
        <v>225</v>
      </c>
      <c r="AE78" s="11">
        <f t="shared" si="6"/>
        <v>132</v>
      </c>
      <c r="AF78" s="11">
        <f t="shared" si="6"/>
        <v>0</v>
      </c>
      <c r="AG78" s="10">
        <f t="shared" si="5"/>
        <v>5207</v>
      </c>
    </row>
    <row r="79" spans="1:33" ht="19.5" customHeight="1" x14ac:dyDescent="0.25">
      <c r="A79" s="64" t="s">
        <v>30</v>
      </c>
      <c r="B79" s="3">
        <f t="shared" ref="B79" si="7">SUM(B4:B27)-B80</f>
        <v>199</v>
      </c>
      <c r="C79" s="3">
        <f t="shared" ref="C79" si="8">SUM(C4:C27)-C80</f>
        <v>159</v>
      </c>
      <c r="D79" s="3">
        <f t="shared" ref="D79:AF79" si="9">SUM(D4:D27)-D80</f>
        <v>155</v>
      </c>
      <c r="E79" s="3">
        <f t="shared" si="9"/>
        <v>138</v>
      </c>
      <c r="F79" s="3">
        <f t="shared" si="9"/>
        <v>124</v>
      </c>
      <c r="G79" s="3">
        <f t="shared" si="9"/>
        <v>133</v>
      </c>
      <c r="H79" s="3">
        <f t="shared" si="9"/>
        <v>198</v>
      </c>
      <c r="I79" s="3">
        <f t="shared" si="9"/>
        <v>200</v>
      </c>
      <c r="J79" s="3">
        <f t="shared" si="9"/>
        <v>148</v>
      </c>
      <c r="K79" s="3">
        <f t="shared" si="9"/>
        <v>178</v>
      </c>
      <c r="L79" s="3">
        <f t="shared" si="9"/>
        <v>126</v>
      </c>
      <c r="M79" s="3">
        <f t="shared" si="9"/>
        <v>129</v>
      </c>
      <c r="N79" s="3">
        <f t="shared" si="9"/>
        <v>129</v>
      </c>
      <c r="O79" s="3">
        <f t="shared" si="9"/>
        <v>221</v>
      </c>
      <c r="P79" s="3">
        <f t="shared" si="9"/>
        <v>209</v>
      </c>
      <c r="Q79" s="3">
        <f t="shared" si="9"/>
        <v>163</v>
      </c>
      <c r="R79" s="3">
        <f t="shared" si="9"/>
        <v>140</v>
      </c>
      <c r="S79" s="3">
        <f t="shared" si="9"/>
        <v>161</v>
      </c>
      <c r="T79" s="3">
        <f t="shared" si="9"/>
        <v>200</v>
      </c>
      <c r="U79" s="3">
        <f t="shared" si="9"/>
        <v>262</v>
      </c>
      <c r="V79" s="3">
        <f t="shared" si="9"/>
        <v>215</v>
      </c>
      <c r="W79" s="3">
        <f t="shared" si="9"/>
        <v>226</v>
      </c>
      <c r="X79" s="3">
        <f t="shared" si="9"/>
        <v>200</v>
      </c>
      <c r="Y79" s="3">
        <f t="shared" si="9"/>
        <v>164</v>
      </c>
      <c r="Z79" s="3">
        <f t="shared" si="9"/>
        <v>151</v>
      </c>
      <c r="AA79" s="3">
        <f t="shared" si="9"/>
        <v>152</v>
      </c>
      <c r="AB79" s="3">
        <f t="shared" si="9"/>
        <v>146</v>
      </c>
      <c r="AC79" s="3">
        <f t="shared" si="9"/>
        <v>224</v>
      </c>
      <c r="AD79" s="3">
        <f t="shared" si="9"/>
        <v>225</v>
      </c>
      <c r="AE79" s="3">
        <f t="shared" si="9"/>
        <v>132</v>
      </c>
      <c r="AF79" s="3">
        <f t="shared" si="9"/>
        <v>0</v>
      </c>
      <c r="AG79" s="4">
        <f t="shared" si="5"/>
        <v>5207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4</v>
      </c>
      <c r="C81" s="12">
        <f t="shared" si="10"/>
        <v>18</v>
      </c>
      <c r="D81" s="12">
        <f t="shared" si="10"/>
        <v>8</v>
      </c>
      <c r="E81" s="12">
        <f t="shared" si="10"/>
        <v>12</v>
      </c>
      <c r="F81" s="12">
        <f t="shared" si="10"/>
        <v>22</v>
      </c>
      <c r="G81" s="12">
        <f t="shared" si="10"/>
        <v>8</v>
      </c>
      <c r="H81" s="12">
        <f t="shared" si="10"/>
        <v>4</v>
      </c>
      <c r="I81" s="12">
        <f t="shared" si="10"/>
        <v>35</v>
      </c>
      <c r="J81" s="12">
        <f t="shared" si="10"/>
        <v>15</v>
      </c>
      <c r="K81" s="12">
        <f t="shared" si="10"/>
        <v>26</v>
      </c>
      <c r="L81" s="12">
        <f t="shared" si="10"/>
        <v>14</v>
      </c>
      <c r="M81" s="12">
        <f t="shared" si="10"/>
        <v>9</v>
      </c>
      <c r="N81" s="12">
        <f t="shared" si="10"/>
        <v>4</v>
      </c>
      <c r="O81" s="12">
        <f t="shared" si="10"/>
        <v>11</v>
      </c>
      <c r="P81" s="12">
        <f t="shared" si="10"/>
        <v>9</v>
      </c>
      <c r="Q81" s="12">
        <f t="shared" si="10"/>
        <v>11</v>
      </c>
      <c r="R81" s="12">
        <f t="shared" si="10"/>
        <v>17</v>
      </c>
      <c r="S81" s="12">
        <f t="shared" si="10"/>
        <v>0</v>
      </c>
      <c r="T81" s="12">
        <f t="shared" si="10"/>
        <v>10</v>
      </c>
      <c r="U81" s="12">
        <f t="shared" si="10"/>
        <v>19</v>
      </c>
      <c r="V81" s="12">
        <f t="shared" si="10"/>
        <v>16</v>
      </c>
      <c r="W81" s="12">
        <f t="shared" si="10"/>
        <v>23</v>
      </c>
      <c r="X81" s="12">
        <f t="shared" si="10"/>
        <v>42</v>
      </c>
      <c r="Y81" s="12">
        <f t="shared" si="10"/>
        <v>24</v>
      </c>
      <c r="Z81" s="12">
        <f t="shared" si="10"/>
        <v>11</v>
      </c>
      <c r="AA81" s="12">
        <f t="shared" si="10"/>
        <v>27</v>
      </c>
      <c r="AB81" s="12">
        <f t="shared" si="10"/>
        <v>22</v>
      </c>
      <c r="AC81" s="12">
        <f t="shared" si="10"/>
        <v>28</v>
      </c>
      <c r="AD81" s="12">
        <f t="shared" si="10"/>
        <v>15</v>
      </c>
      <c r="AE81" s="12">
        <f t="shared" si="10"/>
        <v>18</v>
      </c>
      <c r="AF81" s="12">
        <f t="shared" si="10"/>
        <v>0</v>
      </c>
      <c r="AG81" s="10">
        <f t="shared" si="5"/>
        <v>482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2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0</v>
      </c>
      <c r="H82" s="3">
        <f t="shared" si="11"/>
        <v>2</v>
      </c>
      <c r="I82" s="3">
        <f t="shared" si="11"/>
        <v>8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1</v>
      </c>
      <c r="O82" s="3">
        <f t="shared" si="11"/>
        <v>3</v>
      </c>
      <c r="P82" s="3">
        <f t="shared" si="11"/>
        <v>5</v>
      </c>
      <c r="Q82" s="3">
        <f t="shared" si="11"/>
        <v>0</v>
      </c>
      <c r="R82" s="3">
        <f t="shared" si="11"/>
        <v>6</v>
      </c>
      <c r="S82" s="3">
        <f t="shared" si="11"/>
        <v>0</v>
      </c>
      <c r="T82" s="3">
        <f t="shared" si="11"/>
        <v>2</v>
      </c>
      <c r="U82" s="3">
        <f t="shared" si="11"/>
        <v>10</v>
      </c>
      <c r="V82" s="3">
        <f t="shared" si="11"/>
        <v>7</v>
      </c>
      <c r="W82" s="3">
        <f t="shared" si="11"/>
        <v>8</v>
      </c>
      <c r="X82" s="3">
        <f t="shared" si="11"/>
        <v>0</v>
      </c>
      <c r="Y82" s="3">
        <f t="shared" si="11"/>
        <v>0</v>
      </c>
      <c r="Z82" s="3">
        <f t="shared" si="11"/>
        <v>0</v>
      </c>
      <c r="AA82" s="3">
        <f t="shared" si="11"/>
        <v>0</v>
      </c>
      <c r="AB82" s="3">
        <f t="shared" si="11"/>
        <v>0</v>
      </c>
      <c r="AC82" s="3">
        <f t="shared" si="11"/>
        <v>7</v>
      </c>
      <c r="AD82" s="3">
        <f t="shared" si="11"/>
        <v>3</v>
      </c>
      <c r="AE82" s="3">
        <f t="shared" si="11"/>
        <v>0</v>
      </c>
      <c r="AF82" s="3">
        <f t="shared" si="11"/>
        <v>0</v>
      </c>
      <c r="AG82" s="4">
        <f t="shared" si="5"/>
        <v>64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2</v>
      </c>
      <c r="C83" s="8">
        <f t="shared" si="12"/>
        <v>18</v>
      </c>
      <c r="D83" s="8">
        <f t="shared" si="12"/>
        <v>8</v>
      </c>
      <c r="E83" s="8">
        <f t="shared" si="12"/>
        <v>12</v>
      </c>
      <c r="F83" s="8">
        <f t="shared" si="12"/>
        <v>22</v>
      </c>
      <c r="G83" s="8">
        <f t="shared" si="12"/>
        <v>8</v>
      </c>
      <c r="H83" s="8">
        <f t="shared" si="12"/>
        <v>2</v>
      </c>
      <c r="I83" s="8">
        <f t="shared" si="12"/>
        <v>27</v>
      </c>
      <c r="J83" s="8">
        <f t="shared" si="12"/>
        <v>15</v>
      </c>
      <c r="K83" s="8">
        <f t="shared" si="12"/>
        <v>26</v>
      </c>
      <c r="L83" s="8">
        <f t="shared" si="12"/>
        <v>14</v>
      </c>
      <c r="M83" s="8">
        <f t="shared" si="12"/>
        <v>9</v>
      </c>
      <c r="N83" s="8">
        <f t="shared" si="12"/>
        <v>3</v>
      </c>
      <c r="O83" s="8">
        <f t="shared" si="12"/>
        <v>8</v>
      </c>
      <c r="P83" s="8">
        <f t="shared" si="12"/>
        <v>4</v>
      </c>
      <c r="Q83" s="8">
        <f t="shared" si="12"/>
        <v>11</v>
      </c>
      <c r="R83" s="8">
        <f t="shared" si="12"/>
        <v>11</v>
      </c>
      <c r="S83" s="8">
        <f t="shared" si="12"/>
        <v>0</v>
      </c>
      <c r="T83" s="8">
        <f t="shared" si="12"/>
        <v>8</v>
      </c>
      <c r="U83" s="8">
        <f t="shared" si="12"/>
        <v>9</v>
      </c>
      <c r="V83" s="8">
        <f t="shared" si="12"/>
        <v>9</v>
      </c>
      <c r="W83" s="8">
        <f t="shared" si="12"/>
        <v>15</v>
      </c>
      <c r="X83" s="8">
        <f t="shared" si="12"/>
        <v>42</v>
      </c>
      <c r="Y83" s="8">
        <f t="shared" si="12"/>
        <v>24</v>
      </c>
      <c r="Z83" s="8">
        <f t="shared" si="12"/>
        <v>11</v>
      </c>
      <c r="AA83" s="8">
        <f t="shared" si="12"/>
        <v>27</v>
      </c>
      <c r="AB83" s="8">
        <f t="shared" si="12"/>
        <v>22</v>
      </c>
      <c r="AC83" s="8">
        <f t="shared" si="12"/>
        <v>21</v>
      </c>
      <c r="AD83" s="8">
        <f t="shared" si="12"/>
        <v>12</v>
      </c>
      <c r="AE83" s="8">
        <f t="shared" si="12"/>
        <v>18</v>
      </c>
      <c r="AF83" s="8">
        <f t="shared" si="12"/>
        <v>0</v>
      </c>
      <c r="AG83" s="5">
        <f t="shared" si="5"/>
        <v>418</v>
      </c>
    </row>
    <row r="84" spans="1:34" ht="15.75" customHeight="1" thickBot="1" x14ac:dyDescent="0.3">
      <c r="A84" s="67" t="s">
        <v>33</v>
      </c>
      <c r="B84" s="14">
        <f t="shared" ref="B84:AF84" si="13">SUM(B85:B86)</f>
        <v>4</v>
      </c>
      <c r="C84" s="14">
        <f t="shared" si="13"/>
        <v>18</v>
      </c>
      <c r="D84" s="14">
        <f t="shared" si="13"/>
        <v>8</v>
      </c>
      <c r="E84" s="14">
        <f t="shared" si="13"/>
        <v>12</v>
      </c>
      <c r="F84" s="14">
        <f t="shared" si="13"/>
        <v>22</v>
      </c>
      <c r="G84" s="14">
        <f t="shared" si="13"/>
        <v>8</v>
      </c>
      <c r="H84" s="14">
        <f t="shared" si="13"/>
        <v>4</v>
      </c>
      <c r="I84" s="14">
        <f t="shared" si="13"/>
        <v>35</v>
      </c>
      <c r="J84" s="14">
        <f t="shared" si="13"/>
        <v>15</v>
      </c>
      <c r="K84" s="14">
        <f t="shared" si="13"/>
        <v>26</v>
      </c>
      <c r="L84" s="14">
        <f t="shared" si="13"/>
        <v>14</v>
      </c>
      <c r="M84" s="14">
        <f t="shared" si="13"/>
        <v>9</v>
      </c>
      <c r="N84" s="14">
        <f t="shared" si="13"/>
        <v>4</v>
      </c>
      <c r="O84" s="14">
        <f t="shared" si="13"/>
        <v>11</v>
      </c>
      <c r="P84" s="14">
        <f t="shared" si="13"/>
        <v>9</v>
      </c>
      <c r="Q84" s="14">
        <f t="shared" si="13"/>
        <v>11</v>
      </c>
      <c r="R84" s="14">
        <f t="shared" si="13"/>
        <v>17</v>
      </c>
      <c r="S84" s="14">
        <f t="shared" si="13"/>
        <v>0</v>
      </c>
      <c r="T84" s="14">
        <f t="shared" si="13"/>
        <v>10</v>
      </c>
      <c r="U84" s="14">
        <f t="shared" si="13"/>
        <v>19</v>
      </c>
      <c r="V84" s="14">
        <f t="shared" si="13"/>
        <v>16</v>
      </c>
      <c r="W84" s="14">
        <f t="shared" si="13"/>
        <v>23</v>
      </c>
      <c r="X84" s="14">
        <f t="shared" si="13"/>
        <v>42</v>
      </c>
      <c r="Y84" s="14">
        <f t="shared" si="13"/>
        <v>24</v>
      </c>
      <c r="Z84" s="14">
        <f t="shared" si="13"/>
        <v>11</v>
      </c>
      <c r="AA84" s="14">
        <f t="shared" si="13"/>
        <v>27</v>
      </c>
      <c r="AB84" s="14">
        <f t="shared" si="13"/>
        <v>22</v>
      </c>
      <c r="AC84" s="14">
        <f t="shared" si="13"/>
        <v>28</v>
      </c>
      <c r="AD84" s="14">
        <f t="shared" si="13"/>
        <v>15</v>
      </c>
      <c r="AE84" s="14">
        <f t="shared" si="13"/>
        <v>18</v>
      </c>
      <c r="AF84" s="14">
        <f t="shared" si="13"/>
        <v>0</v>
      </c>
      <c r="AG84" s="15">
        <f t="shared" si="5"/>
        <v>482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3</v>
      </c>
      <c r="C85" s="69">
        <v>6</v>
      </c>
      <c r="D85" s="69">
        <v>1</v>
      </c>
      <c r="E85" s="69">
        <v>3</v>
      </c>
      <c r="F85" s="69">
        <v>8</v>
      </c>
      <c r="G85" s="69">
        <v>2</v>
      </c>
      <c r="H85" s="69">
        <v>3</v>
      </c>
      <c r="I85" s="69">
        <v>5</v>
      </c>
      <c r="J85" s="69">
        <v>6</v>
      </c>
      <c r="K85" s="69">
        <v>11</v>
      </c>
      <c r="L85" s="69">
        <v>4</v>
      </c>
      <c r="M85" s="69">
        <v>1</v>
      </c>
      <c r="N85" s="69">
        <v>1</v>
      </c>
      <c r="O85" s="69">
        <v>4</v>
      </c>
      <c r="P85" s="69">
        <v>3</v>
      </c>
      <c r="Q85" s="69">
        <v>6</v>
      </c>
      <c r="R85" s="69">
        <v>5</v>
      </c>
      <c r="S85" s="69">
        <v>0</v>
      </c>
      <c r="T85" s="69">
        <v>3</v>
      </c>
      <c r="U85" s="69">
        <v>6</v>
      </c>
      <c r="V85" s="69">
        <v>4</v>
      </c>
      <c r="W85" s="69">
        <v>6</v>
      </c>
      <c r="X85" s="69">
        <v>10</v>
      </c>
      <c r="Y85" s="69">
        <v>5</v>
      </c>
      <c r="Z85" s="69">
        <v>3</v>
      </c>
      <c r="AA85" s="69">
        <v>6</v>
      </c>
      <c r="AB85" s="69">
        <v>2</v>
      </c>
      <c r="AC85" s="69">
        <v>6</v>
      </c>
      <c r="AD85" s="69">
        <v>1</v>
      </c>
      <c r="AE85" s="69">
        <v>1</v>
      </c>
      <c r="AF85" s="69"/>
      <c r="AG85" s="16">
        <f t="shared" si="5"/>
        <v>125</v>
      </c>
    </row>
    <row r="86" spans="1:34" ht="15.75" customHeight="1" thickBot="1" x14ac:dyDescent="0.3">
      <c r="A86" s="70" t="s">
        <v>35</v>
      </c>
      <c r="B86" s="71">
        <v>1</v>
      </c>
      <c r="C86" s="71">
        <v>12</v>
      </c>
      <c r="D86" s="71">
        <v>7</v>
      </c>
      <c r="E86" s="71">
        <v>9</v>
      </c>
      <c r="F86" s="71">
        <v>14</v>
      </c>
      <c r="G86" s="71">
        <v>6</v>
      </c>
      <c r="H86" s="71">
        <v>1</v>
      </c>
      <c r="I86" s="71">
        <v>30</v>
      </c>
      <c r="J86" s="71">
        <v>9</v>
      </c>
      <c r="K86" s="71">
        <v>15</v>
      </c>
      <c r="L86" s="71">
        <v>10</v>
      </c>
      <c r="M86" s="71">
        <v>8</v>
      </c>
      <c r="N86" s="71">
        <v>3</v>
      </c>
      <c r="O86" s="71">
        <v>7</v>
      </c>
      <c r="P86" s="71">
        <v>6</v>
      </c>
      <c r="Q86" s="71">
        <v>5</v>
      </c>
      <c r="R86" s="71">
        <v>12</v>
      </c>
      <c r="S86" s="71">
        <v>0</v>
      </c>
      <c r="T86" s="71">
        <v>7</v>
      </c>
      <c r="U86" s="71">
        <v>13</v>
      </c>
      <c r="V86" s="71">
        <v>12</v>
      </c>
      <c r="W86" s="71">
        <v>17</v>
      </c>
      <c r="X86" s="71">
        <v>32</v>
      </c>
      <c r="Y86" s="71">
        <v>19</v>
      </c>
      <c r="Z86" s="71">
        <v>8</v>
      </c>
      <c r="AA86" s="71">
        <v>21</v>
      </c>
      <c r="AB86" s="71">
        <v>20</v>
      </c>
      <c r="AC86" s="71">
        <v>22</v>
      </c>
      <c r="AD86" s="71">
        <v>14</v>
      </c>
      <c r="AE86" s="71">
        <v>17</v>
      </c>
      <c r="AF86" s="71"/>
      <c r="AG86" s="17">
        <f t="shared" si="5"/>
        <v>357</v>
      </c>
    </row>
    <row r="87" spans="1:34" ht="15.75" customHeight="1" thickBot="1" x14ac:dyDescent="0.3">
      <c r="A87" s="72" t="s">
        <v>36</v>
      </c>
      <c r="B87" s="18">
        <f t="shared" ref="B87:AF87" si="14">SUM(B88:B92)</f>
        <v>4</v>
      </c>
      <c r="C87" s="18">
        <f t="shared" si="14"/>
        <v>18</v>
      </c>
      <c r="D87" s="18">
        <f t="shared" si="14"/>
        <v>8</v>
      </c>
      <c r="E87" s="18">
        <f t="shared" si="14"/>
        <v>12</v>
      </c>
      <c r="F87" s="18">
        <f t="shared" si="14"/>
        <v>22</v>
      </c>
      <c r="G87" s="18">
        <f t="shared" si="14"/>
        <v>8</v>
      </c>
      <c r="H87" s="18">
        <f t="shared" si="14"/>
        <v>4</v>
      </c>
      <c r="I87" s="18">
        <f t="shared" si="14"/>
        <v>35</v>
      </c>
      <c r="J87" s="18">
        <f t="shared" si="14"/>
        <v>15</v>
      </c>
      <c r="K87" s="18">
        <f t="shared" si="14"/>
        <v>26</v>
      </c>
      <c r="L87" s="18">
        <f t="shared" si="14"/>
        <v>14</v>
      </c>
      <c r="M87" s="18">
        <f t="shared" si="14"/>
        <v>9</v>
      </c>
      <c r="N87" s="18">
        <f t="shared" si="14"/>
        <v>4</v>
      </c>
      <c r="O87" s="18">
        <f t="shared" si="14"/>
        <v>11</v>
      </c>
      <c r="P87" s="18">
        <f t="shared" si="14"/>
        <v>9</v>
      </c>
      <c r="Q87" s="18">
        <f t="shared" si="14"/>
        <v>11</v>
      </c>
      <c r="R87" s="18">
        <f t="shared" si="14"/>
        <v>17</v>
      </c>
      <c r="S87" s="18">
        <f t="shared" si="14"/>
        <v>0</v>
      </c>
      <c r="T87" s="18">
        <f t="shared" si="14"/>
        <v>10</v>
      </c>
      <c r="U87" s="18">
        <f t="shared" si="14"/>
        <v>19</v>
      </c>
      <c r="V87" s="18">
        <f t="shared" si="14"/>
        <v>16</v>
      </c>
      <c r="W87" s="18">
        <f t="shared" si="14"/>
        <v>23</v>
      </c>
      <c r="X87" s="18">
        <f t="shared" si="14"/>
        <v>42</v>
      </c>
      <c r="Y87" s="18">
        <f t="shared" si="14"/>
        <v>24</v>
      </c>
      <c r="Z87" s="18">
        <f t="shared" si="14"/>
        <v>11</v>
      </c>
      <c r="AA87" s="18">
        <f t="shared" si="14"/>
        <v>27</v>
      </c>
      <c r="AB87" s="18">
        <f t="shared" si="14"/>
        <v>22</v>
      </c>
      <c r="AC87" s="18">
        <f t="shared" si="14"/>
        <v>28</v>
      </c>
      <c r="AD87" s="18">
        <f t="shared" si="14"/>
        <v>15</v>
      </c>
      <c r="AE87" s="18">
        <f t="shared" si="14"/>
        <v>18</v>
      </c>
      <c r="AF87" s="18">
        <f t="shared" si="14"/>
        <v>0</v>
      </c>
      <c r="AG87" s="19">
        <f t="shared" si="5"/>
        <v>482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3</v>
      </c>
      <c r="C88" s="60">
        <v>3</v>
      </c>
      <c r="D88" s="60">
        <v>4</v>
      </c>
      <c r="E88" s="60">
        <v>1</v>
      </c>
      <c r="F88" s="60">
        <v>4</v>
      </c>
      <c r="G88" s="60">
        <v>2</v>
      </c>
      <c r="H88" s="60">
        <v>3</v>
      </c>
      <c r="I88" s="60">
        <v>7</v>
      </c>
      <c r="J88" s="60">
        <v>5</v>
      </c>
      <c r="K88" s="60">
        <v>3</v>
      </c>
      <c r="L88" s="60">
        <v>2</v>
      </c>
      <c r="M88" s="60">
        <v>2</v>
      </c>
      <c r="N88" s="60">
        <v>2</v>
      </c>
      <c r="O88" s="60">
        <v>4</v>
      </c>
      <c r="P88" s="60">
        <v>4</v>
      </c>
      <c r="Q88" s="60">
        <v>7</v>
      </c>
      <c r="R88" s="60">
        <v>5</v>
      </c>
      <c r="S88" s="60">
        <v>0</v>
      </c>
      <c r="T88" s="60">
        <v>5</v>
      </c>
      <c r="U88" s="60">
        <v>11</v>
      </c>
      <c r="V88" s="60">
        <v>5</v>
      </c>
      <c r="W88" s="60">
        <v>6</v>
      </c>
      <c r="X88" s="60">
        <v>13</v>
      </c>
      <c r="Y88" s="60">
        <v>4</v>
      </c>
      <c r="Z88" s="60">
        <v>2</v>
      </c>
      <c r="AA88" s="60">
        <v>3</v>
      </c>
      <c r="AB88" s="60">
        <v>5</v>
      </c>
      <c r="AC88" s="60">
        <v>7</v>
      </c>
      <c r="AD88" s="60">
        <v>6</v>
      </c>
      <c r="AE88" s="60">
        <v>7</v>
      </c>
      <c r="AF88" s="60"/>
      <c r="AG88" s="4">
        <f t="shared" si="5"/>
        <v>135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/>
      <c r="AG89" s="5">
        <f t="shared" si="5"/>
        <v>0</v>
      </c>
    </row>
    <row r="90" spans="1:34" ht="15.75" customHeight="1" x14ac:dyDescent="0.25">
      <c r="A90" s="74" t="s">
        <v>39</v>
      </c>
      <c r="B90" s="60">
        <v>0</v>
      </c>
      <c r="C90" s="60">
        <v>0</v>
      </c>
      <c r="D90" s="60">
        <v>0</v>
      </c>
      <c r="E90" s="60">
        <v>1</v>
      </c>
      <c r="F90" s="60">
        <v>0</v>
      </c>
      <c r="G90" s="60">
        <v>0</v>
      </c>
      <c r="H90" s="60">
        <v>0</v>
      </c>
      <c r="I90" s="60">
        <v>3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1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0</v>
      </c>
      <c r="X90" s="60">
        <v>0</v>
      </c>
      <c r="Y90" s="60">
        <v>2</v>
      </c>
      <c r="Z90" s="60">
        <v>0</v>
      </c>
      <c r="AA90" s="60">
        <v>0</v>
      </c>
      <c r="AB90" s="60">
        <v>0</v>
      </c>
      <c r="AC90" s="60">
        <v>2</v>
      </c>
      <c r="AD90" s="60">
        <v>0</v>
      </c>
      <c r="AE90" s="60">
        <v>0</v>
      </c>
      <c r="AF90" s="60"/>
      <c r="AG90" s="5">
        <f t="shared" si="5"/>
        <v>9</v>
      </c>
    </row>
    <row r="91" spans="1:34" ht="15.75" customHeight="1" x14ac:dyDescent="0.25">
      <c r="A91" s="74" t="s">
        <v>40</v>
      </c>
      <c r="B91" s="60">
        <v>1</v>
      </c>
      <c r="C91" s="60">
        <v>14</v>
      </c>
      <c r="D91" s="60">
        <v>3</v>
      </c>
      <c r="E91" s="60">
        <v>9</v>
      </c>
      <c r="F91" s="60">
        <v>12</v>
      </c>
      <c r="G91" s="60">
        <v>3</v>
      </c>
      <c r="H91" s="60">
        <v>1</v>
      </c>
      <c r="I91" s="60">
        <v>21</v>
      </c>
      <c r="J91" s="60">
        <v>5</v>
      </c>
      <c r="K91" s="60">
        <v>20</v>
      </c>
      <c r="L91" s="60">
        <v>9</v>
      </c>
      <c r="M91" s="60">
        <v>3</v>
      </c>
      <c r="N91" s="60">
        <v>1</v>
      </c>
      <c r="O91" s="60">
        <v>5</v>
      </c>
      <c r="P91" s="60">
        <v>3</v>
      </c>
      <c r="Q91" s="60">
        <v>4</v>
      </c>
      <c r="R91" s="60">
        <v>9</v>
      </c>
      <c r="S91" s="60">
        <v>0</v>
      </c>
      <c r="T91" s="60">
        <v>3</v>
      </c>
      <c r="U91" s="60">
        <v>6</v>
      </c>
      <c r="V91" s="60">
        <v>8</v>
      </c>
      <c r="W91" s="60">
        <v>10</v>
      </c>
      <c r="X91" s="60">
        <v>15</v>
      </c>
      <c r="Y91" s="60">
        <v>10</v>
      </c>
      <c r="Z91" s="60">
        <v>4</v>
      </c>
      <c r="AA91" s="60">
        <v>18</v>
      </c>
      <c r="AB91" s="60">
        <v>11</v>
      </c>
      <c r="AC91" s="60">
        <v>14</v>
      </c>
      <c r="AD91" s="60">
        <v>7</v>
      </c>
      <c r="AE91" s="60">
        <v>6</v>
      </c>
      <c r="AF91" s="60"/>
      <c r="AG91" s="5">
        <f t="shared" si="5"/>
        <v>235</v>
      </c>
    </row>
    <row r="92" spans="1:34" ht="15.75" customHeight="1" thickBot="1" x14ac:dyDescent="0.3">
      <c r="A92" s="74" t="s">
        <v>41</v>
      </c>
      <c r="B92" s="60">
        <v>0</v>
      </c>
      <c r="C92" s="60">
        <v>1</v>
      </c>
      <c r="D92" s="60">
        <v>1</v>
      </c>
      <c r="E92" s="60">
        <v>1</v>
      </c>
      <c r="F92" s="60">
        <v>6</v>
      </c>
      <c r="G92" s="60">
        <v>3</v>
      </c>
      <c r="H92" s="60">
        <v>0</v>
      </c>
      <c r="I92" s="60">
        <v>4</v>
      </c>
      <c r="J92" s="60">
        <v>5</v>
      </c>
      <c r="K92" s="60">
        <v>3</v>
      </c>
      <c r="L92" s="60">
        <v>3</v>
      </c>
      <c r="M92" s="60">
        <v>4</v>
      </c>
      <c r="N92" s="60">
        <v>1</v>
      </c>
      <c r="O92" s="60">
        <v>2</v>
      </c>
      <c r="P92" s="60">
        <v>1</v>
      </c>
      <c r="Q92" s="60">
        <v>0</v>
      </c>
      <c r="R92" s="60">
        <v>3</v>
      </c>
      <c r="S92" s="60">
        <v>0</v>
      </c>
      <c r="T92" s="60">
        <v>2</v>
      </c>
      <c r="U92" s="60">
        <v>2</v>
      </c>
      <c r="V92" s="60">
        <v>3</v>
      </c>
      <c r="W92" s="60">
        <v>7</v>
      </c>
      <c r="X92" s="60">
        <v>14</v>
      </c>
      <c r="Y92" s="60">
        <v>8</v>
      </c>
      <c r="Z92" s="60">
        <v>5</v>
      </c>
      <c r="AA92" s="60">
        <v>6</v>
      </c>
      <c r="AB92" s="60">
        <v>6</v>
      </c>
      <c r="AC92" s="60">
        <v>5</v>
      </c>
      <c r="AD92" s="60">
        <v>2</v>
      </c>
      <c r="AE92" s="60">
        <v>5</v>
      </c>
      <c r="AF92" s="60"/>
      <c r="AG92" s="5">
        <f t="shared" si="5"/>
        <v>103</v>
      </c>
    </row>
    <row r="93" spans="1:34" ht="15.75" customHeight="1" x14ac:dyDescent="0.25">
      <c r="A93" s="75" t="s">
        <v>42</v>
      </c>
      <c r="B93" s="20">
        <f t="shared" ref="B93:AF93" si="15">+B94+B100</f>
        <v>195</v>
      </c>
      <c r="C93" s="20">
        <f t="shared" si="15"/>
        <v>141</v>
      </c>
      <c r="D93" s="20">
        <f t="shared" si="15"/>
        <v>147</v>
      </c>
      <c r="E93" s="20">
        <f t="shared" si="15"/>
        <v>126</v>
      </c>
      <c r="F93" s="20">
        <f t="shared" si="15"/>
        <v>102</v>
      </c>
      <c r="G93" s="20">
        <f t="shared" si="15"/>
        <v>125</v>
      </c>
      <c r="H93" s="20">
        <f t="shared" si="15"/>
        <v>194</v>
      </c>
      <c r="I93" s="20">
        <f t="shared" si="15"/>
        <v>165</v>
      </c>
      <c r="J93" s="20">
        <f t="shared" si="15"/>
        <v>133</v>
      </c>
      <c r="K93" s="20">
        <f t="shared" si="15"/>
        <v>152</v>
      </c>
      <c r="L93" s="20">
        <f t="shared" si="15"/>
        <v>112</v>
      </c>
      <c r="M93" s="20">
        <f t="shared" si="15"/>
        <v>120</v>
      </c>
      <c r="N93" s="20">
        <f t="shared" si="15"/>
        <v>125</v>
      </c>
      <c r="O93" s="20">
        <f t="shared" si="15"/>
        <v>210</v>
      </c>
      <c r="P93" s="20">
        <f t="shared" si="15"/>
        <v>200</v>
      </c>
      <c r="Q93" s="20">
        <f t="shared" si="15"/>
        <v>152</v>
      </c>
      <c r="R93" s="20">
        <f t="shared" si="15"/>
        <v>123</v>
      </c>
      <c r="S93" s="20">
        <f t="shared" si="15"/>
        <v>161</v>
      </c>
      <c r="T93" s="20">
        <f t="shared" si="15"/>
        <v>190</v>
      </c>
      <c r="U93" s="20">
        <f t="shared" si="15"/>
        <v>243</v>
      </c>
      <c r="V93" s="20">
        <f t="shared" si="15"/>
        <v>199</v>
      </c>
      <c r="W93" s="20">
        <f t="shared" si="15"/>
        <v>203</v>
      </c>
      <c r="X93" s="20">
        <f t="shared" si="15"/>
        <v>158</v>
      </c>
      <c r="Y93" s="20">
        <f t="shared" si="15"/>
        <v>140</v>
      </c>
      <c r="Z93" s="20">
        <f t="shared" si="15"/>
        <v>140</v>
      </c>
      <c r="AA93" s="20">
        <f t="shared" si="15"/>
        <v>125</v>
      </c>
      <c r="AB93" s="20">
        <f t="shared" si="15"/>
        <v>124</v>
      </c>
      <c r="AC93" s="20">
        <f t="shared" si="15"/>
        <v>196</v>
      </c>
      <c r="AD93" s="20">
        <f t="shared" si="15"/>
        <v>210</v>
      </c>
      <c r="AE93" s="20">
        <f t="shared" si="15"/>
        <v>114</v>
      </c>
      <c r="AF93" s="20">
        <f t="shared" si="15"/>
        <v>0</v>
      </c>
      <c r="AG93" s="5">
        <f t="shared" si="5"/>
        <v>4725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31</v>
      </c>
      <c r="C94" s="21">
        <f t="shared" si="16"/>
        <v>30</v>
      </c>
      <c r="D94" s="21">
        <f t="shared" si="16"/>
        <v>23</v>
      </c>
      <c r="E94" s="21">
        <f t="shared" si="16"/>
        <v>24</v>
      </c>
      <c r="F94" s="21">
        <f t="shared" si="16"/>
        <v>22</v>
      </c>
      <c r="G94" s="21">
        <f t="shared" si="16"/>
        <v>17</v>
      </c>
      <c r="H94" s="21">
        <f t="shared" si="16"/>
        <v>46</v>
      </c>
      <c r="I94" s="21">
        <f t="shared" si="16"/>
        <v>33</v>
      </c>
      <c r="J94" s="21">
        <f t="shared" si="16"/>
        <v>26</v>
      </c>
      <c r="K94" s="21">
        <f t="shared" si="16"/>
        <v>33</v>
      </c>
      <c r="L94" s="21">
        <f t="shared" si="16"/>
        <v>28</v>
      </c>
      <c r="M94" s="21">
        <f t="shared" si="16"/>
        <v>22</v>
      </c>
      <c r="N94" s="21">
        <f t="shared" si="16"/>
        <v>22</v>
      </c>
      <c r="O94" s="21">
        <f t="shared" si="16"/>
        <v>33</v>
      </c>
      <c r="P94" s="21">
        <f t="shared" si="16"/>
        <v>48</v>
      </c>
      <c r="Q94" s="21">
        <f t="shared" si="16"/>
        <v>27</v>
      </c>
      <c r="R94" s="21">
        <f t="shared" si="16"/>
        <v>23</v>
      </c>
      <c r="S94" s="21">
        <f t="shared" si="16"/>
        <v>37</v>
      </c>
      <c r="T94" s="21">
        <f t="shared" si="16"/>
        <v>28</v>
      </c>
      <c r="U94" s="21">
        <f t="shared" si="16"/>
        <v>49</v>
      </c>
      <c r="V94" s="21">
        <f t="shared" si="16"/>
        <v>34</v>
      </c>
      <c r="W94" s="21">
        <f t="shared" si="16"/>
        <v>37</v>
      </c>
      <c r="X94" s="21">
        <f t="shared" si="16"/>
        <v>24</v>
      </c>
      <c r="Y94" s="21">
        <f t="shared" si="16"/>
        <v>29</v>
      </c>
      <c r="Z94" s="21">
        <f t="shared" si="16"/>
        <v>18</v>
      </c>
      <c r="AA94" s="21">
        <f t="shared" si="16"/>
        <v>23</v>
      </c>
      <c r="AB94" s="21">
        <f t="shared" si="16"/>
        <v>20</v>
      </c>
      <c r="AC94" s="21">
        <f t="shared" si="16"/>
        <v>37</v>
      </c>
      <c r="AD94" s="21">
        <f t="shared" si="16"/>
        <v>39</v>
      </c>
      <c r="AE94" s="21">
        <f t="shared" si="16"/>
        <v>15</v>
      </c>
      <c r="AF94" s="21">
        <f t="shared" si="16"/>
        <v>0</v>
      </c>
      <c r="AG94" s="5">
        <f t="shared" si="5"/>
        <v>878</v>
      </c>
    </row>
    <row r="95" spans="1:34" ht="15.75" customHeight="1" x14ac:dyDescent="0.25">
      <c r="A95" s="78" t="s">
        <v>44</v>
      </c>
      <c r="B95" s="54">
        <v>0</v>
      </c>
      <c r="C95" s="54">
        <v>1</v>
      </c>
      <c r="D95" s="54">
        <v>0</v>
      </c>
      <c r="E95" s="54">
        <v>0</v>
      </c>
      <c r="F95" s="54">
        <v>1</v>
      </c>
      <c r="G95" s="54">
        <v>0</v>
      </c>
      <c r="H95" s="54">
        <v>2</v>
      </c>
      <c r="I95" s="54">
        <v>4</v>
      </c>
      <c r="J95" s="54">
        <v>1</v>
      </c>
      <c r="K95" s="54">
        <v>1</v>
      </c>
      <c r="L95" s="54">
        <v>0</v>
      </c>
      <c r="M95" s="54">
        <v>1</v>
      </c>
      <c r="N95" s="54">
        <v>1</v>
      </c>
      <c r="O95" s="54">
        <v>0</v>
      </c>
      <c r="P95" s="54">
        <v>2</v>
      </c>
      <c r="Q95" s="54">
        <v>1</v>
      </c>
      <c r="R95" s="54">
        <v>2</v>
      </c>
      <c r="S95" s="54">
        <v>2</v>
      </c>
      <c r="T95" s="54">
        <v>2</v>
      </c>
      <c r="U95" s="54">
        <v>1</v>
      </c>
      <c r="V95" s="54">
        <v>0</v>
      </c>
      <c r="W95" s="54">
        <v>2</v>
      </c>
      <c r="X95" s="54">
        <v>1</v>
      </c>
      <c r="Y95" s="54">
        <v>1</v>
      </c>
      <c r="Z95" s="54">
        <v>0</v>
      </c>
      <c r="AA95" s="54">
        <v>1</v>
      </c>
      <c r="AB95" s="54">
        <v>0</v>
      </c>
      <c r="AC95" s="54">
        <v>1</v>
      </c>
      <c r="AD95" s="54">
        <v>3</v>
      </c>
      <c r="AE95" s="54">
        <v>0</v>
      </c>
      <c r="AF95" s="54"/>
      <c r="AG95" s="5">
        <f t="shared" si="5"/>
        <v>31</v>
      </c>
    </row>
    <row r="96" spans="1:34" ht="15.75" customHeight="1" x14ac:dyDescent="0.25">
      <c r="A96" s="79" t="s">
        <v>45</v>
      </c>
      <c r="B96" s="54">
        <v>1</v>
      </c>
      <c r="C96" s="54">
        <v>0</v>
      </c>
      <c r="D96" s="54">
        <v>2</v>
      </c>
      <c r="E96" s="54">
        <v>0</v>
      </c>
      <c r="F96" s="54">
        <v>6</v>
      </c>
      <c r="G96" s="54">
        <v>2</v>
      </c>
      <c r="H96" s="54">
        <v>4</v>
      </c>
      <c r="I96" s="54">
        <v>2</v>
      </c>
      <c r="J96" s="54">
        <v>3</v>
      </c>
      <c r="K96" s="54">
        <v>1</v>
      </c>
      <c r="L96" s="54">
        <v>1</v>
      </c>
      <c r="M96" s="54">
        <v>2</v>
      </c>
      <c r="N96" s="54">
        <v>3</v>
      </c>
      <c r="O96" s="54">
        <v>5</v>
      </c>
      <c r="P96" s="54">
        <v>2</v>
      </c>
      <c r="Q96" s="54">
        <v>4</v>
      </c>
      <c r="R96" s="54">
        <v>0</v>
      </c>
      <c r="S96" s="54">
        <v>3</v>
      </c>
      <c r="T96" s="54">
        <v>4</v>
      </c>
      <c r="U96" s="54">
        <v>4</v>
      </c>
      <c r="V96" s="54">
        <v>4</v>
      </c>
      <c r="W96" s="54">
        <v>0</v>
      </c>
      <c r="X96" s="54">
        <v>0</v>
      </c>
      <c r="Y96" s="54">
        <v>2</v>
      </c>
      <c r="Z96" s="54">
        <v>1</v>
      </c>
      <c r="AA96" s="54">
        <v>4</v>
      </c>
      <c r="AB96" s="54">
        <v>0</v>
      </c>
      <c r="AC96" s="54">
        <v>3</v>
      </c>
      <c r="AD96" s="54">
        <v>3</v>
      </c>
      <c r="AE96" s="54">
        <v>1</v>
      </c>
      <c r="AF96" s="54"/>
      <c r="AG96" s="5">
        <f t="shared" si="5"/>
        <v>67</v>
      </c>
    </row>
    <row r="97" spans="1:33" ht="15.75" customHeight="1" x14ac:dyDescent="0.25">
      <c r="A97" s="80" t="s">
        <v>46</v>
      </c>
      <c r="B97" s="54">
        <v>5</v>
      </c>
      <c r="C97" s="54">
        <v>5</v>
      </c>
      <c r="D97" s="54">
        <v>5</v>
      </c>
      <c r="E97" s="54">
        <v>5</v>
      </c>
      <c r="F97" s="54">
        <v>2</v>
      </c>
      <c r="G97" s="54">
        <v>3</v>
      </c>
      <c r="H97" s="54">
        <v>9</v>
      </c>
      <c r="I97" s="54">
        <v>6</v>
      </c>
      <c r="J97" s="54">
        <v>4</v>
      </c>
      <c r="K97" s="54">
        <v>4</v>
      </c>
      <c r="L97" s="54">
        <v>9</v>
      </c>
      <c r="M97" s="54">
        <v>4</v>
      </c>
      <c r="N97" s="54">
        <v>4</v>
      </c>
      <c r="O97" s="54">
        <v>5</v>
      </c>
      <c r="P97" s="54">
        <v>11</v>
      </c>
      <c r="Q97" s="54">
        <v>4</v>
      </c>
      <c r="R97" s="54">
        <v>3</v>
      </c>
      <c r="S97" s="54">
        <v>14</v>
      </c>
      <c r="T97" s="54">
        <v>5</v>
      </c>
      <c r="U97" s="54">
        <v>7</v>
      </c>
      <c r="V97" s="54">
        <v>8</v>
      </c>
      <c r="W97" s="54">
        <v>4</v>
      </c>
      <c r="X97" s="54">
        <v>4</v>
      </c>
      <c r="Y97" s="54">
        <v>5</v>
      </c>
      <c r="Z97" s="54">
        <v>3</v>
      </c>
      <c r="AA97" s="54">
        <v>1</v>
      </c>
      <c r="AB97" s="54">
        <v>2</v>
      </c>
      <c r="AC97" s="54">
        <v>4</v>
      </c>
      <c r="AD97" s="54">
        <v>10</v>
      </c>
      <c r="AE97" s="54">
        <v>2</v>
      </c>
      <c r="AF97" s="54"/>
      <c r="AG97" s="5">
        <f t="shared" si="5"/>
        <v>157</v>
      </c>
    </row>
    <row r="98" spans="1:33" ht="15.75" customHeight="1" x14ac:dyDescent="0.25">
      <c r="A98" s="81" t="s">
        <v>47</v>
      </c>
      <c r="B98" s="54">
        <v>16</v>
      </c>
      <c r="C98" s="54">
        <v>14</v>
      </c>
      <c r="D98" s="54">
        <v>13</v>
      </c>
      <c r="E98" s="54">
        <v>11</v>
      </c>
      <c r="F98" s="54">
        <v>7</v>
      </c>
      <c r="G98" s="54">
        <v>6</v>
      </c>
      <c r="H98" s="54">
        <v>16</v>
      </c>
      <c r="I98" s="54">
        <v>16</v>
      </c>
      <c r="J98" s="54">
        <v>13</v>
      </c>
      <c r="K98" s="54">
        <v>14</v>
      </c>
      <c r="L98" s="54">
        <v>12</v>
      </c>
      <c r="M98" s="54">
        <v>6</v>
      </c>
      <c r="N98" s="54">
        <v>11</v>
      </c>
      <c r="O98" s="54">
        <v>15</v>
      </c>
      <c r="P98" s="54">
        <v>21</v>
      </c>
      <c r="Q98" s="54">
        <v>9</v>
      </c>
      <c r="R98" s="54">
        <v>9</v>
      </c>
      <c r="S98" s="54">
        <v>9</v>
      </c>
      <c r="T98" s="54">
        <v>11</v>
      </c>
      <c r="U98" s="54">
        <v>21</v>
      </c>
      <c r="V98" s="54">
        <v>13</v>
      </c>
      <c r="W98" s="54">
        <v>20</v>
      </c>
      <c r="X98" s="54">
        <v>6</v>
      </c>
      <c r="Y98" s="54">
        <v>9</v>
      </c>
      <c r="Z98" s="54">
        <v>10</v>
      </c>
      <c r="AA98" s="54">
        <v>12</v>
      </c>
      <c r="AB98" s="54">
        <v>10</v>
      </c>
      <c r="AC98" s="54">
        <v>14</v>
      </c>
      <c r="AD98" s="54">
        <v>14</v>
      </c>
      <c r="AE98" s="54">
        <v>7</v>
      </c>
      <c r="AF98" s="54"/>
      <c r="AG98" s="5">
        <f t="shared" si="5"/>
        <v>365</v>
      </c>
    </row>
    <row r="99" spans="1:33" ht="15.75" customHeight="1" x14ac:dyDescent="0.25">
      <c r="A99" s="82" t="s">
        <v>48</v>
      </c>
      <c r="B99" s="54">
        <v>9</v>
      </c>
      <c r="C99" s="54">
        <v>10</v>
      </c>
      <c r="D99" s="54">
        <v>3</v>
      </c>
      <c r="E99" s="54">
        <v>8</v>
      </c>
      <c r="F99" s="54">
        <v>6</v>
      </c>
      <c r="G99" s="54">
        <v>6</v>
      </c>
      <c r="H99" s="54">
        <v>15</v>
      </c>
      <c r="I99" s="54">
        <v>5</v>
      </c>
      <c r="J99" s="54">
        <v>5</v>
      </c>
      <c r="K99" s="54">
        <v>13</v>
      </c>
      <c r="L99" s="54">
        <v>6</v>
      </c>
      <c r="M99" s="54">
        <v>9</v>
      </c>
      <c r="N99" s="54">
        <v>3</v>
      </c>
      <c r="O99" s="54">
        <v>8</v>
      </c>
      <c r="P99" s="54">
        <v>12</v>
      </c>
      <c r="Q99" s="54">
        <v>9</v>
      </c>
      <c r="R99" s="54">
        <v>9</v>
      </c>
      <c r="S99" s="54">
        <v>9</v>
      </c>
      <c r="T99" s="54">
        <v>6</v>
      </c>
      <c r="U99" s="54">
        <v>16</v>
      </c>
      <c r="V99" s="54">
        <v>9</v>
      </c>
      <c r="W99" s="54">
        <v>11</v>
      </c>
      <c r="X99" s="54">
        <v>13</v>
      </c>
      <c r="Y99" s="54">
        <v>12</v>
      </c>
      <c r="Z99" s="54">
        <v>4</v>
      </c>
      <c r="AA99" s="54">
        <v>5</v>
      </c>
      <c r="AB99" s="54">
        <v>8</v>
      </c>
      <c r="AC99" s="54">
        <v>15</v>
      </c>
      <c r="AD99" s="54">
        <v>9</v>
      </c>
      <c r="AE99" s="54">
        <v>5</v>
      </c>
      <c r="AF99" s="54"/>
      <c r="AG99" s="5">
        <f t="shared" ref="AG99:AG162" si="17">SUM(B99:AF99)</f>
        <v>258</v>
      </c>
    </row>
    <row r="100" spans="1:33" ht="15.75" customHeight="1" x14ac:dyDescent="0.25">
      <c r="A100" s="76" t="s">
        <v>49</v>
      </c>
      <c r="B100" s="21">
        <f t="shared" ref="B100:AF100" si="18">SUM(B101:B115)</f>
        <v>164</v>
      </c>
      <c r="C100" s="21">
        <f t="shared" si="18"/>
        <v>111</v>
      </c>
      <c r="D100" s="21">
        <f t="shared" si="18"/>
        <v>124</v>
      </c>
      <c r="E100" s="21">
        <f t="shared" si="18"/>
        <v>102</v>
      </c>
      <c r="F100" s="21">
        <f t="shared" si="18"/>
        <v>80</v>
      </c>
      <c r="G100" s="21">
        <f t="shared" si="18"/>
        <v>108</v>
      </c>
      <c r="H100" s="21">
        <f t="shared" si="18"/>
        <v>148</v>
      </c>
      <c r="I100" s="21">
        <f t="shared" si="18"/>
        <v>132</v>
      </c>
      <c r="J100" s="21">
        <f t="shared" si="18"/>
        <v>107</v>
      </c>
      <c r="K100" s="21">
        <f t="shared" si="18"/>
        <v>119</v>
      </c>
      <c r="L100" s="21">
        <f t="shared" si="18"/>
        <v>84</v>
      </c>
      <c r="M100" s="21">
        <f t="shared" si="18"/>
        <v>98</v>
      </c>
      <c r="N100" s="21">
        <f t="shared" si="18"/>
        <v>103</v>
      </c>
      <c r="O100" s="21">
        <f t="shared" si="18"/>
        <v>177</v>
      </c>
      <c r="P100" s="21">
        <f t="shared" si="18"/>
        <v>152</v>
      </c>
      <c r="Q100" s="21">
        <f t="shared" si="18"/>
        <v>125</v>
      </c>
      <c r="R100" s="21">
        <f t="shared" si="18"/>
        <v>100</v>
      </c>
      <c r="S100" s="21">
        <f t="shared" si="18"/>
        <v>124</v>
      </c>
      <c r="T100" s="21">
        <f t="shared" si="18"/>
        <v>162</v>
      </c>
      <c r="U100" s="21">
        <f t="shared" si="18"/>
        <v>194</v>
      </c>
      <c r="V100" s="21">
        <f t="shared" si="18"/>
        <v>165</v>
      </c>
      <c r="W100" s="21">
        <f t="shared" si="18"/>
        <v>166</v>
      </c>
      <c r="X100" s="21">
        <f t="shared" si="18"/>
        <v>134</v>
      </c>
      <c r="Y100" s="21">
        <f t="shared" si="18"/>
        <v>111</v>
      </c>
      <c r="Z100" s="21">
        <f t="shared" si="18"/>
        <v>122</v>
      </c>
      <c r="AA100" s="21">
        <f t="shared" si="18"/>
        <v>102</v>
      </c>
      <c r="AB100" s="21">
        <f t="shared" si="18"/>
        <v>104</v>
      </c>
      <c r="AC100" s="21">
        <f t="shared" si="18"/>
        <v>159</v>
      </c>
      <c r="AD100" s="21">
        <f t="shared" si="18"/>
        <v>171</v>
      </c>
      <c r="AE100" s="21">
        <f t="shared" si="18"/>
        <v>99</v>
      </c>
      <c r="AF100" s="21">
        <f t="shared" si="18"/>
        <v>0</v>
      </c>
      <c r="AG100" s="5">
        <f t="shared" si="17"/>
        <v>3847</v>
      </c>
    </row>
    <row r="101" spans="1:33" ht="15.75" customHeight="1" x14ac:dyDescent="0.25">
      <c r="A101" s="82" t="s">
        <v>50</v>
      </c>
      <c r="B101" s="54">
        <v>14</v>
      </c>
      <c r="C101" s="54">
        <v>16</v>
      </c>
      <c r="D101" s="54">
        <v>17</v>
      </c>
      <c r="E101" s="54">
        <v>14</v>
      </c>
      <c r="F101" s="54">
        <v>5</v>
      </c>
      <c r="G101" s="54">
        <v>8</v>
      </c>
      <c r="H101" s="54">
        <v>9</v>
      </c>
      <c r="I101" s="54">
        <v>12</v>
      </c>
      <c r="J101" s="54">
        <v>11</v>
      </c>
      <c r="K101" s="54">
        <v>6</v>
      </c>
      <c r="L101" s="54">
        <v>11</v>
      </c>
      <c r="M101" s="54">
        <v>5</v>
      </c>
      <c r="N101" s="54">
        <v>9</v>
      </c>
      <c r="O101" s="54">
        <v>15</v>
      </c>
      <c r="P101" s="54">
        <v>12</v>
      </c>
      <c r="Q101" s="54">
        <v>12</v>
      </c>
      <c r="R101" s="54">
        <v>7</v>
      </c>
      <c r="S101" s="54">
        <v>9</v>
      </c>
      <c r="T101" s="54">
        <v>8</v>
      </c>
      <c r="U101" s="54">
        <v>5</v>
      </c>
      <c r="V101" s="54">
        <v>14</v>
      </c>
      <c r="W101" s="54">
        <v>8</v>
      </c>
      <c r="X101" s="54">
        <v>16</v>
      </c>
      <c r="Y101" s="54">
        <v>9</v>
      </c>
      <c r="Z101" s="54">
        <v>18</v>
      </c>
      <c r="AA101" s="54">
        <v>10</v>
      </c>
      <c r="AB101" s="54">
        <v>14</v>
      </c>
      <c r="AC101" s="54">
        <v>10</v>
      </c>
      <c r="AD101" s="54">
        <v>9</v>
      </c>
      <c r="AE101" s="54">
        <v>7</v>
      </c>
      <c r="AF101" s="54"/>
      <c r="AG101" s="5">
        <f t="shared" si="17"/>
        <v>320</v>
      </c>
    </row>
    <row r="102" spans="1:33" ht="15.75" customHeight="1" x14ac:dyDescent="0.25">
      <c r="A102" s="82" t="s">
        <v>51</v>
      </c>
      <c r="B102" s="54">
        <v>14</v>
      </c>
      <c r="C102" s="54">
        <v>7</v>
      </c>
      <c r="D102" s="54">
        <v>15</v>
      </c>
      <c r="E102" s="54">
        <v>6</v>
      </c>
      <c r="F102" s="54">
        <v>9</v>
      </c>
      <c r="G102" s="54">
        <v>12</v>
      </c>
      <c r="H102" s="54">
        <v>5</v>
      </c>
      <c r="I102" s="54">
        <v>10</v>
      </c>
      <c r="J102" s="54">
        <v>13</v>
      </c>
      <c r="K102" s="54">
        <v>10</v>
      </c>
      <c r="L102" s="54">
        <v>11</v>
      </c>
      <c r="M102" s="54">
        <v>15</v>
      </c>
      <c r="N102" s="54">
        <v>7</v>
      </c>
      <c r="O102" s="54">
        <v>14</v>
      </c>
      <c r="P102" s="54">
        <v>15</v>
      </c>
      <c r="Q102" s="54">
        <v>12</v>
      </c>
      <c r="R102" s="54">
        <v>6</v>
      </c>
      <c r="S102" s="54">
        <v>8</v>
      </c>
      <c r="T102" s="54">
        <v>5</v>
      </c>
      <c r="U102" s="54">
        <v>10</v>
      </c>
      <c r="V102" s="54">
        <v>13</v>
      </c>
      <c r="W102" s="54">
        <v>9</v>
      </c>
      <c r="X102" s="54">
        <v>13</v>
      </c>
      <c r="Y102" s="54">
        <v>7</v>
      </c>
      <c r="Z102" s="54">
        <v>12</v>
      </c>
      <c r="AA102" s="54">
        <v>12</v>
      </c>
      <c r="AB102" s="54">
        <v>6</v>
      </c>
      <c r="AC102" s="54">
        <v>12</v>
      </c>
      <c r="AD102" s="54">
        <v>22</v>
      </c>
      <c r="AE102" s="54">
        <v>6</v>
      </c>
      <c r="AF102" s="54"/>
      <c r="AG102" s="5">
        <f t="shared" si="17"/>
        <v>316</v>
      </c>
    </row>
    <row r="103" spans="1:33" ht="15.75" customHeight="1" x14ac:dyDescent="0.25">
      <c r="A103" s="78" t="s">
        <v>52</v>
      </c>
      <c r="B103" s="54">
        <v>16</v>
      </c>
      <c r="C103" s="54">
        <v>9</v>
      </c>
      <c r="D103" s="54">
        <v>13</v>
      </c>
      <c r="E103" s="54">
        <v>13</v>
      </c>
      <c r="F103" s="54">
        <v>5</v>
      </c>
      <c r="G103" s="54">
        <v>8</v>
      </c>
      <c r="H103" s="54">
        <v>13</v>
      </c>
      <c r="I103" s="54">
        <v>12</v>
      </c>
      <c r="J103" s="54">
        <v>8</v>
      </c>
      <c r="K103" s="54">
        <v>10</v>
      </c>
      <c r="L103" s="54">
        <v>3</v>
      </c>
      <c r="M103" s="54">
        <v>14</v>
      </c>
      <c r="N103" s="54">
        <v>11</v>
      </c>
      <c r="O103" s="54">
        <v>15</v>
      </c>
      <c r="P103" s="54">
        <v>10</v>
      </c>
      <c r="Q103" s="54">
        <v>13</v>
      </c>
      <c r="R103" s="54">
        <v>7</v>
      </c>
      <c r="S103" s="54">
        <v>13</v>
      </c>
      <c r="T103" s="54">
        <v>14</v>
      </c>
      <c r="U103" s="54">
        <v>14</v>
      </c>
      <c r="V103" s="54">
        <v>9</v>
      </c>
      <c r="W103" s="54">
        <v>13</v>
      </c>
      <c r="X103" s="54">
        <v>17</v>
      </c>
      <c r="Y103" s="54">
        <v>11</v>
      </c>
      <c r="Z103" s="54">
        <v>15</v>
      </c>
      <c r="AA103" s="54">
        <v>7</v>
      </c>
      <c r="AB103" s="54">
        <v>7</v>
      </c>
      <c r="AC103" s="54">
        <v>9</v>
      </c>
      <c r="AD103" s="54">
        <v>12</v>
      </c>
      <c r="AE103" s="54">
        <v>4</v>
      </c>
      <c r="AF103" s="54"/>
      <c r="AG103" s="5">
        <f t="shared" si="17"/>
        <v>325</v>
      </c>
    </row>
    <row r="104" spans="1:33" ht="15.75" customHeight="1" x14ac:dyDescent="0.25">
      <c r="A104" s="78" t="s">
        <v>53</v>
      </c>
      <c r="B104" s="54">
        <v>14</v>
      </c>
      <c r="C104" s="54">
        <v>6</v>
      </c>
      <c r="D104" s="54">
        <v>10</v>
      </c>
      <c r="E104" s="54">
        <v>6</v>
      </c>
      <c r="F104" s="54">
        <v>8</v>
      </c>
      <c r="G104" s="54">
        <v>7</v>
      </c>
      <c r="H104" s="54">
        <v>16</v>
      </c>
      <c r="I104" s="54">
        <v>10</v>
      </c>
      <c r="J104" s="54">
        <v>4</v>
      </c>
      <c r="K104" s="54">
        <v>11</v>
      </c>
      <c r="L104" s="54">
        <v>8</v>
      </c>
      <c r="M104" s="54">
        <v>4</v>
      </c>
      <c r="N104" s="54">
        <v>6</v>
      </c>
      <c r="O104" s="54">
        <v>18</v>
      </c>
      <c r="P104" s="54">
        <v>11</v>
      </c>
      <c r="Q104" s="54">
        <v>9</v>
      </c>
      <c r="R104" s="54">
        <v>7</v>
      </c>
      <c r="S104" s="54">
        <v>5</v>
      </c>
      <c r="T104" s="54">
        <v>18</v>
      </c>
      <c r="U104" s="54">
        <v>11</v>
      </c>
      <c r="V104" s="54">
        <v>15</v>
      </c>
      <c r="W104" s="54">
        <v>26</v>
      </c>
      <c r="X104" s="54">
        <v>9</v>
      </c>
      <c r="Y104" s="54">
        <v>14</v>
      </c>
      <c r="Z104" s="54">
        <v>9</v>
      </c>
      <c r="AA104" s="54">
        <v>8</v>
      </c>
      <c r="AB104" s="54">
        <v>5</v>
      </c>
      <c r="AC104" s="54">
        <v>13</v>
      </c>
      <c r="AD104" s="54">
        <v>12</v>
      </c>
      <c r="AE104" s="54">
        <v>13</v>
      </c>
      <c r="AF104" s="54"/>
      <c r="AG104" s="5">
        <f t="shared" si="17"/>
        <v>313</v>
      </c>
    </row>
    <row r="105" spans="1:33" ht="15.75" customHeight="1" x14ac:dyDescent="0.25">
      <c r="A105" s="78" t="s">
        <v>54</v>
      </c>
      <c r="B105" s="54">
        <v>14</v>
      </c>
      <c r="C105" s="54">
        <v>8</v>
      </c>
      <c r="D105" s="54">
        <v>10</v>
      </c>
      <c r="E105" s="54">
        <v>3</v>
      </c>
      <c r="F105" s="54">
        <v>6</v>
      </c>
      <c r="G105" s="54">
        <v>11</v>
      </c>
      <c r="H105" s="54">
        <v>9</v>
      </c>
      <c r="I105" s="54">
        <v>6</v>
      </c>
      <c r="J105" s="54">
        <v>8</v>
      </c>
      <c r="K105" s="54">
        <v>7</v>
      </c>
      <c r="L105" s="54">
        <v>3</v>
      </c>
      <c r="M105" s="54">
        <v>4</v>
      </c>
      <c r="N105" s="54">
        <v>10</v>
      </c>
      <c r="O105" s="54">
        <v>18</v>
      </c>
      <c r="P105" s="54">
        <v>13</v>
      </c>
      <c r="Q105" s="54">
        <v>12</v>
      </c>
      <c r="R105" s="54">
        <v>15</v>
      </c>
      <c r="S105" s="54">
        <v>6</v>
      </c>
      <c r="T105" s="54">
        <v>11</v>
      </c>
      <c r="U105" s="54">
        <v>19</v>
      </c>
      <c r="V105" s="54">
        <v>11</v>
      </c>
      <c r="W105" s="54">
        <v>15</v>
      </c>
      <c r="X105" s="54">
        <v>9</v>
      </c>
      <c r="Y105" s="54">
        <v>6</v>
      </c>
      <c r="Z105" s="54">
        <v>8</v>
      </c>
      <c r="AA105" s="54">
        <v>2</v>
      </c>
      <c r="AB105" s="54">
        <v>7</v>
      </c>
      <c r="AC105" s="54">
        <v>14</v>
      </c>
      <c r="AD105" s="54">
        <v>14</v>
      </c>
      <c r="AE105" s="54">
        <v>5</v>
      </c>
      <c r="AF105" s="54"/>
      <c r="AG105" s="5">
        <f t="shared" si="17"/>
        <v>284</v>
      </c>
    </row>
    <row r="106" spans="1:33" ht="15.75" customHeight="1" x14ac:dyDescent="0.25">
      <c r="A106" s="78" t="s">
        <v>55</v>
      </c>
      <c r="B106" s="54">
        <v>18</v>
      </c>
      <c r="C106" s="54">
        <v>12</v>
      </c>
      <c r="D106" s="54">
        <v>8</v>
      </c>
      <c r="E106" s="54">
        <v>3</v>
      </c>
      <c r="F106" s="54">
        <v>1</v>
      </c>
      <c r="G106" s="54">
        <v>11</v>
      </c>
      <c r="H106" s="54">
        <v>10</v>
      </c>
      <c r="I106" s="54">
        <v>7</v>
      </c>
      <c r="J106" s="54">
        <v>11</v>
      </c>
      <c r="K106" s="54">
        <v>7</v>
      </c>
      <c r="L106" s="54">
        <v>6</v>
      </c>
      <c r="M106" s="54">
        <v>2</v>
      </c>
      <c r="N106" s="54">
        <v>4</v>
      </c>
      <c r="O106" s="54">
        <v>12</v>
      </c>
      <c r="P106" s="54">
        <v>10</v>
      </c>
      <c r="Q106" s="54">
        <v>12</v>
      </c>
      <c r="R106" s="54">
        <v>5</v>
      </c>
      <c r="S106" s="54">
        <v>11</v>
      </c>
      <c r="T106" s="54">
        <v>14</v>
      </c>
      <c r="U106" s="54">
        <v>10</v>
      </c>
      <c r="V106" s="54">
        <v>14</v>
      </c>
      <c r="W106" s="54">
        <v>13</v>
      </c>
      <c r="X106" s="54">
        <v>8</v>
      </c>
      <c r="Y106" s="54">
        <v>6</v>
      </c>
      <c r="Z106" s="54">
        <v>2</v>
      </c>
      <c r="AA106" s="54">
        <v>5</v>
      </c>
      <c r="AB106" s="54">
        <v>6</v>
      </c>
      <c r="AC106" s="54">
        <v>11</v>
      </c>
      <c r="AD106" s="54">
        <v>14</v>
      </c>
      <c r="AE106" s="54">
        <v>12</v>
      </c>
      <c r="AF106" s="54"/>
      <c r="AG106" s="5">
        <f t="shared" si="17"/>
        <v>265</v>
      </c>
    </row>
    <row r="107" spans="1:33" ht="15.75" customHeight="1" x14ac:dyDescent="0.25">
      <c r="A107" s="78" t="s">
        <v>56</v>
      </c>
      <c r="B107" s="54">
        <v>16</v>
      </c>
      <c r="C107" s="54">
        <v>8</v>
      </c>
      <c r="D107" s="54">
        <v>6</v>
      </c>
      <c r="E107" s="54">
        <v>12</v>
      </c>
      <c r="F107" s="54">
        <v>10</v>
      </c>
      <c r="G107" s="54">
        <v>7</v>
      </c>
      <c r="H107" s="54">
        <v>13</v>
      </c>
      <c r="I107" s="54">
        <v>15</v>
      </c>
      <c r="J107" s="54">
        <v>8</v>
      </c>
      <c r="K107" s="54">
        <v>9</v>
      </c>
      <c r="L107" s="54">
        <v>4</v>
      </c>
      <c r="M107" s="54">
        <v>8</v>
      </c>
      <c r="N107" s="54">
        <v>6</v>
      </c>
      <c r="O107" s="54">
        <v>5</v>
      </c>
      <c r="P107" s="54">
        <v>10</v>
      </c>
      <c r="Q107" s="54">
        <v>5</v>
      </c>
      <c r="R107" s="54">
        <v>8</v>
      </c>
      <c r="S107" s="54">
        <v>9</v>
      </c>
      <c r="T107" s="54">
        <v>13</v>
      </c>
      <c r="U107" s="54">
        <v>12</v>
      </c>
      <c r="V107" s="54">
        <v>9</v>
      </c>
      <c r="W107" s="54">
        <v>7</v>
      </c>
      <c r="X107" s="54">
        <v>8</v>
      </c>
      <c r="Y107" s="54">
        <v>4</v>
      </c>
      <c r="Z107" s="54">
        <v>6</v>
      </c>
      <c r="AA107" s="54">
        <v>8</v>
      </c>
      <c r="AB107" s="54">
        <v>8</v>
      </c>
      <c r="AC107" s="54">
        <v>11</v>
      </c>
      <c r="AD107" s="54">
        <v>10</v>
      </c>
      <c r="AE107" s="54">
        <v>6</v>
      </c>
      <c r="AF107" s="54"/>
      <c r="AG107" s="5">
        <f t="shared" si="17"/>
        <v>261</v>
      </c>
    </row>
    <row r="108" spans="1:33" ht="15.75" customHeight="1" x14ac:dyDescent="0.25">
      <c r="A108" s="78" t="s">
        <v>57</v>
      </c>
      <c r="B108" s="54">
        <v>11</v>
      </c>
      <c r="C108" s="54">
        <v>7</v>
      </c>
      <c r="D108" s="54">
        <v>9</v>
      </c>
      <c r="E108" s="54">
        <v>11</v>
      </c>
      <c r="F108" s="54">
        <v>9</v>
      </c>
      <c r="G108" s="54">
        <v>9</v>
      </c>
      <c r="H108" s="54">
        <v>10</v>
      </c>
      <c r="I108" s="54">
        <v>11</v>
      </c>
      <c r="J108" s="54">
        <v>9</v>
      </c>
      <c r="K108" s="54">
        <v>13</v>
      </c>
      <c r="L108" s="54">
        <v>6</v>
      </c>
      <c r="M108" s="54">
        <v>8</v>
      </c>
      <c r="N108" s="54">
        <v>7</v>
      </c>
      <c r="O108" s="54">
        <v>12</v>
      </c>
      <c r="P108" s="54">
        <v>22</v>
      </c>
      <c r="Q108" s="54">
        <v>9</v>
      </c>
      <c r="R108" s="54">
        <v>8</v>
      </c>
      <c r="S108" s="54">
        <v>11</v>
      </c>
      <c r="T108" s="54">
        <v>14</v>
      </c>
      <c r="U108" s="54">
        <v>16</v>
      </c>
      <c r="V108" s="54">
        <v>12</v>
      </c>
      <c r="W108" s="54">
        <v>15</v>
      </c>
      <c r="X108" s="54">
        <v>12</v>
      </c>
      <c r="Y108" s="54">
        <v>6</v>
      </c>
      <c r="Z108" s="54">
        <v>6</v>
      </c>
      <c r="AA108" s="54">
        <v>11</v>
      </c>
      <c r="AB108" s="54">
        <v>8</v>
      </c>
      <c r="AC108" s="54">
        <v>12</v>
      </c>
      <c r="AD108" s="54">
        <v>17</v>
      </c>
      <c r="AE108" s="54">
        <v>10</v>
      </c>
      <c r="AF108" s="54"/>
      <c r="AG108" s="5">
        <f t="shared" si="17"/>
        <v>321</v>
      </c>
    </row>
    <row r="109" spans="1:33" ht="15.75" customHeight="1" x14ac:dyDescent="0.25">
      <c r="A109" s="78" t="s">
        <v>58</v>
      </c>
      <c r="B109" s="54">
        <v>14</v>
      </c>
      <c r="C109" s="54">
        <v>7</v>
      </c>
      <c r="D109" s="54">
        <v>10</v>
      </c>
      <c r="E109" s="54">
        <v>13</v>
      </c>
      <c r="F109" s="54">
        <v>10</v>
      </c>
      <c r="G109" s="54">
        <v>7</v>
      </c>
      <c r="H109" s="54">
        <v>9</v>
      </c>
      <c r="I109" s="54">
        <v>13</v>
      </c>
      <c r="J109" s="54">
        <v>5</v>
      </c>
      <c r="K109" s="54">
        <v>14</v>
      </c>
      <c r="L109" s="54">
        <v>4</v>
      </c>
      <c r="M109" s="54">
        <v>10</v>
      </c>
      <c r="N109" s="54">
        <v>12</v>
      </c>
      <c r="O109" s="54">
        <v>14</v>
      </c>
      <c r="P109" s="54">
        <v>15</v>
      </c>
      <c r="Q109" s="54">
        <v>7</v>
      </c>
      <c r="R109" s="54">
        <v>5</v>
      </c>
      <c r="S109" s="54">
        <v>8</v>
      </c>
      <c r="T109" s="54">
        <v>12</v>
      </c>
      <c r="U109" s="54">
        <v>17</v>
      </c>
      <c r="V109" s="54">
        <v>17</v>
      </c>
      <c r="W109" s="54">
        <v>13</v>
      </c>
      <c r="X109" s="54">
        <v>11</v>
      </c>
      <c r="Y109" s="54">
        <v>12</v>
      </c>
      <c r="Z109" s="54">
        <v>14</v>
      </c>
      <c r="AA109" s="54">
        <v>5</v>
      </c>
      <c r="AB109" s="54">
        <v>8</v>
      </c>
      <c r="AC109" s="54">
        <v>19</v>
      </c>
      <c r="AD109" s="54">
        <v>18</v>
      </c>
      <c r="AE109" s="54">
        <v>8</v>
      </c>
      <c r="AF109" s="54"/>
      <c r="AG109" s="5">
        <f t="shared" si="17"/>
        <v>331</v>
      </c>
    </row>
    <row r="110" spans="1:33" ht="15.75" customHeight="1" x14ac:dyDescent="0.25">
      <c r="A110" s="78" t="s">
        <v>59</v>
      </c>
      <c r="B110" s="54">
        <v>9</v>
      </c>
      <c r="C110" s="54">
        <v>4</v>
      </c>
      <c r="D110" s="54">
        <v>11</v>
      </c>
      <c r="E110" s="54">
        <v>6</v>
      </c>
      <c r="F110" s="54">
        <v>2</v>
      </c>
      <c r="G110" s="54">
        <v>6</v>
      </c>
      <c r="H110" s="54">
        <v>16</v>
      </c>
      <c r="I110" s="54">
        <v>12</v>
      </c>
      <c r="J110" s="54">
        <v>10</v>
      </c>
      <c r="K110" s="54">
        <v>14</v>
      </c>
      <c r="L110" s="54">
        <v>5</v>
      </c>
      <c r="M110" s="54">
        <v>9</v>
      </c>
      <c r="N110" s="54">
        <v>11</v>
      </c>
      <c r="O110" s="54">
        <v>18</v>
      </c>
      <c r="P110" s="54">
        <v>8</v>
      </c>
      <c r="Q110" s="54">
        <v>8</v>
      </c>
      <c r="R110" s="54">
        <v>8</v>
      </c>
      <c r="S110" s="54">
        <v>15</v>
      </c>
      <c r="T110" s="54">
        <v>22</v>
      </c>
      <c r="U110" s="54">
        <v>18</v>
      </c>
      <c r="V110" s="54">
        <v>11</v>
      </c>
      <c r="W110" s="54">
        <v>11</v>
      </c>
      <c r="X110" s="54">
        <v>5</v>
      </c>
      <c r="Y110" s="54">
        <v>12</v>
      </c>
      <c r="Z110" s="54">
        <v>9</v>
      </c>
      <c r="AA110" s="54">
        <v>9</v>
      </c>
      <c r="AB110" s="54">
        <v>7</v>
      </c>
      <c r="AC110" s="54">
        <v>12</v>
      </c>
      <c r="AD110" s="54">
        <v>7</v>
      </c>
      <c r="AE110" s="54">
        <v>9</v>
      </c>
      <c r="AF110" s="54"/>
      <c r="AG110" s="5">
        <f t="shared" si="17"/>
        <v>304</v>
      </c>
    </row>
    <row r="111" spans="1:33" ht="15.75" customHeight="1" x14ac:dyDescent="0.25">
      <c r="A111" s="78" t="s">
        <v>60</v>
      </c>
      <c r="B111" s="54">
        <v>4</v>
      </c>
      <c r="C111" s="54">
        <v>9</v>
      </c>
      <c r="D111" s="54">
        <v>6</v>
      </c>
      <c r="E111" s="54">
        <v>7</v>
      </c>
      <c r="F111" s="54">
        <v>5</v>
      </c>
      <c r="G111" s="54">
        <v>8</v>
      </c>
      <c r="H111" s="54">
        <v>11</v>
      </c>
      <c r="I111" s="54">
        <v>8</v>
      </c>
      <c r="J111" s="54">
        <v>7</v>
      </c>
      <c r="K111" s="54">
        <v>8</v>
      </c>
      <c r="L111" s="54">
        <v>8</v>
      </c>
      <c r="M111" s="54">
        <v>6</v>
      </c>
      <c r="N111" s="54">
        <v>4</v>
      </c>
      <c r="O111" s="54">
        <v>11</v>
      </c>
      <c r="P111" s="54">
        <v>10</v>
      </c>
      <c r="Q111" s="54">
        <v>8</v>
      </c>
      <c r="R111" s="54">
        <v>8</v>
      </c>
      <c r="S111" s="54">
        <v>5</v>
      </c>
      <c r="T111" s="54">
        <v>7</v>
      </c>
      <c r="U111" s="54">
        <v>17</v>
      </c>
      <c r="V111" s="54">
        <v>14</v>
      </c>
      <c r="W111" s="54">
        <v>10</v>
      </c>
      <c r="X111" s="54">
        <v>5</v>
      </c>
      <c r="Y111" s="54">
        <v>7</v>
      </c>
      <c r="Z111" s="54">
        <v>13</v>
      </c>
      <c r="AA111" s="54">
        <v>10</v>
      </c>
      <c r="AB111" s="54">
        <v>9</v>
      </c>
      <c r="AC111" s="54">
        <v>13</v>
      </c>
      <c r="AD111" s="54">
        <v>16</v>
      </c>
      <c r="AE111" s="54">
        <v>6</v>
      </c>
      <c r="AF111" s="54"/>
      <c r="AG111" s="5">
        <f t="shared" si="17"/>
        <v>260</v>
      </c>
    </row>
    <row r="112" spans="1:33" ht="15.75" customHeight="1" x14ac:dyDescent="0.25">
      <c r="A112" s="78" t="s">
        <v>61</v>
      </c>
      <c r="B112" s="54">
        <v>8</v>
      </c>
      <c r="C112" s="54">
        <v>7</v>
      </c>
      <c r="D112" s="54">
        <v>1</v>
      </c>
      <c r="E112" s="54">
        <v>3</v>
      </c>
      <c r="F112" s="54">
        <v>2</v>
      </c>
      <c r="G112" s="54">
        <v>3</v>
      </c>
      <c r="H112" s="54">
        <v>9</v>
      </c>
      <c r="I112" s="54">
        <v>4</v>
      </c>
      <c r="J112" s="54">
        <v>6</v>
      </c>
      <c r="K112" s="54">
        <v>4</v>
      </c>
      <c r="L112" s="54">
        <v>3</v>
      </c>
      <c r="M112" s="54">
        <v>6</v>
      </c>
      <c r="N112" s="54">
        <v>4</v>
      </c>
      <c r="O112" s="54">
        <v>10</v>
      </c>
      <c r="P112" s="54">
        <v>8</v>
      </c>
      <c r="Q112" s="54">
        <v>5</v>
      </c>
      <c r="R112" s="54">
        <v>3</v>
      </c>
      <c r="S112" s="54">
        <v>10</v>
      </c>
      <c r="T112" s="54">
        <v>7</v>
      </c>
      <c r="U112" s="54">
        <v>17</v>
      </c>
      <c r="V112" s="54">
        <v>8</v>
      </c>
      <c r="W112" s="54">
        <v>12</v>
      </c>
      <c r="X112" s="54">
        <v>9</v>
      </c>
      <c r="Y112" s="54">
        <v>8</v>
      </c>
      <c r="Z112" s="54">
        <v>5</v>
      </c>
      <c r="AA112" s="54">
        <v>5</v>
      </c>
      <c r="AB112" s="54">
        <v>5</v>
      </c>
      <c r="AC112" s="54">
        <v>6</v>
      </c>
      <c r="AD112" s="54">
        <v>5</v>
      </c>
      <c r="AE112" s="54">
        <v>4</v>
      </c>
      <c r="AF112" s="54"/>
      <c r="AG112" s="5">
        <f t="shared" si="17"/>
        <v>187</v>
      </c>
    </row>
    <row r="113" spans="1:37" ht="15.75" customHeight="1" x14ac:dyDescent="0.25">
      <c r="A113" s="78" t="s">
        <v>62</v>
      </c>
      <c r="B113" s="54">
        <v>3</v>
      </c>
      <c r="C113" s="54">
        <v>5</v>
      </c>
      <c r="D113" s="54">
        <v>6</v>
      </c>
      <c r="E113" s="54">
        <v>2</v>
      </c>
      <c r="F113" s="54">
        <v>3</v>
      </c>
      <c r="G113" s="54">
        <v>8</v>
      </c>
      <c r="H113" s="54">
        <v>4</v>
      </c>
      <c r="I113" s="54">
        <v>5</v>
      </c>
      <c r="J113" s="54">
        <v>3</v>
      </c>
      <c r="K113" s="54">
        <v>0</v>
      </c>
      <c r="L113" s="54">
        <v>7</v>
      </c>
      <c r="M113" s="54">
        <v>2</v>
      </c>
      <c r="N113" s="54">
        <v>4</v>
      </c>
      <c r="O113" s="54">
        <v>4</v>
      </c>
      <c r="P113" s="54">
        <v>1</v>
      </c>
      <c r="Q113" s="54">
        <v>4</v>
      </c>
      <c r="R113" s="54">
        <v>3</v>
      </c>
      <c r="S113" s="54">
        <v>6</v>
      </c>
      <c r="T113" s="54">
        <v>8</v>
      </c>
      <c r="U113" s="54">
        <v>13</v>
      </c>
      <c r="V113" s="54">
        <v>9</v>
      </c>
      <c r="W113" s="54">
        <v>4</v>
      </c>
      <c r="X113" s="54">
        <v>7</v>
      </c>
      <c r="Y113" s="54">
        <v>5</v>
      </c>
      <c r="Z113" s="54">
        <v>4</v>
      </c>
      <c r="AA113" s="54">
        <v>4</v>
      </c>
      <c r="AB113" s="54">
        <v>6</v>
      </c>
      <c r="AC113" s="54">
        <v>5</v>
      </c>
      <c r="AD113" s="54">
        <v>6</v>
      </c>
      <c r="AE113" s="54">
        <v>6</v>
      </c>
      <c r="AF113" s="54"/>
      <c r="AG113" s="5">
        <f t="shared" si="17"/>
        <v>147</v>
      </c>
    </row>
    <row r="114" spans="1:37" ht="15.75" customHeight="1" x14ac:dyDescent="0.25">
      <c r="A114" s="78" t="s">
        <v>63</v>
      </c>
      <c r="B114" s="54">
        <v>9</v>
      </c>
      <c r="C114" s="54">
        <v>6</v>
      </c>
      <c r="D114" s="54">
        <v>2</v>
      </c>
      <c r="E114" s="54">
        <v>3</v>
      </c>
      <c r="F114" s="54">
        <v>5</v>
      </c>
      <c r="G114" s="54">
        <v>3</v>
      </c>
      <c r="H114" s="54">
        <v>14</v>
      </c>
      <c r="I114" s="54">
        <v>7</v>
      </c>
      <c r="J114" s="54">
        <v>4</v>
      </c>
      <c r="K114" s="54">
        <v>6</v>
      </c>
      <c r="L114" s="54">
        <v>5</v>
      </c>
      <c r="M114" s="54">
        <v>5</v>
      </c>
      <c r="N114" s="54">
        <v>8</v>
      </c>
      <c r="O114" s="54">
        <v>11</v>
      </c>
      <c r="P114" s="54">
        <v>7</v>
      </c>
      <c r="Q114" s="54">
        <v>9</v>
      </c>
      <c r="R114" s="54">
        <v>10</v>
      </c>
      <c r="S114" s="54">
        <v>8</v>
      </c>
      <c r="T114" s="54">
        <v>9</v>
      </c>
      <c r="U114" s="54">
        <v>15</v>
      </c>
      <c r="V114" s="54">
        <v>9</v>
      </c>
      <c r="W114" s="54">
        <v>10</v>
      </c>
      <c r="X114" s="54">
        <v>5</v>
      </c>
      <c r="Y114" s="54">
        <v>4</v>
      </c>
      <c r="Z114" s="54">
        <v>1</v>
      </c>
      <c r="AA114" s="54">
        <v>6</v>
      </c>
      <c r="AB114" s="54">
        <v>8</v>
      </c>
      <c r="AC114" s="54">
        <v>12</v>
      </c>
      <c r="AD114" s="54">
        <v>9</v>
      </c>
      <c r="AE114" s="54">
        <v>3</v>
      </c>
      <c r="AF114" s="54"/>
      <c r="AG114" s="5">
        <f t="shared" si="17"/>
        <v>213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42</v>
      </c>
      <c r="C116" s="20">
        <f t="shared" si="19"/>
        <v>32</v>
      </c>
      <c r="D116" s="20">
        <f t="shared" si="19"/>
        <v>22</v>
      </c>
      <c r="E116" s="20">
        <f t="shared" si="19"/>
        <v>29</v>
      </c>
      <c r="F116" s="20">
        <f t="shared" si="19"/>
        <v>22</v>
      </c>
      <c r="G116" s="20">
        <f t="shared" si="19"/>
        <v>25</v>
      </c>
      <c r="H116" s="20">
        <f t="shared" si="19"/>
        <v>35</v>
      </c>
      <c r="I116" s="20">
        <f t="shared" si="19"/>
        <v>42</v>
      </c>
      <c r="J116" s="20">
        <f t="shared" si="19"/>
        <v>22</v>
      </c>
      <c r="K116" s="20">
        <f t="shared" si="19"/>
        <v>35</v>
      </c>
      <c r="L116" s="20">
        <f t="shared" si="19"/>
        <v>24</v>
      </c>
      <c r="M116" s="20">
        <f t="shared" si="19"/>
        <v>28</v>
      </c>
      <c r="N116" s="20">
        <f t="shared" si="19"/>
        <v>35</v>
      </c>
      <c r="O116" s="20">
        <f t="shared" si="19"/>
        <v>52</v>
      </c>
      <c r="P116" s="20">
        <f t="shared" si="19"/>
        <v>23</v>
      </c>
      <c r="Q116" s="20">
        <f t="shared" si="19"/>
        <v>35</v>
      </c>
      <c r="R116" s="20">
        <f t="shared" si="19"/>
        <v>34</v>
      </c>
      <c r="S116" s="20">
        <f t="shared" si="19"/>
        <v>31</v>
      </c>
      <c r="T116" s="20">
        <f t="shared" si="19"/>
        <v>47</v>
      </c>
      <c r="U116" s="20">
        <f t="shared" si="19"/>
        <v>59</v>
      </c>
      <c r="V116" s="20">
        <f t="shared" si="19"/>
        <v>51</v>
      </c>
      <c r="W116" s="20">
        <f t="shared" si="19"/>
        <v>44</v>
      </c>
      <c r="X116" s="20">
        <f t="shared" si="19"/>
        <v>55</v>
      </c>
      <c r="Y116" s="20">
        <f t="shared" si="19"/>
        <v>31</v>
      </c>
      <c r="Z116" s="20">
        <f t="shared" si="19"/>
        <v>29</v>
      </c>
      <c r="AA116" s="20">
        <f t="shared" si="19"/>
        <v>33</v>
      </c>
      <c r="AB116" s="20">
        <f t="shared" si="19"/>
        <v>31</v>
      </c>
      <c r="AC116" s="20">
        <f t="shared" si="19"/>
        <v>53</v>
      </c>
      <c r="AD116" s="20">
        <f t="shared" si="19"/>
        <v>48</v>
      </c>
      <c r="AE116" s="20">
        <f t="shared" si="19"/>
        <v>29</v>
      </c>
      <c r="AF116" s="20">
        <f t="shared" si="19"/>
        <v>0</v>
      </c>
      <c r="AG116" s="5">
        <f t="shared" si="17"/>
        <v>1078</v>
      </c>
      <c r="AK116" s="84">
        <v>612</v>
      </c>
    </row>
    <row r="117" spans="1:37" ht="15.75" customHeight="1" x14ac:dyDescent="0.25">
      <c r="A117" s="85" t="s">
        <v>65</v>
      </c>
      <c r="B117" s="54">
        <v>39</v>
      </c>
      <c r="C117" s="54">
        <v>32</v>
      </c>
      <c r="D117" s="54">
        <v>21</v>
      </c>
      <c r="E117" s="54">
        <v>29</v>
      </c>
      <c r="F117" s="54">
        <v>20</v>
      </c>
      <c r="G117" s="54">
        <v>25</v>
      </c>
      <c r="H117" s="54">
        <v>34</v>
      </c>
      <c r="I117" s="54">
        <v>41</v>
      </c>
      <c r="J117" s="54">
        <v>22</v>
      </c>
      <c r="K117" s="54">
        <v>35</v>
      </c>
      <c r="L117" s="54">
        <v>23</v>
      </c>
      <c r="M117" s="54">
        <v>28</v>
      </c>
      <c r="N117" s="54">
        <v>34</v>
      </c>
      <c r="O117" s="54">
        <v>52</v>
      </c>
      <c r="P117" s="54">
        <v>22</v>
      </c>
      <c r="Q117" s="54">
        <v>34</v>
      </c>
      <c r="R117" s="54">
        <v>31</v>
      </c>
      <c r="S117" s="54">
        <v>31</v>
      </c>
      <c r="T117" s="54">
        <v>45</v>
      </c>
      <c r="U117" s="54">
        <v>55</v>
      </c>
      <c r="V117" s="54">
        <v>50</v>
      </c>
      <c r="W117" s="54">
        <v>43</v>
      </c>
      <c r="X117" s="54">
        <v>53</v>
      </c>
      <c r="Y117" s="54">
        <v>30</v>
      </c>
      <c r="Z117" s="54">
        <v>28</v>
      </c>
      <c r="AA117" s="54">
        <v>31</v>
      </c>
      <c r="AB117" s="54">
        <v>31</v>
      </c>
      <c r="AC117" s="54">
        <v>52</v>
      </c>
      <c r="AD117" s="54">
        <v>46</v>
      </c>
      <c r="AE117" s="54">
        <v>29</v>
      </c>
      <c r="AF117" s="54"/>
      <c r="AG117" s="5">
        <f t="shared" si="17"/>
        <v>1046</v>
      </c>
      <c r="AK117" s="84">
        <v>613</v>
      </c>
    </row>
    <row r="118" spans="1:37" ht="15.75" customHeight="1" thickBot="1" x14ac:dyDescent="0.3">
      <c r="A118" s="86" t="s">
        <v>77</v>
      </c>
      <c r="B118" s="87">
        <v>3</v>
      </c>
      <c r="C118" s="87">
        <v>0</v>
      </c>
      <c r="D118" s="87">
        <v>1</v>
      </c>
      <c r="E118" s="87">
        <v>0</v>
      </c>
      <c r="F118" s="87">
        <v>2</v>
      </c>
      <c r="G118" s="87">
        <v>0</v>
      </c>
      <c r="H118" s="87">
        <v>1</v>
      </c>
      <c r="I118" s="87">
        <v>1</v>
      </c>
      <c r="J118" s="87">
        <v>0</v>
      </c>
      <c r="K118" s="87">
        <v>0</v>
      </c>
      <c r="L118" s="87">
        <v>1</v>
      </c>
      <c r="M118" s="87">
        <v>0</v>
      </c>
      <c r="N118" s="87">
        <v>1</v>
      </c>
      <c r="O118" s="87">
        <v>0</v>
      </c>
      <c r="P118" s="87">
        <v>1</v>
      </c>
      <c r="Q118" s="87">
        <v>1</v>
      </c>
      <c r="R118" s="87">
        <v>3</v>
      </c>
      <c r="S118" s="87">
        <v>0</v>
      </c>
      <c r="T118" s="87">
        <v>2</v>
      </c>
      <c r="U118" s="87">
        <v>4</v>
      </c>
      <c r="V118" s="87">
        <v>1</v>
      </c>
      <c r="W118" s="87">
        <v>1</v>
      </c>
      <c r="X118" s="87">
        <v>2</v>
      </c>
      <c r="Y118" s="87">
        <v>1</v>
      </c>
      <c r="Z118" s="87">
        <v>1</v>
      </c>
      <c r="AA118" s="87">
        <v>2</v>
      </c>
      <c r="AB118" s="87">
        <v>0</v>
      </c>
      <c r="AC118" s="87">
        <v>1</v>
      </c>
      <c r="AD118" s="87">
        <v>2</v>
      </c>
      <c r="AE118" s="87">
        <v>0</v>
      </c>
      <c r="AF118" s="87"/>
      <c r="AG118" s="5">
        <f t="shared" si="17"/>
        <v>32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195</v>
      </c>
      <c r="C119" s="20">
        <f t="shared" si="20"/>
        <v>141</v>
      </c>
      <c r="D119" s="20">
        <f t="shared" si="20"/>
        <v>147</v>
      </c>
      <c r="E119" s="20">
        <f t="shared" si="20"/>
        <v>126</v>
      </c>
      <c r="F119" s="20">
        <f t="shared" si="20"/>
        <v>102</v>
      </c>
      <c r="G119" s="20">
        <f t="shared" si="20"/>
        <v>125</v>
      </c>
      <c r="H119" s="20">
        <f t="shared" si="20"/>
        <v>194</v>
      </c>
      <c r="I119" s="20">
        <f t="shared" si="20"/>
        <v>165</v>
      </c>
      <c r="J119" s="20">
        <f t="shared" si="20"/>
        <v>133</v>
      </c>
      <c r="K119" s="20">
        <f t="shared" si="20"/>
        <v>152</v>
      </c>
      <c r="L119" s="20">
        <f t="shared" si="20"/>
        <v>112</v>
      </c>
      <c r="M119" s="20">
        <f t="shared" si="20"/>
        <v>120</v>
      </c>
      <c r="N119" s="20">
        <f t="shared" si="20"/>
        <v>125</v>
      </c>
      <c r="O119" s="20">
        <f t="shared" si="20"/>
        <v>210</v>
      </c>
      <c r="P119" s="20">
        <f t="shared" si="20"/>
        <v>200</v>
      </c>
      <c r="Q119" s="20">
        <f t="shared" si="20"/>
        <v>152</v>
      </c>
      <c r="R119" s="20">
        <f t="shared" si="20"/>
        <v>123</v>
      </c>
      <c r="S119" s="20">
        <f t="shared" si="20"/>
        <v>161</v>
      </c>
      <c r="T119" s="20">
        <f t="shared" si="20"/>
        <v>190</v>
      </c>
      <c r="U119" s="20">
        <f t="shared" si="20"/>
        <v>243</v>
      </c>
      <c r="V119" s="20">
        <f t="shared" si="20"/>
        <v>199</v>
      </c>
      <c r="W119" s="20">
        <f t="shared" si="20"/>
        <v>203</v>
      </c>
      <c r="X119" s="20">
        <f t="shared" si="20"/>
        <v>158</v>
      </c>
      <c r="Y119" s="20">
        <f t="shared" si="20"/>
        <v>140</v>
      </c>
      <c r="Z119" s="20">
        <f t="shared" si="20"/>
        <v>140</v>
      </c>
      <c r="AA119" s="20">
        <f t="shared" si="20"/>
        <v>125</v>
      </c>
      <c r="AB119" s="20">
        <f t="shared" si="20"/>
        <v>124</v>
      </c>
      <c r="AC119" s="20">
        <f t="shared" si="20"/>
        <v>196</v>
      </c>
      <c r="AD119" s="20">
        <f t="shared" si="20"/>
        <v>210</v>
      </c>
      <c r="AE119" s="20">
        <f t="shared" si="20"/>
        <v>114</v>
      </c>
      <c r="AF119" s="20">
        <f t="shared" si="20"/>
        <v>0</v>
      </c>
      <c r="AG119" s="7">
        <f t="shared" si="17"/>
        <v>4725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39</v>
      </c>
      <c r="C120" s="54">
        <v>28</v>
      </c>
      <c r="D120" s="54">
        <v>21</v>
      </c>
      <c r="E120" s="54">
        <v>28</v>
      </c>
      <c r="F120" s="54">
        <v>16</v>
      </c>
      <c r="G120" s="54">
        <v>20</v>
      </c>
      <c r="H120" s="54">
        <v>33</v>
      </c>
      <c r="I120" s="54">
        <v>28</v>
      </c>
      <c r="J120" s="54">
        <v>19</v>
      </c>
      <c r="K120" s="54">
        <v>30</v>
      </c>
      <c r="L120" s="54">
        <v>20</v>
      </c>
      <c r="M120" s="54">
        <v>26</v>
      </c>
      <c r="N120" s="54">
        <v>31</v>
      </c>
      <c r="O120" s="54">
        <v>51</v>
      </c>
      <c r="P120" s="54">
        <v>22</v>
      </c>
      <c r="Q120" s="54">
        <v>32</v>
      </c>
      <c r="R120" s="54">
        <v>26</v>
      </c>
      <c r="S120" s="54">
        <v>31</v>
      </c>
      <c r="T120" s="54">
        <v>42</v>
      </c>
      <c r="U120" s="54">
        <v>54</v>
      </c>
      <c r="V120" s="54">
        <v>45</v>
      </c>
      <c r="W120" s="54">
        <v>37</v>
      </c>
      <c r="X120" s="54">
        <v>45</v>
      </c>
      <c r="Y120" s="54">
        <v>28</v>
      </c>
      <c r="Z120" s="54">
        <v>28</v>
      </c>
      <c r="AA120" s="54">
        <v>25</v>
      </c>
      <c r="AB120" s="54">
        <v>25</v>
      </c>
      <c r="AC120" s="54">
        <v>45</v>
      </c>
      <c r="AD120" s="54">
        <v>43</v>
      </c>
      <c r="AE120" s="54">
        <v>26</v>
      </c>
      <c r="AF120" s="54"/>
      <c r="AG120" s="5">
        <f t="shared" si="17"/>
        <v>944</v>
      </c>
      <c r="AK120" s="88" t="s">
        <v>131</v>
      </c>
    </row>
    <row r="121" spans="1:37" ht="15.75" customHeight="1" x14ac:dyDescent="0.25">
      <c r="A121" s="85" t="s">
        <v>66</v>
      </c>
      <c r="B121" s="54">
        <v>7</v>
      </c>
      <c r="C121" s="54">
        <v>6</v>
      </c>
      <c r="D121" s="54">
        <v>5</v>
      </c>
      <c r="E121" s="54">
        <v>2</v>
      </c>
      <c r="F121" s="54">
        <v>3</v>
      </c>
      <c r="G121" s="54">
        <v>7</v>
      </c>
      <c r="H121" s="54">
        <v>4</v>
      </c>
      <c r="I121" s="54">
        <v>7</v>
      </c>
      <c r="J121" s="54">
        <v>5</v>
      </c>
      <c r="K121" s="54">
        <v>2</v>
      </c>
      <c r="L121" s="54">
        <v>5</v>
      </c>
      <c r="M121" s="54">
        <v>1</v>
      </c>
      <c r="N121" s="54">
        <v>3</v>
      </c>
      <c r="O121" s="54">
        <v>3</v>
      </c>
      <c r="P121" s="54">
        <v>1</v>
      </c>
      <c r="Q121" s="54">
        <v>4</v>
      </c>
      <c r="R121" s="54">
        <v>3</v>
      </c>
      <c r="S121" s="54">
        <v>5</v>
      </c>
      <c r="T121" s="54">
        <v>3</v>
      </c>
      <c r="U121" s="54">
        <v>0</v>
      </c>
      <c r="V121" s="54">
        <v>5</v>
      </c>
      <c r="W121" s="54">
        <v>6</v>
      </c>
      <c r="X121" s="54">
        <v>2</v>
      </c>
      <c r="Y121" s="54">
        <v>5</v>
      </c>
      <c r="Z121" s="54">
        <v>2</v>
      </c>
      <c r="AA121" s="54">
        <v>0</v>
      </c>
      <c r="AB121" s="54">
        <v>6</v>
      </c>
      <c r="AC121" s="54">
        <v>4</v>
      </c>
      <c r="AD121" s="54">
        <v>8</v>
      </c>
      <c r="AE121" s="54">
        <v>2</v>
      </c>
      <c r="AF121" s="54"/>
      <c r="AG121" s="5">
        <f t="shared" si="17"/>
        <v>116</v>
      </c>
      <c r="AK121" s="84" t="s">
        <v>132</v>
      </c>
    </row>
    <row r="122" spans="1:37" ht="15.75" customHeight="1" x14ac:dyDescent="0.25">
      <c r="A122" s="85" t="s">
        <v>67</v>
      </c>
      <c r="B122" s="54">
        <v>10</v>
      </c>
      <c r="C122" s="54">
        <v>9</v>
      </c>
      <c r="D122" s="54">
        <v>0</v>
      </c>
      <c r="E122" s="54">
        <v>2</v>
      </c>
      <c r="F122" s="54">
        <v>2</v>
      </c>
      <c r="G122" s="54">
        <v>6</v>
      </c>
      <c r="H122" s="54">
        <v>8</v>
      </c>
      <c r="I122" s="54">
        <v>10</v>
      </c>
      <c r="J122" s="54">
        <v>6</v>
      </c>
      <c r="K122" s="54">
        <v>3</v>
      </c>
      <c r="L122" s="54">
        <v>6</v>
      </c>
      <c r="M122" s="54">
        <v>7</v>
      </c>
      <c r="N122" s="54">
        <v>4</v>
      </c>
      <c r="O122" s="54">
        <v>7</v>
      </c>
      <c r="P122" s="54">
        <v>7</v>
      </c>
      <c r="Q122" s="54">
        <v>11</v>
      </c>
      <c r="R122" s="54">
        <v>8</v>
      </c>
      <c r="S122" s="54">
        <v>7</v>
      </c>
      <c r="T122" s="54">
        <v>17</v>
      </c>
      <c r="U122" s="54">
        <v>13</v>
      </c>
      <c r="V122" s="54">
        <v>9</v>
      </c>
      <c r="W122" s="54">
        <v>15</v>
      </c>
      <c r="X122" s="54">
        <v>8</v>
      </c>
      <c r="Y122" s="54">
        <v>10</v>
      </c>
      <c r="Z122" s="54">
        <v>9</v>
      </c>
      <c r="AA122" s="54">
        <v>11</v>
      </c>
      <c r="AB122" s="54">
        <v>6</v>
      </c>
      <c r="AC122" s="54">
        <v>13</v>
      </c>
      <c r="AD122" s="54">
        <v>11</v>
      </c>
      <c r="AE122" s="54">
        <v>6</v>
      </c>
      <c r="AF122" s="54"/>
      <c r="AG122" s="5">
        <f t="shared" si="17"/>
        <v>241</v>
      </c>
      <c r="AK122" s="88" t="s">
        <v>133</v>
      </c>
    </row>
    <row r="123" spans="1:37" ht="15.75" customHeight="1" x14ac:dyDescent="0.25">
      <c r="A123" s="85" t="s">
        <v>68</v>
      </c>
      <c r="B123" s="54">
        <v>11</v>
      </c>
      <c r="C123" s="54">
        <v>6</v>
      </c>
      <c r="D123" s="54">
        <v>7</v>
      </c>
      <c r="E123" s="54">
        <v>5</v>
      </c>
      <c r="F123" s="54">
        <v>6</v>
      </c>
      <c r="G123" s="54">
        <v>6</v>
      </c>
      <c r="H123" s="54">
        <v>11</v>
      </c>
      <c r="I123" s="54">
        <v>5</v>
      </c>
      <c r="J123" s="54">
        <v>5</v>
      </c>
      <c r="K123" s="54">
        <v>7</v>
      </c>
      <c r="L123" s="54">
        <v>2</v>
      </c>
      <c r="M123" s="54">
        <v>12</v>
      </c>
      <c r="N123" s="54">
        <v>3</v>
      </c>
      <c r="O123" s="54">
        <v>9</v>
      </c>
      <c r="P123" s="54">
        <v>9</v>
      </c>
      <c r="Q123" s="54">
        <v>7</v>
      </c>
      <c r="R123" s="54">
        <v>5</v>
      </c>
      <c r="S123" s="54">
        <v>3</v>
      </c>
      <c r="T123" s="54">
        <v>12</v>
      </c>
      <c r="U123" s="54">
        <v>15</v>
      </c>
      <c r="V123" s="54">
        <v>4</v>
      </c>
      <c r="W123" s="54">
        <v>4</v>
      </c>
      <c r="X123" s="54">
        <v>8</v>
      </c>
      <c r="Y123" s="54">
        <v>7</v>
      </c>
      <c r="Z123" s="54">
        <v>4</v>
      </c>
      <c r="AA123" s="54">
        <v>8</v>
      </c>
      <c r="AB123" s="54">
        <v>3</v>
      </c>
      <c r="AC123" s="54">
        <v>9</v>
      </c>
      <c r="AD123" s="54">
        <v>11</v>
      </c>
      <c r="AE123" s="54">
        <v>2</v>
      </c>
      <c r="AF123" s="54"/>
      <c r="AG123" s="5">
        <f t="shared" si="17"/>
        <v>206</v>
      </c>
      <c r="AK123" s="84" t="s">
        <v>134</v>
      </c>
    </row>
    <row r="124" spans="1:37" ht="15.75" customHeight="1" x14ac:dyDescent="0.25">
      <c r="A124" s="85" t="s">
        <v>69</v>
      </c>
      <c r="B124" s="54">
        <v>7</v>
      </c>
      <c r="C124" s="54">
        <v>10</v>
      </c>
      <c r="D124" s="54">
        <v>10</v>
      </c>
      <c r="E124" s="54">
        <v>8</v>
      </c>
      <c r="F124" s="54">
        <v>5</v>
      </c>
      <c r="G124" s="54">
        <v>3</v>
      </c>
      <c r="H124" s="54">
        <v>16</v>
      </c>
      <c r="I124" s="54">
        <v>11</v>
      </c>
      <c r="J124" s="54">
        <v>9</v>
      </c>
      <c r="K124" s="54">
        <v>14</v>
      </c>
      <c r="L124" s="54">
        <v>4</v>
      </c>
      <c r="M124" s="54">
        <v>2</v>
      </c>
      <c r="N124" s="54">
        <v>12</v>
      </c>
      <c r="O124" s="54">
        <v>13</v>
      </c>
      <c r="P124" s="54">
        <v>4</v>
      </c>
      <c r="Q124" s="54">
        <v>12</v>
      </c>
      <c r="R124" s="54">
        <v>7</v>
      </c>
      <c r="S124" s="54">
        <v>11</v>
      </c>
      <c r="T124" s="54">
        <v>11</v>
      </c>
      <c r="U124" s="54">
        <v>6</v>
      </c>
      <c r="V124" s="54">
        <v>8</v>
      </c>
      <c r="W124" s="54">
        <v>22</v>
      </c>
      <c r="X124" s="54">
        <v>11</v>
      </c>
      <c r="Y124" s="54">
        <v>9</v>
      </c>
      <c r="Z124" s="54">
        <v>7</v>
      </c>
      <c r="AA124" s="54">
        <v>8</v>
      </c>
      <c r="AB124" s="54">
        <v>8</v>
      </c>
      <c r="AC124" s="54">
        <v>11</v>
      </c>
      <c r="AD124" s="54">
        <v>22</v>
      </c>
      <c r="AE124" s="54">
        <v>13</v>
      </c>
      <c r="AF124" s="54"/>
      <c r="AG124" s="5">
        <f t="shared" si="17"/>
        <v>294</v>
      </c>
      <c r="AK124" s="88" t="s">
        <v>135</v>
      </c>
    </row>
    <row r="125" spans="1:37" ht="15.75" customHeight="1" x14ac:dyDescent="0.25">
      <c r="A125" s="85" t="s">
        <v>70</v>
      </c>
      <c r="B125" s="54">
        <v>74</v>
      </c>
      <c r="C125" s="54">
        <v>66</v>
      </c>
      <c r="D125" s="54">
        <v>75</v>
      </c>
      <c r="E125" s="54">
        <v>68</v>
      </c>
      <c r="F125" s="54">
        <v>43</v>
      </c>
      <c r="G125" s="54">
        <v>62</v>
      </c>
      <c r="H125" s="54">
        <v>94</v>
      </c>
      <c r="I125" s="54">
        <v>75</v>
      </c>
      <c r="J125" s="54">
        <v>68</v>
      </c>
      <c r="K125" s="54">
        <v>78</v>
      </c>
      <c r="L125" s="54">
        <v>47</v>
      </c>
      <c r="M125" s="54">
        <v>58</v>
      </c>
      <c r="N125" s="54">
        <v>46</v>
      </c>
      <c r="O125" s="54">
        <v>103</v>
      </c>
      <c r="P125" s="54">
        <v>134</v>
      </c>
      <c r="Q125" s="54">
        <v>62</v>
      </c>
      <c r="R125" s="54">
        <v>52</v>
      </c>
      <c r="S125" s="54">
        <v>82</v>
      </c>
      <c r="T125" s="54">
        <v>80</v>
      </c>
      <c r="U125" s="54">
        <v>121</v>
      </c>
      <c r="V125" s="54">
        <v>95</v>
      </c>
      <c r="W125" s="54">
        <v>91</v>
      </c>
      <c r="X125" s="54">
        <v>63</v>
      </c>
      <c r="Y125" s="54">
        <v>62</v>
      </c>
      <c r="Z125" s="54">
        <v>64</v>
      </c>
      <c r="AA125" s="54">
        <v>58</v>
      </c>
      <c r="AB125" s="54">
        <v>62</v>
      </c>
      <c r="AC125" s="54">
        <v>83</v>
      </c>
      <c r="AD125" s="54">
        <v>86</v>
      </c>
      <c r="AE125" s="54">
        <v>51</v>
      </c>
      <c r="AF125" s="54"/>
      <c r="AG125" s="5">
        <f t="shared" si="17"/>
        <v>2203</v>
      </c>
      <c r="AK125" s="88" t="s">
        <v>136</v>
      </c>
    </row>
    <row r="126" spans="1:37" ht="15.75" customHeight="1" x14ac:dyDescent="0.25">
      <c r="A126" s="85" t="s">
        <v>71</v>
      </c>
      <c r="B126" s="54">
        <v>3</v>
      </c>
      <c r="C126" s="54">
        <v>4</v>
      </c>
      <c r="D126" s="54">
        <v>4</v>
      </c>
      <c r="E126" s="54">
        <v>3</v>
      </c>
      <c r="F126" s="54">
        <v>3</v>
      </c>
      <c r="G126" s="54">
        <v>3</v>
      </c>
      <c r="H126" s="54">
        <v>0</v>
      </c>
      <c r="I126" s="54">
        <v>1</v>
      </c>
      <c r="J126" s="54">
        <v>4</v>
      </c>
      <c r="K126" s="54">
        <v>4</v>
      </c>
      <c r="L126" s="54">
        <v>5</v>
      </c>
      <c r="M126" s="54">
        <v>0</v>
      </c>
      <c r="N126" s="54">
        <v>2</v>
      </c>
      <c r="O126" s="54">
        <v>2</v>
      </c>
      <c r="P126" s="54">
        <v>1</v>
      </c>
      <c r="Q126" s="54">
        <v>2</v>
      </c>
      <c r="R126" s="54">
        <v>1</v>
      </c>
      <c r="S126" s="54">
        <v>2</v>
      </c>
      <c r="T126" s="54">
        <v>1</v>
      </c>
      <c r="U126" s="54">
        <v>7</v>
      </c>
      <c r="V126" s="54">
        <v>0</v>
      </c>
      <c r="W126" s="54">
        <v>3</v>
      </c>
      <c r="X126" s="54">
        <v>3</v>
      </c>
      <c r="Y126" s="54">
        <v>2</v>
      </c>
      <c r="Z126" s="54">
        <v>5</v>
      </c>
      <c r="AA126" s="54">
        <v>6</v>
      </c>
      <c r="AB126" s="54">
        <v>3</v>
      </c>
      <c r="AC126" s="54">
        <v>4</v>
      </c>
      <c r="AD126" s="54">
        <v>1</v>
      </c>
      <c r="AE126" s="54">
        <v>3</v>
      </c>
      <c r="AF126" s="54"/>
      <c r="AG126" s="5">
        <f t="shared" si="17"/>
        <v>82</v>
      </c>
      <c r="AK126" s="84" t="s">
        <v>137</v>
      </c>
    </row>
    <row r="127" spans="1:37" ht="15.75" customHeight="1" x14ac:dyDescent="0.25">
      <c r="A127" s="85" t="s">
        <v>72</v>
      </c>
      <c r="B127" s="54">
        <v>2</v>
      </c>
      <c r="C127" s="54">
        <v>1</v>
      </c>
      <c r="D127" s="54">
        <v>5</v>
      </c>
      <c r="E127" s="54">
        <v>3</v>
      </c>
      <c r="F127" s="54">
        <v>3</v>
      </c>
      <c r="G127" s="54">
        <v>0</v>
      </c>
      <c r="H127" s="54">
        <v>2</v>
      </c>
      <c r="I127" s="54">
        <v>2</v>
      </c>
      <c r="J127" s="54">
        <v>2</v>
      </c>
      <c r="K127" s="54">
        <v>0</v>
      </c>
      <c r="L127" s="54">
        <v>2</v>
      </c>
      <c r="M127" s="54">
        <v>0</v>
      </c>
      <c r="N127" s="54">
        <v>3</v>
      </c>
      <c r="O127" s="54">
        <v>4</v>
      </c>
      <c r="P127" s="54">
        <v>1</v>
      </c>
      <c r="Q127" s="54">
        <v>1</v>
      </c>
      <c r="R127" s="54">
        <v>4</v>
      </c>
      <c r="S127" s="54">
        <v>0</v>
      </c>
      <c r="T127" s="54">
        <v>1</v>
      </c>
      <c r="U127" s="54">
        <v>0</v>
      </c>
      <c r="V127" s="54">
        <v>1</v>
      </c>
      <c r="W127" s="54">
        <v>3</v>
      </c>
      <c r="X127" s="54">
        <v>0</v>
      </c>
      <c r="Y127" s="54">
        <v>1</v>
      </c>
      <c r="Z127" s="54">
        <v>1</v>
      </c>
      <c r="AA127" s="54">
        <v>1</v>
      </c>
      <c r="AB127" s="54">
        <v>2</v>
      </c>
      <c r="AC127" s="54">
        <v>0</v>
      </c>
      <c r="AD127" s="54">
        <v>1</v>
      </c>
      <c r="AE127" s="54">
        <v>3</v>
      </c>
      <c r="AF127" s="54"/>
      <c r="AG127" s="5">
        <f t="shared" si="17"/>
        <v>49</v>
      </c>
      <c r="AK127" s="88" t="s">
        <v>138</v>
      </c>
    </row>
    <row r="128" spans="1:37" ht="15.75" customHeight="1" x14ac:dyDescent="0.25">
      <c r="A128" s="56" t="s">
        <v>73</v>
      </c>
      <c r="B128" s="54">
        <v>1</v>
      </c>
      <c r="C128" s="54">
        <v>0</v>
      </c>
      <c r="D128" s="54">
        <v>4</v>
      </c>
      <c r="E128" s="54">
        <v>2</v>
      </c>
      <c r="F128" s="54">
        <v>2</v>
      </c>
      <c r="G128" s="54">
        <v>2</v>
      </c>
      <c r="H128" s="54">
        <v>0</v>
      </c>
      <c r="I128" s="54">
        <v>1</v>
      </c>
      <c r="J128" s="54">
        <v>1</v>
      </c>
      <c r="K128" s="54">
        <v>3</v>
      </c>
      <c r="L128" s="54">
        <v>3</v>
      </c>
      <c r="M128" s="54">
        <v>3</v>
      </c>
      <c r="N128" s="54">
        <v>3</v>
      </c>
      <c r="O128" s="54">
        <v>1</v>
      </c>
      <c r="P128" s="54">
        <v>3</v>
      </c>
      <c r="Q128" s="54">
        <v>1</v>
      </c>
      <c r="R128" s="54">
        <v>1</v>
      </c>
      <c r="S128" s="54">
        <v>1</v>
      </c>
      <c r="T128" s="54">
        <v>1</v>
      </c>
      <c r="U128" s="54">
        <v>2</v>
      </c>
      <c r="V128" s="54">
        <v>1</v>
      </c>
      <c r="W128" s="54">
        <v>3</v>
      </c>
      <c r="X128" s="54">
        <v>2</v>
      </c>
      <c r="Y128" s="54">
        <v>0</v>
      </c>
      <c r="Z128" s="54">
        <v>2</v>
      </c>
      <c r="AA128" s="54">
        <v>0</v>
      </c>
      <c r="AB128" s="54">
        <v>2</v>
      </c>
      <c r="AC128" s="54">
        <v>2</v>
      </c>
      <c r="AD128" s="54">
        <v>1</v>
      </c>
      <c r="AE128" s="54">
        <v>2</v>
      </c>
      <c r="AF128" s="54"/>
      <c r="AG128" s="5">
        <f t="shared" si="17"/>
        <v>50</v>
      </c>
      <c r="AK128" s="88" t="s">
        <v>139</v>
      </c>
    </row>
    <row r="129" spans="1:37" ht="15.75" customHeight="1" x14ac:dyDescent="0.25">
      <c r="A129" s="56" t="s">
        <v>74</v>
      </c>
      <c r="B129" s="54">
        <v>3</v>
      </c>
      <c r="C129" s="54">
        <v>1</v>
      </c>
      <c r="D129" s="54">
        <v>1</v>
      </c>
      <c r="E129" s="54">
        <v>0</v>
      </c>
      <c r="F129" s="54">
        <v>2</v>
      </c>
      <c r="G129" s="54">
        <v>1</v>
      </c>
      <c r="H129" s="54">
        <v>0</v>
      </c>
      <c r="I129" s="54">
        <v>3</v>
      </c>
      <c r="J129" s="54">
        <v>2</v>
      </c>
      <c r="K129" s="54">
        <v>2</v>
      </c>
      <c r="L129" s="54">
        <v>2</v>
      </c>
      <c r="M129" s="54">
        <v>4</v>
      </c>
      <c r="N129" s="54">
        <v>2</v>
      </c>
      <c r="O129" s="54">
        <v>1</v>
      </c>
      <c r="P129" s="54">
        <v>0</v>
      </c>
      <c r="Q129" s="54">
        <v>2</v>
      </c>
      <c r="R129" s="54">
        <v>0</v>
      </c>
      <c r="S129" s="54">
        <v>0</v>
      </c>
      <c r="T129" s="54">
        <v>0</v>
      </c>
      <c r="U129" s="54">
        <v>3</v>
      </c>
      <c r="V129" s="54">
        <v>3</v>
      </c>
      <c r="W129" s="54">
        <v>1</v>
      </c>
      <c r="X129" s="54">
        <v>1</v>
      </c>
      <c r="Y129" s="54">
        <v>0</v>
      </c>
      <c r="Z129" s="54">
        <v>0</v>
      </c>
      <c r="AA129" s="54">
        <v>0</v>
      </c>
      <c r="AB129" s="54">
        <v>1</v>
      </c>
      <c r="AC129" s="54">
        <v>2</v>
      </c>
      <c r="AD129" s="54">
        <v>3</v>
      </c>
      <c r="AE129" s="54">
        <v>0</v>
      </c>
      <c r="AF129" s="54"/>
      <c r="AG129" s="5">
        <f t="shared" si="17"/>
        <v>40</v>
      </c>
      <c r="AK129" s="84" t="s">
        <v>140</v>
      </c>
    </row>
    <row r="130" spans="1:37" ht="15.75" customHeight="1" x14ac:dyDescent="0.25">
      <c r="A130" s="56" t="s">
        <v>75</v>
      </c>
      <c r="B130" s="54">
        <v>1</v>
      </c>
      <c r="C130" s="54">
        <v>1</v>
      </c>
      <c r="D130" s="54">
        <v>2</v>
      </c>
      <c r="E130" s="54">
        <v>1</v>
      </c>
      <c r="F130" s="54">
        <v>1</v>
      </c>
      <c r="G130" s="54">
        <v>1</v>
      </c>
      <c r="H130" s="54">
        <v>3</v>
      </c>
      <c r="I130" s="54">
        <v>2</v>
      </c>
      <c r="J130" s="54">
        <v>1</v>
      </c>
      <c r="K130" s="54">
        <v>1</v>
      </c>
      <c r="L130" s="54">
        <v>0</v>
      </c>
      <c r="M130" s="54">
        <v>1</v>
      </c>
      <c r="N130" s="54">
        <v>0</v>
      </c>
      <c r="O130" s="54">
        <v>0</v>
      </c>
      <c r="P130" s="54">
        <v>1</v>
      </c>
      <c r="Q130" s="54">
        <v>0</v>
      </c>
      <c r="R130" s="54">
        <v>0</v>
      </c>
      <c r="S130" s="54">
        <v>1</v>
      </c>
      <c r="T130" s="54">
        <v>3</v>
      </c>
      <c r="U130" s="54">
        <v>0</v>
      </c>
      <c r="V130" s="54">
        <v>0</v>
      </c>
      <c r="W130" s="54">
        <v>0</v>
      </c>
      <c r="X130" s="54">
        <v>0</v>
      </c>
      <c r="Y130" s="54">
        <v>0</v>
      </c>
      <c r="Z130" s="54">
        <v>0</v>
      </c>
      <c r="AA130" s="54">
        <v>0</v>
      </c>
      <c r="AB130" s="54">
        <v>0</v>
      </c>
      <c r="AC130" s="54">
        <v>0</v>
      </c>
      <c r="AD130" s="54">
        <v>1</v>
      </c>
      <c r="AE130" s="54">
        <v>0</v>
      </c>
      <c r="AF130" s="54"/>
      <c r="AG130" s="5">
        <f t="shared" si="17"/>
        <v>21</v>
      </c>
      <c r="AK130" s="84" t="s">
        <v>141</v>
      </c>
    </row>
    <row r="131" spans="1:37" ht="15.75" customHeight="1" x14ac:dyDescent="0.25">
      <c r="A131" s="85" t="s">
        <v>76</v>
      </c>
      <c r="B131" s="54">
        <v>22</v>
      </c>
      <c r="C131" s="54">
        <v>5</v>
      </c>
      <c r="D131" s="54">
        <v>10</v>
      </c>
      <c r="E131" s="54">
        <v>3</v>
      </c>
      <c r="F131" s="54">
        <v>8</v>
      </c>
      <c r="G131" s="54">
        <v>9</v>
      </c>
      <c r="H131" s="54">
        <v>14</v>
      </c>
      <c r="I131" s="54">
        <v>9</v>
      </c>
      <c r="J131" s="54">
        <v>7</v>
      </c>
      <c r="K131" s="54">
        <v>3</v>
      </c>
      <c r="L131" s="54">
        <v>6</v>
      </c>
      <c r="M131" s="54">
        <v>2</v>
      </c>
      <c r="N131" s="54">
        <v>9</v>
      </c>
      <c r="O131" s="54">
        <v>7</v>
      </c>
      <c r="P131" s="54">
        <v>11</v>
      </c>
      <c r="Q131" s="54">
        <v>8</v>
      </c>
      <c r="R131" s="54">
        <v>8</v>
      </c>
      <c r="S131" s="54">
        <v>7</v>
      </c>
      <c r="T131" s="54">
        <v>5</v>
      </c>
      <c r="U131" s="54">
        <v>11</v>
      </c>
      <c r="V131" s="54">
        <v>12</v>
      </c>
      <c r="W131" s="54">
        <v>8</v>
      </c>
      <c r="X131" s="54">
        <v>8</v>
      </c>
      <c r="Y131" s="54">
        <v>9</v>
      </c>
      <c r="Z131" s="54">
        <v>6</v>
      </c>
      <c r="AA131" s="54">
        <v>4</v>
      </c>
      <c r="AB131" s="54">
        <v>3</v>
      </c>
      <c r="AC131" s="54">
        <v>9</v>
      </c>
      <c r="AD131" s="54">
        <v>8</v>
      </c>
      <c r="AE131" s="54">
        <v>4</v>
      </c>
      <c r="AF131" s="54"/>
      <c r="AG131" s="5">
        <f t="shared" si="17"/>
        <v>235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15</v>
      </c>
      <c r="C132" s="87">
        <v>4</v>
      </c>
      <c r="D132" s="87">
        <v>3</v>
      </c>
      <c r="E132" s="87">
        <v>1</v>
      </c>
      <c r="F132" s="87">
        <v>8</v>
      </c>
      <c r="G132" s="87">
        <v>5</v>
      </c>
      <c r="H132" s="87">
        <v>9</v>
      </c>
      <c r="I132" s="87">
        <v>11</v>
      </c>
      <c r="J132" s="87">
        <v>4</v>
      </c>
      <c r="K132" s="87">
        <v>5</v>
      </c>
      <c r="L132" s="87">
        <v>10</v>
      </c>
      <c r="M132" s="87">
        <v>4</v>
      </c>
      <c r="N132" s="87">
        <v>7</v>
      </c>
      <c r="O132" s="87">
        <v>9</v>
      </c>
      <c r="P132" s="87">
        <v>6</v>
      </c>
      <c r="Q132" s="87">
        <v>10</v>
      </c>
      <c r="R132" s="87">
        <v>8</v>
      </c>
      <c r="S132" s="87">
        <v>11</v>
      </c>
      <c r="T132" s="87">
        <v>14</v>
      </c>
      <c r="U132" s="87">
        <v>11</v>
      </c>
      <c r="V132" s="87">
        <v>16</v>
      </c>
      <c r="W132" s="87">
        <v>10</v>
      </c>
      <c r="X132" s="87">
        <v>7</v>
      </c>
      <c r="Y132" s="87">
        <v>7</v>
      </c>
      <c r="Z132" s="87">
        <v>12</v>
      </c>
      <c r="AA132" s="87">
        <v>4</v>
      </c>
      <c r="AB132" s="87">
        <v>3</v>
      </c>
      <c r="AC132" s="87">
        <v>14</v>
      </c>
      <c r="AD132" s="87">
        <v>14</v>
      </c>
      <c r="AE132" s="87">
        <v>2</v>
      </c>
      <c r="AF132" s="87"/>
      <c r="AG132" s="9">
        <f t="shared" si="17"/>
        <v>244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195</v>
      </c>
      <c r="C133" s="14">
        <f t="shared" si="21"/>
        <v>141</v>
      </c>
      <c r="D133" s="14">
        <f t="shared" si="21"/>
        <v>147</v>
      </c>
      <c r="E133" s="14">
        <f t="shared" si="21"/>
        <v>126</v>
      </c>
      <c r="F133" s="14">
        <f t="shared" si="21"/>
        <v>102</v>
      </c>
      <c r="G133" s="14">
        <f t="shared" si="21"/>
        <v>125</v>
      </c>
      <c r="H133" s="14">
        <f t="shared" si="21"/>
        <v>194</v>
      </c>
      <c r="I133" s="14">
        <f t="shared" si="21"/>
        <v>165</v>
      </c>
      <c r="J133" s="14">
        <f t="shared" si="21"/>
        <v>133</v>
      </c>
      <c r="K133" s="14">
        <f t="shared" si="21"/>
        <v>152</v>
      </c>
      <c r="L133" s="14">
        <f t="shared" si="21"/>
        <v>112</v>
      </c>
      <c r="M133" s="14">
        <f t="shared" si="21"/>
        <v>120</v>
      </c>
      <c r="N133" s="14">
        <f t="shared" si="21"/>
        <v>125</v>
      </c>
      <c r="O133" s="14">
        <f t="shared" si="21"/>
        <v>210</v>
      </c>
      <c r="P133" s="14">
        <f t="shared" si="21"/>
        <v>200</v>
      </c>
      <c r="Q133" s="14">
        <f t="shared" si="21"/>
        <v>152</v>
      </c>
      <c r="R133" s="14">
        <f t="shared" si="21"/>
        <v>123</v>
      </c>
      <c r="S133" s="14">
        <f t="shared" si="21"/>
        <v>161</v>
      </c>
      <c r="T133" s="14">
        <f t="shared" si="21"/>
        <v>190</v>
      </c>
      <c r="U133" s="14">
        <f t="shared" si="21"/>
        <v>243</v>
      </c>
      <c r="V133" s="14">
        <f t="shared" si="21"/>
        <v>199</v>
      </c>
      <c r="W133" s="14">
        <f t="shared" si="21"/>
        <v>203</v>
      </c>
      <c r="X133" s="14">
        <f t="shared" si="21"/>
        <v>158</v>
      </c>
      <c r="Y133" s="14">
        <f t="shared" si="21"/>
        <v>140</v>
      </c>
      <c r="Z133" s="14">
        <f t="shared" si="21"/>
        <v>140</v>
      </c>
      <c r="AA133" s="14">
        <f t="shared" si="21"/>
        <v>125</v>
      </c>
      <c r="AB133" s="14">
        <f t="shared" si="21"/>
        <v>124</v>
      </c>
      <c r="AC133" s="14">
        <f t="shared" si="21"/>
        <v>196</v>
      </c>
      <c r="AD133" s="14">
        <f t="shared" si="21"/>
        <v>210</v>
      </c>
      <c r="AE133" s="14">
        <f t="shared" si="21"/>
        <v>114</v>
      </c>
      <c r="AF133" s="14">
        <f t="shared" si="21"/>
        <v>0</v>
      </c>
      <c r="AG133" s="10">
        <f t="shared" si="17"/>
        <v>4725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4</v>
      </c>
      <c r="C134" s="22">
        <f t="shared" si="22"/>
        <v>18</v>
      </c>
      <c r="D134" s="22">
        <f t="shared" si="22"/>
        <v>8</v>
      </c>
      <c r="E134" s="22">
        <f t="shared" si="22"/>
        <v>12</v>
      </c>
      <c r="F134" s="22">
        <f t="shared" si="22"/>
        <v>22</v>
      </c>
      <c r="G134" s="22">
        <f t="shared" si="22"/>
        <v>8</v>
      </c>
      <c r="H134" s="22">
        <f t="shared" si="22"/>
        <v>4</v>
      </c>
      <c r="I134" s="22">
        <f t="shared" si="22"/>
        <v>35</v>
      </c>
      <c r="J134" s="22">
        <f t="shared" si="22"/>
        <v>15</v>
      </c>
      <c r="K134" s="22">
        <f t="shared" si="22"/>
        <v>26</v>
      </c>
      <c r="L134" s="22">
        <f t="shared" si="22"/>
        <v>14</v>
      </c>
      <c r="M134" s="22">
        <f t="shared" si="22"/>
        <v>9</v>
      </c>
      <c r="N134" s="22">
        <f t="shared" si="22"/>
        <v>4</v>
      </c>
      <c r="O134" s="22">
        <f t="shared" si="22"/>
        <v>11</v>
      </c>
      <c r="P134" s="22">
        <f t="shared" si="22"/>
        <v>9</v>
      </c>
      <c r="Q134" s="22">
        <f t="shared" si="22"/>
        <v>11</v>
      </c>
      <c r="R134" s="22">
        <f t="shared" si="22"/>
        <v>17</v>
      </c>
      <c r="S134" s="22">
        <f t="shared" si="22"/>
        <v>0</v>
      </c>
      <c r="T134" s="22">
        <f t="shared" si="22"/>
        <v>10</v>
      </c>
      <c r="U134" s="22">
        <f t="shared" si="22"/>
        <v>19</v>
      </c>
      <c r="V134" s="22">
        <f t="shared" si="22"/>
        <v>16</v>
      </c>
      <c r="W134" s="22">
        <f t="shared" si="22"/>
        <v>23</v>
      </c>
      <c r="X134" s="22">
        <f t="shared" si="22"/>
        <v>42</v>
      </c>
      <c r="Y134" s="22">
        <f t="shared" si="22"/>
        <v>24</v>
      </c>
      <c r="Z134" s="22">
        <f t="shared" si="22"/>
        <v>11</v>
      </c>
      <c r="AA134" s="22">
        <f t="shared" si="22"/>
        <v>27</v>
      </c>
      <c r="AB134" s="22">
        <f t="shared" si="22"/>
        <v>22</v>
      </c>
      <c r="AC134" s="22">
        <f t="shared" si="22"/>
        <v>28</v>
      </c>
      <c r="AD134" s="22">
        <f t="shared" si="22"/>
        <v>15</v>
      </c>
      <c r="AE134" s="22">
        <f t="shared" si="22"/>
        <v>18</v>
      </c>
      <c r="AF134" s="22">
        <f t="shared" si="22"/>
        <v>0</v>
      </c>
      <c r="AG134" s="23">
        <f t="shared" si="17"/>
        <v>482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0</v>
      </c>
      <c r="C135" s="1">
        <f t="shared" si="23"/>
        <v>0</v>
      </c>
      <c r="D135" s="1">
        <f t="shared" si="23"/>
        <v>0</v>
      </c>
      <c r="E135" s="1">
        <f t="shared" si="23"/>
        <v>1</v>
      </c>
      <c r="F135" s="1">
        <f t="shared" si="23"/>
        <v>0</v>
      </c>
      <c r="G135" s="1">
        <f t="shared" si="23"/>
        <v>1</v>
      </c>
      <c r="H135" s="1">
        <f t="shared" si="23"/>
        <v>2</v>
      </c>
      <c r="I135" s="1">
        <f t="shared" si="23"/>
        <v>1</v>
      </c>
      <c r="J135" s="1">
        <f t="shared" si="23"/>
        <v>0</v>
      </c>
      <c r="K135" s="1">
        <f t="shared" si="23"/>
        <v>1</v>
      </c>
      <c r="L135" s="1">
        <f t="shared" si="23"/>
        <v>1</v>
      </c>
      <c r="M135" s="1">
        <f t="shared" si="23"/>
        <v>0</v>
      </c>
      <c r="N135" s="1">
        <f t="shared" si="23"/>
        <v>1</v>
      </c>
      <c r="O135" s="1">
        <f t="shared" si="23"/>
        <v>3</v>
      </c>
      <c r="P135" s="1">
        <f t="shared" si="23"/>
        <v>1</v>
      </c>
      <c r="Q135" s="1">
        <f t="shared" si="23"/>
        <v>2</v>
      </c>
      <c r="R135" s="1">
        <f t="shared" si="23"/>
        <v>0</v>
      </c>
      <c r="S135" s="1">
        <f t="shared" si="23"/>
        <v>1</v>
      </c>
      <c r="T135" s="1">
        <f t="shared" si="23"/>
        <v>0</v>
      </c>
      <c r="U135" s="1">
        <f t="shared" si="23"/>
        <v>1</v>
      </c>
      <c r="V135" s="1">
        <f t="shared" si="23"/>
        <v>0</v>
      </c>
      <c r="W135" s="1">
        <f t="shared" si="23"/>
        <v>2</v>
      </c>
      <c r="X135" s="1">
        <f t="shared" si="23"/>
        <v>1</v>
      </c>
      <c r="Y135" s="1">
        <f t="shared" si="23"/>
        <v>0</v>
      </c>
      <c r="Z135" s="1">
        <f t="shared" si="23"/>
        <v>0</v>
      </c>
      <c r="AA135" s="1">
        <f t="shared" si="23"/>
        <v>0</v>
      </c>
      <c r="AB135" s="1">
        <f t="shared" si="23"/>
        <v>0</v>
      </c>
      <c r="AC135" s="1">
        <f t="shared" si="23"/>
        <v>1</v>
      </c>
      <c r="AD135" s="1">
        <f t="shared" si="23"/>
        <v>1</v>
      </c>
      <c r="AE135" s="1">
        <f t="shared" si="23"/>
        <v>0</v>
      </c>
      <c r="AF135" s="1">
        <f t="shared" si="23"/>
        <v>0</v>
      </c>
      <c r="AG135" s="2">
        <f t="shared" si="17"/>
        <v>21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0</v>
      </c>
      <c r="C136" s="91">
        <v>0</v>
      </c>
      <c r="D136" s="91">
        <v>0</v>
      </c>
      <c r="E136" s="91">
        <v>1</v>
      </c>
      <c r="F136" s="91">
        <v>0</v>
      </c>
      <c r="G136" s="91">
        <v>1</v>
      </c>
      <c r="H136" s="91">
        <v>2</v>
      </c>
      <c r="I136" s="91">
        <v>1</v>
      </c>
      <c r="J136" s="91">
        <v>0</v>
      </c>
      <c r="K136" s="91">
        <v>1</v>
      </c>
      <c r="L136" s="91">
        <v>1</v>
      </c>
      <c r="M136" s="91">
        <v>0</v>
      </c>
      <c r="N136" s="91">
        <v>1</v>
      </c>
      <c r="O136" s="91">
        <v>3</v>
      </c>
      <c r="P136" s="91">
        <v>1</v>
      </c>
      <c r="Q136" s="91">
        <v>2</v>
      </c>
      <c r="R136" s="91">
        <v>0</v>
      </c>
      <c r="S136" s="91">
        <v>1</v>
      </c>
      <c r="T136" s="91">
        <v>0</v>
      </c>
      <c r="U136" s="91">
        <v>1</v>
      </c>
      <c r="V136" s="91">
        <v>0</v>
      </c>
      <c r="W136" s="91">
        <v>0</v>
      </c>
      <c r="X136" s="91">
        <v>1</v>
      </c>
      <c r="Y136" s="91">
        <v>0</v>
      </c>
      <c r="Z136" s="91">
        <v>0</v>
      </c>
      <c r="AA136" s="91">
        <v>0</v>
      </c>
      <c r="AB136" s="91">
        <v>0</v>
      </c>
      <c r="AC136" s="91">
        <v>1</v>
      </c>
      <c r="AD136" s="91">
        <v>1</v>
      </c>
      <c r="AE136" s="91">
        <v>0</v>
      </c>
      <c r="AF136" s="91"/>
      <c r="AG136" s="28">
        <f t="shared" si="17"/>
        <v>19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2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/>
      <c r="AG137" s="29">
        <f t="shared" si="17"/>
        <v>2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/>
      <c r="AG138" s="30">
        <f t="shared" si="17"/>
        <v>0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12</v>
      </c>
      <c r="C139" s="31">
        <f t="shared" si="24"/>
        <v>2</v>
      </c>
      <c r="D139" s="31">
        <f t="shared" si="24"/>
        <v>0</v>
      </c>
      <c r="E139" s="31">
        <f t="shared" si="24"/>
        <v>3</v>
      </c>
      <c r="F139" s="31">
        <f t="shared" si="24"/>
        <v>1</v>
      </c>
      <c r="G139" s="31">
        <f t="shared" si="24"/>
        <v>1</v>
      </c>
      <c r="H139" s="31">
        <f t="shared" si="24"/>
        <v>1</v>
      </c>
      <c r="I139" s="31">
        <f t="shared" si="24"/>
        <v>4</v>
      </c>
      <c r="J139" s="31">
        <f t="shared" si="24"/>
        <v>2</v>
      </c>
      <c r="K139" s="31">
        <f t="shared" si="24"/>
        <v>0</v>
      </c>
      <c r="L139" s="31">
        <f t="shared" si="24"/>
        <v>1</v>
      </c>
      <c r="M139" s="31">
        <f t="shared" si="24"/>
        <v>2</v>
      </c>
      <c r="N139" s="31">
        <f t="shared" si="24"/>
        <v>1</v>
      </c>
      <c r="O139" s="31">
        <f t="shared" si="24"/>
        <v>6</v>
      </c>
      <c r="P139" s="31">
        <f t="shared" si="24"/>
        <v>0</v>
      </c>
      <c r="Q139" s="31">
        <f t="shared" si="24"/>
        <v>1</v>
      </c>
      <c r="R139" s="31">
        <f t="shared" si="24"/>
        <v>3</v>
      </c>
      <c r="S139" s="31">
        <f t="shared" si="24"/>
        <v>2</v>
      </c>
      <c r="T139" s="31">
        <f t="shared" si="24"/>
        <v>3</v>
      </c>
      <c r="U139" s="31">
        <f t="shared" si="24"/>
        <v>0</v>
      </c>
      <c r="V139" s="31">
        <f t="shared" si="24"/>
        <v>5</v>
      </c>
      <c r="W139" s="31">
        <f t="shared" si="24"/>
        <v>3</v>
      </c>
      <c r="X139" s="31">
        <f t="shared" si="24"/>
        <v>4</v>
      </c>
      <c r="Y139" s="31">
        <f t="shared" si="24"/>
        <v>1</v>
      </c>
      <c r="Z139" s="31">
        <f t="shared" si="24"/>
        <v>2</v>
      </c>
      <c r="AA139" s="31">
        <f t="shared" si="24"/>
        <v>6</v>
      </c>
      <c r="AB139" s="31">
        <f t="shared" si="24"/>
        <v>4</v>
      </c>
      <c r="AC139" s="31">
        <f t="shared" si="24"/>
        <v>3</v>
      </c>
      <c r="AD139" s="31">
        <f t="shared" si="24"/>
        <v>8</v>
      </c>
      <c r="AE139" s="31">
        <f t="shared" si="24"/>
        <v>3</v>
      </c>
      <c r="AF139" s="31">
        <f t="shared" si="24"/>
        <v>0</v>
      </c>
      <c r="AG139" s="32">
        <f t="shared" si="17"/>
        <v>84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2</v>
      </c>
      <c r="C140" s="97">
        <v>1</v>
      </c>
      <c r="D140" s="97">
        <v>0</v>
      </c>
      <c r="E140" s="97">
        <v>0</v>
      </c>
      <c r="F140" s="97">
        <v>0</v>
      </c>
      <c r="G140" s="97">
        <v>0</v>
      </c>
      <c r="H140" s="97">
        <v>0</v>
      </c>
      <c r="I140" s="97">
        <v>0</v>
      </c>
      <c r="J140" s="97">
        <v>0</v>
      </c>
      <c r="K140" s="97">
        <v>0</v>
      </c>
      <c r="L140" s="97">
        <v>0</v>
      </c>
      <c r="M140" s="97">
        <v>1</v>
      </c>
      <c r="N140" s="97">
        <v>1</v>
      </c>
      <c r="O140" s="97">
        <v>0</v>
      </c>
      <c r="P140" s="97">
        <v>0</v>
      </c>
      <c r="Q140" s="97">
        <v>0</v>
      </c>
      <c r="R140" s="97">
        <v>0</v>
      </c>
      <c r="S140" s="97">
        <v>0</v>
      </c>
      <c r="T140" s="97">
        <v>0</v>
      </c>
      <c r="U140" s="97">
        <v>0</v>
      </c>
      <c r="V140" s="97">
        <v>2</v>
      </c>
      <c r="W140" s="97">
        <v>1</v>
      </c>
      <c r="X140" s="97">
        <v>0</v>
      </c>
      <c r="Y140" s="97">
        <v>0</v>
      </c>
      <c r="Z140" s="97">
        <v>0</v>
      </c>
      <c r="AA140" s="97">
        <v>1</v>
      </c>
      <c r="AB140" s="97">
        <v>0</v>
      </c>
      <c r="AC140" s="97">
        <v>1</v>
      </c>
      <c r="AD140" s="97">
        <v>0</v>
      </c>
      <c r="AE140" s="97">
        <v>0</v>
      </c>
      <c r="AF140" s="97"/>
      <c r="AG140" s="33">
        <f t="shared" si="17"/>
        <v>10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10</v>
      </c>
      <c r="C141" s="98">
        <v>1</v>
      </c>
      <c r="D141" s="98">
        <v>0</v>
      </c>
      <c r="E141" s="98">
        <v>3</v>
      </c>
      <c r="F141" s="98">
        <v>1</v>
      </c>
      <c r="G141" s="98">
        <v>1</v>
      </c>
      <c r="H141" s="98">
        <v>1</v>
      </c>
      <c r="I141" s="98">
        <v>4</v>
      </c>
      <c r="J141" s="98">
        <v>2</v>
      </c>
      <c r="K141" s="98">
        <v>0</v>
      </c>
      <c r="L141" s="98">
        <v>1</v>
      </c>
      <c r="M141" s="98">
        <v>1</v>
      </c>
      <c r="N141" s="98">
        <v>0</v>
      </c>
      <c r="O141" s="98">
        <v>6</v>
      </c>
      <c r="P141" s="98">
        <v>0</v>
      </c>
      <c r="Q141" s="98">
        <v>1</v>
      </c>
      <c r="R141" s="98">
        <v>3</v>
      </c>
      <c r="S141" s="98">
        <v>2</v>
      </c>
      <c r="T141" s="98">
        <v>3</v>
      </c>
      <c r="U141" s="98">
        <v>0</v>
      </c>
      <c r="V141" s="98">
        <v>3</v>
      </c>
      <c r="W141" s="98">
        <v>2</v>
      </c>
      <c r="X141" s="98">
        <v>4</v>
      </c>
      <c r="Y141" s="98">
        <v>1</v>
      </c>
      <c r="Z141" s="98">
        <v>2</v>
      </c>
      <c r="AA141" s="98">
        <v>5</v>
      </c>
      <c r="AB141" s="98">
        <v>4</v>
      </c>
      <c r="AC141" s="98">
        <v>2</v>
      </c>
      <c r="AD141" s="98">
        <v>8</v>
      </c>
      <c r="AE141" s="98">
        <v>3</v>
      </c>
      <c r="AF141" s="98"/>
      <c r="AG141" s="34">
        <f t="shared" si="17"/>
        <v>74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>
        <v>0</v>
      </c>
      <c r="C143" s="102">
        <v>0</v>
      </c>
      <c r="D143" s="102">
        <v>1</v>
      </c>
      <c r="E143" s="102">
        <v>0</v>
      </c>
      <c r="F143" s="102">
        <v>3</v>
      </c>
      <c r="G143" s="102">
        <v>0</v>
      </c>
      <c r="H143" s="102">
        <v>1</v>
      </c>
      <c r="I143" s="102">
        <v>0</v>
      </c>
      <c r="J143" s="102">
        <v>2</v>
      </c>
      <c r="K143" s="102">
        <v>0</v>
      </c>
      <c r="L143" s="102">
        <v>2</v>
      </c>
      <c r="M143" s="102">
        <v>2</v>
      </c>
      <c r="N143" s="102">
        <v>3</v>
      </c>
      <c r="O143" s="102">
        <v>0</v>
      </c>
      <c r="P143" s="102">
        <v>0</v>
      </c>
      <c r="Q143" s="102">
        <v>3</v>
      </c>
      <c r="R143" s="102">
        <v>2</v>
      </c>
      <c r="S143" s="102">
        <v>1</v>
      </c>
      <c r="T143" s="102">
        <v>2</v>
      </c>
      <c r="U143" s="102">
        <v>2</v>
      </c>
      <c r="V143" s="102">
        <v>0</v>
      </c>
      <c r="W143" s="102">
        <v>0</v>
      </c>
      <c r="X143" s="102">
        <v>2</v>
      </c>
      <c r="Y143" s="102">
        <v>1</v>
      </c>
      <c r="Z143" s="102">
        <v>0</v>
      </c>
      <c r="AA143" s="102">
        <v>0</v>
      </c>
      <c r="AB143" s="102">
        <v>0</v>
      </c>
      <c r="AC143" s="102">
        <v>0</v>
      </c>
      <c r="AD143" s="102">
        <v>0</v>
      </c>
      <c r="AE143" s="102">
        <v>0</v>
      </c>
      <c r="AF143" s="102">
        <v>0</v>
      </c>
      <c r="AG143" s="36">
        <f t="shared" si="17"/>
        <v>27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74</v>
      </c>
      <c r="C144" s="37">
        <f t="shared" si="25"/>
        <v>52</v>
      </c>
      <c r="D144" s="37">
        <f t="shared" si="25"/>
        <v>39</v>
      </c>
      <c r="E144" s="37">
        <f t="shared" si="25"/>
        <v>47</v>
      </c>
      <c r="F144" s="37">
        <f t="shared" si="25"/>
        <v>36</v>
      </c>
      <c r="G144" s="37">
        <f t="shared" si="25"/>
        <v>28</v>
      </c>
      <c r="H144" s="37">
        <f t="shared" si="25"/>
        <v>72</v>
      </c>
      <c r="I144" s="37">
        <f t="shared" si="25"/>
        <v>53</v>
      </c>
      <c r="J144" s="37">
        <f t="shared" si="25"/>
        <v>42</v>
      </c>
      <c r="K144" s="37">
        <f t="shared" si="25"/>
        <v>42</v>
      </c>
      <c r="L144" s="37">
        <f t="shared" si="25"/>
        <v>29</v>
      </c>
      <c r="M144" s="37">
        <f t="shared" si="25"/>
        <v>35</v>
      </c>
      <c r="N144" s="37">
        <f t="shared" si="25"/>
        <v>35</v>
      </c>
      <c r="O144" s="37">
        <f t="shared" si="25"/>
        <v>75</v>
      </c>
      <c r="P144" s="37">
        <f t="shared" si="25"/>
        <v>85</v>
      </c>
      <c r="Q144" s="37">
        <f t="shared" si="25"/>
        <v>48</v>
      </c>
      <c r="R144" s="37">
        <f t="shared" si="25"/>
        <v>47</v>
      </c>
      <c r="S144" s="37">
        <f t="shared" si="25"/>
        <v>56</v>
      </c>
      <c r="T144" s="37">
        <f t="shared" si="25"/>
        <v>63</v>
      </c>
      <c r="U144" s="37">
        <f t="shared" si="25"/>
        <v>71</v>
      </c>
      <c r="V144" s="37">
        <f t="shared" si="25"/>
        <v>68</v>
      </c>
      <c r="W144" s="37">
        <f t="shared" si="25"/>
        <v>69</v>
      </c>
      <c r="X144" s="37">
        <f t="shared" si="25"/>
        <v>58</v>
      </c>
      <c r="Y144" s="37">
        <f t="shared" si="25"/>
        <v>42</v>
      </c>
      <c r="Z144" s="37">
        <f t="shared" si="25"/>
        <v>42</v>
      </c>
      <c r="AA144" s="37">
        <f t="shared" si="25"/>
        <v>39</v>
      </c>
      <c r="AB144" s="37">
        <f t="shared" si="25"/>
        <v>38</v>
      </c>
      <c r="AC144" s="37">
        <f t="shared" si="25"/>
        <v>75</v>
      </c>
      <c r="AD144" s="37">
        <f t="shared" si="25"/>
        <v>50</v>
      </c>
      <c r="AE144" s="37">
        <f t="shared" si="25"/>
        <v>27</v>
      </c>
      <c r="AF144" s="37">
        <f t="shared" si="25"/>
        <v>0</v>
      </c>
      <c r="AG144" s="24">
        <f t="shared" si="17"/>
        <v>1537</v>
      </c>
      <c r="AK144" s="84" t="s">
        <v>155</v>
      </c>
    </row>
    <row r="145" spans="1:37" ht="15.75" customHeight="1" x14ac:dyDescent="0.25">
      <c r="A145" s="104" t="s">
        <v>92</v>
      </c>
      <c r="B145" s="105">
        <v>7</v>
      </c>
      <c r="C145" s="105">
        <v>1</v>
      </c>
      <c r="D145" s="105">
        <v>4</v>
      </c>
      <c r="E145" s="105">
        <v>3</v>
      </c>
      <c r="F145" s="105">
        <v>0</v>
      </c>
      <c r="G145" s="105">
        <v>3</v>
      </c>
      <c r="H145" s="105">
        <v>4</v>
      </c>
      <c r="I145" s="105">
        <v>8</v>
      </c>
      <c r="J145" s="105">
        <v>0</v>
      </c>
      <c r="K145" s="105">
        <v>4</v>
      </c>
      <c r="L145" s="105">
        <v>2</v>
      </c>
      <c r="M145" s="105">
        <v>1</v>
      </c>
      <c r="N145" s="105">
        <v>1</v>
      </c>
      <c r="O145" s="105">
        <v>4</v>
      </c>
      <c r="P145" s="105">
        <v>3</v>
      </c>
      <c r="Q145" s="105">
        <v>9</v>
      </c>
      <c r="R145" s="105">
        <v>2</v>
      </c>
      <c r="S145" s="105">
        <v>2</v>
      </c>
      <c r="T145" s="105">
        <v>9</v>
      </c>
      <c r="U145" s="105">
        <v>6</v>
      </c>
      <c r="V145" s="105">
        <v>6</v>
      </c>
      <c r="W145" s="105">
        <v>7</v>
      </c>
      <c r="X145" s="105">
        <v>5</v>
      </c>
      <c r="Y145" s="105">
        <v>0</v>
      </c>
      <c r="Z145" s="105">
        <v>7</v>
      </c>
      <c r="AA145" s="105">
        <v>2</v>
      </c>
      <c r="AB145" s="105">
        <v>3</v>
      </c>
      <c r="AC145" s="105">
        <v>6</v>
      </c>
      <c r="AD145" s="105">
        <v>9</v>
      </c>
      <c r="AE145" s="105">
        <v>2</v>
      </c>
      <c r="AF145" s="105"/>
      <c r="AG145" s="38">
        <f t="shared" si="17"/>
        <v>120</v>
      </c>
      <c r="AK145" s="84" t="s">
        <v>156</v>
      </c>
    </row>
    <row r="146" spans="1:37" ht="15.75" customHeight="1" x14ac:dyDescent="0.25">
      <c r="A146" s="106" t="s">
        <v>93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/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7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/>
      <c r="AG147" s="5">
        <f t="shared" si="17"/>
        <v>7</v>
      </c>
      <c r="AK147" s="84" t="s">
        <v>158</v>
      </c>
    </row>
    <row r="148" spans="1:37" ht="15.75" customHeight="1" x14ac:dyDescent="0.25">
      <c r="A148" s="106" t="s">
        <v>95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/>
      <c r="AG148" s="5">
        <f t="shared" si="17"/>
        <v>0</v>
      </c>
      <c r="AK148" s="84" t="s">
        <v>159</v>
      </c>
    </row>
    <row r="149" spans="1:37" ht="15.75" customHeight="1" x14ac:dyDescent="0.25">
      <c r="A149" s="107" t="s">
        <v>96</v>
      </c>
      <c r="B149" s="108">
        <v>64</v>
      </c>
      <c r="C149" s="108">
        <v>50</v>
      </c>
      <c r="D149" s="108">
        <v>27</v>
      </c>
      <c r="E149" s="108">
        <v>36</v>
      </c>
      <c r="F149" s="108">
        <v>33</v>
      </c>
      <c r="G149" s="108">
        <v>23</v>
      </c>
      <c r="H149" s="108">
        <v>59</v>
      </c>
      <c r="I149" s="108">
        <v>41</v>
      </c>
      <c r="J149" s="108">
        <v>41</v>
      </c>
      <c r="K149" s="108">
        <v>37</v>
      </c>
      <c r="L149" s="108">
        <v>26</v>
      </c>
      <c r="M149" s="108">
        <v>29</v>
      </c>
      <c r="N149" s="108">
        <v>33</v>
      </c>
      <c r="O149" s="108">
        <v>68</v>
      </c>
      <c r="P149" s="108">
        <v>71</v>
      </c>
      <c r="Q149" s="108">
        <v>39</v>
      </c>
      <c r="R149" s="108">
        <v>40</v>
      </c>
      <c r="S149" s="108">
        <v>52</v>
      </c>
      <c r="T149" s="108">
        <v>51</v>
      </c>
      <c r="U149" s="108">
        <v>60</v>
      </c>
      <c r="V149" s="108">
        <v>57</v>
      </c>
      <c r="W149" s="108">
        <v>58</v>
      </c>
      <c r="X149" s="108">
        <v>49</v>
      </c>
      <c r="Y149" s="108">
        <v>41</v>
      </c>
      <c r="Z149" s="108">
        <v>34</v>
      </c>
      <c r="AA149" s="108">
        <v>33</v>
      </c>
      <c r="AB149" s="108">
        <v>32</v>
      </c>
      <c r="AC149" s="108">
        <v>65</v>
      </c>
      <c r="AD149" s="108">
        <v>38</v>
      </c>
      <c r="AE149" s="108">
        <v>25</v>
      </c>
      <c r="AF149" s="108"/>
      <c r="AG149" s="39">
        <f t="shared" si="17"/>
        <v>1312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/>
      <c r="AG153" s="5">
        <f t="shared" si="17"/>
        <v>0</v>
      </c>
      <c r="AK153" s="109" t="s">
        <v>127</v>
      </c>
    </row>
    <row r="154" spans="1:37" ht="15.75" customHeight="1" x14ac:dyDescent="0.25">
      <c r="A154" s="76" t="s">
        <v>101</v>
      </c>
      <c r="B154" s="77">
        <v>0</v>
      </c>
      <c r="C154" s="77">
        <v>1</v>
      </c>
      <c r="D154" s="77">
        <v>2</v>
      </c>
      <c r="E154" s="77">
        <v>5</v>
      </c>
      <c r="F154" s="77">
        <v>1</v>
      </c>
      <c r="G154" s="77">
        <v>2</v>
      </c>
      <c r="H154" s="77">
        <v>0</v>
      </c>
      <c r="I154" s="77">
        <v>0</v>
      </c>
      <c r="J154" s="77">
        <v>0</v>
      </c>
      <c r="K154" s="77">
        <v>0</v>
      </c>
      <c r="L154" s="77">
        <v>0</v>
      </c>
      <c r="M154" s="77">
        <v>1</v>
      </c>
      <c r="N154" s="77">
        <v>1</v>
      </c>
      <c r="O154" s="77">
        <v>0</v>
      </c>
      <c r="P154" s="77">
        <v>0</v>
      </c>
      <c r="Q154" s="77">
        <v>0</v>
      </c>
      <c r="R154" s="77">
        <v>0</v>
      </c>
      <c r="S154" s="77">
        <v>0</v>
      </c>
      <c r="T154" s="77">
        <v>0</v>
      </c>
      <c r="U154" s="77">
        <v>0</v>
      </c>
      <c r="V154" s="77">
        <v>0</v>
      </c>
      <c r="W154" s="77">
        <v>0</v>
      </c>
      <c r="X154" s="77">
        <v>3</v>
      </c>
      <c r="Y154" s="77">
        <v>1</v>
      </c>
      <c r="Z154" s="77">
        <v>0</v>
      </c>
      <c r="AA154" s="77">
        <v>2</v>
      </c>
      <c r="AB154" s="77">
        <v>2</v>
      </c>
      <c r="AC154" s="77">
        <v>0</v>
      </c>
      <c r="AD154" s="77">
        <v>0</v>
      </c>
      <c r="AE154" s="77">
        <v>0</v>
      </c>
      <c r="AF154" s="77"/>
      <c r="AG154" s="5">
        <f t="shared" si="17"/>
        <v>21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>
        <v>2</v>
      </c>
      <c r="C158" s="111">
        <v>0</v>
      </c>
      <c r="D158" s="111">
        <v>3</v>
      </c>
      <c r="E158" s="111">
        <v>1</v>
      </c>
      <c r="F158" s="111">
        <v>0</v>
      </c>
      <c r="G158" s="111">
        <v>0</v>
      </c>
      <c r="H158" s="111">
        <v>3</v>
      </c>
      <c r="I158" s="111">
        <v>1</v>
      </c>
      <c r="J158" s="111">
        <v>1</v>
      </c>
      <c r="K158" s="111">
        <v>1</v>
      </c>
      <c r="L158" s="111">
        <v>0</v>
      </c>
      <c r="M158" s="111">
        <v>3</v>
      </c>
      <c r="N158" s="111">
        <v>0</v>
      </c>
      <c r="O158" s="111">
        <v>1</v>
      </c>
      <c r="P158" s="111">
        <v>0</v>
      </c>
      <c r="Q158" s="111">
        <v>0</v>
      </c>
      <c r="R158" s="111">
        <v>2</v>
      </c>
      <c r="S158" s="111">
        <v>1</v>
      </c>
      <c r="T158" s="111">
        <v>2</v>
      </c>
      <c r="U158" s="111">
        <v>4</v>
      </c>
      <c r="V158" s="111">
        <v>5</v>
      </c>
      <c r="W158" s="111">
        <v>1</v>
      </c>
      <c r="X158" s="111">
        <v>1</v>
      </c>
      <c r="Y158" s="111">
        <v>0</v>
      </c>
      <c r="Z158" s="111">
        <v>0</v>
      </c>
      <c r="AA158" s="111">
        <v>0</v>
      </c>
      <c r="AB158" s="111">
        <v>0</v>
      </c>
      <c r="AC158" s="111">
        <v>2</v>
      </c>
      <c r="AD158" s="111">
        <v>2</v>
      </c>
      <c r="AE158" s="111">
        <v>0</v>
      </c>
      <c r="AF158" s="111"/>
      <c r="AG158" s="40">
        <f t="shared" si="17"/>
        <v>36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/>
      <c r="AG162" s="5">
        <f t="shared" si="17"/>
        <v>0</v>
      </c>
    </row>
    <row r="163" spans="1:34" ht="15.75" customHeight="1" x14ac:dyDescent="0.25">
      <c r="A163" s="112" t="s">
        <v>110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/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1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1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/>
      <c r="AG165" s="5">
        <f t="shared" si="26"/>
        <v>2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>
        <v>0</v>
      </c>
      <c r="C167" s="77">
        <v>0</v>
      </c>
      <c r="D167" s="77">
        <v>1</v>
      </c>
      <c r="E167" s="77">
        <v>0</v>
      </c>
      <c r="F167" s="77">
        <v>0</v>
      </c>
      <c r="G167" s="77">
        <v>0</v>
      </c>
      <c r="H167" s="77">
        <v>1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1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1</v>
      </c>
      <c r="X167" s="77">
        <v>0</v>
      </c>
      <c r="Y167" s="77">
        <v>0</v>
      </c>
      <c r="Z167" s="77">
        <v>0</v>
      </c>
      <c r="AA167" s="77">
        <v>0</v>
      </c>
      <c r="AB167" s="77">
        <v>0</v>
      </c>
      <c r="AC167" s="77">
        <v>1</v>
      </c>
      <c r="AD167" s="77">
        <v>0</v>
      </c>
      <c r="AE167" s="77">
        <v>0</v>
      </c>
      <c r="AF167" s="77"/>
      <c r="AG167" s="5">
        <f t="shared" si="26"/>
        <v>5</v>
      </c>
    </row>
    <row r="168" spans="1:34" ht="15.75" customHeight="1" x14ac:dyDescent="0.25">
      <c r="A168" s="76" t="s">
        <v>115</v>
      </c>
      <c r="B168" s="113">
        <v>1</v>
      </c>
      <c r="C168" s="113">
        <v>0</v>
      </c>
      <c r="D168" s="113">
        <v>2</v>
      </c>
      <c r="E168" s="113">
        <v>2</v>
      </c>
      <c r="F168" s="113">
        <v>2</v>
      </c>
      <c r="G168" s="113">
        <v>0</v>
      </c>
      <c r="H168" s="113">
        <v>3</v>
      </c>
      <c r="I168" s="113">
        <v>3</v>
      </c>
      <c r="J168" s="113">
        <v>0</v>
      </c>
      <c r="K168" s="113">
        <v>0</v>
      </c>
      <c r="L168" s="113">
        <v>1</v>
      </c>
      <c r="M168" s="113">
        <v>1</v>
      </c>
      <c r="N168" s="113">
        <v>0</v>
      </c>
      <c r="O168" s="113">
        <v>1</v>
      </c>
      <c r="P168" s="113">
        <v>3</v>
      </c>
      <c r="Q168" s="113">
        <v>0</v>
      </c>
      <c r="R168" s="113">
        <v>1</v>
      </c>
      <c r="S168" s="113">
        <v>1</v>
      </c>
      <c r="T168" s="113">
        <v>1</v>
      </c>
      <c r="U168" s="113">
        <v>1</v>
      </c>
      <c r="V168" s="113">
        <v>0</v>
      </c>
      <c r="W168" s="113">
        <v>1</v>
      </c>
      <c r="X168" s="113">
        <v>0</v>
      </c>
      <c r="Y168" s="113">
        <v>0</v>
      </c>
      <c r="Z168" s="113">
        <v>0</v>
      </c>
      <c r="AA168" s="113">
        <v>2</v>
      </c>
      <c r="AB168" s="113">
        <v>1</v>
      </c>
      <c r="AC168" s="113">
        <v>1</v>
      </c>
      <c r="AD168" s="113">
        <v>1</v>
      </c>
      <c r="AE168" s="113">
        <v>0</v>
      </c>
      <c r="AF168" s="113"/>
      <c r="AG168" s="5">
        <f t="shared" si="26"/>
        <v>29</v>
      </c>
    </row>
    <row r="169" spans="1:34" ht="15.75" customHeight="1" x14ac:dyDescent="0.25">
      <c r="A169" s="114" t="s">
        <v>116</v>
      </c>
      <c r="B169" s="113">
        <v>0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2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2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1</v>
      </c>
      <c r="AA169" s="113">
        <v>0</v>
      </c>
      <c r="AB169" s="113">
        <v>0</v>
      </c>
      <c r="AC169" s="113">
        <v>0</v>
      </c>
      <c r="AD169" s="113">
        <v>0</v>
      </c>
      <c r="AE169" s="113">
        <v>0</v>
      </c>
      <c r="AF169" s="113"/>
      <c r="AG169" s="5">
        <f t="shared" si="26"/>
        <v>5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195</v>
      </c>
      <c r="C171" s="41">
        <f t="shared" si="27"/>
        <v>141</v>
      </c>
      <c r="D171" s="41">
        <f t="shared" si="27"/>
        <v>147</v>
      </c>
      <c r="E171" s="41">
        <f t="shared" si="27"/>
        <v>126</v>
      </c>
      <c r="F171" s="41">
        <f t="shared" si="27"/>
        <v>102</v>
      </c>
      <c r="G171" s="41">
        <f t="shared" si="27"/>
        <v>125</v>
      </c>
      <c r="H171" s="41">
        <f t="shared" si="27"/>
        <v>194</v>
      </c>
      <c r="I171" s="41">
        <f t="shared" si="27"/>
        <v>165</v>
      </c>
      <c r="J171" s="41">
        <f t="shared" si="27"/>
        <v>133</v>
      </c>
      <c r="K171" s="41">
        <f t="shared" si="27"/>
        <v>152</v>
      </c>
      <c r="L171" s="41">
        <f t="shared" si="27"/>
        <v>112</v>
      </c>
      <c r="M171" s="41">
        <f t="shared" si="27"/>
        <v>120</v>
      </c>
      <c r="N171" s="41">
        <f t="shared" si="27"/>
        <v>125</v>
      </c>
      <c r="O171" s="41">
        <f t="shared" si="27"/>
        <v>210</v>
      </c>
      <c r="P171" s="41">
        <f t="shared" si="27"/>
        <v>200</v>
      </c>
      <c r="Q171" s="41">
        <f t="shared" si="27"/>
        <v>152</v>
      </c>
      <c r="R171" s="41">
        <f t="shared" si="27"/>
        <v>123</v>
      </c>
      <c r="S171" s="41">
        <f t="shared" si="27"/>
        <v>161</v>
      </c>
      <c r="T171" s="41">
        <f t="shared" si="27"/>
        <v>190</v>
      </c>
      <c r="U171" s="41">
        <f t="shared" si="27"/>
        <v>243</v>
      </c>
      <c r="V171" s="41">
        <f t="shared" si="27"/>
        <v>199</v>
      </c>
      <c r="W171" s="41">
        <f t="shared" si="27"/>
        <v>203</v>
      </c>
      <c r="X171" s="41">
        <f t="shared" si="27"/>
        <v>158</v>
      </c>
      <c r="Y171" s="41">
        <f t="shared" si="27"/>
        <v>140</v>
      </c>
      <c r="Z171" s="41">
        <f t="shared" si="27"/>
        <v>140</v>
      </c>
      <c r="AA171" s="41">
        <f t="shared" si="27"/>
        <v>125</v>
      </c>
      <c r="AB171" s="41">
        <f t="shared" si="27"/>
        <v>124</v>
      </c>
      <c r="AC171" s="41">
        <f t="shared" si="27"/>
        <v>196</v>
      </c>
      <c r="AD171" s="41">
        <f t="shared" si="27"/>
        <v>210</v>
      </c>
      <c r="AE171" s="41">
        <f t="shared" si="27"/>
        <v>114</v>
      </c>
      <c r="AF171" s="41">
        <f t="shared" si="27"/>
        <v>0</v>
      </c>
      <c r="AG171" s="42">
        <f t="shared" si="26"/>
        <v>4725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1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1</v>
      </c>
      <c r="AE172" s="118">
        <v>0</v>
      </c>
      <c r="AF172" s="118"/>
      <c r="AG172" s="43">
        <f t="shared" si="26"/>
        <v>2</v>
      </c>
    </row>
    <row r="173" spans="1:34" ht="15.75" customHeight="1" x14ac:dyDescent="0.25">
      <c r="A173" s="119" t="s">
        <v>38</v>
      </c>
      <c r="B173" s="120">
        <v>2</v>
      </c>
      <c r="C173" s="120">
        <v>0</v>
      </c>
      <c r="D173" s="120">
        <v>0</v>
      </c>
      <c r="E173" s="120">
        <v>2</v>
      </c>
      <c r="F173" s="120">
        <v>0</v>
      </c>
      <c r="G173" s="120">
        <v>0</v>
      </c>
      <c r="H173" s="120">
        <v>2</v>
      </c>
      <c r="I173" s="120">
        <v>1</v>
      </c>
      <c r="J173" s="120">
        <v>1</v>
      </c>
      <c r="K173" s="120">
        <v>0</v>
      </c>
      <c r="L173" s="120">
        <v>0</v>
      </c>
      <c r="M173" s="120">
        <v>0</v>
      </c>
      <c r="N173" s="120">
        <v>0</v>
      </c>
      <c r="O173" s="120">
        <v>1</v>
      </c>
      <c r="P173" s="120">
        <v>0</v>
      </c>
      <c r="Q173" s="120">
        <v>1</v>
      </c>
      <c r="R173" s="120">
        <v>0</v>
      </c>
      <c r="S173" s="120">
        <v>0</v>
      </c>
      <c r="T173" s="120">
        <v>2</v>
      </c>
      <c r="U173" s="120">
        <v>0</v>
      </c>
      <c r="V173" s="120">
        <v>2</v>
      </c>
      <c r="W173" s="120">
        <v>2</v>
      </c>
      <c r="X173" s="120">
        <v>0</v>
      </c>
      <c r="Y173" s="120">
        <v>0</v>
      </c>
      <c r="Z173" s="120">
        <v>1</v>
      </c>
      <c r="AA173" s="120">
        <v>1</v>
      </c>
      <c r="AB173" s="120">
        <v>2</v>
      </c>
      <c r="AC173" s="120">
        <v>3</v>
      </c>
      <c r="AD173" s="120">
        <v>2</v>
      </c>
      <c r="AE173" s="120">
        <v>1</v>
      </c>
      <c r="AF173" s="120"/>
      <c r="AG173" s="44">
        <f t="shared" si="26"/>
        <v>26</v>
      </c>
    </row>
    <row r="174" spans="1:34" ht="15.75" customHeight="1" x14ac:dyDescent="0.25">
      <c r="A174" s="119" t="s">
        <v>39</v>
      </c>
      <c r="B174" s="120">
        <v>23</v>
      </c>
      <c r="C174" s="120">
        <v>16</v>
      </c>
      <c r="D174" s="120">
        <v>19</v>
      </c>
      <c r="E174" s="120">
        <v>11</v>
      </c>
      <c r="F174" s="120">
        <v>18</v>
      </c>
      <c r="G174" s="120">
        <v>12</v>
      </c>
      <c r="H174" s="120">
        <v>25</v>
      </c>
      <c r="I174" s="120">
        <v>27</v>
      </c>
      <c r="J174" s="120">
        <v>15</v>
      </c>
      <c r="K174" s="120">
        <v>22</v>
      </c>
      <c r="L174" s="120">
        <v>17</v>
      </c>
      <c r="M174" s="120">
        <v>17</v>
      </c>
      <c r="N174" s="120">
        <v>22</v>
      </c>
      <c r="O174" s="120">
        <v>18</v>
      </c>
      <c r="P174" s="120">
        <v>18</v>
      </c>
      <c r="Q174" s="120">
        <v>19</v>
      </c>
      <c r="R174" s="120">
        <v>22</v>
      </c>
      <c r="S174" s="120">
        <v>13</v>
      </c>
      <c r="T174" s="120">
        <v>25</v>
      </c>
      <c r="U174" s="120">
        <v>24</v>
      </c>
      <c r="V174" s="120">
        <v>25</v>
      </c>
      <c r="W174" s="120">
        <v>20</v>
      </c>
      <c r="X174" s="120">
        <v>27</v>
      </c>
      <c r="Y174" s="120">
        <v>20</v>
      </c>
      <c r="Z174" s="120">
        <v>27</v>
      </c>
      <c r="AA174" s="120">
        <v>15</v>
      </c>
      <c r="AB174" s="120">
        <v>20</v>
      </c>
      <c r="AC174" s="120">
        <v>37</v>
      </c>
      <c r="AD174" s="120">
        <v>37</v>
      </c>
      <c r="AE174" s="120">
        <v>18</v>
      </c>
      <c r="AF174" s="120"/>
      <c r="AG174" s="44">
        <f t="shared" si="26"/>
        <v>629</v>
      </c>
    </row>
    <row r="175" spans="1:34" ht="15.75" customHeight="1" x14ac:dyDescent="0.25">
      <c r="A175" s="119" t="s">
        <v>40</v>
      </c>
      <c r="B175" s="120">
        <v>137</v>
      </c>
      <c r="C175" s="120">
        <v>117</v>
      </c>
      <c r="D175" s="120">
        <v>123</v>
      </c>
      <c r="E175" s="120">
        <v>105</v>
      </c>
      <c r="F175" s="120">
        <v>67</v>
      </c>
      <c r="G175" s="120">
        <v>86</v>
      </c>
      <c r="H175" s="120">
        <v>143</v>
      </c>
      <c r="I175" s="120">
        <v>115</v>
      </c>
      <c r="J175" s="120">
        <v>107</v>
      </c>
      <c r="K175" s="120">
        <v>123</v>
      </c>
      <c r="L175" s="120">
        <v>84</v>
      </c>
      <c r="M175" s="120">
        <v>93</v>
      </c>
      <c r="N175" s="120">
        <v>89</v>
      </c>
      <c r="O175" s="120">
        <v>161</v>
      </c>
      <c r="P175" s="120">
        <v>129</v>
      </c>
      <c r="Q175" s="120">
        <v>110</v>
      </c>
      <c r="R175" s="120">
        <v>85</v>
      </c>
      <c r="S175" s="120">
        <v>96</v>
      </c>
      <c r="T175" s="120">
        <v>107</v>
      </c>
      <c r="U175" s="120">
        <v>159</v>
      </c>
      <c r="V175" s="120">
        <v>141</v>
      </c>
      <c r="W175" s="120">
        <v>142</v>
      </c>
      <c r="X175" s="120">
        <v>93</v>
      </c>
      <c r="Y175" s="120">
        <v>109</v>
      </c>
      <c r="Z175" s="120">
        <v>92</v>
      </c>
      <c r="AA175" s="120">
        <v>84</v>
      </c>
      <c r="AB175" s="120">
        <v>93</v>
      </c>
      <c r="AC175" s="120">
        <v>123</v>
      </c>
      <c r="AD175" s="120">
        <v>142</v>
      </c>
      <c r="AE175" s="120">
        <v>78</v>
      </c>
      <c r="AF175" s="120"/>
      <c r="AG175" s="44">
        <f t="shared" si="26"/>
        <v>3333</v>
      </c>
    </row>
    <row r="176" spans="1:34" ht="15.75" customHeight="1" thickBot="1" x14ac:dyDescent="0.3">
      <c r="A176" s="121" t="s">
        <v>41</v>
      </c>
      <c r="B176" s="122">
        <v>33</v>
      </c>
      <c r="C176" s="122">
        <v>8</v>
      </c>
      <c r="D176" s="122">
        <v>5</v>
      </c>
      <c r="E176" s="122">
        <v>7</v>
      </c>
      <c r="F176" s="122">
        <v>17</v>
      </c>
      <c r="G176" s="122">
        <v>27</v>
      </c>
      <c r="H176" s="122">
        <v>24</v>
      </c>
      <c r="I176" s="122">
        <v>22</v>
      </c>
      <c r="J176" s="122">
        <v>10</v>
      </c>
      <c r="K176" s="122">
        <v>7</v>
      </c>
      <c r="L176" s="122">
        <v>11</v>
      </c>
      <c r="M176" s="122">
        <v>10</v>
      </c>
      <c r="N176" s="122">
        <v>14</v>
      </c>
      <c r="O176" s="122">
        <v>30</v>
      </c>
      <c r="P176" s="122">
        <v>53</v>
      </c>
      <c r="Q176" s="122">
        <v>22</v>
      </c>
      <c r="R176" s="122">
        <v>16</v>
      </c>
      <c r="S176" s="122">
        <v>52</v>
      </c>
      <c r="T176" s="122">
        <v>56</v>
      </c>
      <c r="U176" s="122">
        <v>60</v>
      </c>
      <c r="V176" s="122">
        <v>31</v>
      </c>
      <c r="W176" s="122">
        <v>39</v>
      </c>
      <c r="X176" s="122">
        <v>38</v>
      </c>
      <c r="Y176" s="122">
        <v>11</v>
      </c>
      <c r="Z176" s="122">
        <v>20</v>
      </c>
      <c r="AA176" s="122">
        <v>25</v>
      </c>
      <c r="AB176" s="122">
        <v>9</v>
      </c>
      <c r="AC176" s="122">
        <v>33</v>
      </c>
      <c r="AD176" s="122">
        <v>28</v>
      </c>
      <c r="AE176" s="122">
        <v>17</v>
      </c>
      <c r="AF176" s="122"/>
      <c r="AG176" s="45">
        <f t="shared" si="26"/>
        <v>735</v>
      </c>
    </row>
    <row r="177" spans="1:34" ht="15.75" customHeight="1" x14ac:dyDescent="0.25">
      <c r="A177" s="123" t="s">
        <v>120</v>
      </c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26">
        <f t="shared" si="26"/>
        <v>0</v>
      </c>
      <c r="AH177" s="140" t="s">
        <v>177</v>
      </c>
    </row>
    <row r="178" spans="1:34" ht="15.75" customHeight="1" x14ac:dyDescent="0.25">
      <c r="A178" s="125" t="s">
        <v>122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123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QCyBodJss1b28uGPMmMUO3+xvNIQCdEFSKq3dp0fuydDZKKMbZR3sxhJs5hPCxbQuaJ1e30FXlDjvKuAsvex0Q==" saltValue="mEMEScLsvDjrXHT50z7VUQ==" spinCount="100000" sheet="1" objects="1" scenarios="1"/>
  <dataConsolidate/>
  <mergeCells count="2">
    <mergeCell ref="A1:AG1"/>
    <mergeCell ref="AH177:AH180"/>
  </mergeCells>
  <conditionalFormatting sqref="AD29:AF52">
    <cfRule type="cellIs" dxfId="11" priority="3" operator="lessThan">
      <formula>0</formula>
    </cfRule>
  </conditionalFormatting>
  <conditionalFormatting sqref="AH171">
    <cfRule type="cellIs" dxfId="10" priority="2" operator="equal">
      <formula>"X"</formula>
    </cfRule>
  </conditionalFormatting>
  <conditionalFormatting sqref="AH1:AH1048576">
    <cfRule type="cellIs" dxfId="9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13FC6FF8-6A25-4075-87CC-56884AC6A696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E0E4D-D113-4EEF-900A-BBC9E819B4AF}">
  <sheetPr codeName="Hoja26"/>
  <dimension ref="A1:AK954"/>
  <sheetViews>
    <sheetView zoomScale="80" zoomScaleNormal="80" workbookViewId="0">
      <pane xSplit="1" ySplit="3" topLeftCell="B121" activePane="bottomRight" state="frozen"/>
      <selection activeCell="Q5" sqref="Q5"/>
      <selection pane="topRight" activeCell="Q5" sqref="Q5"/>
      <selection pane="bottomLeft" activeCell="Q5" sqref="Q5"/>
      <selection pane="bottomRight" activeCell="AF4" sqref="AF4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173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150</v>
      </c>
      <c r="C3" s="1">
        <f t="shared" si="1"/>
        <v>142</v>
      </c>
      <c r="D3" s="1">
        <f t="shared" si="1"/>
        <v>144</v>
      </c>
      <c r="E3" s="1">
        <f t="shared" si="1"/>
        <v>129</v>
      </c>
      <c r="F3" s="1">
        <f t="shared" si="1"/>
        <v>197</v>
      </c>
      <c r="G3" s="1">
        <f t="shared" si="1"/>
        <v>223</v>
      </c>
      <c r="H3" s="1">
        <f t="shared" si="1"/>
        <v>162</v>
      </c>
      <c r="I3" s="1">
        <f t="shared" si="1"/>
        <v>152</v>
      </c>
      <c r="J3" s="1">
        <f t="shared" si="1"/>
        <v>155</v>
      </c>
      <c r="K3" s="1">
        <f t="shared" si="1"/>
        <v>145</v>
      </c>
      <c r="L3" s="1">
        <f t="shared" si="1"/>
        <v>158</v>
      </c>
      <c r="M3" s="1">
        <f t="shared" si="1"/>
        <v>224</v>
      </c>
      <c r="N3" s="1">
        <f t="shared" si="1"/>
        <v>222</v>
      </c>
      <c r="O3" s="1">
        <f t="shared" si="1"/>
        <v>161</v>
      </c>
      <c r="P3" s="1">
        <f t="shared" si="1"/>
        <v>148</v>
      </c>
      <c r="Q3" s="1">
        <f t="shared" si="1"/>
        <v>160</v>
      </c>
      <c r="R3" s="1">
        <f t="shared" si="1"/>
        <v>143</v>
      </c>
      <c r="S3" s="1">
        <f t="shared" si="1"/>
        <v>148</v>
      </c>
      <c r="T3" s="1">
        <f t="shared" si="1"/>
        <v>196</v>
      </c>
      <c r="U3" s="1">
        <f t="shared" si="1"/>
        <v>139</v>
      </c>
      <c r="V3" s="1">
        <f t="shared" si="1"/>
        <v>161</v>
      </c>
      <c r="W3" s="1">
        <f t="shared" si="1"/>
        <v>136</v>
      </c>
      <c r="X3" s="1">
        <f t="shared" si="1"/>
        <v>124</v>
      </c>
      <c r="Y3" s="1">
        <f t="shared" si="1"/>
        <v>131</v>
      </c>
      <c r="Z3" s="1">
        <f t="shared" si="1"/>
        <v>165</v>
      </c>
      <c r="AA3" s="1">
        <f t="shared" si="1"/>
        <v>215</v>
      </c>
      <c r="AB3" s="1">
        <f t="shared" si="1"/>
        <v>201</v>
      </c>
      <c r="AC3" s="1">
        <f t="shared" si="1"/>
        <v>160</v>
      </c>
      <c r="AD3" s="1">
        <f t="shared" si="1"/>
        <v>139</v>
      </c>
      <c r="AE3" s="1">
        <f t="shared" si="1"/>
        <v>143</v>
      </c>
      <c r="AF3" s="1">
        <f t="shared" si="1"/>
        <v>212</v>
      </c>
      <c r="AG3" s="2">
        <f t="shared" ref="AG3:AG66" si="2">SUM(B3:AF3)</f>
        <v>5085</v>
      </c>
    </row>
    <row r="4" spans="1:33" ht="18.75" x14ac:dyDescent="0.25">
      <c r="A4" s="53" t="s">
        <v>3</v>
      </c>
      <c r="B4" s="54">
        <v>0</v>
      </c>
      <c r="C4" s="55">
        <v>0</v>
      </c>
      <c r="D4" s="55">
        <v>0</v>
      </c>
      <c r="E4" s="55">
        <v>0</v>
      </c>
      <c r="F4" s="55">
        <v>8</v>
      </c>
      <c r="G4" s="55">
        <v>5</v>
      </c>
      <c r="H4" s="55">
        <v>1</v>
      </c>
      <c r="I4" s="55">
        <v>0</v>
      </c>
      <c r="J4" s="55">
        <v>0</v>
      </c>
      <c r="K4" s="55">
        <v>0</v>
      </c>
      <c r="L4" s="55">
        <v>0</v>
      </c>
      <c r="M4" s="55">
        <v>12</v>
      </c>
      <c r="N4" s="55">
        <v>11</v>
      </c>
      <c r="O4" s="55">
        <v>0</v>
      </c>
      <c r="P4" s="55">
        <v>0</v>
      </c>
      <c r="Q4" s="55">
        <v>0</v>
      </c>
      <c r="R4" s="55">
        <v>0</v>
      </c>
      <c r="S4" s="55">
        <v>0</v>
      </c>
      <c r="T4" s="55">
        <v>11</v>
      </c>
      <c r="U4" s="55">
        <v>3</v>
      </c>
      <c r="V4" s="55">
        <v>0</v>
      </c>
      <c r="W4" s="55">
        <v>0</v>
      </c>
      <c r="X4" s="55">
        <v>0</v>
      </c>
      <c r="Y4" s="55">
        <v>0</v>
      </c>
      <c r="Z4" s="55">
        <v>0</v>
      </c>
      <c r="AA4" s="55">
        <v>12</v>
      </c>
      <c r="AB4" s="55">
        <v>6</v>
      </c>
      <c r="AC4" s="55">
        <v>0</v>
      </c>
      <c r="AD4" s="55">
        <v>0</v>
      </c>
      <c r="AE4" s="55">
        <v>0</v>
      </c>
      <c r="AF4" s="55">
        <v>5</v>
      </c>
      <c r="AG4" s="4">
        <f t="shared" si="2"/>
        <v>74</v>
      </c>
    </row>
    <row r="5" spans="1:33" ht="18.75" x14ac:dyDescent="0.25">
      <c r="A5" s="56" t="s">
        <v>4</v>
      </c>
      <c r="B5" s="54">
        <v>0</v>
      </c>
      <c r="C5" s="54">
        <v>0</v>
      </c>
      <c r="D5" s="54">
        <v>0</v>
      </c>
      <c r="E5" s="54">
        <v>0</v>
      </c>
      <c r="F5" s="54">
        <v>13</v>
      </c>
      <c r="G5" s="54">
        <v>15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17</v>
      </c>
      <c r="N5" s="54">
        <v>15</v>
      </c>
      <c r="O5" s="54">
        <v>0</v>
      </c>
      <c r="P5" s="54">
        <v>0</v>
      </c>
      <c r="Q5" s="54">
        <v>0</v>
      </c>
      <c r="R5" s="54">
        <v>0</v>
      </c>
      <c r="S5" s="54">
        <v>0</v>
      </c>
      <c r="T5" s="54">
        <v>10</v>
      </c>
      <c r="U5" s="54">
        <v>7</v>
      </c>
      <c r="V5" s="54">
        <v>0</v>
      </c>
      <c r="W5" s="54">
        <v>0</v>
      </c>
      <c r="X5" s="54">
        <v>0</v>
      </c>
      <c r="Y5" s="54">
        <v>0</v>
      </c>
      <c r="Z5" s="54">
        <v>0</v>
      </c>
      <c r="AA5" s="54">
        <v>22</v>
      </c>
      <c r="AB5" s="54">
        <v>16</v>
      </c>
      <c r="AC5" s="54">
        <v>0</v>
      </c>
      <c r="AD5" s="54">
        <v>0</v>
      </c>
      <c r="AE5" s="54">
        <v>0</v>
      </c>
      <c r="AF5" s="54">
        <v>12</v>
      </c>
      <c r="AG5" s="5">
        <f t="shared" si="2"/>
        <v>127</v>
      </c>
    </row>
    <row r="6" spans="1:33" ht="18.75" x14ac:dyDescent="0.25">
      <c r="A6" s="56" t="s">
        <v>5</v>
      </c>
      <c r="B6" s="54">
        <v>0</v>
      </c>
      <c r="C6" s="54">
        <v>0</v>
      </c>
      <c r="D6" s="54">
        <v>0</v>
      </c>
      <c r="E6" s="54">
        <v>0</v>
      </c>
      <c r="F6" s="54">
        <v>16</v>
      </c>
      <c r="G6" s="54">
        <v>10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54">
        <v>19</v>
      </c>
      <c r="N6" s="54">
        <v>14</v>
      </c>
      <c r="O6" s="54">
        <v>0</v>
      </c>
      <c r="P6" s="54">
        <v>0</v>
      </c>
      <c r="Q6" s="54">
        <v>0</v>
      </c>
      <c r="R6" s="54">
        <v>0</v>
      </c>
      <c r="S6" s="54">
        <v>0</v>
      </c>
      <c r="T6" s="54">
        <v>14</v>
      </c>
      <c r="U6" s="54">
        <v>5</v>
      </c>
      <c r="V6" s="54">
        <v>0</v>
      </c>
      <c r="W6" s="54">
        <v>0</v>
      </c>
      <c r="X6" s="54">
        <v>0</v>
      </c>
      <c r="Y6" s="54">
        <v>0</v>
      </c>
      <c r="Z6" s="54">
        <v>0</v>
      </c>
      <c r="AA6" s="54">
        <v>10</v>
      </c>
      <c r="AB6" s="54">
        <v>12</v>
      </c>
      <c r="AC6" s="54">
        <v>0</v>
      </c>
      <c r="AD6" s="54">
        <v>0</v>
      </c>
      <c r="AE6" s="54">
        <v>0</v>
      </c>
      <c r="AF6" s="54">
        <v>14</v>
      </c>
      <c r="AG6" s="5">
        <f t="shared" si="2"/>
        <v>114</v>
      </c>
    </row>
    <row r="7" spans="1:33" ht="18.75" x14ac:dyDescent="0.25">
      <c r="A7" s="56" t="s">
        <v>6</v>
      </c>
      <c r="B7" s="54">
        <v>0</v>
      </c>
      <c r="C7" s="54">
        <v>0</v>
      </c>
      <c r="D7" s="54">
        <v>0</v>
      </c>
      <c r="E7" s="54">
        <v>0</v>
      </c>
      <c r="F7" s="54">
        <v>17</v>
      </c>
      <c r="G7" s="54">
        <v>21</v>
      </c>
      <c r="H7" s="54">
        <v>0</v>
      </c>
      <c r="I7" s="54">
        <v>0</v>
      </c>
      <c r="J7" s="54">
        <v>0</v>
      </c>
      <c r="K7" s="54">
        <v>0</v>
      </c>
      <c r="L7" s="54">
        <v>0</v>
      </c>
      <c r="M7" s="54">
        <v>20</v>
      </c>
      <c r="N7" s="54">
        <v>18</v>
      </c>
      <c r="O7" s="54">
        <v>0</v>
      </c>
      <c r="P7" s="54">
        <v>0</v>
      </c>
      <c r="Q7" s="54">
        <v>0</v>
      </c>
      <c r="R7" s="54">
        <v>0</v>
      </c>
      <c r="S7" s="54">
        <v>0</v>
      </c>
      <c r="T7" s="54">
        <v>9</v>
      </c>
      <c r="U7" s="54">
        <v>0</v>
      </c>
      <c r="V7" s="54">
        <v>0</v>
      </c>
      <c r="W7" s="54">
        <v>0</v>
      </c>
      <c r="X7" s="54">
        <v>0</v>
      </c>
      <c r="Y7" s="54">
        <v>0</v>
      </c>
      <c r="Z7" s="54">
        <v>0</v>
      </c>
      <c r="AA7" s="54">
        <v>14</v>
      </c>
      <c r="AB7" s="54">
        <v>15</v>
      </c>
      <c r="AC7" s="54">
        <v>0</v>
      </c>
      <c r="AD7" s="54">
        <v>0</v>
      </c>
      <c r="AE7" s="54">
        <v>0</v>
      </c>
      <c r="AF7" s="54">
        <v>19</v>
      </c>
      <c r="AG7" s="5">
        <f t="shared" si="2"/>
        <v>133</v>
      </c>
    </row>
    <row r="8" spans="1:33" ht="18.75" x14ac:dyDescent="0.25">
      <c r="A8" s="56" t="s">
        <v>7</v>
      </c>
      <c r="B8" s="54">
        <v>0</v>
      </c>
      <c r="C8" s="54">
        <v>0</v>
      </c>
      <c r="D8" s="54">
        <v>0</v>
      </c>
      <c r="E8" s="54">
        <v>0</v>
      </c>
      <c r="F8" s="54">
        <v>14</v>
      </c>
      <c r="G8" s="54">
        <v>12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12</v>
      </c>
      <c r="N8" s="54">
        <v>17</v>
      </c>
      <c r="O8" s="54">
        <v>0</v>
      </c>
      <c r="P8" s="54">
        <v>0</v>
      </c>
      <c r="Q8" s="54">
        <v>0</v>
      </c>
      <c r="R8" s="54">
        <v>0</v>
      </c>
      <c r="S8" s="54">
        <v>0</v>
      </c>
      <c r="T8" s="54">
        <v>13</v>
      </c>
      <c r="U8" s="54">
        <v>0</v>
      </c>
      <c r="V8" s="54">
        <v>0</v>
      </c>
      <c r="W8" s="54">
        <v>0</v>
      </c>
      <c r="X8" s="54">
        <v>0</v>
      </c>
      <c r="Y8" s="54">
        <v>0</v>
      </c>
      <c r="Z8" s="54">
        <v>10</v>
      </c>
      <c r="AA8" s="54">
        <v>12</v>
      </c>
      <c r="AB8" s="54">
        <v>15</v>
      </c>
      <c r="AC8" s="54">
        <v>0</v>
      </c>
      <c r="AD8" s="54">
        <v>0</v>
      </c>
      <c r="AE8" s="54">
        <v>0</v>
      </c>
      <c r="AF8" s="54">
        <v>11</v>
      </c>
      <c r="AG8" s="5">
        <f t="shared" si="2"/>
        <v>116</v>
      </c>
    </row>
    <row r="9" spans="1:33" ht="18.75" x14ac:dyDescent="0.25">
      <c r="A9" s="56" t="s">
        <v>8</v>
      </c>
      <c r="B9" s="54">
        <v>0</v>
      </c>
      <c r="C9" s="54">
        <v>0</v>
      </c>
      <c r="D9" s="54">
        <v>0</v>
      </c>
      <c r="E9" s="54">
        <v>0</v>
      </c>
      <c r="F9" s="54">
        <v>15</v>
      </c>
      <c r="G9" s="54">
        <v>22</v>
      </c>
      <c r="H9" s="54">
        <v>0</v>
      </c>
      <c r="I9" s="54">
        <v>0</v>
      </c>
      <c r="J9" s="54">
        <v>0</v>
      </c>
      <c r="K9" s="54">
        <v>0</v>
      </c>
      <c r="L9" s="54">
        <v>0</v>
      </c>
      <c r="M9" s="54">
        <v>13</v>
      </c>
      <c r="N9" s="54">
        <v>17</v>
      </c>
      <c r="O9" s="54">
        <v>0</v>
      </c>
      <c r="P9" s="54">
        <v>0</v>
      </c>
      <c r="Q9" s="54">
        <v>0</v>
      </c>
      <c r="R9" s="54">
        <v>0</v>
      </c>
      <c r="S9" s="54">
        <v>0</v>
      </c>
      <c r="T9" s="54">
        <v>14</v>
      </c>
      <c r="U9" s="54">
        <v>0</v>
      </c>
      <c r="V9" s="54">
        <v>0</v>
      </c>
      <c r="W9" s="54">
        <v>0</v>
      </c>
      <c r="X9" s="54">
        <v>0</v>
      </c>
      <c r="Y9" s="54">
        <v>0</v>
      </c>
      <c r="Z9" s="54">
        <v>2</v>
      </c>
      <c r="AA9" s="54">
        <v>14</v>
      </c>
      <c r="AB9" s="54">
        <v>17</v>
      </c>
      <c r="AC9" s="54">
        <v>0</v>
      </c>
      <c r="AD9" s="54">
        <v>0</v>
      </c>
      <c r="AE9" s="54">
        <v>0</v>
      </c>
      <c r="AF9" s="54">
        <v>17</v>
      </c>
      <c r="AG9" s="5">
        <f t="shared" si="2"/>
        <v>131</v>
      </c>
    </row>
    <row r="10" spans="1:33" ht="18.75" x14ac:dyDescent="0.25">
      <c r="A10" s="56" t="s">
        <v>9</v>
      </c>
      <c r="B10" s="54">
        <v>0</v>
      </c>
      <c r="C10" s="54">
        <v>0</v>
      </c>
      <c r="D10" s="54">
        <v>0</v>
      </c>
      <c r="E10" s="54">
        <v>0</v>
      </c>
      <c r="F10" s="54">
        <v>15</v>
      </c>
      <c r="G10" s="54">
        <v>13</v>
      </c>
      <c r="H10" s="54">
        <v>0</v>
      </c>
      <c r="I10" s="54">
        <v>0</v>
      </c>
      <c r="J10" s="54">
        <v>0</v>
      </c>
      <c r="K10" s="54">
        <v>0</v>
      </c>
      <c r="L10" s="54">
        <v>0</v>
      </c>
      <c r="M10" s="54">
        <v>15</v>
      </c>
      <c r="N10" s="54">
        <v>11</v>
      </c>
      <c r="O10" s="54">
        <v>0</v>
      </c>
      <c r="P10" s="54">
        <v>0</v>
      </c>
      <c r="Q10" s="54">
        <v>0</v>
      </c>
      <c r="R10" s="54">
        <v>0</v>
      </c>
      <c r="S10" s="54">
        <v>0</v>
      </c>
      <c r="T10" s="54">
        <v>12</v>
      </c>
      <c r="U10" s="54">
        <v>24</v>
      </c>
      <c r="V10" s="54">
        <v>0</v>
      </c>
      <c r="W10" s="54">
        <v>0</v>
      </c>
      <c r="X10" s="54">
        <v>0</v>
      </c>
      <c r="Y10" s="54">
        <v>0</v>
      </c>
      <c r="Z10" s="54">
        <v>5</v>
      </c>
      <c r="AA10" s="54">
        <v>11</v>
      </c>
      <c r="AB10" s="54">
        <v>15</v>
      </c>
      <c r="AC10" s="54">
        <v>0</v>
      </c>
      <c r="AD10" s="54">
        <v>0</v>
      </c>
      <c r="AE10" s="54">
        <v>0</v>
      </c>
      <c r="AF10" s="54">
        <v>15</v>
      </c>
      <c r="AG10" s="5">
        <f t="shared" si="2"/>
        <v>136</v>
      </c>
    </row>
    <row r="11" spans="1:33" ht="18.75" x14ac:dyDescent="0.25">
      <c r="A11" s="56" t="s">
        <v>10</v>
      </c>
      <c r="B11" s="54">
        <v>0</v>
      </c>
      <c r="C11" s="54">
        <v>0</v>
      </c>
      <c r="D11" s="54">
        <v>0</v>
      </c>
      <c r="E11" s="54">
        <v>7</v>
      </c>
      <c r="F11" s="54">
        <v>14</v>
      </c>
      <c r="G11" s="54">
        <v>12</v>
      </c>
      <c r="H11" s="54">
        <v>0</v>
      </c>
      <c r="I11" s="54">
        <v>0</v>
      </c>
      <c r="J11" s="54">
        <v>0</v>
      </c>
      <c r="K11" s="54">
        <v>0</v>
      </c>
      <c r="L11" s="54">
        <v>6</v>
      </c>
      <c r="M11" s="54">
        <v>16</v>
      </c>
      <c r="N11" s="54">
        <v>5</v>
      </c>
      <c r="O11" s="54">
        <v>0</v>
      </c>
      <c r="P11" s="54">
        <v>0</v>
      </c>
      <c r="Q11" s="54">
        <v>0</v>
      </c>
      <c r="R11" s="54">
        <v>0</v>
      </c>
      <c r="S11" s="54">
        <v>7</v>
      </c>
      <c r="T11" s="54">
        <v>10</v>
      </c>
      <c r="U11" s="54">
        <v>12</v>
      </c>
      <c r="V11" s="54">
        <v>0</v>
      </c>
      <c r="W11" s="54">
        <v>0</v>
      </c>
      <c r="X11" s="54">
        <v>0</v>
      </c>
      <c r="Y11" s="54">
        <v>0</v>
      </c>
      <c r="Z11" s="54">
        <v>18</v>
      </c>
      <c r="AA11" s="54">
        <v>10</v>
      </c>
      <c r="AB11" s="54">
        <v>14</v>
      </c>
      <c r="AC11" s="54">
        <v>0</v>
      </c>
      <c r="AD11" s="54">
        <v>0</v>
      </c>
      <c r="AE11" s="54">
        <v>0</v>
      </c>
      <c r="AF11" s="54">
        <v>15</v>
      </c>
      <c r="AG11" s="5">
        <f t="shared" si="2"/>
        <v>146</v>
      </c>
    </row>
    <row r="12" spans="1:33" ht="18.75" x14ac:dyDescent="0.25">
      <c r="A12" s="56" t="s">
        <v>11</v>
      </c>
      <c r="B12" s="54">
        <v>2</v>
      </c>
      <c r="C12" s="54">
        <v>7</v>
      </c>
      <c r="D12" s="54">
        <v>3</v>
      </c>
      <c r="E12" s="54">
        <v>28</v>
      </c>
      <c r="F12" s="54">
        <v>12</v>
      </c>
      <c r="G12" s="54">
        <v>24</v>
      </c>
      <c r="H12" s="54">
        <v>3</v>
      </c>
      <c r="I12" s="54">
        <v>4</v>
      </c>
      <c r="J12" s="54">
        <v>8</v>
      </c>
      <c r="K12" s="54">
        <v>11</v>
      </c>
      <c r="L12" s="54">
        <v>53</v>
      </c>
      <c r="M12" s="54">
        <v>19</v>
      </c>
      <c r="N12" s="54">
        <v>14</v>
      </c>
      <c r="O12" s="54">
        <v>1</v>
      </c>
      <c r="P12" s="54">
        <v>11</v>
      </c>
      <c r="Q12" s="54">
        <v>12</v>
      </c>
      <c r="R12" s="54">
        <v>10</v>
      </c>
      <c r="S12" s="54">
        <v>42</v>
      </c>
      <c r="T12" s="54">
        <v>12</v>
      </c>
      <c r="U12" s="54">
        <v>0</v>
      </c>
      <c r="V12" s="54">
        <v>8</v>
      </c>
      <c r="W12" s="54">
        <v>4</v>
      </c>
      <c r="X12" s="54">
        <v>7</v>
      </c>
      <c r="Y12" s="54">
        <v>4</v>
      </c>
      <c r="Z12" s="54">
        <v>26</v>
      </c>
      <c r="AA12" s="54">
        <v>17</v>
      </c>
      <c r="AB12" s="54">
        <v>12</v>
      </c>
      <c r="AC12" s="54">
        <v>1</v>
      </c>
      <c r="AD12" s="54">
        <v>3</v>
      </c>
      <c r="AE12" s="54">
        <v>7</v>
      </c>
      <c r="AF12" s="54">
        <v>11</v>
      </c>
      <c r="AG12" s="5">
        <f t="shared" si="2"/>
        <v>376</v>
      </c>
    </row>
    <row r="13" spans="1:33" ht="18.75" x14ac:dyDescent="0.25">
      <c r="A13" s="56" t="s">
        <v>12</v>
      </c>
      <c r="B13" s="54">
        <v>75</v>
      </c>
      <c r="C13" s="54">
        <v>52</v>
      </c>
      <c r="D13" s="54">
        <v>50</v>
      </c>
      <c r="E13" s="54">
        <v>21</v>
      </c>
      <c r="F13" s="54">
        <v>7</v>
      </c>
      <c r="G13" s="54">
        <v>15</v>
      </c>
      <c r="H13" s="54">
        <v>75</v>
      </c>
      <c r="I13" s="54">
        <v>68</v>
      </c>
      <c r="J13" s="54">
        <v>55</v>
      </c>
      <c r="K13" s="54">
        <v>52</v>
      </c>
      <c r="L13" s="54">
        <v>27</v>
      </c>
      <c r="M13" s="54">
        <v>9</v>
      </c>
      <c r="N13" s="54">
        <v>18</v>
      </c>
      <c r="O13" s="54">
        <v>70</v>
      </c>
      <c r="P13" s="54">
        <v>55</v>
      </c>
      <c r="Q13" s="54">
        <v>57</v>
      </c>
      <c r="R13" s="54">
        <v>50</v>
      </c>
      <c r="S13" s="54">
        <v>20</v>
      </c>
      <c r="T13" s="54">
        <v>13</v>
      </c>
      <c r="U13" s="54">
        <v>0</v>
      </c>
      <c r="V13" s="54">
        <v>71</v>
      </c>
      <c r="W13" s="54">
        <v>65</v>
      </c>
      <c r="X13" s="54">
        <v>53</v>
      </c>
      <c r="Y13" s="54">
        <v>43</v>
      </c>
      <c r="Z13" s="54">
        <v>20</v>
      </c>
      <c r="AA13" s="54">
        <v>19</v>
      </c>
      <c r="AB13" s="54">
        <v>11</v>
      </c>
      <c r="AC13" s="54">
        <v>69</v>
      </c>
      <c r="AD13" s="54">
        <v>53</v>
      </c>
      <c r="AE13" s="54">
        <v>58</v>
      </c>
      <c r="AF13" s="54">
        <v>12</v>
      </c>
      <c r="AG13" s="5">
        <f t="shared" si="2"/>
        <v>1263</v>
      </c>
    </row>
    <row r="14" spans="1:33" ht="18.75" x14ac:dyDescent="0.25">
      <c r="A14" s="56" t="s">
        <v>13</v>
      </c>
      <c r="B14" s="54">
        <v>15</v>
      </c>
      <c r="C14" s="54">
        <v>16</v>
      </c>
      <c r="D14" s="54">
        <v>17</v>
      </c>
      <c r="E14" s="54">
        <v>12</v>
      </c>
      <c r="F14" s="54">
        <v>13</v>
      </c>
      <c r="G14" s="54">
        <v>14</v>
      </c>
      <c r="H14" s="54">
        <v>22</v>
      </c>
      <c r="I14" s="54">
        <v>21</v>
      </c>
      <c r="J14" s="54">
        <v>16</v>
      </c>
      <c r="K14" s="54">
        <v>15</v>
      </c>
      <c r="L14" s="54">
        <v>12</v>
      </c>
      <c r="M14" s="54">
        <v>13</v>
      </c>
      <c r="N14" s="54">
        <v>15</v>
      </c>
      <c r="O14" s="54">
        <v>24</v>
      </c>
      <c r="P14" s="54">
        <v>12</v>
      </c>
      <c r="Q14" s="54">
        <v>15</v>
      </c>
      <c r="R14" s="54">
        <v>19</v>
      </c>
      <c r="S14" s="54">
        <v>12</v>
      </c>
      <c r="T14" s="54">
        <v>6</v>
      </c>
      <c r="U14" s="54">
        <v>34</v>
      </c>
      <c r="V14" s="54">
        <v>10</v>
      </c>
      <c r="W14" s="54">
        <v>14</v>
      </c>
      <c r="X14" s="54">
        <v>13</v>
      </c>
      <c r="Y14" s="54">
        <v>17</v>
      </c>
      <c r="Z14" s="54">
        <v>14</v>
      </c>
      <c r="AA14" s="54">
        <v>16</v>
      </c>
      <c r="AB14" s="54">
        <v>11</v>
      </c>
      <c r="AC14" s="54">
        <v>11</v>
      </c>
      <c r="AD14" s="54">
        <v>15</v>
      </c>
      <c r="AE14" s="54">
        <v>14</v>
      </c>
      <c r="AF14" s="54">
        <v>8</v>
      </c>
      <c r="AG14" s="5">
        <f t="shared" si="2"/>
        <v>466</v>
      </c>
    </row>
    <row r="15" spans="1:33" ht="18.75" x14ac:dyDescent="0.25">
      <c r="A15" s="56" t="s">
        <v>14</v>
      </c>
      <c r="B15" s="54">
        <v>12</v>
      </c>
      <c r="C15" s="54">
        <v>13</v>
      </c>
      <c r="D15" s="54">
        <v>15</v>
      </c>
      <c r="E15" s="54">
        <v>16</v>
      </c>
      <c r="F15" s="54">
        <v>7</v>
      </c>
      <c r="G15" s="54">
        <v>11</v>
      </c>
      <c r="H15" s="54">
        <v>7</v>
      </c>
      <c r="I15" s="54">
        <v>12</v>
      </c>
      <c r="J15" s="54">
        <v>17</v>
      </c>
      <c r="K15" s="54">
        <v>9</v>
      </c>
      <c r="L15" s="54">
        <v>9</v>
      </c>
      <c r="M15" s="54">
        <v>8</v>
      </c>
      <c r="N15" s="54">
        <v>7</v>
      </c>
      <c r="O15" s="54">
        <v>10</v>
      </c>
      <c r="P15" s="54">
        <v>19</v>
      </c>
      <c r="Q15" s="54">
        <v>23</v>
      </c>
      <c r="R15" s="54">
        <v>13</v>
      </c>
      <c r="S15" s="54">
        <v>14</v>
      </c>
      <c r="T15" s="54">
        <v>15</v>
      </c>
      <c r="U15" s="54">
        <v>8</v>
      </c>
      <c r="V15" s="54">
        <v>16</v>
      </c>
      <c r="W15" s="54">
        <v>10</v>
      </c>
      <c r="X15" s="54">
        <v>12</v>
      </c>
      <c r="Y15" s="54">
        <v>14</v>
      </c>
      <c r="Z15" s="54">
        <v>14</v>
      </c>
      <c r="AA15" s="54">
        <v>11</v>
      </c>
      <c r="AB15" s="54">
        <v>8</v>
      </c>
      <c r="AC15" s="54">
        <v>15</v>
      </c>
      <c r="AD15" s="54">
        <v>15</v>
      </c>
      <c r="AE15" s="54">
        <v>17</v>
      </c>
      <c r="AF15" s="54">
        <v>8</v>
      </c>
      <c r="AG15" s="5">
        <f t="shared" si="2"/>
        <v>385</v>
      </c>
    </row>
    <row r="16" spans="1:33" ht="18.75" x14ac:dyDescent="0.25">
      <c r="A16" s="56" t="s">
        <v>15</v>
      </c>
      <c r="B16" s="54">
        <v>7</v>
      </c>
      <c r="C16" s="54">
        <v>15</v>
      </c>
      <c r="D16" s="54">
        <v>14</v>
      </c>
      <c r="E16" s="54">
        <v>8</v>
      </c>
      <c r="F16" s="54">
        <v>6</v>
      </c>
      <c r="G16" s="54">
        <v>11</v>
      </c>
      <c r="H16" s="54">
        <v>10</v>
      </c>
      <c r="I16" s="54">
        <v>10</v>
      </c>
      <c r="J16" s="54">
        <v>15</v>
      </c>
      <c r="K16" s="54">
        <v>14</v>
      </c>
      <c r="L16" s="54">
        <v>14</v>
      </c>
      <c r="M16" s="54">
        <v>13</v>
      </c>
      <c r="N16" s="54">
        <v>12</v>
      </c>
      <c r="O16" s="54">
        <v>15</v>
      </c>
      <c r="P16" s="54">
        <v>11</v>
      </c>
      <c r="Q16" s="54">
        <v>9</v>
      </c>
      <c r="R16" s="54">
        <v>14</v>
      </c>
      <c r="S16" s="54">
        <v>17</v>
      </c>
      <c r="T16" s="54">
        <v>12</v>
      </c>
      <c r="U16" s="54">
        <v>13</v>
      </c>
      <c r="V16" s="54">
        <v>14</v>
      </c>
      <c r="W16" s="54">
        <v>5</v>
      </c>
      <c r="X16" s="54">
        <v>13</v>
      </c>
      <c r="Y16" s="54">
        <v>14</v>
      </c>
      <c r="Z16" s="54">
        <v>18</v>
      </c>
      <c r="AA16" s="54">
        <v>6</v>
      </c>
      <c r="AB16" s="54">
        <v>9</v>
      </c>
      <c r="AC16" s="54">
        <v>10</v>
      </c>
      <c r="AD16" s="54">
        <v>11</v>
      </c>
      <c r="AE16" s="54">
        <v>8</v>
      </c>
      <c r="AF16" s="54">
        <v>10</v>
      </c>
      <c r="AG16" s="5">
        <f t="shared" si="2"/>
        <v>358</v>
      </c>
    </row>
    <row r="17" spans="1:33" ht="18.75" x14ac:dyDescent="0.25">
      <c r="A17" s="56" t="s">
        <v>16</v>
      </c>
      <c r="B17" s="54">
        <v>15</v>
      </c>
      <c r="C17" s="54">
        <v>10</v>
      </c>
      <c r="D17" s="54">
        <v>7</v>
      </c>
      <c r="E17" s="54">
        <v>7</v>
      </c>
      <c r="F17" s="54">
        <v>11</v>
      </c>
      <c r="G17" s="54">
        <v>11</v>
      </c>
      <c r="H17" s="54">
        <v>7</v>
      </c>
      <c r="I17" s="54">
        <v>9</v>
      </c>
      <c r="J17" s="54">
        <v>5</v>
      </c>
      <c r="K17" s="54">
        <v>8</v>
      </c>
      <c r="L17" s="54">
        <v>11</v>
      </c>
      <c r="M17" s="54">
        <v>6</v>
      </c>
      <c r="N17" s="54">
        <v>15</v>
      </c>
      <c r="O17" s="54">
        <v>9</v>
      </c>
      <c r="P17" s="54">
        <v>5</v>
      </c>
      <c r="Q17" s="54">
        <v>16</v>
      </c>
      <c r="R17" s="54">
        <v>10</v>
      </c>
      <c r="S17" s="54">
        <v>2</v>
      </c>
      <c r="T17" s="54">
        <v>7</v>
      </c>
      <c r="U17" s="54">
        <v>13</v>
      </c>
      <c r="V17" s="54">
        <v>19</v>
      </c>
      <c r="W17" s="54">
        <v>13</v>
      </c>
      <c r="X17" s="54">
        <v>8</v>
      </c>
      <c r="Y17" s="54">
        <v>9</v>
      </c>
      <c r="Z17" s="54">
        <v>10</v>
      </c>
      <c r="AA17" s="54">
        <v>13</v>
      </c>
      <c r="AB17" s="54">
        <v>4</v>
      </c>
      <c r="AC17" s="54">
        <v>16</v>
      </c>
      <c r="AD17" s="54">
        <v>7</v>
      </c>
      <c r="AE17" s="54">
        <v>9</v>
      </c>
      <c r="AF17" s="54">
        <v>12</v>
      </c>
      <c r="AG17" s="5">
        <f t="shared" si="2"/>
        <v>304</v>
      </c>
    </row>
    <row r="18" spans="1:33" ht="18.75" x14ac:dyDescent="0.25">
      <c r="A18" s="56" t="s">
        <v>17</v>
      </c>
      <c r="B18" s="54">
        <v>7</v>
      </c>
      <c r="C18" s="54">
        <v>6</v>
      </c>
      <c r="D18" s="54">
        <v>13</v>
      </c>
      <c r="E18" s="54">
        <v>14</v>
      </c>
      <c r="F18" s="54">
        <v>7</v>
      </c>
      <c r="G18" s="54">
        <v>5</v>
      </c>
      <c r="H18" s="54">
        <v>7</v>
      </c>
      <c r="I18" s="54">
        <v>9</v>
      </c>
      <c r="J18" s="54">
        <v>11</v>
      </c>
      <c r="K18" s="54">
        <v>13</v>
      </c>
      <c r="L18" s="54">
        <v>5</v>
      </c>
      <c r="M18" s="54">
        <v>10</v>
      </c>
      <c r="N18" s="54">
        <v>6</v>
      </c>
      <c r="O18" s="54">
        <v>14</v>
      </c>
      <c r="P18" s="54">
        <v>15</v>
      </c>
      <c r="Q18" s="54">
        <v>6</v>
      </c>
      <c r="R18" s="54">
        <v>8</v>
      </c>
      <c r="S18" s="54">
        <v>19</v>
      </c>
      <c r="T18" s="54">
        <v>10</v>
      </c>
      <c r="U18" s="54">
        <v>8</v>
      </c>
      <c r="V18" s="54">
        <v>6</v>
      </c>
      <c r="W18" s="54">
        <v>6</v>
      </c>
      <c r="X18" s="54">
        <v>10</v>
      </c>
      <c r="Y18" s="54">
        <v>10</v>
      </c>
      <c r="Z18" s="54">
        <v>11</v>
      </c>
      <c r="AA18" s="54">
        <v>11</v>
      </c>
      <c r="AB18" s="54">
        <v>12</v>
      </c>
      <c r="AC18" s="54">
        <v>12</v>
      </c>
      <c r="AD18" s="54">
        <v>8</v>
      </c>
      <c r="AE18" s="54">
        <v>11</v>
      </c>
      <c r="AF18" s="54">
        <v>11</v>
      </c>
      <c r="AG18" s="5">
        <f t="shared" si="2"/>
        <v>301</v>
      </c>
    </row>
    <row r="19" spans="1:33" ht="18.75" x14ac:dyDescent="0.25">
      <c r="A19" s="56" t="s">
        <v>18</v>
      </c>
      <c r="B19" s="54">
        <v>4</v>
      </c>
      <c r="C19" s="54">
        <v>4</v>
      </c>
      <c r="D19" s="54">
        <v>9</v>
      </c>
      <c r="E19" s="54">
        <v>4</v>
      </c>
      <c r="F19" s="54">
        <v>6</v>
      </c>
      <c r="G19" s="54">
        <v>3</v>
      </c>
      <c r="H19" s="54">
        <v>11</v>
      </c>
      <c r="I19" s="54">
        <v>7</v>
      </c>
      <c r="J19" s="54">
        <v>10</v>
      </c>
      <c r="K19" s="54">
        <v>3</v>
      </c>
      <c r="L19" s="54">
        <v>5</v>
      </c>
      <c r="M19" s="54">
        <v>9</v>
      </c>
      <c r="N19" s="54">
        <v>11</v>
      </c>
      <c r="O19" s="54">
        <v>5</v>
      </c>
      <c r="P19" s="54">
        <v>4</v>
      </c>
      <c r="Q19" s="54">
        <v>7</v>
      </c>
      <c r="R19" s="54">
        <v>10</v>
      </c>
      <c r="S19" s="54">
        <v>7</v>
      </c>
      <c r="T19" s="54">
        <v>9</v>
      </c>
      <c r="U19" s="54">
        <v>2</v>
      </c>
      <c r="V19" s="54">
        <v>6</v>
      </c>
      <c r="W19" s="54">
        <v>6</v>
      </c>
      <c r="X19" s="54">
        <v>2</v>
      </c>
      <c r="Y19" s="54">
        <v>6</v>
      </c>
      <c r="Z19" s="54">
        <v>3</v>
      </c>
      <c r="AA19" s="54">
        <v>6</v>
      </c>
      <c r="AB19" s="54">
        <v>4</v>
      </c>
      <c r="AC19" s="54">
        <v>9</v>
      </c>
      <c r="AD19" s="54">
        <v>12</v>
      </c>
      <c r="AE19" s="54">
        <v>10</v>
      </c>
      <c r="AF19" s="54">
        <v>6</v>
      </c>
      <c r="AG19" s="5">
        <f t="shared" si="2"/>
        <v>200</v>
      </c>
    </row>
    <row r="20" spans="1:33" ht="18.75" x14ac:dyDescent="0.25">
      <c r="A20" s="56" t="s">
        <v>19</v>
      </c>
      <c r="B20" s="54">
        <v>5</v>
      </c>
      <c r="C20" s="54">
        <v>6</v>
      </c>
      <c r="D20" s="54">
        <v>3</v>
      </c>
      <c r="E20" s="54">
        <v>4</v>
      </c>
      <c r="F20" s="54">
        <v>2</v>
      </c>
      <c r="G20" s="54">
        <v>2</v>
      </c>
      <c r="H20" s="54">
        <v>6</v>
      </c>
      <c r="I20" s="54">
        <v>5</v>
      </c>
      <c r="J20" s="54">
        <v>5</v>
      </c>
      <c r="K20" s="54">
        <v>4</v>
      </c>
      <c r="L20" s="54">
        <v>5</v>
      </c>
      <c r="M20" s="54">
        <v>3</v>
      </c>
      <c r="N20" s="54">
        <v>4</v>
      </c>
      <c r="O20" s="54">
        <v>5</v>
      </c>
      <c r="P20" s="54">
        <v>3</v>
      </c>
      <c r="Q20" s="54">
        <v>6</v>
      </c>
      <c r="R20" s="54">
        <v>3</v>
      </c>
      <c r="S20" s="54">
        <v>3</v>
      </c>
      <c r="T20" s="54">
        <v>4</v>
      </c>
      <c r="U20" s="54">
        <v>4</v>
      </c>
      <c r="V20" s="54">
        <v>2</v>
      </c>
      <c r="W20" s="54">
        <v>4</v>
      </c>
      <c r="X20" s="54">
        <v>2</v>
      </c>
      <c r="Y20" s="54">
        <v>2</v>
      </c>
      <c r="Z20" s="54">
        <v>3</v>
      </c>
      <c r="AA20" s="54">
        <v>4</v>
      </c>
      <c r="AB20" s="54">
        <v>4</v>
      </c>
      <c r="AC20" s="54">
        <v>4</v>
      </c>
      <c r="AD20" s="54">
        <v>1</v>
      </c>
      <c r="AE20" s="54">
        <v>1</v>
      </c>
      <c r="AF20" s="54">
        <v>9</v>
      </c>
      <c r="AG20" s="5">
        <f t="shared" si="2"/>
        <v>118</v>
      </c>
    </row>
    <row r="21" spans="1:33" ht="15.75" customHeight="1" x14ac:dyDescent="0.25">
      <c r="A21" s="56" t="s">
        <v>20</v>
      </c>
      <c r="B21" s="54">
        <v>2</v>
      </c>
      <c r="C21" s="54">
        <v>3</v>
      </c>
      <c r="D21" s="54">
        <v>3</v>
      </c>
      <c r="E21" s="54">
        <v>0</v>
      </c>
      <c r="F21" s="54">
        <v>5</v>
      </c>
      <c r="G21" s="54">
        <v>8</v>
      </c>
      <c r="H21" s="54">
        <v>1</v>
      </c>
      <c r="I21" s="54">
        <v>3</v>
      </c>
      <c r="J21" s="54">
        <v>5</v>
      </c>
      <c r="K21" s="54">
        <v>3</v>
      </c>
      <c r="L21" s="54">
        <v>2</v>
      </c>
      <c r="M21" s="54">
        <v>3</v>
      </c>
      <c r="N21" s="54">
        <v>2</v>
      </c>
      <c r="O21" s="54">
        <v>4</v>
      </c>
      <c r="P21" s="54">
        <v>4</v>
      </c>
      <c r="Q21" s="54">
        <v>3</v>
      </c>
      <c r="R21" s="54">
        <v>2</v>
      </c>
      <c r="S21" s="54">
        <v>0</v>
      </c>
      <c r="T21" s="54">
        <v>4</v>
      </c>
      <c r="U21" s="54">
        <v>1</v>
      </c>
      <c r="V21" s="54">
        <v>1</v>
      </c>
      <c r="W21" s="54">
        <v>2</v>
      </c>
      <c r="X21" s="54">
        <v>1</v>
      </c>
      <c r="Y21" s="54">
        <v>5</v>
      </c>
      <c r="Z21" s="54">
        <v>0</v>
      </c>
      <c r="AA21" s="54">
        <v>2</v>
      </c>
      <c r="AB21" s="54">
        <v>4</v>
      </c>
      <c r="AC21" s="54">
        <v>1</v>
      </c>
      <c r="AD21" s="54">
        <v>0</v>
      </c>
      <c r="AE21" s="54">
        <v>2</v>
      </c>
      <c r="AF21" s="54">
        <v>4</v>
      </c>
      <c r="AG21" s="5">
        <f t="shared" si="2"/>
        <v>80</v>
      </c>
    </row>
    <row r="22" spans="1:33" ht="15.75" customHeight="1" x14ac:dyDescent="0.25">
      <c r="A22" s="56" t="s">
        <v>21</v>
      </c>
      <c r="B22" s="54">
        <v>4</v>
      </c>
      <c r="C22" s="54">
        <v>3</v>
      </c>
      <c r="D22" s="54">
        <v>4</v>
      </c>
      <c r="E22" s="54">
        <v>5</v>
      </c>
      <c r="F22" s="54">
        <v>2</v>
      </c>
      <c r="G22" s="54">
        <v>0</v>
      </c>
      <c r="H22" s="54">
        <v>4</v>
      </c>
      <c r="I22" s="54">
        <v>0</v>
      </c>
      <c r="J22" s="54">
        <v>3</v>
      </c>
      <c r="K22" s="54">
        <v>3</v>
      </c>
      <c r="L22" s="54">
        <v>4</v>
      </c>
      <c r="M22" s="54">
        <v>2</v>
      </c>
      <c r="N22" s="54">
        <v>2</v>
      </c>
      <c r="O22" s="54">
        <v>2</v>
      </c>
      <c r="P22" s="54">
        <v>2</v>
      </c>
      <c r="Q22" s="54">
        <v>1</v>
      </c>
      <c r="R22" s="54">
        <v>1</v>
      </c>
      <c r="S22" s="54">
        <v>0</v>
      </c>
      <c r="T22" s="54">
        <v>2</v>
      </c>
      <c r="U22" s="54">
        <v>2</v>
      </c>
      <c r="V22" s="54">
        <v>2</v>
      </c>
      <c r="W22" s="54">
        <v>2</v>
      </c>
      <c r="X22" s="54">
        <v>0</v>
      </c>
      <c r="Y22" s="54">
        <v>1</v>
      </c>
      <c r="Z22" s="54">
        <v>4</v>
      </c>
      <c r="AA22" s="54">
        <v>4</v>
      </c>
      <c r="AB22" s="54">
        <v>2</v>
      </c>
      <c r="AC22" s="54">
        <v>2</v>
      </c>
      <c r="AD22" s="54">
        <v>6</v>
      </c>
      <c r="AE22" s="54">
        <v>2</v>
      </c>
      <c r="AF22" s="54">
        <v>2</v>
      </c>
      <c r="AG22" s="5">
        <f t="shared" si="2"/>
        <v>73</v>
      </c>
    </row>
    <row r="23" spans="1:33" ht="15.75" customHeight="1" x14ac:dyDescent="0.25">
      <c r="A23" s="56" t="s">
        <v>22</v>
      </c>
      <c r="B23" s="54">
        <v>2</v>
      </c>
      <c r="C23" s="54">
        <v>1</v>
      </c>
      <c r="D23" s="54">
        <v>2</v>
      </c>
      <c r="E23" s="54">
        <v>2</v>
      </c>
      <c r="F23" s="54">
        <v>1</v>
      </c>
      <c r="G23" s="54">
        <v>2</v>
      </c>
      <c r="H23" s="54">
        <v>6</v>
      </c>
      <c r="I23" s="54">
        <v>0</v>
      </c>
      <c r="J23" s="54">
        <v>2</v>
      </c>
      <c r="K23" s="54">
        <v>4</v>
      </c>
      <c r="L23" s="54">
        <v>0</v>
      </c>
      <c r="M23" s="54">
        <v>1</v>
      </c>
      <c r="N23" s="54">
        <v>0</v>
      </c>
      <c r="O23" s="54">
        <v>1</v>
      </c>
      <c r="P23" s="54">
        <v>1</v>
      </c>
      <c r="Q23" s="54">
        <v>2</v>
      </c>
      <c r="R23" s="54">
        <v>1</v>
      </c>
      <c r="S23" s="54">
        <v>1</v>
      </c>
      <c r="T23" s="54">
        <v>2</v>
      </c>
      <c r="U23" s="54">
        <v>0</v>
      </c>
      <c r="V23" s="54">
        <v>2</v>
      </c>
      <c r="W23" s="54">
        <v>3</v>
      </c>
      <c r="X23" s="54">
        <v>1</v>
      </c>
      <c r="Y23" s="54">
        <v>1</v>
      </c>
      <c r="Z23" s="54">
        <v>1</v>
      </c>
      <c r="AA23" s="54">
        <v>0</v>
      </c>
      <c r="AB23" s="54">
        <v>0</v>
      </c>
      <c r="AC23" s="54">
        <v>2</v>
      </c>
      <c r="AD23" s="54">
        <v>1</v>
      </c>
      <c r="AE23" s="54">
        <v>1</v>
      </c>
      <c r="AF23" s="54">
        <v>1</v>
      </c>
      <c r="AG23" s="5">
        <f t="shared" si="2"/>
        <v>44</v>
      </c>
    </row>
    <row r="24" spans="1:33" ht="15.75" customHeight="1" x14ac:dyDescent="0.25">
      <c r="A24" s="56" t="s">
        <v>23</v>
      </c>
      <c r="B24" s="54">
        <v>0</v>
      </c>
      <c r="C24" s="54">
        <v>2</v>
      </c>
      <c r="D24" s="54">
        <v>2</v>
      </c>
      <c r="E24" s="54">
        <v>0</v>
      </c>
      <c r="F24" s="54">
        <v>1</v>
      </c>
      <c r="G24" s="54">
        <v>3</v>
      </c>
      <c r="H24" s="54">
        <v>1</v>
      </c>
      <c r="I24" s="54">
        <v>1</v>
      </c>
      <c r="J24" s="54">
        <v>1</v>
      </c>
      <c r="K24" s="54">
        <v>1</v>
      </c>
      <c r="L24" s="54">
        <v>0</v>
      </c>
      <c r="M24" s="54">
        <v>1</v>
      </c>
      <c r="N24" s="54">
        <v>1</v>
      </c>
      <c r="O24" s="54">
        <v>1</v>
      </c>
      <c r="P24" s="54">
        <v>2</v>
      </c>
      <c r="Q24" s="54">
        <v>3</v>
      </c>
      <c r="R24" s="54">
        <v>0</v>
      </c>
      <c r="S24" s="54">
        <v>1</v>
      </c>
      <c r="T24" s="54">
        <v>1</v>
      </c>
      <c r="U24" s="54">
        <v>1</v>
      </c>
      <c r="V24" s="54">
        <v>1</v>
      </c>
      <c r="W24" s="54">
        <v>1</v>
      </c>
      <c r="X24" s="54">
        <v>1</v>
      </c>
      <c r="Y24" s="54">
        <v>1</v>
      </c>
      <c r="Z24" s="54">
        <v>1</v>
      </c>
      <c r="AA24" s="54">
        <v>0</v>
      </c>
      <c r="AB24" s="54">
        <v>1</v>
      </c>
      <c r="AC24" s="54">
        <v>2</v>
      </c>
      <c r="AD24" s="54">
        <v>4</v>
      </c>
      <c r="AE24" s="54">
        <v>0</v>
      </c>
      <c r="AF24" s="54">
        <v>2</v>
      </c>
      <c r="AG24" s="5">
        <f t="shared" si="2"/>
        <v>37</v>
      </c>
    </row>
    <row r="25" spans="1:33" ht="15.75" customHeight="1" x14ac:dyDescent="0.25">
      <c r="A25" s="56" t="s">
        <v>24</v>
      </c>
      <c r="B25" s="54">
        <v>0</v>
      </c>
      <c r="C25" s="54">
        <v>4</v>
      </c>
      <c r="D25" s="54">
        <v>1</v>
      </c>
      <c r="E25" s="54">
        <v>0</v>
      </c>
      <c r="F25" s="54">
        <v>1</v>
      </c>
      <c r="G25" s="54">
        <v>2</v>
      </c>
      <c r="H25" s="54">
        <v>0</v>
      </c>
      <c r="I25" s="54">
        <v>2</v>
      </c>
      <c r="J25" s="54">
        <v>1</v>
      </c>
      <c r="K25" s="54">
        <v>1</v>
      </c>
      <c r="L25" s="54">
        <v>1</v>
      </c>
      <c r="M25" s="54">
        <v>0</v>
      </c>
      <c r="N25" s="54">
        <v>4</v>
      </c>
      <c r="O25" s="54">
        <v>0</v>
      </c>
      <c r="P25" s="54">
        <v>1</v>
      </c>
      <c r="Q25" s="54">
        <v>0</v>
      </c>
      <c r="R25" s="54">
        <v>1</v>
      </c>
      <c r="S25" s="54">
        <v>1</v>
      </c>
      <c r="T25" s="54">
        <v>1</v>
      </c>
      <c r="U25" s="54">
        <v>0</v>
      </c>
      <c r="V25" s="54">
        <v>0</v>
      </c>
      <c r="W25" s="54">
        <v>1</v>
      </c>
      <c r="X25" s="54">
        <v>0</v>
      </c>
      <c r="Y25" s="54">
        <v>3</v>
      </c>
      <c r="Z25" s="54">
        <v>1</v>
      </c>
      <c r="AA25" s="54">
        <v>0</v>
      </c>
      <c r="AB25" s="54">
        <v>3</v>
      </c>
      <c r="AC25" s="54">
        <v>2</v>
      </c>
      <c r="AD25" s="54">
        <v>2</v>
      </c>
      <c r="AE25" s="54">
        <v>2</v>
      </c>
      <c r="AF25" s="54">
        <v>5</v>
      </c>
      <c r="AG25" s="5">
        <f t="shared" si="2"/>
        <v>40</v>
      </c>
    </row>
    <row r="26" spans="1:33" ht="15.75" customHeight="1" x14ac:dyDescent="0.25">
      <c r="A26" s="56" t="s">
        <v>25</v>
      </c>
      <c r="B26" s="54">
        <v>0</v>
      </c>
      <c r="C26" s="54">
        <v>0</v>
      </c>
      <c r="D26" s="54">
        <v>1</v>
      </c>
      <c r="E26" s="54">
        <v>1</v>
      </c>
      <c r="F26" s="54">
        <v>1</v>
      </c>
      <c r="G26" s="54">
        <v>1</v>
      </c>
      <c r="H26" s="54">
        <v>1</v>
      </c>
      <c r="I26" s="54">
        <v>1</v>
      </c>
      <c r="J26" s="54">
        <v>1</v>
      </c>
      <c r="K26" s="54">
        <v>3</v>
      </c>
      <c r="L26" s="54">
        <v>3</v>
      </c>
      <c r="M26" s="54">
        <v>0</v>
      </c>
      <c r="N26" s="54">
        <v>3</v>
      </c>
      <c r="O26" s="54">
        <v>0</v>
      </c>
      <c r="P26" s="54">
        <v>3</v>
      </c>
      <c r="Q26" s="54">
        <v>0</v>
      </c>
      <c r="R26" s="54">
        <v>1</v>
      </c>
      <c r="S26" s="54">
        <v>2</v>
      </c>
      <c r="T26" s="54">
        <v>1</v>
      </c>
      <c r="U26" s="54">
        <v>1</v>
      </c>
      <c r="V26" s="54">
        <v>3</v>
      </c>
      <c r="W26" s="54">
        <v>0</v>
      </c>
      <c r="X26" s="54">
        <v>1</v>
      </c>
      <c r="Y26" s="54">
        <v>1</v>
      </c>
      <c r="Z26" s="54">
        <v>4</v>
      </c>
      <c r="AA26" s="54">
        <v>1</v>
      </c>
      <c r="AB26" s="54">
        <v>3</v>
      </c>
      <c r="AC26" s="54">
        <v>3</v>
      </c>
      <c r="AD26" s="54">
        <v>1</v>
      </c>
      <c r="AE26" s="54">
        <v>1</v>
      </c>
      <c r="AF26" s="54">
        <v>1</v>
      </c>
      <c r="AG26" s="5">
        <f t="shared" si="2"/>
        <v>43</v>
      </c>
    </row>
    <row r="27" spans="1:33" ht="15.75" customHeight="1" thickBot="1" x14ac:dyDescent="0.3">
      <c r="A27" s="57" t="s">
        <v>26</v>
      </c>
      <c r="B27" s="58">
        <v>0</v>
      </c>
      <c r="C27" s="58">
        <v>0</v>
      </c>
      <c r="D27" s="58">
        <v>0</v>
      </c>
      <c r="E27" s="58">
        <v>0</v>
      </c>
      <c r="F27" s="58">
        <v>3</v>
      </c>
      <c r="G27" s="58">
        <v>1</v>
      </c>
      <c r="H27" s="58">
        <v>0</v>
      </c>
      <c r="I27" s="58">
        <v>0</v>
      </c>
      <c r="J27" s="58">
        <v>0</v>
      </c>
      <c r="K27" s="58">
        <v>1</v>
      </c>
      <c r="L27" s="58">
        <v>1</v>
      </c>
      <c r="M27" s="58">
        <v>3</v>
      </c>
      <c r="N27" s="58">
        <v>0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4</v>
      </c>
      <c r="U27" s="58">
        <v>1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B27" s="58">
        <v>3</v>
      </c>
      <c r="AC27" s="58">
        <v>1</v>
      </c>
      <c r="AD27" s="58">
        <v>0</v>
      </c>
      <c r="AE27" s="58">
        <v>0</v>
      </c>
      <c r="AF27" s="58">
        <v>2</v>
      </c>
      <c r="AG27" s="5">
        <f t="shared" si="2"/>
        <v>20</v>
      </c>
    </row>
    <row r="28" spans="1:33" ht="15.75" customHeight="1" x14ac:dyDescent="0.25">
      <c r="A28" s="59" t="s">
        <v>27</v>
      </c>
      <c r="B28" s="6">
        <f t="shared" ref="B28:AF28" si="3">SUM(B29:B52)</f>
        <v>115</v>
      </c>
      <c r="C28" s="6">
        <f t="shared" si="3"/>
        <v>136</v>
      </c>
      <c r="D28" s="6">
        <f t="shared" si="3"/>
        <v>117</v>
      </c>
      <c r="E28" s="6">
        <f t="shared" si="3"/>
        <v>121</v>
      </c>
      <c r="F28" s="6">
        <f t="shared" si="3"/>
        <v>191</v>
      </c>
      <c r="G28" s="6">
        <f t="shared" si="3"/>
        <v>218</v>
      </c>
      <c r="H28" s="6">
        <f t="shared" si="3"/>
        <v>136</v>
      </c>
      <c r="I28" s="6">
        <f t="shared" si="3"/>
        <v>126</v>
      </c>
      <c r="J28" s="6">
        <f t="shared" si="3"/>
        <v>134</v>
      </c>
      <c r="K28" s="6">
        <f t="shared" si="3"/>
        <v>139</v>
      </c>
      <c r="L28" s="6">
        <f t="shared" si="3"/>
        <v>115</v>
      </c>
      <c r="M28" s="6">
        <f t="shared" si="3"/>
        <v>220</v>
      </c>
      <c r="N28" s="6">
        <f t="shared" si="3"/>
        <v>204</v>
      </c>
      <c r="O28" s="6">
        <f t="shared" si="3"/>
        <v>152</v>
      </c>
      <c r="P28" s="6">
        <f t="shared" si="3"/>
        <v>137</v>
      </c>
      <c r="Q28" s="6">
        <f t="shared" si="3"/>
        <v>121</v>
      </c>
      <c r="R28" s="6">
        <f t="shared" si="3"/>
        <v>98</v>
      </c>
      <c r="S28" s="6">
        <f t="shared" si="3"/>
        <v>136</v>
      </c>
      <c r="T28" s="6">
        <f t="shared" si="3"/>
        <v>193</v>
      </c>
      <c r="U28" s="6">
        <f t="shared" si="3"/>
        <v>95</v>
      </c>
      <c r="V28" s="6">
        <f t="shared" si="3"/>
        <v>142</v>
      </c>
      <c r="W28" s="6">
        <f t="shared" si="3"/>
        <v>117</v>
      </c>
      <c r="X28" s="6">
        <f t="shared" si="3"/>
        <v>118</v>
      </c>
      <c r="Y28" s="6">
        <f t="shared" si="3"/>
        <v>119</v>
      </c>
      <c r="Z28" s="6">
        <f t="shared" si="3"/>
        <v>155</v>
      </c>
      <c r="AA28" s="6">
        <f t="shared" si="3"/>
        <v>200</v>
      </c>
      <c r="AB28" s="6">
        <f t="shared" si="3"/>
        <v>189</v>
      </c>
      <c r="AC28" s="6">
        <f t="shared" si="3"/>
        <v>136</v>
      </c>
      <c r="AD28" s="6">
        <f t="shared" si="3"/>
        <v>122</v>
      </c>
      <c r="AE28" s="6">
        <f t="shared" si="3"/>
        <v>112</v>
      </c>
      <c r="AF28" s="6">
        <f t="shared" si="3"/>
        <v>197</v>
      </c>
      <c r="AG28" s="7">
        <f t="shared" si="2"/>
        <v>4511</v>
      </c>
    </row>
    <row r="29" spans="1:33" ht="15.75" customHeight="1" x14ac:dyDescent="0.25">
      <c r="A29" s="53" t="s">
        <v>3</v>
      </c>
      <c r="B29" s="54">
        <v>0</v>
      </c>
      <c r="C29" s="55">
        <v>0</v>
      </c>
      <c r="D29" s="55">
        <v>0</v>
      </c>
      <c r="E29" s="55">
        <v>0</v>
      </c>
      <c r="F29" s="55">
        <v>3</v>
      </c>
      <c r="G29" s="55">
        <v>4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55">
        <v>6</v>
      </c>
      <c r="N29" s="55">
        <v>1</v>
      </c>
      <c r="O29" s="55">
        <v>0</v>
      </c>
      <c r="P29" s="55">
        <v>0</v>
      </c>
      <c r="Q29" s="55">
        <v>0</v>
      </c>
      <c r="R29" s="55">
        <v>0</v>
      </c>
      <c r="S29" s="55">
        <v>0</v>
      </c>
      <c r="T29" s="55">
        <v>2</v>
      </c>
      <c r="U29" s="55">
        <v>2</v>
      </c>
      <c r="V29" s="55">
        <v>0</v>
      </c>
      <c r="W29" s="55">
        <v>0</v>
      </c>
      <c r="X29" s="55">
        <v>0</v>
      </c>
      <c r="Y29" s="55">
        <v>0</v>
      </c>
      <c r="Z29" s="55">
        <v>0</v>
      </c>
      <c r="AA29" s="55">
        <v>4</v>
      </c>
      <c r="AB29" s="55">
        <v>2</v>
      </c>
      <c r="AC29" s="55">
        <v>0</v>
      </c>
      <c r="AD29" s="54">
        <v>0</v>
      </c>
      <c r="AE29" s="54">
        <v>0</v>
      </c>
      <c r="AF29" s="54">
        <v>0</v>
      </c>
      <c r="AG29" s="5">
        <f t="shared" si="2"/>
        <v>24</v>
      </c>
    </row>
    <row r="30" spans="1:33" ht="15.75" customHeight="1" x14ac:dyDescent="0.25">
      <c r="A30" s="56" t="s">
        <v>4</v>
      </c>
      <c r="B30" s="54">
        <v>0</v>
      </c>
      <c r="C30" s="54">
        <v>0</v>
      </c>
      <c r="D30" s="54">
        <v>0</v>
      </c>
      <c r="E30" s="54">
        <v>0</v>
      </c>
      <c r="F30" s="54">
        <v>8</v>
      </c>
      <c r="G30" s="54">
        <v>6</v>
      </c>
      <c r="H30" s="54">
        <v>0</v>
      </c>
      <c r="I30" s="54">
        <v>0</v>
      </c>
      <c r="J30" s="54">
        <v>0</v>
      </c>
      <c r="K30" s="54">
        <v>0</v>
      </c>
      <c r="L30" s="54">
        <v>0</v>
      </c>
      <c r="M30" s="54">
        <v>14</v>
      </c>
      <c r="N30" s="54">
        <v>7</v>
      </c>
      <c r="O30" s="54">
        <v>0</v>
      </c>
      <c r="P30" s="54">
        <v>0</v>
      </c>
      <c r="Q30" s="54">
        <v>0</v>
      </c>
      <c r="R30" s="54">
        <v>0</v>
      </c>
      <c r="S30" s="54">
        <v>0</v>
      </c>
      <c r="T30" s="54">
        <v>10</v>
      </c>
      <c r="U30" s="54">
        <v>3</v>
      </c>
      <c r="V30" s="54">
        <v>0</v>
      </c>
      <c r="W30" s="54">
        <v>0</v>
      </c>
      <c r="X30" s="54">
        <v>0</v>
      </c>
      <c r="Y30" s="54">
        <v>0</v>
      </c>
      <c r="Z30" s="54">
        <v>0</v>
      </c>
      <c r="AA30" s="54">
        <v>9</v>
      </c>
      <c r="AB30" s="54">
        <v>8</v>
      </c>
      <c r="AC30" s="54">
        <v>0</v>
      </c>
      <c r="AD30" s="54">
        <v>0</v>
      </c>
      <c r="AE30" s="54">
        <v>0</v>
      </c>
      <c r="AF30" s="54">
        <v>13</v>
      </c>
      <c r="AG30" s="5">
        <f t="shared" si="2"/>
        <v>78</v>
      </c>
    </row>
    <row r="31" spans="1:33" ht="15.75" customHeight="1" x14ac:dyDescent="0.25">
      <c r="A31" s="56" t="s">
        <v>5</v>
      </c>
      <c r="B31" s="54">
        <v>0</v>
      </c>
      <c r="C31" s="54">
        <v>0</v>
      </c>
      <c r="D31" s="54">
        <v>0</v>
      </c>
      <c r="E31" s="54">
        <v>0</v>
      </c>
      <c r="F31" s="54">
        <v>18</v>
      </c>
      <c r="G31" s="54">
        <v>15</v>
      </c>
      <c r="H31" s="54">
        <v>0</v>
      </c>
      <c r="I31" s="54">
        <v>0</v>
      </c>
      <c r="J31" s="54">
        <v>0</v>
      </c>
      <c r="K31" s="54">
        <v>0</v>
      </c>
      <c r="L31" s="54">
        <v>0</v>
      </c>
      <c r="M31" s="54">
        <v>26</v>
      </c>
      <c r="N31" s="54">
        <v>15</v>
      </c>
      <c r="O31" s="54">
        <v>0</v>
      </c>
      <c r="P31" s="54">
        <v>0</v>
      </c>
      <c r="Q31" s="54">
        <v>0</v>
      </c>
      <c r="R31" s="54">
        <v>0</v>
      </c>
      <c r="S31" s="54">
        <v>0</v>
      </c>
      <c r="T31" s="54">
        <v>18</v>
      </c>
      <c r="U31" s="54">
        <v>3</v>
      </c>
      <c r="V31" s="54">
        <v>0</v>
      </c>
      <c r="W31" s="54">
        <v>0</v>
      </c>
      <c r="X31" s="54">
        <v>0</v>
      </c>
      <c r="Y31" s="54">
        <v>0</v>
      </c>
      <c r="Z31" s="54">
        <v>0</v>
      </c>
      <c r="AA31" s="54">
        <v>16</v>
      </c>
      <c r="AB31" s="54">
        <v>15</v>
      </c>
      <c r="AC31" s="54">
        <v>0</v>
      </c>
      <c r="AD31" s="54">
        <v>0</v>
      </c>
      <c r="AE31" s="54">
        <v>0</v>
      </c>
      <c r="AF31" s="54">
        <v>12</v>
      </c>
      <c r="AG31" s="5">
        <f t="shared" si="2"/>
        <v>138</v>
      </c>
    </row>
    <row r="32" spans="1:33" ht="15.75" customHeight="1" x14ac:dyDescent="0.25">
      <c r="A32" s="56" t="s">
        <v>6</v>
      </c>
      <c r="B32" s="54">
        <v>0</v>
      </c>
      <c r="C32" s="54">
        <v>0</v>
      </c>
      <c r="D32" s="54">
        <v>0</v>
      </c>
      <c r="E32" s="54">
        <v>0</v>
      </c>
      <c r="F32" s="54">
        <v>14</v>
      </c>
      <c r="G32" s="54">
        <v>12</v>
      </c>
      <c r="H32" s="54">
        <v>0</v>
      </c>
      <c r="I32" s="54">
        <v>0</v>
      </c>
      <c r="J32" s="54">
        <v>0</v>
      </c>
      <c r="K32" s="54">
        <v>0</v>
      </c>
      <c r="L32" s="54">
        <v>0</v>
      </c>
      <c r="M32" s="54">
        <v>16</v>
      </c>
      <c r="N32" s="54">
        <v>12</v>
      </c>
      <c r="O32" s="54">
        <v>0</v>
      </c>
      <c r="P32" s="54">
        <v>0</v>
      </c>
      <c r="Q32" s="54">
        <v>0</v>
      </c>
      <c r="R32" s="54">
        <v>0</v>
      </c>
      <c r="S32" s="54">
        <v>0</v>
      </c>
      <c r="T32" s="54">
        <v>13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12</v>
      </c>
      <c r="AB32" s="54">
        <v>13</v>
      </c>
      <c r="AC32" s="54">
        <v>0</v>
      </c>
      <c r="AD32" s="54">
        <v>0</v>
      </c>
      <c r="AE32" s="54">
        <v>0</v>
      </c>
      <c r="AF32" s="54">
        <v>13</v>
      </c>
      <c r="AG32" s="5">
        <f t="shared" si="2"/>
        <v>105</v>
      </c>
    </row>
    <row r="33" spans="1:33" ht="15.75" customHeight="1" x14ac:dyDescent="0.25">
      <c r="A33" s="56" t="s">
        <v>7</v>
      </c>
      <c r="B33" s="54">
        <v>0</v>
      </c>
      <c r="C33" s="54">
        <v>0</v>
      </c>
      <c r="D33" s="54">
        <v>0</v>
      </c>
      <c r="E33" s="54">
        <v>0</v>
      </c>
      <c r="F33" s="54">
        <v>12</v>
      </c>
      <c r="G33" s="54">
        <v>21</v>
      </c>
      <c r="H33" s="54">
        <v>0</v>
      </c>
      <c r="I33" s="54">
        <v>0</v>
      </c>
      <c r="J33" s="54">
        <v>0</v>
      </c>
      <c r="K33" s="54">
        <v>0</v>
      </c>
      <c r="L33" s="54">
        <v>0</v>
      </c>
      <c r="M33" s="54">
        <v>16</v>
      </c>
      <c r="N33" s="54">
        <v>15</v>
      </c>
      <c r="O33" s="54">
        <v>0</v>
      </c>
      <c r="P33" s="54">
        <v>0</v>
      </c>
      <c r="Q33" s="54">
        <v>0</v>
      </c>
      <c r="R33" s="54">
        <v>0</v>
      </c>
      <c r="S33" s="54">
        <v>0</v>
      </c>
      <c r="T33" s="54">
        <v>10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6</v>
      </c>
      <c r="AA33" s="54">
        <v>12</v>
      </c>
      <c r="AB33" s="54">
        <v>12</v>
      </c>
      <c r="AC33" s="54">
        <v>0</v>
      </c>
      <c r="AD33" s="54">
        <v>0</v>
      </c>
      <c r="AE33" s="54">
        <v>0</v>
      </c>
      <c r="AF33" s="54">
        <v>18</v>
      </c>
      <c r="AG33" s="5">
        <f t="shared" si="2"/>
        <v>122</v>
      </c>
    </row>
    <row r="34" spans="1:33" ht="15.75" customHeight="1" x14ac:dyDescent="0.25">
      <c r="A34" s="56" t="s">
        <v>8</v>
      </c>
      <c r="B34" s="54">
        <v>0</v>
      </c>
      <c r="C34" s="54">
        <v>0</v>
      </c>
      <c r="D34" s="54">
        <v>0</v>
      </c>
      <c r="E34" s="54">
        <v>0</v>
      </c>
      <c r="F34" s="54">
        <v>9</v>
      </c>
      <c r="G34" s="54">
        <v>14</v>
      </c>
      <c r="H34" s="54">
        <v>0</v>
      </c>
      <c r="I34" s="54">
        <v>0</v>
      </c>
      <c r="J34" s="54">
        <v>0</v>
      </c>
      <c r="K34" s="54">
        <v>0</v>
      </c>
      <c r="L34" s="54">
        <v>0</v>
      </c>
      <c r="M34" s="54">
        <v>12</v>
      </c>
      <c r="N34" s="54">
        <v>10</v>
      </c>
      <c r="O34" s="54">
        <v>0</v>
      </c>
      <c r="P34" s="54">
        <v>0</v>
      </c>
      <c r="Q34" s="54">
        <v>0</v>
      </c>
      <c r="R34" s="54">
        <v>0</v>
      </c>
      <c r="S34" s="54">
        <v>0</v>
      </c>
      <c r="T34" s="54">
        <v>11</v>
      </c>
      <c r="U34" s="54">
        <v>5</v>
      </c>
      <c r="V34" s="54">
        <v>0</v>
      </c>
      <c r="W34" s="54">
        <v>0</v>
      </c>
      <c r="X34" s="54">
        <v>0</v>
      </c>
      <c r="Y34" s="54">
        <v>0</v>
      </c>
      <c r="Z34" s="54">
        <v>6</v>
      </c>
      <c r="AA34" s="54">
        <v>10</v>
      </c>
      <c r="AB34" s="54">
        <v>11</v>
      </c>
      <c r="AC34" s="54">
        <v>0</v>
      </c>
      <c r="AD34" s="54">
        <v>0</v>
      </c>
      <c r="AE34" s="54">
        <v>0</v>
      </c>
      <c r="AF34" s="54">
        <v>6</v>
      </c>
      <c r="AG34" s="5">
        <f t="shared" si="2"/>
        <v>94</v>
      </c>
    </row>
    <row r="35" spans="1:33" ht="15.75" customHeight="1" x14ac:dyDescent="0.25">
      <c r="A35" s="56" t="s">
        <v>9</v>
      </c>
      <c r="B35" s="54">
        <v>0</v>
      </c>
      <c r="C35" s="54">
        <v>0</v>
      </c>
      <c r="D35" s="54">
        <v>0</v>
      </c>
      <c r="E35" s="54">
        <v>0</v>
      </c>
      <c r="F35" s="54">
        <v>7</v>
      </c>
      <c r="G35" s="54">
        <v>15</v>
      </c>
      <c r="H35" s="54">
        <v>0</v>
      </c>
      <c r="I35" s="54">
        <v>0</v>
      </c>
      <c r="J35" s="54">
        <v>0</v>
      </c>
      <c r="K35" s="54">
        <v>0</v>
      </c>
      <c r="L35" s="54">
        <v>0</v>
      </c>
      <c r="M35" s="54">
        <v>10</v>
      </c>
      <c r="N35" s="54">
        <v>7</v>
      </c>
      <c r="O35" s="54">
        <v>0</v>
      </c>
      <c r="P35" s="54">
        <v>0</v>
      </c>
      <c r="Q35" s="54">
        <v>0</v>
      </c>
      <c r="R35" s="54">
        <v>0</v>
      </c>
      <c r="S35" s="54">
        <v>0</v>
      </c>
      <c r="T35" s="54">
        <v>16</v>
      </c>
      <c r="U35" s="54">
        <v>2</v>
      </c>
      <c r="V35" s="54">
        <v>0</v>
      </c>
      <c r="W35" s="54">
        <v>0</v>
      </c>
      <c r="X35" s="54">
        <v>0</v>
      </c>
      <c r="Y35" s="54">
        <v>0</v>
      </c>
      <c r="Z35" s="54">
        <v>5</v>
      </c>
      <c r="AA35" s="54">
        <v>11</v>
      </c>
      <c r="AB35" s="54">
        <v>12</v>
      </c>
      <c r="AC35" s="54">
        <v>0</v>
      </c>
      <c r="AD35" s="54">
        <v>0</v>
      </c>
      <c r="AE35" s="54">
        <v>0</v>
      </c>
      <c r="AF35" s="54">
        <v>6</v>
      </c>
      <c r="AG35" s="5">
        <f t="shared" si="2"/>
        <v>91</v>
      </c>
    </row>
    <row r="36" spans="1:33" ht="15.75" customHeight="1" x14ac:dyDescent="0.25">
      <c r="A36" s="56" t="s">
        <v>10</v>
      </c>
      <c r="B36" s="54">
        <v>0</v>
      </c>
      <c r="C36" s="54">
        <v>0</v>
      </c>
      <c r="D36" s="54">
        <v>0</v>
      </c>
      <c r="E36" s="54">
        <v>0</v>
      </c>
      <c r="F36" s="54">
        <v>12</v>
      </c>
      <c r="G36" s="54">
        <v>13</v>
      </c>
      <c r="H36" s="54">
        <v>0</v>
      </c>
      <c r="I36" s="54">
        <v>0</v>
      </c>
      <c r="J36" s="54">
        <v>0</v>
      </c>
      <c r="K36" s="54">
        <v>0</v>
      </c>
      <c r="L36" s="54">
        <v>0</v>
      </c>
      <c r="M36" s="54">
        <v>15</v>
      </c>
      <c r="N36" s="54">
        <v>8</v>
      </c>
      <c r="O36" s="54">
        <v>0</v>
      </c>
      <c r="P36" s="54">
        <v>0</v>
      </c>
      <c r="Q36" s="54">
        <v>0</v>
      </c>
      <c r="R36" s="54">
        <v>0</v>
      </c>
      <c r="S36" s="54">
        <v>0</v>
      </c>
      <c r="T36" s="54">
        <v>7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6</v>
      </c>
      <c r="AA36" s="54">
        <v>8</v>
      </c>
      <c r="AB36" s="54">
        <v>11</v>
      </c>
      <c r="AC36" s="54">
        <v>0</v>
      </c>
      <c r="AD36" s="54">
        <v>0</v>
      </c>
      <c r="AE36" s="54">
        <v>0</v>
      </c>
      <c r="AF36" s="54">
        <v>17</v>
      </c>
      <c r="AG36" s="5">
        <f t="shared" si="2"/>
        <v>97</v>
      </c>
    </row>
    <row r="37" spans="1:33" ht="15.75" customHeight="1" x14ac:dyDescent="0.25">
      <c r="A37" s="56" t="s">
        <v>11</v>
      </c>
      <c r="B37" s="54">
        <v>0</v>
      </c>
      <c r="C37" s="54">
        <v>0</v>
      </c>
      <c r="D37" s="54">
        <v>0</v>
      </c>
      <c r="E37" s="54">
        <v>5</v>
      </c>
      <c r="F37" s="54">
        <v>20</v>
      </c>
      <c r="G37" s="54">
        <v>14</v>
      </c>
      <c r="H37" s="54">
        <v>0</v>
      </c>
      <c r="I37" s="54">
        <v>0</v>
      </c>
      <c r="J37" s="54">
        <v>0</v>
      </c>
      <c r="K37" s="54">
        <v>0</v>
      </c>
      <c r="L37" s="54">
        <v>5</v>
      </c>
      <c r="M37" s="54">
        <v>11</v>
      </c>
      <c r="N37" s="54">
        <v>11</v>
      </c>
      <c r="O37" s="54">
        <v>0</v>
      </c>
      <c r="P37" s="54">
        <v>0</v>
      </c>
      <c r="Q37" s="54">
        <v>0</v>
      </c>
      <c r="R37" s="54">
        <v>0</v>
      </c>
      <c r="S37" s="54">
        <v>5</v>
      </c>
      <c r="T37" s="54">
        <v>12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12</v>
      </c>
      <c r="AA37" s="54">
        <v>8</v>
      </c>
      <c r="AB37" s="54">
        <v>9</v>
      </c>
      <c r="AC37" s="54">
        <v>0</v>
      </c>
      <c r="AD37" s="54">
        <v>0</v>
      </c>
      <c r="AE37" s="54">
        <v>0</v>
      </c>
      <c r="AF37" s="54">
        <v>10</v>
      </c>
      <c r="AG37" s="5">
        <f t="shared" si="2"/>
        <v>122</v>
      </c>
    </row>
    <row r="38" spans="1:33" ht="15.75" customHeight="1" x14ac:dyDescent="0.25">
      <c r="A38" s="56" t="s">
        <v>12</v>
      </c>
      <c r="B38" s="54">
        <v>4</v>
      </c>
      <c r="C38" s="54">
        <v>10</v>
      </c>
      <c r="D38" s="54">
        <v>7</v>
      </c>
      <c r="E38" s="54">
        <v>13</v>
      </c>
      <c r="F38" s="54">
        <v>10</v>
      </c>
      <c r="G38" s="54">
        <v>17</v>
      </c>
      <c r="H38" s="54">
        <v>9</v>
      </c>
      <c r="I38" s="54">
        <v>12</v>
      </c>
      <c r="J38" s="54">
        <v>3</v>
      </c>
      <c r="K38" s="54">
        <v>9</v>
      </c>
      <c r="L38" s="54">
        <v>12</v>
      </c>
      <c r="M38" s="54">
        <v>9</v>
      </c>
      <c r="N38" s="54">
        <v>20</v>
      </c>
      <c r="O38" s="54">
        <v>9</v>
      </c>
      <c r="P38" s="54">
        <v>16</v>
      </c>
      <c r="Q38" s="54">
        <v>11</v>
      </c>
      <c r="R38" s="54">
        <v>8</v>
      </c>
      <c r="S38" s="54">
        <v>15</v>
      </c>
      <c r="T38" s="54">
        <v>13</v>
      </c>
      <c r="U38" s="54">
        <v>0</v>
      </c>
      <c r="V38" s="54">
        <v>10</v>
      </c>
      <c r="W38" s="54">
        <v>7</v>
      </c>
      <c r="X38" s="54">
        <v>9</v>
      </c>
      <c r="Y38" s="54">
        <v>5</v>
      </c>
      <c r="Z38" s="54">
        <v>16</v>
      </c>
      <c r="AA38" s="54">
        <v>14</v>
      </c>
      <c r="AB38" s="54">
        <v>6</v>
      </c>
      <c r="AC38" s="54">
        <v>12</v>
      </c>
      <c r="AD38" s="54">
        <v>4</v>
      </c>
      <c r="AE38" s="54">
        <v>13</v>
      </c>
      <c r="AF38" s="54">
        <v>11</v>
      </c>
      <c r="AG38" s="5">
        <f t="shared" si="2"/>
        <v>314</v>
      </c>
    </row>
    <row r="39" spans="1:33" ht="15.75" customHeight="1" x14ac:dyDescent="0.25">
      <c r="A39" s="56" t="s">
        <v>13</v>
      </c>
      <c r="B39" s="54">
        <v>15</v>
      </c>
      <c r="C39" s="54">
        <v>18</v>
      </c>
      <c r="D39" s="54">
        <v>14</v>
      </c>
      <c r="E39" s="54">
        <v>18</v>
      </c>
      <c r="F39" s="54">
        <v>8</v>
      </c>
      <c r="G39" s="54">
        <v>24</v>
      </c>
      <c r="H39" s="54">
        <v>15</v>
      </c>
      <c r="I39" s="54">
        <v>10</v>
      </c>
      <c r="J39" s="54">
        <v>16</v>
      </c>
      <c r="K39" s="54">
        <v>24</v>
      </c>
      <c r="L39" s="54">
        <v>13</v>
      </c>
      <c r="M39" s="54">
        <v>14</v>
      </c>
      <c r="N39" s="54">
        <v>17</v>
      </c>
      <c r="O39" s="54">
        <v>22</v>
      </c>
      <c r="P39" s="54">
        <v>13</v>
      </c>
      <c r="Q39" s="54">
        <v>6</v>
      </c>
      <c r="R39" s="54">
        <v>10</v>
      </c>
      <c r="S39" s="54">
        <v>18</v>
      </c>
      <c r="T39" s="54">
        <v>14</v>
      </c>
      <c r="U39" s="54">
        <v>4</v>
      </c>
      <c r="V39" s="54">
        <v>15</v>
      </c>
      <c r="W39" s="54">
        <v>12</v>
      </c>
      <c r="X39" s="54">
        <v>15</v>
      </c>
      <c r="Y39" s="54">
        <v>14</v>
      </c>
      <c r="Z39" s="54">
        <v>13</v>
      </c>
      <c r="AA39" s="54">
        <v>15</v>
      </c>
      <c r="AB39" s="54">
        <v>7</v>
      </c>
      <c r="AC39" s="54">
        <v>17</v>
      </c>
      <c r="AD39" s="54">
        <v>18</v>
      </c>
      <c r="AE39" s="54">
        <v>9</v>
      </c>
      <c r="AF39" s="54">
        <v>19</v>
      </c>
      <c r="AG39" s="5">
        <f t="shared" si="2"/>
        <v>447</v>
      </c>
    </row>
    <row r="40" spans="1:33" ht="15.75" customHeight="1" x14ac:dyDescent="0.25">
      <c r="A40" s="56" t="s">
        <v>14</v>
      </c>
      <c r="B40" s="54">
        <v>14</v>
      </c>
      <c r="C40" s="54">
        <v>20</v>
      </c>
      <c r="D40" s="54">
        <v>12</v>
      </c>
      <c r="E40" s="54">
        <v>16</v>
      </c>
      <c r="F40" s="54">
        <v>11</v>
      </c>
      <c r="G40" s="54">
        <v>12</v>
      </c>
      <c r="H40" s="54">
        <v>21</v>
      </c>
      <c r="I40" s="54">
        <v>21</v>
      </c>
      <c r="J40" s="54">
        <v>16</v>
      </c>
      <c r="K40" s="54">
        <v>25</v>
      </c>
      <c r="L40" s="54">
        <v>7</v>
      </c>
      <c r="M40" s="54">
        <v>20</v>
      </c>
      <c r="N40" s="54">
        <v>12</v>
      </c>
      <c r="O40" s="54">
        <v>21</v>
      </c>
      <c r="P40" s="54">
        <v>21</v>
      </c>
      <c r="Q40" s="54">
        <v>16</v>
      </c>
      <c r="R40" s="54">
        <v>10</v>
      </c>
      <c r="S40" s="54">
        <v>19</v>
      </c>
      <c r="T40" s="54">
        <v>8</v>
      </c>
      <c r="U40" s="54">
        <v>17</v>
      </c>
      <c r="V40" s="54">
        <v>20</v>
      </c>
      <c r="W40" s="54">
        <v>11</v>
      </c>
      <c r="X40" s="54">
        <v>18</v>
      </c>
      <c r="Y40" s="54">
        <v>16</v>
      </c>
      <c r="Z40" s="54">
        <v>20</v>
      </c>
      <c r="AA40" s="54">
        <v>10</v>
      </c>
      <c r="AB40" s="54">
        <v>16</v>
      </c>
      <c r="AC40" s="54">
        <v>14</v>
      </c>
      <c r="AD40" s="54">
        <v>14</v>
      </c>
      <c r="AE40" s="54">
        <v>12</v>
      </c>
      <c r="AF40" s="54">
        <v>8</v>
      </c>
      <c r="AG40" s="5">
        <f t="shared" si="2"/>
        <v>478</v>
      </c>
    </row>
    <row r="41" spans="1:33" ht="15.75" customHeight="1" x14ac:dyDescent="0.25">
      <c r="A41" s="56" t="s">
        <v>15</v>
      </c>
      <c r="B41" s="54">
        <v>21</v>
      </c>
      <c r="C41" s="54">
        <v>16</v>
      </c>
      <c r="D41" s="54">
        <v>15</v>
      </c>
      <c r="E41" s="54">
        <v>16</v>
      </c>
      <c r="F41" s="54">
        <v>9</v>
      </c>
      <c r="G41" s="54">
        <v>11</v>
      </c>
      <c r="H41" s="54">
        <v>23</v>
      </c>
      <c r="I41" s="54">
        <v>17</v>
      </c>
      <c r="J41" s="54">
        <v>20</v>
      </c>
      <c r="K41" s="54">
        <v>27</v>
      </c>
      <c r="L41" s="54">
        <v>9</v>
      </c>
      <c r="M41" s="54">
        <v>13</v>
      </c>
      <c r="N41" s="54">
        <v>18</v>
      </c>
      <c r="O41" s="54">
        <v>20</v>
      </c>
      <c r="P41" s="54">
        <v>18</v>
      </c>
      <c r="Q41" s="54">
        <v>20</v>
      </c>
      <c r="R41" s="54">
        <v>10</v>
      </c>
      <c r="S41" s="54">
        <v>25</v>
      </c>
      <c r="T41" s="54">
        <v>14</v>
      </c>
      <c r="U41" s="54">
        <v>13</v>
      </c>
      <c r="V41" s="54">
        <v>22</v>
      </c>
      <c r="W41" s="54">
        <v>16</v>
      </c>
      <c r="X41" s="54">
        <v>15</v>
      </c>
      <c r="Y41" s="54">
        <v>13</v>
      </c>
      <c r="Z41" s="54">
        <v>17</v>
      </c>
      <c r="AA41" s="54">
        <v>14</v>
      </c>
      <c r="AB41" s="54">
        <v>16</v>
      </c>
      <c r="AC41" s="54">
        <v>19</v>
      </c>
      <c r="AD41" s="54">
        <v>18</v>
      </c>
      <c r="AE41" s="54">
        <v>11</v>
      </c>
      <c r="AF41" s="54">
        <v>12</v>
      </c>
      <c r="AG41" s="5">
        <f t="shared" si="2"/>
        <v>508</v>
      </c>
    </row>
    <row r="42" spans="1:33" ht="15.75" customHeight="1" x14ac:dyDescent="0.25">
      <c r="A42" s="56" t="s">
        <v>16</v>
      </c>
      <c r="B42" s="54">
        <v>11</v>
      </c>
      <c r="C42" s="54">
        <v>16</v>
      </c>
      <c r="D42" s="54">
        <v>9</v>
      </c>
      <c r="E42" s="54">
        <v>16</v>
      </c>
      <c r="F42" s="54">
        <v>12</v>
      </c>
      <c r="G42" s="54">
        <v>5</v>
      </c>
      <c r="H42" s="54">
        <v>14</v>
      </c>
      <c r="I42" s="54">
        <v>12</v>
      </c>
      <c r="J42" s="54">
        <v>14</v>
      </c>
      <c r="K42" s="54">
        <v>18</v>
      </c>
      <c r="L42" s="54">
        <v>9</v>
      </c>
      <c r="M42" s="54">
        <v>9</v>
      </c>
      <c r="N42" s="54">
        <v>9</v>
      </c>
      <c r="O42" s="54">
        <v>24</v>
      </c>
      <c r="P42" s="54">
        <v>15</v>
      </c>
      <c r="Q42" s="54">
        <v>17</v>
      </c>
      <c r="R42" s="54">
        <v>11</v>
      </c>
      <c r="S42" s="54">
        <v>14</v>
      </c>
      <c r="T42" s="54">
        <v>10</v>
      </c>
      <c r="U42" s="54">
        <v>11</v>
      </c>
      <c r="V42" s="54">
        <v>12</v>
      </c>
      <c r="W42" s="54">
        <v>14</v>
      </c>
      <c r="X42" s="54">
        <v>16</v>
      </c>
      <c r="Y42" s="54">
        <v>16</v>
      </c>
      <c r="Z42" s="54">
        <v>11</v>
      </c>
      <c r="AA42" s="54">
        <v>12</v>
      </c>
      <c r="AB42" s="54">
        <v>12</v>
      </c>
      <c r="AC42" s="54">
        <v>14</v>
      </c>
      <c r="AD42" s="54">
        <v>14</v>
      </c>
      <c r="AE42" s="54">
        <v>10</v>
      </c>
      <c r="AF42" s="54">
        <v>7</v>
      </c>
      <c r="AG42" s="5">
        <f t="shared" si="2"/>
        <v>394</v>
      </c>
    </row>
    <row r="43" spans="1:33" ht="15.75" customHeight="1" x14ac:dyDescent="0.25">
      <c r="A43" s="56" t="s">
        <v>17</v>
      </c>
      <c r="B43" s="54">
        <v>9</v>
      </c>
      <c r="C43" s="54">
        <v>9</v>
      </c>
      <c r="D43" s="54">
        <v>13</v>
      </c>
      <c r="E43" s="54">
        <v>5</v>
      </c>
      <c r="F43" s="54">
        <v>6</v>
      </c>
      <c r="G43" s="54">
        <v>4</v>
      </c>
      <c r="H43" s="54">
        <v>10</v>
      </c>
      <c r="I43" s="54">
        <v>9</v>
      </c>
      <c r="J43" s="54">
        <v>7</v>
      </c>
      <c r="K43" s="54">
        <v>11</v>
      </c>
      <c r="L43" s="54">
        <v>11</v>
      </c>
      <c r="M43" s="54">
        <v>8</v>
      </c>
      <c r="N43" s="54">
        <v>8</v>
      </c>
      <c r="O43" s="54">
        <v>13</v>
      </c>
      <c r="P43" s="54">
        <v>16</v>
      </c>
      <c r="Q43" s="54">
        <v>7</v>
      </c>
      <c r="R43" s="54">
        <v>7</v>
      </c>
      <c r="S43" s="54">
        <v>12</v>
      </c>
      <c r="T43" s="54">
        <v>5</v>
      </c>
      <c r="U43" s="54">
        <v>8</v>
      </c>
      <c r="V43" s="54">
        <v>17</v>
      </c>
      <c r="W43" s="54">
        <v>10</v>
      </c>
      <c r="X43" s="54">
        <v>13</v>
      </c>
      <c r="Y43" s="54">
        <v>12</v>
      </c>
      <c r="Z43" s="54">
        <v>4</v>
      </c>
      <c r="AA43" s="54">
        <v>12</v>
      </c>
      <c r="AB43" s="54">
        <v>5</v>
      </c>
      <c r="AC43" s="54">
        <v>7</v>
      </c>
      <c r="AD43" s="54">
        <v>10</v>
      </c>
      <c r="AE43" s="54">
        <v>10</v>
      </c>
      <c r="AF43" s="54">
        <v>4</v>
      </c>
      <c r="AG43" s="5">
        <f t="shared" si="2"/>
        <v>282</v>
      </c>
    </row>
    <row r="44" spans="1:33" ht="15.75" customHeight="1" x14ac:dyDescent="0.25">
      <c r="A44" s="56" t="s">
        <v>18</v>
      </c>
      <c r="B44" s="54">
        <v>13</v>
      </c>
      <c r="C44" s="54">
        <v>11</v>
      </c>
      <c r="D44" s="54">
        <v>15</v>
      </c>
      <c r="E44" s="54">
        <v>4</v>
      </c>
      <c r="F44" s="54">
        <v>11</v>
      </c>
      <c r="G44" s="54">
        <v>9</v>
      </c>
      <c r="H44" s="54">
        <v>8</v>
      </c>
      <c r="I44" s="54">
        <v>13</v>
      </c>
      <c r="J44" s="54">
        <v>13</v>
      </c>
      <c r="K44" s="54">
        <v>7</v>
      </c>
      <c r="L44" s="54">
        <v>6</v>
      </c>
      <c r="M44" s="54">
        <v>9</v>
      </c>
      <c r="N44" s="54">
        <v>10</v>
      </c>
      <c r="O44" s="54">
        <v>13</v>
      </c>
      <c r="P44" s="54">
        <v>12</v>
      </c>
      <c r="Q44" s="54">
        <v>7</v>
      </c>
      <c r="R44" s="54">
        <v>7</v>
      </c>
      <c r="S44" s="54">
        <v>2</v>
      </c>
      <c r="T44" s="54">
        <v>8</v>
      </c>
      <c r="U44" s="54">
        <v>7</v>
      </c>
      <c r="V44" s="54">
        <v>13</v>
      </c>
      <c r="W44" s="54">
        <v>17</v>
      </c>
      <c r="X44" s="54">
        <v>13</v>
      </c>
      <c r="Y44" s="54">
        <v>4</v>
      </c>
      <c r="Z44" s="54">
        <v>12</v>
      </c>
      <c r="AA44" s="54">
        <v>12</v>
      </c>
      <c r="AB44" s="54">
        <v>7</v>
      </c>
      <c r="AC44" s="54">
        <v>4</v>
      </c>
      <c r="AD44" s="54">
        <v>12</v>
      </c>
      <c r="AE44" s="54">
        <v>9</v>
      </c>
      <c r="AF44" s="54">
        <v>5</v>
      </c>
      <c r="AG44" s="5">
        <f t="shared" si="2"/>
        <v>293</v>
      </c>
    </row>
    <row r="45" spans="1:33" ht="15.75" customHeight="1" x14ac:dyDescent="0.25">
      <c r="A45" s="56" t="s">
        <v>19</v>
      </c>
      <c r="B45" s="54">
        <v>10</v>
      </c>
      <c r="C45" s="54">
        <v>11</v>
      </c>
      <c r="D45" s="54">
        <v>12</v>
      </c>
      <c r="E45" s="54">
        <v>8</v>
      </c>
      <c r="F45" s="54">
        <v>6</v>
      </c>
      <c r="G45" s="54">
        <v>6</v>
      </c>
      <c r="H45" s="54">
        <v>8</v>
      </c>
      <c r="I45" s="54">
        <v>16</v>
      </c>
      <c r="J45" s="54">
        <v>8</v>
      </c>
      <c r="K45" s="54">
        <v>1</v>
      </c>
      <c r="L45" s="54">
        <v>9</v>
      </c>
      <c r="M45" s="54">
        <v>4</v>
      </c>
      <c r="N45" s="54">
        <v>9</v>
      </c>
      <c r="O45" s="54">
        <v>10</v>
      </c>
      <c r="P45" s="54">
        <v>6</v>
      </c>
      <c r="Q45" s="54">
        <v>11</v>
      </c>
      <c r="R45" s="54">
        <v>4</v>
      </c>
      <c r="S45" s="54">
        <v>6</v>
      </c>
      <c r="T45" s="54">
        <v>5</v>
      </c>
      <c r="U45" s="54">
        <v>9</v>
      </c>
      <c r="V45" s="54">
        <v>5</v>
      </c>
      <c r="W45" s="54">
        <v>10</v>
      </c>
      <c r="X45" s="54">
        <v>13</v>
      </c>
      <c r="Y45" s="54">
        <v>10</v>
      </c>
      <c r="Z45" s="54">
        <v>5</v>
      </c>
      <c r="AA45" s="54">
        <v>11</v>
      </c>
      <c r="AB45" s="54">
        <v>9</v>
      </c>
      <c r="AC45" s="54">
        <v>10</v>
      </c>
      <c r="AD45" s="54">
        <v>5</v>
      </c>
      <c r="AE45" s="54">
        <v>9</v>
      </c>
      <c r="AF45" s="54">
        <v>5</v>
      </c>
      <c r="AG45" s="5">
        <f t="shared" si="2"/>
        <v>251</v>
      </c>
    </row>
    <row r="46" spans="1:33" ht="15.75" customHeight="1" x14ac:dyDescent="0.25">
      <c r="A46" s="56" t="s">
        <v>20</v>
      </c>
      <c r="B46" s="54">
        <v>9</v>
      </c>
      <c r="C46" s="54">
        <v>10</v>
      </c>
      <c r="D46" s="54">
        <v>9</v>
      </c>
      <c r="E46" s="54">
        <v>11</v>
      </c>
      <c r="F46" s="54">
        <v>2</v>
      </c>
      <c r="G46" s="54">
        <v>1</v>
      </c>
      <c r="H46" s="54">
        <v>12</v>
      </c>
      <c r="I46" s="54">
        <v>5</v>
      </c>
      <c r="J46" s="54">
        <v>17</v>
      </c>
      <c r="K46" s="54">
        <v>1</v>
      </c>
      <c r="L46" s="54">
        <v>15</v>
      </c>
      <c r="M46" s="54">
        <v>0</v>
      </c>
      <c r="N46" s="54">
        <v>5</v>
      </c>
      <c r="O46" s="54">
        <v>13</v>
      </c>
      <c r="P46" s="54">
        <v>4</v>
      </c>
      <c r="Q46" s="54">
        <v>14</v>
      </c>
      <c r="R46" s="54">
        <v>8</v>
      </c>
      <c r="S46" s="54">
        <v>4</v>
      </c>
      <c r="T46" s="54">
        <v>4</v>
      </c>
      <c r="U46" s="54">
        <v>6</v>
      </c>
      <c r="V46" s="54">
        <v>9</v>
      </c>
      <c r="W46" s="54">
        <v>10</v>
      </c>
      <c r="X46" s="54">
        <v>1</v>
      </c>
      <c r="Y46" s="54">
        <v>9</v>
      </c>
      <c r="Z46" s="54">
        <v>4</v>
      </c>
      <c r="AA46" s="54">
        <v>1</v>
      </c>
      <c r="AB46" s="54">
        <v>5</v>
      </c>
      <c r="AC46" s="54">
        <v>14</v>
      </c>
      <c r="AD46" s="54">
        <v>7</v>
      </c>
      <c r="AE46" s="54">
        <v>9</v>
      </c>
      <c r="AF46" s="54">
        <v>6</v>
      </c>
      <c r="AG46" s="5">
        <f t="shared" si="2"/>
        <v>225</v>
      </c>
    </row>
    <row r="47" spans="1:33" ht="15.75" customHeight="1" x14ac:dyDescent="0.25">
      <c r="A47" s="56" t="s">
        <v>21</v>
      </c>
      <c r="B47" s="54">
        <v>2</v>
      </c>
      <c r="C47" s="54">
        <v>6</v>
      </c>
      <c r="D47" s="54">
        <v>4</v>
      </c>
      <c r="E47" s="54">
        <v>6</v>
      </c>
      <c r="F47" s="54">
        <v>4</v>
      </c>
      <c r="G47" s="54">
        <v>4</v>
      </c>
      <c r="H47" s="54">
        <v>5</v>
      </c>
      <c r="I47" s="54">
        <v>5</v>
      </c>
      <c r="J47" s="54">
        <v>9</v>
      </c>
      <c r="K47" s="54">
        <v>1</v>
      </c>
      <c r="L47" s="54">
        <v>11</v>
      </c>
      <c r="M47" s="54">
        <v>1</v>
      </c>
      <c r="N47" s="54">
        <v>0</v>
      </c>
      <c r="O47" s="54">
        <v>3</v>
      </c>
      <c r="P47" s="54">
        <v>5</v>
      </c>
      <c r="Q47" s="54">
        <v>6</v>
      </c>
      <c r="R47" s="54">
        <v>10</v>
      </c>
      <c r="S47" s="54">
        <v>5</v>
      </c>
      <c r="T47" s="54">
        <v>0</v>
      </c>
      <c r="U47" s="54">
        <v>0</v>
      </c>
      <c r="V47" s="54">
        <v>8</v>
      </c>
      <c r="W47" s="54">
        <v>2</v>
      </c>
      <c r="X47" s="54">
        <v>2</v>
      </c>
      <c r="Y47" s="54">
        <v>3</v>
      </c>
      <c r="Z47" s="54">
        <v>6</v>
      </c>
      <c r="AA47" s="54">
        <v>0</v>
      </c>
      <c r="AB47" s="54">
        <v>1</v>
      </c>
      <c r="AC47" s="54">
        <v>7</v>
      </c>
      <c r="AD47" s="54">
        <v>5</v>
      </c>
      <c r="AE47" s="54">
        <v>4</v>
      </c>
      <c r="AF47" s="54">
        <v>8</v>
      </c>
      <c r="AG47" s="5">
        <f t="shared" si="2"/>
        <v>133</v>
      </c>
    </row>
    <row r="48" spans="1:33" ht="15.75" customHeight="1" x14ac:dyDescent="0.25">
      <c r="A48" s="56" t="s">
        <v>22</v>
      </c>
      <c r="B48" s="54">
        <v>6</v>
      </c>
      <c r="C48" s="54">
        <v>3</v>
      </c>
      <c r="D48" s="54">
        <v>2</v>
      </c>
      <c r="E48" s="54">
        <v>2</v>
      </c>
      <c r="F48" s="54">
        <v>4</v>
      </c>
      <c r="G48" s="54">
        <v>5</v>
      </c>
      <c r="H48" s="54">
        <v>4</v>
      </c>
      <c r="I48" s="54">
        <v>2</v>
      </c>
      <c r="J48" s="54">
        <v>6</v>
      </c>
      <c r="K48" s="54">
        <v>1</v>
      </c>
      <c r="L48" s="54">
        <v>3</v>
      </c>
      <c r="M48" s="54">
        <v>5</v>
      </c>
      <c r="N48" s="54">
        <v>2</v>
      </c>
      <c r="O48" s="54">
        <v>3</v>
      </c>
      <c r="P48" s="54">
        <v>4</v>
      </c>
      <c r="Q48" s="54">
        <v>3</v>
      </c>
      <c r="R48" s="54">
        <v>4</v>
      </c>
      <c r="S48" s="54">
        <v>2</v>
      </c>
      <c r="T48" s="54">
        <v>5</v>
      </c>
      <c r="U48" s="54">
        <v>2</v>
      </c>
      <c r="V48" s="54">
        <v>4</v>
      </c>
      <c r="W48" s="54">
        <v>6</v>
      </c>
      <c r="X48" s="54">
        <v>1</v>
      </c>
      <c r="Y48" s="54">
        <v>6</v>
      </c>
      <c r="Z48" s="54">
        <v>2</v>
      </c>
      <c r="AA48" s="54">
        <v>3</v>
      </c>
      <c r="AB48" s="54">
        <v>4</v>
      </c>
      <c r="AC48" s="54">
        <v>9</v>
      </c>
      <c r="AD48" s="54">
        <v>5</v>
      </c>
      <c r="AE48" s="54">
        <v>6</v>
      </c>
      <c r="AF48" s="54">
        <v>1</v>
      </c>
      <c r="AG48" s="5">
        <f t="shared" si="2"/>
        <v>115</v>
      </c>
    </row>
    <row r="49" spans="1:33" ht="15.75" customHeight="1" x14ac:dyDescent="0.25">
      <c r="A49" s="56" t="s">
        <v>23</v>
      </c>
      <c r="B49" s="54">
        <v>1</v>
      </c>
      <c r="C49" s="54">
        <v>1</v>
      </c>
      <c r="D49" s="54">
        <v>3</v>
      </c>
      <c r="E49" s="54">
        <v>0</v>
      </c>
      <c r="F49" s="54">
        <v>0</v>
      </c>
      <c r="G49" s="54">
        <v>1</v>
      </c>
      <c r="H49" s="54">
        <v>4</v>
      </c>
      <c r="I49" s="54">
        <v>1</v>
      </c>
      <c r="J49" s="54">
        <v>3</v>
      </c>
      <c r="K49" s="54">
        <v>7</v>
      </c>
      <c r="L49" s="54">
        <v>0</v>
      </c>
      <c r="M49" s="54">
        <v>2</v>
      </c>
      <c r="N49" s="54">
        <v>0</v>
      </c>
      <c r="O49" s="54">
        <v>1</v>
      </c>
      <c r="P49" s="54">
        <v>3</v>
      </c>
      <c r="Q49" s="54">
        <v>1</v>
      </c>
      <c r="R49" s="54">
        <v>5</v>
      </c>
      <c r="S49" s="54">
        <v>3</v>
      </c>
      <c r="T49" s="54">
        <v>4</v>
      </c>
      <c r="U49" s="54">
        <v>1</v>
      </c>
      <c r="V49" s="54">
        <v>4</v>
      </c>
      <c r="W49" s="54">
        <v>1</v>
      </c>
      <c r="X49" s="54">
        <v>1</v>
      </c>
      <c r="Y49" s="54">
        <v>5</v>
      </c>
      <c r="Z49" s="54">
        <v>1</v>
      </c>
      <c r="AA49" s="54">
        <v>5</v>
      </c>
      <c r="AB49" s="54">
        <v>1</v>
      </c>
      <c r="AC49" s="54">
        <v>2</v>
      </c>
      <c r="AD49" s="54">
        <v>5</v>
      </c>
      <c r="AE49" s="54">
        <v>7</v>
      </c>
      <c r="AF49" s="54">
        <v>2</v>
      </c>
      <c r="AG49" s="5">
        <f t="shared" si="2"/>
        <v>75</v>
      </c>
    </row>
    <row r="50" spans="1:33" ht="15.75" customHeight="1" x14ac:dyDescent="0.25">
      <c r="A50" s="56" t="s">
        <v>24</v>
      </c>
      <c r="B50" s="54">
        <v>0</v>
      </c>
      <c r="C50" s="54">
        <v>4</v>
      </c>
      <c r="D50" s="54">
        <v>1</v>
      </c>
      <c r="E50" s="54">
        <v>0</v>
      </c>
      <c r="F50" s="54">
        <v>2</v>
      </c>
      <c r="G50" s="54">
        <v>3</v>
      </c>
      <c r="H50" s="54">
        <v>2</v>
      </c>
      <c r="I50" s="54">
        <v>2</v>
      </c>
      <c r="J50" s="54">
        <v>1</v>
      </c>
      <c r="K50" s="54">
        <v>3</v>
      </c>
      <c r="L50" s="54">
        <v>1</v>
      </c>
      <c r="M50" s="54">
        <v>0</v>
      </c>
      <c r="N50" s="54">
        <v>1</v>
      </c>
      <c r="O50" s="54">
        <v>0</v>
      </c>
      <c r="P50" s="54">
        <v>1</v>
      </c>
      <c r="Q50" s="54">
        <v>2</v>
      </c>
      <c r="R50" s="54">
        <v>2</v>
      </c>
      <c r="S50" s="54">
        <v>1</v>
      </c>
      <c r="T50" s="54">
        <v>1</v>
      </c>
      <c r="U50" s="54">
        <v>0</v>
      </c>
      <c r="V50" s="54">
        <v>0</v>
      </c>
      <c r="W50" s="54">
        <v>0</v>
      </c>
      <c r="X50" s="54">
        <v>0</v>
      </c>
      <c r="Y50" s="54">
        <v>2</v>
      </c>
      <c r="Z50" s="54">
        <v>5</v>
      </c>
      <c r="AA50" s="54">
        <v>0</v>
      </c>
      <c r="AB50" s="54">
        <v>3</v>
      </c>
      <c r="AC50" s="54">
        <v>3</v>
      </c>
      <c r="AD50" s="54">
        <v>4</v>
      </c>
      <c r="AE50" s="54">
        <v>0</v>
      </c>
      <c r="AF50" s="54">
        <v>6</v>
      </c>
      <c r="AG50" s="5">
        <f t="shared" si="2"/>
        <v>50</v>
      </c>
    </row>
    <row r="51" spans="1:33" ht="15.75" customHeight="1" x14ac:dyDescent="0.25">
      <c r="A51" s="56" t="s">
        <v>25</v>
      </c>
      <c r="B51" s="54">
        <v>0</v>
      </c>
      <c r="C51" s="54">
        <v>1</v>
      </c>
      <c r="D51" s="54">
        <v>0</v>
      </c>
      <c r="E51" s="54">
        <v>1</v>
      </c>
      <c r="F51" s="54">
        <v>0</v>
      </c>
      <c r="G51" s="54">
        <v>1</v>
      </c>
      <c r="H51" s="54">
        <v>1</v>
      </c>
      <c r="I51" s="54">
        <v>1</v>
      </c>
      <c r="J51" s="54">
        <v>1</v>
      </c>
      <c r="K51" s="54">
        <v>0</v>
      </c>
      <c r="L51" s="54">
        <v>1</v>
      </c>
      <c r="M51" s="54">
        <v>0</v>
      </c>
      <c r="N51" s="54">
        <v>5</v>
      </c>
      <c r="O51" s="54">
        <v>0</v>
      </c>
      <c r="P51" s="54">
        <v>1</v>
      </c>
      <c r="Q51" s="54">
        <v>0</v>
      </c>
      <c r="R51" s="54">
        <v>1</v>
      </c>
      <c r="S51" s="54">
        <v>3</v>
      </c>
      <c r="T51" s="54">
        <v>1</v>
      </c>
      <c r="U51" s="54">
        <v>0</v>
      </c>
      <c r="V51" s="54">
        <v>0</v>
      </c>
      <c r="W51" s="54">
        <v>1</v>
      </c>
      <c r="X51" s="54">
        <v>1</v>
      </c>
      <c r="Y51" s="54">
        <v>3</v>
      </c>
      <c r="Z51" s="54">
        <v>2</v>
      </c>
      <c r="AA51" s="54">
        <v>1</v>
      </c>
      <c r="AB51" s="54">
        <v>3</v>
      </c>
      <c r="AC51" s="54">
        <v>2</v>
      </c>
      <c r="AD51" s="54">
        <v>1</v>
      </c>
      <c r="AE51" s="54">
        <v>2</v>
      </c>
      <c r="AF51" s="54">
        <v>5</v>
      </c>
      <c r="AG51" s="5">
        <f t="shared" si="2"/>
        <v>39</v>
      </c>
    </row>
    <row r="52" spans="1:33" ht="15.75" customHeight="1" thickBot="1" x14ac:dyDescent="0.3">
      <c r="A52" s="57" t="s">
        <v>26</v>
      </c>
      <c r="B52" s="58">
        <v>0</v>
      </c>
      <c r="C52" s="58">
        <v>0</v>
      </c>
      <c r="D52" s="58">
        <v>1</v>
      </c>
      <c r="E52" s="58">
        <v>0</v>
      </c>
      <c r="F52" s="58">
        <v>3</v>
      </c>
      <c r="G52" s="58">
        <v>1</v>
      </c>
      <c r="H52" s="58">
        <v>0</v>
      </c>
      <c r="I52" s="58">
        <v>0</v>
      </c>
      <c r="J52" s="58">
        <v>0</v>
      </c>
      <c r="K52" s="58">
        <v>4</v>
      </c>
      <c r="L52" s="58">
        <v>3</v>
      </c>
      <c r="M52" s="58">
        <v>0</v>
      </c>
      <c r="N52" s="58">
        <v>2</v>
      </c>
      <c r="O52" s="58">
        <v>0</v>
      </c>
      <c r="P52" s="58">
        <v>2</v>
      </c>
      <c r="Q52" s="58">
        <v>0</v>
      </c>
      <c r="R52" s="58">
        <v>1</v>
      </c>
      <c r="S52" s="58">
        <v>2</v>
      </c>
      <c r="T52" s="58">
        <v>2</v>
      </c>
      <c r="U52" s="58">
        <v>2</v>
      </c>
      <c r="V52" s="58">
        <v>3</v>
      </c>
      <c r="W52" s="58">
        <v>0</v>
      </c>
      <c r="X52" s="58">
        <v>0</v>
      </c>
      <c r="Y52" s="58">
        <v>1</v>
      </c>
      <c r="Z52" s="58">
        <v>2</v>
      </c>
      <c r="AA52" s="58">
        <v>0</v>
      </c>
      <c r="AB52" s="58">
        <v>1</v>
      </c>
      <c r="AC52" s="58">
        <v>2</v>
      </c>
      <c r="AD52" s="60">
        <v>0</v>
      </c>
      <c r="AE52" s="60">
        <v>1</v>
      </c>
      <c r="AF52" s="60">
        <v>3</v>
      </c>
      <c r="AG52" s="9">
        <f t="shared" si="2"/>
        <v>36</v>
      </c>
    </row>
    <row r="53" spans="1:33" ht="15.75" customHeight="1" thickBot="1" x14ac:dyDescent="0.3">
      <c r="A53" s="52" t="s">
        <v>28</v>
      </c>
      <c r="B53" s="1">
        <f t="shared" ref="B53:AF53" si="4">SUM(B54:B77)</f>
        <v>35</v>
      </c>
      <c r="C53" s="1">
        <f t="shared" si="4"/>
        <v>6</v>
      </c>
      <c r="D53" s="1">
        <f t="shared" si="4"/>
        <v>27</v>
      </c>
      <c r="E53" s="1">
        <f t="shared" si="4"/>
        <v>8</v>
      </c>
      <c r="F53" s="1">
        <f t="shared" si="4"/>
        <v>6</v>
      </c>
      <c r="G53" s="1">
        <f t="shared" si="4"/>
        <v>5</v>
      </c>
      <c r="H53" s="1">
        <f t="shared" si="4"/>
        <v>26</v>
      </c>
      <c r="I53" s="1">
        <f t="shared" si="4"/>
        <v>26</v>
      </c>
      <c r="J53" s="1">
        <f t="shared" si="4"/>
        <v>21</v>
      </c>
      <c r="K53" s="1">
        <f t="shared" si="4"/>
        <v>6</v>
      </c>
      <c r="L53" s="1">
        <f t="shared" si="4"/>
        <v>43</v>
      </c>
      <c r="M53" s="1">
        <f t="shared" si="4"/>
        <v>4</v>
      </c>
      <c r="N53" s="1">
        <f t="shared" si="4"/>
        <v>18</v>
      </c>
      <c r="O53" s="1">
        <f t="shared" si="4"/>
        <v>9</v>
      </c>
      <c r="P53" s="1">
        <f t="shared" si="4"/>
        <v>11</v>
      </c>
      <c r="Q53" s="1">
        <f t="shared" si="4"/>
        <v>39</v>
      </c>
      <c r="R53" s="1">
        <f t="shared" si="4"/>
        <v>45</v>
      </c>
      <c r="S53" s="1">
        <f t="shared" si="4"/>
        <v>12</v>
      </c>
      <c r="T53" s="1">
        <f t="shared" si="4"/>
        <v>3</v>
      </c>
      <c r="U53" s="1">
        <f t="shared" si="4"/>
        <v>44</v>
      </c>
      <c r="V53" s="1">
        <f t="shared" si="4"/>
        <v>19</v>
      </c>
      <c r="W53" s="1">
        <f t="shared" si="4"/>
        <v>19</v>
      </c>
      <c r="X53" s="1">
        <f t="shared" si="4"/>
        <v>6</v>
      </c>
      <c r="Y53" s="1">
        <f t="shared" si="4"/>
        <v>12</v>
      </c>
      <c r="Z53" s="1">
        <f t="shared" si="4"/>
        <v>10</v>
      </c>
      <c r="AA53" s="1">
        <f t="shared" si="4"/>
        <v>15</v>
      </c>
      <c r="AB53" s="1">
        <f t="shared" si="4"/>
        <v>12</v>
      </c>
      <c r="AC53" s="1">
        <f t="shared" si="4"/>
        <v>24</v>
      </c>
      <c r="AD53" s="1">
        <f t="shared" si="4"/>
        <v>17</v>
      </c>
      <c r="AE53" s="1">
        <f t="shared" si="4"/>
        <v>31</v>
      </c>
      <c r="AF53" s="1">
        <f t="shared" si="4"/>
        <v>15</v>
      </c>
      <c r="AG53" s="10">
        <f t="shared" si="2"/>
        <v>574</v>
      </c>
    </row>
    <row r="54" spans="1:33" ht="15.75" customHeight="1" x14ac:dyDescent="0.25">
      <c r="A54" s="56" t="s">
        <v>3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1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1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0</v>
      </c>
      <c r="E55" s="54">
        <v>0</v>
      </c>
      <c r="F55" s="54">
        <v>2</v>
      </c>
      <c r="G55" s="54">
        <v>0</v>
      </c>
      <c r="H55" s="54">
        <v>1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2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1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6</v>
      </c>
    </row>
    <row r="56" spans="1:33" ht="15.75" customHeight="1" x14ac:dyDescent="0.25">
      <c r="A56" s="56" t="s">
        <v>5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0</v>
      </c>
      <c r="AF56" s="54">
        <v>0</v>
      </c>
      <c r="AG56" s="5">
        <f t="shared" si="2"/>
        <v>0</v>
      </c>
    </row>
    <row r="57" spans="1:33" ht="15.75" customHeight="1" x14ac:dyDescent="0.25">
      <c r="A57" s="56" t="s">
        <v>6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">
        <f t="shared" si="2"/>
        <v>0</v>
      </c>
    </row>
    <row r="58" spans="1:33" ht="15.75" customHeight="1" x14ac:dyDescent="0.25">
      <c r="A58" s="56" t="s">
        <v>7</v>
      </c>
      <c r="B58" s="54">
        <v>0</v>
      </c>
      <c r="C58" s="54">
        <v>0</v>
      </c>
      <c r="D58" s="54">
        <v>0</v>
      </c>
      <c r="E58" s="54">
        <v>0</v>
      </c>
      <c r="F58" s="54">
        <v>1</v>
      </c>
      <c r="G58" s="54">
        <v>0</v>
      </c>
      <c r="H58" s="54">
        <v>0</v>
      </c>
      <c r="I58" s="54">
        <v>0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0</v>
      </c>
      <c r="Z58" s="54">
        <v>0</v>
      </c>
      <c r="AA58" s="54">
        <v>1</v>
      </c>
      <c r="AB58" s="54">
        <v>0</v>
      </c>
      <c r="AC58" s="54">
        <v>0</v>
      </c>
      <c r="AD58" s="54">
        <v>0</v>
      </c>
      <c r="AE58" s="54">
        <v>0</v>
      </c>
      <c r="AF58" s="54">
        <v>1</v>
      </c>
      <c r="AG58" s="5">
        <f t="shared" si="2"/>
        <v>3</v>
      </c>
    </row>
    <row r="59" spans="1:33" ht="15.75" customHeight="1" x14ac:dyDescent="0.25">
      <c r="A59" s="56" t="s">
        <v>8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1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2</v>
      </c>
      <c r="AB59" s="54">
        <v>0</v>
      </c>
      <c r="AC59" s="54">
        <v>0</v>
      </c>
      <c r="AD59" s="54">
        <v>0</v>
      </c>
      <c r="AE59" s="54">
        <v>0</v>
      </c>
      <c r="AF59" s="54">
        <v>0</v>
      </c>
      <c r="AG59" s="5">
        <f t="shared" si="2"/>
        <v>3</v>
      </c>
    </row>
    <row r="60" spans="1:33" ht="15.75" customHeight="1" x14ac:dyDescent="0.25">
      <c r="A60" s="56" t="s">
        <v>9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4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1</v>
      </c>
      <c r="V60" s="54">
        <v>0</v>
      </c>
      <c r="W60" s="54">
        <v>0</v>
      </c>
      <c r="X60" s="54">
        <v>0</v>
      </c>
      <c r="Y60" s="54">
        <v>0</v>
      </c>
      <c r="Z60" s="54">
        <v>0</v>
      </c>
      <c r="AA60" s="54">
        <v>0</v>
      </c>
      <c r="AB60" s="54">
        <v>1</v>
      </c>
      <c r="AC60" s="54">
        <v>0</v>
      </c>
      <c r="AD60" s="54">
        <v>0</v>
      </c>
      <c r="AE60" s="54">
        <v>0</v>
      </c>
      <c r="AF60" s="54">
        <v>0</v>
      </c>
      <c r="AG60" s="5">
        <f t="shared" si="2"/>
        <v>6</v>
      </c>
    </row>
    <row r="61" spans="1:33" ht="15.75" customHeight="1" x14ac:dyDescent="0.25">
      <c r="A61" s="56" t="s">
        <v>10</v>
      </c>
      <c r="B61" s="54">
        <v>0</v>
      </c>
      <c r="C61" s="54">
        <v>0</v>
      </c>
      <c r="D61" s="54">
        <v>0</v>
      </c>
      <c r="E61" s="54">
        <v>0</v>
      </c>
      <c r="F61" s="54">
        <v>1</v>
      </c>
      <c r="G61" s="54">
        <v>0</v>
      </c>
      <c r="H61" s="54">
        <v>0</v>
      </c>
      <c r="I61" s="54">
        <v>0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0</v>
      </c>
      <c r="S61" s="54">
        <v>0</v>
      </c>
      <c r="T61" s="54">
        <v>0</v>
      </c>
      <c r="U61" s="54">
        <v>22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1</v>
      </c>
      <c r="AB61" s="54">
        <v>0</v>
      </c>
      <c r="AC61" s="54">
        <v>0</v>
      </c>
      <c r="AD61" s="54">
        <v>0</v>
      </c>
      <c r="AE61" s="54">
        <v>0</v>
      </c>
      <c r="AF61" s="54">
        <v>0</v>
      </c>
      <c r="AG61" s="5">
        <f t="shared" si="2"/>
        <v>24</v>
      </c>
    </row>
    <row r="62" spans="1:33" ht="15.75" customHeight="1" x14ac:dyDescent="0.25">
      <c r="A62" s="56" t="s">
        <v>11</v>
      </c>
      <c r="B62" s="54">
        <v>0</v>
      </c>
      <c r="C62" s="54">
        <v>0</v>
      </c>
      <c r="D62" s="54">
        <v>0</v>
      </c>
      <c r="E62" s="54">
        <v>1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0</v>
      </c>
      <c r="L62" s="54">
        <v>0</v>
      </c>
      <c r="M62" s="54">
        <v>0</v>
      </c>
      <c r="N62" s="54">
        <v>2</v>
      </c>
      <c r="O62" s="54">
        <v>0</v>
      </c>
      <c r="P62" s="54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0</v>
      </c>
      <c r="Z62" s="54">
        <v>1</v>
      </c>
      <c r="AA62" s="54">
        <v>2</v>
      </c>
      <c r="AB62" s="54">
        <v>2</v>
      </c>
      <c r="AC62" s="54">
        <v>0</v>
      </c>
      <c r="AD62" s="54">
        <v>0</v>
      </c>
      <c r="AE62" s="54">
        <v>0</v>
      </c>
      <c r="AF62" s="54">
        <v>0</v>
      </c>
      <c r="AG62" s="5">
        <f t="shared" si="2"/>
        <v>8</v>
      </c>
    </row>
    <row r="63" spans="1:33" ht="15.75" customHeight="1" x14ac:dyDescent="0.25">
      <c r="A63" s="56" t="s">
        <v>12</v>
      </c>
      <c r="B63" s="54">
        <v>0</v>
      </c>
      <c r="C63" s="54">
        <v>1</v>
      </c>
      <c r="D63" s="54">
        <v>0</v>
      </c>
      <c r="E63" s="54">
        <v>2</v>
      </c>
      <c r="F63" s="54">
        <v>1</v>
      </c>
      <c r="G63" s="54">
        <v>1</v>
      </c>
      <c r="H63" s="54">
        <v>0</v>
      </c>
      <c r="I63" s="54">
        <v>0</v>
      </c>
      <c r="J63" s="54">
        <v>0</v>
      </c>
      <c r="K63" s="54">
        <v>1</v>
      </c>
      <c r="L63" s="54">
        <v>1</v>
      </c>
      <c r="M63" s="54">
        <v>1</v>
      </c>
      <c r="N63" s="54">
        <v>3</v>
      </c>
      <c r="O63" s="54">
        <v>1</v>
      </c>
      <c r="P63" s="54">
        <v>3</v>
      </c>
      <c r="Q63" s="54">
        <v>1</v>
      </c>
      <c r="R63" s="54">
        <v>3</v>
      </c>
      <c r="S63" s="54">
        <v>0</v>
      </c>
      <c r="T63" s="54">
        <v>0</v>
      </c>
      <c r="U63" s="54">
        <v>0</v>
      </c>
      <c r="V63" s="54">
        <v>0</v>
      </c>
      <c r="W63" s="54">
        <v>0</v>
      </c>
      <c r="X63" s="54">
        <v>0</v>
      </c>
      <c r="Y63" s="54">
        <v>0</v>
      </c>
      <c r="Z63" s="54">
        <v>0</v>
      </c>
      <c r="AA63" s="54">
        <v>0</v>
      </c>
      <c r="AB63" s="54">
        <v>1</v>
      </c>
      <c r="AC63" s="54">
        <v>0</v>
      </c>
      <c r="AD63" s="54">
        <v>0</v>
      </c>
      <c r="AE63" s="54">
        <v>0</v>
      </c>
      <c r="AF63" s="54">
        <v>1</v>
      </c>
      <c r="AG63" s="5">
        <f t="shared" si="2"/>
        <v>21</v>
      </c>
    </row>
    <row r="64" spans="1:33" ht="15.75" customHeight="1" x14ac:dyDescent="0.25">
      <c r="A64" s="56" t="s">
        <v>13</v>
      </c>
      <c r="B64" s="54">
        <v>1</v>
      </c>
      <c r="C64" s="54">
        <v>0</v>
      </c>
      <c r="D64" s="54">
        <v>1</v>
      </c>
      <c r="E64" s="54">
        <v>0</v>
      </c>
      <c r="F64" s="54">
        <v>0</v>
      </c>
      <c r="G64" s="54">
        <v>0</v>
      </c>
      <c r="H64" s="54">
        <v>1</v>
      </c>
      <c r="I64" s="54">
        <v>2</v>
      </c>
      <c r="J64" s="54">
        <v>1</v>
      </c>
      <c r="K64" s="54">
        <v>0</v>
      </c>
      <c r="L64" s="54">
        <v>1</v>
      </c>
      <c r="M64" s="54">
        <v>0</v>
      </c>
      <c r="N64" s="54">
        <v>3</v>
      </c>
      <c r="O64" s="54">
        <v>1</v>
      </c>
      <c r="P64" s="54">
        <v>1</v>
      </c>
      <c r="Q64" s="54">
        <v>1</v>
      </c>
      <c r="R64" s="54">
        <v>0</v>
      </c>
      <c r="S64" s="54">
        <v>0</v>
      </c>
      <c r="T64" s="54">
        <v>0</v>
      </c>
      <c r="U64" s="54">
        <v>13</v>
      </c>
      <c r="V64" s="54">
        <v>2</v>
      </c>
      <c r="W64" s="54">
        <v>0</v>
      </c>
      <c r="X64" s="54">
        <v>1</v>
      </c>
      <c r="Y64" s="54">
        <v>2</v>
      </c>
      <c r="Z64" s="54">
        <v>1</v>
      </c>
      <c r="AA64" s="54">
        <v>2</v>
      </c>
      <c r="AB64" s="54">
        <v>0</v>
      </c>
      <c r="AC64" s="54">
        <v>0</v>
      </c>
      <c r="AD64" s="54">
        <v>0</v>
      </c>
      <c r="AE64" s="54">
        <v>1</v>
      </c>
      <c r="AF64" s="54">
        <v>0</v>
      </c>
      <c r="AG64" s="5">
        <f t="shared" si="2"/>
        <v>35</v>
      </c>
    </row>
    <row r="65" spans="1:33" ht="15.75" customHeight="1" x14ac:dyDescent="0.25">
      <c r="A65" s="56" t="s">
        <v>14</v>
      </c>
      <c r="B65" s="54">
        <v>3</v>
      </c>
      <c r="C65" s="54">
        <v>2</v>
      </c>
      <c r="D65" s="54">
        <v>0</v>
      </c>
      <c r="E65" s="54">
        <v>1</v>
      </c>
      <c r="F65" s="54">
        <v>0</v>
      </c>
      <c r="G65" s="54">
        <v>0</v>
      </c>
      <c r="H65" s="54">
        <v>3</v>
      </c>
      <c r="I65" s="54">
        <v>2</v>
      </c>
      <c r="J65" s="54">
        <v>2</v>
      </c>
      <c r="K65" s="54">
        <v>0</v>
      </c>
      <c r="L65" s="54">
        <v>3</v>
      </c>
      <c r="M65" s="54">
        <v>0</v>
      </c>
      <c r="N65" s="54">
        <v>0</v>
      </c>
      <c r="O65" s="54">
        <v>0</v>
      </c>
      <c r="P65" s="54">
        <v>0</v>
      </c>
      <c r="Q65" s="54">
        <v>0</v>
      </c>
      <c r="R65" s="54">
        <v>6</v>
      </c>
      <c r="S65" s="54">
        <v>3</v>
      </c>
      <c r="T65" s="54">
        <v>0</v>
      </c>
      <c r="U65" s="54">
        <v>1</v>
      </c>
      <c r="V65" s="54">
        <v>1</v>
      </c>
      <c r="W65" s="54">
        <v>1</v>
      </c>
      <c r="X65" s="54">
        <v>0</v>
      </c>
      <c r="Y65" s="54">
        <v>2</v>
      </c>
      <c r="Z65" s="54">
        <v>2</v>
      </c>
      <c r="AA65" s="54">
        <v>0</v>
      </c>
      <c r="AB65" s="54">
        <v>1</v>
      </c>
      <c r="AC65" s="54">
        <v>1</v>
      </c>
      <c r="AD65" s="54">
        <v>0</v>
      </c>
      <c r="AE65" s="54">
        <v>1</v>
      </c>
      <c r="AF65" s="54">
        <v>0</v>
      </c>
      <c r="AG65" s="5">
        <f t="shared" si="2"/>
        <v>35</v>
      </c>
    </row>
    <row r="66" spans="1:33" ht="15.75" customHeight="1" x14ac:dyDescent="0.25">
      <c r="A66" s="56" t="s">
        <v>15</v>
      </c>
      <c r="B66" s="54">
        <v>5</v>
      </c>
      <c r="C66" s="54">
        <v>0</v>
      </c>
      <c r="D66" s="54">
        <v>3</v>
      </c>
      <c r="E66" s="54">
        <v>2</v>
      </c>
      <c r="F66" s="54">
        <v>0</v>
      </c>
      <c r="G66" s="54">
        <v>0</v>
      </c>
      <c r="H66" s="54">
        <v>0</v>
      </c>
      <c r="I66" s="54">
        <v>0</v>
      </c>
      <c r="J66" s="54">
        <v>1</v>
      </c>
      <c r="K66" s="54">
        <v>2</v>
      </c>
      <c r="L66" s="54">
        <v>0</v>
      </c>
      <c r="M66" s="54">
        <v>0</v>
      </c>
      <c r="N66" s="54">
        <v>0</v>
      </c>
      <c r="O66" s="54">
        <v>2</v>
      </c>
      <c r="P66" s="54">
        <v>2</v>
      </c>
      <c r="Q66" s="54">
        <v>1</v>
      </c>
      <c r="R66" s="54">
        <v>0</v>
      </c>
      <c r="S66" s="54">
        <v>1</v>
      </c>
      <c r="T66" s="54">
        <v>0</v>
      </c>
      <c r="U66" s="54">
        <v>1</v>
      </c>
      <c r="V66" s="54">
        <v>3</v>
      </c>
      <c r="W66" s="54">
        <v>1</v>
      </c>
      <c r="X66" s="54">
        <v>2</v>
      </c>
      <c r="Y66" s="54">
        <v>1</v>
      </c>
      <c r="Z66" s="54">
        <v>1</v>
      </c>
      <c r="AA66" s="54">
        <v>1</v>
      </c>
      <c r="AB66" s="54">
        <v>5</v>
      </c>
      <c r="AC66" s="54">
        <v>0</v>
      </c>
      <c r="AD66" s="54">
        <v>0</v>
      </c>
      <c r="AE66" s="54">
        <v>2</v>
      </c>
      <c r="AF66" s="54">
        <v>0</v>
      </c>
      <c r="AG66" s="5">
        <f t="shared" si="2"/>
        <v>36</v>
      </c>
    </row>
    <row r="67" spans="1:33" ht="15.75" customHeight="1" x14ac:dyDescent="0.25">
      <c r="A67" s="56" t="s">
        <v>16</v>
      </c>
      <c r="B67" s="54">
        <v>5</v>
      </c>
      <c r="C67" s="54">
        <v>0</v>
      </c>
      <c r="D67" s="54">
        <v>1</v>
      </c>
      <c r="E67" s="54">
        <v>0</v>
      </c>
      <c r="F67" s="54">
        <v>0</v>
      </c>
      <c r="G67" s="54">
        <v>0</v>
      </c>
      <c r="H67" s="54">
        <v>1</v>
      </c>
      <c r="I67" s="54">
        <v>4</v>
      </c>
      <c r="J67" s="54">
        <v>1</v>
      </c>
      <c r="K67" s="54">
        <v>0</v>
      </c>
      <c r="L67" s="54">
        <v>2</v>
      </c>
      <c r="M67" s="54">
        <v>1</v>
      </c>
      <c r="N67" s="54">
        <v>0</v>
      </c>
      <c r="O67" s="54">
        <v>2</v>
      </c>
      <c r="P67" s="54">
        <v>0</v>
      </c>
      <c r="Q67" s="54">
        <v>5</v>
      </c>
      <c r="R67" s="54">
        <v>1</v>
      </c>
      <c r="S67" s="54">
        <v>2</v>
      </c>
      <c r="T67" s="54">
        <v>1</v>
      </c>
      <c r="U67" s="54">
        <v>0</v>
      </c>
      <c r="V67" s="54">
        <v>0</v>
      </c>
      <c r="W67" s="54">
        <v>0</v>
      </c>
      <c r="X67" s="54">
        <v>1</v>
      </c>
      <c r="Y67" s="54">
        <v>2</v>
      </c>
      <c r="Z67" s="54">
        <v>0</v>
      </c>
      <c r="AA67" s="54">
        <v>2</v>
      </c>
      <c r="AB67" s="54">
        <v>1</v>
      </c>
      <c r="AC67" s="54">
        <v>0</v>
      </c>
      <c r="AD67" s="54">
        <v>1</v>
      </c>
      <c r="AE67" s="54">
        <v>1</v>
      </c>
      <c r="AF67" s="54">
        <v>0</v>
      </c>
      <c r="AG67" s="5">
        <f t="shared" ref="AG67:AG98" si="5">SUM(B67:AF67)</f>
        <v>34</v>
      </c>
    </row>
    <row r="68" spans="1:33" ht="15.75" customHeight="1" x14ac:dyDescent="0.25">
      <c r="A68" s="56" t="s">
        <v>17</v>
      </c>
      <c r="B68" s="54">
        <v>11</v>
      </c>
      <c r="C68" s="54">
        <v>0</v>
      </c>
      <c r="D68" s="54">
        <v>10</v>
      </c>
      <c r="E68" s="54">
        <v>0</v>
      </c>
      <c r="F68" s="54">
        <v>0</v>
      </c>
      <c r="G68" s="54">
        <v>0</v>
      </c>
      <c r="H68" s="54">
        <v>10</v>
      </c>
      <c r="I68" s="54">
        <v>3</v>
      </c>
      <c r="J68" s="54">
        <v>0</v>
      </c>
      <c r="K68" s="54">
        <v>1</v>
      </c>
      <c r="L68" s="54">
        <v>8</v>
      </c>
      <c r="M68" s="54">
        <v>0</v>
      </c>
      <c r="N68" s="54">
        <v>1</v>
      </c>
      <c r="O68" s="54">
        <v>0</v>
      </c>
      <c r="P68" s="54">
        <v>1</v>
      </c>
      <c r="Q68" s="54">
        <v>0</v>
      </c>
      <c r="R68" s="54">
        <v>0</v>
      </c>
      <c r="S68" s="54">
        <v>0</v>
      </c>
      <c r="T68" s="54">
        <v>0</v>
      </c>
      <c r="U68" s="54">
        <v>2</v>
      </c>
      <c r="V68" s="54">
        <v>2</v>
      </c>
      <c r="W68" s="54">
        <v>6</v>
      </c>
      <c r="X68" s="54">
        <v>1</v>
      </c>
      <c r="Y68" s="54">
        <v>1</v>
      </c>
      <c r="Z68" s="54">
        <v>1</v>
      </c>
      <c r="AA68" s="54">
        <v>2</v>
      </c>
      <c r="AB68" s="54">
        <v>0</v>
      </c>
      <c r="AC68" s="54">
        <v>1</v>
      </c>
      <c r="AD68" s="54">
        <v>4</v>
      </c>
      <c r="AE68" s="54">
        <v>2</v>
      </c>
      <c r="AF68" s="54">
        <v>1</v>
      </c>
      <c r="AG68" s="5">
        <f t="shared" si="5"/>
        <v>68</v>
      </c>
    </row>
    <row r="69" spans="1:33" ht="15.75" customHeight="1" x14ac:dyDescent="0.25">
      <c r="A69" s="56" t="s">
        <v>18</v>
      </c>
      <c r="B69" s="54">
        <v>5</v>
      </c>
      <c r="C69" s="54">
        <v>0</v>
      </c>
      <c r="D69" s="54">
        <v>2</v>
      </c>
      <c r="E69" s="54">
        <v>1</v>
      </c>
      <c r="F69" s="54">
        <v>1</v>
      </c>
      <c r="G69" s="54">
        <v>1</v>
      </c>
      <c r="H69" s="54">
        <v>0</v>
      </c>
      <c r="I69" s="54">
        <v>5</v>
      </c>
      <c r="J69" s="54">
        <v>2</v>
      </c>
      <c r="K69" s="54">
        <v>0</v>
      </c>
      <c r="L69" s="54">
        <v>1</v>
      </c>
      <c r="M69" s="54">
        <v>0</v>
      </c>
      <c r="N69" s="54">
        <v>3</v>
      </c>
      <c r="O69" s="54">
        <v>0</v>
      </c>
      <c r="P69" s="54">
        <v>1</v>
      </c>
      <c r="Q69" s="54">
        <v>13</v>
      </c>
      <c r="R69" s="54">
        <v>1</v>
      </c>
      <c r="S69" s="54">
        <v>0</v>
      </c>
      <c r="T69" s="54">
        <v>0</v>
      </c>
      <c r="U69" s="54">
        <v>3</v>
      </c>
      <c r="V69" s="54">
        <v>4</v>
      </c>
      <c r="W69" s="54">
        <v>7</v>
      </c>
      <c r="X69" s="54">
        <v>0</v>
      </c>
      <c r="Y69" s="54">
        <v>0</v>
      </c>
      <c r="Z69" s="54">
        <v>0</v>
      </c>
      <c r="AA69" s="54">
        <v>0</v>
      </c>
      <c r="AB69" s="54">
        <v>0</v>
      </c>
      <c r="AC69" s="54">
        <v>3</v>
      </c>
      <c r="AD69" s="54">
        <v>0</v>
      </c>
      <c r="AE69" s="54">
        <v>4</v>
      </c>
      <c r="AF69" s="54">
        <v>1</v>
      </c>
      <c r="AG69" s="5">
        <f t="shared" si="5"/>
        <v>58</v>
      </c>
    </row>
    <row r="70" spans="1:33" ht="15.75" customHeight="1" x14ac:dyDescent="0.25">
      <c r="A70" s="56" t="s">
        <v>19</v>
      </c>
      <c r="B70" s="54">
        <v>3</v>
      </c>
      <c r="C70" s="54">
        <v>3</v>
      </c>
      <c r="D70" s="54">
        <v>9</v>
      </c>
      <c r="E70" s="54">
        <v>1</v>
      </c>
      <c r="F70" s="54">
        <v>0</v>
      </c>
      <c r="G70" s="54">
        <v>3</v>
      </c>
      <c r="H70" s="54">
        <v>2</v>
      </c>
      <c r="I70" s="54">
        <v>9</v>
      </c>
      <c r="J70" s="54">
        <v>0</v>
      </c>
      <c r="K70" s="54">
        <v>0</v>
      </c>
      <c r="L70" s="54">
        <v>5</v>
      </c>
      <c r="M70" s="54">
        <v>1</v>
      </c>
      <c r="N70" s="54">
        <v>0</v>
      </c>
      <c r="O70" s="54">
        <v>1</v>
      </c>
      <c r="P70" s="54">
        <v>3</v>
      </c>
      <c r="Q70" s="54">
        <v>4</v>
      </c>
      <c r="R70" s="54">
        <v>16</v>
      </c>
      <c r="S70" s="54">
        <v>0</v>
      </c>
      <c r="T70" s="54">
        <v>0</v>
      </c>
      <c r="U70" s="54">
        <v>0</v>
      </c>
      <c r="V70" s="54">
        <v>0</v>
      </c>
      <c r="W70" s="54">
        <v>3</v>
      </c>
      <c r="X70" s="54">
        <v>0</v>
      </c>
      <c r="Y70" s="54">
        <v>0</v>
      </c>
      <c r="Z70" s="54">
        <v>1</v>
      </c>
      <c r="AA70" s="54">
        <v>0</v>
      </c>
      <c r="AB70" s="54">
        <v>0</v>
      </c>
      <c r="AC70" s="54">
        <v>2</v>
      </c>
      <c r="AD70" s="55">
        <v>6</v>
      </c>
      <c r="AE70" s="55">
        <v>5</v>
      </c>
      <c r="AF70" s="55">
        <v>1</v>
      </c>
      <c r="AG70" s="5">
        <f t="shared" si="5"/>
        <v>78</v>
      </c>
    </row>
    <row r="71" spans="1:33" ht="15.75" customHeight="1" x14ac:dyDescent="0.25">
      <c r="A71" s="56" t="s">
        <v>20</v>
      </c>
      <c r="B71" s="54">
        <v>1</v>
      </c>
      <c r="C71" s="54">
        <v>0</v>
      </c>
      <c r="D71" s="54">
        <v>1</v>
      </c>
      <c r="E71" s="54">
        <v>0</v>
      </c>
      <c r="F71" s="54">
        <v>0</v>
      </c>
      <c r="G71" s="54">
        <v>0</v>
      </c>
      <c r="H71" s="54">
        <v>7</v>
      </c>
      <c r="I71" s="54">
        <v>0</v>
      </c>
      <c r="J71" s="54">
        <v>5</v>
      </c>
      <c r="K71" s="54">
        <v>0</v>
      </c>
      <c r="L71" s="54">
        <v>8</v>
      </c>
      <c r="M71" s="54">
        <v>0</v>
      </c>
      <c r="N71" s="54">
        <v>0</v>
      </c>
      <c r="O71" s="54">
        <v>0</v>
      </c>
      <c r="P71" s="54">
        <v>0</v>
      </c>
      <c r="Q71" s="54">
        <v>12</v>
      </c>
      <c r="R71" s="54">
        <v>9</v>
      </c>
      <c r="S71" s="54">
        <v>1</v>
      </c>
      <c r="T71" s="54">
        <v>0</v>
      </c>
      <c r="U71" s="54">
        <v>0</v>
      </c>
      <c r="V71" s="54">
        <v>0</v>
      </c>
      <c r="W71" s="54">
        <v>1</v>
      </c>
      <c r="X71" s="54">
        <v>0</v>
      </c>
      <c r="Y71" s="54">
        <v>0</v>
      </c>
      <c r="Z71" s="54">
        <v>0</v>
      </c>
      <c r="AA71" s="54">
        <v>0</v>
      </c>
      <c r="AB71" s="54">
        <v>0</v>
      </c>
      <c r="AC71" s="54">
        <v>14</v>
      </c>
      <c r="AD71" s="55">
        <v>2</v>
      </c>
      <c r="AE71" s="55">
        <v>6</v>
      </c>
      <c r="AF71" s="55">
        <v>2</v>
      </c>
      <c r="AG71" s="5">
        <f t="shared" si="5"/>
        <v>69</v>
      </c>
    </row>
    <row r="72" spans="1:33" ht="15.75" customHeight="1" x14ac:dyDescent="0.25">
      <c r="A72" s="56" t="s">
        <v>21</v>
      </c>
      <c r="B72" s="54">
        <v>0</v>
      </c>
      <c r="C72" s="54">
        <v>0</v>
      </c>
      <c r="D72" s="54">
        <v>0</v>
      </c>
      <c r="E72" s="54">
        <v>0</v>
      </c>
      <c r="F72" s="54">
        <v>0</v>
      </c>
      <c r="G72" s="54">
        <v>0</v>
      </c>
      <c r="H72" s="54">
        <v>1</v>
      </c>
      <c r="I72" s="54">
        <v>1</v>
      </c>
      <c r="J72" s="54">
        <v>6</v>
      </c>
      <c r="K72" s="54">
        <v>0</v>
      </c>
      <c r="L72" s="54">
        <v>13</v>
      </c>
      <c r="M72" s="54">
        <v>0</v>
      </c>
      <c r="N72" s="54">
        <v>0</v>
      </c>
      <c r="O72" s="54">
        <v>2</v>
      </c>
      <c r="P72" s="54">
        <v>0</v>
      </c>
      <c r="Q72" s="54">
        <v>2</v>
      </c>
      <c r="R72" s="54">
        <v>0</v>
      </c>
      <c r="S72" s="54">
        <v>2</v>
      </c>
      <c r="T72" s="54">
        <v>0</v>
      </c>
      <c r="U72" s="54">
        <v>0</v>
      </c>
      <c r="V72" s="54">
        <v>7</v>
      </c>
      <c r="W72" s="54">
        <v>0</v>
      </c>
      <c r="X72" s="54">
        <v>1</v>
      </c>
      <c r="Y72" s="54">
        <v>0</v>
      </c>
      <c r="Z72" s="54">
        <v>3</v>
      </c>
      <c r="AA72" s="54">
        <v>0</v>
      </c>
      <c r="AB72" s="54">
        <v>0</v>
      </c>
      <c r="AC72" s="54">
        <v>0</v>
      </c>
      <c r="AD72" s="55">
        <v>0</v>
      </c>
      <c r="AE72" s="55">
        <v>5</v>
      </c>
      <c r="AF72" s="55">
        <v>2</v>
      </c>
      <c r="AG72" s="5">
        <f t="shared" si="5"/>
        <v>45</v>
      </c>
    </row>
    <row r="73" spans="1:33" ht="15.75" customHeight="1" x14ac:dyDescent="0.25">
      <c r="A73" s="56" t="s">
        <v>22</v>
      </c>
      <c r="B73" s="54">
        <v>1</v>
      </c>
      <c r="C73" s="54">
        <v>0</v>
      </c>
      <c r="D73" s="54">
        <v>0</v>
      </c>
      <c r="E73" s="54">
        <v>0</v>
      </c>
      <c r="F73" s="54">
        <v>0</v>
      </c>
      <c r="G73" s="54">
        <v>0</v>
      </c>
      <c r="H73" s="54">
        <v>0</v>
      </c>
      <c r="I73" s="54">
        <v>0</v>
      </c>
      <c r="J73" s="54">
        <v>1</v>
      </c>
      <c r="K73" s="54">
        <v>0</v>
      </c>
      <c r="L73" s="54">
        <v>1</v>
      </c>
      <c r="M73" s="54">
        <v>0</v>
      </c>
      <c r="N73" s="54">
        <v>0</v>
      </c>
      <c r="O73" s="54">
        <v>0</v>
      </c>
      <c r="P73" s="54">
        <v>0</v>
      </c>
      <c r="Q73" s="54">
        <v>0</v>
      </c>
      <c r="R73" s="54">
        <v>2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4</v>
      </c>
      <c r="Z73" s="54">
        <v>0</v>
      </c>
      <c r="AA73" s="54">
        <v>0</v>
      </c>
      <c r="AB73" s="54">
        <v>0</v>
      </c>
      <c r="AC73" s="54">
        <v>3</v>
      </c>
      <c r="AD73" s="55">
        <v>3</v>
      </c>
      <c r="AE73" s="55">
        <v>3</v>
      </c>
      <c r="AF73" s="55">
        <v>0</v>
      </c>
      <c r="AG73" s="5">
        <f t="shared" si="5"/>
        <v>18</v>
      </c>
    </row>
    <row r="74" spans="1:33" ht="15.75" customHeight="1" x14ac:dyDescent="0.25">
      <c r="A74" s="56" t="s">
        <v>23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2</v>
      </c>
      <c r="K74" s="54">
        <v>1</v>
      </c>
      <c r="L74" s="54">
        <v>0</v>
      </c>
      <c r="M74" s="54">
        <v>1</v>
      </c>
      <c r="N74" s="54">
        <v>0</v>
      </c>
      <c r="O74" s="54">
        <v>0</v>
      </c>
      <c r="P74" s="54">
        <v>0</v>
      </c>
      <c r="Q74" s="54">
        <v>0</v>
      </c>
      <c r="R74" s="54">
        <v>6</v>
      </c>
      <c r="S74" s="54">
        <v>3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2</v>
      </c>
      <c r="AB74" s="54">
        <v>0</v>
      </c>
      <c r="AC74" s="54">
        <v>0</v>
      </c>
      <c r="AD74" s="55">
        <v>0</v>
      </c>
      <c r="AE74" s="55">
        <v>1</v>
      </c>
      <c r="AF74" s="55">
        <v>1</v>
      </c>
      <c r="AG74" s="5">
        <f t="shared" si="5"/>
        <v>17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1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1</v>
      </c>
      <c r="AE75" s="55">
        <v>0</v>
      </c>
      <c r="AF75" s="55">
        <v>3</v>
      </c>
      <c r="AG75" s="5">
        <f t="shared" si="5"/>
        <v>5</v>
      </c>
    </row>
    <row r="76" spans="1:33" ht="15.75" customHeight="1" x14ac:dyDescent="0.25">
      <c r="A76" s="56" t="s">
        <v>25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1</v>
      </c>
      <c r="S76" s="54">
        <v>0</v>
      </c>
      <c r="T76" s="54">
        <v>1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2</v>
      </c>
      <c r="AG76" s="5">
        <f t="shared" si="5"/>
        <v>4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0</v>
      </c>
    </row>
    <row r="78" spans="1:33" ht="19.5" customHeight="1" thickBot="1" x14ac:dyDescent="0.3">
      <c r="A78" s="63" t="s">
        <v>29</v>
      </c>
      <c r="B78" s="11">
        <f t="shared" ref="B78:AF78" si="6">SUM(B79:B80)</f>
        <v>150</v>
      </c>
      <c r="C78" s="11">
        <f t="shared" si="6"/>
        <v>142</v>
      </c>
      <c r="D78" s="11">
        <f t="shared" si="6"/>
        <v>144</v>
      </c>
      <c r="E78" s="11">
        <f t="shared" si="6"/>
        <v>129</v>
      </c>
      <c r="F78" s="11">
        <f t="shared" si="6"/>
        <v>197</v>
      </c>
      <c r="G78" s="11">
        <f t="shared" si="6"/>
        <v>223</v>
      </c>
      <c r="H78" s="11">
        <f t="shared" si="6"/>
        <v>162</v>
      </c>
      <c r="I78" s="11">
        <f t="shared" si="6"/>
        <v>152</v>
      </c>
      <c r="J78" s="11">
        <f t="shared" si="6"/>
        <v>155</v>
      </c>
      <c r="K78" s="11">
        <f t="shared" si="6"/>
        <v>145</v>
      </c>
      <c r="L78" s="11">
        <f t="shared" si="6"/>
        <v>158</v>
      </c>
      <c r="M78" s="11">
        <f t="shared" si="6"/>
        <v>224</v>
      </c>
      <c r="N78" s="11">
        <f t="shared" si="6"/>
        <v>222</v>
      </c>
      <c r="O78" s="11">
        <f t="shared" si="6"/>
        <v>161</v>
      </c>
      <c r="P78" s="11">
        <f t="shared" si="6"/>
        <v>148</v>
      </c>
      <c r="Q78" s="11">
        <f t="shared" si="6"/>
        <v>160</v>
      </c>
      <c r="R78" s="11">
        <f t="shared" si="6"/>
        <v>143</v>
      </c>
      <c r="S78" s="11">
        <f t="shared" si="6"/>
        <v>148</v>
      </c>
      <c r="T78" s="11">
        <f t="shared" si="6"/>
        <v>196</v>
      </c>
      <c r="U78" s="11">
        <f t="shared" si="6"/>
        <v>139</v>
      </c>
      <c r="V78" s="11">
        <f t="shared" si="6"/>
        <v>161</v>
      </c>
      <c r="W78" s="11">
        <f t="shared" si="6"/>
        <v>136</v>
      </c>
      <c r="X78" s="11">
        <f t="shared" si="6"/>
        <v>124</v>
      </c>
      <c r="Y78" s="11">
        <f t="shared" si="6"/>
        <v>131</v>
      </c>
      <c r="Z78" s="11">
        <f t="shared" si="6"/>
        <v>165</v>
      </c>
      <c r="AA78" s="11">
        <f t="shared" si="6"/>
        <v>215</v>
      </c>
      <c r="AB78" s="11">
        <f t="shared" si="6"/>
        <v>201</v>
      </c>
      <c r="AC78" s="11">
        <f t="shared" si="6"/>
        <v>160</v>
      </c>
      <c r="AD78" s="11">
        <f t="shared" si="6"/>
        <v>139</v>
      </c>
      <c r="AE78" s="11">
        <f t="shared" si="6"/>
        <v>143</v>
      </c>
      <c r="AF78" s="11">
        <f t="shared" si="6"/>
        <v>212</v>
      </c>
      <c r="AG78" s="10">
        <f t="shared" si="5"/>
        <v>5085</v>
      </c>
    </row>
    <row r="79" spans="1:33" ht="19.5" customHeight="1" x14ac:dyDescent="0.25">
      <c r="A79" s="64" t="s">
        <v>30</v>
      </c>
      <c r="B79" s="3">
        <f t="shared" ref="B79" si="7">SUM(B4:B27)-B80</f>
        <v>150</v>
      </c>
      <c r="C79" s="3">
        <f t="shared" ref="C79" si="8">SUM(C4:C27)-C80</f>
        <v>142</v>
      </c>
      <c r="D79" s="3">
        <f t="shared" ref="D79:AF79" si="9">SUM(D4:D27)-D80</f>
        <v>144</v>
      </c>
      <c r="E79" s="3">
        <f t="shared" si="9"/>
        <v>129</v>
      </c>
      <c r="F79" s="3">
        <f t="shared" si="9"/>
        <v>197</v>
      </c>
      <c r="G79" s="3">
        <f t="shared" si="9"/>
        <v>223</v>
      </c>
      <c r="H79" s="3">
        <f t="shared" si="9"/>
        <v>162</v>
      </c>
      <c r="I79" s="3">
        <f t="shared" si="9"/>
        <v>152</v>
      </c>
      <c r="J79" s="3">
        <f t="shared" si="9"/>
        <v>155</v>
      </c>
      <c r="K79" s="3">
        <f t="shared" si="9"/>
        <v>145</v>
      </c>
      <c r="L79" s="3">
        <f t="shared" si="9"/>
        <v>158</v>
      </c>
      <c r="M79" s="3">
        <f t="shared" si="9"/>
        <v>224</v>
      </c>
      <c r="N79" s="3">
        <f t="shared" si="9"/>
        <v>222</v>
      </c>
      <c r="O79" s="3">
        <f t="shared" si="9"/>
        <v>161</v>
      </c>
      <c r="P79" s="3">
        <f t="shared" si="9"/>
        <v>148</v>
      </c>
      <c r="Q79" s="3">
        <f t="shared" si="9"/>
        <v>160</v>
      </c>
      <c r="R79" s="3">
        <f t="shared" si="9"/>
        <v>143</v>
      </c>
      <c r="S79" s="3">
        <f t="shared" si="9"/>
        <v>148</v>
      </c>
      <c r="T79" s="3">
        <f t="shared" si="9"/>
        <v>196</v>
      </c>
      <c r="U79" s="3">
        <f t="shared" si="9"/>
        <v>139</v>
      </c>
      <c r="V79" s="3">
        <f t="shared" si="9"/>
        <v>161</v>
      </c>
      <c r="W79" s="3">
        <f t="shared" si="9"/>
        <v>136</v>
      </c>
      <c r="X79" s="3">
        <f t="shared" si="9"/>
        <v>124</v>
      </c>
      <c r="Y79" s="3">
        <f t="shared" si="9"/>
        <v>131</v>
      </c>
      <c r="Z79" s="3">
        <f t="shared" si="9"/>
        <v>165</v>
      </c>
      <c r="AA79" s="3">
        <f t="shared" si="9"/>
        <v>215</v>
      </c>
      <c r="AB79" s="3">
        <f t="shared" si="9"/>
        <v>201</v>
      </c>
      <c r="AC79" s="3">
        <f t="shared" si="9"/>
        <v>160</v>
      </c>
      <c r="AD79" s="3">
        <f t="shared" si="9"/>
        <v>139</v>
      </c>
      <c r="AE79" s="3">
        <f t="shared" si="9"/>
        <v>143</v>
      </c>
      <c r="AF79" s="3">
        <f t="shared" si="9"/>
        <v>212</v>
      </c>
      <c r="AG79" s="4">
        <f t="shared" si="5"/>
        <v>5085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35</v>
      </c>
      <c r="C81" s="12">
        <f t="shared" si="10"/>
        <v>6</v>
      </c>
      <c r="D81" s="12">
        <f t="shared" si="10"/>
        <v>27</v>
      </c>
      <c r="E81" s="12">
        <f t="shared" si="10"/>
        <v>8</v>
      </c>
      <c r="F81" s="12">
        <f t="shared" si="10"/>
        <v>6</v>
      </c>
      <c r="G81" s="12">
        <f t="shared" si="10"/>
        <v>5</v>
      </c>
      <c r="H81" s="12">
        <f t="shared" si="10"/>
        <v>26</v>
      </c>
      <c r="I81" s="12">
        <f t="shared" si="10"/>
        <v>26</v>
      </c>
      <c r="J81" s="12">
        <f t="shared" si="10"/>
        <v>21</v>
      </c>
      <c r="K81" s="12">
        <f t="shared" si="10"/>
        <v>6</v>
      </c>
      <c r="L81" s="12">
        <f t="shared" si="10"/>
        <v>43</v>
      </c>
      <c r="M81" s="12">
        <f t="shared" si="10"/>
        <v>4</v>
      </c>
      <c r="N81" s="12">
        <f t="shared" si="10"/>
        <v>18</v>
      </c>
      <c r="O81" s="12">
        <f t="shared" si="10"/>
        <v>9</v>
      </c>
      <c r="P81" s="12">
        <f t="shared" si="10"/>
        <v>11</v>
      </c>
      <c r="Q81" s="12">
        <f t="shared" si="10"/>
        <v>39</v>
      </c>
      <c r="R81" s="12">
        <f t="shared" si="10"/>
        <v>45</v>
      </c>
      <c r="S81" s="12">
        <f t="shared" si="10"/>
        <v>12</v>
      </c>
      <c r="T81" s="12">
        <f t="shared" si="10"/>
        <v>3</v>
      </c>
      <c r="U81" s="12">
        <f t="shared" si="10"/>
        <v>44</v>
      </c>
      <c r="V81" s="12">
        <f t="shared" si="10"/>
        <v>19</v>
      </c>
      <c r="W81" s="12">
        <f t="shared" si="10"/>
        <v>19</v>
      </c>
      <c r="X81" s="12">
        <f t="shared" si="10"/>
        <v>6</v>
      </c>
      <c r="Y81" s="12">
        <f t="shared" si="10"/>
        <v>12</v>
      </c>
      <c r="Z81" s="12">
        <f t="shared" si="10"/>
        <v>10</v>
      </c>
      <c r="AA81" s="12">
        <f t="shared" si="10"/>
        <v>15</v>
      </c>
      <c r="AB81" s="12">
        <f t="shared" si="10"/>
        <v>12</v>
      </c>
      <c r="AC81" s="12">
        <f t="shared" si="10"/>
        <v>24</v>
      </c>
      <c r="AD81" s="12">
        <f t="shared" si="10"/>
        <v>17</v>
      </c>
      <c r="AE81" s="12">
        <f t="shared" si="10"/>
        <v>31</v>
      </c>
      <c r="AF81" s="12">
        <f t="shared" si="10"/>
        <v>15</v>
      </c>
      <c r="AG81" s="10">
        <f t="shared" si="5"/>
        <v>574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0</v>
      </c>
      <c r="C82" s="3">
        <f t="shared" si="11"/>
        <v>0</v>
      </c>
      <c r="D82" s="3">
        <f t="shared" si="11"/>
        <v>0</v>
      </c>
      <c r="E82" s="3">
        <f t="shared" si="11"/>
        <v>1</v>
      </c>
      <c r="F82" s="3">
        <f t="shared" si="11"/>
        <v>4</v>
      </c>
      <c r="G82" s="3">
        <f t="shared" si="11"/>
        <v>0</v>
      </c>
      <c r="H82" s="3">
        <f t="shared" si="11"/>
        <v>1</v>
      </c>
      <c r="I82" s="3">
        <f t="shared" si="11"/>
        <v>0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8</v>
      </c>
      <c r="O82" s="3">
        <f t="shared" si="11"/>
        <v>0</v>
      </c>
      <c r="P82" s="3">
        <f t="shared" si="11"/>
        <v>0</v>
      </c>
      <c r="Q82" s="3">
        <f t="shared" si="11"/>
        <v>0</v>
      </c>
      <c r="R82" s="3">
        <f t="shared" si="11"/>
        <v>0</v>
      </c>
      <c r="S82" s="3">
        <f t="shared" si="11"/>
        <v>0</v>
      </c>
      <c r="T82" s="3">
        <f t="shared" si="11"/>
        <v>1</v>
      </c>
      <c r="U82" s="3">
        <f t="shared" si="11"/>
        <v>24</v>
      </c>
      <c r="V82" s="3">
        <f t="shared" si="11"/>
        <v>0</v>
      </c>
      <c r="W82" s="3">
        <f t="shared" si="11"/>
        <v>0</v>
      </c>
      <c r="X82" s="3">
        <f t="shared" si="11"/>
        <v>0</v>
      </c>
      <c r="Y82" s="3">
        <f t="shared" si="11"/>
        <v>0</v>
      </c>
      <c r="Z82" s="3">
        <f t="shared" si="11"/>
        <v>1</v>
      </c>
      <c r="AA82" s="3">
        <f t="shared" si="11"/>
        <v>6</v>
      </c>
      <c r="AB82" s="3">
        <f t="shared" si="11"/>
        <v>4</v>
      </c>
      <c r="AC82" s="3">
        <f t="shared" si="11"/>
        <v>0</v>
      </c>
      <c r="AD82" s="3">
        <f t="shared" si="11"/>
        <v>0</v>
      </c>
      <c r="AE82" s="3">
        <f t="shared" si="11"/>
        <v>0</v>
      </c>
      <c r="AF82" s="3">
        <f t="shared" si="11"/>
        <v>1</v>
      </c>
      <c r="AG82" s="4">
        <f t="shared" si="5"/>
        <v>51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35</v>
      </c>
      <c r="C83" s="8">
        <f t="shared" si="12"/>
        <v>6</v>
      </c>
      <c r="D83" s="8">
        <f t="shared" si="12"/>
        <v>27</v>
      </c>
      <c r="E83" s="8">
        <f t="shared" si="12"/>
        <v>7</v>
      </c>
      <c r="F83" s="8">
        <f t="shared" si="12"/>
        <v>2</v>
      </c>
      <c r="G83" s="8">
        <f t="shared" si="12"/>
        <v>5</v>
      </c>
      <c r="H83" s="8">
        <f t="shared" si="12"/>
        <v>25</v>
      </c>
      <c r="I83" s="8">
        <f t="shared" si="12"/>
        <v>26</v>
      </c>
      <c r="J83" s="8">
        <f t="shared" si="12"/>
        <v>21</v>
      </c>
      <c r="K83" s="8">
        <f t="shared" si="12"/>
        <v>6</v>
      </c>
      <c r="L83" s="8">
        <f t="shared" si="12"/>
        <v>43</v>
      </c>
      <c r="M83" s="8">
        <f t="shared" si="12"/>
        <v>4</v>
      </c>
      <c r="N83" s="8">
        <f t="shared" si="12"/>
        <v>10</v>
      </c>
      <c r="O83" s="8">
        <f t="shared" si="12"/>
        <v>9</v>
      </c>
      <c r="P83" s="8">
        <f t="shared" si="12"/>
        <v>11</v>
      </c>
      <c r="Q83" s="8">
        <f t="shared" si="12"/>
        <v>39</v>
      </c>
      <c r="R83" s="8">
        <f t="shared" si="12"/>
        <v>45</v>
      </c>
      <c r="S83" s="8">
        <f t="shared" si="12"/>
        <v>12</v>
      </c>
      <c r="T83" s="8">
        <f t="shared" si="12"/>
        <v>2</v>
      </c>
      <c r="U83" s="8">
        <f t="shared" si="12"/>
        <v>20</v>
      </c>
      <c r="V83" s="8">
        <f t="shared" si="12"/>
        <v>19</v>
      </c>
      <c r="W83" s="8">
        <f t="shared" si="12"/>
        <v>19</v>
      </c>
      <c r="X83" s="8">
        <f t="shared" si="12"/>
        <v>6</v>
      </c>
      <c r="Y83" s="8">
        <f t="shared" si="12"/>
        <v>12</v>
      </c>
      <c r="Z83" s="8">
        <f t="shared" si="12"/>
        <v>9</v>
      </c>
      <c r="AA83" s="8">
        <f t="shared" si="12"/>
        <v>9</v>
      </c>
      <c r="AB83" s="8">
        <f t="shared" si="12"/>
        <v>8</v>
      </c>
      <c r="AC83" s="8">
        <f t="shared" si="12"/>
        <v>24</v>
      </c>
      <c r="AD83" s="8">
        <f t="shared" si="12"/>
        <v>17</v>
      </c>
      <c r="AE83" s="8">
        <f t="shared" si="12"/>
        <v>31</v>
      </c>
      <c r="AF83" s="8">
        <f t="shared" si="12"/>
        <v>14</v>
      </c>
      <c r="AG83" s="5">
        <f t="shared" si="5"/>
        <v>523</v>
      </c>
    </row>
    <row r="84" spans="1:34" ht="15.75" customHeight="1" thickBot="1" x14ac:dyDescent="0.3">
      <c r="A84" s="67" t="s">
        <v>33</v>
      </c>
      <c r="B84" s="14">
        <f t="shared" ref="B84:AF84" si="13">SUM(B85:B86)</f>
        <v>35</v>
      </c>
      <c r="C84" s="14">
        <f t="shared" si="13"/>
        <v>6</v>
      </c>
      <c r="D84" s="14">
        <f t="shared" si="13"/>
        <v>27</v>
      </c>
      <c r="E84" s="14">
        <f t="shared" si="13"/>
        <v>8</v>
      </c>
      <c r="F84" s="14">
        <f t="shared" si="13"/>
        <v>6</v>
      </c>
      <c r="G84" s="14">
        <f t="shared" si="13"/>
        <v>5</v>
      </c>
      <c r="H84" s="14">
        <f t="shared" si="13"/>
        <v>26</v>
      </c>
      <c r="I84" s="14">
        <f t="shared" si="13"/>
        <v>26</v>
      </c>
      <c r="J84" s="14">
        <f t="shared" si="13"/>
        <v>21</v>
      </c>
      <c r="K84" s="14">
        <f t="shared" si="13"/>
        <v>6</v>
      </c>
      <c r="L84" s="14">
        <f t="shared" si="13"/>
        <v>43</v>
      </c>
      <c r="M84" s="14">
        <f t="shared" si="13"/>
        <v>4</v>
      </c>
      <c r="N84" s="14">
        <f t="shared" si="13"/>
        <v>18</v>
      </c>
      <c r="O84" s="14">
        <f t="shared" si="13"/>
        <v>9</v>
      </c>
      <c r="P84" s="14">
        <f t="shared" si="13"/>
        <v>11</v>
      </c>
      <c r="Q84" s="14">
        <f t="shared" si="13"/>
        <v>39</v>
      </c>
      <c r="R84" s="14">
        <f t="shared" si="13"/>
        <v>45</v>
      </c>
      <c r="S84" s="14">
        <f t="shared" si="13"/>
        <v>12</v>
      </c>
      <c r="T84" s="14">
        <f t="shared" si="13"/>
        <v>3</v>
      </c>
      <c r="U84" s="14">
        <f t="shared" si="13"/>
        <v>44</v>
      </c>
      <c r="V84" s="14">
        <f t="shared" si="13"/>
        <v>19</v>
      </c>
      <c r="W84" s="14">
        <f t="shared" si="13"/>
        <v>19</v>
      </c>
      <c r="X84" s="14">
        <f t="shared" si="13"/>
        <v>6</v>
      </c>
      <c r="Y84" s="14">
        <f t="shared" si="13"/>
        <v>12</v>
      </c>
      <c r="Z84" s="14">
        <f t="shared" si="13"/>
        <v>10</v>
      </c>
      <c r="AA84" s="14">
        <f t="shared" si="13"/>
        <v>15</v>
      </c>
      <c r="AB84" s="14">
        <f t="shared" si="13"/>
        <v>12</v>
      </c>
      <c r="AC84" s="14">
        <f t="shared" si="13"/>
        <v>24</v>
      </c>
      <c r="AD84" s="14">
        <f t="shared" si="13"/>
        <v>17</v>
      </c>
      <c r="AE84" s="14">
        <f t="shared" si="13"/>
        <v>31</v>
      </c>
      <c r="AF84" s="14">
        <f t="shared" si="13"/>
        <v>15</v>
      </c>
      <c r="AG84" s="15">
        <f t="shared" si="5"/>
        <v>574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10</v>
      </c>
      <c r="C85" s="69">
        <v>2</v>
      </c>
      <c r="D85" s="69">
        <v>5</v>
      </c>
      <c r="E85" s="69">
        <v>0</v>
      </c>
      <c r="F85" s="69">
        <v>2</v>
      </c>
      <c r="G85" s="69">
        <v>2</v>
      </c>
      <c r="H85" s="69">
        <v>9</v>
      </c>
      <c r="I85" s="69">
        <v>7</v>
      </c>
      <c r="J85" s="69">
        <v>1</v>
      </c>
      <c r="K85" s="69">
        <v>1</v>
      </c>
      <c r="L85" s="69">
        <v>12</v>
      </c>
      <c r="M85" s="69">
        <v>0</v>
      </c>
      <c r="N85" s="69">
        <v>4</v>
      </c>
      <c r="O85" s="69">
        <v>4</v>
      </c>
      <c r="P85" s="69">
        <v>4</v>
      </c>
      <c r="Q85" s="69">
        <v>12</v>
      </c>
      <c r="R85" s="69">
        <v>10</v>
      </c>
      <c r="S85" s="69">
        <v>5</v>
      </c>
      <c r="T85" s="69">
        <v>1</v>
      </c>
      <c r="U85" s="69">
        <v>10</v>
      </c>
      <c r="V85" s="69">
        <v>7</v>
      </c>
      <c r="W85" s="69">
        <v>3</v>
      </c>
      <c r="X85" s="69">
        <v>0</v>
      </c>
      <c r="Y85" s="69">
        <v>1</v>
      </c>
      <c r="Z85" s="69">
        <v>2</v>
      </c>
      <c r="AA85" s="69">
        <v>7</v>
      </c>
      <c r="AB85" s="69">
        <v>3</v>
      </c>
      <c r="AC85" s="69">
        <v>4</v>
      </c>
      <c r="AD85" s="69">
        <v>4</v>
      </c>
      <c r="AE85" s="69">
        <v>7</v>
      </c>
      <c r="AF85" s="69">
        <v>4</v>
      </c>
      <c r="AG85" s="16">
        <f t="shared" si="5"/>
        <v>143</v>
      </c>
    </row>
    <row r="86" spans="1:34" ht="15.75" customHeight="1" thickBot="1" x14ac:dyDescent="0.3">
      <c r="A86" s="70" t="s">
        <v>35</v>
      </c>
      <c r="B86" s="71">
        <v>25</v>
      </c>
      <c r="C86" s="71">
        <v>4</v>
      </c>
      <c r="D86" s="71">
        <v>22</v>
      </c>
      <c r="E86" s="71">
        <v>8</v>
      </c>
      <c r="F86" s="71">
        <v>4</v>
      </c>
      <c r="G86" s="71">
        <v>3</v>
      </c>
      <c r="H86" s="71">
        <v>17</v>
      </c>
      <c r="I86" s="71">
        <v>19</v>
      </c>
      <c r="J86" s="71">
        <v>20</v>
      </c>
      <c r="K86" s="71">
        <v>5</v>
      </c>
      <c r="L86" s="71">
        <v>31</v>
      </c>
      <c r="M86" s="71">
        <v>4</v>
      </c>
      <c r="N86" s="71">
        <v>14</v>
      </c>
      <c r="O86" s="71">
        <v>5</v>
      </c>
      <c r="P86" s="71">
        <v>7</v>
      </c>
      <c r="Q86" s="71">
        <v>27</v>
      </c>
      <c r="R86" s="71">
        <v>35</v>
      </c>
      <c r="S86" s="71">
        <v>7</v>
      </c>
      <c r="T86" s="71">
        <v>2</v>
      </c>
      <c r="U86" s="71">
        <v>34</v>
      </c>
      <c r="V86" s="71">
        <v>12</v>
      </c>
      <c r="W86" s="71">
        <v>16</v>
      </c>
      <c r="X86" s="71">
        <v>6</v>
      </c>
      <c r="Y86" s="71">
        <v>11</v>
      </c>
      <c r="Z86" s="71">
        <v>8</v>
      </c>
      <c r="AA86" s="71">
        <v>8</v>
      </c>
      <c r="AB86" s="71">
        <v>9</v>
      </c>
      <c r="AC86" s="71">
        <v>20</v>
      </c>
      <c r="AD86" s="71">
        <v>13</v>
      </c>
      <c r="AE86" s="71">
        <v>24</v>
      </c>
      <c r="AF86" s="71">
        <v>11</v>
      </c>
      <c r="AG86" s="17">
        <f t="shared" si="5"/>
        <v>431</v>
      </c>
    </row>
    <row r="87" spans="1:34" ht="15.75" customHeight="1" thickBot="1" x14ac:dyDescent="0.3">
      <c r="A87" s="72" t="s">
        <v>36</v>
      </c>
      <c r="B87" s="18">
        <f t="shared" ref="B87:AF87" si="14">SUM(B88:B92)</f>
        <v>35</v>
      </c>
      <c r="C87" s="18">
        <f t="shared" si="14"/>
        <v>6</v>
      </c>
      <c r="D87" s="18">
        <f t="shared" si="14"/>
        <v>27</v>
      </c>
      <c r="E87" s="18">
        <f t="shared" si="14"/>
        <v>8</v>
      </c>
      <c r="F87" s="18">
        <f t="shared" si="14"/>
        <v>6</v>
      </c>
      <c r="G87" s="18">
        <f t="shared" si="14"/>
        <v>5</v>
      </c>
      <c r="H87" s="18">
        <f t="shared" si="14"/>
        <v>26</v>
      </c>
      <c r="I87" s="18">
        <f t="shared" si="14"/>
        <v>26</v>
      </c>
      <c r="J87" s="18">
        <f t="shared" si="14"/>
        <v>21</v>
      </c>
      <c r="K87" s="18">
        <f t="shared" si="14"/>
        <v>6</v>
      </c>
      <c r="L87" s="18">
        <f t="shared" si="14"/>
        <v>43</v>
      </c>
      <c r="M87" s="18">
        <f t="shared" si="14"/>
        <v>4</v>
      </c>
      <c r="N87" s="18">
        <f t="shared" si="14"/>
        <v>18</v>
      </c>
      <c r="O87" s="18">
        <f t="shared" si="14"/>
        <v>9</v>
      </c>
      <c r="P87" s="18">
        <f t="shared" si="14"/>
        <v>11</v>
      </c>
      <c r="Q87" s="18">
        <f t="shared" si="14"/>
        <v>39</v>
      </c>
      <c r="R87" s="18">
        <f t="shared" si="14"/>
        <v>45</v>
      </c>
      <c r="S87" s="18">
        <f t="shared" si="14"/>
        <v>12</v>
      </c>
      <c r="T87" s="18">
        <f t="shared" si="14"/>
        <v>3</v>
      </c>
      <c r="U87" s="18">
        <f t="shared" si="14"/>
        <v>44</v>
      </c>
      <c r="V87" s="18">
        <f t="shared" si="14"/>
        <v>19</v>
      </c>
      <c r="W87" s="18">
        <f t="shared" si="14"/>
        <v>19</v>
      </c>
      <c r="X87" s="18">
        <f t="shared" si="14"/>
        <v>6</v>
      </c>
      <c r="Y87" s="18">
        <f t="shared" si="14"/>
        <v>12</v>
      </c>
      <c r="Z87" s="18">
        <f t="shared" si="14"/>
        <v>10</v>
      </c>
      <c r="AA87" s="18">
        <f t="shared" si="14"/>
        <v>15</v>
      </c>
      <c r="AB87" s="18">
        <f t="shared" si="14"/>
        <v>12</v>
      </c>
      <c r="AC87" s="18">
        <f t="shared" si="14"/>
        <v>24</v>
      </c>
      <c r="AD87" s="18">
        <f t="shared" si="14"/>
        <v>17</v>
      </c>
      <c r="AE87" s="18">
        <f t="shared" si="14"/>
        <v>31</v>
      </c>
      <c r="AF87" s="18">
        <f t="shared" si="14"/>
        <v>15</v>
      </c>
      <c r="AG87" s="19">
        <f t="shared" si="5"/>
        <v>574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11</v>
      </c>
      <c r="C88" s="60">
        <v>2</v>
      </c>
      <c r="D88" s="60">
        <v>2</v>
      </c>
      <c r="E88" s="60">
        <v>4</v>
      </c>
      <c r="F88" s="60">
        <v>5</v>
      </c>
      <c r="G88" s="60">
        <v>1</v>
      </c>
      <c r="H88" s="60">
        <v>2</v>
      </c>
      <c r="I88" s="60">
        <v>8</v>
      </c>
      <c r="J88" s="60">
        <v>3</v>
      </c>
      <c r="K88" s="60">
        <v>2</v>
      </c>
      <c r="L88" s="60">
        <v>7</v>
      </c>
      <c r="M88" s="60">
        <v>3</v>
      </c>
      <c r="N88" s="60">
        <v>8</v>
      </c>
      <c r="O88" s="60">
        <v>1</v>
      </c>
      <c r="P88" s="60">
        <v>4</v>
      </c>
      <c r="Q88" s="60">
        <v>4</v>
      </c>
      <c r="R88" s="60">
        <v>8</v>
      </c>
      <c r="S88" s="60">
        <v>2</v>
      </c>
      <c r="T88" s="60">
        <v>2</v>
      </c>
      <c r="U88" s="60">
        <v>25</v>
      </c>
      <c r="V88" s="60">
        <v>3</v>
      </c>
      <c r="W88" s="60">
        <v>2</v>
      </c>
      <c r="X88" s="60">
        <v>1</v>
      </c>
      <c r="Y88" s="60">
        <v>3</v>
      </c>
      <c r="Z88" s="60">
        <v>5</v>
      </c>
      <c r="AA88" s="60">
        <v>6</v>
      </c>
      <c r="AB88" s="60">
        <v>4</v>
      </c>
      <c r="AC88" s="60">
        <v>3</v>
      </c>
      <c r="AD88" s="60">
        <v>2</v>
      </c>
      <c r="AE88" s="60">
        <v>2</v>
      </c>
      <c r="AF88" s="60">
        <v>2</v>
      </c>
      <c r="AG88" s="4">
        <f t="shared" si="5"/>
        <v>137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1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1</v>
      </c>
    </row>
    <row r="90" spans="1:34" ht="15.75" customHeight="1" x14ac:dyDescent="0.25">
      <c r="A90" s="74" t="s">
        <v>39</v>
      </c>
      <c r="B90" s="60">
        <v>0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60">
        <v>1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1</v>
      </c>
      <c r="V90" s="60">
        <v>0</v>
      </c>
      <c r="W90" s="60">
        <v>0</v>
      </c>
      <c r="X90" s="60">
        <v>0</v>
      </c>
      <c r="Y90" s="60">
        <v>1</v>
      </c>
      <c r="Z90" s="60">
        <v>0</v>
      </c>
      <c r="AA90" s="60">
        <v>0</v>
      </c>
      <c r="AB90" s="60">
        <v>0</v>
      </c>
      <c r="AC90" s="60">
        <v>0</v>
      </c>
      <c r="AD90" s="60">
        <v>0</v>
      </c>
      <c r="AE90" s="60">
        <v>2</v>
      </c>
      <c r="AF90" s="60">
        <v>1</v>
      </c>
      <c r="AG90" s="5">
        <f t="shared" si="5"/>
        <v>6</v>
      </c>
    </row>
    <row r="91" spans="1:34" ht="15.75" customHeight="1" x14ac:dyDescent="0.25">
      <c r="A91" s="74" t="s">
        <v>40</v>
      </c>
      <c r="B91" s="60">
        <v>16</v>
      </c>
      <c r="C91" s="60">
        <v>3</v>
      </c>
      <c r="D91" s="60">
        <v>18</v>
      </c>
      <c r="E91" s="60">
        <v>4</v>
      </c>
      <c r="F91" s="60">
        <v>0</v>
      </c>
      <c r="G91" s="60">
        <v>2</v>
      </c>
      <c r="H91" s="60">
        <v>21</v>
      </c>
      <c r="I91" s="60">
        <v>9</v>
      </c>
      <c r="J91" s="60">
        <v>15</v>
      </c>
      <c r="K91" s="60">
        <v>3</v>
      </c>
      <c r="L91" s="60">
        <v>31</v>
      </c>
      <c r="M91" s="60">
        <v>0</v>
      </c>
      <c r="N91" s="60">
        <v>4</v>
      </c>
      <c r="O91" s="60">
        <v>6</v>
      </c>
      <c r="P91" s="60">
        <v>6</v>
      </c>
      <c r="Q91" s="60">
        <v>26</v>
      </c>
      <c r="R91" s="60">
        <v>27</v>
      </c>
      <c r="S91" s="60">
        <v>8</v>
      </c>
      <c r="T91" s="60">
        <v>1</v>
      </c>
      <c r="U91" s="60">
        <v>11</v>
      </c>
      <c r="V91" s="60">
        <v>14</v>
      </c>
      <c r="W91" s="60">
        <v>16</v>
      </c>
      <c r="X91" s="60">
        <v>1</v>
      </c>
      <c r="Y91" s="60">
        <v>2</v>
      </c>
      <c r="Z91" s="60">
        <v>3</v>
      </c>
      <c r="AA91" s="60">
        <v>7</v>
      </c>
      <c r="AB91" s="60">
        <v>6</v>
      </c>
      <c r="AC91" s="60">
        <v>8</v>
      </c>
      <c r="AD91" s="60">
        <v>12</v>
      </c>
      <c r="AE91" s="60">
        <v>20</v>
      </c>
      <c r="AF91" s="60">
        <v>9</v>
      </c>
      <c r="AG91" s="5">
        <f t="shared" si="5"/>
        <v>309</v>
      </c>
    </row>
    <row r="92" spans="1:34" ht="15.75" customHeight="1" thickBot="1" x14ac:dyDescent="0.3">
      <c r="A92" s="74" t="s">
        <v>41</v>
      </c>
      <c r="B92" s="60">
        <v>8</v>
      </c>
      <c r="C92" s="60">
        <v>1</v>
      </c>
      <c r="D92" s="60">
        <v>7</v>
      </c>
      <c r="E92" s="60">
        <v>0</v>
      </c>
      <c r="F92" s="60">
        <v>1</v>
      </c>
      <c r="G92" s="60">
        <v>2</v>
      </c>
      <c r="H92" s="60">
        <v>2</v>
      </c>
      <c r="I92" s="60">
        <v>9</v>
      </c>
      <c r="J92" s="60">
        <v>3</v>
      </c>
      <c r="K92" s="60">
        <v>1</v>
      </c>
      <c r="L92" s="60">
        <v>5</v>
      </c>
      <c r="M92" s="60">
        <v>1</v>
      </c>
      <c r="N92" s="60">
        <v>6</v>
      </c>
      <c r="O92" s="60">
        <v>2</v>
      </c>
      <c r="P92" s="60">
        <v>1</v>
      </c>
      <c r="Q92" s="60">
        <v>9</v>
      </c>
      <c r="R92" s="60">
        <v>10</v>
      </c>
      <c r="S92" s="60">
        <v>2</v>
      </c>
      <c r="T92" s="60">
        <v>0</v>
      </c>
      <c r="U92" s="60">
        <v>6</v>
      </c>
      <c r="V92" s="60">
        <v>2</v>
      </c>
      <c r="W92" s="60">
        <v>1</v>
      </c>
      <c r="X92" s="60">
        <v>4</v>
      </c>
      <c r="Y92" s="60">
        <v>6</v>
      </c>
      <c r="Z92" s="60">
        <v>2</v>
      </c>
      <c r="AA92" s="60">
        <v>2</v>
      </c>
      <c r="AB92" s="60">
        <v>2</v>
      </c>
      <c r="AC92" s="60">
        <v>13</v>
      </c>
      <c r="AD92" s="60">
        <v>3</v>
      </c>
      <c r="AE92" s="60">
        <v>7</v>
      </c>
      <c r="AF92" s="60">
        <v>3</v>
      </c>
      <c r="AG92" s="5">
        <f t="shared" si="5"/>
        <v>121</v>
      </c>
    </row>
    <row r="93" spans="1:34" ht="15.75" customHeight="1" x14ac:dyDescent="0.25">
      <c r="A93" s="75" t="s">
        <v>42</v>
      </c>
      <c r="B93" s="20">
        <f t="shared" ref="B93:AF93" si="15">+B94+B100</f>
        <v>115</v>
      </c>
      <c r="C93" s="20">
        <f t="shared" si="15"/>
        <v>136</v>
      </c>
      <c r="D93" s="20">
        <f t="shared" si="15"/>
        <v>117</v>
      </c>
      <c r="E93" s="20">
        <f t="shared" si="15"/>
        <v>121</v>
      </c>
      <c r="F93" s="20">
        <f t="shared" si="15"/>
        <v>191</v>
      </c>
      <c r="G93" s="20">
        <f t="shared" si="15"/>
        <v>218</v>
      </c>
      <c r="H93" s="20">
        <f t="shared" si="15"/>
        <v>136</v>
      </c>
      <c r="I93" s="20">
        <f t="shared" si="15"/>
        <v>126</v>
      </c>
      <c r="J93" s="20">
        <f t="shared" si="15"/>
        <v>134</v>
      </c>
      <c r="K93" s="20">
        <f t="shared" si="15"/>
        <v>139</v>
      </c>
      <c r="L93" s="20">
        <f t="shared" si="15"/>
        <v>115</v>
      </c>
      <c r="M93" s="20">
        <f t="shared" si="15"/>
        <v>220</v>
      </c>
      <c r="N93" s="20">
        <f t="shared" si="15"/>
        <v>204</v>
      </c>
      <c r="O93" s="20">
        <f t="shared" si="15"/>
        <v>152</v>
      </c>
      <c r="P93" s="20">
        <f t="shared" si="15"/>
        <v>137</v>
      </c>
      <c r="Q93" s="20">
        <f t="shared" si="15"/>
        <v>121</v>
      </c>
      <c r="R93" s="20">
        <f t="shared" si="15"/>
        <v>98</v>
      </c>
      <c r="S93" s="20">
        <f t="shared" si="15"/>
        <v>136</v>
      </c>
      <c r="T93" s="20">
        <f t="shared" si="15"/>
        <v>193</v>
      </c>
      <c r="U93" s="20">
        <f t="shared" si="15"/>
        <v>95</v>
      </c>
      <c r="V93" s="20">
        <f t="shared" si="15"/>
        <v>142</v>
      </c>
      <c r="W93" s="20">
        <f t="shared" si="15"/>
        <v>117</v>
      </c>
      <c r="X93" s="20">
        <f t="shared" si="15"/>
        <v>118</v>
      </c>
      <c r="Y93" s="20">
        <f t="shared" si="15"/>
        <v>119</v>
      </c>
      <c r="Z93" s="20">
        <f t="shared" si="15"/>
        <v>155</v>
      </c>
      <c r="AA93" s="20">
        <f t="shared" si="15"/>
        <v>200</v>
      </c>
      <c r="AB93" s="20">
        <f t="shared" si="15"/>
        <v>189</v>
      </c>
      <c r="AC93" s="20">
        <f t="shared" si="15"/>
        <v>136</v>
      </c>
      <c r="AD93" s="20">
        <f t="shared" si="15"/>
        <v>122</v>
      </c>
      <c r="AE93" s="20">
        <f t="shared" si="15"/>
        <v>112</v>
      </c>
      <c r="AF93" s="20">
        <f t="shared" si="15"/>
        <v>197</v>
      </c>
      <c r="AG93" s="5">
        <f t="shared" si="5"/>
        <v>4511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21</v>
      </c>
      <c r="C94" s="21">
        <f t="shared" si="16"/>
        <v>34</v>
      </c>
      <c r="D94" s="21">
        <f t="shared" si="16"/>
        <v>19</v>
      </c>
      <c r="E94" s="21">
        <f t="shared" si="16"/>
        <v>22</v>
      </c>
      <c r="F94" s="21">
        <f t="shared" si="16"/>
        <v>40</v>
      </c>
      <c r="G94" s="21">
        <f t="shared" si="16"/>
        <v>51</v>
      </c>
      <c r="H94" s="21">
        <f t="shared" si="16"/>
        <v>28</v>
      </c>
      <c r="I94" s="21">
        <f t="shared" si="16"/>
        <v>22</v>
      </c>
      <c r="J94" s="21">
        <f t="shared" si="16"/>
        <v>22</v>
      </c>
      <c r="K94" s="21">
        <f t="shared" si="16"/>
        <v>29</v>
      </c>
      <c r="L94" s="21">
        <f t="shared" si="16"/>
        <v>19</v>
      </c>
      <c r="M94" s="21">
        <f t="shared" si="16"/>
        <v>41</v>
      </c>
      <c r="N94" s="21">
        <f t="shared" si="16"/>
        <v>39</v>
      </c>
      <c r="O94" s="21">
        <f t="shared" si="16"/>
        <v>32</v>
      </c>
      <c r="P94" s="21">
        <f t="shared" si="16"/>
        <v>30</v>
      </c>
      <c r="Q94" s="21">
        <f t="shared" si="16"/>
        <v>29</v>
      </c>
      <c r="R94" s="21">
        <f t="shared" si="16"/>
        <v>14</v>
      </c>
      <c r="S94" s="21">
        <f t="shared" si="16"/>
        <v>18</v>
      </c>
      <c r="T94" s="21">
        <f t="shared" si="16"/>
        <v>29</v>
      </c>
      <c r="U94" s="21">
        <f t="shared" si="16"/>
        <v>27</v>
      </c>
      <c r="V94" s="21">
        <f t="shared" si="16"/>
        <v>32</v>
      </c>
      <c r="W94" s="21">
        <f t="shared" si="16"/>
        <v>16</v>
      </c>
      <c r="X94" s="21">
        <f t="shared" si="16"/>
        <v>23</v>
      </c>
      <c r="Y94" s="21">
        <f t="shared" si="16"/>
        <v>20</v>
      </c>
      <c r="Z94" s="21">
        <f t="shared" si="16"/>
        <v>21</v>
      </c>
      <c r="AA94" s="21">
        <f t="shared" si="16"/>
        <v>34</v>
      </c>
      <c r="AB94" s="21">
        <f t="shared" si="16"/>
        <v>32</v>
      </c>
      <c r="AC94" s="21">
        <f t="shared" si="16"/>
        <v>26</v>
      </c>
      <c r="AD94" s="21">
        <f t="shared" si="16"/>
        <v>17</v>
      </c>
      <c r="AE94" s="21">
        <f t="shared" si="16"/>
        <v>20</v>
      </c>
      <c r="AF94" s="21">
        <f t="shared" si="16"/>
        <v>38</v>
      </c>
      <c r="AG94" s="5">
        <f t="shared" si="5"/>
        <v>845</v>
      </c>
    </row>
    <row r="95" spans="1:34" ht="15.75" customHeight="1" x14ac:dyDescent="0.25">
      <c r="A95" s="78" t="s">
        <v>44</v>
      </c>
      <c r="B95" s="54">
        <v>0</v>
      </c>
      <c r="C95" s="54">
        <v>0</v>
      </c>
      <c r="D95" s="54">
        <v>0</v>
      </c>
      <c r="E95" s="54">
        <v>0</v>
      </c>
      <c r="F95" s="54">
        <v>0</v>
      </c>
      <c r="G95" s="54">
        <v>2</v>
      </c>
      <c r="H95" s="54">
        <v>0</v>
      </c>
      <c r="I95" s="54">
        <v>1</v>
      </c>
      <c r="J95" s="54">
        <v>1</v>
      </c>
      <c r="K95" s="54">
        <v>1</v>
      </c>
      <c r="L95" s="54">
        <v>1</v>
      </c>
      <c r="M95" s="54">
        <v>1</v>
      </c>
      <c r="N95" s="54">
        <v>1</v>
      </c>
      <c r="O95" s="54">
        <v>2</v>
      </c>
      <c r="P95" s="54">
        <v>0</v>
      </c>
      <c r="Q95" s="54">
        <v>0</v>
      </c>
      <c r="R95" s="54">
        <v>1</v>
      </c>
      <c r="S95" s="54">
        <v>2</v>
      </c>
      <c r="T95" s="54">
        <v>0</v>
      </c>
      <c r="U95" s="54">
        <v>3</v>
      </c>
      <c r="V95" s="54">
        <v>1</v>
      </c>
      <c r="W95" s="54">
        <v>0</v>
      </c>
      <c r="X95" s="54">
        <v>2</v>
      </c>
      <c r="Y95" s="54">
        <v>0</v>
      </c>
      <c r="Z95" s="54">
        <v>3</v>
      </c>
      <c r="AA95" s="54">
        <v>1</v>
      </c>
      <c r="AB95" s="54">
        <v>0</v>
      </c>
      <c r="AC95" s="54">
        <v>0</v>
      </c>
      <c r="AD95" s="54">
        <v>3</v>
      </c>
      <c r="AE95" s="54">
        <v>1</v>
      </c>
      <c r="AF95" s="54">
        <v>0</v>
      </c>
      <c r="AG95" s="5">
        <f t="shared" si="5"/>
        <v>27</v>
      </c>
    </row>
    <row r="96" spans="1:34" ht="15.75" customHeight="1" x14ac:dyDescent="0.25">
      <c r="A96" s="79" t="s">
        <v>45</v>
      </c>
      <c r="B96" s="54">
        <v>0</v>
      </c>
      <c r="C96" s="54">
        <v>2</v>
      </c>
      <c r="D96" s="54">
        <v>1</v>
      </c>
      <c r="E96" s="54">
        <v>2</v>
      </c>
      <c r="F96" s="54">
        <v>4</v>
      </c>
      <c r="G96" s="54">
        <v>1</v>
      </c>
      <c r="H96" s="54">
        <v>1</v>
      </c>
      <c r="I96" s="54">
        <v>1</v>
      </c>
      <c r="J96" s="54">
        <v>2</v>
      </c>
      <c r="K96" s="54">
        <v>3</v>
      </c>
      <c r="L96" s="54">
        <v>1</v>
      </c>
      <c r="M96" s="54">
        <v>1</v>
      </c>
      <c r="N96" s="54">
        <v>3</v>
      </c>
      <c r="O96" s="54">
        <v>1</v>
      </c>
      <c r="P96" s="54">
        <v>3</v>
      </c>
      <c r="Q96" s="54">
        <v>1</v>
      </c>
      <c r="R96" s="54">
        <v>1</v>
      </c>
      <c r="S96" s="54">
        <v>1</v>
      </c>
      <c r="T96" s="54">
        <v>0</v>
      </c>
      <c r="U96" s="54">
        <v>0</v>
      </c>
      <c r="V96" s="54">
        <v>0</v>
      </c>
      <c r="W96" s="54">
        <v>0</v>
      </c>
      <c r="X96" s="54">
        <v>1</v>
      </c>
      <c r="Y96" s="54">
        <v>2</v>
      </c>
      <c r="Z96" s="54">
        <v>2</v>
      </c>
      <c r="AA96" s="54">
        <v>4</v>
      </c>
      <c r="AB96" s="54">
        <v>0</v>
      </c>
      <c r="AC96" s="54">
        <v>0</v>
      </c>
      <c r="AD96" s="54">
        <v>0</v>
      </c>
      <c r="AE96" s="54">
        <v>2</v>
      </c>
      <c r="AF96" s="54">
        <v>2</v>
      </c>
      <c r="AG96" s="5">
        <f t="shared" si="5"/>
        <v>42</v>
      </c>
    </row>
    <row r="97" spans="1:33" ht="15.75" customHeight="1" x14ac:dyDescent="0.25">
      <c r="A97" s="80" t="s">
        <v>46</v>
      </c>
      <c r="B97" s="54">
        <v>3</v>
      </c>
      <c r="C97" s="54">
        <v>9</v>
      </c>
      <c r="D97" s="54">
        <v>3</v>
      </c>
      <c r="E97" s="54">
        <v>6</v>
      </c>
      <c r="F97" s="54">
        <v>11</v>
      </c>
      <c r="G97" s="54">
        <v>6</v>
      </c>
      <c r="H97" s="54">
        <v>6</v>
      </c>
      <c r="I97" s="54">
        <v>4</v>
      </c>
      <c r="J97" s="54">
        <v>5</v>
      </c>
      <c r="K97" s="54">
        <v>7</v>
      </c>
      <c r="L97" s="54">
        <v>4</v>
      </c>
      <c r="M97" s="54">
        <v>9</v>
      </c>
      <c r="N97" s="54">
        <v>5</v>
      </c>
      <c r="O97" s="54">
        <v>5</v>
      </c>
      <c r="P97" s="54">
        <v>3</v>
      </c>
      <c r="Q97" s="54">
        <v>5</v>
      </c>
      <c r="R97" s="54">
        <v>2</v>
      </c>
      <c r="S97" s="54">
        <v>3</v>
      </c>
      <c r="T97" s="54">
        <v>4</v>
      </c>
      <c r="U97" s="54">
        <v>3</v>
      </c>
      <c r="V97" s="54">
        <v>5</v>
      </c>
      <c r="W97" s="54">
        <v>4</v>
      </c>
      <c r="X97" s="54">
        <v>4</v>
      </c>
      <c r="Y97" s="54">
        <v>2</v>
      </c>
      <c r="Z97" s="54">
        <v>4</v>
      </c>
      <c r="AA97" s="54">
        <v>5</v>
      </c>
      <c r="AB97" s="54">
        <v>3</v>
      </c>
      <c r="AC97" s="54">
        <v>5</v>
      </c>
      <c r="AD97" s="54">
        <v>1</v>
      </c>
      <c r="AE97" s="54">
        <v>1</v>
      </c>
      <c r="AF97" s="54">
        <v>3</v>
      </c>
      <c r="AG97" s="5">
        <f t="shared" si="5"/>
        <v>140</v>
      </c>
    </row>
    <row r="98" spans="1:33" ht="15.75" customHeight="1" x14ac:dyDescent="0.25">
      <c r="A98" s="81" t="s">
        <v>47</v>
      </c>
      <c r="B98" s="54">
        <v>11</v>
      </c>
      <c r="C98" s="54">
        <v>9</v>
      </c>
      <c r="D98" s="54">
        <v>10</v>
      </c>
      <c r="E98" s="54">
        <v>9</v>
      </c>
      <c r="F98" s="54">
        <v>11</v>
      </c>
      <c r="G98" s="54">
        <v>19</v>
      </c>
      <c r="H98" s="54">
        <v>12</v>
      </c>
      <c r="I98" s="54">
        <v>9</v>
      </c>
      <c r="J98" s="54">
        <v>5</v>
      </c>
      <c r="K98" s="54">
        <v>8</v>
      </c>
      <c r="L98" s="54">
        <v>10</v>
      </c>
      <c r="M98" s="54">
        <v>21</v>
      </c>
      <c r="N98" s="54">
        <v>14</v>
      </c>
      <c r="O98" s="54">
        <v>12</v>
      </c>
      <c r="P98" s="54">
        <v>9</v>
      </c>
      <c r="Q98" s="54">
        <v>18</v>
      </c>
      <c r="R98" s="54">
        <v>4</v>
      </c>
      <c r="S98" s="54">
        <v>10</v>
      </c>
      <c r="T98" s="54">
        <v>16</v>
      </c>
      <c r="U98" s="54">
        <v>10</v>
      </c>
      <c r="V98" s="54">
        <v>15</v>
      </c>
      <c r="W98" s="54">
        <v>9</v>
      </c>
      <c r="X98" s="54">
        <v>5</v>
      </c>
      <c r="Y98" s="54">
        <v>4</v>
      </c>
      <c r="Z98" s="54">
        <v>8</v>
      </c>
      <c r="AA98" s="54">
        <v>11</v>
      </c>
      <c r="AB98" s="54">
        <v>15</v>
      </c>
      <c r="AC98" s="54">
        <v>12</v>
      </c>
      <c r="AD98" s="54">
        <v>7</v>
      </c>
      <c r="AE98" s="54">
        <v>10</v>
      </c>
      <c r="AF98" s="54">
        <v>19</v>
      </c>
      <c r="AG98" s="5">
        <f t="shared" si="5"/>
        <v>342</v>
      </c>
    </row>
    <row r="99" spans="1:33" ht="15.75" customHeight="1" x14ac:dyDescent="0.25">
      <c r="A99" s="82" t="s">
        <v>48</v>
      </c>
      <c r="B99" s="54">
        <v>7</v>
      </c>
      <c r="C99" s="54">
        <v>14</v>
      </c>
      <c r="D99" s="54">
        <v>5</v>
      </c>
      <c r="E99" s="54">
        <v>5</v>
      </c>
      <c r="F99" s="54">
        <v>14</v>
      </c>
      <c r="G99" s="54">
        <v>23</v>
      </c>
      <c r="H99" s="54">
        <v>9</v>
      </c>
      <c r="I99" s="54">
        <v>7</v>
      </c>
      <c r="J99" s="54">
        <v>9</v>
      </c>
      <c r="K99" s="54">
        <v>10</v>
      </c>
      <c r="L99" s="54">
        <v>3</v>
      </c>
      <c r="M99" s="54">
        <v>9</v>
      </c>
      <c r="N99" s="54">
        <v>16</v>
      </c>
      <c r="O99" s="54">
        <v>12</v>
      </c>
      <c r="P99" s="54">
        <v>15</v>
      </c>
      <c r="Q99" s="54">
        <v>5</v>
      </c>
      <c r="R99" s="54">
        <v>6</v>
      </c>
      <c r="S99" s="54">
        <v>2</v>
      </c>
      <c r="T99" s="54">
        <v>9</v>
      </c>
      <c r="U99" s="54">
        <v>11</v>
      </c>
      <c r="V99" s="54">
        <v>11</v>
      </c>
      <c r="W99" s="54">
        <v>3</v>
      </c>
      <c r="X99" s="54">
        <v>11</v>
      </c>
      <c r="Y99" s="54">
        <v>12</v>
      </c>
      <c r="Z99" s="54">
        <v>4</v>
      </c>
      <c r="AA99" s="54">
        <v>13</v>
      </c>
      <c r="AB99" s="54">
        <v>14</v>
      </c>
      <c r="AC99" s="54">
        <v>9</v>
      </c>
      <c r="AD99" s="54">
        <v>6</v>
      </c>
      <c r="AE99" s="54">
        <v>6</v>
      </c>
      <c r="AF99" s="54">
        <v>14</v>
      </c>
      <c r="AG99" s="5">
        <f t="shared" ref="AG99:AG162" si="17">SUM(B99:AF99)</f>
        <v>294</v>
      </c>
    </row>
    <row r="100" spans="1:33" ht="15.75" customHeight="1" x14ac:dyDescent="0.25">
      <c r="A100" s="76" t="s">
        <v>49</v>
      </c>
      <c r="B100" s="21">
        <f t="shared" ref="B100:AF100" si="18">SUM(B101:B115)</f>
        <v>94</v>
      </c>
      <c r="C100" s="21">
        <f t="shared" si="18"/>
        <v>102</v>
      </c>
      <c r="D100" s="21">
        <f t="shared" si="18"/>
        <v>98</v>
      </c>
      <c r="E100" s="21">
        <f t="shared" si="18"/>
        <v>99</v>
      </c>
      <c r="F100" s="21">
        <f t="shared" si="18"/>
        <v>151</v>
      </c>
      <c r="G100" s="21">
        <f t="shared" si="18"/>
        <v>167</v>
      </c>
      <c r="H100" s="21">
        <f t="shared" si="18"/>
        <v>108</v>
      </c>
      <c r="I100" s="21">
        <f t="shared" si="18"/>
        <v>104</v>
      </c>
      <c r="J100" s="21">
        <f t="shared" si="18"/>
        <v>112</v>
      </c>
      <c r="K100" s="21">
        <f t="shared" si="18"/>
        <v>110</v>
      </c>
      <c r="L100" s="21">
        <f t="shared" si="18"/>
        <v>96</v>
      </c>
      <c r="M100" s="21">
        <f t="shared" si="18"/>
        <v>179</v>
      </c>
      <c r="N100" s="21">
        <f t="shared" si="18"/>
        <v>165</v>
      </c>
      <c r="O100" s="21">
        <f t="shared" si="18"/>
        <v>120</v>
      </c>
      <c r="P100" s="21">
        <f t="shared" si="18"/>
        <v>107</v>
      </c>
      <c r="Q100" s="21">
        <f t="shared" si="18"/>
        <v>92</v>
      </c>
      <c r="R100" s="21">
        <f t="shared" si="18"/>
        <v>84</v>
      </c>
      <c r="S100" s="21">
        <f t="shared" si="18"/>
        <v>118</v>
      </c>
      <c r="T100" s="21">
        <f t="shared" si="18"/>
        <v>164</v>
      </c>
      <c r="U100" s="21">
        <f t="shared" si="18"/>
        <v>68</v>
      </c>
      <c r="V100" s="21">
        <f t="shared" si="18"/>
        <v>110</v>
      </c>
      <c r="W100" s="21">
        <f t="shared" si="18"/>
        <v>101</v>
      </c>
      <c r="X100" s="21">
        <f t="shared" si="18"/>
        <v>95</v>
      </c>
      <c r="Y100" s="21">
        <f t="shared" si="18"/>
        <v>99</v>
      </c>
      <c r="Z100" s="21">
        <f t="shared" si="18"/>
        <v>134</v>
      </c>
      <c r="AA100" s="21">
        <f t="shared" si="18"/>
        <v>166</v>
      </c>
      <c r="AB100" s="21">
        <f t="shared" si="18"/>
        <v>157</v>
      </c>
      <c r="AC100" s="21">
        <f t="shared" si="18"/>
        <v>110</v>
      </c>
      <c r="AD100" s="21">
        <f t="shared" si="18"/>
        <v>105</v>
      </c>
      <c r="AE100" s="21">
        <f t="shared" si="18"/>
        <v>92</v>
      </c>
      <c r="AF100" s="21">
        <f t="shared" si="18"/>
        <v>159</v>
      </c>
      <c r="AG100" s="5">
        <f t="shared" si="17"/>
        <v>3666</v>
      </c>
    </row>
    <row r="101" spans="1:33" ht="15.75" customHeight="1" x14ac:dyDescent="0.25">
      <c r="A101" s="82" t="s">
        <v>50</v>
      </c>
      <c r="B101" s="54">
        <v>11</v>
      </c>
      <c r="C101" s="54">
        <v>11</v>
      </c>
      <c r="D101" s="54">
        <v>8</v>
      </c>
      <c r="E101" s="54">
        <v>8</v>
      </c>
      <c r="F101" s="54">
        <v>12</v>
      </c>
      <c r="G101" s="54">
        <v>9</v>
      </c>
      <c r="H101" s="54">
        <v>14</v>
      </c>
      <c r="I101" s="54">
        <v>13</v>
      </c>
      <c r="J101" s="54">
        <v>12</v>
      </c>
      <c r="K101" s="54">
        <v>7</v>
      </c>
      <c r="L101" s="54">
        <v>11</v>
      </c>
      <c r="M101" s="54">
        <v>14</v>
      </c>
      <c r="N101" s="54">
        <v>14</v>
      </c>
      <c r="O101" s="54">
        <v>18</v>
      </c>
      <c r="P101" s="54">
        <v>10</v>
      </c>
      <c r="Q101" s="54">
        <v>13</v>
      </c>
      <c r="R101" s="54">
        <v>11</v>
      </c>
      <c r="S101" s="54">
        <v>8</v>
      </c>
      <c r="T101" s="54">
        <v>9</v>
      </c>
      <c r="U101" s="54">
        <v>5</v>
      </c>
      <c r="V101" s="54">
        <v>11</v>
      </c>
      <c r="W101" s="54">
        <v>13</v>
      </c>
      <c r="X101" s="54">
        <v>10</v>
      </c>
      <c r="Y101" s="54">
        <v>12</v>
      </c>
      <c r="Z101" s="54">
        <v>10</v>
      </c>
      <c r="AA101" s="54">
        <v>13</v>
      </c>
      <c r="AB101" s="54">
        <v>11</v>
      </c>
      <c r="AC101" s="54">
        <v>16</v>
      </c>
      <c r="AD101" s="54">
        <v>4</v>
      </c>
      <c r="AE101" s="54">
        <v>13</v>
      </c>
      <c r="AF101" s="54">
        <v>16</v>
      </c>
      <c r="AG101" s="5">
        <f t="shared" si="17"/>
        <v>347</v>
      </c>
    </row>
    <row r="102" spans="1:33" ht="15.75" customHeight="1" x14ac:dyDescent="0.25">
      <c r="A102" s="82" t="s">
        <v>51</v>
      </c>
      <c r="B102" s="54">
        <v>10</v>
      </c>
      <c r="C102" s="54">
        <v>3</v>
      </c>
      <c r="D102" s="54">
        <v>9</v>
      </c>
      <c r="E102" s="54">
        <v>11</v>
      </c>
      <c r="F102" s="54">
        <v>12</v>
      </c>
      <c r="G102" s="54">
        <v>19</v>
      </c>
      <c r="H102" s="54">
        <v>11</v>
      </c>
      <c r="I102" s="54">
        <v>12</v>
      </c>
      <c r="J102" s="54">
        <v>8</v>
      </c>
      <c r="K102" s="54">
        <v>8</v>
      </c>
      <c r="L102" s="54">
        <v>3</v>
      </c>
      <c r="M102" s="54">
        <v>11</v>
      </c>
      <c r="N102" s="54">
        <v>25</v>
      </c>
      <c r="O102" s="54">
        <v>8</v>
      </c>
      <c r="P102" s="54">
        <v>16</v>
      </c>
      <c r="Q102" s="54">
        <v>8</v>
      </c>
      <c r="R102" s="54">
        <v>6</v>
      </c>
      <c r="S102" s="54">
        <v>14</v>
      </c>
      <c r="T102" s="54">
        <v>18</v>
      </c>
      <c r="U102" s="54">
        <v>10</v>
      </c>
      <c r="V102" s="54">
        <v>11</v>
      </c>
      <c r="W102" s="54">
        <v>8</v>
      </c>
      <c r="X102" s="54">
        <v>17</v>
      </c>
      <c r="Y102" s="54">
        <v>11</v>
      </c>
      <c r="Z102" s="54">
        <v>11</v>
      </c>
      <c r="AA102" s="54">
        <v>16</v>
      </c>
      <c r="AB102" s="54">
        <v>16</v>
      </c>
      <c r="AC102" s="54">
        <v>10</v>
      </c>
      <c r="AD102" s="54">
        <v>9</v>
      </c>
      <c r="AE102" s="54">
        <v>3</v>
      </c>
      <c r="AF102" s="54">
        <v>11</v>
      </c>
      <c r="AG102" s="5">
        <f t="shared" si="17"/>
        <v>345</v>
      </c>
    </row>
    <row r="103" spans="1:33" ht="15.75" customHeight="1" x14ac:dyDescent="0.25">
      <c r="A103" s="78" t="s">
        <v>52</v>
      </c>
      <c r="B103" s="54">
        <v>5</v>
      </c>
      <c r="C103" s="54">
        <v>8</v>
      </c>
      <c r="D103" s="54">
        <v>8</v>
      </c>
      <c r="E103" s="54">
        <v>10</v>
      </c>
      <c r="F103" s="54">
        <v>9</v>
      </c>
      <c r="G103" s="54">
        <v>12</v>
      </c>
      <c r="H103" s="54">
        <v>9</v>
      </c>
      <c r="I103" s="54">
        <v>7</v>
      </c>
      <c r="J103" s="54">
        <v>12</v>
      </c>
      <c r="K103" s="54">
        <v>8</v>
      </c>
      <c r="L103" s="54">
        <v>10</v>
      </c>
      <c r="M103" s="54">
        <v>11</v>
      </c>
      <c r="N103" s="54">
        <v>13</v>
      </c>
      <c r="O103" s="54">
        <v>14</v>
      </c>
      <c r="P103" s="54">
        <v>7</v>
      </c>
      <c r="Q103" s="54">
        <v>6</v>
      </c>
      <c r="R103" s="54">
        <v>1</v>
      </c>
      <c r="S103" s="54">
        <v>6</v>
      </c>
      <c r="T103" s="54">
        <v>11</v>
      </c>
      <c r="U103" s="54">
        <v>6</v>
      </c>
      <c r="V103" s="54">
        <v>8</v>
      </c>
      <c r="W103" s="54">
        <v>7</v>
      </c>
      <c r="X103" s="54">
        <v>8</v>
      </c>
      <c r="Y103" s="54">
        <v>4</v>
      </c>
      <c r="Z103" s="54">
        <v>9</v>
      </c>
      <c r="AA103" s="54">
        <v>10</v>
      </c>
      <c r="AB103" s="54">
        <v>15</v>
      </c>
      <c r="AC103" s="54">
        <v>9</v>
      </c>
      <c r="AD103" s="54">
        <v>11</v>
      </c>
      <c r="AE103" s="54">
        <v>6</v>
      </c>
      <c r="AF103" s="54">
        <v>9</v>
      </c>
      <c r="AG103" s="5">
        <f t="shared" si="17"/>
        <v>269</v>
      </c>
    </row>
    <row r="104" spans="1:33" ht="15.75" customHeight="1" x14ac:dyDescent="0.25">
      <c r="A104" s="78" t="s">
        <v>53</v>
      </c>
      <c r="B104" s="54">
        <v>8</v>
      </c>
      <c r="C104" s="54">
        <v>8</v>
      </c>
      <c r="D104" s="54">
        <v>7</v>
      </c>
      <c r="E104" s="54">
        <v>3</v>
      </c>
      <c r="F104" s="54">
        <v>10</v>
      </c>
      <c r="G104" s="54">
        <v>7</v>
      </c>
      <c r="H104" s="54">
        <v>6</v>
      </c>
      <c r="I104" s="54">
        <v>3</v>
      </c>
      <c r="J104" s="54">
        <v>7</v>
      </c>
      <c r="K104" s="54">
        <v>11</v>
      </c>
      <c r="L104" s="54">
        <v>5</v>
      </c>
      <c r="M104" s="54">
        <v>14</v>
      </c>
      <c r="N104" s="54">
        <v>14</v>
      </c>
      <c r="O104" s="54">
        <v>15</v>
      </c>
      <c r="P104" s="54">
        <v>7</v>
      </c>
      <c r="Q104" s="54">
        <v>5</v>
      </c>
      <c r="R104" s="54">
        <v>2</v>
      </c>
      <c r="S104" s="54">
        <v>9</v>
      </c>
      <c r="T104" s="54">
        <v>13</v>
      </c>
      <c r="U104" s="54">
        <v>4</v>
      </c>
      <c r="V104" s="54">
        <v>6</v>
      </c>
      <c r="W104" s="54">
        <v>11</v>
      </c>
      <c r="X104" s="54">
        <v>9</v>
      </c>
      <c r="Y104" s="54">
        <v>10</v>
      </c>
      <c r="Z104" s="54">
        <v>12</v>
      </c>
      <c r="AA104" s="54">
        <v>15</v>
      </c>
      <c r="AB104" s="54">
        <v>15</v>
      </c>
      <c r="AC104" s="54">
        <v>8</v>
      </c>
      <c r="AD104" s="54">
        <v>7</v>
      </c>
      <c r="AE104" s="54">
        <v>6</v>
      </c>
      <c r="AF104" s="54">
        <v>17</v>
      </c>
      <c r="AG104" s="5">
        <f t="shared" si="17"/>
        <v>274</v>
      </c>
    </row>
    <row r="105" spans="1:33" ht="15.75" customHeight="1" x14ac:dyDescent="0.25">
      <c r="A105" s="78" t="s">
        <v>54</v>
      </c>
      <c r="B105" s="54">
        <v>8</v>
      </c>
      <c r="C105" s="54">
        <v>8</v>
      </c>
      <c r="D105" s="54">
        <v>7</v>
      </c>
      <c r="E105" s="54">
        <v>6</v>
      </c>
      <c r="F105" s="54">
        <v>14</v>
      </c>
      <c r="G105" s="54">
        <v>14</v>
      </c>
      <c r="H105" s="54">
        <v>6</v>
      </c>
      <c r="I105" s="54">
        <v>10</v>
      </c>
      <c r="J105" s="54">
        <v>9</v>
      </c>
      <c r="K105" s="54">
        <v>11</v>
      </c>
      <c r="L105" s="54">
        <v>6</v>
      </c>
      <c r="M105" s="54">
        <v>15</v>
      </c>
      <c r="N105" s="54">
        <v>11</v>
      </c>
      <c r="O105" s="54">
        <v>6</v>
      </c>
      <c r="P105" s="54">
        <v>8</v>
      </c>
      <c r="Q105" s="54">
        <v>5</v>
      </c>
      <c r="R105" s="54">
        <v>5</v>
      </c>
      <c r="S105" s="54">
        <v>10</v>
      </c>
      <c r="T105" s="54">
        <v>14</v>
      </c>
      <c r="U105" s="54">
        <v>10</v>
      </c>
      <c r="V105" s="54">
        <v>10</v>
      </c>
      <c r="W105" s="54">
        <v>8</v>
      </c>
      <c r="X105" s="54">
        <v>8</v>
      </c>
      <c r="Y105" s="54">
        <v>8</v>
      </c>
      <c r="Z105" s="54">
        <v>9</v>
      </c>
      <c r="AA105" s="54">
        <v>7</v>
      </c>
      <c r="AB105" s="54">
        <v>9</v>
      </c>
      <c r="AC105" s="54">
        <v>7</v>
      </c>
      <c r="AD105" s="54">
        <v>7</v>
      </c>
      <c r="AE105" s="54">
        <v>7</v>
      </c>
      <c r="AF105" s="54">
        <v>15</v>
      </c>
      <c r="AG105" s="5">
        <f t="shared" si="17"/>
        <v>278</v>
      </c>
    </row>
    <row r="106" spans="1:33" ht="15.75" customHeight="1" x14ac:dyDescent="0.25">
      <c r="A106" s="78" t="s">
        <v>55</v>
      </c>
      <c r="B106" s="54">
        <v>1</v>
      </c>
      <c r="C106" s="54">
        <v>8</v>
      </c>
      <c r="D106" s="54">
        <v>14</v>
      </c>
      <c r="E106" s="54">
        <v>8</v>
      </c>
      <c r="F106" s="54">
        <v>11</v>
      </c>
      <c r="G106" s="54">
        <v>15</v>
      </c>
      <c r="H106" s="54">
        <v>2</v>
      </c>
      <c r="I106" s="54">
        <v>7</v>
      </c>
      <c r="J106" s="54">
        <v>9</v>
      </c>
      <c r="K106" s="54">
        <v>7</v>
      </c>
      <c r="L106" s="54">
        <v>12</v>
      </c>
      <c r="M106" s="54">
        <v>19</v>
      </c>
      <c r="N106" s="54">
        <v>5</v>
      </c>
      <c r="O106" s="54">
        <v>5</v>
      </c>
      <c r="P106" s="54">
        <v>3</v>
      </c>
      <c r="Q106" s="54">
        <v>5</v>
      </c>
      <c r="R106" s="54">
        <v>5</v>
      </c>
      <c r="S106" s="54">
        <v>10</v>
      </c>
      <c r="T106" s="54">
        <v>13</v>
      </c>
      <c r="U106" s="54">
        <v>7</v>
      </c>
      <c r="V106" s="54">
        <v>7</v>
      </c>
      <c r="W106" s="54">
        <v>5</v>
      </c>
      <c r="X106" s="54">
        <v>5</v>
      </c>
      <c r="Y106" s="54">
        <v>6</v>
      </c>
      <c r="Z106" s="54">
        <v>17</v>
      </c>
      <c r="AA106" s="54">
        <v>17</v>
      </c>
      <c r="AB106" s="54">
        <v>17</v>
      </c>
      <c r="AC106" s="54">
        <v>3</v>
      </c>
      <c r="AD106" s="54">
        <v>5</v>
      </c>
      <c r="AE106" s="54">
        <v>8</v>
      </c>
      <c r="AF106" s="54">
        <v>13</v>
      </c>
      <c r="AG106" s="5">
        <f t="shared" si="17"/>
        <v>269</v>
      </c>
    </row>
    <row r="107" spans="1:33" ht="15.75" customHeight="1" x14ac:dyDescent="0.25">
      <c r="A107" s="78" t="s">
        <v>56</v>
      </c>
      <c r="B107" s="54">
        <v>6</v>
      </c>
      <c r="C107" s="54">
        <v>8</v>
      </c>
      <c r="D107" s="54">
        <v>7</v>
      </c>
      <c r="E107" s="54">
        <v>13</v>
      </c>
      <c r="F107" s="54">
        <v>8</v>
      </c>
      <c r="G107" s="54">
        <v>13</v>
      </c>
      <c r="H107" s="54">
        <v>5</v>
      </c>
      <c r="I107" s="54">
        <v>4</v>
      </c>
      <c r="J107" s="54">
        <v>4</v>
      </c>
      <c r="K107" s="54">
        <v>7</v>
      </c>
      <c r="L107" s="54">
        <v>5</v>
      </c>
      <c r="M107" s="54">
        <v>11</v>
      </c>
      <c r="N107" s="54">
        <v>18</v>
      </c>
      <c r="O107" s="54">
        <v>9</v>
      </c>
      <c r="P107" s="54">
        <v>10</v>
      </c>
      <c r="Q107" s="54">
        <v>6</v>
      </c>
      <c r="R107" s="54">
        <v>9</v>
      </c>
      <c r="S107" s="54">
        <v>7</v>
      </c>
      <c r="T107" s="54">
        <v>14</v>
      </c>
      <c r="U107" s="54">
        <v>8</v>
      </c>
      <c r="V107" s="54">
        <v>9</v>
      </c>
      <c r="W107" s="54">
        <v>5</v>
      </c>
      <c r="X107" s="54">
        <v>4</v>
      </c>
      <c r="Y107" s="54">
        <v>5</v>
      </c>
      <c r="Z107" s="54">
        <v>7</v>
      </c>
      <c r="AA107" s="54">
        <v>7</v>
      </c>
      <c r="AB107" s="54">
        <v>9</v>
      </c>
      <c r="AC107" s="54">
        <v>9</v>
      </c>
      <c r="AD107" s="54">
        <v>8</v>
      </c>
      <c r="AE107" s="54">
        <v>5</v>
      </c>
      <c r="AF107" s="54">
        <v>14</v>
      </c>
      <c r="AG107" s="5">
        <f t="shared" si="17"/>
        <v>254</v>
      </c>
    </row>
    <row r="108" spans="1:33" ht="15.75" customHeight="1" x14ac:dyDescent="0.25">
      <c r="A108" s="78" t="s">
        <v>57</v>
      </c>
      <c r="B108" s="54">
        <v>5</v>
      </c>
      <c r="C108" s="54">
        <v>8</v>
      </c>
      <c r="D108" s="54">
        <v>7</v>
      </c>
      <c r="E108" s="54">
        <v>7</v>
      </c>
      <c r="F108" s="54">
        <v>16</v>
      </c>
      <c r="G108" s="54">
        <v>13</v>
      </c>
      <c r="H108" s="54">
        <v>6</v>
      </c>
      <c r="I108" s="54">
        <v>17</v>
      </c>
      <c r="J108" s="54">
        <v>9</v>
      </c>
      <c r="K108" s="54">
        <v>8</v>
      </c>
      <c r="L108" s="54">
        <v>9</v>
      </c>
      <c r="M108" s="54">
        <v>9</v>
      </c>
      <c r="N108" s="54">
        <v>10</v>
      </c>
      <c r="O108" s="54">
        <v>2</v>
      </c>
      <c r="P108" s="54">
        <v>4</v>
      </c>
      <c r="Q108" s="54">
        <v>2</v>
      </c>
      <c r="R108" s="54">
        <v>7</v>
      </c>
      <c r="S108" s="54">
        <v>10</v>
      </c>
      <c r="T108" s="54">
        <v>15</v>
      </c>
      <c r="U108" s="54">
        <v>3</v>
      </c>
      <c r="V108" s="54">
        <v>8</v>
      </c>
      <c r="W108" s="54">
        <v>5</v>
      </c>
      <c r="X108" s="54">
        <v>5</v>
      </c>
      <c r="Y108" s="54">
        <v>5</v>
      </c>
      <c r="Z108" s="54">
        <v>7</v>
      </c>
      <c r="AA108" s="54">
        <v>17</v>
      </c>
      <c r="AB108" s="54">
        <v>13</v>
      </c>
      <c r="AC108" s="54">
        <v>16</v>
      </c>
      <c r="AD108" s="54">
        <v>8</v>
      </c>
      <c r="AE108" s="54">
        <v>5</v>
      </c>
      <c r="AF108" s="54">
        <v>17</v>
      </c>
      <c r="AG108" s="5">
        <f t="shared" si="17"/>
        <v>273</v>
      </c>
    </row>
    <row r="109" spans="1:33" ht="15.75" customHeight="1" x14ac:dyDescent="0.25">
      <c r="A109" s="78" t="s">
        <v>58</v>
      </c>
      <c r="B109" s="54">
        <v>11</v>
      </c>
      <c r="C109" s="54">
        <v>8</v>
      </c>
      <c r="D109" s="54">
        <v>7</v>
      </c>
      <c r="E109" s="54">
        <v>8</v>
      </c>
      <c r="F109" s="54">
        <v>14</v>
      </c>
      <c r="G109" s="54">
        <v>15</v>
      </c>
      <c r="H109" s="54">
        <v>12</v>
      </c>
      <c r="I109" s="54">
        <v>6</v>
      </c>
      <c r="J109" s="54">
        <v>5</v>
      </c>
      <c r="K109" s="54">
        <v>7</v>
      </c>
      <c r="L109" s="54">
        <v>6</v>
      </c>
      <c r="M109" s="54">
        <v>12</v>
      </c>
      <c r="N109" s="54">
        <v>15</v>
      </c>
      <c r="O109" s="54">
        <v>15</v>
      </c>
      <c r="P109" s="54">
        <v>7</v>
      </c>
      <c r="Q109" s="54">
        <v>9</v>
      </c>
      <c r="R109" s="54">
        <v>9</v>
      </c>
      <c r="S109" s="54">
        <v>9</v>
      </c>
      <c r="T109" s="54">
        <v>14</v>
      </c>
      <c r="U109" s="54">
        <v>2</v>
      </c>
      <c r="V109" s="54">
        <v>7</v>
      </c>
      <c r="W109" s="54">
        <v>5</v>
      </c>
      <c r="X109" s="54">
        <v>8</v>
      </c>
      <c r="Y109" s="54">
        <v>7</v>
      </c>
      <c r="Z109" s="54">
        <v>12</v>
      </c>
      <c r="AA109" s="54">
        <v>18</v>
      </c>
      <c r="AB109" s="54">
        <v>11</v>
      </c>
      <c r="AC109" s="54">
        <v>6</v>
      </c>
      <c r="AD109" s="54">
        <v>9</v>
      </c>
      <c r="AE109" s="54">
        <v>5</v>
      </c>
      <c r="AF109" s="54">
        <v>9</v>
      </c>
      <c r="AG109" s="5">
        <f t="shared" si="17"/>
        <v>288</v>
      </c>
    </row>
    <row r="110" spans="1:33" ht="15.75" customHeight="1" x14ac:dyDescent="0.25">
      <c r="A110" s="78" t="s">
        <v>59</v>
      </c>
      <c r="B110" s="54">
        <v>10</v>
      </c>
      <c r="C110" s="54">
        <v>9</v>
      </c>
      <c r="D110" s="54">
        <v>5</v>
      </c>
      <c r="E110" s="54">
        <v>7</v>
      </c>
      <c r="F110" s="54">
        <v>6</v>
      </c>
      <c r="G110" s="54">
        <v>13</v>
      </c>
      <c r="H110" s="54">
        <v>8</v>
      </c>
      <c r="I110" s="54">
        <v>6</v>
      </c>
      <c r="J110" s="54">
        <v>13</v>
      </c>
      <c r="K110" s="54">
        <v>11</v>
      </c>
      <c r="L110" s="54">
        <v>8</v>
      </c>
      <c r="M110" s="54">
        <v>18</v>
      </c>
      <c r="N110" s="54">
        <v>9</v>
      </c>
      <c r="O110" s="54">
        <v>2</v>
      </c>
      <c r="P110" s="54">
        <v>4</v>
      </c>
      <c r="Q110" s="54">
        <v>6</v>
      </c>
      <c r="R110" s="54">
        <v>7</v>
      </c>
      <c r="S110" s="54">
        <v>13</v>
      </c>
      <c r="T110" s="54">
        <v>17</v>
      </c>
      <c r="U110" s="54">
        <v>3</v>
      </c>
      <c r="V110" s="54">
        <v>15</v>
      </c>
      <c r="W110" s="54">
        <v>8</v>
      </c>
      <c r="X110" s="54">
        <v>9</v>
      </c>
      <c r="Y110" s="54">
        <v>8</v>
      </c>
      <c r="Z110" s="54">
        <v>10</v>
      </c>
      <c r="AA110" s="54">
        <v>16</v>
      </c>
      <c r="AB110" s="54">
        <v>7</v>
      </c>
      <c r="AC110" s="54">
        <v>10</v>
      </c>
      <c r="AD110" s="54">
        <v>8</v>
      </c>
      <c r="AE110" s="54">
        <v>3</v>
      </c>
      <c r="AF110" s="54">
        <v>11</v>
      </c>
      <c r="AG110" s="5">
        <f t="shared" si="17"/>
        <v>280</v>
      </c>
    </row>
    <row r="111" spans="1:33" ht="15.75" customHeight="1" x14ac:dyDescent="0.25">
      <c r="A111" s="78" t="s">
        <v>60</v>
      </c>
      <c r="B111" s="54">
        <v>1</v>
      </c>
      <c r="C111" s="54">
        <v>4</v>
      </c>
      <c r="D111" s="54">
        <v>6</v>
      </c>
      <c r="E111" s="54">
        <v>5</v>
      </c>
      <c r="F111" s="54">
        <v>15</v>
      </c>
      <c r="G111" s="54">
        <v>13</v>
      </c>
      <c r="H111" s="54">
        <v>7</v>
      </c>
      <c r="I111" s="54">
        <v>3</v>
      </c>
      <c r="J111" s="54">
        <v>5</v>
      </c>
      <c r="K111" s="54">
        <v>10</v>
      </c>
      <c r="L111" s="54">
        <v>6</v>
      </c>
      <c r="M111" s="54">
        <v>10</v>
      </c>
      <c r="N111" s="54">
        <v>10</v>
      </c>
      <c r="O111" s="54">
        <v>7</v>
      </c>
      <c r="P111" s="54">
        <v>6</v>
      </c>
      <c r="Q111" s="54">
        <v>10</v>
      </c>
      <c r="R111" s="54">
        <v>4</v>
      </c>
      <c r="S111" s="54">
        <v>7</v>
      </c>
      <c r="T111" s="54">
        <v>7</v>
      </c>
      <c r="U111" s="54">
        <v>3</v>
      </c>
      <c r="V111" s="54">
        <v>5</v>
      </c>
      <c r="W111" s="54">
        <v>12</v>
      </c>
      <c r="X111" s="54">
        <v>6</v>
      </c>
      <c r="Y111" s="54">
        <v>7</v>
      </c>
      <c r="Z111" s="54">
        <v>11</v>
      </c>
      <c r="AA111" s="54">
        <v>9</v>
      </c>
      <c r="AB111" s="54">
        <v>15</v>
      </c>
      <c r="AC111" s="54">
        <v>2</v>
      </c>
      <c r="AD111" s="54">
        <v>8</v>
      </c>
      <c r="AE111" s="54">
        <v>9</v>
      </c>
      <c r="AF111" s="54">
        <v>7</v>
      </c>
      <c r="AG111" s="5">
        <f t="shared" si="17"/>
        <v>230</v>
      </c>
    </row>
    <row r="112" spans="1:33" ht="15.75" customHeight="1" x14ac:dyDescent="0.25">
      <c r="A112" s="78" t="s">
        <v>61</v>
      </c>
      <c r="B112" s="54">
        <v>4</v>
      </c>
      <c r="C112" s="54">
        <v>8</v>
      </c>
      <c r="D112" s="54">
        <v>7</v>
      </c>
      <c r="E112" s="54">
        <v>6</v>
      </c>
      <c r="F112" s="54">
        <v>4</v>
      </c>
      <c r="G112" s="54">
        <v>7</v>
      </c>
      <c r="H112" s="54">
        <v>6</v>
      </c>
      <c r="I112" s="54">
        <v>3</v>
      </c>
      <c r="J112" s="54">
        <v>5</v>
      </c>
      <c r="K112" s="54">
        <v>6</v>
      </c>
      <c r="L112" s="54">
        <v>4</v>
      </c>
      <c r="M112" s="54">
        <v>6</v>
      </c>
      <c r="N112" s="54">
        <v>6</v>
      </c>
      <c r="O112" s="54">
        <v>3</v>
      </c>
      <c r="P112" s="54">
        <v>6</v>
      </c>
      <c r="Q112" s="54">
        <v>4</v>
      </c>
      <c r="R112" s="54">
        <v>4</v>
      </c>
      <c r="S112" s="54">
        <v>5</v>
      </c>
      <c r="T112" s="54">
        <v>5</v>
      </c>
      <c r="U112" s="54">
        <v>3</v>
      </c>
      <c r="V112" s="54">
        <v>5</v>
      </c>
      <c r="W112" s="54">
        <v>7</v>
      </c>
      <c r="X112" s="54">
        <v>3</v>
      </c>
      <c r="Y112" s="54">
        <v>8</v>
      </c>
      <c r="Z112" s="54">
        <v>9</v>
      </c>
      <c r="AA112" s="54">
        <v>4</v>
      </c>
      <c r="AB112" s="54">
        <v>4</v>
      </c>
      <c r="AC112" s="54">
        <v>4</v>
      </c>
      <c r="AD112" s="54">
        <v>7</v>
      </c>
      <c r="AE112" s="54">
        <v>7</v>
      </c>
      <c r="AF112" s="54">
        <v>12</v>
      </c>
      <c r="AG112" s="5">
        <f t="shared" si="17"/>
        <v>172</v>
      </c>
    </row>
    <row r="113" spans="1:37" ht="15.75" customHeight="1" x14ac:dyDescent="0.25">
      <c r="A113" s="78" t="s">
        <v>62</v>
      </c>
      <c r="B113" s="54">
        <v>5</v>
      </c>
      <c r="C113" s="54">
        <v>7</v>
      </c>
      <c r="D113" s="54">
        <v>5</v>
      </c>
      <c r="E113" s="54">
        <v>4</v>
      </c>
      <c r="F113" s="54">
        <v>10</v>
      </c>
      <c r="G113" s="54">
        <v>7</v>
      </c>
      <c r="H113" s="54">
        <v>5</v>
      </c>
      <c r="I113" s="54">
        <v>5</v>
      </c>
      <c r="J113" s="54">
        <v>8</v>
      </c>
      <c r="K113" s="54">
        <v>3</v>
      </c>
      <c r="L113" s="54">
        <v>4</v>
      </c>
      <c r="M113" s="54">
        <v>12</v>
      </c>
      <c r="N113" s="54">
        <v>5</v>
      </c>
      <c r="O113" s="54">
        <v>9</v>
      </c>
      <c r="P113" s="54">
        <v>6</v>
      </c>
      <c r="Q113" s="54">
        <v>6</v>
      </c>
      <c r="R113" s="54">
        <v>4</v>
      </c>
      <c r="S113" s="54">
        <v>1</v>
      </c>
      <c r="T113" s="54">
        <v>5</v>
      </c>
      <c r="U113" s="54">
        <v>2</v>
      </c>
      <c r="V113" s="54">
        <v>5</v>
      </c>
      <c r="W113" s="54">
        <v>2</v>
      </c>
      <c r="X113" s="54">
        <v>0</v>
      </c>
      <c r="Y113" s="54">
        <v>4</v>
      </c>
      <c r="Z113" s="54">
        <v>4</v>
      </c>
      <c r="AA113" s="54">
        <v>6</v>
      </c>
      <c r="AB113" s="54">
        <v>5</v>
      </c>
      <c r="AC113" s="54">
        <v>5</v>
      </c>
      <c r="AD113" s="54">
        <v>2</v>
      </c>
      <c r="AE113" s="54">
        <v>9</v>
      </c>
      <c r="AF113" s="54">
        <v>4</v>
      </c>
      <c r="AG113" s="5">
        <f t="shared" si="17"/>
        <v>159</v>
      </c>
    </row>
    <row r="114" spans="1:37" ht="15.75" customHeight="1" x14ac:dyDescent="0.25">
      <c r="A114" s="78" t="s">
        <v>63</v>
      </c>
      <c r="B114" s="54">
        <v>9</v>
      </c>
      <c r="C114" s="54">
        <v>4</v>
      </c>
      <c r="D114" s="54">
        <v>1</v>
      </c>
      <c r="E114" s="54">
        <v>3</v>
      </c>
      <c r="F114" s="54">
        <v>10</v>
      </c>
      <c r="G114" s="54">
        <v>10</v>
      </c>
      <c r="H114" s="54">
        <v>11</v>
      </c>
      <c r="I114" s="54">
        <v>8</v>
      </c>
      <c r="J114" s="54">
        <v>6</v>
      </c>
      <c r="K114" s="54">
        <v>6</v>
      </c>
      <c r="L114" s="54">
        <v>7</v>
      </c>
      <c r="M114" s="54">
        <v>17</v>
      </c>
      <c r="N114" s="54">
        <v>10</v>
      </c>
      <c r="O114" s="54">
        <v>7</v>
      </c>
      <c r="P114" s="54">
        <v>13</v>
      </c>
      <c r="Q114" s="54">
        <v>7</v>
      </c>
      <c r="R114" s="54">
        <v>10</v>
      </c>
      <c r="S114" s="54">
        <v>9</v>
      </c>
      <c r="T114" s="54">
        <v>9</v>
      </c>
      <c r="U114" s="54">
        <v>2</v>
      </c>
      <c r="V114" s="54">
        <v>3</v>
      </c>
      <c r="W114" s="54">
        <v>5</v>
      </c>
      <c r="X114" s="54">
        <v>3</v>
      </c>
      <c r="Y114" s="54">
        <v>4</v>
      </c>
      <c r="Z114" s="54">
        <v>6</v>
      </c>
      <c r="AA114" s="54">
        <v>11</v>
      </c>
      <c r="AB114" s="54">
        <v>10</v>
      </c>
      <c r="AC114" s="54">
        <v>5</v>
      </c>
      <c r="AD114" s="54">
        <v>12</v>
      </c>
      <c r="AE114" s="54">
        <v>6</v>
      </c>
      <c r="AF114" s="54">
        <v>4</v>
      </c>
      <c r="AG114" s="5">
        <f t="shared" si="17"/>
        <v>228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36</v>
      </c>
      <c r="C116" s="20">
        <f t="shared" si="19"/>
        <v>31</v>
      </c>
      <c r="D116" s="20">
        <f t="shared" si="19"/>
        <v>33</v>
      </c>
      <c r="E116" s="20">
        <f t="shared" si="19"/>
        <v>23</v>
      </c>
      <c r="F116" s="20">
        <f t="shared" si="19"/>
        <v>44</v>
      </c>
      <c r="G116" s="20">
        <f t="shared" si="19"/>
        <v>53</v>
      </c>
      <c r="H116" s="20">
        <f t="shared" si="19"/>
        <v>34</v>
      </c>
      <c r="I116" s="20">
        <f t="shared" si="19"/>
        <v>26</v>
      </c>
      <c r="J116" s="20">
        <f t="shared" si="19"/>
        <v>29</v>
      </c>
      <c r="K116" s="20">
        <f t="shared" si="19"/>
        <v>36</v>
      </c>
      <c r="L116" s="20">
        <f t="shared" si="19"/>
        <v>27</v>
      </c>
      <c r="M116" s="20">
        <f t="shared" si="19"/>
        <v>49</v>
      </c>
      <c r="N116" s="20">
        <f t="shared" si="19"/>
        <v>28</v>
      </c>
      <c r="O116" s="20">
        <f t="shared" si="19"/>
        <v>43</v>
      </c>
      <c r="P116" s="20">
        <f t="shared" si="19"/>
        <v>42</v>
      </c>
      <c r="Q116" s="20">
        <f t="shared" si="19"/>
        <v>28</v>
      </c>
      <c r="R116" s="20">
        <f t="shared" si="19"/>
        <v>38</v>
      </c>
      <c r="S116" s="20">
        <f t="shared" si="19"/>
        <v>32</v>
      </c>
      <c r="T116" s="20">
        <f t="shared" si="19"/>
        <v>47</v>
      </c>
      <c r="U116" s="20">
        <f t="shared" si="19"/>
        <v>35</v>
      </c>
      <c r="V116" s="20">
        <f t="shared" si="19"/>
        <v>41</v>
      </c>
      <c r="W116" s="20">
        <f t="shared" si="19"/>
        <v>37</v>
      </c>
      <c r="X116" s="20">
        <f t="shared" si="19"/>
        <v>22</v>
      </c>
      <c r="Y116" s="20">
        <f t="shared" si="19"/>
        <v>32</v>
      </c>
      <c r="Z116" s="20">
        <f t="shared" si="19"/>
        <v>44</v>
      </c>
      <c r="AA116" s="20">
        <f t="shared" si="19"/>
        <v>49</v>
      </c>
      <c r="AB116" s="20">
        <f t="shared" si="19"/>
        <v>45</v>
      </c>
      <c r="AC116" s="20">
        <f t="shared" si="19"/>
        <v>37</v>
      </c>
      <c r="AD116" s="20">
        <f t="shared" si="19"/>
        <v>30</v>
      </c>
      <c r="AE116" s="20">
        <f t="shared" si="19"/>
        <v>34</v>
      </c>
      <c r="AF116" s="20">
        <f t="shared" si="19"/>
        <v>42</v>
      </c>
      <c r="AG116" s="5">
        <f t="shared" si="17"/>
        <v>1127</v>
      </c>
      <c r="AK116" s="84">
        <v>612</v>
      </c>
    </row>
    <row r="117" spans="1:37" ht="15.75" customHeight="1" x14ac:dyDescent="0.25">
      <c r="A117" s="85" t="s">
        <v>65</v>
      </c>
      <c r="B117" s="54">
        <v>33</v>
      </c>
      <c r="C117" s="54">
        <v>30</v>
      </c>
      <c r="D117" s="54">
        <v>32</v>
      </c>
      <c r="E117" s="54">
        <v>23</v>
      </c>
      <c r="F117" s="54">
        <v>44</v>
      </c>
      <c r="G117" s="54">
        <v>51</v>
      </c>
      <c r="H117" s="54">
        <v>34</v>
      </c>
      <c r="I117" s="54">
        <v>25</v>
      </c>
      <c r="J117" s="54">
        <v>29</v>
      </c>
      <c r="K117" s="54">
        <v>36</v>
      </c>
      <c r="L117" s="54">
        <v>27</v>
      </c>
      <c r="M117" s="54">
        <v>47</v>
      </c>
      <c r="N117" s="54">
        <v>27</v>
      </c>
      <c r="O117" s="54">
        <v>42</v>
      </c>
      <c r="P117" s="54">
        <v>40</v>
      </c>
      <c r="Q117" s="54">
        <v>26</v>
      </c>
      <c r="R117" s="54">
        <v>37</v>
      </c>
      <c r="S117" s="54">
        <v>30</v>
      </c>
      <c r="T117" s="54">
        <v>44</v>
      </c>
      <c r="U117" s="54">
        <v>32</v>
      </c>
      <c r="V117" s="54">
        <v>39</v>
      </c>
      <c r="W117" s="54">
        <v>33</v>
      </c>
      <c r="X117" s="54">
        <v>22</v>
      </c>
      <c r="Y117" s="54">
        <v>29</v>
      </c>
      <c r="Z117" s="54">
        <v>44</v>
      </c>
      <c r="AA117" s="54">
        <v>46</v>
      </c>
      <c r="AB117" s="54">
        <v>44</v>
      </c>
      <c r="AC117" s="54">
        <v>36</v>
      </c>
      <c r="AD117" s="54">
        <v>28</v>
      </c>
      <c r="AE117" s="54">
        <v>33</v>
      </c>
      <c r="AF117" s="54">
        <v>41</v>
      </c>
      <c r="AG117" s="5">
        <f t="shared" si="17"/>
        <v>1084</v>
      </c>
      <c r="AK117" s="84">
        <v>613</v>
      </c>
    </row>
    <row r="118" spans="1:37" ht="15.75" customHeight="1" thickBot="1" x14ac:dyDescent="0.3">
      <c r="A118" s="86" t="s">
        <v>77</v>
      </c>
      <c r="B118" s="87">
        <v>3</v>
      </c>
      <c r="C118" s="87">
        <v>1</v>
      </c>
      <c r="D118" s="87">
        <v>1</v>
      </c>
      <c r="E118" s="87">
        <v>0</v>
      </c>
      <c r="F118" s="87">
        <v>0</v>
      </c>
      <c r="G118" s="87">
        <v>2</v>
      </c>
      <c r="H118" s="87">
        <v>0</v>
      </c>
      <c r="I118" s="87">
        <v>1</v>
      </c>
      <c r="J118" s="87">
        <v>0</v>
      </c>
      <c r="K118" s="87">
        <v>0</v>
      </c>
      <c r="L118" s="87">
        <v>0</v>
      </c>
      <c r="M118" s="87">
        <v>2</v>
      </c>
      <c r="N118" s="87">
        <v>1</v>
      </c>
      <c r="O118" s="87">
        <v>1</v>
      </c>
      <c r="P118" s="87">
        <v>2</v>
      </c>
      <c r="Q118" s="87">
        <v>2</v>
      </c>
      <c r="R118" s="87">
        <v>1</v>
      </c>
      <c r="S118" s="87">
        <v>2</v>
      </c>
      <c r="T118" s="87">
        <v>3</v>
      </c>
      <c r="U118" s="87">
        <v>3</v>
      </c>
      <c r="V118" s="87">
        <v>2</v>
      </c>
      <c r="W118" s="87">
        <v>4</v>
      </c>
      <c r="X118" s="87">
        <v>0</v>
      </c>
      <c r="Y118" s="87">
        <v>3</v>
      </c>
      <c r="Z118" s="87">
        <v>0</v>
      </c>
      <c r="AA118" s="87">
        <v>3</v>
      </c>
      <c r="AB118" s="87">
        <v>1</v>
      </c>
      <c r="AC118" s="87">
        <v>1</v>
      </c>
      <c r="AD118" s="87">
        <v>2</v>
      </c>
      <c r="AE118" s="87">
        <v>1</v>
      </c>
      <c r="AF118" s="87">
        <v>1</v>
      </c>
      <c r="AG118" s="5">
        <f t="shared" si="17"/>
        <v>43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115</v>
      </c>
      <c r="C119" s="20">
        <f t="shared" si="20"/>
        <v>136</v>
      </c>
      <c r="D119" s="20">
        <f t="shared" si="20"/>
        <v>117</v>
      </c>
      <c r="E119" s="20">
        <f t="shared" si="20"/>
        <v>121</v>
      </c>
      <c r="F119" s="20">
        <f t="shared" si="20"/>
        <v>191</v>
      </c>
      <c r="G119" s="20">
        <f t="shared" si="20"/>
        <v>218</v>
      </c>
      <c r="H119" s="20">
        <f t="shared" si="20"/>
        <v>136</v>
      </c>
      <c r="I119" s="20">
        <f t="shared" si="20"/>
        <v>126</v>
      </c>
      <c r="J119" s="20">
        <f t="shared" si="20"/>
        <v>134</v>
      </c>
      <c r="K119" s="20">
        <f t="shared" si="20"/>
        <v>139</v>
      </c>
      <c r="L119" s="20">
        <f t="shared" si="20"/>
        <v>115</v>
      </c>
      <c r="M119" s="20">
        <f t="shared" si="20"/>
        <v>220</v>
      </c>
      <c r="N119" s="20">
        <f t="shared" si="20"/>
        <v>204</v>
      </c>
      <c r="O119" s="20">
        <f t="shared" si="20"/>
        <v>152</v>
      </c>
      <c r="P119" s="20">
        <f t="shared" si="20"/>
        <v>137</v>
      </c>
      <c r="Q119" s="20">
        <f t="shared" si="20"/>
        <v>121</v>
      </c>
      <c r="R119" s="20">
        <f t="shared" si="20"/>
        <v>98</v>
      </c>
      <c r="S119" s="20">
        <f t="shared" si="20"/>
        <v>136</v>
      </c>
      <c r="T119" s="20">
        <f t="shared" si="20"/>
        <v>193</v>
      </c>
      <c r="U119" s="20">
        <f t="shared" si="20"/>
        <v>95</v>
      </c>
      <c r="V119" s="20">
        <f t="shared" si="20"/>
        <v>142</v>
      </c>
      <c r="W119" s="20">
        <f t="shared" si="20"/>
        <v>117</v>
      </c>
      <c r="X119" s="20">
        <f t="shared" si="20"/>
        <v>118</v>
      </c>
      <c r="Y119" s="20">
        <f t="shared" si="20"/>
        <v>119</v>
      </c>
      <c r="Z119" s="20">
        <f t="shared" si="20"/>
        <v>155</v>
      </c>
      <c r="AA119" s="20">
        <f t="shared" si="20"/>
        <v>200</v>
      </c>
      <c r="AB119" s="20">
        <f t="shared" si="20"/>
        <v>189</v>
      </c>
      <c r="AC119" s="20">
        <f t="shared" si="20"/>
        <v>136</v>
      </c>
      <c r="AD119" s="20">
        <f t="shared" si="20"/>
        <v>122</v>
      </c>
      <c r="AE119" s="20">
        <f t="shared" si="20"/>
        <v>112</v>
      </c>
      <c r="AF119" s="20">
        <f t="shared" si="20"/>
        <v>197</v>
      </c>
      <c r="AG119" s="7">
        <f t="shared" si="17"/>
        <v>4511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29</v>
      </c>
      <c r="C120" s="54">
        <v>29</v>
      </c>
      <c r="D120" s="54">
        <v>27</v>
      </c>
      <c r="E120" s="54">
        <v>23</v>
      </c>
      <c r="F120" s="54">
        <v>43</v>
      </c>
      <c r="G120" s="54">
        <v>51</v>
      </c>
      <c r="H120" s="54">
        <v>31</v>
      </c>
      <c r="I120" s="54">
        <v>19</v>
      </c>
      <c r="J120" s="54">
        <v>21</v>
      </c>
      <c r="K120" s="54">
        <v>34</v>
      </c>
      <c r="L120" s="54">
        <v>22</v>
      </c>
      <c r="M120" s="54">
        <v>46</v>
      </c>
      <c r="N120" s="54">
        <v>24</v>
      </c>
      <c r="O120" s="54">
        <v>41</v>
      </c>
      <c r="P120" s="54">
        <v>37</v>
      </c>
      <c r="Q120" s="54">
        <v>16</v>
      </c>
      <c r="R120" s="54">
        <v>25</v>
      </c>
      <c r="S120" s="54">
        <v>27</v>
      </c>
      <c r="T120" s="54">
        <v>44</v>
      </c>
      <c r="U120" s="54">
        <v>18</v>
      </c>
      <c r="V120" s="54">
        <v>33</v>
      </c>
      <c r="W120" s="54">
        <v>30</v>
      </c>
      <c r="X120" s="54">
        <v>21</v>
      </c>
      <c r="Y120" s="54">
        <v>27</v>
      </c>
      <c r="Z120" s="54">
        <v>41</v>
      </c>
      <c r="AA120" s="54">
        <v>43</v>
      </c>
      <c r="AB120" s="54">
        <v>41</v>
      </c>
      <c r="AC120" s="54">
        <v>29</v>
      </c>
      <c r="AD120" s="54">
        <v>24</v>
      </c>
      <c r="AE120" s="54">
        <v>25</v>
      </c>
      <c r="AF120" s="54">
        <v>40</v>
      </c>
      <c r="AG120" s="5">
        <f t="shared" si="17"/>
        <v>961</v>
      </c>
      <c r="AK120" s="88" t="s">
        <v>131</v>
      </c>
    </row>
    <row r="121" spans="1:37" ht="15.75" customHeight="1" x14ac:dyDescent="0.25">
      <c r="A121" s="85" t="s">
        <v>66</v>
      </c>
      <c r="B121" s="54">
        <v>4</v>
      </c>
      <c r="C121" s="54">
        <v>2</v>
      </c>
      <c r="D121" s="54">
        <v>3</v>
      </c>
      <c r="E121" s="54">
        <v>2</v>
      </c>
      <c r="F121" s="54">
        <v>3</v>
      </c>
      <c r="G121" s="54">
        <v>6</v>
      </c>
      <c r="H121" s="54">
        <v>3</v>
      </c>
      <c r="I121" s="54">
        <v>3</v>
      </c>
      <c r="J121" s="54">
        <v>2</v>
      </c>
      <c r="K121" s="54">
        <v>6</v>
      </c>
      <c r="L121" s="54">
        <v>4</v>
      </c>
      <c r="M121" s="54">
        <v>3</v>
      </c>
      <c r="N121" s="54">
        <v>5</v>
      </c>
      <c r="O121" s="54">
        <v>6</v>
      </c>
      <c r="P121" s="54">
        <v>1</v>
      </c>
      <c r="Q121" s="54">
        <v>2</v>
      </c>
      <c r="R121" s="54">
        <v>2</v>
      </c>
      <c r="S121" s="54">
        <v>6</v>
      </c>
      <c r="T121" s="54">
        <v>4</v>
      </c>
      <c r="U121" s="54">
        <v>3</v>
      </c>
      <c r="V121" s="54">
        <v>2</v>
      </c>
      <c r="W121" s="54">
        <v>1</v>
      </c>
      <c r="X121" s="54">
        <v>3</v>
      </c>
      <c r="Y121" s="54">
        <v>3</v>
      </c>
      <c r="Z121" s="54">
        <v>3</v>
      </c>
      <c r="AA121" s="54">
        <v>4</v>
      </c>
      <c r="AB121" s="54">
        <v>1</v>
      </c>
      <c r="AC121" s="54">
        <v>2</v>
      </c>
      <c r="AD121" s="54">
        <v>10</v>
      </c>
      <c r="AE121" s="54">
        <v>8</v>
      </c>
      <c r="AF121" s="54">
        <v>6</v>
      </c>
      <c r="AG121" s="5">
        <f t="shared" si="17"/>
        <v>113</v>
      </c>
      <c r="AK121" s="84" t="s">
        <v>132</v>
      </c>
    </row>
    <row r="122" spans="1:37" ht="15.75" customHeight="1" x14ac:dyDescent="0.25">
      <c r="A122" s="85" t="s">
        <v>67</v>
      </c>
      <c r="B122" s="54">
        <v>3</v>
      </c>
      <c r="C122" s="54">
        <v>9</v>
      </c>
      <c r="D122" s="54">
        <v>8</v>
      </c>
      <c r="E122" s="54">
        <v>7</v>
      </c>
      <c r="F122" s="54">
        <v>9</v>
      </c>
      <c r="G122" s="54">
        <v>13</v>
      </c>
      <c r="H122" s="54">
        <v>9</v>
      </c>
      <c r="I122" s="54">
        <v>9</v>
      </c>
      <c r="J122" s="54">
        <v>7</v>
      </c>
      <c r="K122" s="54">
        <v>5</v>
      </c>
      <c r="L122" s="54">
        <v>4</v>
      </c>
      <c r="M122" s="54">
        <v>12</v>
      </c>
      <c r="N122" s="54">
        <v>4</v>
      </c>
      <c r="O122" s="54">
        <v>6</v>
      </c>
      <c r="P122" s="54">
        <v>8</v>
      </c>
      <c r="Q122" s="54">
        <v>8</v>
      </c>
      <c r="R122" s="54">
        <v>5</v>
      </c>
      <c r="S122" s="54">
        <v>6</v>
      </c>
      <c r="T122" s="54">
        <v>10</v>
      </c>
      <c r="U122" s="54">
        <v>11</v>
      </c>
      <c r="V122" s="54">
        <v>9</v>
      </c>
      <c r="W122" s="54">
        <v>4</v>
      </c>
      <c r="X122" s="54">
        <v>8</v>
      </c>
      <c r="Y122" s="54">
        <v>8</v>
      </c>
      <c r="Z122" s="54">
        <v>5</v>
      </c>
      <c r="AA122" s="54">
        <v>8</v>
      </c>
      <c r="AB122" s="54">
        <v>11</v>
      </c>
      <c r="AC122" s="54">
        <v>12</v>
      </c>
      <c r="AD122" s="54">
        <v>7</v>
      </c>
      <c r="AE122" s="54">
        <v>8</v>
      </c>
      <c r="AF122" s="54">
        <v>9</v>
      </c>
      <c r="AG122" s="5">
        <f t="shared" si="17"/>
        <v>242</v>
      </c>
      <c r="AK122" s="88" t="s">
        <v>133</v>
      </c>
    </row>
    <row r="123" spans="1:37" ht="15.75" customHeight="1" x14ac:dyDescent="0.25">
      <c r="A123" s="85" t="s">
        <v>68</v>
      </c>
      <c r="B123" s="54">
        <v>2</v>
      </c>
      <c r="C123" s="54">
        <v>4</v>
      </c>
      <c r="D123" s="54">
        <v>3</v>
      </c>
      <c r="E123" s="54">
        <v>3</v>
      </c>
      <c r="F123" s="54">
        <v>6</v>
      </c>
      <c r="G123" s="54">
        <v>14</v>
      </c>
      <c r="H123" s="54">
        <v>9</v>
      </c>
      <c r="I123" s="54">
        <v>6</v>
      </c>
      <c r="J123" s="54">
        <v>8</v>
      </c>
      <c r="K123" s="54">
        <v>5</v>
      </c>
      <c r="L123" s="54">
        <v>5</v>
      </c>
      <c r="M123" s="54">
        <v>9</v>
      </c>
      <c r="N123" s="54">
        <v>7</v>
      </c>
      <c r="O123" s="54">
        <v>6</v>
      </c>
      <c r="P123" s="54">
        <v>1</v>
      </c>
      <c r="Q123" s="54">
        <v>6</v>
      </c>
      <c r="R123" s="54">
        <v>1</v>
      </c>
      <c r="S123" s="54">
        <v>8</v>
      </c>
      <c r="T123" s="54">
        <v>9</v>
      </c>
      <c r="U123" s="54">
        <v>8</v>
      </c>
      <c r="V123" s="54">
        <v>7</v>
      </c>
      <c r="W123" s="54">
        <v>7</v>
      </c>
      <c r="X123" s="54">
        <v>6</v>
      </c>
      <c r="Y123" s="54">
        <v>4</v>
      </c>
      <c r="Z123" s="54">
        <v>5</v>
      </c>
      <c r="AA123" s="54">
        <v>12</v>
      </c>
      <c r="AB123" s="54">
        <v>13</v>
      </c>
      <c r="AC123" s="54">
        <v>4</v>
      </c>
      <c r="AD123" s="54">
        <v>7</v>
      </c>
      <c r="AE123" s="54">
        <v>5</v>
      </c>
      <c r="AF123" s="54">
        <v>15</v>
      </c>
      <c r="AG123" s="5">
        <f t="shared" si="17"/>
        <v>205</v>
      </c>
      <c r="AK123" s="84" t="s">
        <v>134</v>
      </c>
    </row>
    <row r="124" spans="1:37" ht="15.75" customHeight="1" x14ac:dyDescent="0.25">
      <c r="A124" s="85" t="s">
        <v>69</v>
      </c>
      <c r="B124" s="54">
        <v>8</v>
      </c>
      <c r="C124" s="54">
        <v>10</v>
      </c>
      <c r="D124" s="54">
        <v>7</v>
      </c>
      <c r="E124" s="54">
        <v>10</v>
      </c>
      <c r="F124" s="54">
        <v>15</v>
      </c>
      <c r="G124" s="54">
        <v>19</v>
      </c>
      <c r="H124" s="54">
        <v>6</v>
      </c>
      <c r="I124" s="54">
        <v>9</v>
      </c>
      <c r="J124" s="54">
        <v>13</v>
      </c>
      <c r="K124" s="54">
        <v>5</v>
      </c>
      <c r="L124" s="54">
        <v>8</v>
      </c>
      <c r="M124" s="54">
        <v>14</v>
      </c>
      <c r="N124" s="54">
        <v>8</v>
      </c>
      <c r="O124" s="54">
        <v>11</v>
      </c>
      <c r="P124" s="54">
        <v>5</v>
      </c>
      <c r="Q124" s="54">
        <v>8</v>
      </c>
      <c r="R124" s="54">
        <v>12</v>
      </c>
      <c r="S124" s="54">
        <v>7</v>
      </c>
      <c r="T124" s="54">
        <v>17</v>
      </c>
      <c r="U124" s="54">
        <v>4</v>
      </c>
      <c r="V124" s="54">
        <v>11</v>
      </c>
      <c r="W124" s="54">
        <v>4</v>
      </c>
      <c r="X124" s="54">
        <v>4</v>
      </c>
      <c r="Y124" s="54">
        <v>9</v>
      </c>
      <c r="Z124" s="54">
        <v>8</v>
      </c>
      <c r="AA124" s="54">
        <v>12</v>
      </c>
      <c r="AB124" s="54">
        <v>10</v>
      </c>
      <c r="AC124" s="54">
        <v>13</v>
      </c>
      <c r="AD124" s="54">
        <v>6</v>
      </c>
      <c r="AE124" s="54">
        <v>7</v>
      </c>
      <c r="AF124" s="54">
        <v>8</v>
      </c>
      <c r="AG124" s="5">
        <f t="shared" si="17"/>
        <v>288</v>
      </c>
      <c r="AK124" s="88" t="s">
        <v>135</v>
      </c>
    </row>
    <row r="125" spans="1:37" ht="15.75" customHeight="1" x14ac:dyDescent="0.25">
      <c r="A125" s="85" t="s">
        <v>70</v>
      </c>
      <c r="B125" s="54">
        <v>49</v>
      </c>
      <c r="C125" s="54">
        <v>63</v>
      </c>
      <c r="D125" s="54">
        <v>52</v>
      </c>
      <c r="E125" s="54">
        <v>61</v>
      </c>
      <c r="F125" s="54">
        <v>82</v>
      </c>
      <c r="G125" s="54">
        <v>89</v>
      </c>
      <c r="H125" s="54">
        <v>55</v>
      </c>
      <c r="I125" s="54">
        <v>72</v>
      </c>
      <c r="J125" s="54">
        <v>69</v>
      </c>
      <c r="K125" s="54">
        <v>63</v>
      </c>
      <c r="L125" s="54">
        <v>58</v>
      </c>
      <c r="M125" s="54">
        <v>107</v>
      </c>
      <c r="N125" s="54">
        <v>136</v>
      </c>
      <c r="O125" s="54">
        <v>55</v>
      </c>
      <c r="P125" s="54">
        <v>62</v>
      </c>
      <c r="Q125" s="54">
        <v>47</v>
      </c>
      <c r="R125" s="54">
        <v>42</v>
      </c>
      <c r="S125" s="54">
        <v>62</v>
      </c>
      <c r="T125" s="54">
        <v>78</v>
      </c>
      <c r="U125" s="54">
        <v>34</v>
      </c>
      <c r="V125" s="54">
        <v>53</v>
      </c>
      <c r="W125" s="54">
        <v>54</v>
      </c>
      <c r="X125" s="54">
        <v>55</v>
      </c>
      <c r="Y125" s="54">
        <v>54</v>
      </c>
      <c r="Z125" s="54">
        <v>77</v>
      </c>
      <c r="AA125" s="54">
        <v>91</v>
      </c>
      <c r="AB125" s="54">
        <v>83</v>
      </c>
      <c r="AC125" s="54">
        <v>47</v>
      </c>
      <c r="AD125" s="54">
        <v>48</v>
      </c>
      <c r="AE125" s="54">
        <v>41</v>
      </c>
      <c r="AF125" s="54">
        <v>86</v>
      </c>
      <c r="AG125" s="5">
        <f t="shared" si="17"/>
        <v>2025</v>
      </c>
      <c r="AK125" s="88" t="s">
        <v>136</v>
      </c>
    </row>
    <row r="126" spans="1:37" ht="15.75" customHeight="1" x14ac:dyDescent="0.25">
      <c r="A126" s="85" t="s">
        <v>71</v>
      </c>
      <c r="B126" s="54">
        <v>5</v>
      </c>
      <c r="C126" s="54">
        <v>6</v>
      </c>
      <c r="D126" s="54">
        <v>4</v>
      </c>
      <c r="E126" s="54">
        <v>1</v>
      </c>
      <c r="F126" s="54">
        <v>6</v>
      </c>
      <c r="G126" s="54">
        <v>3</v>
      </c>
      <c r="H126" s="54">
        <v>3</v>
      </c>
      <c r="I126" s="54">
        <v>0</v>
      </c>
      <c r="J126" s="54">
        <v>3</v>
      </c>
      <c r="K126" s="54">
        <v>5</v>
      </c>
      <c r="L126" s="54">
        <v>1</v>
      </c>
      <c r="M126" s="54">
        <v>2</v>
      </c>
      <c r="N126" s="54">
        <v>3</v>
      </c>
      <c r="O126" s="54">
        <v>3</v>
      </c>
      <c r="P126" s="54">
        <v>2</v>
      </c>
      <c r="Q126" s="54">
        <v>1</v>
      </c>
      <c r="R126" s="54">
        <v>2</v>
      </c>
      <c r="S126" s="54">
        <v>3</v>
      </c>
      <c r="T126" s="54">
        <v>8</v>
      </c>
      <c r="U126" s="54">
        <v>2</v>
      </c>
      <c r="V126" s="54">
        <v>4</v>
      </c>
      <c r="W126" s="54">
        <v>1</v>
      </c>
      <c r="X126" s="54">
        <v>2</v>
      </c>
      <c r="Y126" s="54">
        <v>4</v>
      </c>
      <c r="Z126" s="54">
        <v>4</v>
      </c>
      <c r="AA126" s="54">
        <v>3</v>
      </c>
      <c r="AB126" s="54">
        <v>7</v>
      </c>
      <c r="AC126" s="54">
        <v>6</v>
      </c>
      <c r="AD126" s="54">
        <v>2</v>
      </c>
      <c r="AE126" s="54">
        <v>5</v>
      </c>
      <c r="AF126" s="54">
        <v>6</v>
      </c>
      <c r="AG126" s="5">
        <f t="shared" si="17"/>
        <v>107</v>
      </c>
      <c r="AK126" s="84" t="s">
        <v>137</v>
      </c>
    </row>
    <row r="127" spans="1:37" ht="15.75" customHeight="1" x14ac:dyDescent="0.25">
      <c r="A127" s="85" t="s">
        <v>72</v>
      </c>
      <c r="B127" s="54">
        <v>0</v>
      </c>
      <c r="C127" s="54">
        <v>1</v>
      </c>
      <c r="D127" s="54">
        <v>0</v>
      </c>
      <c r="E127" s="54">
        <v>0</v>
      </c>
      <c r="F127" s="54">
        <v>0</v>
      </c>
      <c r="G127" s="54">
        <v>1</v>
      </c>
      <c r="H127" s="54">
        <v>1</v>
      </c>
      <c r="I127" s="54">
        <v>0</v>
      </c>
      <c r="J127" s="54">
        <v>1</v>
      </c>
      <c r="K127" s="54">
        <v>2</v>
      </c>
      <c r="L127" s="54">
        <v>2</v>
      </c>
      <c r="M127" s="54">
        <v>1</v>
      </c>
      <c r="N127" s="54">
        <v>2</v>
      </c>
      <c r="O127" s="54">
        <v>1</v>
      </c>
      <c r="P127" s="54">
        <v>5</v>
      </c>
      <c r="Q127" s="54">
        <v>0</v>
      </c>
      <c r="R127" s="54">
        <v>0</v>
      </c>
      <c r="S127" s="54">
        <v>3</v>
      </c>
      <c r="T127" s="54">
        <v>3</v>
      </c>
      <c r="U127" s="54">
        <v>0</v>
      </c>
      <c r="V127" s="54">
        <v>0</v>
      </c>
      <c r="W127" s="54">
        <v>0</v>
      </c>
      <c r="X127" s="54">
        <v>1</v>
      </c>
      <c r="Y127" s="54">
        <v>0</v>
      </c>
      <c r="Z127" s="54">
        <v>1</v>
      </c>
      <c r="AA127" s="54">
        <v>2</v>
      </c>
      <c r="AB127" s="54">
        <v>1</v>
      </c>
      <c r="AC127" s="54">
        <v>1</v>
      </c>
      <c r="AD127" s="54">
        <v>0</v>
      </c>
      <c r="AE127" s="54">
        <v>2</v>
      </c>
      <c r="AF127" s="54">
        <v>1</v>
      </c>
      <c r="AG127" s="5">
        <f t="shared" si="17"/>
        <v>32</v>
      </c>
      <c r="AK127" s="88" t="s">
        <v>138</v>
      </c>
    </row>
    <row r="128" spans="1:37" ht="15.75" customHeight="1" x14ac:dyDescent="0.25">
      <c r="A128" s="56" t="s">
        <v>73</v>
      </c>
      <c r="B128" s="54">
        <v>3</v>
      </c>
      <c r="C128" s="54">
        <v>1</v>
      </c>
      <c r="D128" s="54">
        <v>2</v>
      </c>
      <c r="E128" s="54">
        <v>2</v>
      </c>
      <c r="F128" s="54">
        <v>2</v>
      </c>
      <c r="G128" s="54">
        <v>2</v>
      </c>
      <c r="H128" s="54">
        <v>2</v>
      </c>
      <c r="I128" s="54">
        <v>0</v>
      </c>
      <c r="J128" s="54">
        <v>1</v>
      </c>
      <c r="K128" s="54">
        <v>1</v>
      </c>
      <c r="L128" s="54">
        <v>0</v>
      </c>
      <c r="M128" s="54">
        <v>2</v>
      </c>
      <c r="N128" s="54">
        <v>1</v>
      </c>
      <c r="O128" s="54">
        <v>2</v>
      </c>
      <c r="P128" s="54">
        <v>0</v>
      </c>
      <c r="Q128" s="54">
        <v>2</v>
      </c>
      <c r="R128" s="54">
        <v>2</v>
      </c>
      <c r="S128" s="54">
        <v>3</v>
      </c>
      <c r="T128" s="54">
        <v>0</v>
      </c>
      <c r="U128" s="54">
        <v>1</v>
      </c>
      <c r="V128" s="54">
        <v>2</v>
      </c>
      <c r="W128" s="54">
        <v>1</v>
      </c>
      <c r="X128" s="54">
        <v>1</v>
      </c>
      <c r="Y128" s="54">
        <v>0</v>
      </c>
      <c r="Z128" s="54">
        <v>1</v>
      </c>
      <c r="AA128" s="54">
        <v>2</v>
      </c>
      <c r="AB128" s="54">
        <v>3</v>
      </c>
      <c r="AC128" s="54">
        <v>3</v>
      </c>
      <c r="AD128" s="54">
        <v>2</v>
      </c>
      <c r="AE128" s="54">
        <v>0</v>
      </c>
      <c r="AF128" s="54">
        <v>1</v>
      </c>
      <c r="AG128" s="5">
        <f t="shared" si="17"/>
        <v>45</v>
      </c>
      <c r="AK128" s="88" t="s">
        <v>139</v>
      </c>
    </row>
    <row r="129" spans="1:37" ht="15.75" customHeight="1" x14ac:dyDescent="0.25">
      <c r="A129" s="56" t="s">
        <v>74</v>
      </c>
      <c r="B129" s="54">
        <v>1</v>
      </c>
      <c r="C129" s="54">
        <v>0</v>
      </c>
      <c r="D129" s="54">
        <v>1</v>
      </c>
      <c r="E129" s="54">
        <v>2</v>
      </c>
      <c r="F129" s="54">
        <v>4</v>
      </c>
      <c r="G129" s="54">
        <v>2</v>
      </c>
      <c r="H129" s="54">
        <v>1</v>
      </c>
      <c r="I129" s="54">
        <v>0</v>
      </c>
      <c r="J129" s="54">
        <v>0</v>
      </c>
      <c r="K129" s="54">
        <v>0</v>
      </c>
      <c r="L129" s="54">
        <v>0</v>
      </c>
      <c r="M129" s="54">
        <v>1</v>
      </c>
      <c r="N129" s="54">
        <v>0</v>
      </c>
      <c r="O129" s="54">
        <v>3</v>
      </c>
      <c r="P129" s="54">
        <v>3</v>
      </c>
      <c r="Q129" s="54">
        <v>2</v>
      </c>
      <c r="R129" s="54">
        <v>1</v>
      </c>
      <c r="S129" s="54">
        <v>1</v>
      </c>
      <c r="T129" s="54">
        <v>1</v>
      </c>
      <c r="U129" s="54">
        <v>2</v>
      </c>
      <c r="V129" s="54">
        <v>1</v>
      </c>
      <c r="W129" s="54">
        <v>3</v>
      </c>
      <c r="X129" s="54">
        <v>1</v>
      </c>
      <c r="Y129" s="54">
        <v>2</v>
      </c>
      <c r="Z129" s="54">
        <v>1</v>
      </c>
      <c r="AA129" s="54">
        <v>3</v>
      </c>
      <c r="AB129" s="54">
        <v>2</v>
      </c>
      <c r="AC129" s="54">
        <v>1</v>
      </c>
      <c r="AD129" s="54">
        <v>0</v>
      </c>
      <c r="AE129" s="54">
        <v>1</v>
      </c>
      <c r="AF129" s="54">
        <v>1</v>
      </c>
      <c r="AG129" s="5">
        <f t="shared" si="17"/>
        <v>41</v>
      </c>
      <c r="AK129" s="84" t="s">
        <v>140</v>
      </c>
    </row>
    <row r="130" spans="1:37" ht="15.75" customHeight="1" x14ac:dyDescent="0.25">
      <c r="A130" s="56" t="s">
        <v>75</v>
      </c>
      <c r="B130" s="54">
        <v>1</v>
      </c>
      <c r="C130" s="54">
        <v>0</v>
      </c>
      <c r="D130" s="54">
        <v>1</v>
      </c>
      <c r="E130" s="54">
        <v>0</v>
      </c>
      <c r="F130" s="54">
        <v>0</v>
      </c>
      <c r="G130" s="54">
        <v>0</v>
      </c>
      <c r="H130" s="54">
        <v>0</v>
      </c>
      <c r="I130" s="54">
        <v>1</v>
      </c>
      <c r="J130" s="54">
        <v>0</v>
      </c>
      <c r="K130" s="54">
        <v>0</v>
      </c>
      <c r="L130" s="54">
        <v>0</v>
      </c>
      <c r="M130" s="54">
        <v>0</v>
      </c>
      <c r="N130" s="54">
        <v>0</v>
      </c>
      <c r="O130" s="54">
        <v>0</v>
      </c>
      <c r="P130" s="54">
        <v>2</v>
      </c>
      <c r="Q130" s="54">
        <v>0</v>
      </c>
      <c r="R130" s="54">
        <v>0</v>
      </c>
      <c r="S130" s="54">
        <v>0</v>
      </c>
      <c r="T130" s="54">
        <v>1</v>
      </c>
      <c r="U130" s="54">
        <v>1</v>
      </c>
      <c r="V130" s="54">
        <v>1</v>
      </c>
      <c r="W130" s="54">
        <v>0</v>
      </c>
      <c r="X130" s="54">
        <v>0</v>
      </c>
      <c r="Y130" s="54">
        <v>1</v>
      </c>
      <c r="Z130" s="54">
        <v>0</v>
      </c>
      <c r="AA130" s="54">
        <v>0</v>
      </c>
      <c r="AB130" s="54">
        <v>0</v>
      </c>
      <c r="AC130" s="54">
        <v>1</v>
      </c>
      <c r="AD130" s="54">
        <v>2</v>
      </c>
      <c r="AE130" s="54">
        <v>1</v>
      </c>
      <c r="AF130" s="54">
        <v>1</v>
      </c>
      <c r="AG130" s="5">
        <f t="shared" si="17"/>
        <v>14</v>
      </c>
      <c r="AK130" s="84" t="s">
        <v>141</v>
      </c>
    </row>
    <row r="131" spans="1:37" ht="15.75" customHeight="1" x14ac:dyDescent="0.25">
      <c r="A131" s="85" t="s">
        <v>76</v>
      </c>
      <c r="B131" s="54">
        <v>7</v>
      </c>
      <c r="C131" s="54">
        <v>4</v>
      </c>
      <c r="D131" s="54">
        <v>4</v>
      </c>
      <c r="E131" s="54">
        <v>6</v>
      </c>
      <c r="F131" s="54">
        <v>8</v>
      </c>
      <c r="G131" s="54">
        <v>10</v>
      </c>
      <c r="H131" s="54">
        <v>7</v>
      </c>
      <c r="I131" s="54">
        <v>5</v>
      </c>
      <c r="J131" s="54">
        <v>3</v>
      </c>
      <c r="K131" s="54">
        <v>5</v>
      </c>
      <c r="L131" s="54">
        <v>6</v>
      </c>
      <c r="M131" s="54">
        <v>11</v>
      </c>
      <c r="N131" s="54">
        <v>5</v>
      </c>
      <c r="O131" s="54">
        <v>9</v>
      </c>
      <c r="P131" s="54">
        <v>7</v>
      </c>
      <c r="Q131" s="54">
        <v>15</v>
      </c>
      <c r="R131" s="54">
        <v>4</v>
      </c>
      <c r="S131" s="54">
        <v>5</v>
      </c>
      <c r="T131" s="54">
        <v>9</v>
      </c>
      <c r="U131" s="54">
        <v>8</v>
      </c>
      <c r="V131" s="54">
        <v>7</v>
      </c>
      <c r="W131" s="54">
        <v>8</v>
      </c>
      <c r="X131" s="54">
        <v>8</v>
      </c>
      <c r="Y131" s="54">
        <v>4</v>
      </c>
      <c r="Z131" s="54">
        <v>5</v>
      </c>
      <c r="AA131" s="54">
        <v>8</v>
      </c>
      <c r="AB131" s="54">
        <v>5</v>
      </c>
      <c r="AC131" s="54">
        <v>8</v>
      </c>
      <c r="AD131" s="54">
        <v>5</v>
      </c>
      <c r="AE131" s="54">
        <v>5</v>
      </c>
      <c r="AF131" s="54">
        <v>13</v>
      </c>
      <c r="AG131" s="5">
        <f t="shared" si="17"/>
        <v>214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3</v>
      </c>
      <c r="C132" s="87">
        <v>7</v>
      </c>
      <c r="D132" s="87">
        <v>5</v>
      </c>
      <c r="E132" s="87">
        <v>4</v>
      </c>
      <c r="F132" s="87">
        <v>13</v>
      </c>
      <c r="G132" s="87">
        <v>8</v>
      </c>
      <c r="H132" s="87">
        <v>9</v>
      </c>
      <c r="I132" s="87">
        <v>2</v>
      </c>
      <c r="J132" s="87">
        <v>6</v>
      </c>
      <c r="K132" s="87">
        <v>8</v>
      </c>
      <c r="L132" s="87">
        <v>5</v>
      </c>
      <c r="M132" s="87">
        <v>12</v>
      </c>
      <c r="N132" s="87">
        <v>9</v>
      </c>
      <c r="O132" s="87">
        <v>9</v>
      </c>
      <c r="P132" s="87">
        <v>4</v>
      </c>
      <c r="Q132" s="87">
        <v>14</v>
      </c>
      <c r="R132" s="87">
        <v>2</v>
      </c>
      <c r="S132" s="87">
        <v>5</v>
      </c>
      <c r="T132" s="87">
        <v>9</v>
      </c>
      <c r="U132" s="87">
        <v>3</v>
      </c>
      <c r="V132" s="87">
        <v>12</v>
      </c>
      <c r="W132" s="87">
        <v>4</v>
      </c>
      <c r="X132" s="87">
        <v>8</v>
      </c>
      <c r="Y132" s="87">
        <v>3</v>
      </c>
      <c r="Z132" s="87">
        <v>4</v>
      </c>
      <c r="AA132" s="87">
        <v>12</v>
      </c>
      <c r="AB132" s="87">
        <v>12</v>
      </c>
      <c r="AC132" s="87">
        <v>9</v>
      </c>
      <c r="AD132" s="87">
        <v>9</v>
      </c>
      <c r="AE132" s="87">
        <v>4</v>
      </c>
      <c r="AF132" s="87">
        <v>10</v>
      </c>
      <c r="AG132" s="9">
        <f t="shared" si="17"/>
        <v>224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115</v>
      </c>
      <c r="C133" s="14">
        <f t="shared" si="21"/>
        <v>136</v>
      </c>
      <c r="D133" s="14">
        <f t="shared" si="21"/>
        <v>117</v>
      </c>
      <c r="E133" s="14">
        <f t="shared" si="21"/>
        <v>121</v>
      </c>
      <c r="F133" s="14">
        <f t="shared" si="21"/>
        <v>191</v>
      </c>
      <c r="G133" s="14">
        <f t="shared" si="21"/>
        <v>218</v>
      </c>
      <c r="H133" s="14">
        <f t="shared" si="21"/>
        <v>136</v>
      </c>
      <c r="I133" s="14">
        <f t="shared" si="21"/>
        <v>126</v>
      </c>
      <c r="J133" s="14">
        <f t="shared" si="21"/>
        <v>134</v>
      </c>
      <c r="K133" s="14">
        <f t="shared" si="21"/>
        <v>139</v>
      </c>
      <c r="L133" s="14">
        <f t="shared" si="21"/>
        <v>115</v>
      </c>
      <c r="M133" s="14">
        <f t="shared" si="21"/>
        <v>220</v>
      </c>
      <c r="N133" s="14">
        <f t="shared" si="21"/>
        <v>204</v>
      </c>
      <c r="O133" s="14">
        <f t="shared" si="21"/>
        <v>152</v>
      </c>
      <c r="P133" s="14">
        <f t="shared" si="21"/>
        <v>137</v>
      </c>
      <c r="Q133" s="14">
        <f t="shared" si="21"/>
        <v>121</v>
      </c>
      <c r="R133" s="14">
        <f t="shared" si="21"/>
        <v>98</v>
      </c>
      <c r="S133" s="14">
        <f t="shared" si="21"/>
        <v>136</v>
      </c>
      <c r="T133" s="14">
        <f t="shared" si="21"/>
        <v>193</v>
      </c>
      <c r="U133" s="14">
        <f t="shared" si="21"/>
        <v>95</v>
      </c>
      <c r="V133" s="14">
        <f t="shared" si="21"/>
        <v>142</v>
      </c>
      <c r="W133" s="14">
        <f t="shared" si="21"/>
        <v>117</v>
      </c>
      <c r="X133" s="14">
        <f t="shared" si="21"/>
        <v>118</v>
      </c>
      <c r="Y133" s="14">
        <f t="shared" si="21"/>
        <v>119</v>
      </c>
      <c r="Z133" s="14">
        <f t="shared" si="21"/>
        <v>155</v>
      </c>
      <c r="AA133" s="14">
        <f t="shared" si="21"/>
        <v>200</v>
      </c>
      <c r="AB133" s="14">
        <f t="shared" si="21"/>
        <v>189</v>
      </c>
      <c r="AC133" s="14">
        <f t="shared" si="21"/>
        <v>136</v>
      </c>
      <c r="AD133" s="14">
        <f t="shared" si="21"/>
        <v>122</v>
      </c>
      <c r="AE133" s="14">
        <f t="shared" si="21"/>
        <v>112</v>
      </c>
      <c r="AF133" s="14">
        <f t="shared" si="21"/>
        <v>197</v>
      </c>
      <c r="AG133" s="10">
        <f t="shared" si="17"/>
        <v>4511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35</v>
      </c>
      <c r="C134" s="22">
        <f t="shared" si="22"/>
        <v>6</v>
      </c>
      <c r="D134" s="22">
        <f t="shared" si="22"/>
        <v>27</v>
      </c>
      <c r="E134" s="22">
        <f t="shared" si="22"/>
        <v>8</v>
      </c>
      <c r="F134" s="22">
        <f t="shared" si="22"/>
        <v>6</v>
      </c>
      <c r="G134" s="22">
        <f t="shared" si="22"/>
        <v>5</v>
      </c>
      <c r="H134" s="22">
        <f t="shared" si="22"/>
        <v>26</v>
      </c>
      <c r="I134" s="22">
        <f t="shared" si="22"/>
        <v>26</v>
      </c>
      <c r="J134" s="22">
        <f t="shared" si="22"/>
        <v>21</v>
      </c>
      <c r="K134" s="22">
        <f t="shared" si="22"/>
        <v>6</v>
      </c>
      <c r="L134" s="22">
        <f t="shared" si="22"/>
        <v>43</v>
      </c>
      <c r="M134" s="22">
        <f t="shared" si="22"/>
        <v>4</v>
      </c>
      <c r="N134" s="22">
        <f t="shared" si="22"/>
        <v>18</v>
      </c>
      <c r="O134" s="22">
        <f t="shared" si="22"/>
        <v>9</v>
      </c>
      <c r="P134" s="22">
        <f t="shared" si="22"/>
        <v>11</v>
      </c>
      <c r="Q134" s="22">
        <f t="shared" si="22"/>
        <v>39</v>
      </c>
      <c r="R134" s="22">
        <f t="shared" si="22"/>
        <v>45</v>
      </c>
      <c r="S134" s="22">
        <f t="shared" si="22"/>
        <v>12</v>
      </c>
      <c r="T134" s="22">
        <f t="shared" si="22"/>
        <v>3</v>
      </c>
      <c r="U134" s="22">
        <f t="shared" si="22"/>
        <v>44</v>
      </c>
      <c r="V134" s="22">
        <f t="shared" si="22"/>
        <v>19</v>
      </c>
      <c r="W134" s="22">
        <f t="shared" si="22"/>
        <v>19</v>
      </c>
      <c r="X134" s="22">
        <f t="shared" si="22"/>
        <v>6</v>
      </c>
      <c r="Y134" s="22">
        <f t="shared" si="22"/>
        <v>12</v>
      </c>
      <c r="Z134" s="22">
        <f t="shared" si="22"/>
        <v>10</v>
      </c>
      <c r="AA134" s="22">
        <f t="shared" si="22"/>
        <v>15</v>
      </c>
      <c r="AB134" s="22">
        <f t="shared" si="22"/>
        <v>12</v>
      </c>
      <c r="AC134" s="22">
        <f t="shared" si="22"/>
        <v>24</v>
      </c>
      <c r="AD134" s="22">
        <f t="shared" si="22"/>
        <v>17</v>
      </c>
      <c r="AE134" s="22">
        <f t="shared" si="22"/>
        <v>31</v>
      </c>
      <c r="AF134" s="22">
        <f t="shared" si="22"/>
        <v>15</v>
      </c>
      <c r="AG134" s="23">
        <f t="shared" si="17"/>
        <v>574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0</v>
      </c>
      <c r="C135" s="1">
        <f t="shared" si="23"/>
        <v>1</v>
      </c>
      <c r="D135" s="1">
        <f t="shared" si="23"/>
        <v>1</v>
      </c>
      <c r="E135" s="1">
        <f t="shared" si="23"/>
        <v>0</v>
      </c>
      <c r="F135" s="1">
        <f t="shared" si="23"/>
        <v>1</v>
      </c>
      <c r="G135" s="1">
        <f t="shared" si="23"/>
        <v>1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0</v>
      </c>
      <c r="L135" s="1">
        <f t="shared" si="23"/>
        <v>0</v>
      </c>
      <c r="M135" s="1">
        <f t="shared" si="23"/>
        <v>2</v>
      </c>
      <c r="N135" s="1">
        <f t="shared" si="23"/>
        <v>3</v>
      </c>
      <c r="O135" s="1">
        <f t="shared" si="23"/>
        <v>0</v>
      </c>
      <c r="P135" s="1">
        <f t="shared" si="23"/>
        <v>1</v>
      </c>
      <c r="Q135" s="1">
        <f t="shared" si="23"/>
        <v>1</v>
      </c>
      <c r="R135" s="1">
        <f t="shared" si="23"/>
        <v>0</v>
      </c>
      <c r="S135" s="1">
        <f t="shared" si="23"/>
        <v>0</v>
      </c>
      <c r="T135" s="1">
        <f t="shared" si="23"/>
        <v>1</v>
      </c>
      <c r="U135" s="1">
        <f t="shared" si="23"/>
        <v>0</v>
      </c>
      <c r="V135" s="1">
        <f t="shared" si="23"/>
        <v>1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1</v>
      </c>
      <c r="AA135" s="1">
        <f t="shared" si="23"/>
        <v>1</v>
      </c>
      <c r="AB135" s="1">
        <f t="shared" si="23"/>
        <v>0</v>
      </c>
      <c r="AC135" s="1">
        <f t="shared" si="23"/>
        <v>0</v>
      </c>
      <c r="AD135" s="1">
        <f t="shared" si="23"/>
        <v>2</v>
      </c>
      <c r="AE135" s="1">
        <f t="shared" si="23"/>
        <v>1</v>
      </c>
      <c r="AF135" s="1">
        <f t="shared" si="23"/>
        <v>1</v>
      </c>
      <c r="AG135" s="2">
        <f t="shared" si="17"/>
        <v>19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0</v>
      </c>
      <c r="C136" s="91">
        <v>1</v>
      </c>
      <c r="D136" s="91">
        <v>1</v>
      </c>
      <c r="E136" s="91">
        <v>0</v>
      </c>
      <c r="F136" s="91">
        <v>1</v>
      </c>
      <c r="G136" s="91">
        <v>1</v>
      </c>
      <c r="H136" s="91">
        <v>0</v>
      </c>
      <c r="I136" s="91">
        <v>0</v>
      </c>
      <c r="J136" s="91">
        <v>0</v>
      </c>
      <c r="K136" s="91">
        <v>0</v>
      </c>
      <c r="L136" s="91">
        <v>0</v>
      </c>
      <c r="M136" s="91">
        <v>2</v>
      </c>
      <c r="N136" s="91">
        <v>3</v>
      </c>
      <c r="O136" s="91">
        <v>0</v>
      </c>
      <c r="P136" s="91">
        <v>1</v>
      </c>
      <c r="Q136" s="91">
        <v>1</v>
      </c>
      <c r="R136" s="91">
        <v>0</v>
      </c>
      <c r="S136" s="91">
        <v>0</v>
      </c>
      <c r="T136" s="91">
        <v>1</v>
      </c>
      <c r="U136" s="91">
        <v>0</v>
      </c>
      <c r="V136" s="91">
        <v>0</v>
      </c>
      <c r="W136" s="91">
        <v>0</v>
      </c>
      <c r="X136" s="91">
        <v>0</v>
      </c>
      <c r="Y136" s="91">
        <v>0</v>
      </c>
      <c r="Z136" s="91">
        <v>1</v>
      </c>
      <c r="AA136" s="91">
        <v>1</v>
      </c>
      <c r="AB136" s="91">
        <v>0</v>
      </c>
      <c r="AC136" s="91">
        <v>0</v>
      </c>
      <c r="AD136" s="91">
        <v>2</v>
      </c>
      <c r="AE136" s="91">
        <v>1</v>
      </c>
      <c r="AF136" s="91">
        <v>0</v>
      </c>
      <c r="AG136" s="28">
        <f t="shared" si="17"/>
        <v>17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1</v>
      </c>
      <c r="AG137" s="29">
        <f t="shared" si="17"/>
        <v>1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1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1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3</v>
      </c>
      <c r="C139" s="31">
        <f t="shared" si="24"/>
        <v>1</v>
      </c>
      <c r="D139" s="31">
        <f t="shared" si="24"/>
        <v>2</v>
      </c>
      <c r="E139" s="31">
        <f t="shared" si="24"/>
        <v>2</v>
      </c>
      <c r="F139" s="31">
        <f t="shared" si="24"/>
        <v>3</v>
      </c>
      <c r="G139" s="31">
        <f t="shared" si="24"/>
        <v>4</v>
      </c>
      <c r="H139" s="31">
        <f t="shared" si="24"/>
        <v>5</v>
      </c>
      <c r="I139" s="31">
        <f t="shared" si="24"/>
        <v>1</v>
      </c>
      <c r="J139" s="31">
        <f t="shared" si="24"/>
        <v>1</v>
      </c>
      <c r="K139" s="31">
        <f t="shared" si="24"/>
        <v>1</v>
      </c>
      <c r="L139" s="31">
        <f t="shared" si="24"/>
        <v>7</v>
      </c>
      <c r="M139" s="31">
        <f t="shared" si="24"/>
        <v>4</v>
      </c>
      <c r="N139" s="31">
        <f t="shared" si="24"/>
        <v>5</v>
      </c>
      <c r="O139" s="31">
        <f t="shared" si="24"/>
        <v>4</v>
      </c>
      <c r="P139" s="31">
        <f t="shared" si="24"/>
        <v>3</v>
      </c>
      <c r="Q139" s="31">
        <f t="shared" si="24"/>
        <v>1</v>
      </c>
      <c r="R139" s="31">
        <f t="shared" si="24"/>
        <v>2</v>
      </c>
      <c r="S139" s="31">
        <f t="shared" si="24"/>
        <v>3</v>
      </c>
      <c r="T139" s="31">
        <f t="shared" si="24"/>
        <v>2</v>
      </c>
      <c r="U139" s="31">
        <f t="shared" si="24"/>
        <v>5</v>
      </c>
      <c r="V139" s="31">
        <f t="shared" si="24"/>
        <v>2</v>
      </c>
      <c r="W139" s="31">
        <f t="shared" si="24"/>
        <v>1</v>
      </c>
      <c r="X139" s="31">
        <f t="shared" si="24"/>
        <v>0</v>
      </c>
      <c r="Y139" s="31">
        <f t="shared" si="24"/>
        <v>0</v>
      </c>
      <c r="Z139" s="31">
        <f t="shared" si="24"/>
        <v>3</v>
      </c>
      <c r="AA139" s="31">
        <f t="shared" si="24"/>
        <v>2</v>
      </c>
      <c r="AB139" s="31">
        <f t="shared" si="24"/>
        <v>5</v>
      </c>
      <c r="AC139" s="31">
        <f t="shared" si="24"/>
        <v>2</v>
      </c>
      <c r="AD139" s="31">
        <f t="shared" si="24"/>
        <v>5</v>
      </c>
      <c r="AE139" s="31">
        <f t="shared" si="24"/>
        <v>3</v>
      </c>
      <c r="AF139" s="31">
        <f t="shared" si="24"/>
        <v>8</v>
      </c>
      <c r="AG139" s="32">
        <f t="shared" si="17"/>
        <v>90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2</v>
      </c>
      <c r="C140" s="97">
        <v>0</v>
      </c>
      <c r="D140" s="97">
        <v>0</v>
      </c>
      <c r="E140" s="97">
        <v>1</v>
      </c>
      <c r="F140" s="97">
        <v>1</v>
      </c>
      <c r="G140" s="97">
        <v>0</v>
      </c>
      <c r="H140" s="97">
        <v>2</v>
      </c>
      <c r="I140" s="97">
        <v>0</v>
      </c>
      <c r="J140" s="97">
        <v>0</v>
      </c>
      <c r="K140" s="97">
        <v>0</v>
      </c>
      <c r="L140" s="97">
        <v>0</v>
      </c>
      <c r="M140" s="97">
        <v>0</v>
      </c>
      <c r="N140" s="97">
        <v>3</v>
      </c>
      <c r="O140" s="97">
        <v>1</v>
      </c>
      <c r="P140" s="97">
        <v>1</v>
      </c>
      <c r="Q140" s="97">
        <v>0</v>
      </c>
      <c r="R140" s="97">
        <v>1</v>
      </c>
      <c r="S140" s="97">
        <v>1</v>
      </c>
      <c r="T140" s="97">
        <v>1</v>
      </c>
      <c r="U140" s="97">
        <v>1</v>
      </c>
      <c r="V140" s="97">
        <v>1</v>
      </c>
      <c r="W140" s="97">
        <v>0</v>
      </c>
      <c r="X140" s="97">
        <v>0</v>
      </c>
      <c r="Y140" s="97">
        <v>0</v>
      </c>
      <c r="Z140" s="97">
        <v>0</v>
      </c>
      <c r="AA140" s="97">
        <v>0</v>
      </c>
      <c r="AB140" s="97">
        <v>0</v>
      </c>
      <c r="AC140" s="97">
        <v>0</v>
      </c>
      <c r="AD140" s="97">
        <v>1</v>
      </c>
      <c r="AE140" s="97">
        <v>0</v>
      </c>
      <c r="AF140" s="97">
        <v>2</v>
      </c>
      <c r="AG140" s="33">
        <f t="shared" si="17"/>
        <v>19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1</v>
      </c>
      <c r="C141" s="98">
        <v>1</v>
      </c>
      <c r="D141" s="98">
        <v>2</v>
      </c>
      <c r="E141" s="98">
        <v>1</v>
      </c>
      <c r="F141" s="98">
        <v>2</v>
      </c>
      <c r="G141" s="98">
        <v>4</v>
      </c>
      <c r="H141" s="98">
        <v>3</v>
      </c>
      <c r="I141" s="98">
        <v>1</v>
      </c>
      <c r="J141" s="98">
        <v>1</v>
      </c>
      <c r="K141" s="98">
        <v>1</v>
      </c>
      <c r="L141" s="98">
        <v>7</v>
      </c>
      <c r="M141" s="98">
        <v>4</v>
      </c>
      <c r="N141" s="98">
        <v>2</v>
      </c>
      <c r="O141" s="98">
        <v>3</v>
      </c>
      <c r="P141" s="98">
        <v>2</v>
      </c>
      <c r="Q141" s="98">
        <v>1</v>
      </c>
      <c r="R141" s="98">
        <v>1</v>
      </c>
      <c r="S141" s="98">
        <v>2</v>
      </c>
      <c r="T141" s="98">
        <v>1</v>
      </c>
      <c r="U141" s="98">
        <v>4</v>
      </c>
      <c r="V141" s="98">
        <v>1</v>
      </c>
      <c r="W141" s="98">
        <v>1</v>
      </c>
      <c r="X141" s="98">
        <v>0</v>
      </c>
      <c r="Y141" s="98">
        <v>0</v>
      </c>
      <c r="Z141" s="98">
        <v>3</v>
      </c>
      <c r="AA141" s="98">
        <v>2</v>
      </c>
      <c r="AB141" s="98">
        <v>5</v>
      </c>
      <c r="AC141" s="98">
        <v>2</v>
      </c>
      <c r="AD141" s="98">
        <v>4</v>
      </c>
      <c r="AE141" s="98">
        <v>3</v>
      </c>
      <c r="AF141" s="98">
        <v>6</v>
      </c>
      <c r="AG141" s="34">
        <f t="shared" si="17"/>
        <v>71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38</v>
      </c>
      <c r="C144" s="37">
        <f t="shared" si="25"/>
        <v>48</v>
      </c>
      <c r="D144" s="37">
        <f t="shared" si="25"/>
        <v>31</v>
      </c>
      <c r="E144" s="37">
        <f t="shared" si="25"/>
        <v>43</v>
      </c>
      <c r="F144" s="37">
        <f t="shared" si="25"/>
        <v>77</v>
      </c>
      <c r="G144" s="37">
        <f t="shared" si="25"/>
        <v>55</v>
      </c>
      <c r="H144" s="37">
        <f t="shared" si="25"/>
        <v>46</v>
      </c>
      <c r="I144" s="37">
        <f t="shared" si="25"/>
        <v>37</v>
      </c>
      <c r="J144" s="37">
        <f t="shared" si="25"/>
        <v>45</v>
      </c>
      <c r="K144" s="37">
        <f t="shared" si="25"/>
        <v>44</v>
      </c>
      <c r="L144" s="37">
        <f t="shared" si="25"/>
        <v>29</v>
      </c>
      <c r="M144" s="37">
        <f t="shared" si="25"/>
        <v>54</v>
      </c>
      <c r="N144" s="37">
        <f t="shared" si="25"/>
        <v>66</v>
      </c>
      <c r="O144" s="37">
        <f t="shared" si="25"/>
        <v>56</v>
      </c>
      <c r="P144" s="37">
        <f t="shared" si="25"/>
        <v>42</v>
      </c>
      <c r="Q144" s="37">
        <f t="shared" si="25"/>
        <v>53</v>
      </c>
      <c r="R144" s="37">
        <f t="shared" si="25"/>
        <v>19</v>
      </c>
      <c r="S144" s="37">
        <f t="shared" si="25"/>
        <v>36</v>
      </c>
      <c r="T144" s="37">
        <f t="shared" si="25"/>
        <v>55</v>
      </c>
      <c r="U144" s="37">
        <f t="shared" si="25"/>
        <v>6</v>
      </c>
      <c r="V144" s="37">
        <f t="shared" si="25"/>
        <v>64</v>
      </c>
      <c r="W144" s="37">
        <f t="shared" si="25"/>
        <v>37</v>
      </c>
      <c r="X144" s="37">
        <f t="shared" si="25"/>
        <v>49</v>
      </c>
      <c r="Y144" s="37">
        <f t="shared" si="25"/>
        <v>32</v>
      </c>
      <c r="Z144" s="37">
        <f t="shared" si="25"/>
        <v>47</v>
      </c>
      <c r="AA144" s="37">
        <f t="shared" si="25"/>
        <v>54</v>
      </c>
      <c r="AB144" s="37">
        <f t="shared" si="25"/>
        <v>54</v>
      </c>
      <c r="AC144" s="37">
        <f t="shared" si="25"/>
        <v>46</v>
      </c>
      <c r="AD144" s="37">
        <f t="shared" si="25"/>
        <v>36</v>
      </c>
      <c r="AE144" s="37">
        <f t="shared" si="25"/>
        <v>26</v>
      </c>
      <c r="AF144" s="37">
        <f t="shared" si="25"/>
        <v>64</v>
      </c>
      <c r="AG144" s="24">
        <f t="shared" si="17"/>
        <v>1389</v>
      </c>
      <c r="AK144" s="84" t="s">
        <v>155</v>
      </c>
    </row>
    <row r="145" spans="1:37" ht="15.75" customHeight="1" x14ac:dyDescent="0.25">
      <c r="A145" s="104" t="s">
        <v>92</v>
      </c>
      <c r="B145" s="105">
        <v>5</v>
      </c>
      <c r="C145" s="105">
        <v>3</v>
      </c>
      <c r="D145" s="105">
        <v>5</v>
      </c>
      <c r="E145" s="105">
        <v>2</v>
      </c>
      <c r="F145" s="105">
        <v>8</v>
      </c>
      <c r="G145" s="105">
        <v>5</v>
      </c>
      <c r="H145" s="105">
        <v>1</v>
      </c>
      <c r="I145" s="105">
        <v>2</v>
      </c>
      <c r="J145" s="105">
        <v>3</v>
      </c>
      <c r="K145" s="105">
        <v>3</v>
      </c>
      <c r="L145" s="105">
        <v>1</v>
      </c>
      <c r="M145" s="105">
        <v>0</v>
      </c>
      <c r="N145" s="105">
        <v>1</v>
      </c>
      <c r="O145" s="105">
        <v>3</v>
      </c>
      <c r="P145" s="105">
        <v>1</v>
      </c>
      <c r="Q145" s="105">
        <v>2</v>
      </c>
      <c r="R145" s="105">
        <v>1</v>
      </c>
      <c r="S145" s="105">
        <v>2</v>
      </c>
      <c r="T145" s="105">
        <v>4</v>
      </c>
      <c r="U145" s="105">
        <v>1</v>
      </c>
      <c r="V145" s="105">
        <v>6</v>
      </c>
      <c r="W145" s="105">
        <v>4</v>
      </c>
      <c r="X145" s="105">
        <v>1</v>
      </c>
      <c r="Y145" s="105">
        <v>1</v>
      </c>
      <c r="Z145" s="105">
        <v>3</v>
      </c>
      <c r="AA145" s="105">
        <v>2</v>
      </c>
      <c r="AB145" s="105">
        <v>6</v>
      </c>
      <c r="AC145" s="105">
        <v>4</v>
      </c>
      <c r="AD145" s="105">
        <v>3</v>
      </c>
      <c r="AE145" s="105">
        <v>4</v>
      </c>
      <c r="AF145" s="105">
        <v>4</v>
      </c>
      <c r="AG145" s="38">
        <f t="shared" si="17"/>
        <v>91</v>
      </c>
      <c r="AK145" s="84" t="s">
        <v>156</v>
      </c>
    </row>
    <row r="146" spans="1:37" ht="15.75" customHeight="1" x14ac:dyDescent="0.25">
      <c r="A146" s="106" t="s">
        <v>93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1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1</v>
      </c>
      <c r="AK147" s="84" t="s">
        <v>158</v>
      </c>
    </row>
    <row r="148" spans="1:37" ht="15.75" customHeight="1" x14ac:dyDescent="0.25">
      <c r="A148" s="106" t="s">
        <v>95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159</v>
      </c>
    </row>
    <row r="149" spans="1:37" ht="15.75" customHeight="1" x14ac:dyDescent="0.25">
      <c r="A149" s="107" t="s">
        <v>96</v>
      </c>
      <c r="B149" s="108">
        <v>23</v>
      </c>
      <c r="C149" s="108">
        <v>44</v>
      </c>
      <c r="D149" s="108">
        <v>24</v>
      </c>
      <c r="E149" s="108">
        <v>38</v>
      </c>
      <c r="F149" s="108">
        <v>65</v>
      </c>
      <c r="G149" s="108">
        <v>47</v>
      </c>
      <c r="H149" s="108">
        <v>41</v>
      </c>
      <c r="I149" s="108">
        <v>33</v>
      </c>
      <c r="J149" s="108">
        <v>39</v>
      </c>
      <c r="K149" s="108">
        <v>40</v>
      </c>
      <c r="L149" s="108">
        <v>26</v>
      </c>
      <c r="M149" s="108">
        <v>52</v>
      </c>
      <c r="N149" s="108">
        <v>61</v>
      </c>
      <c r="O149" s="108">
        <v>51</v>
      </c>
      <c r="P149" s="108">
        <v>40</v>
      </c>
      <c r="Q149" s="108">
        <v>48</v>
      </c>
      <c r="R149" s="108">
        <v>17</v>
      </c>
      <c r="S149" s="108">
        <v>31</v>
      </c>
      <c r="T149" s="108">
        <v>49</v>
      </c>
      <c r="U149" s="108">
        <v>5</v>
      </c>
      <c r="V149" s="108">
        <v>56</v>
      </c>
      <c r="W149" s="108">
        <v>30</v>
      </c>
      <c r="X149" s="108">
        <v>46</v>
      </c>
      <c r="Y149" s="108">
        <v>29</v>
      </c>
      <c r="Z149" s="108">
        <v>39</v>
      </c>
      <c r="AA149" s="108">
        <v>47</v>
      </c>
      <c r="AB149" s="108">
        <v>48</v>
      </c>
      <c r="AC149" s="108">
        <v>42</v>
      </c>
      <c r="AD149" s="108">
        <v>28</v>
      </c>
      <c r="AE149" s="108">
        <v>19</v>
      </c>
      <c r="AF149" s="108">
        <v>57</v>
      </c>
      <c r="AG149" s="39">
        <f t="shared" si="17"/>
        <v>1215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2</v>
      </c>
      <c r="O153" s="77">
        <v>0</v>
      </c>
      <c r="P153" s="77">
        <v>0</v>
      </c>
      <c r="Q153" s="77">
        <v>0</v>
      </c>
      <c r="R153" s="77">
        <v>0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0</v>
      </c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17"/>
        <v>2</v>
      </c>
      <c r="AK153" s="109" t="s">
        <v>127</v>
      </c>
    </row>
    <row r="154" spans="1:37" ht="15.75" customHeight="1" x14ac:dyDescent="0.25">
      <c r="A154" s="76" t="s">
        <v>101</v>
      </c>
      <c r="B154" s="77">
        <v>4</v>
      </c>
      <c r="C154" s="77">
        <v>1</v>
      </c>
      <c r="D154" s="77">
        <v>2</v>
      </c>
      <c r="E154" s="77">
        <v>0</v>
      </c>
      <c r="F154" s="77">
        <v>1</v>
      </c>
      <c r="G154" s="77">
        <v>0</v>
      </c>
      <c r="H154" s="77">
        <v>4</v>
      </c>
      <c r="I154" s="77">
        <v>1</v>
      </c>
      <c r="J154" s="77">
        <v>0</v>
      </c>
      <c r="K154" s="77">
        <v>1</v>
      </c>
      <c r="L154" s="77">
        <v>0</v>
      </c>
      <c r="M154" s="77">
        <v>0</v>
      </c>
      <c r="N154" s="77">
        <v>0</v>
      </c>
      <c r="O154" s="77">
        <v>1</v>
      </c>
      <c r="P154" s="77">
        <v>1</v>
      </c>
      <c r="Q154" s="77">
        <v>1</v>
      </c>
      <c r="R154" s="77">
        <v>0</v>
      </c>
      <c r="S154" s="77">
        <v>0</v>
      </c>
      <c r="T154" s="77">
        <v>0</v>
      </c>
      <c r="U154" s="77">
        <v>0</v>
      </c>
      <c r="V154" s="77">
        <v>1</v>
      </c>
      <c r="W154" s="77">
        <v>2</v>
      </c>
      <c r="X154" s="77">
        <v>2</v>
      </c>
      <c r="Y154" s="77">
        <v>1</v>
      </c>
      <c r="Z154" s="77">
        <v>1</v>
      </c>
      <c r="AA154" s="77">
        <v>0</v>
      </c>
      <c r="AB154" s="77">
        <v>0</v>
      </c>
      <c r="AC154" s="77">
        <v>0</v>
      </c>
      <c r="AD154" s="77">
        <v>3</v>
      </c>
      <c r="AE154" s="77">
        <v>1</v>
      </c>
      <c r="AF154" s="77">
        <v>1</v>
      </c>
      <c r="AG154" s="5">
        <f t="shared" si="17"/>
        <v>29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>
        <v>6</v>
      </c>
      <c r="C158" s="111">
        <v>0</v>
      </c>
      <c r="D158" s="111">
        <v>0</v>
      </c>
      <c r="E158" s="111">
        <v>1</v>
      </c>
      <c r="F158" s="111">
        <v>1</v>
      </c>
      <c r="G158" s="111">
        <v>0</v>
      </c>
      <c r="H158" s="111">
        <v>0</v>
      </c>
      <c r="I158" s="111">
        <v>1</v>
      </c>
      <c r="J158" s="111">
        <v>1</v>
      </c>
      <c r="K158" s="111">
        <v>0</v>
      </c>
      <c r="L158" s="111">
        <v>1</v>
      </c>
      <c r="M158" s="111">
        <v>2</v>
      </c>
      <c r="N158" s="111">
        <v>1</v>
      </c>
      <c r="O158" s="111">
        <v>1</v>
      </c>
      <c r="P158" s="111">
        <v>0</v>
      </c>
      <c r="Q158" s="111">
        <v>1</v>
      </c>
      <c r="R158" s="111">
        <v>0</v>
      </c>
      <c r="S158" s="111">
        <v>2</v>
      </c>
      <c r="T158" s="111">
        <v>1</v>
      </c>
      <c r="U158" s="111">
        <v>0</v>
      </c>
      <c r="V158" s="111">
        <v>1</v>
      </c>
      <c r="W158" s="111">
        <v>0</v>
      </c>
      <c r="X158" s="111">
        <v>0</v>
      </c>
      <c r="Y158" s="111">
        <v>1</v>
      </c>
      <c r="Z158" s="111">
        <v>1</v>
      </c>
      <c r="AA158" s="111">
        <v>1</v>
      </c>
      <c r="AB158" s="111">
        <v>0</v>
      </c>
      <c r="AC158" s="111">
        <v>0</v>
      </c>
      <c r="AD158" s="111">
        <v>0</v>
      </c>
      <c r="AE158" s="111">
        <v>2</v>
      </c>
      <c r="AF158" s="111">
        <v>0</v>
      </c>
      <c r="AG158" s="40">
        <f t="shared" si="17"/>
        <v>25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0</v>
      </c>
    </row>
    <row r="163" spans="1:34" ht="15.75" customHeight="1" x14ac:dyDescent="0.25">
      <c r="A163" s="112" t="s">
        <v>110</v>
      </c>
      <c r="B163" s="77">
        <v>0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0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>
        <v>0</v>
      </c>
      <c r="C167" s="77">
        <v>0</v>
      </c>
      <c r="D167" s="77">
        <v>0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>
        <v>1</v>
      </c>
      <c r="R167" s="77">
        <v>0</v>
      </c>
      <c r="S167" s="77">
        <v>0</v>
      </c>
      <c r="T167" s="77">
        <v>0</v>
      </c>
      <c r="U167" s="77">
        <v>0</v>
      </c>
      <c r="V167" s="77">
        <v>0</v>
      </c>
      <c r="W167" s="77">
        <v>0</v>
      </c>
      <c r="X167" s="77">
        <v>0</v>
      </c>
      <c r="Y167" s="77">
        <v>0</v>
      </c>
      <c r="Z167" s="77">
        <v>2</v>
      </c>
      <c r="AA167" s="77">
        <v>0</v>
      </c>
      <c r="AB167" s="77">
        <v>0</v>
      </c>
      <c r="AC167" s="77">
        <v>0</v>
      </c>
      <c r="AD167" s="77">
        <v>0</v>
      </c>
      <c r="AE167" s="77">
        <v>0</v>
      </c>
      <c r="AF167" s="77">
        <v>0</v>
      </c>
      <c r="AG167" s="5">
        <f t="shared" si="26"/>
        <v>3</v>
      </c>
    </row>
    <row r="168" spans="1:34" ht="15.75" customHeight="1" x14ac:dyDescent="0.25">
      <c r="A168" s="76" t="s">
        <v>115</v>
      </c>
      <c r="B168" s="113">
        <v>0</v>
      </c>
      <c r="C168" s="113">
        <v>0</v>
      </c>
      <c r="D168" s="113">
        <v>0</v>
      </c>
      <c r="E168" s="113">
        <v>2</v>
      </c>
      <c r="F168" s="113">
        <v>1</v>
      </c>
      <c r="G168" s="113">
        <v>3</v>
      </c>
      <c r="H168" s="113">
        <v>0</v>
      </c>
      <c r="I168" s="113">
        <v>0</v>
      </c>
      <c r="J168" s="113">
        <v>1</v>
      </c>
      <c r="K168" s="113">
        <v>0</v>
      </c>
      <c r="L168" s="113">
        <v>1</v>
      </c>
      <c r="M168" s="113">
        <v>0</v>
      </c>
      <c r="N168" s="113">
        <v>0</v>
      </c>
      <c r="O168" s="113">
        <v>0</v>
      </c>
      <c r="P168" s="113">
        <v>0</v>
      </c>
      <c r="Q168" s="113">
        <v>0</v>
      </c>
      <c r="R168" s="113">
        <v>1</v>
      </c>
      <c r="S168" s="113">
        <v>1</v>
      </c>
      <c r="T168" s="113">
        <v>1</v>
      </c>
      <c r="U168" s="113">
        <v>0</v>
      </c>
      <c r="V168" s="113">
        <v>0</v>
      </c>
      <c r="W168" s="113">
        <v>0</v>
      </c>
      <c r="X168" s="113">
        <v>0</v>
      </c>
      <c r="Y168" s="113">
        <v>0</v>
      </c>
      <c r="Z168" s="113">
        <v>0</v>
      </c>
      <c r="AA168" s="113">
        <v>4</v>
      </c>
      <c r="AB168" s="113">
        <v>0</v>
      </c>
      <c r="AC168" s="113">
        <v>0</v>
      </c>
      <c r="AD168" s="113">
        <v>0</v>
      </c>
      <c r="AE168" s="113">
        <v>0</v>
      </c>
      <c r="AF168" s="113">
        <v>2</v>
      </c>
      <c r="AG168" s="5">
        <f t="shared" si="26"/>
        <v>17</v>
      </c>
    </row>
    <row r="169" spans="1:34" ht="15.75" customHeight="1" x14ac:dyDescent="0.25">
      <c r="A169" s="114" t="s">
        <v>116</v>
      </c>
      <c r="B169" s="113">
        <v>0</v>
      </c>
      <c r="C169" s="113">
        <v>0</v>
      </c>
      <c r="D169" s="113">
        <v>0</v>
      </c>
      <c r="E169" s="113">
        <v>0</v>
      </c>
      <c r="F169" s="113">
        <v>1</v>
      </c>
      <c r="G169" s="113">
        <v>0</v>
      </c>
      <c r="H169" s="113">
        <v>0</v>
      </c>
      <c r="I169" s="113">
        <v>0</v>
      </c>
      <c r="J169" s="113">
        <v>1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1</v>
      </c>
      <c r="X169" s="113">
        <v>0</v>
      </c>
      <c r="Y169" s="113">
        <v>0</v>
      </c>
      <c r="Z169" s="113">
        <v>1</v>
      </c>
      <c r="AA169" s="113">
        <v>0</v>
      </c>
      <c r="AB169" s="113">
        <v>0</v>
      </c>
      <c r="AC169" s="113">
        <v>0</v>
      </c>
      <c r="AD169" s="113">
        <v>2</v>
      </c>
      <c r="AE169" s="113">
        <v>0</v>
      </c>
      <c r="AF169" s="113">
        <v>0</v>
      </c>
      <c r="AG169" s="5">
        <f t="shared" si="26"/>
        <v>6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115</v>
      </c>
      <c r="C171" s="41">
        <f t="shared" si="27"/>
        <v>136</v>
      </c>
      <c r="D171" s="41">
        <f t="shared" si="27"/>
        <v>117</v>
      </c>
      <c r="E171" s="41">
        <f t="shared" si="27"/>
        <v>121</v>
      </c>
      <c r="F171" s="41">
        <f t="shared" si="27"/>
        <v>191</v>
      </c>
      <c r="G171" s="41">
        <f t="shared" si="27"/>
        <v>218</v>
      </c>
      <c r="H171" s="41">
        <f t="shared" si="27"/>
        <v>136</v>
      </c>
      <c r="I171" s="41">
        <f t="shared" si="27"/>
        <v>126</v>
      </c>
      <c r="J171" s="41">
        <f t="shared" si="27"/>
        <v>134</v>
      </c>
      <c r="K171" s="41">
        <f t="shared" si="27"/>
        <v>139</v>
      </c>
      <c r="L171" s="41">
        <f t="shared" si="27"/>
        <v>115</v>
      </c>
      <c r="M171" s="41">
        <f t="shared" si="27"/>
        <v>220</v>
      </c>
      <c r="N171" s="41">
        <f t="shared" si="27"/>
        <v>204</v>
      </c>
      <c r="O171" s="41">
        <f t="shared" si="27"/>
        <v>152</v>
      </c>
      <c r="P171" s="41">
        <f t="shared" si="27"/>
        <v>137</v>
      </c>
      <c r="Q171" s="41">
        <f t="shared" si="27"/>
        <v>121</v>
      </c>
      <c r="R171" s="41">
        <f t="shared" si="27"/>
        <v>98</v>
      </c>
      <c r="S171" s="41">
        <f t="shared" si="27"/>
        <v>136</v>
      </c>
      <c r="T171" s="41">
        <f t="shared" si="27"/>
        <v>193</v>
      </c>
      <c r="U171" s="41">
        <f t="shared" si="27"/>
        <v>95</v>
      </c>
      <c r="V171" s="41">
        <f t="shared" si="27"/>
        <v>142</v>
      </c>
      <c r="W171" s="41">
        <f t="shared" si="27"/>
        <v>117</v>
      </c>
      <c r="X171" s="41">
        <f t="shared" si="27"/>
        <v>118</v>
      </c>
      <c r="Y171" s="41">
        <f t="shared" si="27"/>
        <v>119</v>
      </c>
      <c r="Z171" s="41">
        <f t="shared" si="27"/>
        <v>155</v>
      </c>
      <c r="AA171" s="41">
        <f t="shared" si="27"/>
        <v>200</v>
      </c>
      <c r="AB171" s="41">
        <f t="shared" si="27"/>
        <v>189</v>
      </c>
      <c r="AC171" s="41">
        <f t="shared" si="27"/>
        <v>136</v>
      </c>
      <c r="AD171" s="41">
        <f t="shared" si="27"/>
        <v>122</v>
      </c>
      <c r="AE171" s="41">
        <f t="shared" si="27"/>
        <v>112</v>
      </c>
      <c r="AF171" s="41">
        <f t="shared" si="27"/>
        <v>197</v>
      </c>
      <c r="AG171" s="42">
        <f t="shared" si="26"/>
        <v>4511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1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1</v>
      </c>
    </row>
    <row r="173" spans="1:34" ht="15.75" customHeight="1" x14ac:dyDescent="0.25">
      <c r="A173" s="119" t="s">
        <v>38</v>
      </c>
      <c r="B173" s="120">
        <v>2</v>
      </c>
      <c r="C173" s="120">
        <v>0</v>
      </c>
      <c r="D173" s="120">
        <v>2</v>
      </c>
      <c r="E173" s="120">
        <v>1</v>
      </c>
      <c r="F173" s="120">
        <v>2</v>
      </c>
      <c r="G173" s="120">
        <v>4</v>
      </c>
      <c r="H173" s="120">
        <v>2</v>
      </c>
      <c r="I173" s="120">
        <v>2</v>
      </c>
      <c r="J173" s="120">
        <v>2</v>
      </c>
      <c r="K173" s="120">
        <v>1</v>
      </c>
      <c r="L173" s="120">
        <v>2</v>
      </c>
      <c r="M173" s="120">
        <v>4</v>
      </c>
      <c r="N173" s="120">
        <v>0</v>
      </c>
      <c r="O173" s="120">
        <v>0</v>
      </c>
      <c r="P173" s="120">
        <v>2</v>
      </c>
      <c r="Q173" s="120">
        <v>2</v>
      </c>
      <c r="R173" s="120">
        <v>4</v>
      </c>
      <c r="S173" s="120">
        <v>0</v>
      </c>
      <c r="T173" s="120">
        <v>1</v>
      </c>
      <c r="U173" s="120">
        <v>2</v>
      </c>
      <c r="V173" s="120">
        <v>0</v>
      </c>
      <c r="W173" s="120">
        <v>1</v>
      </c>
      <c r="X173" s="120">
        <v>1</v>
      </c>
      <c r="Y173" s="120">
        <v>0</v>
      </c>
      <c r="Z173" s="120">
        <v>3</v>
      </c>
      <c r="AA173" s="120">
        <v>3</v>
      </c>
      <c r="AB173" s="120">
        <v>4</v>
      </c>
      <c r="AC173" s="120">
        <v>3</v>
      </c>
      <c r="AD173" s="120">
        <v>0</v>
      </c>
      <c r="AE173" s="120">
        <v>1</v>
      </c>
      <c r="AF173" s="120">
        <v>1</v>
      </c>
      <c r="AG173" s="44">
        <f t="shared" si="26"/>
        <v>52</v>
      </c>
    </row>
    <row r="174" spans="1:34" ht="15.75" customHeight="1" x14ac:dyDescent="0.25">
      <c r="A174" s="119" t="s">
        <v>39</v>
      </c>
      <c r="B174" s="120">
        <v>31</v>
      </c>
      <c r="C174" s="120">
        <v>15</v>
      </c>
      <c r="D174" s="120">
        <v>21</v>
      </c>
      <c r="E174" s="120">
        <v>16</v>
      </c>
      <c r="F174" s="120">
        <v>42</v>
      </c>
      <c r="G174" s="120">
        <v>18</v>
      </c>
      <c r="H174" s="120">
        <v>19</v>
      </c>
      <c r="I174" s="120">
        <v>19</v>
      </c>
      <c r="J174" s="120">
        <v>15</v>
      </c>
      <c r="K174" s="120">
        <v>10</v>
      </c>
      <c r="L174" s="120">
        <v>17</v>
      </c>
      <c r="M174" s="120">
        <v>14</v>
      </c>
      <c r="N174" s="120">
        <v>29</v>
      </c>
      <c r="O174" s="120">
        <v>14</v>
      </c>
      <c r="P174" s="120">
        <v>27</v>
      </c>
      <c r="Q174" s="120">
        <v>25</v>
      </c>
      <c r="R174" s="120">
        <v>15</v>
      </c>
      <c r="S174" s="120">
        <v>34</v>
      </c>
      <c r="T174" s="120">
        <v>22</v>
      </c>
      <c r="U174" s="120">
        <v>9</v>
      </c>
      <c r="V174" s="120">
        <v>28</v>
      </c>
      <c r="W174" s="120">
        <v>22</v>
      </c>
      <c r="X174" s="120">
        <v>11</v>
      </c>
      <c r="Y174" s="120">
        <v>10</v>
      </c>
      <c r="Z174" s="120">
        <v>22</v>
      </c>
      <c r="AA174" s="120">
        <v>31</v>
      </c>
      <c r="AB174" s="120">
        <v>21</v>
      </c>
      <c r="AC174" s="120">
        <v>23</v>
      </c>
      <c r="AD174" s="120">
        <v>29</v>
      </c>
      <c r="AE174" s="120">
        <v>29</v>
      </c>
      <c r="AF174" s="120">
        <v>26</v>
      </c>
      <c r="AG174" s="44">
        <f t="shared" si="26"/>
        <v>664</v>
      </c>
    </row>
    <row r="175" spans="1:34" ht="15.75" customHeight="1" x14ac:dyDescent="0.25">
      <c r="A175" s="119" t="s">
        <v>40</v>
      </c>
      <c r="B175" s="120">
        <v>74</v>
      </c>
      <c r="C175" s="120">
        <v>110</v>
      </c>
      <c r="D175" s="120">
        <v>75</v>
      </c>
      <c r="E175" s="120">
        <v>78</v>
      </c>
      <c r="F175" s="120">
        <v>123</v>
      </c>
      <c r="G175" s="120">
        <v>138</v>
      </c>
      <c r="H175" s="120">
        <v>105</v>
      </c>
      <c r="I175" s="120">
        <v>91</v>
      </c>
      <c r="J175" s="120">
        <v>98</v>
      </c>
      <c r="K175" s="120">
        <v>106</v>
      </c>
      <c r="L175" s="120">
        <v>72</v>
      </c>
      <c r="M175" s="120">
        <v>120</v>
      </c>
      <c r="N175" s="120">
        <v>127</v>
      </c>
      <c r="O175" s="120">
        <v>129</v>
      </c>
      <c r="P175" s="120">
        <v>89</v>
      </c>
      <c r="Q175" s="120">
        <v>67</v>
      </c>
      <c r="R175" s="120">
        <v>59</v>
      </c>
      <c r="S175" s="120">
        <v>82</v>
      </c>
      <c r="T175" s="120">
        <v>126</v>
      </c>
      <c r="U175" s="120">
        <v>65</v>
      </c>
      <c r="V175" s="120">
        <v>99</v>
      </c>
      <c r="W175" s="120">
        <v>85</v>
      </c>
      <c r="X175" s="120">
        <v>85</v>
      </c>
      <c r="Y175" s="120">
        <v>67</v>
      </c>
      <c r="Z175" s="120">
        <v>101</v>
      </c>
      <c r="AA175" s="120">
        <v>140</v>
      </c>
      <c r="AB175" s="120">
        <v>116</v>
      </c>
      <c r="AC175" s="120">
        <v>83</v>
      </c>
      <c r="AD175" s="120">
        <v>81</v>
      </c>
      <c r="AE175" s="120">
        <v>68</v>
      </c>
      <c r="AF175" s="120">
        <v>150</v>
      </c>
      <c r="AG175" s="44">
        <f t="shared" si="26"/>
        <v>3009</v>
      </c>
    </row>
    <row r="176" spans="1:34" ht="15.75" customHeight="1" thickBot="1" x14ac:dyDescent="0.3">
      <c r="A176" s="121" t="s">
        <v>41</v>
      </c>
      <c r="B176" s="122">
        <v>8</v>
      </c>
      <c r="C176" s="122">
        <v>11</v>
      </c>
      <c r="D176" s="122">
        <v>19</v>
      </c>
      <c r="E176" s="122">
        <v>26</v>
      </c>
      <c r="F176" s="122">
        <v>24</v>
      </c>
      <c r="G176" s="122">
        <v>57</v>
      </c>
      <c r="H176" s="122">
        <v>10</v>
      </c>
      <c r="I176" s="122">
        <v>14</v>
      </c>
      <c r="J176" s="122">
        <v>19</v>
      </c>
      <c r="K176" s="122">
        <v>22</v>
      </c>
      <c r="L176" s="122">
        <v>24</v>
      </c>
      <c r="M176" s="122">
        <v>82</v>
      </c>
      <c r="N176" s="122">
        <v>48</v>
      </c>
      <c r="O176" s="122">
        <v>9</v>
      </c>
      <c r="P176" s="122">
        <v>19</v>
      </c>
      <c r="Q176" s="122">
        <v>27</v>
      </c>
      <c r="R176" s="122">
        <v>20</v>
      </c>
      <c r="S176" s="122">
        <v>20</v>
      </c>
      <c r="T176" s="122">
        <v>44</v>
      </c>
      <c r="U176" s="122">
        <v>19</v>
      </c>
      <c r="V176" s="122">
        <v>15</v>
      </c>
      <c r="W176" s="122">
        <v>9</v>
      </c>
      <c r="X176" s="122">
        <v>21</v>
      </c>
      <c r="Y176" s="122">
        <v>42</v>
      </c>
      <c r="Z176" s="122">
        <v>29</v>
      </c>
      <c r="AA176" s="122">
        <v>26</v>
      </c>
      <c r="AB176" s="122">
        <v>48</v>
      </c>
      <c r="AC176" s="122">
        <v>27</v>
      </c>
      <c r="AD176" s="122">
        <v>12</v>
      </c>
      <c r="AE176" s="122">
        <v>14</v>
      </c>
      <c r="AF176" s="122">
        <v>20</v>
      </c>
      <c r="AG176" s="45">
        <f t="shared" si="26"/>
        <v>785</v>
      </c>
    </row>
    <row r="177" spans="1:34" ht="15.75" customHeight="1" x14ac:dyDescent="0.25">
      <c r="A177" s="123" t="s">
        <v>120</v>
      </c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26">
        <f t="shared" si="26"/>
        <v>0</v>
      </c>
      <c r="AH177" s="140" t="s">
        <v>177</v>
      </c>
    </row>
    <row r="178" spans="1:34" ht="15.75" customHeight="1" x14ac:dyDescent="0.25">
      <c r="A178" s="125" t="s">
        <v>122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123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9.5" customHeight="1" x14ac:dyDescent="0.25"/>
    <row r="212" ht="15.75" customHeight="1" x14ac:dyDescent="0.25"/>
    <row r="213" ht="18.75" customHeight="1" x14ac:dyDescent="0.25"/>
    <row r="214" ht="15.75" customHeight="1" x14ac:dyDescent="0.25"/>
    <row r="215" ht="15.75" customHeight="1" x14ac:dyDescent="0.25"/>
    <row r="216" ht="18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</sheetData>
  <sheetProtection algorithmName="SHA-512" hashValue="Tw96aWJtGqDZxF/PeZ5nF/zs30xhmG1duMqIlwC6d1ge4jTA+rG4tlg1rwBKPz16sPmB0+lD0yijoQI5PatwnA==" saltValue="i8H7C5qJNcSdimlOBNuAPQ==" spinCount="100000" sheet="1" objects="1" scenarios="1"/>
  <dataConsolidate/>
  <mergeCells count="2">
    <mergeCell ref="A1:AG1"/>
    <mergeCell ref="AH177:AH180"/>
  </mergeCells>
  <conditionalFormatting sqref="AD29:AF52">
    <cfRule type="cellIs" dxfId="8" priority="3" operator="lessThan">
      <formula>0</formula>
    </cfRule>
  </conditionalFormatting>
  <conditionalFormatting sqref="AH171">
    <cfRule type="cellIs" dxfId="7" priority="2" operator="equal">
      <formula>"X"</formula>
    </cfRule>
  </conditionalFormatting>
  <conditionalFormatting sqref="AH1:AH1048576">
    <cfRule type="cellIs" dxfId="6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68EC597A-0D30-4FF9-BE93-380DEE76ABCC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AR__MENU_PRINCIPAL" altText="Ctrl + Shift + M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56EAD-8A20-4C78-AF65-790BB9E4DC4B}">
  <sheetPr codeName="Hoja27"/>
  <dimension ref="A1:AK954"/>
  <sheetViews>
    <sheetView zoomScale="80" zoomScaleNormal="80" workbookViewId="0">
      <pane xSplit="1" ySplit="3" topLeftCell="B106" activePane="bottomRight" state="frozen"/>
      <selection activeCell="Q5" sqref="Q5"/>
      <selection pane="topRight" activeCell="Q5" sqref="Q5"/>
      <selection pane="bottomLeft" activeCell="Q5" sqref="Q5"/>
      <selection pane="bottomRight" activeCell="A143" sqref="A143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0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197</v>
      </c>
      <c r="C3" s="1">
        <f t="shared" si="1"/>
        <v>235</v>
      </c>
      <c r="D3" s="1">
        <f t="shared" si="1"/>
        <v>227</v>
      </c>
      <c r="E3" s="1">
        <f t="shared" si="1"/>
        <v>181</v>
      </c>
      <c r="F3" s="1">
        <f t="shared" si="1"/>
        <v>170</v>
      </c>
      <c r="G3" s="1">
        <f t="shared" si="1"/>
        <v>148</v>
      </c>
      <c r="H3" s="1">
        <f t="shared" si="1"/>
        <v>151</v>
      </c>
      <c r="I3" s="1">
        <f t="shared" si="1"/>
        <v>169</v>
      </c>
      <c r="J3" s="1">
        <f t="shared" si="1"/>
        <v>237</v>
      </c>
      <c r="K3" s="1">
        <f t="shared" si="1"/>
        <v>224</v>
      </c>
      <c r="L3" s="1">
        <f t="shared" si="1"/>
        <v>159</v>
      </c>
      <c r="M3" s="1">
        <f t="shared" si="1"/>
        <v>150</v>
      </c>
      <c r="N3" s="1">
        <f t="shared" si="1"/>
        <v>146</v>
      </c>
      <c r="O3" s="1">
        <f t="shared" si="1"/>
        <v>156</v>
      </c>
      <c r="P3" s="1">
        <f t="shared" si="1"/>
        <v>140</v>
      </c>
      <c r="Q3" s="1">
        <f t="shared" si="1"/>
        <v>218</v>
      </c>
      <c r="R3" s="1">
        <f t="shared" si="1"/>
        <v>187</v>
      </c>
      <c r="S3" s="1">
        <f t="shared" si="1"/>
        <v>174</v>
      </c>
      <c r="T3" s="1">
        <f t="shared" si="1"/>
        <v>171</v>
      </c>
      <c r="U3" s="1">
        <f t="shared" si="1"/>
        <v>144</v>
      </c>
      <c r="V3" s="1">
        <f t="shared" si="1"/>
        <v>146</v>
      </c>
      <c r="W3" s="1">
        <f t="shared" si="1"/>
        <v>135</v>
      </c>
      <c r="X3" s="1">
        <f t="shared" si="1"/>
        <v>202</v>
      </c>
      <c r="Y3" s="1">
        <f t="shared" si="1"/>
        <v>207</v>
      </c>
      <c r="Z3" s="1">
        <f t="shared" si="1"/>
        <v>177</v>
      </c>
      <c r="AA3" s="1">
        <f t="shared" si="1"/>
        <v>187</v>
      </c>
      <c r="AB3" s="1">
        <f t="shared" si="1"/>
        <v>146</v>
      </c>
      <c r="AC3" s="1">
        <f t="shared" si="1"/>
        <v>141</v>
      </c>
      <c r="AD3" s="1">
        <f t="shared" si="1"/>
        <v>133</v>
      </c>
      <c r="AE3" s="1">
        <f t="shared" si="1"/>
        <v>231</v>
      </c>
      <c r="AF3" s="1">
        <f t="shared" si="1"/>
        <v>0</v>
      </c>
      <c r="AG3" s="2">
        <f t="shared" ref="AG3:AG66" si="2">SUM(B3:AF3)</f>
        <v>5289</v>
      </c>
    </row>
    <row r="4" spans="1:33" ht="18.75" x14ac:dyDescent="0.25">
      <c r="A4" s="53" t="s">
        <v>3</v>
      </c>
      <c r="B4" s="54">
        <v>10</v>
      </c>
      <c r="C4" s="55">
        <v>10</v>
      </c>
      <c r="D4" s="55">
        <v>7</v>
      </c>
      <c r="E4" s="55">
        <v>0</v>
      </c>
      <c r="F4" s="55">
        <v>0</v>
      </c>
      <c r="G4" s="55">
        <v>0</v>
      </c>
      <c r="H4" s="55">
        <v>0</v>
      </c>
      <c r="I4" s="55">
        <v>2</v>
      </c>
      <c r="J4" s="55">
        <v>15</v>
      </c>
      <c r="K4" s="55">
        <v>6</v>
      </c>
      <c r="L4" s="55">
        <v>0</v>
      </c>
      <c r="M4" s="55">
        <v>0</v>
      </c>
      <c r="N4" s="55">
        <v>0</v>
      </c>
      <c r="O4" s="55">
        <v>0</v>
      </c>
      <c r="P4" s="55">
        <v>0</v>
      </c>
      <c r="Q4" s="55">
        <v>10</v>
      </c>
      <c r="R4" s="55">
        <v>2</v>
      </c>
      <c r="S4" s="55">
        <v>0</v>
      </c>
      <c r="T4" s="55">
        <v>0</v>
      </c>
      <c r="U4" s="55">
        <v>0</v>
      </c>
      <c r="V4" s="55">
        <v>0</v>
      </c>
      <c r="W4" s="55">
        <v>0</v>
      </c>
      <c r="X4" s="55">
        <v>11</v>
      </c>
      <c r="Y4" s="55">
        <v>8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5">
        <v>15</v>
      </c>
      <c r="AF4" s="55"/>
      <c r="AG4" s="4">
        <f t="shared" si="2"/>
        <v>96</v>
      </c>
    </row>
    <row r="5" spans="1:33" ht="18.75" x14ac:dyDescent="0.25">
      <c r="A5" s="56" t="s">
        <v>4</v>
      </c>
      <c r="B5" s="54">
        <v>8</v>
      </c>
      <c r="C5" s="54">
        <v>16</v>
      </c>
      <c r="D5" s="54">
        <v>8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14</v>
      </c>
      <c r="K5" s="54">
        <v>7</v>
      </c>
      <c r="L5" s="54">
        <v>0</v>
      </c>
      <c r="M5" s="54">
        <v>0</v>
      </c>
      <c r="N5" s="54">
        <v>0</v>
      </c>
      <c r="O5" s="54">
        <v>0</v>
      </c>
      <c r="P5" s="54">
        <v>0</v>
      </c>
      <c r="Q5" s="54">
        <v>14</v>
      </c>
      <c r="R5" s="54">
        <v>17</v>
      </c>
      <c r="S5" s="54">
        <v>0</v>
      </c>
      <c r="T5" s="54">
        <v>0</v>
      </c>
      <c r="U5" s="54">
        <v>0</v>
      </c>
      <c r="V5" s="54">
        <v>0</v>
      </c>
      <c r="W5" s="54">
        <v>0</v>
      </c>
      <c r="X5" s="54">
        <v>19</v>
      </c>
      <c r="Y5" s="54">
        <v>6</v>
      </c>
      <c r="Z5" s="54">
        <v>0</v>
      </c>
      <c r="AA5" s="54">
        <v>0</v>
      </c>
      <c r="AB5" s="54">
        <v>0</v>
      </c>
      <c r="AC5" s="54">
        <v>0</v>
      </c>
      <c r="AD5" s="54">
        <v>0</v>
      </c>
      <c r="AE5" s="54">
        <v>14</v>
      </c>
      <c r="AF5" s="54"/>
      <c r="AG5" s="5">
        <f t="shared" si="2"/>
        <v>123</v>
      </c>
    </row>
    <row r="6" spans="1:33" ht="18.75" x14ac:dyDescent="0.25">
      <c r="A6" s="56" t="s">
        <v>5</v>
      </c>
      <c r="B6" s="54">
        <v>17</v>
      </c>
      <c r="C6" s="54">
        <v>14</v>
      </c>
      <c r="D6" s="54">
        <v>18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14</v>
      </c>
      <c r="K6" s="54">
        <v>17</v>
      </c>
      <c r="L6" s="54">
        <v>0</v>
      </c>
      <c r="M6" s="54">
        <v>0</v>
      </c>
      <c r="N6" s="54">
        <v>0</v>
      </c>
      <c r="O6" s="54">
        <v>0</v>
      </c>
      <c r="P6" s="54">
        <v>0</v>
      </c>
      <c r="Q6" s="54">
        <v>16</v>
      </c>
      <c r="R6" s="54">
        <v>17</v>
      </c>
      <c r="S6" s="54">
        <v>0</v>
      </c>
      <c r="T6" s="54">
        <v>0</v>
      </c>
      <c r="U6" s="54">
        <v>0</v>
      </c>
      <c r="V6" s="54">
        <v>0</v>
      </c>
      <c r="W6" s="54">
        <v>0</v>
      </c>
      <c r="X6" s="54">
        <v>12</v>
      </c>
      <c r="Y6" s="54">
        <v>13</v>
      </c>
      <c r="Z6" s="54">
        <v>0</v>
      </c>
      <c r="AA6" s="54">
        <v>0</v>
      </c>
      <c r="AB6" s="54">
        <v>0</v>
      </c>
      <c r="AC6" s="54">
        <v>0</v>
      </c>
      <c r="AD6" s="54">
        <v>0</v>
      </c>
      <c r="AE6" s="54">
        <v>16</v>
      </c>
      <c r="AF6" s="54"/>
      <c r="AG6" s="5">
        <f t="shared" si="2"/>
        <v>154</v>
      </c>
    </row>
    <row r="7" spans="1:33" ht="18.75" x14ac:dyDescent="0.25">
      <c r="A7" s="56" t="s">
        <v>6</v>
      </c>
      <c r="B7" s="54">
        <v>14</v>
      </c>
      <c r="C7" s="54">
        <v>17</v>
      </c>
      <c r="D7" s="54">
        <v>23</v>
      </c>
      <c r="E7" s="54">
        <v>0</v>
      </c>
      <c r="F7" s="54">
        <v>0</v>
      </c>
      <c r="G7" s="54">
        <v>0</v>
      </c>
      <c r="H7" s="54">
        <v>0</v>
      </c>
      <c r="I7" s="54">
        <v>0</v>
      </c>
      <c r="J7" s="54">
        <v>18</v>
      </c>
      <c r="K7" s="54">
        <v>18</v>
      </c>
      <c r="L7" s="54">
        <v>1</v>
      </c>
      <c r="M7" s="54">
        <v>0</v>
      </c>
      <c r="N7" s="54">
        <v>0</v>
      </c>
      <c r="O7" s="54">
        <v>0</v>
      </c>
      <c r="P7" s="54">
        <v>0</v>
      </c>
      <c r="Q7" s="54">
        <v>14</v>
      </c>
      <c r="R7" s="54">
        <v>13</v>
      </c>
      <c r="S7" s="54">
        <v>0</v>
      </c>
      <c r="T7" s="54">
        <v>0</v>
      </c>
      <c r="U7" s="54">
        <v>0</v>
      </c>
      <c r="V7" s="54">
        <v>0</v>
      </c>
      <c r="W7" s="54">
        <v>0</v>
      </c>
      <c r="X7" s="54">
        <v>11</v>
      </c>
      <c r="Y7" s="54">
        <v>16</v>
      </c>
      <c r="Z7" s="54">
        <v>0</v>
      </c>
      <c r="AA7" s="54">
        <v>0</v>
      </c>
      <c r="AB7" s="54">
        <v>0</v>
      </c>
      <c r="AC7" s="54">
        <v>0</v>
      </c>
      <c r="AD7" s="54">
        <v>0</v>
      </c>
      <c r="AE7" s="54">
        <v>14</v>
      </c>
      <c r="AF7" s="54"/>
      <c r="AG7" s="5">
        <f t="shared" si="2"/>
        <v>159</v>
      </c>
    </row>
    <row r="8" spans="1:33" ht="18.75" x14ac:dyDescent="0.25">
      <c r="A8" s="56" t="s">
        <v>7</v>
      </c>
      <c r="B8" s="54">
        <v>9</v>
      </c>
      <c r="C8" s="54">
        <v>20</v>
      </c>
      <c r="D8" s="54">
        <v>14</v>
      </c>
      <c r="E8" s="54">
        <v>0</v>
      </c>
      <c r="F8" s="54">
        <v>0</v>
      </c>
      <c r="G8" s="54">
        <v>0</v>
      </c>
      <c r="H8" s="54">
        <v>0</v>
      </c>
      <c r="I8" s="54">
        <v>0</v>
      </c>
      <c r="J8" s="54">
        <v>18</v>
      </c>
      <c r="K8" s="54">
        <v>19</v>
      </c>
      <c r="L8" s="54">
        <v>0</v>
      </c>
      <c r="M8" s="54">
        <v>0</v>
      </c>
      <c r="N8" s="54">
        <v>0</v>
      </c>
      <c r="O8" s="54">
        <v>0</v>
      </c>
      <c r="P8" s="54">
        <v>0</v>
      </c>
      <c r="Q8" s="54">
        <v>16</v>
      </c>
      <c r="R8" s="54">
        <v>15</v>
      </c>
      <c r="S8" s="54">
        <v>0</v>
      </c>
      <c r="T8" s="54">
        <v>0</v>
      </c>
      <c r="U8" s="54">
        <v>0</v>
      </c>
      <c r="V8" s="54">
        <v>0</v>
      </c>
      <c r="W8" s="54">
        <v>0</v>
      </c>
      <c r="X8" s="54">
        <v>18</v>
      </c>
      <c r="Y8" s="54">
        <v>15</v>
      </c>
      <c r="Z8" s="54">
        <v>0</v>
      </c>
      <c r="AA8" s="54">
        <v>0</v>
      </c>
      <c r="AB8" s="54">
        <v>0</v>
      </c>
      <c r="AC8" s="54">
        <v>0</v>
      </c>
      <c r="AD8" s="54">
        <v>0</v>
      </c>
      <c r="AE8" s="54">
        <v>15</v>
      </c>
      <c r="AF8" s="54"/>
      <c r="AG8" s="5">
        <f t="shared" si="2"/>
        <v>159</v>
      </c>
    </row>
    <row r="9" spans="1:33" ht="18.75" x14ac:dyDescent="0.25">
      <c r="A9" s="56" t="s">
        <v>8</v>
      </c>
      <c r="B9" s="54">
        <v>8</v>
      </c>
      <c r="C9" s="54">
        <v>8</v>
      </c>
      <c r="D9" s="54">
        <v>14</v>
      </c>
      <c r="E9" s="54">
        <v>0</v>
      </c>
      <c r="F9" s="54">
        <v>0</v>
      </c>
      <c r="G9" s="54">
        <v>0</v>
      </c>
      <c r="H9" s="54">
        <v>0</v>
      </c>
      <c r="I9" s="54">
        <v>0</v>
      </c>
      <c r="J9" s="54">
        <v>16</v>
      </c>
      <c r="K9" s="54">
        <v>13</v>
      </c>
      <c r="L9" s="54">
        <v>0</v>
      </c>
      <c r="M9" s="54">
        <v>0</v>
      </c>
      <c r="N9" s="54">
        <v>0</v>
      </c>
      <c r="O9" s="54">
        <v>0</v>
      </c>
      <c r="P9" s="54">
        <v>0</v>
      </c>
      <c r="Q9" s="54">
        <v>15</v>
      </c>
      <c r="R9" s="54">
        <v>15</v>
      </c>
      <c r="S9" s="54">
        <v>0</v>
      </c>
      <c r="T9" s="54">
        <v>0</v>
      </c>
      <c r="U9" s="54">
        <v>0</v>
      </c>
      <c r="V9" s="54">
        <v>0</v>
      </c>
      <c r="W9" s="54">
        <v>0</v>
      </c>
      <c r="X9" s="54">
        <v>6</v>
      </c>
      <c r="Y9" s="54">
        <v>14</v>
      </c>
      <c r="Z9" s="54">
        <v>0</v>
      </c>
      <c r="AA9" s="54">
        <v>0</v>
      </c>
      <c r="AB9" s="54">
        <v>0</v>
      </c>
      <c r="AC9" s="54">
        <v>0</v>
      </c>
      <c r="AD9" s="54">
        <v>0</v>
      </c>
      <c r="AE9" s="54">
        <v>11</v>
      </c>
      <c r="AF9" s="54"/>
      <c r="AG9" s="5">
        <f t="shared" si="2"/>
        <v>120</v>
      </c>
    </row>
    <row r="10" spans="1:33" ht="18.75" x14ac:dyDescent="0.25">
      <c r="A10" s="56" t="s">
        <v>9</v>
      </c>
      <c r="B10" s="54">
        <v>12</v>
      </c>
      <c r="C10" s="54">
        <v>19</v>
      </c>
      <c r="D10" s="54">
        <v>17</v>
      </c>
      <c r="E10" s="54">
        <v>0</v>
      </c>
      <c r="F10" s="54">
        <v>0</v>
      </c>
      <c r="G10" s="54">
        <v>0</v>
      </c>
      <c r="H10" s="54">
        <v>0</v>
      </c>
      <c r="I10" s="54">
        <v>0</v>
      </c>
      <c r="J10" s="54">
        <v>15</v>
      </c>
      <c r="K10" s="54">
        <v>13</v>
      </c>
      <c r="L10" s="54">
        <v>0</v>
      </c>
      <c r="M10" s="54">
        <v>0</v>
      </c>
      <c r="N10" s="54">
        <v>0</v>
      </c>
      <c r="O10" s="54">
        <v>0</v>
      </c>
      <c r="P10" s="54">
        <v>0</v>
      </c>
      <c r="Q10" s="54">
        <v>10</v>
      </c>
      <c r="R10" s="54">
        <v>10</v>
      </c>
      <c r="S10" s="54">
        <v>0</v>
      </c>
      <c r="T10" s="54">
        <v>0</v>
      </c>
      <c r="U10" s="54">
        <v>0</v>
      </c>
      <c r="V10" s="54">
        <v>0</v>
      </c>
      <c r="W10" s="54">
        <v>0</v>
      </c>
      <c r="X10" s="54">
        <v>15</v>
      </c>
      <c r="Y10" s="54">
        <v>17</v>
      </c>
      <c r="Z10" s="54">
        <v>0</v>
      </c>
      <c r="AA10" s="54">
        <v>0</v>
      </c>
      <c r="AB10" s="54">
        <v>0</v>
      </c>
      <c r="AC10" s="54">
        <v>0</v>
      </c>
      <c r="AD10" s="54">
        <v>0</v>
      </c>
      <c r="AE10" s="54">
        <v>15</v>
      </c>
      <c r="AF10" s="54"/>
      <c r="AG10" s="5">
        <f t="shared" si="2"/>
        <v>143</v>
      </c>
    </row>
    <row r="11" spans="1:33" ht="18.75" x14ac:dyDescent="0.25">
      <c r="A11" s="56" t="s">
        <v>10</v>
      </c>
      <c r="B11" s="54">
        <v>21</v>
      </c>
      <c r="C11" s="54">
        <v>21</v>
      </c>
      <c r="D11" s="54">
        <v>21</v>
      </c>
      <c r="E11" s="54">
        <v>0</v>
      </c>
      <c r="F11" s="54">
        <v>0</v>
      </c>
      <c r="G11" s="54">
        <v>0</v>
      </c>
      <c r="H11" s="54">
        <v>0</v>
      </c>
      <c r="I11" s="54">
        <v>4</v>
      </c>
      <c r="J11" s="54">
        <v>13</v>
      </c>
      <c r="K11" s="54">
        <v>13</v>
      </c>
      <c r="L11" s="54">
        <v>0</v>
      </c>
      <c r="M11" s="54">
        <v>0</v>
      </c>
      <c r="N11" s="54">
        <v>0</v>
      </c>
      <c r="O11" s="54">
        <v>0</v>
      </c>
      <c r="P11" s="54">
        <v>0</v>
      </c>
      <c r="Q11" s="54">
        <v>11</v>
      </c>
      <c r="R11" s="54">
        <v>14</v>
      </c>
      <c r="S11" s="54">
        <v>0</v>
      </c>
      <c r="T11" s="54">
        <v>0</v>
      </c>
      <c r="U11" s="54">
        <v>0</v>
      </c>
      <c r="V11" s="54">
        <v>0</v>
      </c>
      <c r="W11" s="54">
        <v>0</v>
      </c>
      <c r="X11" s="54">
        <v>15</v>
      </c>
      <c r="Y11" s="54">
        <v>9</v>
      </c>
      <c r="Z11" s="54">
        <v>0</v>
      </c>
      <c r="AA11" s="54">
        <v>0</v>
      </c>
      <c r="AB11" s="54">
        <v>0</v>
      </c>
      <c r="AC11" s="54">
        <v>0</v>
      </c>
      <c r="AD11" s="54">
        <v>6</v>
      </c>
      <c r="AE11" s="54">
        <v>20</v>
      </c>
      <c r="AF11" s="54"/>
      <c r="AG11" s="5">
        <f t="shared" si="2"/>
        <v>168</v>
      </c>
    </row>
    <row r="12" spans="1:33" ht="18.75" x14ac:dyDescent="0.25">
      <c r="A12" s="56" t="s">
        <v>11</v>
      </c>
      <c r="B12" s="54">
        <v>17</v>
      </c>
      <c r="C12" s="54">
        <v>18</v>
      </c>
      <c r="D12" s="54">
        <v>14</v>
      </c>
      <c r="E12" s="54">
        <v>1</v>
      </c>
      <c r="F12" s="54">
        <v>2</v>
      </c>
      <c r="G12" s="54">
        <v>8</v>
      </c>
      <c r="H12" s="54">
        <v>11</v>
      </c>
      <c r="I12" s="54">
        <v>63</v>
      </c>
      <c r="J12" s="54">
        <v>16</v>
      </c>
      <c r="K12" s="54">
        <v>13</v>
      </c>
      <c r="L12" s="54">
        <v>0</v>
      </c>
      <c r="M12" s="54">
        <v>12</v>
      </c>
      <c r="N12" s="54">
        <v>4</v>
      </c>
      <c r="O12" s="54">
        <v>11</v>
      </c>
      <c r="P12" s="54">
        <v>42</v>
      </c>
      <c r="Q12" s="54">
        <v>11</v>
      </c>
      <c r="R12" s="54">
        <v>15</v>
      </c>
      <c r="S12" s="54">
        <v>1</v>
      </c>
      <c r="T12" s="54">
        <v>8</v>
      </c>
      <c r="U12" s="54">
        <v>9</v>
      </c>
      <c r="V12" s="54">
        <v>7</v>
      </c>
      <c r="W12" s="54">
        <v>36</v>
      </c>
      <c r="X12" s="54">
        <v>14</v>
      </c>
      <c r="Y12" s="54">
        <v>18</v>
      </c>
      <c r="Z12" s="54">
        <v>3</v>
      </c>
      <c r="AA12" s="54">
        <v>9</v>
      </c>
      <c r="AB12" s="54">
        <v>8</v>
      </c>
      <c r="AC12" s="54">
        <v>6</v>
      </c>
      <c r="AD12" s="54">
        <v>35</v>
      </c>
      <c r="AE12" s="54">
        <v>14</v>
      </c>
      <c r="AF12" s="54"/>
      <c r="AG12" s="5">
        <f t="shared" si="2"/>
        <v>426</v>
      </c>
    </row>
    <row r="13" spans="1:33" ht="18.75" x14ac:dyDescent="0.25">
      <c r="A13" s="56" t="s">
        <v>12</v>
      </c>
      <c r="B13" s="54">
        <v>13</v>
      </c>
      <c r="C13" s="54">
        <v>14</v>
      </c>
      <c r="D13" s="54">
        <v>14</v>
      </c>
      <c r="E13" s="54">
        <v>63</v>
      </c>
      <c r="F13" s="54">
        <v>78</v>
      </c>
      <c r="G13" s="54">
        <v>53</v>
      </c>
      <c r="H13" s="54">
        <v>41</v>
      </c>
      <c r="I13" s="54">
        <v>29</v>
      </c>
      <c r="J13" s="54">
        <v>18</v>
      </c>
      <c r="K13" s="54">
        <v>16</v>
      </c>
      <c r="L13" s="54">
        <v>70</v>
      </c>
      <c r="M13" s="54">
        <v>54</v>
      </c>
      <c r="N13" s="54">
        <v>56</v>
      </c>
      <c r="O13" s="54">
        <v>54</v>
      </c>
      <c r="P13" s="54">
        <v>24</v>
      </c>
      <c r="Q13" s="54">
        <v>15</v>
      </c>
      <c r="R13" s="54">
        <v>16</v>
      </c>
      <c r="S13" s="54">
        <v>74</v>
      </c>
      <c r="T13" s="54">
        <v>62</v>
      </c>
      <c r="U13" s="54">
        <v>49</v>
      </c>
      <c r="V13" s="54">
        <v>51</v>
      </c>
      <c r="W13" s="54">
        <v>21</v>
      </c>
      <c r="X13" s="54">
        <v>12</v>
      </c>
      <c r="Y13" s="54">
        <v>15</v>
      </c>
      <c r="Z13" s="54">
        <v>74</v>
      </c>
      <c r="AA13" s="54">
        <v>70</v>
      </c>
      <c r="AB13" s="54">
        <v>61</v>
      </c>
      <c r="AC13" s="54">
        <v>62</v>
      </c>
      <c r="AD13" s="54">
        <v>18</v>
      </c>
      <c r="AE13" s="54">
        <v>13</v>
      </c>
      <c r="AF13" s="54"/>
      <c r="AG13" s="5">
        <f t="shared" si="2"/>
        <v>1210</v>
      </c>
    </row>
    <row r="14" spans="1:33" ht="18.75" x14ac:dyDescent="0.25">
      <c r="A14" s="56" t="s">
        <v>13</v>
      </c>
      <c r="B14" s="54">
        <v>17</v>
      </c>
      <c r="C14" s="54">
        <v>16</v>
      </c>
      <c r="D14" s="54">
        <v>10</v>
      </c>
      <c r="E14" s="54">
        <v>32</v>
      </c>
      <c r="F14" s="54">
        <v>21</v>
      </c>
      <c r="G14" s="54">
        <v>11</v>
      </c>
      <c r="H14" s="54">
        <v>15</v>
      </c>
      <c r="I14" s="54">
        <v>18</v>
      </c>
      <c r="J14" s="54">
        <v>14</v>
      </c>
      <c r="K14" s="54">
        <v>11</v>
      </c>
      <c r="L14" s="54">
        <v>17</v>
      </c>
      <c r="M14" s="54">
        <v>8</v>
      </c>
      <c r="N14" s="54">
        <v>20</v>
      </c>
      <c r="O14" s="54">
        <v>14</v>
      </c>
      <c r="P14" s="54">
        <v>11</v>
      </c>
      <c r="Q14" s="54">
        <v>17</v>
      </c>
      <c r="R14" s="54">
        <v>8</v>
      </c>
      <c r="S14" s="54">
        <v>25</v>
      </c>
      <c r="T14" s="54">
        <v>15</v>
      </c>
      <c r="U14" s="54">
        <v>16</v>
      </c>
      <c r="V14" s="54">
        <v>22</v>
      </c>
      <c r="W14" s="54">
        <v>19</v>
      </c>
      <c r="X14" s="54">
        <v>12</v>
      </c>
      <c r="Y14" s="54">
        <v>7</v>
      </c>
      <c r="Z14" s="54">
        <v>27</v>
      </c>
      <c r="AA14" s="54">
        <v>27</v>
      </c>
      <c r="AB14" s="54">
        <v>13</v>
      </c>
      <c r="AC14" s="54">
        <v>16</v>
      </c>
      <c r="AD14" s="54">
        <v>14</v>
      </c>
      <c r="AE14" s="54">
        <v>6</v>
      </c>
      <c r="AF14" s="54"/>
      <c r="AG14" s="5">
        <f t="shared" si="2"/>
        <v>479</v>
      </c>
    </row>
    <row r="15" spans="1:33" ht="18.75" x14ac:dyDescent="0.25">
      <c r="A15" s="56" t="s">
        <v>14</v>
      </c>
      <c r="B15" s="54">
        <v>9</v>
      </c>
      <c r="C15" s="54">
        <v>15</v>
      </c>
      <c r="D15" s="54">
        <v>16</v>
      </c>
      <c r="E15" s="54">
        <v>22</v>
      </c>
      <c r="F15" s="54">
        <v>19</v>
      </c>
      <c r="G15" s="54">
        <v>18</v>
      </c>
      <c r="H15" s="54">
        <v>11</v>
      </c>
      <c r="I15" s="54">
        <v>7</v>
      </c>
      <c r="J15" s="54">
        <v>16</v>
      </c>
      <c r="K15" s="54">
        <v>14</v>
      </c>
      <c r="L15" s="54">
        <v>18</v>
      </c>
      <c r="M15" s="54">
        <v>13</v>
      </c>
      <c r="N15" s="54">
        <v>7</v>
      </c>
      <c r="O15" s="54">
        <v>15</v>
      </c>
      <c r="P15" s="54">
        <v>11</v>
      </c>
      <c r="Q15" s="54">
        <v>5</v>
      </c>
      <c r="R15" s="54">
        <v>7</v>
      </c>
      <c r="S15" s="54">
        <v>14</v>
      </c>
      <c r="T15" s="54">
        <v>13</v>
      </c>
      <c r="U15" s="54">
        <v>16</v>
      </c>
      <c r="V15" s="54">
        <v>12</v>
      </c>
      <c r="W15" s="54">
        <v>15</v>
      </c>
      <c r="X15" s="54">
        <v>10</v>
      </c>
      <c r="Y15" s="54">
        <v>12</v>
      </c>
      <c r="Z15" s="54">
        <v>10</v>
      </c>
      <c r="AA15" s="54">
        <v>21</v>
      </c>
      <c r="AB15" s="54">
        <v>17</v>
      </c>
      <c r="AC15" s="54">
        <v>15</v>
      </c>
      <c r="AD15" s="54">
        <v>9</v>
      </c>
      <c r="AE15" s="54">
        <v>10</v>
      </c>
      <c r="AF15" s="54"/>
      <c r="AG15" s="5">
        <f t="shared" si="2"/>
        <v>397</v>
      </c>
    </row>
    <row r="16" spans="1:33" ht="18.75" x14ac:dyDescent="0.25">
      <c r="A16" s="56" t="s">
        <v>15</v>
      </c>
      <c r="B16" s="54">
        <v>11</v>
      </c>
      <c r="C16" s="54">
        <v>9</v>
      </c>
      <c r="D16" s="54">
        <v>6</v>
      </c>
      <c r="E16" s="54">
        <v>15</v>
      </c>
      <c r="F16" s="54">
        <v>14</v>
      </c>
      <c r="G16" s="54">
        <v>14</v>
      </c>
      <c r="H16" s="54">
        <v>15</v>
      </c>
      <c r="I16" s="54">
        <v>12</v>
      </c>
      <c r="J16" s="54">
        <v>10</v>
      </c>
      <c r="K16" s="54">
        <v>13</v>
      </c>
      <c r="L16" s="54">
        <v>16</v>
      </c>
      <c r="M16" s="54">
        <v>11</v>
      </c>
      <c r="N16" s="54">
        <v>13</v>
      </c>
      <c r="O16" s="54">
        <v>17</v>
      </c>
      <c r="P16" s="54">
        <v>10</v>
      </c>
      <c r="Q16" s="54">
        <v>7</v>
      </c>
      <c r="R16" s="54">
        <v>0</v>
      </c>
      <c r="S16" s="54">
        <v>17</v>
      </c>
      <c r="T16" s="54">
        <v>19</v>
      </c>
      <c r="U16" s="54">
        <v>10</v>
      </c>
      <c r="V16" s="54">
        <v>10</v>
      </c>
      <c r="W16" s="54">
        <v>8</v>
      </c>
      <c r="X16" s="54">
        <v>14</v>
      </c>
      <c r="Y16" s="54">
        <v>7</v>
      </c>
      <c r="Z16" s="54">
        <v>21</v>
      </c>
      <c r="AA16" s="54">
        <v>15</v>
      </c>
      <c r="AB16" s="54">
        <v>12</v>
      </c>
      <c r="AC16" s="54">
        <v>17</v>
      </c>
      <c r="AD16" s="54">
        <v>11</v>
      </c>
      <c r="AE16" s="54">
        <v>19</v>
      </c>
      <c r="AF16" s="54"/>
      <c r="AG16" s="5">
        <f t="shared" si="2"/>
        <v>373</v>
      </c>
    </row>
    <row r="17" spans="1:33" ht="18.75" x14ac:dyDescent="0.25">
      <c r="A17" s="56" t="s">
        <v>16</v>
      </c>
      <c r="B17" s="54">
        <v>9</v>
      </c>
      <c r="C17" s="54">
        <v>15</v>
      </c>
      <c r="D17" s="54">
        <v>12</v>
      </c>
      <c r="E17" s="54">
        <v>10</v>
      </c>
      <c r="F17" s="54">
        <v>17</v>
      </c>
      <c r="G17" s="54">
        <v>12</v>
      </c>
      <c r="H17" s="54">
        <v>11</v>
      </c>
      <c r="I17" s="54">
        <v>9</v>
      </c>
      <c r="J17" s="54">
        <v>11</v>
      </c>
      <c r="K17" s="54">
        <v>8</v>
      </c>
      <c r="L17" s="54">
        <v>11</v>
      </c>
      <c r="M17" s="54">
        <v>23</v>
      </c>
      <c r="N17" s="54">
        <v>14</v>
      </c>
      <c r="O17" s="54">
        <v>4</v>
      </c>
      <c r="P17" s="54">
        <v>16</v>
      </c>
      <c r="Q17" s="54">
        <v>19</v>
      </c>
      <c r="R17" s="54">
        <v>0</v>
      </c>
      <c r="S17" s="54">
        <v>10</v>
      </c>
      <c r="T17" s="54">
        <v>13</v>
      </c>
      <c r="U17" s="54">
        <v>19</v>
      </c>
      <c r="V17" s="54">
        <v>12</v>
      </c>
      <c r="W17" s="54">
        <v>11</v>
      </c>
      <c r="X17" s="54">
        <v>7</v>
      </c>
      <c r="Y17" s="54">
        <v>13</v>
      </c>
      <c r="Z17" s="54">
        <v>11</v>
      </c>
      <c r="AA17" s="54">
        <v>16</v>
      </c>
      <c r="AB17" s="54">
        <v>9</v>
      </c>
      <c r="AC17" s="54">
        <v>6</v>
      </c>
      <c r="AD17" s="54">
        <v>9</v>
      </c>
      <c r="AE17" s="54">
        <v>11</v>
      </c>
      <c r="AF17" s="54"/>
      <c r="AG17" s="5">
        <f t="shared" si="2"/>
        <v>348</v>
      </c>
    </row>
    <row r="18" spans="1:33" ht="18.75" x14ac:dyDescent="0.25">
      <c r="A18" s="56" t="s">
        <v>17</v>
      </c>
      <c r="B18" s="54">
        <v>6</v>
      </c>
      <c r="C18" s="54">
        <v>4</v>
      </c>
      <c r="D18" s="54">
        <v>10</v>
      </c>
      <c r="E18" s="54">
        <v>17</v>
      </c>
      <c r="F18" s="54">
        <v>7</v>
      </c>
      <c r="G18" s="54">
        <v>14</v>
      </c>
      <c r="H18" s="54">
        <v>10</v>
      </c>
      <c r="I18" s="54">
        <v>6</v>
      </c>
      <c r="J18" s="54">
        <v>6</v>
      </c>
      <c r="K18" s="54">
        <v>9</v>
      </c>
      <c r="L18" s="54">
        <v>8</v>
      </c>
      <c r="M18" s="54">
        <v>12</v>
      </c>
      <c r="N18" s="54">
        <v>13</v>
      </c>
      <c r="O18" s="54">
        <v>18</v>
      </c>
      <c r="P18" s="54">
        <v>6</v>
      </c>
      <c r="Q18" s="54">
        <v>7</v>
      </c>
      <c r="R18" s="54">
        <v>17</v>
      </c>
      <c r="S18" s="54">
        <v>12</v>
      </c>
      <c r="T18" s="54">
        <v>16</v>
      </c>
      <c r="U18" s="54">
        <v>5</v>
      </c>
      <c r="V18" s="54">
        <v>11</v>
      </c>
      <c r="W18" s="54">
        <v>9</v>
      </c>
      <c r="X18" s="54">
        <v>6</v>
      </c>
      <c r="Y18" s="54">
        <v>9</v>
      </c>
      <c r="Z18" s="54">
        <v>8</v>
      </c>
      <c r="AA18" s="54">
        <v>8</v>
      </c>
      <c r="AB18" s="54">
        <v>6</v>
      </c>
      <c r="AC18" s="54">
        <v>5</v>
      </c>
      <c r="AD18" s="54">
        <v>12</v>
      </c>
      <c r="AE18" s="54">
        <v>10</v>
      </c>
      <c r="AF18" s="54"/>
      <c r="AG18" s="5">
        <f t="shared" si="2"/>
        <v>287</v>
      </c>
    </row>
    <row r="19" spans="1:33" ht="18.75" x14ac:dyDescent="0.25">
      <c r="A19" s="56" t="s">
        <v>18</v>
      </c>
      <c r="B19" s="54">
        <v>4</v>
      </c>
      <c r="C19" s="54">
        <v>5</v>
      </c>
      <c r="D19" s="54">
        <v>6</v>
      </c>
      <c r="E19" s="54">
        <v>7</v>
      </c>
      <c r="F19" s="54">
        <v>5</v>
      </c>
      <c r="G19" s="54">
        <v>6</v>
      </c>
      <c r="H19" s="54">
        <v>10</v>
      </c>
      <c r="I19" s="54">
        <v>5</v>
      </c>
      <c r="J19" s="54">
        <v>2</v>
      </c>
      <c r="K19" s="54">
        <v>8</v>
      </c>
      <c r="L19" s="54">
        <v>8</v>
      </c>
      <c r="M19" s="54">
        <v>5</v>
      </c>
      <c r="N19" s="54">
        <v>11</v>
      </c>
      <c r="O19" s="54">
        <v>2</v>
      </c>
      <c r="P19" s="54">
        <v>2</v>
      </c>
      <c r="Q19" s="54">
        <v>9</v>
      </c>
      <c r="R19" s="54">
        <v>6</v>
      </c>
      <c r="S19" s="54">
        <v>10</v>
      </c>
      <c r="T19" s="54">
        <v>12</v>
      </c>
      <c r="U19" s="54">
        <v>7</v>
      </c>
      <c r="V19" s="54">
        <v>6</v>
      </c>
      <c r="W19" s="54">
        <v>10</v>
      </c>
      <c r="X19" s="54">
        <v>6</v>
      </c>
      <c r="Y19" s="54">
        <v>6</v>
      </c>
      <c r="Z19" s="54">
        <v>10</v>
      </c>
      <c r="AA19" s="54">
        <v>4</v>
      </c>
      <c r="AB19" s="54">
        <v>3</v>
      </c>
      <c r="AC19" s="54">
        <v>2</v>
      </c>
      <c r="AD19" s="54">
        <v>10</v>
      </c>
      <c r="AE19" s="54">
        <v>5</v>
      </c>
      <c r="AF19" s="54"/>
      <c r="AG19" s="5">
        <f t="shared" si="2"/>
        <v>192</v>
      </c>
    </row>
    <row r="20" spans="1:33" ht="18.75" x14ac:dyDescent="0.25">
      <c r="A20" s="56" t="s">
        <v>19</v>
      </c>
      <c r="B20" s="54">
        <v>2</v>
      </c>
      <c r="C20" s="54">
        <v>7</v>
      </c>
      <c r="D20" s="54">
        <v>3</v>
      </c>
      <c r="E20" s="54">
        <v>3</v>
      </c>
      <c r="F20" s="54">
        <v>0</v>
      </c>
      <c r="G20" s="54">
        <v>5</v>
      </c>
      <c r="H20" s="54">
        <v>5</v>
      </c>
      <c r="I20" s="54">
        <v>6</v>
      </c>
      <c r="J20" s="54">
        <v>3</v>
      </c>
      <c r="K20" s="54">
        <v>3</v>
      </c>
      <c r="L20" s="54">
        <v>4</v>
      </c>
      <c r="M20" s="54">
        <v>2</v>
      </c>
      <c r="N20" s="54">
        <v>2</v>
      </c>
      <c r="O20" s="54">
        <v>0</v>
      </c>
      <c r="P20" s="54">
        <v>4</v>
      </c>
      <c r="Q20" s="54">
        <v>7</v>
      </c>
      <c r="R20" s="54">
        <v>6</v>
      </c>
      <c r="S20" s="54">
        <v>4</v>
      </c>
      <c r="T20" s="54">
        <v>3</v>
      </c>
      <c r="U20" s="54">
        <v>8</v>
      </c>
      <c r="V20" s="54">
        <v>6</v>
      </c>
      <c r="W20" s="54">
        <v>2</v>
      </c>
      <c r="X20" s="54">
        <v>4</v>
      </c>
      <c r="Y20" s="54">
        <v>4</v>
      </c>
      <c r="Z20" s="54">
        <v>3</v>
      </c>
      <c r="AA20" s="54">
        <v>4</v>
      </c>
      <c r="AB20" s="54">
        <v>7</v>
      </c>
      <c r="AC20" s="54">
        <v>1</v>
      </c>
      <c r="AD20" s="54">
        <v>3</v>
      </c>
      <c r="AE20" s="54">
        <v>7</v>
      </c>
      <c r="AF20" s="54"/>
      <c r="AG20" s="5">
        <f t="shared" si="2"/>
        <v>118</v>
      </c>
    </row>
    <row r="21" spans="1:33" ht="15.75" customHeight="1" x14ac:dyDescent="0.25">
      <c r="A21" s="56" t="s">
        <v>20</v>
      </c>
      <c r="B21" s="54">
        <v>1</v>
      </c>
      <c r="C21" s="54">
        <v>4</v>
      </c>
      <c r="D21" s="54">
        <v>3</v>
      </c>
      <c r="E21" s="54">
        <v>1</v>
      </c>
      <c r="F21" s="54">
        <v>3</v>
      </c>
      <c r="G21" s="54">
        <v>3</v>
      </c>
      <c r="H21" s="54">
        <v>5</v>
      </c>
      <c r="I21" s="54">
        <v>2</v>
      </c>
      <c r="J21" s="54">
        <v>4</v>
      </c>
      <c r="K21" s="54">
        <v>4</v>
      </c>
      <c r="L21" s="54">
        <v>1</v>
      </c>
      <c r="M21" s="54">
        <v>4</v>
      </c>
      <c r="N21" s="54">
        <v>3</v>
      </c>
      <c r="O21" s="54">
        <v>5</v>
      </c>
      <c r="P21" s="54">
        <v>3</v>
      </c>
      <c r="Q21" s="54">
        <v>1</v>
      </c>
      <c r="R21" s="54">
        <v>2</v>
      </c>
      <c r="S21" s="54">
        <v>3</v>
      </c>
      <c r="T21" s="54">
        <v>4</v>
      </c>
      <c r="U21" s="54">
        <v>3</v>
      </c>
      <c r="V21" s="54">
        <v>3</v>
      </c>
      <c r="W21" s="54">
        <v>2</v>
      </c>
      <c r="X21" s="54">
        <v>3</v>
      </c>
      <c r="Y21" s="54">
        <v>2</v>
      </c>
      <c r="Z21" s="54">
        <v>2</v>
      </c>
      <c r="AA21" s="54">
        <v>3</v>
      </c>
      <c r="AB21" s="54">
        <v>1</v>
      </c>
      <c r="AC21" s="54">
        <v>2</v>
      </c>
      <c r="AD21" s="54">
        <v>1</v>
      </c>
      <c r="AE21" s="54">
        <v>6</v>
      </c>
      <c r="AF21" s="54"/>
      <c r="AG21" s="5">
        <f t="shared" si="2"/>
        <v>84</v>
      </c>
    </row>
    <row r="22" spans="1:33" ht="15.75" customHeight="1" x14ac:dyDescent="0.25">
      <c r="A22" s="56" t="s">
        <v>21</v>
      </c>
      <c r="B22" s="54">
        <v>1</v>
      </c>
      <c r="C22" s="54">
        <v>0</v>
      </c>
      <c r="D22" s="54">
        <v>4</v>
      </c>
      <c r="E22" s="54">
        <v>2</v>
      </c>
      <c r="F22" s="54">
        <v>1</v>
      </c>
      <c r="G22" s="54">
        <v>3</v>
      </c>
      <c r="H22" s="54">
        <v>4</v>
      </c>
      <c r="I22" s="54">
        <v>2</v>
      </c>
      <c r="J22" s="54">
        <v>2</v>
      </c>
      <c r="K22" s="54">
        <v>3</v>
      </c>
      <c r="L22" s="54">
        <v>0</v>
      </c>
      <c r="M22" s="54">
        <v>1</v>
      </c>
      <c r="N22" s="54">
        <v>1</v>
      </c>
      <c r="O22" s="54">
        <v>5</v>
      </c>
      <c r="P22" s="54">
        <v>3</v>
      </c>
      <c r="Q22" s="54">
        <v>5</v>
      </c>
      <c r="R22" s="54">
        <v>0</v>
      </c>
      <c r="S22" s="54">
        <v>0</v>
      </c>
      <c r="T22" s="54">
        <v>0</v>
      </c>
      <c r="U22" s="54">
        <v>1</v>
      </c>
      <c r="V22" s="54">
        <v>3</v>
      </c>
      <c r="W22" s="54">
        <v>0</v>
      </c>
      <c r="X22" s="54">
        <v>1</v>
      </c>
      <c r="Y22" s="54">
        <v>2</v>
      </c>
      <c r="Z22" s="54">
        <v>2</v>
      </c>
      <c r="AA22" s="54">
        <v>1</v>
      </c>
      <c r="AB22" s="54">
        <v>1</v>
      </c>
      <c r="AC22" s="54">
        <v>2</v>
      </c>
      <c r="AD22" s="54">
        <v>1</v>
      </c>
      <c r="AE22" s="54">
        <v>4</v>
      </c>
      <c r="AF22" s="54"/>
      <c r="AG22" s="5">
        <f t="shared" si="2"/>
        <v>55</v>
      </c>
    </row>
    <row r="23" spans="1:33" ht="15.75" customHeight="1" x14ac:dyDescent="0.25">
      <c r="A23" s="56" t="s">
        <v>22</v>
      </c>
      <c r="B23" s="54">
        <v>1</v>
      </c>
      <c r="C23" s="54">
        <v>1</v>
      </c>
      <c r="D23" s="54">
        <v>1</v>
      </c>
      <c r="E23" s="54">
        <v>2</v>
      </c>
      <c r="F23" s="54">
        <v>3</v>
      </c>
      <c r="G23" s="54">
        <v>0</v>
      </c>
      <c r="H23" s="54">
        <v>2</v>
      </c>
      <c r="I23" s="54">
        <v>3</v>
      </c>
      <c r="J23" s="54">
        <v>2</v>
      </c>
      <c r="K23" s="54">
        <v>0</v>
      </c>
      <c r="L23" s="54">
        <v>1</v>
      </c>
      <c r="M23" s="54">
        <v>2</v>
      </c>
      <c r="N23" s="54">
        <v>1</v>
      </c>
      <c r="O23" s="54">
        <v>3</v>
      </c>
      <c r="P23" s="54">
        <v>1</v>
      </c>
      <c r="Q23" s="54">
        <v>1</v>
      </c>
      <c r="R23" s="54">
        <v>3</v>
      </c>
      <c r="S23" s="54">
        <v>0</v>
      </c>
      <c r="T23" s="54">
        <v>3</v>
      </c>
      <c r="U23" s="54">
        <v>1</v>
      </c>
      <c r="V23" s="54">
        <v>0</v>
      </c>
      <c r="W23" s="54">
        <v>1</v>
      </c>
      <c r="X23" s="54">
        <v>1</v>
      </c>
      <c r="Y23" s="54">
        <v>3</v>
      </c>
      <c r="Z23" s="54">
        <v>0</v>
      </c>
      <c r="AA23" s="54">
        <v>5</v>
      </c>
      <c r="AB23" s="54">
        <v>1</v>
      </c>
      <c r="AC23" s="54">
        <v>1</v>
      </c>
      <c r="AD23" s="54">
        <v>3</v>
      </c>
      <c r="AE23" s="54">
        <v>1</v>
      </c>
      <c r="AF23" s="54"/>
      <c r="AG23" s="5">
        <f t="shared" si="2"/>
        <v>47</v>
      </c>
    </row>
    <row r="24" spans="1:33" ht="15.75" customHeight="1" x14ac:dyDescent="0.25">
      <c r="A24" s="56" t="s">
        <v>23</v>
      </c>
      <c r="B24" s="54">
        <v>3</v>
      </c>
      <c r="C24" s="54">
        <v>1</v>
      </c>
      <c r="D24" s="54">
        <v>1</v>
      </c>
      <c r="E24" s="54">
        <v>2</v>
      </c>
      <c r="F24" s="54">
        <v>0</v>
      </c>
      <c r="G24" s="54">
        <v>1</v>
      </c>
      <c r="H24" s="54">
        <v>1</v>
      </c>
      <c r="I24" s="54">
        <v>0</v>
      </c>
      <c r="J24" s="54">
        <v>3</v>
      </c>
      <c r="K24" s="54">
        <v>2</v>
      </c>
      <c r="L24" s="54">
        <v>2</v>
      </c>
      <c r="M24" s="54">
        <v>0</v>
      </c>
      <c r="N24" s="54">
        <v>1</v>
      </c>
      <c r="O24" s="54">
        <v>1</v>
      </c>
      <c r="P24" s="54">
        <v>1</v>
      </c>
      <c r="Q24" s="54">
        <v>4</v>
      </c>
      <c r="R24" s="54">
        <v>2</v>
      </c>
      <c r="S24" s="54">
        <v>3</v>
      </c>
      <c r="T24" s="54">
        <v>2</v>
      </c>
      <c r="U24" s="54">
        <v>0</v>
      </c>
      <c r="V24" s="54">
        <v>1</v>
      </c>
      <c r="W24" s="54">
        <v>0</v>
      </c>
      <c r="X24" s="54">
        <v>0</v>
      </c>
      <c r="Y24" s="54">
        <v>0</v>
      </c>
      <c r="Z24" s="54">
        <v>3</v>
      </c>
      <c r="AA24" s="54">
        <v>1</v>
      </c>
      <c r="AB24" s="54">
        <v>2</v>
      </c>
      <c r="AC24" s="54">
        <v>3</v>
      </c>
      <c r="AD24" s="54">
        <v>0</v>
      </c>
      <c r="AE24" s="54">
        <v>1</v>
      </c>
      <c r="AF24" s="54"/>
      <c r="AG24" s="5">
        <f t="shared" si="2"/>
        <v>41</v>
      </c>
    </row>
    <row r="25" spans="1:33" ht="15.75" customHeight="1" x14ac:dyDescent="0.25">
      <c r="A25" s="56" t="s">
        <v>24</v>
      </c>
      <c r="B25" s="54">
        <v>2</v>
      </c>
      <c r="C25" s="54">
        <v>0</v>
      </c>
      <c r="D25" s="54">
        <v>1</v>
      </c>
      <c r="E25" s="54">
        <v>0</v>
      </c>
      <c r="F25" s="54">
        <v>0</v>
      </c>
      <c r="G25" s="54">
        <v>0</v>
      </c>
      <c r="H25" s="54">
        <v>1</v>
      </c>
      <c r="I25" s="54">
        <v>0</v>
      </c>
      <c r="J25" s="54">
        <v>2</v>
      </c>
      <c r="K25" s="54">
        <v>3</v>
      </c>
      <c r="L25" s="54">
        <v>1</v>
      </c>
      <c r="M25" s="54">
        <v>1</v>
      </c>
      <c r="N25" s="54">
        <v>0</v>
      </c>
      <c r="O25" s="54">
        <v>4</v>
      </c>
      <c r="P25" s="54">
        <v>3</v>
      </c>
      <c r="Q25" s="54">
        <v>0</v>
      </c>
      <c r="R25" s="54">
        <v>1</v>
      </c>
      <c r="S25" s="54">
        <v>0</v>
      </c>
      <c r="T25" s="54">
        <v>1</v>
      </c>
      <c r="U25" s="54">
        <v>0</v>
      </c>
      <c r="V25" s="54">
        <v>2</v>
      </c>
      <c r="W25" s="54">
        <v>1</v>
      </c>
      <c r="X25" s="54">
        <v>2</v>
      </c>
      <c r="Y25" s="54">
        <v>2</v>
      </c>
      <c r="Z25" s="54">
        <v>1</v>
      </c>
      <c r="AA25" s="54">
        <v>0</v>
      </c>
      <c r="AB25" s="54">
        <v>1</v>
      </c>
      <c r="AC25" s="54">
        <v>2</v>
      </c>
      <c r="AD25" s="54">
        <v>0</v>
      </c>
      <c r="AE25" s="54">
        <v>0</v>
      </c>
      <c r="AF25" s="54"/>
      <c r="AG25" s="5">
        <f t="shared" si="2"/>
        <v>31</v>
      </c>
    </row>
    <row r="26" spans="1:33" ht="15.75" customHeight="1" x14ac:dyDescent="0.25">
      <c r="A26" s="56" t="s">
        <v>25</v>
      </c>
      <c r="B26" s="54">
        <v>0</v>
      </c>
      <c r="C26" s="54">
        <v>1</v>
      </c>
      <c r="D26" s="54">
        <v>0</v>
      </c>
      <c r="E26" s="54">
        <v>4</v>
      </c>
      <c r="F26" s="54">
        <v>0</v>
      </c>
      <c r="G26" s="54">
        <v>0</v>
      </c>
      <c r="H26" s="54">
        <v>9</v>
      </c>
      <c r="I26" s="54">
        <v>0</v>
      </c>
      <c r="J26" s="54">
        <v>3</v>
      </c>
      <c r="K26" s="54">
        <v>3</v>
      </c>
      <c r="L26" s="54">
        <v>1</v>
      </c>
      <c r="M26" s="54">
        <v>2</v>
      </c>
      <c r="N26" s="54">
        <v>0</v>
      </c>
      <c r="O26" s="54">
        <v>3</v>
      </c>
      <c r="P26" s="54">
        <v>3</v>
      </c>
      <c r="Q26" s="54">
        <v>1</v>
      </c>
      <c r="R26" s="54">
        <v>1</v>
      </c>
      <c r="S26" s="54">
        <v>1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1</v>
      </c>
      <c r="Z26" s="54">
        <v>2</v>
      </c>
      <c r="AA26" s="54">
        <v>3</v>
      </c>
      <c r="AB26" s="54">
        <v>4</v>
      </c>
      <c r="AC26" s="54">
        <v>1</v>
      </c>
      <c r="AD26" s="54">
        <v>1</v>
      </c>
      <c r="AE26" s="54">
        <v>2</v>
      </c>
      <c r="AF26" s="54"/>
      <c r="AG26" s="5">
        <f t="shared" si="2"/>
        <v>46</v>
      </c>
    </row>
    <row r="27" spans="1:33" ht="15.75" customHeight="1" thickBot="1" x14ac:dyDescent="0.3">
      <c r="A27" s="57" t="s">
        <v>26</v>
      </c>
      <c r="B27" s="58">
        <v>2</v>
      </c>
      <c r="C27" s="58">
        <v>0</v>
      </c>
      <c r="D27" s="58">
        <v>4</v>
      </c>
      <c r="E27" s="58">
        <v>0</v>
      </c>
      <c r="F27" s="58">
        <v>0</v>
      </c>
      <c r="G27" s="58">
        <v>0</v>
      </c>
      <c r="H27" s="58">
        <v>0</v>
      </c>
      <c r="I27" s="58">
        <v>1</v>
      </c>
      <c r="J27" s="58">
        <v>2</v>
      </c>
      <c r="K27" s="58">
        <v>8</v>
      </c>
      <c r="L27" s="58">
        <v>0</v>
      </c>
      <c r="M27" s="58">
        <v>0</v>
      </c>
      <c r="N27" s="58">
        <v>0</v>
      </c>
      <c r="O27" s="58">
        <v>0</v>
      </c>
      <c r="P27" s="58">
        <v>0</v>
      </c>
      <c r="Q27" s="58">
        <v>3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3</v>
      </c>
      <c r="Y27" s="58">
        <v>8</v>
      </c>
      <c r="Z27" s="58">
        <v>0</v>
      </c>
      <c r="AA27" s="58">
        <v>0</v>
      </c>
      <c r="AB27" s="58">
        <v>0</v>
      </c>
      <c r="AC27" s="58">
        <v>0</v>
      </c>
      <c r="AD27" s="58">
        <v>0</v>
      </c>
      <c r="AE27" s="58">
        <v>2</v>
      </c>
      <c r="AF27" s="58"/>
      <c r="AG27" s="5">
        <f t="shared" si="2"/>
        <v>33</v>
      </c>
    </row>
    <row r="28" spans="1:33" ht="15.75" customHeight="1" x14ac:dyDescent="0.25">
      <c r="A28" s="59" t="s">
        <v>27</v>
      </c>
      <c r="B28" s="6">
        <f t="shared" ref="B28:AF28" si="3">SUM(B29:B52)</f>
        <v>194</v>
      </c>
      <c r="C28" s="6">
        <f t="shared" si="3"/>
        <v>209</v>
      </c>
      <c r="D28" s="6">
        <f t="shared" si="3"/>
        <v>220</v>
      </c>
      <c r="E28" s="6">
        <f t="shared" si="3"/>
        <v>120</v>
      </c>
      <c r="F28" s="6">
        <f t="shared" si="3"/>
        <v>145</v>
      </c>
      <c r="G28" s="6">
        <f t="shared" si="3"/>
        <v>113</v>
      </c>
      <c r="H28" s="6">
        <f t="shared" si="3"/>
        <v>117</v>
      </c>
      <c r="I28" s="6">
        <f t="shared" si="3"/>
        <v>128</v>
      </c>
      <c r="J28" s="6">
        <f t="shared" si="3"/>
        <v>229</v>
      </c>
      <c r="K28" s="6">
        <f t="shared" si="3"/>
        <v>199</v>
      </c>
      <c r="L28" s="6">
        <f t="shared" si="3"/>
        <v>133</v>
      </c>
      <c r="M28" s="6">
        <f t="shared" si="3"/>
        <v>144</v>
      </c>
      <c r="N28" s="6">
        <f t="shared" si="3"/>
        <v>123</v>
      </c>
      <c r="O28" s="6">
        <f t="shared" si="3"/>
        <v>113</v>
      </c>
      <c r="P28" s="6">
        <f t="shared" si="3"/>
        <v>122</v>
      </c>
      <c r="Q28" s="6">
        <f t="shared" si="3"/>
        <v>206</v>
      </c>
      <c r="R28" s="6">
        <f t="shared" si="3"/>
        <v>182</v>
      </c>
      <c r="S28" s="6">
        <f t="shared" si="3"/>
        <v>147</v>
      </c>
      <c r="T28" s="6">
        <f t="shared" si="3"/>
        <v>150</v>
      </c>
      <c r="U28" s="6">
        <f t="shared" si="3"/>
        <v>125</v>
      </c>
      <c r="V28" s="6">
        <f t="shared" si="3"/>
        <v>139</v>
      </c>
      <c r="W28" s="6">
        <f t="shared" si="3"/>
        <v>124</v>
      </c>
      <c r="X28" s="6">
        <f t="shared" si="3"/>
        <v>169</v>
      </c>
      <c r="Y28" s="6">
        <f t="shared" si="3"/>
        <v>181</v>
      </c>
      <c r="Z28" s="6">
        <f t="shared" si="3"/>
        <v>129</v>
      </c>
      <c r="AA28" s="6">
        <f t="shared" si="3"/>
        <v>145</v>
      </c>
      <c r="AB28" s="6">
        <f t="shared" si="3"/>
        <v>122</v>
      </c>
      <c r="AC28" s="6">
        <f t="shared" si="3"/>
        <v>102</v>
      </c>
      <c r="AD28" s="6">
        <f t="shared" si="3"/>
        <v>122</v>
      </c>
      <c r="AE28" s="6">
        <f t="shared" si="3"/>
        <v>191</v>
      </c>
      <c r="AF28" s="6">
        <f t="shared" si="3"/>
        <v>0</v>
      </c>
      <c r="AG28" s="7">
        <f t="shared" si="2"/>
        <v>4543</v>
      </c>
    </row>
    <row r="29" spans="1:33" ht="15.75" customHeight="1" x14ac:dyDescent="0.25">
      <c r="A29" s="53" t="s">
        <v>3</v>
      </c>
      <c r="B29" s="54">
        <v>8</v>
      </c>
      <c r="C29" s="55">
        <v>6</v>
      </c>
      <c r="D29" s="55">
        <v>7</v>
      </c>
      <c r="E29" s="55">
        <v>0</v>
      </c>
      <c r="F29" s="55">
        <v>0</v>
      </c>
      <c r="G29" s="55">
        <v>0</v>
      </c>
      <c r="H29" s="55">
        <v>0</v>
      </c>
      <c r="I29" s="55">
        <v>0</v>
      </c>
      <c r="J29" s="55">
        <v>1</v>
      </c>
      <c r="K29" s="55">
        <v>3</v>
      </c>
      <c r="L29" s="55">
        <v>0</v>
      </c>
      <c r="M29" s="55">
        <v>0</v>
      </c>
      <c r="N29" s="55">
        <v>0</v>
      </c>
      <c r="O29" s="55">
        <v>0</v>
      </c>
      <c r="P29" s="55">
        <v>0</v>
      </c>
      <c r="Q29" s="55">
        <v>6</v>
      </c>
      <c r="R29" s="55">
        <v>0</v>
      </c>
      <c r="S29" s="55">
        <v>0</v>
      </c>
      <c r="T29" s="55">
        <v>0</v>
      </c>
      <c r="U29" s="55">
        <v>0</v>
      </c>
      <c r="V29" s="55">
        <v>0</v>
      </c>
      <c r="W29" s="55">
        <v>0</v>
      </c>
      <c r="X29" s="55">
        <v>4</v>
      </c>
      <c r="Y29" s="55">
        <v>1</v>
      </c>
      <c r="Z29" s="55">
        <v>0</v>
      </c>
      <c r="AA29" s="55">
        <v>0</v>
      </c>
      <c r="AB29" s="55">
        <v>0</v>
      </c>
      <c r="AC29" s="55">
        <v>0</v>
      </c>
      <c r="AD29" s="54">
        <v>0</v>
      </c>
      <c r="AE29" s="54">
        <v>13</v>
      </c>
      <c r="AF29" s="54"/>
      <c r="AG29" s="5">
        <f t="shared" si="2"/>
        <v>49</v>
      </c>
    </row>
    <row r="30" spans="1:33" ht="15.75" customHeight="1" x14ac:dyDescent="0.25">
      <c r="A30" s="56" t="s">
        <v>4</v>
      </c>
      <c r="B30" s="54">
        <v>10</v>
      </c>
      <c r="C30" s="54">
        <v>7</v>
      </c>
      <c r="D30" s="54">
        <v>9</v>
      </c>
      <c r="E30" s="54">
        <v>0</v>
      </c>
      <c r="F30" s="54">
        <v>0</v>
      </c>
      <c r="G30" s="54">
        <v>0</v>
      </c>
      <c r="H30" s="54">
        <v>0</v>
      </c>
      <c r="I30" s="54">
        <v>0</v>
      </c>
      <c r="J30" s="54">
        <v>8</v>
      </c>
      <c r="K30" s="54">
        <v>6</v>
      </c>
      <c r="L30" s="54">
        <v>0</v>
      </c>
      <c r="M30" s="54">
        <v>0</v>
      </c>
      <c r="N30" s="54">
        <v>0</v>
      </c>
      <c r="O30" s="54">
        <v>0</v>
      </c>
      <c r="P30" s="54">
        <v>0</v>
      </c>
      <c r="Q30" s="54">
        <v>11</v>
      </c>
      <c r="R30" s="54">
        <v>3</v>
      </c>
      <c r="S30" s="54">
        <v>0</v>
      </c>
      <c r="T30" s="54">
        <v>0</v>
      </c>
      <c r="U30" s="54">
        <v>0</v>
      </c>
      <c r="V30" s="54">
        <v>0</v>
      </c>
      <c r="W30" s="54">
        <v>0</v>
      </c>
      <c r="X30" s="54">
        <v>9</v>
      </c>
      <c r="Y30" s="54">
        <v>8</v>
      </c>
      <c r="Z30" s="54">
        <v>0</v>
      </c>
      <c r="AA30" s="54">
        <v>0</v>
      </c>
      <c r="AB30" s="54">
        <v>0</v>
      </c>
      <c r="AC30" s="54">
        <v>0</v>
      </c>
      <c r="AD30" s="54">
        <v>0</v>
      </c>
      <c r="AE30" s="54">
        <v>2</v>
      </c>
      <c r="AF30" s="54"/>
      <c r="AG30" s="5">
        <f t="shared" si="2"/>
        <v>73</v>
      </c>
    </row>
    <row r="31" spans="1:33" ht="15.75" customHeight="1" x14ac:dyDescent="0.25">
      <c r="A31" s="56" t="s">
        <v>5</v>
      </c>
      <c r="B31" s="54">
        <v>11</v>
      </c>
      <c r="C31" s="54">
        <v>18</v>
      </c>
      <c r="D31" s="54">
        <v>11</v>
      </c>
      <c r="E31" s="54">
        <v>0</v>
      </c>
      <c r="F31" s="54">
        <v>0</v>
      </c>
      <c r="G31" s="54">
        <v>0</v>
      </c>
      <c r="H31" s="54">
        <v>0</v>
      </c>
      <c r="I31" s="54">
        <v>0</v>
      </c>
      <c r="J31" s="54">
        <v>20</v>
      </c>
      <c r="K31" s="54">
        <v>8</v>
      </c>
      <c r="L31" s="54">
        <v>0</v>
      </c>
      <c r="M31" s="54">
        <v>0</v>
      </c>
      <c r="N31" s="54">
        <v>0</v>
      </c>
      <c r="O31" s="54">
        <v>0</v>
      </c>
      <c r="P31" s="54">
        <v>0</v>
      </c>
      <c r="Q31" s="54">
        <v>8</v>
      </c>
      <c r="R31" s="54">
        <v>17</v>
      </c>
      <c r="S31" s="54">
        <v>0</v>
      </c>
      <c r="T31" s="54">
        <v>0</v>
      </c>
      <c r="U31" s="54">
        <v>0</v>
      </c>
      <c r="V31" s="54">
        <v>0</v>
      </c>
      <c r="W31" s="54">
        <v>0</v>
      </c>
      <c r="X31" s="54">
        <v>5</v>
      </c>
      <c r="Y31" s="54">
        <v>8</v>
      </c>
      <c r="Z31" s="54">
        <v>0</v>
      </c>
      <c r="AA31" s="54">
        <v>0</v>
      </c>
      <c r="AB31" s="54">
        <v>0</v>
      </c>
      <c r="AC31" s="54">
        <v>0</v>
      </c>
      <c r="AD31" s="54">
        <v>0</v>
      </c>
      <c r="AE31" s="54">
        <v>8</v>
      </c>
      <c r="AF31" s="54"/>
      <c r="AG31" s="5">
        <f t="shared" si="2"/>
        <v>114</v>
      </c>
    </row>
    <row r="32" spans="1:33" ht="15.75" customHeight="1" x14ac:dyDescent="0.25">
      <c r="A32" s="56" t="s">
        <v>6</v>
      </c>
      <c r="B32" s="54">
        <v>16</v>
      </c>
      <c r="C32" s="54">
        <v>14</v>
      </c>
      <c r="D32" s="54">
        <v>15</v>
      </c>
      <c r="E32" s="54">
        <v>0</v>
      </c>
      <c r="F32" s="54">
        <v>0</v>
      </c>
      <c r="G32" s="54">
        <v>0</v>
      </c>
      <c r="H32" s="54">
        <v>0</v>
      </c>
      <c r="I32" s="54">
        <v>0</v>
      </c>
      <c r="J32" s="54">
        <v>18</v>
      </c>
      <c r="K32" s="54">
        <v>19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16</v>
      </c>
      <c r="R32" s="54">
        <v>13</v>
      </c>
      <c r="S32" s="54">
        <v>0</v>
      </c>
      <c r="T32" s="54">
        <v>0</v>
      </c>
      <c r="U32" s="54">
        <v>0</v>
      </c>
      <c r="V32" s="54">
        <v>0</v>
      </c>
      <c r="W32" s="54">
        <v>0</v>
      </c>
      <c r="X32" s="54">
        <v>12</v>
      </c>
      <c r="Y32" s="54">
        <v>8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8</v>
      </c>
      <c r="AF32" s="54"/>
      <c r="AG32" s="5">
        <f t="shared" si="2"/>
        <v>139</v>
      </c>
    </row>
    <row r="33" spans="1:33" ht="15.75" customHeight="1" x14ac:dyDescent="0.25">
      <c r="A33" s="56" t="s">
        <v>7</v>
      </c>
      <c r="B33" s="54">
        <v>10</v>
      </c>
      <c r="C33" s="54">
        <v>18</v>
      </c>
      <c r="D33" s="54">
        <v>17</v>
      </c>
      <c r="E33" s="54">
        <v>0</v>
      </c>
      <c r="F33" s="54">
        <v>0</v>
      </c>
      <c r="G33" s="54">
        <v>0</v>
      </c>
      <c r="H33" s="54">
        <v>0</v>
      </c>
      <c r="I33" s="54">
        <v>0</v>
      </c>
      <c r="J33" s="54">
        <v>10</v>
      </c>
      <c r="K33" s="54">
        <v>10</v>
      </c>
      <c r="L33" s="54">
        <v>0</v>
      </c>
      <c r="M33" s="54">
        <v>0</v>
      </c>
      <c r="N33" s="54">
        <v>0</v>
      </c>
      <c r="O33" s="54">
        <v>0</v>
      </c>
      <c r="P33" s="54">
        <v>0</v>
      </c>
      <c r="Q33" s="54">
        <v>14</v>
      </c>
      <c r="R33" s="54">
        <v>16</v>
      </c>
      <c r="S33" s="54">
        <v>0</v>
      </c>
      <c r="T33" s="54">
        <v>0</v>
      </c>
      <c r="U33" s="54">
        <v>0</v>
      </c>
      <c r="V33" s="54">
        <v>0</v>
      </c>
      <c r="W33" s="54">
        <v>0</v>
      </c>
      <c r="X33" s="54">
        <v>8</v>
      </c>
      <c r="Y33" s="54">
        <v>8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13</v>
      </c>
      <c r="AF33" s="54"/>
      <c r="AG33" s="5">
        <f t="shared" si="2"/>
        <v>124</v>
      </c>
    </row>
    <row r="34" spans="1:33" ht="15.75" customHeight="1" x14ac:dyDescent="0.25">
      <c r="A34" s="56" t="s">
        <v>8</v>
      </c>
      <c r="B34" s="54">
        <v>10</v>
      </c>
      <c r="C34" s="54">
        <v>8</v>
      </c>
      <c r="D34" s="54">
        <v>13</v>
      </c>
      <c r="E34" s="54">
        <v>0</v>
      </c>
      <c r="F34" s="54">
        <v>0</v>
      </c>
      <c r="G34" s="54">
        <v>0</v>
      </c>
      <c r="H34" s="54">
        <v>0</v>
      </c>
      <c r="I34" s="54">
        <v>0</v>
      </c>
      <c r="J34" s="54">
        <v>17</v>
      </c>
      <c r="K34" s="54">
        <v>7</v>
      </c>
      <c r="L34" s="54">
        <v>0</v>
      </c>
      <c r="M34" s="54">
        <v>0</v>
      </c>
      <c r="N34" s="54">
        <v>0</v>
      </c>
      <c r="O34" s="54">
        <v>0</v>
      </c>
      <c r="P34" s="54">
        <v>0</v>
      </c>
      <c r="Q34" s="54">
        <v>11</v>
      </c>
      <c r="R34" s="54">
        <v>13</v>
      </c>
      <c r="S34" s="54">
        <v>0</v>
      </c>
      <c r="T34" s="54">
        <v>0</v>
      </c>
      <c r="U34" s="54">
        <v>0</v>
      </c>
      <c r="V34" s="54">
        <v>0</v>
      </c>
      <c r="W34" s="54">
        <v>0</v>
      </c>
      <c r="X34" s="54">
        <v>4</v>
      </c>
      <c r="Y34" s="54">
        <v>10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7</v>
      </c>
      <c r="AF34" s="54"/>
      <c r="AG34" s="5">
        <f t="shared" si="2"/>
        <v>100</v>
      </c>
    </row>
    <row r="35" spans="1:33" ht="15.75" customHeight="1" x14ac:dyDescent="0.25">
      <c r="A35" s="56" t="s">
        <v>9</v>
      </c>
      <c r="B35" s="54">
        <v>8</v>
      </c>
      <c r="C35" s="54">
        <v>9</v>
      </c>
      <c r="D35" s="54">
        <v>10</v>
      </c>
      <c r="E35" s="54">
        <v>0</v>
      </c>
      <c r="F35" s="54">
        <v>0</v>
      </c>
      <c r="G35" s="54">
        <v>0</v>
      </c>
      <c r="H35" s="54">
        <v>0</v>
      </c>
      <c r="I35" s="54">
        <v>0</v>
      </c>
      <c r="J35" s="54">
        <v>8</v>
      </c>
      <c r="K35" s="54">
        <v>7</v>
      </c>
      <c r="L35" s="54">
        <v>0</v>
      </c>
      <c r="M35" s="54">
        <v>0</v>
      </c>
      <c r="N35" s="54">
        <v>0</v>
      </c>
      <c r="O35" s="54">
        <v>0</v>
      </c>
      <c r="P35" s="54">
        <v>0</v>
      </c>
      <c r="Q35" s="54">
        <v>14</v>
      </c>
      <c r="R35" s="54">
        <v>7</v>
      </c>
      <c r="S35" s="54">
        <v>0</v>
      </c>
      <c r="T35" s="54">
        <v>0</v>
      </c>
      <c r="U35" s="54">
        <v>0</v>
      </c>
      <c r="V35" s="54">
        <v>0</v>
      </c>
      <c r="W35" s="54">
        <v>0</v>
      </c>
      <c r="X35" s="54">
        <v>12</v>
      </c>
      <c r="Y35" s="54">
        <v>7</v>
      </c>
      <c r="Z35" s="54">
        <v>0</v>
      </c>
      <c r="AA35" s="54">
        <v>0</v>
      </c>
      <c r="AB35" s="54">
        <v>0</v>
      </c>
      <c r="AC35" s="54">
        <v>0</v>
      </c>
      <c r="AD35" s="54">
        <v>0</v>
      </c>
      <c r="AE35" s="54">
        <v>4</v>
      </c>
      <c r="AF35" s="54"/>
      <c r="AG35" s="5">
        <f t="shared" si="2"/>
        <v>86</v>
      </c>
    </row>
    <row r="36" spans="1:33" ht="15.75" customHeight="1" x14ac:dyDescent="0.25">
      <c r="A36" s="56" t="s">
        <v>10</v>
      </c>
      <c r="B36" s="54">
        <v>11</v>
      </c>
      <c r="C36" s="54">
        <v>8</v>
      </c>
      <c r="D36" s="54">
        <v>11</v>
      </c>
      <c r="E36" s="54">
        <v>0</v>
      </c>
      <c r="F36" s="54">
        <v>0</v>
      </c>
      <c r="G36" s="54">
        <v>0</v>
      </c>
      <c r="H36" s="54">
        <v>0</v>
      </c>
      <c r="I36" s="54">
        <v>0</v>
      </c>
      <c r="J36" s="54">
        <v>15</v>
      </c>
      <c r="K36" s="54">
        <v>7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1</v>
      </c>
      <c r="R36" s="54">
        <v>18</v>
      </c>
      <c r="S36" s="54">
        <v>0</v>
      </c>
      <c r="T36" s="54">
        <v>0</v>
      </c>
      <c r="U36" s="54">
        <v>0</v>
      </c>
      <c r="V36" s="54">
        <v>0</v>
      </c>
      <c r="W36" s="54">
        <v>0</v>
      </c>
      <c r="X36" s="54">
        <v>12</v>
      </c>
      <c r="Y36" s="54">
        <v>8</v>
      </c>
      <c r="Z36" s="54">
        <v>0</v>
      </c>
      <c r="AA36" s="54">
        <v>0</v>
      </c>
      <c r="AB36" s="54">
        <v>0</v>
      </c>
      <c r="AC36" s="54">
        <v>0</v>
      </c>
      <c r="AD36" s="54">
        <v>0</v>
      </c>
      <c r="AE36" s="54">
        <v>8</v>
      </c>
      <c r="AF36" s="54"/>
      <c r="AG36" s="5">
        <f t="shared" si="2"/>
        <v>99</v>
      </c>
    </row>
    <row r="37" spans="1:33" ht="15.75" customHeight="1" x14ac:dyDescent="0.25">
      <c r="A37" s="56" t="s">
        <v>11</v>
      </c>
      <c r="B37" s="54">
        <v>14</v>
      </c>
      <c r="C37" s="54">
        <v>18</v>
      </c>
      <c r="D37" s="54">
        <v>15</v>
      </c>
      <c r="E37" s="54">
        <v>0</v>
      </c>
      <c r="F37" s="54">
        <v>0</v>
      </c>
      <c r="G37" s="54">
        <v>0</v>
      </c>
      <c r="H37" s="54">
        <v>0</v>
      </c>
      <c r="I37" s="54">
        <v>5</v>
      </c>
      <c r="J37" s="54">
        <v>26</v>
      </c>
      <c r="K37" s="54">
        <v>12</v>
      </c>
      <c r="L37" s="54">
        <v>0</v>
      </c>
      <c r="M37" s="54">
        <v>0</v>
      </c>
      <c r="N37" s="54">
        <v>0</v>
      </c>
      <c r="O37" s="54">
        <v>0</v>
      </c>
      <c r="P37" s="54">
        <v>7</v>
      </c>
      <c r="Q37" s="54">
        <v>17</v>
      </c>
      <c r="R37" s="54">
        <v>15</v>
      </c>
      <c r="S37" s="54">
        <v>0</v>
      </c>
      <c r="T37" s="54">
        <v>0</v>
      </c>
      <c r="U37" s="54">
        <v>0</v>
      </c>
      <c r="V37" s="54">
        <v>0</v>
      </c>
      <c r="W37" s="54">
        <v>6</v>
      </c>
      <c r="X37" s="54">
        <v>8</v>
      </c>
      <c r="Y37" s="54">
        <v>6</v>
      </c>
      <c r="Z37" s="54">
        <v>0</v>
      </c>
      <c r="AA37" s="54">
        <v>0</v>
      </c>
      <c r="AB37" s="54">
        <v>0</v>
      </c>
      <c r="AC37" s="54">
        <v>0</v>
      </c>
      <c r="AD37" s="54">
        <v>6</v>
      </c>
      <c r="AE37" s="54">
        <v>11</v>
      </c>
      <c r="AF37" s="54"/>
      <c r="AG37" s="5">
        <f t="shared" si="2"/>
        <v>166</v>
      </c>
    </row>
    <row r="38" spans="1:33" ht="15.75" customHeight="1" x14ac:dyDescent="0.25">
      <c r="A38" s="56" t="s">
        <v>12</v>
      </c>
      <c r="B38" s="54">
        <v>14</v>
      </c>
      <c r="C38" s="54">
        <v>6</v>
      </c>
      <c r="D38" s="54">
        <v>13</v>
      </c>
      <c r="E38" s="54">
        <v>5</v>
      </c>
      <c r="F38" s="54">
        <v>5</v>
      </c>
      <c r="G38" s="54">
        <v>3</v>
      </c>
      <c r="H38" s="54">
        <v>2</v>
      </c>
      <c r="I38" s="54">
        <v>11</v>
      </c>
      <c r="J38" s="54">
        <v>23</v>
      </c>
      <c r="K38" s="54">
        <v>16</v>
      </c>
      <c r="L38" s="54">
        <v>11</v>
      </c>
      <c r="M38" s="54">
        <v>9</v>
      </c>
      <c r="N38" s="54">
        <v>7</v>
      </c>
      <c r="O38" s="54">
        <v>4</v>
      </c>
      <c r="P38" s="54">
        <v>10</v>
      </c>
      <c r="Q38" s="54">
        <v>13</v>
      </c>
      <c r="R38" s="54">
        <v>18</v>
      </c>
      <c r="S38" s="54">
        <v>8</v>
      </c>
      <c r="T38" s="54">
        <v>8</v>
      </c>
      <c r="U38" s="54">
        <v>9</v>
      </c>
      <c r="V38" s="54">
        <v>9</v>
      </c>
      <c r="W38" s="54">
        <v>15</v>
      </c>
      <c r="X38" s="54">
        <v>10</v>
      </c>
      <c r="Y38" s="54">
        <v>11</v>
      </c>
      <c r="Z38" s="54">
        <v>8</v>
      </c>
      <c r="AA38" s="54">
        <v>8</v>
      </c>
      <c r="AB38" s="54">
        <v>4</v>
      </c>
      <c r="AC38" s="54">
        <v>3</v>
      </c>
      <c r="AD38" s="54">
        <v>15</v>
      </c>
      <c r="AE38" s="54">
        <v>17</v>
      </c>
      <c r="AF38" s="54"/>
      <c r="AG38" s="5">
        <f t="shared" si="2"/>
        <v>295</v>
      </c>
    </row>
    <row r="39" spans="1:33" ht="15.75" customHeight="1" x14ac:dyDescent="0.25">
      <c r="A39" s="56" t="s">
        <v>13</v>
      </c>
      <c r="B39" s="54">
        <v>13</v>
      </c>
      <c r="C39" s="54">
        <v>14</v>
      </c>
      <c r="D39" s="54">
        <v>15</v>
      </c>
      <c r="E39" s="54">
        <v>17</v>
      </c>
      <c r="F39" s="54">
        <v>25</v>
      </c>
      <c r="G39" s="54">
        <v>9</v>
      </c>
      <c r="H39" s="54">
        <v>13</v>
      </c>
      <c r="I39" s="54">
        <v>10</v>
      </c>
      <c r="J39" s="54">
        <v>13</v>
      </c>
      <c r="K39" s="54">
        <v>11</v>
      </c>
      <c r="L39" s="54">
        <v>15</v>
      </c>
      <c r="M39" s="54">
        <v>21</v>
      </c>
      <c r="N39" s="54">
        <v>17</v>
      </c>
      <c r="O39" s="54">
        <v>7</v>
      </c>
      <c r="P39" s="54">
        <v>13</v>
      </c>
      <c r="Q39" s="54">
        <v>15</v>
      </c>
      <c r="R39" s="54">
        <v>12</v>
      </c>
      <c r="S39" s="54">
        <v>25</v>
      </c>
      <c r="T39" s="54">
        <v>20</v>
      </c>
      <c r="U39" s="54">
        <v>13</v>
      </c>
      <c r="V39" s="54">
        <v>11</v>
      </c>
      <c r="W39" s="54">
        <v>17</v>
      </c>
      <c r="X39" s="54">
        <v>12</v>
      </c>
      <c r="Y39" s="54">
        <v>16</v>
      </c>
      <c r="Z39" s="54">
        <v>14</v>
      </c>
      <c r="AA39" s="54">
        <v>21</v>
      </c>
      <c r="AB39" s="54">
        <v>7</v>
      </c>
      <c r="AC39" s="54">
        <v>15</v>
      </c>
      <c r="AD39" s="54">
        <v>17</v>
      </c>
      <c r="AE39" s="54">
        <v>9</v>
      </c>
      <c r="AF39" s="54"/>
      <c r="AG39" s="5">
        <f t="shared" si="2"/>
        <v>437</v>
      </c>
    </row>
    <row r="40" spans="1:33" ht="15.75" customHeight="1" x14ac:dyDescent="0.25">
      <c r="A40" s="56" t="s">
        <v>14</v>
      </c>
      <c r="B40" s="54">
        <v>13</v>
      </c>
      <c r="C40" s="54">
        <v>15</v>
      </c>
      <c r="D40" s="54">
        <v>23</v>
      </c>
      <c r="E40" s="54">
        <v>13</v>
      </c>
      <c r="F40" s="54">
        <v>19</v>
      </c>
      <c r="G40" s="54">
        <v>17</v>
      </c>
      <c r="H40" s="54">
        <v>16</v>
      </c>
      <c r="I40" s="54">
        <v>14</v>
      </c>
      <c r="J40" s="54">
        <v>15</v>
      </c>
      <c r="K40" s="54">
        <v>10</v>
      </c>
      <c r="L40" s="54">
        <v>11</v>
      </c>
      <c r="M40" s="54">
        <v>25</v>
      </c>
      <c r="N40" s="54">
        <v>18</v>
      </c>
      <c r="O40" s="54">
        <v>11</v>
      </c>
      <c r="P40" s="54">
        <v>20</v>
      </c>
      <c r="Q40" s="54">
        <v>10</v>
      </c>
      <c r="R40" s="54">
        <v>11</v>
      </c>
      <c r="S40" s="54">
        <v>15</v>
      </c>
      <c r="T40" s="54">
        <v>20</v>
      </c>
      <c r="U40" s="54">
        <v>12</v>
      </c>
      <c r="V40" s="54">
        <v>24</v>
      </c>
      <c r="W40" s="54">
        <v>26</v>
      </c>
      <c r="X40" s="54">
        <v>13</v>
      </c>
      <c r="Y40" s="54">
        <v>12</v>
      </c>
      <c r="Z40" s="54">
        <v>15</v>
      </c>
      <c r="AA40" s="54">
        <v>18</v>
      </c>
      <c r="AB40" s="54">
        <v>16</v>
      </c>
      <c r="AC40" s="54">
        <v>16</v>
      </c>
      <c r="AD40" s="54">
        <v>15</v>
      </c>
      <c r="AE40" s="54">
        <v>11</v>
      </c>
      <c r="AF40" s="54"/>
      <c r="AG40" s="5">
        <f t="shared" si="2"/>
        <v>474</v>
      </c>
    </row>
    <row r="41" spans="1:33" ht="15.75" customHeight="1" x14ac:dyDescent="0.25">
      <c r="A41" s="56" t="s">
        <v>15</v>
      </c>
      <c r="B41" s="54">
        <v>17</v>
      </c>
      <c r="C41" s="54">
        <v>12</v>
      </c>
      <c r="D41" s="54">
        <v>16</v>
      </c>
      <c r="E41" s="54">
        <v>18</v>
      </c>
      <c r="F41" s="54">
        <v>23</v>
      </c>
      <c r="G41" s="54">
        <v>17</v>
      </c>
      <c r="H41" s="54">
        <v>11</v>
      </c>
      <c r="I41" s="54">
        <v>17</v>
      </c>
      <c r="J41" s="54">
        <v>12</v>
      </c>
      <c r="K41" s="54">
        <v>11</v>
      </c>
      <c r="L41" s="54">
        <v>19</v>
      </c>
      <c r="M41" s="54">
        <v>19</v>
      </c>
      <c r="N41" s="54">
        <v>14</v>
      </c>
      <c r="O41" s="54">
        <v>12</v>
      </c>
      <c r="P41" s="54">
        <v>16</v>
      </c>
      <c r="Q41" s="54">
        <v>9</v>
      </c>
      <c r="R41" s="54">
        <v>0</v>
      </c>
      <c r="S41" s="54">
        <v>17</v>
      </c>
      <c r="T41" s="54">
        <v>20</v>
      </c>
      <c r="U41" s="54">
        <v>17</v>
      </c>
      <c r="V41" s="54">
        <v>22</v>
      </c>
      <c r="W41" s="54">
        <v>22</v>
      </c>
      <c r="X41" s="54">
        <v>9</v>
      </c>
      <c r="Y41" s="54">
        <v>18</v>
      </c>
      <c r="Z41" s="54">
        <v>16</v>
      </c>
      <c r="AA41" s="54">
        <v>23</v>
      </c>
      <c r="AB41" s="54">
        <v>15</v>
      </c>
      <c r="AC41" s="54">
        <v>11</v>
      </c>
      <c r="AD41" s="54">
        <v>17</v>
      </c>
      <c r="AE41" s="54">
        <v>7</v>
      </c>
      <c r="AF41" s="54"/>
      <c r="AG41" s="5">
        <f t="shared" si="2"/>
        <v>457</v>
      </c>
    </row>
    <row r="42" spans="1:33" ht="15.75" customHeight="1" x14ac:dyDescent="0.25">
      <c r="A42" s="56" t="s">
        <v>16</v>
      </c>
      <c r="B42" s="54">
        <v>12</v>
      </c>
      <c r="C42" s="54">
        <v>9</v>
      </c>
      <c r="D42" s="54">
        <v>9</v>
      </c>
      <c r="E42" s="54">
        <v>11</v>
      </c>
      <c r="F42" s="54">
        <v>12</v>
      </c>
      <c r="G42" s="54">
        <v>18</v>
      </c>
      <c r="H42" s="54">
        <v>12</v>
      </c>
      <c r="I42" s="54">
        <v>12</v>
      </c>
      <c r="J42" s="54">
        <v>8</v>
      </c>
      <c r="K42" s="54">
        <v>13</v>
      </c>
      <c r="L42" s="54">
        <v>14</v>
      </c>
      <c r="M42" s="54">
        <v>20</v>
      </c>
      <c r="N42" s="54">
        <v>17</v>
      </c>
      <c r="O42" s="54">
        <v>17</v>
      </c>
      <c r="P42" s="54">
        <v>15</v>
      </c>
      <c r="Q42" s="54">
        <v>10</v>
      </c>
      <c r="R42" s="54">
        <v>0</v>
      </c>
      <c r="S42" s="54">
        <v>20</v>
      </c>
      <c r="T42" s="54">
        <v>20</v>
      </c>
      <c r="U42" s="54">
        <v>15</v>
      </c>
      <c r="V42" s="54">
        <v>21</v>
      </c>
      <c r="W42" s="54">
        <v>10</v>
      </c>
      <c r="X42" s="54">
        <v>11</v>
      </c>
      <c r="Y42" s="54">
        <v>16</v>
      </c>
      <c r="Z42" s="54">
        <v>13</v>
      </c>
      <c r="AA42" s="54">
        <v>13</v>
      </c>
      <c r="AB42" s="54">
        <v>14</v>
      </c>
      <c r="AC42" s="54">
        <v>7</v>
      </c>
      <c r="AD42" s="54">
        <v>10</v>
      </c>
      <c r="AE42" s="54">
        <v>11</v>
      </c>
      <c r="AF42" s="54"/>
      <c r="AG42" s="5">
        <f t="shared" si="2"/>
        <v>390</v>
      </c>
    </row>
    <row r="43" spans="1:33" ht="15.75" customHeight="1" x14ac:dyDescent="0.25">
      <c r="A43" s="56" t="s">
        <v>17</v>
      </c>
      <c r="B43" s="54">
        <v>4</v>
      </c>
      <c r="C43" s="54">
        <v>9</v>
      </c>
      <c r="D43" s="54">
        <v>7</v>
      </c>
      <c r="E43" s="54">
        <v>13</v>
      </c>
      <c r="F43" s="54">
        <v>22</v>
      </c>
      <c r="G43" s="54">
        <v>11</v>
      </c>
      <c r="H43" s="54">
        <v>13</v>
      </c>
      <c r="I43" s="54">
        <v>10</v>
      </c>
      <c r="J43" s="54">
        <v>5</v>
      </c>
      <c r="K43" s="54">
        <v>12</v>
      </c>
      <c r="L43" s="54">
        <v>11</v>
      </c>
      <c r="M43" s="54">
        <v>16</v>
      </c>
      <c r="N43" s="54">
        <v>14</v>
      </c>
      <c r="O43" s="54">
        <v>14</v>
      </c>
      <c r="P43" s="54">
        <v>19</v>
      </c>
      <c r="Q43" s="54">
        <v>14</v>
      </c>
      <c r="R43" s="54">
        <v>8</v>
      </c>
      <c r="S43" s="54">
        <v>11</v>
      </c>
      <c r="T43" s="54">
        <v>20</v>
      </c>
      <c r="U43" s="54">
        <v>17</v>
      </c>
      <c r="V43" s="54">
        <v>11</v>
      </c>
      <c r="W43" s="54">
        <v>6</v>
      </c>
      <c r="X43" s="54">
        <v>5</v>
      </c>
      <c r="Y43" s="54">
        <v>10</v>
      </c>
      <c r="Z43" s="54">
        <v>11</v>
      </c>
      <c r="AA43" s="54">
        <v>14</v>
      </c>
      <c r="AB43" s="54">
        <v>16</v>
      </c>
      <c r="AC43" s="54">
        <v>9</v>
      </c>
      <c r="AD43" s="54">
        <v>10</v>
      </c>
      <c r="AE43" s="54">
        <v>8</v>
      </c>
      <c r="AF43" s="54"/>
      <c r="AG43" s="5">
        <f t="shared" si="2"/>
        <v>350</v>
      </c>
    </row>
    <row r="44" spans="1:33" ht="15.75" customHeight="1" x14ac:dyDescent="0.25">
      <c r="A44" s="56" t="s">
        <v>18</v>
      </c>
      <c r="B44" s="54">
        <v>7</v>
      </c>
      <c r="C44" s="54">
        <v>7</v>
      </c>
      <c r="D44" s="54">
        <v>6</v>
      </c>
      <c r="E44" s="54">
        <v>6</v>
      </c>
      <c r="F44" s="54">
        <v>8</v>
      </c>
      <c r="G44" s="54">
        <v>7</v>
      </c>
      <c r="H44" s="54">
        <v>6</v>
      </c>
      <c r="I44" s="54">
        <v>10</v>
      </c>
      <c r="J44" s="54">
        <v>9</v>
      </c>
      <c r="K44" s="54">
        <v>7</v>
      </c>
      <c r="L44" s="54">
        <v>13</v>
      </c>
      <c r="M44" s="54">
        <v>11</v>
      </c>
      <c r="N44" s="54">
        <v>7</v>
      </c>
      <c r="O44" s="54">
        <v>6</v>
      </c>
      <c r="P44" s="54">
        <v>4</v>
      </c>
      <c r="Q44" s="54">
        <v>5</v>
      </c>
      <c r="R44" s="54">
        <v>13</v>
      </c>
      <c r="S44" s="54">
        <v>11</v>
      </c>
      <c r="T44" s="54">
        <v>14</v>
      </c>
      <c r="U44" s="54">
        <v>9</v>
      </c>
      <c r="V44" s="54">
        <v>8</v>
      </c>
      <c r="W44" s="54">
        <v>4</v>
      </c>
      <c r="X44" s="54">
        <v>9</v>
      </c>
      <c r="Y44" s="54">
        <v>14</v>
      </c>
      <c r="Z44" s="54">
        <v>8</v>
      </c>
      <c r="AA44" s="54">
        <v>11</v>
      </c>
      <c r="AB44" s="54">
        <v>14</v>
      </c>
      <c r="AC44" s="54">
        <v>6</v>
      </c>
      <c r="AD44" s="54">
        <v>7</v>
      </c>
      <c r="AE44" s="54">
        <v>4</v>
      </c>
      <c r="AF44" s="54"/>
      <c r="AG44" s="5">
        <f t="shared" si="2"/>
        <v>251</v>
      </c>
    </row>
    <row r="45" spans="1:33" ht="15.75" customHeight="1" x14ac:dyDescent="0.25">
      <c r="A45" s="56" t="s">
        <v>19</v>
      </c>
      <c r="B45" s="54">
        <v>6</v>
      </c>
      <c r="C45" s="54">
        <v>8</v>
      </c>
      <c r="D45" s="54">
        <v>7</v>
      </c>
      <c r="E45" s="54">
        <v>5</v>
      </c>
      <c r="F45" s="54">
        <v>6</v>
      </c>
      <c r="G45" s="54">
        <v>6</v>
      </c>
      <c r="H45" s="54">
        <v>6</v>
      </c>
      <c r="I45" s="54">
        <v>9</v>
      </c>
      <c r="J45" s="54">
        <v>4</v>
      </c>
      <c r="K45" s="54">
        <v>9</v>
      </c>
      <c r="L45" s="54">
        <v>6</v>
      </c>
      <c r="M45" s="54">
        <v>9</v>
      </c>
      <c r="N45" s="54">
        <v>5</v>
      </c>
      <c r="O45" s="54">
        <v>4</v>
      </c>
      <c r="P45" s="54">
        <v>1</v>
      </c>
      <c r="Q45" s="54">
        <v>9</v>
      </c>
      <c r="R45" s="54">
        <v>5</v>
      </c>
      <c r="S45" s="54">
        <v>11</v>
      </c>
      <c r="T45" s="54">
        <v>10</v>
      </c>
      <c r="U45" s="54">
        <v>13</v>
      </c>
      <c r="V45" s="54">
        <v>9</v>
      </c>
      <c r="W45" s="54">
        <v>10</v>
      </c>
      <c r="X45" s="54">
        <v>8</v>
      </c>
      <c r="Y45" s="54">
        <v>5</v>
      </c>
      <c r="Z45" s="54">
        <v>7</v>
      </c>
      <c r="AA45" s="54">
        <v>13</v>
      </c>
      <c r="AB45" s="54">
        <v>10</v>
      </c>
      <c r="AC45" s="54">
        <v>6</v>
      </c>
      <c r="AD45" s="54">
        <v>9</v>
      </c>
      <c r="AE45" s="54">
        <v>7</v>
      </c>
      <c r="AF45" s="54"/>
      <c r="AG45" s="5">
        <f t="shared" si="2"/>
        <v>223</v>
      </c>
    </row>
    <row r="46" spans="1:33" ht="15.75" customHeight="1" x14ac:dyDescent="0.25">
      <c r="A46" s="56" t="s">
        <v>20</v>
      </c>
      <c r="B46" s="54">
        <v>1</v>
      </c>
      <c r="C46" s="54">
        <v>11</v>
      </c>
      <c r="D46" s="54">
        <v>4</v>
      </c>
      <c r="E46" s="54">
        <v>10</v>
      </c>
      <c r="F46" s="54">
        <v>7</v>
      </c>
      <c r="G46" s="54">
        <v>15</v>
      </c>
      <c r="H46" s="54">
        <v>2</v>
      </c>
      <c r="I46" s="54">
        <v>5</v>
      </c>
      <c r="J46" s="54">
        <v>3</v>
      </c>
      <c r="K46" s="54">
        <v>6</v>
      </c>
      <c r="L46" s="54">
        <v>10</v>
      </c>
      <c r="M46" s="54">
        <v>4</v>
      </c>
      <c r="N46" s="54">
        <v>19</v>
      </c>
      <c r="O46" s="54">
        <v>9</v>
      </c>
      <c r="P46" s="54">
        <v>2</v>
      </c>
      <c r="Q46" s="54">
        <v>8</v>
      </c>
      <c r="R46" s="54">
        <v>2</v>
      </c>
      <c r="S46" s="54">
        <v>11</v>
      </c>
      <c r="T46" s="54">
        <v>6</v>
      </c>
      <c r="U46" s="54">
        <v>11</v>
      </c>
      <c r="V46" s="54">
        <v>14</v>
      </c>
      <c r="W46" s="54">
        <v>2</v>
      </c>
      <c r="X46" s="54">
        <v>8</v>
      </c>
      <c r="Y46" s="54">
        <v>1</v>
      </c>
      <c r="Z46" s="54">
        <v>14</v>
      </c>
      <c r="AA46" s="54">
        <v>12</v>
      </c>
      <c r="AB46" s="54">
        <v>10</v>
      </c>
      <c r="AC46" s="54">
        <v>9</v>
      </c>
      <c r="AD46" s="54">
        <v>5</v>
      </c>
      <c r="AE46" s="54">
        <v>11</v>
      </c>
      <c r="AF46" s="54"/>
      <c r="AG46" s="5">
        <f t="shared" si="2"/>
        <v>232</v>
      </c>
    </row>
    <row r="47" spans="1:33" ht="15.75" customHeight="1" x14ac:dyDescent="0.25">
      <c r="A47" s="56" t="s">
        <v>21</v>
      </c>
      <c r="B47" s="54">
        <v>1</v>
      </c>
      <c r="C47" s="54">
        <v>9</v>
      </c>
      <c r="D47" s="54">
        <v>1</v>
      </c>
      <c r="E47" s="54">
        <v>9</v>
      </c>
      <c r="F47" s="54">
        <v>6</v>
      </c>
      <c r="G47" s="54">
        <v>3</v>
      </c>
      <c r="H47" s="54">
        <v>13</v>
      </c>
      <c r="I47" s="54">
        <v>6</v>
      </c>
      <c r="J47" s="54">
        <v>1</v>
      </c>
      <c r="K47" s="54">
        <v>6</v>
      </c>
      <c r="L47" s="54">
        <v>6</v>
      </c>
      <c r="M47" s="54">
        <v>0</v>
      </c>
      <c r="N47" s="54">
        <v>3</v>
      </c>
      <c r="O47" s="54">
        <v>9</v>
      </c>
      <c r="P47" s="54">
        <v>1</v>
      </c>
      <c r="Q47" s="54">
        <v>3</v>
      </c>
      <c r="R47" s="54">
        <v>3</v>
      </c>
      <c r="S47" s="54">
        <v>13</v>
      </c>
      <c r="T47" s="54">
        <v>3</v>
      </c>
      <c r="U47" s="54">
        <v>8</v>
      </c>
      <c r="V47" s="54">
        <v>4</v>
      </c>
      <c r="W47" s="54">
        <v>3</v>
      </c>
      <c r="X47" s="54">
        <v>6</v>
      </c>
      <c r="Y47" s="54">
        <v>3</v>
      </c>
      <c r="Z47" s="54">
        <v>11</v>
      </c>
      <c r="AA47" s="54">
        <v>2</v>
      </c>
      <c r="AB47" s="54">
        <v>8</v>
      </c>
      <c r="AC47" s="54">
        <v>11</v>
      </c>
      <c r="AD47" s="54">
        <v>4</v>
      </c>
      <c r="AE47" s="54">
        <v>13</v>
      </c>
      <c r="AF47" s="54"/>
      <c r="AG47" s="5">
        <f t="shared" si="2"/>
        <v>169</v>
      </c>
    </row>
    <row r="48" spans="1:33" ht="15.75" customHeight="1" x14ac:dyDescent="0.25">
      <c r="A48" s="56" t="s">
        <v>22</v>
      </c>
      <c r="B48" s="54">
        <v>2</v>
      </c>
      <c r="C48" s="54">
        <v>1</v>
      </c>
      <c r="D48" s="54">
        <v>8</v>
      </c>
      <c r="E48" s="54">
        <v>5</v>
      </c>
      <c r="F48" s="54">
        <v>8</v>
      </c>
      <c r="G48" s="54">
        <v>6</v>
      </c>
      <c r="H48" s="54">
        <v>11</v>
      </c>
      <c r="I48" s="54">
        <v>6</v>
      </c>
      <c r="J48" s="54">
        <v>2</v>
      </c>
      <c r="K48" s="54">
        <v>3</v>
      </c>
      <c r="L48" s="54">
        <v>12</v>
      </c>
      <c r="M48" s="54">
        <v>0</v>
      </c>
      <c r="N48" s="54">
        <v>1</v>
      </c>
      <c r="O48" s="54">
        <v>9</v>
      </c>
      <c r="P48" s="54">
        <v>1</v>
      </c>
      <c r="Q48" s="54">
        <v>3</v>
      </c>
      <c r="R48" s="54">
        <v>2</v>
      </c>
      <c r="S48" s="54">
        <v>1</v>
      </c>
      <c r="T48" s="54">
        <v>4</v>
      </c>
      <c r="U48" s="54">
        <v>1</v>
      </c>
      <c r="V48" s="54">
        <v>3</v>
      </c>
      <c r="W48" s="54">
        <v>2</v>
      </c>
      <c r="X48" s="54">
        <v>1</v>
      </c>
      <c r="Y48" s="54">
        <v>3</v>
      </c>
      <c r="Z48" s="54">
        <v>6</v>
      </c>
      <c r="AA48" s="54">
        <v>1</v>
      </c>
      <c r="AB48" s="54">
        <v>0</v>
      </c>
      <c r="AC48" s="54">
        <v>3</v>
      </c>
      <c r="AD48" s="54">
        <v>4</v>
      </c>
      <c r="AE48" s="54">
        <v>14</v>
      </c>
      <c r="AF48" s="54"/>
      <c r="AG48" s="5">
        <f t="shared" si="2"/>
        <v>123</v>
      </c>
    </row>
    <row r="49" spans="1:33" ht="15.75" customHeight="1" x14ac:dyDescent="0.25">
      <c r="A49" s="56" t="s">
        <v>23</v>
      </c>
      <c r="B49" s="54">
        <v>1</v>
      </c>
      <c r="C49" s="54">
        <v>0</v>
      </c>
      <c r="D49" s="54">
        <v>1</v>
      </c>
      <c r="E49" s="54">
        <v>2</v>
      </c>
      <c r="F49" s="54">
        <v>4</v>
      </c>
      <c r="G49" s="54">
        <v>1</v>
      </c>
      <c r="H49" s="54">
        <v>2</v>
      </c>
      <c r="I49" s="54">
        <v>11</v>
      </c>
      <c r="J49" s="54">
        <v>2</v>
      </c>
      <c r="K49" s="54">
        <v>4</v>
      </c>
      <c r="L49" s="54">
        <v>2</v>
      </c>
      <c r="M49" s="54">
        <v>6</v>
      </c>
      <c r="N49" s="54">
        <v>1</v>
      </c>
      <c r="O49" s="54">
        <v>4</v>
      </c>
      <c r="P49" s="54">
        <v>6</v>
      </c>
      <c r="Q49" s="54">
        <v>2</v>
      </c>
      <c r="R49" s="54">
        <v>2</v>
      </c>
      <c r="S49" s="54">
        <v>2</v>
      </c>
      <c r="T49" s="54">
        <v>4</v>
      </c>
      <c r="U49" s="54">
        <v>0</v>
      </c>
      <c r="V49" s="54">
        <v>0</v>
      </c>
      <c r="W49" s="54">
        <v>0</v>
      </c>
      <c r="X49" s="54">
        <v>0</v>
      </c>
      <c r="Y49" s="54">
        <v>2</v>
      </c>
      <c r="Z49" s="54">
        <v>2</v>
      </c>
      <c r="AA49" s="54">
        <v>5</v>
      </c>
      <c r="AB49" s="54">
        <v>3</v>
      </c>
      <c r="AC49" s="54">
        <v>2</v>
      </c>
      <c r="AD49" s="54">
        <v>2</v>
      </c>
      <c r="AE49" s="54">
        <v>3</v>
      </c>
      <c r="AF49" s="54"/>
      <c r="AG49" s="5">
        <f t="shared" si="2"/>
        <v>76</v>
      </c>
    </row>
    <row r="50" spans="1:33" ht="15.75" customHeight="1" x14ac:dyDescent="0.25">
      <c r="A50" s="56" t="s">
        <v>24</v>
      </c>
      <c r="B50" s="54">
        <v>3</v>
      </c>
      <c r="C50" s="54">
        <v>1</v>
      </c>
      <c r="D50" s="54">
        <v>0</v>
      </c>
      <c r="E50" s="54">
        <v>2</v>
      </c>
      <c r="F50" s="54">
        <v>0</v>
      </c>
      <c r="G50" s="54">
        <v>0</v>
      </c>
      <c r="H50" s="54">
        <v>1</v>
      </c>
      <c r="I50" s="54">
        <v>1</v>
      </c>
      <c r="J50" s="54">
        <v>5</v>
      </c>
      <c r="K50" s="54">
        <v>3</v>
      </c>
      <c r="L50" s="54">
        <v>2</v>
      </c>
      <c r="M50" s="54">
        <v>1</v>
      </c>
      <c r="N50" s="54">
        <v>0</v>
      </c>
      <c r="O50" s="54">
        <v>3</v>
      </c>
      <c r="P50" s="54">
        <v>3</v>
      </c>
      <c r="Q50" s="54">
        <v>2</v>
      </c>
      <c r="R50" s="54">
        <v>2</v>
      </c>
      <c r="S50" s="54">
        <v>1</v>
      </c>
      <c r="T50" s="54">
        <v>1</v>
      </c>
      <c r="U50" s="54">
        <v>0</v>
      </c>
      <c r="V50" s="54">
        <v>3</v>
      </c>
      <c r="W50" s="54">
        <v>0</v>
      </c>
      <c r="X50" s="54">
        <v>0</v>
      </c>
      <c r="Y50" s="54">
        <v>0</v>
      </c>
      <c r="Z50" s="54">
        <v>2</v>
      </c>
      <c r="AA50" s="54">
        <v>2</v>
      </c>
      <c r="AB50" s="54">
        <v>1</v>
      </c>
      <c r="AC50" s="54">
        <v>1</v>
      </c>
      <c r="AD50" s="54">
        <v>0</v>
      </c>
      <c r="AE50" s="54">
        <v>0</v>
      </c>
      <c r="AF50" s="54"/>
      <c r="AG50" s="5">
        <f t="shared" si="2"/>
        <v>40</v>
      </c>
    </row>
    <row r="51" spans="1:33" ht="15.75" customHeight="1" x14ac:dyDescent="0.25">
      <c r="A51" s="56" t="s">
        <v>25</v>
      </c>
      <c r="B51" s="54">
        <v>1</v>
      </c>
      <c r="C51" s="54">
        <v>1</v>
      </c>
      <c r="D51" s="54">
        <v>1</v>
      </c>
      <c r="E51" s="54">
        <v>2</v>
      </c>
      <c r="F51" s="54">
        <v>0</v>
      </c>
      <c r="G51" s="54">
        <v>0</v>
      </c>
      <c r="H51" s="54">
        <v>5</v>
      </c>
      <c r="I51" s="54">
        <v>0</v>
      </c>
      <c r="J51" s="54">
        <v>0</v>
      </c>
      <c r="K51" s="54">
        <v>1</v>
      </c>
      <c r="L51" s="54">
        <v>0</v>
      </c>
      <c r="M51" s="54">
        <v>2</v>
      </c>
      <c r="N51" s="54">
        <v>0</v>
      </c>
      <c r="O51" s="54">
        <v>4</v>
      </c>
      <c r="P51" s="54">
        <v>4</v>
      </c>
      <c r="Q51" s="54">
        <v>1</v>
      </c>
      <c r="R51" s="54">
        <v>2</v>
      </c>
      <c r="S51" s="54">
        <v>1</v>
      </c>
      <c r="T51" s="54">
        <v>0</v>
      </c>
      <c r="U51" s="54">
        <v>0</v>
      </c>
      <c r="V51" s="54">
        <v>0</v>
      </c>
      <c r="W51" s="54">
        <v>1</v>
      </c>
      <c r="X51" s="54">
        <v>2</v>
      </c>
      <c r="Y51" s="54">
        <v>3</v>
      </c>
      <c r="Z51" s="54">
        <v>1</v>
      </c>
      <c r="AA51" s="54">
        <v>2</v>
      </c>
      <c r="AB51" s="54">
        <v>4</v>
      </c>
      <c r="AC51" s="54">
        <v>2</v>
      </c>
      <c r="AD51" s="54">
        <v>1</v>
      </c>
      <c r="AE51" s="54">
        <v>0</v>
      </c>
      <c r="AF51" s="54"/>
      <c r="AG51" s="5">
        <f t="shared" si="2"/>
        <v>41</v>
      </c>
    </row>
    <row r="52" spans="1:33" ht="15.75" customHeight="1" thickBot="1" x14ac:dyDescent="0.3">
      <c r="A52" s="57" t="s">
        <v>26</v>
      </c>
      <c r="B52" s="58">
        <v>1</v>
      </c>
      <c r="C52" s="58">
        <v>0</v>
      </c>
      <c r="D52" s="58">
        <v>1</v>
      </c>
      <c r="E52" s="58">
        <v>2</v>
      </c>
      <c r="F52" s="58">
        <v>0</v>
      </c>
      <c r="G52" s="58">
        <v>0</v>
      </c>
      <c r="H52" s="58">
        <v>4</v>
      </c>
      <c r="I52" s="58">
        <v>1</v>
      </c>
      <c r="J52" s="58">
        <v>4</v>
      </c>
      <c r="K52" s="58">
        <v>8</v>
      </c>
      <c r="L52" s="58">
        <v>1</v>
      </c>
      <c r="M52" s="58">
        <v>1</v>
      </c>
      <c r="N52" s="58">
        <v>0</v>
      </c>
      <c r="O52" s="58">
        <v>0</v>
      </c>
      <c r="P52" s="58">
        <v>0</v>
      </c>
      <c r="Q52" s="58">
        <v>4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0</v>
      </c>
      <c r="X52" s="58">
        <v>1</v>
      </c>
      <c r="Y52" s="58">
        <v>3</v>
      </c>
      <c r="Z52" s="58">
        <v>1</v>
      </c>
      <c r="AA52" s="58">
        <v>0</v>
      </c>
      <c r="AB52" s="58">
        <v>0</v>
      </c>
      <c r="AC52" s="58">
        <v>1</v>
      </c>
      <c r="AD52" s="60">
        <v>0</v>
      </c>
      <c r="AE52" s="60">
        <v>2</v>
      </c>
      <c r="AF52" s="60"/>
      <c r="AG52" s="9">
        <f t="shared" si="2"/>
        <v>35</v>
      </c>
    </row>
    <row r="53" spans="1:33" ht="15.75" customHeight="1" thickBot="1" x14ac:dyDescent="0.3">
      <c r="A53" s="52" t="s">
        <v>28</v>
      </c>
      <c r="B53" s="1">
        <f t="shared" ref="B53:AF53" si="4">SUM(B54:B77)</f>
        <v>3</v>
      </c>
      <c r="C53" s="1">
        <f t="shared" si="4"/>
        <v>26</v>
      </c>
      <c r="D53" s="1">
        <f t="shared" si="4"/>
        <v>7</v>
      </c>
      <c r="E53" s="1">
        <f t="shared" si="4"/>
        <v>61</v>
      </c>
      <c r="F53" s="1">
        <f t="shared" si="4"/>
        <v>25</v>
      </c>
      <c r="G53" s="1">
        <f t="shared" si="4"/>
        <v>35</v>
      </c>
      <c r="H53" s="1">
        <f t="shared" si="4"/>
        <v>34</v>
      </c>
      <c r="I53" s="1">
        <f t="shared" si="4"/>
        <v>41</v>
      </c>
      <c r="J53" s="1">
        <f t="shared" si="4"/>
        <v>8</v>
      </c>
      <c r="K53" s="1">
        <f t="shared" si="4"/>
        <v>25</v>
      </c>
      <c r="L53" s="1">
        <f t="shared" si="4"/>
        <v>26</v>
      </c>
      <c r="M53" s="1">
        <f t="shared" si="4"/>
        <v>6</v>
      </c>
      <c r="N53" s="1">
        <f t="shared" si="4"/>
        <v>23</v>
      </c>
      <c r="O53" s="1">
        <f t="shared" si="4"/>
        <v>43</v>
      </c>
      <c r="P53" s="1">
        <f t="shared" si="4"/>
        <v>18</v>
      </c>
      <c r="Q53" s="1">
        <f t="shared" si="4"/>
        <v>12</v>
      </c>
      <c r="R53" s="1">
        <f t="shared" si="4"/>
        <v>5</v>
      </c>
      <c r="S53" s="1">
        <f t="shared" si="4"/>
        <v>27</v>
      </c>
      <c r="T53" s="1">
        <f t="shared" si="4"/>
        <v>21</v>
      </c>
      <c r="U53" s="1">
        <f t="shared" si="4"/>
        <v>19</v>
      </c>
      <c r="V53" s="1">
        <f t="shared" si="4"/>
        <v>7</v>
      </c>
      <c r="W53" s="1">
        <f t="shared" si="4"/>
        <v>11</v>
      </c>
      <c r="X53" s="1">
        <f t="shared" si="4"/>
        <v>33</v>
      </c>
      <c r="Y53" s="1">
        <f t="shared" si="4"/>
        <v>26</v>
      </c>
      <c r="Z53" s="1">
        <f t="shared" si="4"/>
        <v>48</v>
      </c>
      <c r="AA53" s="1">
        <f t="shared" si="4"/>
        <v>42</v>
      </c>
      <c r="AB53" s="1">
        <f t="shared" si="4"/>
        <v>24</v>
      </c>
      <c r="AC53" s="1">
        <f t="shared" si="4"/>
        <v>39</v>
      </c>
      <c r="AD53" s="1">
        <f t="shared" si="4"/>
        <v>11</v>
      </c>
      <c r="AE53" s="1">
        <f t="shared" si="4"/>
        <v>40</v>
      </c>
      <c r="AF53" s="1">
        <f t="shared" si="4"/>
        <v>0</v>
      </c>
      <c r="AG53" s="10">
        <f t="shared" si="2"/>
        <v>746</v>
      </c>
    </row>
    <row r="54" spans="1:33" ht="15.75" customHeight="1" x14ac:dyDescent="0.25">
      <c r="A54" s="56" t="s">
        <v>3</v>
      </c>
      <c r="B54" s="54">
        <v>0</v>
      </c>
      <c r="C54" s="55">
        <v>1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1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/>
      <c r="AG54" s="4">
        <f t="shared" si="2"/>
        <v>2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1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1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1</v>
      </c>
      <c r="AF55" s="54"/>
      <c r="AG55" s="5">
        <f t="shared" si="2"/>
        <v>3</v>
      </c>
    </row>
    <row r="56" spans="1:33" ht="15.75" customHeight="1" x14ac:dyDescent="0.25">
      <c r="A56" s="56" t="s">
        <v>5</v>
      </c>
      <c r="B56" s="54">
        <v>1</v>
      </c>
      <c r="C56" s="54">
        <v>1</v>
      </c>
      <c r="D56" s="54">
        <v>0</v>
      </c>
      <c r="E56" s="54">
        <v>0</v>
      </c>
      <c r="F56" s="54">
        <v>0</v>
      </c>
      <c r="G56" s="54">
        <v>0</v>
      </c>
      <c r="H56" s="54">
        <v>0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0</v>
      </c>
      <c r="AD56" s="54">
        <v>0</v>
      </c>
      <c r="AE56" s="54">
        <v>1</v>
      </c>
      <c r="AF56" s="54"/>
      <c r="AG56" s="5">
        <f t="shared" si="2"/>
        <v>3</v>
      </c>
    </row>
    <row r="57" spans="1:33" ht="15.75" customHeight="1" x14ac:dyDescent="0.25">
      <c r="A57" s="56" t="s">
        <v>6</v>
      </c>
      <c r="B57" s="54">
        <v>0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0</v>
      </c>
      <c r="I57" s="54">
        <v>0</v>
      </c>
      <c r="J57" s="54">
        <v>0</v>
      </c>
      <c r="K57" s="54">
        <v>0</v>
      </c>
      <c r="L57" s="54">
        <v>1</v>
      </c>
      <c r="M57" s="54">
        <v>0</v>
      </c>
      <c r="N57" s="54">
        <v>0</v>
      </c>
      <c r="O57" s="54">
        <v>0</v>
      </c>
      <c r="P57" s="54">
        <v>0</v>
      </c>
      <c r="Q57" s="54">
        <v>1</v>
      </c>
      <c r="R57" s="54">
        <v>1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1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/>
      <c r="AG57" s="5">
        <f t="shared" si="2"/>
        <v>4</v>
      </c>
    </row>
    <row r="58" spans="1:33" ht="15.75" customHeight="1" x14ac:dyDescent="0.25">
      <c r="A58" s="56" t="s">
        <v>7</v>
      </c>
      <c r="B58" s="54">
        <v>0</v>
      </c>
      <c r="C58" s="54">
        <v>1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1</v>
      </c>
      <c r="K58" s="54">
        <v>1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1</v>
      </c>
      <c r="R58" s="54">
        <v>1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1</v>
      </c>
      <c r="Y58" s="54">
        <v>0</v>
      </c>
      <c r="Z58" s="54">
        <v>0</v>
      </c>
      <c r="AA58" s="54">
        <v>0</v>
      </c>
      <c r="AB58" s="54">
        <v>0</v>
      </c>
      <c r="AC58" s="54">
        <v>0</v>
      </c>
      <c r="AD58" s="54">
        <v>0</v>
      </c>
      <c r="AE58" s="54">
        <v>0</v>
      </c>
      <c r="AF58" s="54"/>
      <c r="AG58" s="5">
        <f t="shared" si="2"/>
        <v>6</v>
      </c>
    </row>
    <row r="59" spans="1:33" ht="15.75" customHeight="1" x14ac:dyDescent="0.25">
      <c r="A59" s="56" t="s">
        <v>8</v>
      </c>
      <c r="B59" s="54">
        <v>0</v>
      </c>
      <c r="C59" s="54">
        <v>0</v>
      </c>
      <c r="D59" s="54">
        <v>1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3</v>
      </c>
      <c r="Y59" s="54">
        <v>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/>
      <c r="AG59" s="5">
        <f t="shared" si="2"/>
        <v>4</v>
      </c>
    </row>
    <row r="60" spans="1:33" ht="15.75" customHeight="1" x14ac:dyDescent="0.25">
      <c r="A60" s="56" t="s">
        <v>9</v>
      </c>
      <c r="B60" s="54">
        <v>0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0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0</v>
      </c>
      <c r="P60" s="54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0</v>
      </c>
      <c r="X60" s="54">
        <v>3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54"/>
      <c r="AG60" s="5">
        <f t="shared" si="2"/>
        <v>3</v>
      </c>
    </row>
    <row r="61" spans="1:33" ht="15.75" customHeight="1" x14ac:dyDescent="0.25">
      <c r="A61" s="56" t="s">
        <v>10</v>
      </c>
      <c r="B61" s="54">
        <v>0</v>
      </c>
      <c r="C61" s="54">
        <v>1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0</v>
      </c>
      <c r="J61" s="54">
        <v>0</v>
      </c>
      <c r="K61" s="54">
        <v>1</v>
      </c>
      <c r="L61" s="54">
        <v>0</v>
      </c>
      <c r="M61" s="54">
        <v>0</v>
      </c>
      <c r="N61" s="54">
        <v>0</v>
      </c>
      <c r="O61" s="54">
        <v>0</v>
      </c>
      <c r="P61" s="54">
        <v>0</v>
      </c>
      <c r="Q61" s="54">
        <v>0</v>
      </c>
      <c r="R61" s="54">
        <v>1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5</v>
      </c>
      <c r="Y61" s="54">
        <v>3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1</v>
      </c>
      <c r="AF61" s="54"/>
      <c r="AG61" s="5">
        <f t="shared" si="2"/>
        <v>12</v>
      </c>
    </row>
    <row r="62" spans="1:33" ht="15.75" customHeight="1" x14ac:dyDescent="0.25">
      <c r="A62" s="56" t="s">
        <v>11</v>
      </c>
      <c r="B62" s="54">
        <v>0</v>
      </c>
      <c r="C62" s="54">
        <v>1</v>
      </c>
      <c r="D62" s="54">
        <v>1</v>
      </c>
      <c r="E62" s="54">
        <v>0</v>
      </c>
      <c r="F62" s="54">
        <v>0</v>
      </c>
      <c r="G62" s="54">
        <v>0</v>
      </c>
      <c r="H62" s="54">
        <v>0</v>
      </c>
      <c r="I62" s="54">
        <v>0</v>
      </c>
      <c r="J62" s="54">
        <v>0</v>
      </c>
      <c r="K62" s="54">
        <v>5</v>
      </c>
      <c r="L62" s="54">
        <v>0</v>
      </c>
      <c r="M62" s="54">
        <v>0</v>
      </c>
      <c r="N62" s="54">
        <v>0</v>
      </c>
      <c r="O62" s="54">
        <v>0</v>
      </c>
      <c r="P62" s="54">
        <v>2</v>
      </c>
      <c r="Q62" s="54">
        <v>1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1</v>
      </c>
      <c r="Y62" s="54">
        <v>3</v>
      </c>
      <c r="Z62" s="54">
        <v>0</v>
      </c>
      <c r="AA62" s="54">
        <v>0</v>
      </c>
      <c r="AB62" s="54">
        <v>0</v>
      </c>
      <c r="AC62" s="54">
        <v>0</v>
      </c>
      <c r="AD62" s="54">
        <v>0</v>
      </c>
      <c r="AE62" s="54">
        <v>2</v>
      </c>
      <c r="AF62" s="54"/>
      <c r="AG62" s="5">
        <f t="shared" si="2"/>
        <v>16</v>
      </c>
    </row>
    <row r="63" spans="1:33" ht="15.75" customHeight="1" x14ac:dyDescent="0.25">
      <c r="A63" s="56" t="s">
        <v>12</v>
      </c>
      <c r="B63" s="54">
        <v>0</v>
      </c>
      <c r="C63" s="54">
        <v>1</v>
      </c>
      <c r="D63" s="54">
        <v>0</v>
      </c>
      <c r="E63" s="54">
        <v>0</v>
      </c>
      <c r="F63" s="54">
        <v>1</v>
      </c>
      <c r="G63" s="54">
        <v>0</v>
      </c>
      <c r="H63" s="54">
        <v>0</v>
      </c>
      <c r="I63" s="54">
        <v>2</v>
      </c>
      <c r="J63" s="54">
        <v>1</v>
      </c>
      <c r="K63" s="54">
        <v>4</v>
      </c>
      <c r="L63" s="54">
        <v>1</v>
      </c>
      <c r="M63" s="54">
        <v>1</v>
      </c>
      <c r="N63" s="54">
        <v>0</v>
      </c>
      <c r="O63" s="54">
        <v>0</v>
      </c>
      <c r="P63" s="54">
        <v>1</v>
      </c>
      <c r="Q63" s="54">
        <v>7</v>
      </c>
      <c r="R63" s="54">
        <v>0</v>
      </c>
      <c r="S63" s="54">
        <v>1</v>
      </c>
      <c r="T63" s="54">
        <v>2</v>
      </c>
      <c r="U63" s="54">
        <v>0</v>
      </c>
      <c r="V63" s="54">
        <v>0</v>
      </c>
      <c r="W63" s="54">
        <v>1</v>
      </c>
      <c r="X63" s="54">
        <v>4</v>
      </c>
      <c r="Y63" s="54">
        <v>6</v>
      </c>
      <c r="Z63" s="54">
        <v>1</v>
      </c>
      <c r="AA63" s="54">
        <v>1</v>
      </c>
      <c r="AB63" s="54">
        <v>1</v>
      </c>
      <c r="AC63" s="54">
        <v>0</v>
      </c>
      <c r="AD63" s="54">
        <v>1</v>
      </c>
      <c r="AE63" s="54">
        <v>8</v>
      </c>
      <c r="AF63" s="54"/>
      <c r="AG63" s="5">
        <f t="shared" si="2"/>
        <v>45</v>
      </c>
    </row>
    <row r="64" spans="1:33" ht="15.75" customHeight="1" x14ac:dyDescent="0.25">
      <c r="A64" s="56" t="s">
        <v>13</v>
      </c>
      <c r="B64" s="54">
        <v>0</v>
      </c>
      <c r="C64" s="54">
        <v>2</v>
      </c>
      <c r="D64" s="54">
        <v>1</v>
      </c>
      <c r="E64" s="54">
        <v>2</v>
      </c>
      <c r="F64" s="54">
        <v>2</v>
      </c>
      <c r="G64" s="54">
        <v>1</v>
      </c>
      <c r="H64" s="54">
        <v>1</v>
      </c>
      <c r="I64" s="54">
        <v>4</v>
      </c>
      <c r="J64" s="54">
        <v>0</v>
      </c>
      <c r="K64" s="54">
        <v>1</v>
      </c>
      <c r="L64" s="54">
        <v>3</v>
      </c>
      <c r="M64" s="54">
        <v>0</v>
      </c>
      <c r="N64" s="54">
        <v>4</v>
      </c>
      <c r="O64" s="54">
        <v>1</v>
      </c>
      <c r="P64" s="54">
        <v>0</v>
      </c>
      <c r="Q64" s="54">
        <v>0</v>
      </c>
      <c r="R64" s="54">
        <v>0</v>
      </c>
      <c r="S64" s="54">
        <v>1</v>
      </c>
      <c r="T64" s="54">
        <v>0</v>
      </c>
      <c r="U64" s="54">
        <v>0</v>
      </c>
      <c r="V64" s="54">
        <v>0</v>
      </c>
      <c r="W64" s="54">
        <v>3</v>
      </c>
      <c r="X64" s="54">
        <v>2</v>
      </c>
      <c r="Y64" s="54">
        <v>4</v>
      </c>
      <c r="Z64" s="54">
        <v>0</v>
      </c>
      <c r="AA64" s="54">
        <v>4</v>
      </c>
      <c r="AB64" s="54">
        <v>1</v>
      </c>
      <c r="AC64" s="54">
        <v>2</v>
      </c>
      <c r="AD64" s="54">
        <v>0</v>
      </c>
      <c r="AE64" s="54">
        <v>4</v>
      </c>
      <c r="AF64" s="54"/>
      <c r="AG64" s="5">
        <f t="shared" si="2"/>
        <v>43</v>
      </c>
    </row>
    <row r="65" spans="1:33" ht="15.75" customHeight="1" x14ac:dyDescent="0.25">
      <c r="A65" s="56" t="s">
        <v>14</v>
      </c>
      <c r="B65" s="54">
        <v>0</v>
      </c>
      <c r="C65" s="54">
        <v>4</v>
      </c>
      <c r="D65" s="54">
        <v>0</v>
      </c>
      <c r="E65" s="54">
        <v>3</v>
      </c>
      <c r="F65" s="54">
        <v>1</v>
      </c>
      <c r="G65" s="54">
        <v>2</v>
      </c>
      <c r="H65" s="54">
        <v>2</v>
      </c>
      <c r="I65" s="54">
        <v>2</v>
      </c>
      <c r="J65" s="54">
        <v>2</v>
      </c>
      <c r="K65" s="54">
        <v>4</v>
      </c>
      <c r="L65" s="54">
        <v>2</v>
      </c>
      <c r="M65" s="54">
        <v>1</v>
      </c>
      <c r="N65" s="54">
        <v>1</v>
      </c>
      <c r="O65" s="54">
        <v>0</v>
      </c>
      <c r="P65" s="54">
        <v>3</v>
      </c>
      <c r="Q65" s="54">
        <v>0</v>
      </c>
      <c r="R65" s="54">
        <v>0</v>
      </c>
      <c r="S65" s="54">
        <v>0</v>
      </c>
      <c r="T65" s="54">
        <v>1</v>
      </c>
      <c r="U65" s="54">
        <v>1</v>
      </c>
      <c r="V65" s="54">
        <v>0</v>
      </c>
      <c r="W65" s="54">
        <v>1</v>
      </c>
      <c r="X65" s="54">
        <v>4</v>
      </c>
      <c r="Y65" s="54">
        <v>3</v>
      </c>
      <c r="Z65" s="54">
        <v>1</v>
      </c>
      <c r="AA65" s="54">
        <v>5</v>
      </c>
      <c r="AB65" s="54">
        <v>1</v>
      </c>
      <c r="AC65" s="54">
        <v>1</v>
      </c>
      <c r="AD65" s="54">
        <v>3</v>
      </c>
      <c r="AE65" s="54">
        <v>5</v>
      </c>
      <c r="AF65" s="54"/>
      <c r="AG65" s="5">
        <f t="shared" si="2"/>
        <v>53</v>
      </c>
    </row>
    <row r="66" spans="1:33" ht="15.75" customHeight="1" x14ac:dyDescent="0.25">
      <c r="A66" s="56" t="s">
        <v>15</v>
      </c>
      <c r="B66" s="54">
        <v>0</v>
      </c>
      <c r="C66" s="54">
        <v>1</v>
      </c>
      <c r="D66" s="54">
        <v>2</v>
      </c>
      <c r="E66" s="54">
        <v>3</v>
      </c>
      <c r="F66" s="54">
        <v>2</v>
      </c>
      <c r="G66" s="54">
        <v>5</v>
      </c>
      <c r="H66" s="54">
        <v>1</v>
      </c>
      <c r="I66" s="54">
        <v>2</v>
      </c>
      <c r="J66" s="54">
        <v>0</v>
      </c>
      <c r="K66" s="54">
        <v>1</v>
      </c>
      <c r="L66" s="54">
        <v>2</v>
      </c>
      <c r="M66" s="54">
        <v>1</v>
      </c>
      <c r="N66" s="54">
        <v>0</v>
      </c>
      <c r="O66" s="54">
        <v>0</v>
      </c>
      <c r="P66" s="54">
        <v>6</v>
      </c>
      <c r="Q66" s="54">
        <v>0</v>
      </c>
      <c r="R66" s="54">
        <v>0</v>
      </c>
      <c r="S66" s="54">
        <v>0</v>
      </c>
      <c r="T66" s="54">
        <v>5</v>
      </c>
      <c r="U66" s="54">
        <v>0</v>
      </c>
      <c r="V66" s="54">
        <v>3</v>
      </c>
      <c r="W66" s="54">
        <v>1</v>
      </c>
      <c r="X66" s="54">
        <v>1</v>
      </c>
      <c r="Y66" s="54">
        <v>3</v>
      </c>
      <c r="Z66" s="54">
        <v>1</v>
      </c>
      <c r="AA66" s="54">
        <v>3</v>
      </c>
      <c r="AB66" s="54">
        <v>2</v>
      </c>
      <c r="AC66" s="54">
        <v>1</v>
      </c>
      <c r="AD66" s="54">
        <v>0</v>
      </c>
      <c r="AE66" s="54">
        <v>2</v>
      </c>
      <c r="AF66" s="54"/>
      <c r="AG66" s="5">
        <f t="shared" si="2"/>
        <v>48</v>
      </c>
    </row>
    <row r="67" spans="1:33" ht="15.75" customHeight="1" x14ac:dyDescent="0.25">
      <c r="A67" s="56" t="s">
        <v>16</v>
      </c>
      <c r="B67" s="54">
        <v>0</v>
      </c>
      <c r="C67" s="54">
        <v>3</v>
      </c>
      <c r="D67" s="54">
        <v>0</v>
      </c>
      <c r="E67" s="54">
        <v>0</v>
      </c>
      <c r="F67" s="54">
        <v>2</v>
      </c>
      <c r="G67" s="54">
        <v>3</v>
      </c>
      <c r="H67" s="54">
        <v>4</v>
      </c>
      <c r="I67" s="54">
        <v>4</v>
      </c>
      <c r="J67" s="54">
        <v>1</v>
      </c>
      <c r="K67" s="54">
        <v>2</v>
      </c>
      <c r="L67" s="54">
        <v>0</v>
      </c>
      <c r="M67" s="54">
        <v>2</v>
      </c>
      <c r="N67" s="54">
        <v>9</v>
      </c>
      <c r="O67" s="54">
        <v>7</v>
      </c>
      <c r="P67" s="54">
        <v>3</v>
      </c>
      <c r="Q67" s="54">
        <v>0</v>
      </c>
      <c r="R67" s="54">
        <v>0</v>
      </c>
      <c r="S67" s="54">
        <v>2</v>
      </c>
      <c r="T67" s="54">
        <v>2</v>
      </c>
      <c r="U67" s="54">
        <v>5</v>
      </c>
      <c r="V67" s="54">
        <v>3</v>
      </c>
      <c r="W67" s="54">
        <v>3</v>
      </c>
      <c r="X67" s="54">
        <v>1</v>
      </c>
      <c r="Y67" s="54">
        <v>0</v>
      </c>
      <c r="Z67" s="54">
        <v>4</v>
      </c>
      <c r="AA67" s="54">
        <v>4</v>
      </c>
      <c r="AB67" s="54">
        <v>1</v>
      </c>
      <c r="AC67" s="54">
        <v>2</v>
      </c>
      <c r="AD67" s="54">
        <v>2</v>
      </c>
      <c r="AE67" s="54">
        <v>8</v>
      </c>
      <c r="AF67" s="54"/>
      <c r="AG67" s="5">
        <f t="shared" ref="AG67:AG98" si="5">SUM(B67:AF67)</f>
        <v>77</v>
      </c>
    </row>
    <row r="68" spans="1:33" ht="15.75" customHeight="1" x14ac:dyDescent="0.25">
      <c r="A68" s="56" t="s">
        <v>17</v>
      </c>
      <c r="B68" s="54">
        <v>0</v>
      </c>
      <c r="C68" s="54">
        <v>3</v>
      </c>
      <c r="D68" s="54">
        <v>1</v>
      </c>
      <c r="E68" s="54">
        <v>6</v>
      </c>
      <c r="F68" s="54">
        <v>7</v>
      </c>
      <c r="G68" s="54">
        <v>0</v>
      </c>
      <c r="H68" s="54">
        <v>0</v>
      </c>
      <c r="I68" s="54">
        <v>1</v>
      </c>
      <c r="J68" s="54">
        <v>0</v>
      </c>
      <c r="K68" s="54">
        <v>3</v>
      </c>
      <c r="L68" s="54">
        <v>0</v>
      </c>
      <c r="M68" s="54">
        <v>0</v>
      </c>
      <c r="N68" s="54">
        <v>0</v>
      </c>
      <c r="O68" s="54">
        <v>4</v>
      </c>
      <c r="P68" s="54">
        <v>2</v>
      </c>
      <c r="Q68" s="54">
        <v>1</v>
      </c>
      <c r="R68" s="54">
        <v>1</v>
      </c>
      <c r="S68" s="54">
        <v>3</v>
      </c>
      <c r="T68" s="54">
        <v>5</v>
      </c>
      <c r="U68" s="54">
        <v>5</v>
      </c>
      <c r="V68" s="54">
        <v>0</v>
      </c>
      <c r="W68" s="54">
        <v>1</v>
      </c>
      <c r="X68" s="54">
        <v>1</v>
      </c>
      <c r="Y68" s="54">
        <v>1</v>
      </c>
      <c r="Z68" s="54">
        <v>3</v>
      </c>
      <c r="AA68" s="54">
        <v>2</v>
      </c>
      <c r="AB68" s="54">
        <v>3</v>
      </c>
      <c r="AC68" s="54">
        <v>12</v>
      </c>
      <c r="AD68" s="54">
        <v>0</v>
      </c>
      <c r="AE68" s="54">
        <v>0</v>
      </c>
      <c r="AF68" s="54"/>
      <c r="AG68" s="5">
        <f t="shared" si="5"/>
        <v>65</v>
      </c>
    </row>
    <row r="69" spans="1:33" ht="15.75" customHeight="1" x14ac:dyDescent="0.25">
      <c r="A69" s="56" t="s">
        <v>18</v>
      </c>
      <c r="B69" s="54">
        <v>0</v>
      </c>
      <c r="C69" s="54">
        <v>0</v>
      </c>
      <c r="D69" s="54">
        <v>0</v>
      </c>
      <c r="E69" s="54">
        <v>0</v>
      </c>
      <c r="F69" s="54">
        <v>0</v>
      </c>
      <c r="G69" s="54">
        <v>6</v>
      </c>
      <c r="H69" s="54">
        <v>2</v>
      </c>
      <c r="I69" s="54">
        <v>0</v>
      </c>
      <c r="J69" s="54">
        <v>0</v>
      </c>
      <c r="K69" s="54">
        <v>1</v>
      </c>
      <c r="L69" s="54">
        <v>0</v>
      </c>
      <c r="M69" s="54">
        <v>0</v>
      </c>
      <c r="N69" s="54">
        <v>1</v>
      </c>
      <c r="O69" s="54">
        <v>7</v>
      </c>
      <c r="P69" s="54">
        <v>0</v>
      </c>
      <c r="Q69" s="54">
        <v>0</v>
      </c>
      <c r="R69" s="54">
        <v>0</v>
      </c>
      <c r="S69" s="54">
        <v>1</v>
      </c>
      <c r="T69" s="54">
        <v>1</v>
      </c>
      <c r="U69" s="54">
        <v>6</v>
      </c>
      <c r="V69" s="54">
        <v>1</v>
      </c>
      <c r="W69" s="54">
        <v>1</v>
      </c>
      <c r="X69" s="54">
        <v>3</v>
      </c>
      <c r="Y69" s="54">
        <v>0</v>
      </c>
      <c r="Z69" s="54">
        <v>3</v>
      </c>
      <c r="AA69" s="54">
        <v>4</v>
      </c>
      <c r="AB69" s="54">
        <v>8</v>
      </c>
      <c r="AC69" s="54">
        <v>1</v>
      </c>
      <c r="AD69" s="54">
        <v>0</v>
      </c>
      <c r="AE69" s="54">
        <v>2</v>
      </c>
      <c r="AF69" s="54"/>
      <c r="AG69" s="5">
        <f t="shared" si="5"/>
        <v>48</v>
      </c>
    </row>
    <row r="70" spans="1:33" ht="15.75" customHeight="1" x14ac:dyDescent="0.25">
      <c r="A70" s="56" t="s">
        <v>19</v>
      </c>
      <c r="B70" s="54">
        <v>1</v>
      </c>
      <c r="C70" s="54">
        <v>0</v>
      </c>
      <c r="D70" s="54">
        <v>0</v>
      </c>
      <c r="E70" s="54">
        <v>6</v>
      </c>
      <c r="F70" s="54">
        <v>4</v>
      </c>
      <c r="G70" s="54">
        <v>0</v>
      </c>
      <c r="H70" s="54">
        <v>15</v>
      </c>
      <c r="I70" s="54">
        <v>3</v>
      </c>
      <c r="J70" s="54">
        <v>1</v>
      </c>
      <c r="K70" s="54">
        <v>1</v>
      </c>
      <c r="L70" s="54">
        <v>8</v>
      </c>
      <c r="M70" s="54">
        <v>1</v>
      </c>
      <c r="N70" s="54">
        <v>3</v>
      </c>
      <c r="O70" s="54">
        <v>10</v>
      </c>
      <c r="P70" s="54">
        <v>0</v>
      </c>
      <c r="Q70" s="54">
        <v>0</v>
      </c>
      <c r="R70" s="54">
        <v>1</v>
      </c>
      <c r="S70" s="54">
        <v>6</v>
      </c>
      <c r="T70" s="54">
        <v>2</v>
      </c>
      <c r="U70" s="54">
        <v>0</v>
      </c>
      <c r="V70" s="54">
        <v>0</v>
      </c>
      <c r="W70" s="54">
        <v>0</v>
      </c>
      <c r="X70" s="54">
        <v>1</v>
      </c>
      <c r="Y70" s="54">
        <v>1</v>
      </c>
      <c r="Z70" s="54">
        <v>10</v>
      </c>
      <c r="AA70" s="54">
        <v>7</v>
      </c>
      <c r="AB70" s="54">
        <v>5</v>
      </c>
      <c r="AC70" s="54">
        <v>7</v>
      </c>
      <c r="AD70" s="55">
        <v>2</v>
      </c>
      <c r="AE70" s="55">
        <v>0</v>
      </c>
      <c r="AF70" s="55"/>
      <c r="AG70" s="5">
        <f t="shared" si="5"/>
        <v>95</v>
      </c>
    </row>
    <row r="71" spans="1:33" ht="15.75" customHeight="1" x14ac:dyDescent="0.25">
      <c r="A71" s="56" t="s">
        <v>20</v>
      </c>
      <c r="B71" s="54">
        <v>0</v>
      </c>
      <c r="C71" s="54">
        <v>6</v>
      </c>
      <c r="D71" s="54">
        <v>0</v>
      </c>
      <c r="E71" s="54">
        <v>25</v>
      </c>
      <c r="F71" s="54">
        <v>2</v>
      </c>
      <c r="G71" s="54">
        <v>9</v>
      </c>
      <c r="H71" s="54">
        <v>0</v>
      </c>
      <c r="I71" s="54">
        <v>4</v>
      </c>
      <c r="J71" s="54">
        <v>0</v>
      </c>
      <c r="K71" s="54">
        <v>1</v>
      </c>
      <c r="L71" s="54">
        <v>4</v>
      </c>
      <c r="M71" s="54">
        <v>0</v>
      </c>
      <c r="N71" s="54">
        <v>4</v>
      </c>
      <c r="O71" s="54">
        <v>10</v>
      </c>
      <c r="P71" s="54">
        <v>0</v>
      </c>
      <c r="Q71" s="54">
        <v>0</v>
      </c>
      <c r="R71" s="54">
        <v>0</v>
      </c>
      <c r="S71" s="54">
        <v>5</v>
      </c>
      <c r="T71" s="54">
        <v>2</v>
      </c>
      <c r="U71" s="54">
        <v>2</v>
      </c>
      <c r="V71" s="54">
        <v>0</v>
      </c>
      <c r="W71" s="54">
        <v>0</v>
      </c>
      <c r="X71" s="54">
        <v>0</v>
      </c>
      <c r="Y71" s="54">
        <v>0</v>
      </c>
      <c r="Z71" s="54">
        <v>7</v>
      </c>
      <c r="AA71" s="54">
        <v>6</v>
      </c>
      <c r="AB71" s="54">
        <v>1</v>
      </c>
      <c r="AC71" s="54">
        <v>4</v>
      </c>
      <c r="AD71" s="55">
        <v>1</v>
      </c>
      <c r="AE71" s="55">
        <v>1</v>
      </c>
      <c r="AF71" s="55"/>
      <c r="AG71" s="5">
        <f t="shared" si="5"/>
        <v>94</v>
      </c>
    </row>
    <row r="72" spans="1:33" ht="15.75" customHeight="1" x14ac:dyDescent="0.25">
      <c r="A72" s="56" t="s">
        <v>21</v>
      </c>
      <c r="B72" s="54">
        <v>1</v>
      </c>
      <c r="C72" s="54">
        <v>1</v>
      </c>
      <c r="D72" s="54">
        <v>0</v>
      </c>
      <c r="E72" s="54">
        <v>11</v>
      </c>
      <c r="F72" s="54">
        <v>3</v>
      </c>
      <c r="G72" s="54">
        <v>7</v>
      </c>
      <c r="H72" s="54">
        <v>2</v>
      </c>
      <c r="I72" s="54">
        <v>2</v>
      </c>
      <c r="J72" s="54">
        <v>0</v>
      </c>
      <c r="K72" s="54">
        <v>0</v>
      </c>
      <c r="L72" s="54">
        <v>3</v>
      </c>
      <c r="M72" s="54">
        <v>0</v>
      </c>
      <c r="N72" s="54">
        <v>1</v>
      </c>
      <c r="O72" s="54">
        <v>1</v>
      </c>
      <c r="P72" s="54">
        <v>0</v>
      </c>
      <c r="Q72" s="54">
        <v>0</v>
      </c>
      <c r="R72" s="54">
        <v>0</v>
      </c>
      <c r="S72" s="54">
        <v>8</v>
      </c>
      <c r="T72" s="54">
        <v>0</v>
      </c>
      <c r="U72" s="54">
        <v>0</v>
      </c>
      <c r="V72" s="54">
        <v>0</v>
      </c>
      <c r="W72" s="54">
        <v>0</v>
      </c>
      <c r="X72" s="54">
        <v>2</v>
      </c>
      <c r="Y72" s="54">
        <v>1</v>
      </c>
      <c r="Z72" s="54">
        <v>9</v>
      </c>
      <c r="AA72" s="54">
        <v>0</v>
      </c>
      <c r="AB72" s="54">
        <v>0</v>
      </c>
      <c r="AC72" s="54">
        <v>4</v>
      </c>
      <c r="AD72" s="55">
        <v>0</v>
      </c>
      <c r="AE72" s="55">
        <v>1</v>
      </c>
      <c r="AF72" s="55"/>
      <c r="AG72" s="5">
        <f t="shared" si="5"/>
        <v>57</v>
      </c>
    </row>
    <row r="73" spans="1:33" ht="15.75" customHeight="1" x14ac:dyDescent="0.25">
      <c r="A73" s="56" t="s">
        <v>22</v>
      </c>
      <c r="B73" s="54">
        <v>0</v>
      </c>
      <c r="C73" s="54">
        <v>0</v>
      </c>
      <c r="D73" s="54">
        <v>1</v>
      </c>
      <c r="E73" s="54">
        <v>5</v>
      </c>
      <c r="F73" s="54">
        <v>1</v>
      </c>
      <c r="G73" s="54">
        <v>2</v>
      </c>
      <c r="H73" s="54">
        <v>5</v>
      </c>
      <c r="I73" s="54">
        <v>3</v>
      </c>
      <c r="J73" s="54">
        <v>0</v>
      </c>
      <c r="K73" s="54">
        <v>0</v>
      </c>
      <c r="L73" s="54">
        <v>2</v>
      </c>
      <c r="M73" s="54">
        <v>0</v>
      </c>
      <c r="N73" s="54">
        <v>0</v>
      </c>
      <c r="O73" s="54">
        <v>1</v>
      </c>
      <c r="P73" s="54">
        <v>0</v>
      </c>
      <c r="Q73" s="54">
        <v>1</v>
      </c>
      <c r="R73" s="54">
        <v>0</v>
      </c>
      <c r="S73" s="54">
        <v>0</v>
      </c>
      <c r="T73" s="54">
        <v>1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9</v>
      </c>
      <c r="AA73" s="54">
        <v>5</v>
      </c>
      <c r="AB73" s="54">
        <v>1</v>
      </c>
      <c r="AC73" s="54">
        <v>5</v>
      </c>
      <c r="AD73" s="55">
        <v>2</v>
      </c>
      <c r="AE73" s="55">
        <v>4</v>
      </c>
      <c r="AF73" s="55"/>
      <c r="AG73" s="5">
        <f t="shared" si="5"/>
        <v>48</v>
      </c>
    </row>
    <row r="74" spans="1:33" ht="15.75" customHeight="1" x14ac:dyDescent="0.25">
      <c r="A74" s="56" t="s">
        <v>23</v>
      </c>
      <c r="B74" s="54">
        <v>0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2</v>
      </c>
      <c r="I74" s="54">
        <v>12</v>
      </c>
      <c r="J74" s="54">
        <v>1</v>
      </c>
      <c r="K74" s="54">
        <v>0</v>
      </c>
      <c r="L74" s="54">
        <v>0</v>
      </c>
      <c r="M74" s="54">
        <v>0</v>
      </c>
      <c r="N74" s="54">
        <v>0</v>
      </c>
      <c r="O74" s="54">
        <v>2</v>
      </c>
      <c r="P74" s="54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0</v>
      </c>
      <c r="AE74" s="55">
        <v>0</v>
      </c>
      <c r="AF74" s="55"/>
      <c r="AG74" s="5">
        <f t="shared" si="5"/>
        <v>17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1</v>
      </c>
      <c r="K75" s="54">
        <v>0</v>
      </c>
      <c r="L75" s="54">
        <v>0</v>
      </c>
      <c r="M75" s="54">
        <v>0</v>
      </c>
      <c r="N75" s="54">
        <v>0</v>
      </c>
      <c r="O75" s="54">
        <v>0</v>
      </c>
      <c r="P75" s="54">
        <v>0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/>
      <c r="AG75" s="5">
        <f t="shared" si="5"/>
        <v>1</v>
      </c>
    </row>
    <row r="76" spans="1:33" ht="15.75" customHeight="1" x14ac:dyDescent="0.25">
      <c r="A76" s="56" t="s">
        <v>25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1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1</v>
      </c>
      <c r="AB76" s="54">
        <v>0</v>
      </c>
      <c r="AC76" s="54">
        <v>0</v>
      </c>
      <c r="AD76" s="55">
        <v>0</v>
      </c>
      <c r="AE76" s="55">
        <v>0</v>
      </c>
      <c r="AF76" s="55"/>
      <c r="AG76" s="5">
        <f t="shared" si="5"/>
        <v>2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/>
      <c r="AG77" s="9">
        <f t="shared" si="5"/>
        <v>0</v>
      </c>
    </row>
    <row r="78" spans="1:33" ht="19.5" customHeight="1" thickBot="1" x14ac:dyDescent="0.3">
      <c r="A78" s="63" t="s">
        <v>29</v>
      </c>
      <c r="B78" s="11">
        <f t="shared" ref="B78:AF78" si="6">SUM(B79:B80)</f>
        <v>197</v>
      </c>
      <c r="C78" s="11">
        <f t="shared" si="6"/>
        <v>235</v>
      </c>
      <c r="D78" s="11">
        <f t="shared" si="6"/>
        <v>227</v>
      </c>
      <c r="E78" s="11">
        <f t="shared" si="6"/>
        <v>181</v>
      </c>
      <c r="F78" s="11">
        <f t="shared" si="6"/>
        <v>170</v>
      </c>
      <c r="G78" s="11">
        <f t="shared" si="6"/>
        <v>148</v>
      </c>
      <c r="H78" s="11">
        <f t="shared" si="6"/>
        <v>151</v>
      </c>
      <c r="I78" s="11">
        <f t="shared" si="6"/>
        <v>169</v>
      </c>
      <c r="J78" s="11">
        <f t="shared" si="6"/>
        <v>237</v>
      </c>
      <c r="K78" s="11">
        <f t="shared" si="6"/>
        <v>224</v>
      </c>
      <c r="L78" s="11">
        <f t="shared" si="6"/>
        <v>159</v>
      </c>
      <c r="M78" s="11">
        <f t="shared" si="6"/>
        <v>150</v>
      </c>
      <c r="N78" s="11">
        <f t="shared" si="6"/>
        <v>146</v>
      </c>
      <c r="O78" s="11">
        <f t="shared" si="6"/>
        <v>156</v>
      </c>
      <c r="P78" s="11">
        <f t="shared" si="6"/>
        <v>140</v>
      </c>
      <c r="Q78" s="11">
        <f t="shared" si="6"/>
        <v>218</v>
      </c>
      <c r="R78" s="11">
        <f t="shared" si="6"/>
        <v>187</v>
      </c>
      <c r="S78" s="11">
        <f t="shared" si="6"/>
        <v>174</v>
      </c>
      <c r="T78" s="11">
        <f t="shared" si="6"/>
        <v>171</v>
      </c>
      <c r="U78" s="11">
        <f t="shared" si="6"/>
        <v>144</v>
      </c>
      <c r="V78" s="11">
        <f t="shared" si="6"/>
        <v>146</v>
      </c>
      <c r="W78" s="11">
        <f t="shared" si="6"/>
        <v>135</v>
      </c>
      <c r="X78" s="11">
        <f t="shared" si="6"/>
        <v>202</v>
      </c>
      <c r="Y78" s="11">
        <f t="shared" si="6"/>
        <v>207</v>
      </c>
      <c r="Z78" s="11">
        <f t="shared" si="6"/>
        <v>177</v>
      </c>
      <c r="AA78" s="11">
        <f t="shared" si="6"/>
        <v>187</v>
      </c>
      <c r="AB78" s="11">
        <f t="shared" si="6"/>
        <v>146</v>
      </c>
      <c r="AC78" s="11">
        <f t="shared" si="6"/>
        <v>141</v>
      </c>
      <c r="AD78" s="11">
        <f t="shared" si="6"/>
        <v>133</v>
      </c>
      <c r="AE78" s="11">
        <f t="shared" si="6"/>
        <v>231</v>
      </c>
      <c r="AF78" s="11">
        <f t="shared" si="6"/>
        <v>0</v>
      </c>
      <c r="AG78" s="10">
        <f t="shared" si="5"/>
        <v>5289</v>
      </c>
    </row>
    <row r="79" spans="1:33" ht="19.5" customHeight="1" x14ac:dyDescent="0.25">
      <c r="A79" s="64" t="s">
        <v>30</v>
      </c>
      <c r="B79" s="3">
        <f t="shared" ref="B79" si="7">SUM(B4:B27)-B80</f>
        <v>197</v>
      </c>
      <c r="C79" s="3">
        <f t="shared" ref="C79" si="8">SUM(C4:C27)-C80</f>
        <v>235</v>
      </c>
      <c r="D79" s="3">
        <f t="shared" ref="D79:AF79" si="9">SUM(D4:D27)-D80</f>
        <v>227</v>
      </c>
      <c r="E79" s="3">
        <f t="shared" si="9"/>
        <v>181</v>
      </c>
      <c r="F79" s="3">
        <f t="shared" si="9"/>
        <v>170</v>
      </c>
      <c r="G79" s="3">
        <f t="shared" si="9"/>
        <v>148</v>
      </c>
      <c r="H79" s="3">
        <f t="shared" si="9"/>
        <v>151</v>
      </c>
      <c r="I79" s="3">
        <f t="shared" si="9"/>
        <v>169</v>
      </c>
      <c r="J79" s="3">
        <f t="shared" si="9"/>
        <v>237</v>
      </c>
      <c r="K79" s="3">
        <f t="shared" si="9"/>
        <v>224</v>
      </c>
      <c r="L79" s="3">
        <f t="shared" si="9"/>
        <v>159</v>
      </c>
      <c r="M79" s="3">
        <f t="shared" si="9"/>
        <v>150</v>
      </c>
      <c r="N79" s="3">
        <f t="shared" si="9"/>
        <v>146</v>
      </c>
      <c r="O79" s="3">
        <f t="shared" si="9"/>
        <v>156</v>
      </c>
      <c r="P79" s="3">
        <f t="shared" si="9"/>
        <v>140</v>
      </c>
      <c r="Q79" s="3">
        <f t="shared" si="9"/>
        <v>218</v>
      </c>
      <c r="R79" s="3">
        <f t="shared" si="9"/>
        <v>187</v>
      </c>
      <c r="S79" s="3">
        <f t="shared" si="9"/>
        <v>174</v>
      </c>
      <c r="T79" s="3">
        <f t="shared" si="9"/>
        <v>171</v>
      </c>
      <c r="U79" s="3">
        <f t="shared" si="9"/>
        <v>144</v>
      </c>
      <c r="V79" s="3">
        <f t="shared" si="9"/>
        <v>146</v>
      </c>
      <c r="W79" s="3">
        <f t="shared" si="9"/>
        <v>135</v>
      </c>
      <c r="X79" s="3">
        <f t="shared" si="9"/>
        <v>202</v>
      </c>
      <c r="Y79" s="3">
        <f t="shared" si="9"/>
        <v>207</v>
      </c>
      <c r="Z79" s="3">
        <f t="shared" si="9"/>
        <v>177</v>
      </c>
      <c r="AA79" s="3">
        <f t="shared" si="9"/>
        <v>187</v>
      </c>
      <c r="AB79" s="3">
        <f t="shared" si="9"/>
        <v>146</v>
      </c>
      <c r="AC79" s="3">
        <f t="shared" si="9"/>
        <v>141</v>
      </c>
      <c r="AD79" s="3">
        <f t="shared" si="9"/>
        <v>133</v>
      </c>
      <c r="AE79" s="3">
        <f t="shared" si="9"/>
        <v>231</v>
      </c>
      <c r="AF79" s="3">
        <f t="shared" si="9"/>
        <v>0</v>
      </c>
      <c r="AG79" s="4">
        <f t="shared" si="5"/>
        <v>5289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3</v>
      </c>
      <c r="C81" s="12">
        <f t="shared" si="10"/>
        <v>26</v>
      </c>
      <c r="D81" s="12">
        <f t="shared" si="10"/>
        <v>7</v>
      </c>
      <c r="E81" s="12">
        <f t="shared" si="10"/>
        <v>61</v>
      </c>
      <c r="F81" s="12">
        <f t="shared" si="10"/>
        <v>25</v>
      </c>
      <c r="G81" s="12">
        <f t="shared" si="10"/>
        <v>35</v>
      </c>
      <c r="H81" s="12">
        <f t="shared" si="10"/>
        <v>34</v>
      </c>
      <c r="I81" s="12">
        <f t="shared" si="10"/>
        <v>41</v>
      </c>
      <c r="J81" s="12">
        <f t="shared" si="10"/>
        <v>8</v>
      </c>
      <c r="K81" s="12">
        <f t="shared" si="10"/>
        <v>25</v>
      </c>
      <c r="L81" s="12">
        <f t="shared" si="10"/>
        <v>26</v>
      </c>
      <c r="M81" s="12">
        <f t="shared" si="10"/>
        <v>6</v>
      </c>
      <c r="N81" s="12">
        <f t="shared" si="10"/>
        <v>23</v>
      </c>
      <c r="O81" s="12">
        <f t="shared" si="10"/>
        <v>43</v>
      </c>
      <c r="P81" s="12">
        <f t="shared" si="10"/>
        <v>18</v>
      </c>
      <c r="Q81" s="12">
        <f t="shared" si="10"/>
        <v>12</v>
      </c>
      <c r="R81" s="12">
        <f t="shared" si="10"/>
        <v>5</v>
      </c>
      <c r="S81" s="12">
        <f t="shared" si="10"/>
        <v>27</v>
      </c>
      <c r="T81" s="12">
        <f t="shared" si="10"/>
        <v>21</v>
      </c>
      <c r="U81" s="12">
        <f t="shared" si="10"/>
        <v>19</v>
      </c>
      <c r="V81" s="12">
        <f t="shared" si="10"/>
        <v>7</v>
      </c>
      <c r="W81" s="12">
        <f t="shared" si="10"/>
        <v>11</v>
      </c>
      <c r="X81" s="12">
        <f t="shared" si="10"/>
        <v>33</v>
      </c>
      <c r="Y81" s="12">
        <f t="shared" si="10"/>
        <v>26</v>
      </c>
      <c r="Z81" s="12">
        <f t="shared" si="10"/>
        <v>48</v>
      </c>
      <c r="AA81" s="12">
        <f t="shared" si="10"/>
        <v>42</v>
      </c>
      <c r="AB81" s="12">
        <f t="shared" si="10"/>
        <v>24</v>
      </c>
      <c r="AC81" s="12">
        <f t="shared" si="10"/>
        <v>39</v>
      </c>
      <c r="AD81" s="12">
        <f t="shared" si="10"/>
        <v>11</v>
      </c>
      <c r="AE81" s="12">
        <f t="shared" si="10"/>
        <v>40</v>
      </c>
      <c r="AF81" s="12">
        <f t="shared" si="10"/>
        <v>0</v>
      </c>
      <c r="AG81" s="10">
        <f t="shared" si="5"/>
        <v>746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1</v>
      </c>
      <c r="C82" s="3">
        <f t="shared" si="11"/>
        <v>5</v>
      </c>
      <c r="D82" s="3">
        <f t="shared" si="11"/>
        <v>2</v>
      </c>
      <c r="E82" s="3">
        <f t="shared" si="11"/>
        <v>0</v>
      </c>
      <c r="F82" s="3">
        <f t="shared" si="11"/>
        <v>0</v>
      </c>
      <c r="G82" s="3">
        <f t="shared" si="11"/>
        <v>0</v>
      </c>
      <c r="H82" s="3">
        <f t="shared" si="11"/>
        <v>0</v>
      </c>
      <c r="I82" s="3">
        <f t="shared" si="11"/>
        <v>2</v>
      </c>
      <c r="J82" s="3">
        <f t="shared" si="11"/>
        <v>1</v>
      </c>
      <c r="K82" s="3">
        <f t="shared" si="11"/>
        <v>7</v>
      </c>
      <c r="L82" s="3">
        <f t="shared" si="11"/>
        <v>1</v>
      </c>
      <c r="M82" s="3">
        <f t="shared" si="11"/>
        <v>0</v>
      </c>
      <c r="N82" s="3">
        <f t="shared" si="11"/>
        <v>0</v>
      </c>
      <c r="O82" s="3">
        <f t="shared" si="11"/>
        <v>0</v>
      </c>
      <c r="P82" s="3">
        <f t="shared" si="11"/>
        <v>2</v>
      </c>
      <c r="Q82" s="3">
        <f t="shared" si="11"/>
        <v>3</v>
      </c>
      <c r="R82" s="3">
        <f t="shared" si="11"/>
        <v>3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0</v>
      </c>
      <c r="W82" s="3">
        <f t="shared" si="11"/>
        <v>0</v>
      </c>
      <c r="X82" s="3">
        <f t="shared" si="11"/>
        <v>14</v>
      </c>
      <c r="Y82" s="3">
        <f t="shared" si="11"/>
        <v>7</v>
      </c>
      <c r="Z82" s="3">
        <f t="shared" si="11"/>
        <v>0</v>
      </c>
      <c r="AA82" s="3">
        <f t="shared" si="11"/>
        <v>0</v>
      </c>
      <c r="AB82" s="3">
        <f t="shared" si="11"/>
        <v>0</v>
      </c>
      <c r="AC82" s="3">
        <f t="shared" si="11"/>
        <v>0</v>
      </c>
      <c r="AD82" s="3">
        <f t="shared" si="11"/>
        <v>0</v>
      </c>
      <c r="AE82" s="3">
        <f t="shared" si="11"/>
        <v>5</v>
      </c>
      <c r="AF82" s="3">
        <f t="shared" si="11"/>
        <v>0</v>
      </c>
      <c r="AG82" s="4">
        <f t="shared" si="5"/>
        <v>53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2</v>
      </c>
      <c r="C83" s="8">
        <f t="shared" si="12"/>
        <v>21</v>
      </c>
      <c r="D83" s="8">
        <f t="shared" si="12"/>
        <v>5</v>
      </c>
      <c r="E83" s="8">
        <f t="shared" si="12"/>
        <v>61</v>
      </c>
      <c r="F83" s="8">
        <f t="shared" si="12"/>
        <v>25</v>
      </c>
      <c r="G83" s="8">
        <f t="shared" si="12"/>
        <v>35</v>
      </c>
      <c r="H83" s="8">
        <f t="shared" si="12"/>
        <v>34</v>
      </c>
      <c r="I83" s="8">
        <f t="shared" si="12"/>
        <v>39</v>
      </c>
      <c r="J83" s="8">
        <f t="shared" si="12"/>
        <v>7</v>
      </c>
      <c r="K83" s="8">
        <f t="shared" si="12"/>
        <v>18</v>
      </c>
      <c r="L83" s="8">
        <f t="shared" si="12"/>
        <v>25</v>
      </c>
      <c r="M83" s="8">
        <f t="shared" si="12"/>
        <v>6</v>
      </c>
      <c r="N83" s="8">
        <f t="shared" si="12"/>
        <v>23</v>
      </c>
      <c r="O83" s="8">
        <f t="shared" si="12"/>
        <v>43</v>
      </c>
      <c r="P83" s="8">
        <f t="shared" si="12"/>
        <v>16</v>
      </c>
      <c r="Q83" s="8">
        <f t="shared" si="12"/>
        <v>9</v>
      </c>
      <c r="R83" s="8">
        <f t="shared" si="12"/>
        <v>2</v>
      </c>
      <c r="S83" s="8">
        <f t="shared" si="12"/>
        <v>27</v>
      </c>
      <c r="T83" s="8">
        <f t="shared" si="12"/>
        <v>21</v>
      </c>
      <c r="U83" s="8">
        <f t="shared" si="12"/>
        <v>19</v>
      </c>
      <c r="V83" s="8">
        <f t="shared" si="12"/>
        <v>7</v>
      </c>
      <c r="W83" s="8">
        <f t="shared" si="12"/>
        <v>11</v>
      </c>
      <c r="X83" s="8">
        <f t="shared" si="12"/>
        <v>19</v>
      </c>
      <c r="Y83" s="8">
        <f t="shared" si="12"/>
        <v>19</v>
      </c>
      <c r="Z83" s="8">
        <f t="shared" si="12"/>
        <v>48</v>
      </c>
      <c r="AA83" s="8">
        <f t="shared" si="12"/>
        <v>42</v>
      </c>
      <c r="AB83" s="8">
        <f t="shared" si="12"/>
        <v>24</v>
      </c>
      <c r="AC83" s="8">
        <f t="shared" si="12"/>
        <v>39</v>
      </c>
      <c r="AD83" s="8">
        <f t="shared" si="12"/>
        <v>11</v>
      </c>
      <c r="AE83" s="8">
        <f t="shared" si="12"/>
        <v>35</v>
      </c>
      <c r="AF83" s="8">
        <f t="shared" si="12"/>
        <v>0</v>
      </c>
      <c r="AG83" s="5">
        <f t="shared" si="5"/>
        <v>693</v>
      </c>
    </row>
    <row r="84" spans="1:34" ht="15.75" customHeight="1" thickBot="1" x14ac:dyDescent="0.3">
      <c r="A84" s="67" t="s">
        <v>33</v>
      </c>
      <c r="B84" s="14">
        <f t="shared" ref="B84:AF84" si="13">SUM(B85:B86)</f>
        <v>3</v>
      </c>
      <c r="C84" s="14">
        <f t="shared" si="13"/>
        <v>26</v>
      </c>
      <c r="D84" s="14">
        <f t="shared" si="13"/>
        <v>7</v>
      </c>
      <c r="E84" s="14">
        <f t="shared" si="13"/>
        <v>61</v>
      </c>
      <c r="F84" s="14">
        <f t="shared" si="13"/>
        <v>25</v>
      </c>
      <c r="G84" s="14">
        <f t="shared" si="13"/>
        <v>35</v>
      </c>
      <c r="H84" s="14">
        <f t="shared" si="13"/>
        <v>34</v>
      </c>
      <c r="I84" s="14">
        <f t="shared" si="13"/>
        <v>41</v>
      </c>
      <c r="J84" s="14">
        <f t="shared" si="13"/>
        <v>8</v>
      </c>
      <c r="K84" s="14">
        <f t="shared" si="13"/>
        <v>25</v>
      </c>
      <c r="L84" s="14">
        <f t="shared" si="13"/>
        <v>26</v>
      </c>
      <c r="M84" s="14">
        <f t="shared" si="13"/>
        <v>6</v>
      </c>
      <c r="N84" s="14">
        <f t="shared" si="13"/>
        <v>23</v>
      </c>
      <c r="O84" s="14">
        <f t="shared" si="13"/>
        <v>43</v>
      </c>
      <c r="P84" s="14">
        <f t="shared" si="13"/>
        <v>18</v>
      </c>
      <c r="Q84" s="14">
        <f t="shared" si="13"/>
        <v>12</v>
      </c>
      <c r="R84" s="14">
        <f t="shared" si="13"/>
        <v>5</v>
      </c>
      <c r="S84" s="14">
        <f t="shared" si="13"/>
        <v>27</v>
      </c>
      <c r="T84" s="14">
        <f t="shared" si="13"/>
        <v>21</v>
      </c>
      <c r="U84" s="14">
        <f t="shared" si="13"/>
        <v>19</v>
      </c>
      <c r="V84" s="14">
        <f t="shared" si="13"/>
        <v>7</v>
      </c>
      <c r="W84" s="14">
        <f t="shared" si="13"/>
        <v>11</v>
      </c>
      <c r="X84" s="14">
        <f t="shared" si="13"/>
        <v>33</v>
      </c>
      <c r="Y84" s="14">
        <f t="shared" si="13"/>
        <v>26</v>
      </c>
      <c r="Z84" s="14">
        <f t="shared" si="13"/>
        <v>48</v>
      </c>
      <c r="AA84" s="14">
        <f t="shared" si="13"/>
        <v>42</v>
      </c>
      <c r="AB84" s="14">
        <f t="shared" si="13"/>
        <v>24</v>
      </c>
      <c r="AC84" s="14">
        <f t="shared" si="13"/>
        <v>39</v>
      </c>
      <c r="AD84" s="14">
        <f t="shared" si="13"/>
        <v>11</v>
      </c>
      <c r="AE84" s="14">
        <f t="shared" si="13"/>
        <v>40</v>
      </c>
      <c r="AF84" s="14">
        <f t="shared" si="13"/>
        <v>0</v>
      </c>
      <c r="AG84" s="15">
        <f t="shared" si="5"/>
        <v>746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1</v>
      </c>
      <c r="C85" s="69">
        <v>10</v>
      </c>
      <c r="D85" s="69">
        <v>1</v>
      </c>
      <c r="E85" s="69">
        <v>13</v>
      </c>
      <c r="F85" s="69">
        <v>3</v>
      </c>
      <c r="G85" s="69">
        <v>8</v>
      </c>
      <c r="H85" s="69">
        <v>15</v>
      </c>
      <c r="I85" s="69">
        <v>13</v>
      </c>
      <c r="J85" s="69">
        <v>5</v>
      </c>
      <c r="K85" s="69">
        <v>8</v>
      </c>
      <c r="L85" s="69">
        <v>11</v>
      </c>
      <c r="M85" s="69">
        <v>3</v>
      </c>
      <c r="N85" s="69">
        <v>5</v>
      </c>
      <c r="O85" s="69">
        <v>16</v>
      </c>
      <c r="P85" s="69">
        <v>4</v>
      </c>
      <c r="Q85" s="69">
        <v>4</v>
      </c>
      <c r="R85" s="69">
        <v>2</v>
      </c>
      <c r="S85" s="69">
        <v>5</v>
      </c>
      <c r="T85" s="69">
        <v>7</v>
      </c>
      <c r="U85" s="69">
        <v>2</v>
      </c>
      <c r="V85" s="69">
        <v>1</v>
      </c>
      <c r="W85" s="69">
        <v>4</v>
      </c>
      <c r="X85" s="69">
        <v>17</v>
      </c>
      <c r="Y85" s="69">
        <v>10</v>
      </c>
      <c r="Z85" s="69">
        <v>14</v>
      </c>
      <c r="AA85" s="69">
        <v>13</v>
      </c>
      <c r="AB85" s="69">
        <v>6</v>
      </c>
      <c r="AC85" s="69">
        <v>12</v>
      </c>
      <c r="AD85" s="69">
        <v>3</v>
      </c>
      <c r="AE85" s="69">
        <v>12</v>
      </c>
      <c r="AF85" s="69"/>
      <c r="AG85" s="16">
        <f t="shared" si="5"/>
        <v>228</v>
      </c>
    </row>
    <row r="86" spans="1:34" ht="15.75" customHeight="1" thickBot="1" x14ac:dyDescent="0.3">
      <c r="A86" s="70" t="s">
        <v>35</v>
      </c>
      <c r="B86" s="71">
        <v>2</v>
      </c>
      <c r="C86" s="71">
        <v>16</v>
      </c>
      <c r="D86" s="71">
        <v>6</v>
      </c>
      <c r="E86" s="71">
        <v>48</v>
      </c>
      <c r="F86" s="71">
        <v>22</v>
      </c>
      <c r="G86" s="71">
        <v>27</v>
      </c>
      <c r="H86" s="71">
        <v>19</v>
      </c>
      <c r="I86" s="71">
        <v>28</v>
      </c>
      <c r="J86" s="71">
        <v>3</v>
      </c>
      <c r="K86" s="71">
        <v>17</v>
      </c>
      <c r="L86" s="71">
        <v>15</v>
      </c>
      <c r="M86" s="71">
        <v>3</v>
      </c>
      <c r="N86" s="71">
        <v>18</v>
      </c>
      <c r="O86" s="71">
        <v>27</v>
      </c>
      <c r="P86" s="71">
        <v>14</v>
      </c>
      <c r="Q86" s="71">
        <v>8</v>
      </c>
      <c r="R86" s="71">
        <v>3</v>
      </c>
      <c r="S86" s="71">
        <v>22</v>
      </c>
      <c r="T86" s="71">
        <v>14</v>
      </c>
      <c r="U86" s="71">
        <v>17</v>
      </c>
      <c r="V86" s="71">
        <v>6</v>
      </c>
      <c r="W86" s="71">
        <v>7</v>
      </c>
      <c r="X86" s="71">
        <v>16</v>
      </c>
      <c r="Y86" s="71">
        <v>16</v>
      </c>
      <c r="Z86" s="71">
        <v>34</v>
      </c>
      <c r="AA86" s="71">
        <v>29</v>
      </c>
      <c r="AB86" s="71">
        <v>18</v>
      </c>
      <c r="AC86" s="71">
        <v>27</v>
      </c>
      <c r="AD86" s="71">
        <v>8</v>
      </c>
      <c r="AE86" s="71">
        <v>28</v>
      </c>
      <c r="AF86" s="71"/>
      <c r="AG86" s="17">
        <f t="shared" si="5"/>
        <v>518</v>
      </c>
    </row>
    <row r="87" spans="1:34" ht="15.75" customHeight="1" thickBot="1" x14ac:dyDescent="0.3">
      <c r="A87" s="72" t="s">
        <v>36</v>
      </c>
      <c r="B87" s="18">
        <f t="shared" ref="B87:AF87" si="14">SUM(B88:B92)</f>
        <v>3</v>
      </c>
      <c r="C87" s="18">
        <f t="shared" si="14"/>
        <v>26</v>
      </c>
      <c r="D87" s="18">
        <f t="shared" si="14"/>
        <v>7</v>
      </c>
      <c r="E87" s="18">
        <f t="shared" si="14"/>
        <v>61</v>
      </c>
      <c r="F87" s="18">
        <f t="shared" si="14"/>
        <v>25</v>
      </c>
      <c r="G87" s="18">
        <f t="shared" si="14"/>
        <v>35</v>
      </c>
      <c r="H87" s="18">
        <f t="shared" si="14"/>
        <v>34</v>
      </c>
      <c r="I87" s="18">
        <f t="shared" si="14"/>
        <v>41</v>
      </c>
      <c r="J87" s="18">
        <f t="shared" si="14"/>
        <v>8</v>
      </c>
      <c r="K87" s="18">
        <f t="shared" si="14"/>
        <v>25</v>
      </c>
      <c r="L87" s="18">
        <f t="shared" si="14"/>
        <v>26</v>
      </c>
      <c r="M87" s="18">
        <f t="shared" si="14"/>
        <v>6</v>
      </c>
      <c r="N87" s="18">
        <f t="shared" si="14"/>
        <v>23</v>
      </c>
      <c r="O87" s="18">
        <f t="shared" si="14"/>
        <v>43</v>
      </c>
      <c r="P87" s="18">
        <f t="shared" si="14"/>
        <v>18</v>
      </c>
      <c r="Q87" s="18">
        <f t="shared" si="14"/>
        <v>12</v>
      </c>
      <c r="R87" s="18">
        <f t="shared" si="14"/>
        <v>5</v>
      </c>
      <c r="S87" s="18">
        <f t="shared" si="14"/>
        <v>27</v>
      </c>
      <c r="T87" s="18">
        <f t="shared" si="14"/>
        <v>21</v>
      </c>
      <c r="U87" s="18">
        <f t="shared" si="14"/>
        <v>19</v>
      </c>
      <c r="V87" s="18">
        <f t="shared" si="14"/>
        <v>7</v>
      </c>
      <c r="W87" s="18">
        <f t="shared" si="14"/>
        <v>11</v>
      </c>
      <c r="X87" s="18">
        <f t="shared" si="14"/>
        <v>33</v>
      </c>
      <c r="Y87" s="18">
        <f t="shared" si="14"/>
        <v>26</v>
      </c>
      <c r="Z87" s="18">
        <f t="shared" si="14"/>
        <v>48</v>
      </c>
      <c r="AA87" s="18">
        <f t="shared" si="14"/>
        <v>42</v>
      </c>
      <c r="AB87" s="18">
        <f t="shared" si="14"/>
        <v>24</v>
      </c>
      <c r="AC87" s="18">
        <f t="shared" si="14"/>
        <v>39</v>
      </c>
      <c r="AD87" s="18">
        <f t="shared" si="14"/>
        <v>11</v>
      </c>
      <c r="AE87" s="18">
        <f t="shared" si="14"/>
        <v>40</v>
      </c>
      <c r="AF87" s="18">
        <f t="shared" si="14"/>
        <v>0</v>
      </c>
      <c r="AG87" s="19">
        <f t="shared" si="5"/>
        <v>746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2</v>
      </c>
      <c r="C88" s="60">
        <v>10</v>
      </c>
      <c r="D88" s="60">
        <v>2</v>
      </c>
      <c r="E88" s="60">
        <v>8</v>
      </c>
      <c r="F88" s="60">
        <v>6</v>
      </c>
      <c r="G88" s="60">
        <v>4</v>
      </c>
      <c r="H88" s="60">
        <v>4</v>
      </c>
      <c r="I88" s="60">
        <v>9</v>
      </c>
      <c r="J88" s="60">
        <v>6</v>
      </c>
      <c r="K88" s="60">
        <v>5</v>
      </c>
      <c r="L88" s="60">
        <v>4</v>
      </c>
      <c r="M88" s="60">
        <v>3</v>
      </c>
      <c r="N88" s="60">
        <v>5</v>
      </c>
      <c r="O88" s="60">
        <v>5</v>
      </c>
      <c r="P88" s="60">
        <v>6</v>
      </c>
      <c r="Q88" s="60">
        <v>8</v>
      </c>
      <c r="R88" s="60">
        <v>5</v>
      </c>
      <c r="S88" s="60">
        <v>6</v>
      </c>
      <c r="T88" s="60">
        <v>3</v>
      </c>
      <c r="U88" s="60">
        <v>2</v>
      </c>
      <c r="V88" s="60">
        <v>1</v>
      </c>
      <c r="W88" s="60">
        <v>6</v>
      </c>
      <c r="X88" s="60">
        <v>9</v>
      </c>
      <c r="Y88" s="60">
        <v>6</v>
      </c>
      <c r="Z88" s="60">
        <v>4</v>
      </c>
      <c r="AA88" s="60">
        <v>14</v>
      </c>
      <c r="AB88" s="60">
        <v>6</v>
      </c>
      <c r="AC88" s="60">
        <v>5</v>
      </c>
      <c r="AD88" s="60">
        <v>5</v>
      </c>
      <c r="AE88" s="60">
        <v>10</v>
      </c>
      <c r="AF88" s="60"/>
      <c r="AG88" s="4">
        <f t="shared" si="5"/>
        <v>169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/>
      <c r="AG89" s="5">
        <f t="shared" si="5"/>
        <v>0</v>
      </c>
    </row>
    <row r="90" spans="1:34" ht="15.75" customHeight="1" x14ac:dyDescent="0.25">
      <c r="A90" s="74" t="s">
        <v>39</v>
      </c>
      <c r="B90" s="60">
        <v>0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60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1</v>
      </c>
      <c r="O90" s="60">
        <v>1</v>
      </c>
      <c r="P90" s="60">
        <v>0</v>
      </c>
      <c r="Q90" s="60">
        <v>0</v>
      </c>
      <c r="R90" s="60">
        <v>0</v>
      </c>
      <c r="S90" s="60">
        <v>0</v>
      </c>
      <c r="T90" s="60">
        <v>0</v>
      </c>
      <c r="U90" s="60">
        <v>0</v>
      </c>
      <c r="V90" s="60">
        <v>0</v>
      </c>
      <c r="W90" s="60">
        <v>1</v>
      </c>
      <c r="X90" s="60">
        <v>0</v>
      </c>
      <c r="Y90" s="60">
        <v>1</v>
      </c>
      <c r="Z90" s="60">
        <v>0</v>
      </c>
      <c r="AA90" s="60">
        <v>0</v>
      </c>
      <c r="AB90" s="60">
        <v>1</v>
      </c>
      <c r="AC90" s="60">
        <v>0</v>
      </c>
      <c r="AD90" s="60">
        <v>0</v>
      </c>
      <c r="AE90" s="60">
        <v>0</v>
      </c>
      <c r="AF90" s="60"/>
      <c r="AG90" s="5">
        <f t="shared" si="5"/>
        <v>5</v>
      </c>
    </row>
    <row r="91" spans="1:34" ht="15.75" customHeight="1" x14ac:dyDescent="0.25">
      <c r="A91" s="74" t="s">
        <v>40</v>
      </c>
      <c r="B91" s="60">
        <v>1</v>
      </c>
      <c r="C91" s="60">
        <v>11</v>
      </c>
      <c r="D91" s="60">
        <v>4</v>
      </c>
      <c r="E91" s="60">
        <v>45</v>
      </c>
      <c r="F91" s="60">
        <v>19</v>
      </c>
      <c r="G91" s="60">
        <v>24</v>
      </c>
      <c r="H91" s="60">
        <v>22</v>
      </c>
      <c r="I91" s="60">
        <v>29</v>
      </c>
      <c r="J91" s="60">
        <v>2</v>
      </c>
      <c r="K91" s="60">
        <v>6</v>
      </c>
      <c r="L91" s="60">
        <v>19</v>
      </c>
      <c r="M91" s="60">
        <v>2</v>
      </c>
      <c r="N91" s="60">
        <v>15</v>
      </c>
      <c r="O91" s="60">
        <v>25</v>
      </c>
      <c r="P91" s="60">
        <v>5</v>
      </c>
      <c r="Q91" s="60">
        <v>4</v>
      </c>
      <c r="R91" s="60">
        <v>0</v>
      </c>
      <c r="S91" s="60">
        <v>17</v>
      </c>
      <c r="T91" s="60">
        <v>11</v>
      </c>
      <c r="U91" s="60">
        <v>9</v>
      </c>
      <c r="V91" s="60">
        <v>2</v>
      </c>
      <c r="W91" s="60">
        <v>2</v>
      </c>
      <c r="X91" s="60">
        <v>11</v>
      </c>
      <c r="Y91" s="60">
        <v>15</v>
      </c>
      <c r="Z91" s="60">
        <v>43</v>
      </c>
      <c r="AA91" s="60">
        <v>24</v>
      </c>
      <c r="AB91" s="60">
        <v>16</v>
      </c>
      <c r="AC91" s="60">
        <v>29</v>
      </c>
      <c r="AD91" s="60">
        <v>5</v>
      </c>
      <c r="AE91" s="60">
        <v>26</v>
      </c>
      <c r="AF91" s="60"/>
      <c r="AG91" s="5">
        <f t="shared" si="5"/>
        <v>443</v>
      </c>
    </row>
    <row r="92" spans="1:34" ht="15.75" customHeight="1" thickBot="1" x14ac:dyDescent="0.3">
      <c r="A92" s="74" t="s">
        <v>41</v>
      </c>
      <c r="B92" s="60">
        <v>0</v>
      </c>
      <c r="C92" s="60">
        <v>5</v>
      </c>
      <c r="D92" s="60">
        <v>1</v>
      </c>
      <c r="E92" s="60">
        <v>8</v>
      </c>
      <c r="F92" s="60">
        <v>0</v>
      </c>
      <c r="G92" s="60">
        <v>7</v>
      </c>
      <c r="H92" s="60">
        <v>8</v>
      </c>
      <c r="I92" s="60">
        <v>3</v>
      </c>
      <c r="J92" s="60">
        <v>0</v>
      </c>
      <c r="K92" s="60">
        <v>14</v>
      </c>
      <c r="L92" s="60">
        <v>3</v>
      </c>
      <c r="M92" s="60">
        <v>1</v>
      </c>
      <c r="N92" s="60">
        <v>2</v>
      </c>
      <c r="O92" s="60">
        <v>12</v>
      </c>
      <c r="P92" s="60">
        <v>7</v>
      </c>
      <c r="Q92" s="60">
        <v>0</v>
      </c>
      <c r="R92" s="60">
        <v>0</v>
      </c>
      <c r="S92" s="60">
        <v>4</v>
      </c>
      <c r="T92" s="60">
        <v>7</v>
      </c>
      <c r="U92" s="60">
        <v>8</v>
      </c>
      <c r="V92" s="60">
        <v>4</v>
      </c>
      <c r="W92" s="60">
        <v>2</v>
      </c>
      <c r="X92" s="60">
        <v>13</v>
      </c>
      <c r="Y92" s="60">
        <v>4</v>
      </c>
      <c r="Z92" s="60">
        <v>1</v>
      </c>
      <c r="AA92" s="60">
        <v>4</v>
      </c>
      <c r="AB92" s="60">
        <v>1</v>
      </c>
      <c r="AC92" s="60">
        <v>5</v>
      </c>
      <c r="AD92" s="60">
        <v>1</v>
      </c>
      <c r="AE92" s="60">
        <v>4</v>
      </c>
      <c r="AF92" s="60"/>
      <c r="AG92" s="5">
        <f t="shared" si="5"/>
        <v>129</v>
      </c>
    </row>
    <row r="93" spans="1:34" ht="15.75" customHeight="1" x14ac:dyDescent="0.25">
      <c r="A93" s="75" t="s">
        <v>42</v>
      </c>
      <c r="B93" s="20">
        <f t="shared" ref="B93:AF93" si="15">+B94+B100</f>
        <v>194</v>
      </c>
      <c r="C93" s="20">
        <f t="shared" si="15"/>
        <v>209</v>
      </c>
      <c r="D93" s="20">
        <f t="shared" si="15"/>
        <v>220</v>
      </c>
      <c r="E93" s="20">
        <f t="shared" si="15"/>
        <v>120</v>
      </c>
      <c r="F93" s="20">
        <f t="shared" si="15"/>
        <v>145</v>
      </c>
      <c r="G93" s="20">
        <f t="shared" si="15"/>
        <v>113</v>
      </c>
      <c r="H93" s="20">
        <f t="shared" si="15"/>
        <v>117</v>
      </c>
      <c r="I93" s="20">
        <f t="shared" si="15"/>
        <v>128</v>
      </c>
      <c r="J93" s="20">
        <f t="shared" si="15"/>
        <v>229</v>
      </c>
      <c r="K93" s="20">
        <f t="shared" si="15"/>
        <v>199</v>
      </c>
      <c r="L93" s="20">
        <f t="shared" si="15"/>
        <v>133</v>
      </c>
      <c r="M93" s="20">
        <f t="shared" si="15"/>
        <v>144</v>
      </c>
      <c r="N93" s="20">
        <f t="shared" si="15"/>
        <v>123</v>
      </c>
      <c r="O93" s="20">
        <f t="shared" si="15"/>
        <v>113</v>
      </c>
      <c r="P93" s="20">
        <f t="shared" si="15"/>
        <v>122</v>
      </c>
      <c r="Q93" s="20">
        <f t="shared" si="15"/>
        <v>206</v>
      </c>
      <c r="R93" s="20">
        <f t="shared" si="15"/>
        <v>182</v>
      </c>
      <c r="S93" s="20">
        <f t="shared" si="15"/>
        <v>147</v>
      </c>
      <c r="T93" s="20">
        <f t="shared" si="15"/>
        <v>150</v>
      </c>
      <c r="U93" s="20">
        <f t="shared" si="15"/>
        <v>125</v>
      </c>
      <c r="V93" s="20">
        <f t="shared" si="15"/>
        <v>139</v>
      </c>
      <c r="W93" s="20">
        <f t="shared" si="15"/>
        <v>124</v>
      </c>
      <c r="X93" s="20">
        <f t="shared" si="15"/>
        <v>169</v>
      </c>
      <c r="Y93" s="20">
        <f t="shared" si="15"/>
        <v>181</v>
      </c>
      <c r="Z93" s="20">
        <f t="shared" si="15"/>
        <v>129</v>
      </c>
      <c r="AA93" s="20">
        <f t="shared" si="15"/>
        <v>145</v>
      </c>
      <c r="AB93" s="20">
        <f t="shared" si="15"/>
        <v>122</v>
      </c>
      <c r="AC93" s="20">
        <f t="shared" si="15"/>
        <v>102</v>
      </c>
      <c r="AD93" s="20">
        <f t="shared" si="15"/>
        <v>122</v>
      </c>
      <c r="AE93" s="20">
        <f t="shared" si="15"/>
        <v>191</v>
      </c>
      <c r="AF93" s="20">
        <f t="shared" si="15"/>
        <v>0</v>
      </c>
      <c r="AG93" s="5">
        <f t="shared" si="5"/>
        <v>4543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33</v>
      </c>
      <c r="C94" s="21">
        <f t="shared" si="16"/>
        <v>30</v>
      </c>
      <c r="D94" s="21">
        <f t="shared" si="16"/>
        <v>48</v>
      </c>
      <c r="E94" s="21">
        <f t="shared" si="16"/>
        <v>21</v>
      </c>
      <c r="F94" s="21">
        <f t="shared" si="16"/>
        <v>24</v>
      </c>
      <c r="G94" s="21">
        <f t="shared" si="16"/>
        <v>22</v>
      </c>
      <c r="H94" s="21">
        <f t="shared" si="16"/>
        <v>24</v>
      </c>
      <c r="I94" s="21">
        <f t="shared" si="16"/>
        <v>15</v>
      </c>
      <c r="J94" s="21">
        <f t="shared" si="16"/>
        <v>38</v>
      </c>
      <c r="K94" s="21">
        <f t="shared" si="16"/>
        <v>49</v>
      </c>
      <c r="L94" s="21">
        <f t="shared" si="16"/>
        <v>22</v>
      </c>
      <c r="M94" s="21">
        <f t="shared" si="16"/>
        <v>33</v>
      </c>
      <c r="N94" s="21">
        <f t="shared" si="16"/>
        <v>28</v>
      </c>
      <c r="O94" s="21">
        <f t="shared" si="16"/>
        <v>20</v>
      </c>
      <c r="P94" s="21">
        <f t="shared" si="16"/>
        <v>22</v>
      </c>
      <c r="Q94" s="21">
        <f t="shared" si="16"/>
        <v>44</v>
      </c>
      <c r="R94" s="21">
        <f t="shared" si="16"/>
        <v>39</v>
      </c>
      <c r="S94" s="21">
        <f t="shared" si="16"/>
        <v>23</v>
      </c>
      <c r="T94" s="21">
        <f t="shared" si="16"/>
        <v>36</v>
      </c>
      <c r="U94" s="21">
        <f t="shared" si="16"/>
        <v>24</v>
      </c>
      <c r="V94" s="21">
        <f t="shared" si="16"/>
        <v>28</v>
      </c>
      <c r="W94" s="21">
        <f t="shared" si="16"/>
        <v>26</v>
      </c>
      <c r="X94" s="21">
        <f t="shared" si="16"/>
        <v>21</v>
      </c>
      <c r="Y94" s="21">
        <f t="shared" si="16"/>
        <v>41</v>
      </c>
      <c r="Z94" s="21">
        <f t="shared" si="16"/>
        <v>30</v>
      </c>
      <c r="AA94" s="21">
        <f t="shared" si="16"/>
        <v>39</v>
      </c>
      <c r="AB94" s="21">
        <f t="shared" si="16"/>
        <v>26</v>
      </c>
      <c r="AC94" s="21">
        <f t="shared" si="16"/>
        <v>18</v>
      </c>
      <c r="AD94" s="21">
        <f t="shared" si="16"/>
        <v>20</v>
      </c>
      <c r="AE94" s="21">
        <f t="shared" si="16"/>
        <v>26</v>
      </c>
      <c r="AF94" s="21">
        <f t="shared" si="16"/>
        <v>0</v>
      </c>
      <c r="AG94" s="5">
        <f t="shared" si="5"/>
        <v>870</v>
      </c>
    </row>
    <row r="95" spans="1:34" ht="15.75" customHeight="1" x14ac:dyDescent="0.25">
      <c r="A95" s="78" t="s">
        <v>44</v>
      </c>
      <c r="B95" s="54">
        <v>1</v>
      </c>
      <c r="C95" s="54">
        <v>0</v>
      </c>
      <c r="D95" s="54">
        <v>0</v>
      </c>
      <c r="E95" s="54">
        <v>1</v>
      </c>
      <c r="F95" s="54">
        <v>0</v>
      </c>
      <c r="G95" s="54">
        <v>0</v>
      </c>
      <c r="H95" s="54">
        <v>0</v>
      </c>
      <c r="I95" s="54">
        <v>1</v>
      </c>
      <c r="J95" s="54">
        <v>2</v>
      </c>
      <c r="K95" s="54">
        <v>0</v>
      </c>
      <c r="L95" s="54">
        <v>2</v>
      </c>
      <c r="M95" s="54">
        <v>2</v>
      </c>
      <c r="N95" s="54">
        <v>1</v>
      </c>
      <c r="O95" s="54">
        <v>0</v>
      </c>
      <c r="P95" s="54">
        <v>1</v>
      </c>
      <c r="Q95" s="54">
        <v>0</v>
      </c>
      <c r="R95" s="54">
        <v>1</v>
      </c>
      <c r="S95" s="54">
        <v>0</v>
      </c>
      <c r="T95" s="54">
        <v>0</v>
      </c>
      <c r="U95" s="54">
        <v>1</v>
      </c>
      <c r="V95" s="54">
        <v>0</v>
      </c>
      <c r="W95" s="54">
        <v>0</v>
      </c>
      <c r="X95" s="54">
        <v>0</v>
      </c>
      <c r="Y95" s="54">
        <v>1</v>
      </c>
      <c r="Z95" s="54">
        <v>1</v>
      </c>
      <c r="AA95" s="54">
        <v>0</v>
      </c>
      <c r="AB95" s="54">
        <v>1</v>
      </c>
      <c r="AC95" s="54">
        <v>0</v>
      </c>
      <c r="AD95" s="54">
        <v>0</v>
      </c>
      <c r="AE95" s="54">
        <v>0</v>
      </c>
      <c r="AF95" s="54"/>
      <c r="AG95" s="5">
        <f t="shared" si="5"/>
        <v>16</v>
      </c>
    </row>
    <row r="96" spans="1:34" ht="15.75" customHeight="1" x14ac:dyDescent="0.25">
      <c r="A96" s="79" t="s">
        <v>45</v>
      </c>
      <c r="B96" s="54">
        <v>3</v>
      </c>
      <c r="C96" s="54">
        <v>2</v>
      </c>
      <c r="D96" s="54">
        <v>2</v>
      </c>
      <c r="E96" s="54">
        <v>1</v>
      </c>
      <c r="F96" s="54">
        <v>0</v>
      </c>
      <c r="G96" s="54">
        <v>1</v>
      </c>
      <c r="H96" s="54">
        <v>2</v>
      </c>
      <c r="I96" s="54">
        <v>0</v>
      </c>
      <c r="J96" s="54">
        <v>1</v>
      </c>
      <c r="K96" s="54">
        <v>5</v>
      </c>
      <c r="L96" s="54">
        <v>1</v>
      </c>
      <c r="M96" s="54">
        <v>4</v>
      </c>
      <c r="N96" s="54">
        <v>3</v>
      </c>
      <c r="O96" s="54">
        <v>2</v>
      </c>
      <c r="P96" s="54">
        <v>0</v>
      </c>
      <c r="Q96" s="54">
        <v>3</v>
      </c>
      <c r="R96" s="54">
        <v>2</v>
      </c>
      <c r="S96" s="54">
        <v>2</v>
      </c>
      <c r="T96" s="54">
        <v>1</v>
      </c>
      <c r="U96" s="54">
        <v>0</v>
      </c>
      <c r="V96" s="54">
        <v>0</v>
      </c>
      <c r="W96" s="54">
        <v>2</v>
      </c>
      <c r="X96" s="54">
        <v>0</v>
      </c>
      <c r="Y96" s="54">
        <v>0</v>
      </c>
      <c r="Z96" s="54">
        <v>1</v>
      </c>
      <c r="AA96" s="54">
        <v>2</v>
      </c>
      <c r="AB96" s="54">
        <v>0</v>
      </c>
      <c r="AC96" s="54">
        <v>1</v>
      </c>
      <c r="AD96" s="54">
        <v>0</v>
      </c>
      <c r="AE96" s="54">
        <v>1</v>
      </c>
      <c r="AF96" s="54"/>
      <c r="AG96" s="5">
        <f t="shared" si="5"/>
        <v>42</v>
      </c>
    </row>
    <row r="97" spans="1:33" ht="15.75" customHeight="1" x14ac:dyDescent="0.25">
      <c r="A97" s="80" t="s">
        <v>46</v>
      </c>
      <c r="B97" s="54">
        <v>3</v>
      </c>
      <c r="C97" s="54">
        <v>5</v>
      </c>
      <c r="D97" s="54">
        <v>10</v>
      </c>
      <c r="E97" s="54">
        <v>2</v>
      </c>
      <c r="F97" s="54">
        <v>4</v>
      </c>
      <c r="G97" s="54">
        <v>3</v>
      </c>
      <c r="H97" s="54">
        <v>2</v>
      </c>
      <c r="I97" s="54">
        <v>3</v>
      </c>
      <c r="J97" s="54">
        <v>5</v>
      </c>
      <c r="K97" s="54">
        <v>9</v>
      </c>
      <c r="L97" s="54">
        <v>4</v>
      </c>
      <c r="M97" s="54">
        <v>3</v>
      </c>
      <c r="N97" s="54">
        <v>7</v>
      </c>
      <c r="O97" s="54">
        <v>5</v>
      </c>
      <c r="P97" s="54">
        <v>3</v>
      </c>
      <c r="Q97" s="54">
        <v>7</v>
      </c>
      <c r="R97" s="54">
        <v>8</v>
      </c>
      <c r="S97" s="54">
        <v>3</v>
      </c>
      <c r="T97" s="54">
        <v>2</v>
      </c>
      <c r="U97" s="54">
        <v>5</v>
      </c>
      <c r="V97" s="54">
        <v>2</v>
      </c>
      <c r="W97" s="54">
        <v>2</v>
      </c>
      <c r="X97" s="54">
        <v>5</v>
      </c>
      <c r="Y97" s="54">
        <v>8</v>
      </c>
      <c r="Z97" s="54">
        <v>2</v>
      </c>
      <c r="AA97" s="54">
        <v>6</v>
      </c>
      <c r="AB97" s="54">
        <v>0</v>
      </c>
      <c r="AC97" s="54">
        <v>4</v>
      </c>
      <c r="AD97" s="54">
        <v>2</v>
      </c>
      <c r="AE97" s="54">
        <v>3</v>
      </c>
      <c r="AF97" s="54"/>
      <c r="AG97" s="5">
        <f t="shared" si="5"/>
        <v>127</v>
      </c>
    </row>
    <row r="98" spans="1:33" ht="15.75" customHeight="1" x14ac:dyDescent="0.25">
      <c r="A98" s="81" t="s">
        <v>47</v>
      </c>
      <c r="B98" s="54">
        <v>11</v>
      </c>
      <c r="C98" s="54">
        <v>11</v>
      </c>
      <c r="D98" s="54">
        <v>21</v>
      </c>
      <c r="E98" s="54">
        <v>12</v>
      </c>
      <c r="F98" s="54">
        <v>13</v>
      </c>
      <c r="G98" s="54">
        <v>11</v>
      </c>
      <c r="H98" s="54">
        <v>6</v>
      </c>
      <c r="I98" s="54">
        <v>5</v>
      </c>
      <c r="J98" s="54">
        <v>17</v>
      </c>
      <c r="K98" s="54">
        <v>17</v>
      </c>
      <c r="L98" s="54">
        <v>9</v>
      </c>
      <c r="M98" s="54">
        <v>11</v>
      </c>
      <c r="N98" s="54">
        <v>6</v>
      </c>
      <c r="O98" s="54">
        <v>6</v>
      </c>
      <c r="P98" s="54">
        <v>13</v>
      </c>
      <c r="Q98" s="54">
        <v>19</v>
      </c>
      <c r="R98" s="54">
        <v>17</v>
      </c>
      <c r="S98" s="54">
        <v>10</v>
      </c>
      <c r="T98" s="54">
        <v>9</v>
      </c>
      <c r="U98" s="54">
        <v>11</v>
      </c>
      <c r="V98" s="54">
        <v>12</v>
      </c>
      <c r="W98" s="54">
        <v>12</v>
      </c>
      <c r="X98" s="54">
        <v>10</v>
      </c>
      <c r="Y98" s="54">
        <v>17</v>
      </c>
      <c r="Z98" s="54">
        <v>11</v>
      </c>
      <c r="AA98" s="54">
        <v>16</v>
      </c>
      <c r="AB98" s="54">
        <v>10</v>
      </c>
      <c r="AC98" s="54">
        <v>7</v>
      </c>
      <c r="AD98" s="54">
        <v>9</v>
      </c>
      <c r="AE98" s="54">
        <v>14</v>
      </c>
      <c r="AF98" s="54"/>
      <c r="AG98" s="5">
        <f t="shared" si="5"/>
        <v>353</v>
      </c>
    </row>
    <row r="99" spans="1:33" ht="15.75" customHeight="1" x14ac:dyDescent="0.25">
      <c r="A99" s="82" t="s">
        <v>48</v>
      </c>
      <c r="B99" s="54">
        <v>15</v>
      </c>
      <c r="C99" s="54">
        <v>12</v>
      </c>
      <c r="D99" s="54">
        <v>15</v>
      </c>
      <c r="E99" s="54">
        <v>5</v>
      </c>
      <c r="F99" s="54">
        <v>7</v>
      </c>
      <c r="G99" s="54">
        <v>7</v>
      </c>
      <c r="H99" s="54">
        <v>14</v>
      </c>
      <c r="I99" s="54">
        <v>6</v>
      </c>
      <c r="J99" s="54">
        <v>13</v>
      </c>
      <c r="K99" s="54">
        <v>18</v>
      </c>
      <c r="L99" s="54">
        <v>6</v>
      </c>
      <c r="M99" s="54">
        <v>13</v>
      </c>
      <c r="N99" s="54">
        <v>11</v>
      </c>
      <c r="O99" s="54">
        <v>7</v>
      </c>
      <c r="P99" s="54">
        <v>5</v>
      </c>
      <c r="Q99" s="54">
        <v>15</v>
      </c>
      <c r="R99" s="54">
        <v>11</v>
      </c>
      <c r="S99" s="54">
        <v>8</v>
      </c>
      <c r="T99" s="54">
        <v>24</v>
      </c>
      <c r="U99" s="54">
        <v>7</v>
      </c>
      <c r="V99" s="54">
        <v>14</v>
      </c>
      <c r="W99" s="54">
        <v>10</v>
      </c>
      <c r="X99" s="54">
        <v>6</v>
      </c>
      <c r="Y99" s="54">
        <v>15</v>
      </c>
      <c r="Z99" s="54">
        <v>15</v>
      </c>
      <c r="AA99" s="54">
        <v>15</v>
      </c>
      <c r="AB99" s="54">
        <v>15</v>
      </c>
      <c r="AC99" s="54">
        <v>6</v>
      </c>
      <c r="AD99" s="54">
        <v>9</v>
      </c>
      <c r="AE99" s="54">
        <v>8</v>
      </c>
      <c r="AF99" s="54"/>
      <c r="AG99" s="5">
        <f t="shared" ref="AG99:AG162" si="17">SUM(B99:AF99)</f>
        <v>332</v>
      </c>
    </row>
    <row r="100" spans="1:33" ht="15.75" customHeight="1" x14ac:dyDescent="0.25">
      <c r="A100" s="76" t="s">
        <v>49</v>
      </c>
      <c r="B100" s="21">
        <f t="shared" ref="B100:AF100" si="18">SUM(B101:B115)</f>
        <v>161</v>
      </c>
      <c r="C100" s="21">
        <f t="shared" si="18"/>
        <v>179</v>
      </c>
      <c r="D100" s="21">
        <f t="shared" si="18"/>
        <v>172</v>
      </c>
      <c r="E100" s="21">
        <f t="shared" si="18"/>
        <v>99</v>
      </c>
      <c r="F100" s="21">
        <f t="shared" si="18"/>
        <v>121</v>
      </c>
      <c r="G100" s="21">
        <f t="shared" si="18"/>
        <v>91</v>
      </c>
      <c r="H100" s="21">
        <f t="shared" si="18"/>
        <v>93</v>
      </c>
      <c r="I100" s="21">
        <f t="shared" si="18"/>
        <v>113</v>
      </c>
      <c r="J100" s="21">
        <f t="shared" si="18"/>
        <v>191</v>
      </c>
      <c r="K100" s="21">
        <f t="shared" si="18"/>
        <v>150</v>
      </c>
      <c r="L100" s="21">
        <f t="shared" si="18"/>
        <v>111</v>
      </c>
      <c r="M100" s="21">
        <f t="shared" si="18"/>
        <v>111</v>
      </c>
      <c r="N100" s="21">
        <f t="shared" si="18"/>
        <v>95</v>
      </c>
      <c r="O100" s="21">
        <f t="shared" si="18"/>
        <v>93</v>
      </c>
      <c r="P100" s="21">
        <f t="shared" si="18"/>
        <v>100</v>
      </c>
      <c r="Q100" s="21">
        <f t="shared" si="18"/>
        <v>162</v>
      </c>
      <c r="R100" s="21">
        <f t="shared" si="18"/>
        <v>143</v>
      </c>
      <c r="S100" s="21">
        <f t="shared" si="18"/>
        <v>124</v>
      </c>
      <c r="T100" s="21">
        <f t="shared" si="18"/>
        <v>114</v>
      </c>
      <c r="U100" s="21">
        <f t="shared" si="18"/>
        <v>101</v>
      </c>
      <c r="V100" s="21">
        <f t="shared" si="18"/>
        <v>111</v>
      </c>
      <c r="W100" s="21">
        <f t="shared" si="18"/>
        <v>98</v>
      </c>
      <c r="X100" s="21">
        <f t="shared" si="18"/>
        <v>148</v>
      </c>
      <c r="Y100" s="21">
        <f t="shared" si="18"/>
        <v>140</v>
      </c>
      <c r="Z100" s="21">
        <f t="shared" si="18"/>
        <v>99</v>
      </c>
      <c r="AA100" s="21">
        <f t="shared" si="18"/>
        <v>106</v>
      </c>
      <c r="AB100" s="21">
        <f t="shared" si="18"/>
        <v>96</v>
      </c>
      <c r="AC100" s="21">
        <f t="shared" si="18"/>
        <v>84</v>
      </c>
      <c r="AD100" s="21">
        <f t="shared" si="18"/>
        <v>102</v>
      </c>
      <c r="AE100" s="21">
        <f t="shared" si="18"/>
        <v>165</v>
      </c>
      <c r="AF100" s="21">
        <f t="shared" si="18"/>
        <v>0</v>
      </c>
      <c r="AG100" s="5">
        <f t="shared" si="17"/>
        <v>3673</v>
      </c>
    </row>
    <row r="101" spans="1:33" ht="15.75" customHeight="1" x14ac:dyDescent="0.25">
      <c r="A101" s="82" t="s">
        <v>50</v>
      </c>
      <c r="B101" s="54">
        <v>16</v>
      </c>
      <c r="C101" s="54">
        <v>8</v>
      </c>
      <c r="D101" s="54">
        <v>18</v>
      </c>
      <c r="E101" s="54">
        <v>18</v>
      </c>
      <c r="F101" s="54">
        <v>18</v>
      </c>
      <c r="G101" s="54">
        <v>5</v>
      </c>
      <c r="H101" s="54">
        <v>6</v>
      </c>
      <c r="I101" s="54">
        <v>8</v>
      </c>
      <c r="J101" s="54">
        <v>20</v>
      </c>
      <c r="K101" s="54">
        <v>14</v>
      </c>
      <c r="L101" s="54">
        <v>12</v>
      </c>
      <c r="M101" s="54">
        <v>20</v>
      </c>
      <c r="N101" s="54">
        <v>14</v>
      </c>
      <c r="O101" s="54">
        <v>6</v>
      </c>
      <c r="P101" s="54">
        <v>10</v>
      </c>
      <c r="Q101" s="54">
        <v>17</v>
      </c>
      <c r="R101" s="54">
        <v>16</v>
      </c>
      <c r="S101" s="54">
        <v>19</v>
      </c>
      <c r="T101" s="54">
        <v>14</v>
      </c>
      <c r="U101" s="54">
        <v>11</v>
      </c>
      <c r="V101" s="54">
        <v>12</v>
      </c>
      <c r="W101" s="54">
        <v>11</v>
      </c>
      <c r="X101" s="54">
        <v>12</v>
      </c>
      <c r="Y101" s="54">
        <v>13</v>
      </c>
      <c r="Z101" s="54">
        <v>5</v>
      </c>
      <c r="AA101" s="54">
        <v>7</v>
      </c>
      <c r="AB101" s="54">
        <v>5</v>
      </c>
      <c r="AC101" s="54">
        <v>2</v>
      </c>
      <c r="AD101" s="54">
        <v>9</v>
      </c>
      <c r="AE101" s="54">
        <v>9</v>
      </c>
      <c r="AF101" s="54"/>
      <c r="AG101" s="5">
        <f t="shared" si="17"/>
        <v>355</v>
      </c>
    </row>
    <row r="102" spans="1:33" ht="15.75" customHeight="1" x14ac:dyDescent="0.25">
      <c r="A102" s="82" t="s">
        <v>51</v>
      </c>
      <c r="B102" s="54">
        <v>16</v>
      </c>
      <c r="C102" s="54">
        <v>17</v>
      </c>
      <c r="D102" s="54">
        <v>16</v>
      </c>
      <c r="E102" s="54">
        <v>8</v>
      </c>
      <c r="F102" s="54">
        <v>8</v>
      </c>
      <c r="G102" s="54">
        <v>10</v>
      </c>
      <c r="H102" s="54">
        <v>6</v>
      </c>
      <c r="I102" s="54">
        <v>8</v>
      </c>
      <c r="J102" s="54">
        <v>16</v>
      </c>
      <c r="K102" s="54">
        <v>14</v>
      </c>
      <c r="L102" s="54">
        <v>12</v>
      </c>
      <c r="M102" s="54">
        <v>7</v>
      </c>
      <c r="N102" s="54">
        <v>12</v>
      </c>
      <c r="O102" s="54">
        <v>1</v>
      </c>
      <c r="P102" s="54">
        <v>10</v>
      </c>
      <c r="Q102" s="54">
        <v>10</v>
      </c>
      <c r="R102" s="54">
        <v>13</v>
      </c>
      <c r="S102" s="54">
        <v>9</v>
      </c>
      <c r="T102" s="54">
        <v>14</v>
      </c>
      <c r="U102" s="54">
        <v>10</v>
      </c>
      <c r="V102" s="54">
        <v>14</v>
      </c>
      <c r="W102" s="54">
        <v>7</v>
      </c>
      <c r="X102" s="54">
        <v>11</v>
      </c>
      <c r="Y102" s="54">
        <v>12</v>
      </c>
      <c r="Z102" s="54">
        <v>10</v>
      </c>
      <c r="AA102" s="54">
        <v>12</v>
      </c>
      <c r="AB102" s="54">
        <v>8</v>
      </c>
      <c r="AC102" s="54">
        <v>8</v>
      </c>
      <c r="AD102" s="54">
        <v>12</v>
      </c>
      <c r="AE102" s="54">
        <v>16</v>
      </c>
      <c r="AF102" s="54"/>
      <c r="AG102" s="5">
        <f t="shared" si="17"/>
        <v>327</v>
      </c>
    </row>
    <row r="103" spans="1:33" ht="15.75" customHeight="1" x14ac:dyDescent="0.25">
      <c r="A103" s="78" t="s">
        <v>52</v>
      </c>
      <c r="B103" s="54">
        <v>13</v>
      </c>
      <c r="C103" s="54">
        <v>18</v>
      </c>
      <c r="D103" s="54">
        <v>18</v>
      </c>
      <c r="E103" s="54">
        <v>6</v>
      </c>
      <c r="F103" s="54">
        <v>9</v>
      </c>
      <c r="G103" s="54">
        <v>6</v>
      </c>
      <c r="H103" s="54">
        <v>11</v>
      </c>
      <c r="I103" s="54">
        <v>4</v>
      </c>
      <c r="J103" s="54">
        <v>17</v>
      </c>
      <c r="K103" s="54">
        <v>12</v>
      </c>
      <c r="L103" s="54">
        <v>10</v>
      </c>
      <c r="M103" s="54">
        <v>11</v>
      </c>
      <c r="N103" s="54">
        <v>8</v>
      </c>
      <c r="O103" s="54">
        <v>5</v>
      </c>
      <c r="P103" s="54">
        <v>12</v>
      </c>
      <c r="Q103" s="54">
        <v>12</v>
      </c>
      <c r="R103" s="54">
        <v>11</v>
      </c>
      <c r="S103" s="54">
        <v>5</v>
      </c>
      <c r="T103" s="54">
        <v>13</v>
      </c>
      <c r="U103" s="54">
        <v>4</v>
      </c>
      <c r="V103" s="54">
        <v>8</v>
      </c>
      <c r="W103" s="54">
        <v>8</v>
      </c>
      <c r="X103" s="54">
        <v>14</v>
      </c>
      <c r="Y103" s="54">
        <v>12</v>
      </c>
      <c r="Z103" s="54">
        <v>11</v>
      </c>
      <c r="AA103" s="54">
        <v>10</v>
      </c>
      <c r="AB103" s="54">
        <v>7</v>
      </c>
      <c r="AC103" s="54">
        <v>7</v>
      </c>
      <c r="AD103" s="54">
        <v>3</v>
      </c>
      <c r="AE103" s="54">
        <v>9</v>
      </c>
      <c r="AF103" s="54"/>
      <c r="AG103" s="5">
        <f t="shared" si="17"/>
        <v>294</v>
      </c>
    </row>
    <row r="104" spans="1:33" ht="15.75" customHeight="1" x14ac:dyDescent="0.25">
      <c r="A104" s="78" t="s">
        <v>53</v>
      </c>
      <c r="B104" s="54">
        <v>8</v>
      </c>
      <c r="C104" s="54">
        <v>6</v>
      </c>
      <c r="D104" s="54">
        <v>10</v>
      </c>
      <c r="E104" s="54">
        <v>7</v>
      </c>
      <c r="F104" s="54">
        <v>10</v>
      </c>
      <c r="G104" s="54">
        <v>6</v>
      </c>
      <c r="H104" s="54">
        <v>8</v>
      </c>
      <c r="I104" s="54">
        <v>13</v>
      </c>
      <c r="J104" s="54">
        <v>17</v>
      </c>
      <c r="K104" s="54">
        <v>16</v>
      </c>
      <c r="L104" s="54">
        <v>9</v>
      </c>
      <c r="M104" s="54">
        <v>12</v>
      </c>
      <c r="N104" s="54">
        <v>10</v>
      </c>
      <c r="O104" s="54">
        <v>7</v>
      </c>
      <c r="P104" s="54">
        <v>7</v>
      </c>
      <c r="Q104" s="54">
        <v>22</v>
      </c>
      <c r="R104" s="54">
        <v>7</v>
      </c>
      <c r="S104" s="54">
        <v>8</v>
      </c>
      <c r="T104" s="54">
        <v>8</v>
      </c>
      <c r="U104" s="54">
        <v>9</v>
      </c>
      <c r="V104" s="54">
        <v>13</v>
      </c>
      <c r="W104" s="54">
        <v>7</v>
      </c>
      <c r="X104" s="54">
        <v>14</v>
      </c>
      <c r="Y104" s="54">
        <v>15</v>
      </c>
      <c r="Z104" s="54">
        <v>9</v>
      </c>
      <c r="AA104" s="54">
        <v>10</v>
      </c>
      <c r="AB104" s="54">
        <v>9</v>
      </c>
      <c r="AC104" s="54">
        <v>7</v>
      </c>
      <c r="AD104" s="54">
        <v>6</v>
      </c>
      <c r="AE104" s="54">
        <v>14</v>
      </c>
      <c r="AF104" s="54"/>
      <c r="AG104" s="5">
        <f t="shared" si="17"/>
        <v>304</v>
      </c>
    </row>
    <row r="105" spans="1:33" ht="15.75" customHeight="1" x14ac:dyDescent="0.25">
      <c r="A105" s="78" t="s">
        <v>54</v>
      </c>
      <c r="B105" s="54">
        <v>16</v>
      </c>
      <c r="C105" s="54">
        <v>14</v>
      </c>
      <c r="D105" s="54">
        <v>14</v>
      </c>
      <c r="E105" s="54">
        <v>8</v>
      </c>
      <c r="F105" s="54">
        <v>11</v>
      </c>
      <c r="G105" s="54">
        <v>3</v>
      </c>
      <c r="H105" s="54">
        <v>7</v>
      </c>
      <c r="I105" s="54">
        <v>7</v>
      </c>
      <c r="J105" s="54">
        <v>10</v>
      </c>
      <c r="K105" s="54">
        <v>9</v>
      </c>
      <c r="L105" s="54">
        <v>7</v>
      </c>
      <c r="M105" s="54">
        <v>3</v>
      </c>
      <c r="N105" s="54">
        <v>6</v>
      </c>
      <c r="O105" s="54">
        <v>12</v>
      </c>
      <c r="P105" s="54">
        <v>7</v>
      </c>
      <c r="Q105" s="54">
        <v>17</v>
      </c>
      <c r="R105" s="54">
        <v>7</v>
      </c>
      <c r="S105" s="54">
        <v>15</v>
      </c>
      <c r="T105" s="54">
        <v>8</v>
      </c>
      <c r="U105" s="54">
        <v>7</v>
      </c>
      <c r="V105" s="54">
        <v>7</v>
      </c>
      <c r="W105" s="54">
        <v>8</v>
      </c>
      <c r="X105" s="54">
        <v>12</v>
      </c>
      <c r="Y105" s="54">
        <v>15</v>
      </c>
      <c r="Z105" s="54">
        <v>9</v>
      </c>
      <c r="AA105" s="54">
        <v>11</v>
      </c>
      <c r="AB105" s="54">
        <v>7</v>
      </c>
      <c r="AC105" s="54">
        <v>6</v>
      </c>
      <c r="AD105" s="54">
        <v>4</v>
      </c>
      <c r="AE105" s="54">
        <v>11</v>
      </c>
      <c r="AF105" s="54"/>
      <c r="AG105" s="5">
        <f t="shared" si="17"/>
        <v>278</v>
      </c>
    </row>
    <row r="106" spans="1:33" ht="15.75" customHeight="1" x14ac:dyDescent="0.25">
      <c r="A106" s="78" t="s">
        <v>55</v>
      </c>
      <c r="B106" s="54">
        <v>9</v>
      </c>
      <c r="C106" s="54">
        <v>16</v>
      </c>
      <c r="D106" s="54">
        <v>9</v>
      </c>
      <c r="E106" s="54">
        <v>6</v>
      </c>
      <c r="F106" s="54">
        <v>8</v>
      </c>
      <c r="G106" s="54">
        <v>7</v>
      </c>
      <c r="H106" s="54">
        <v>8</v>
      </c>
      <c r="I106" s="54">
        <v>5</v>
      </c>
      <c r="J106" s="54">
        <v>11</v>
      </c>
      <c r="K106" s="54">
        <v>12</v>
      </c>
      <c r="L106" s="54">
        <v>10</v>
      </c>
      <c r="M106" s="54">
        <v>3</v>
      </c>
      <c r="N106" s="54">
        <v>7</v>
      </c>
      <c r="O106" s="54">
        <v>8</v>
      </c>
      <c r="P106" s="54">
        <v>4</v>
      </c>
      <c r="Q106" s="54">
        <v>9</v>
      </c>
      <c r="R106" s="54">
        <v>14</v>
      </c>
      <c r="S106" s="54">
        <v>8</v>
      </c>
      <c r="T106" s="54">
        <v>10</v>
      </c>
      <c r="U106" s="54">
        <v>10</v>
      </c>
      <c r="V106" s="54">
        <v>4</v>
      </c>
      <c r="W106" s="54">
        <v>4</v>
      </c>
      <c r="X106" s="54">
        <v>9</v>
      </c>
      <c r="Y106" s="54">
        <v>6</v>
      </c>
      <c r="Z106" s="54">
        <v>8</v>
      </c>
      <c r="AA106" s="54">
        <v>6</v>
      </c>
      <c r="AB106" s="54">
        <v>7</v>
      </c>
      <c r="AC106" s="54">
        <v>4</v>
      </c>
      <c r="AD106" s="54">
        <v>6</v>
      </c>
      <c r="AE106" s="54">
        <v>9</v>
      </c>
      <c r="AF106" s="54"/>
      <c r="AG106" s="5">
        <f t="shared" si="17"/>
        <v>237</v>
      </c>
    </row>
    <row r="107" spans="1:33" ht="15.75" customHeight="1" x14ac:dyDescent="0.25">
      <c r="A107" s="78" t="s">
        <v>56</v>
      </c>
      <c r="B107" s="54">
        <v>14</v>
      </c>
      <c r="C107" s="54">
        <v>5</v>
      </c>
      <c r="D107" s="54">
        <v>8</v>
      </c>
      <c r="E107" s="54">
        <v>5</v>
      </c>
      <c r="F107" s="54">
        <v>8</v>
      </c>
      <c r="G107" s="54">
        <v>6</v>
      </c>
      <c r="H107" s="54">
        <v>5</v>
      </c>
      <c r="I107" s="54">
        <v>3</v>
      </c>
      <c r="J107" s="54">
        <v>16</v>
      </c>
      <c r="K107" s="54">
        <v>11</v>
      </c>
      <c r="L107" s="54">
        <v>6</v>
      </c>
      <c r="M107" s="54">
        <v>9</v>
      </c>
      <c r="N107" s="54">
        <v>5</v>
      </c>
      <c r="O107" s="54">
        <v>6</v>
      </c>
      <c r="P107" s="54">
        <v>6</v>
      </c>
      <c r="Q107" s="54">
        <v>16</v>
      </c>
      <c r="R107" s="54">
        <v>8</v>
      </c>
      <c r="S107" s="54">
        <v>7</v>
      </c>
      <c r="T107" s="54">
        <v>7</v>
      </c>
      <c r="U107" s="54">
        <v>11</v>
      </c>
      <c r="V107" s="54">
        <v>8</v>
      </c>
      <c r="W107" s="54">
        <v>7</v>
      </c>
      <c r="X107" s="54">
        <v>8</v>
      </c>
      <c r="Y107" s="54">
        <v>14</v>
      </c>
      <c r="Z107" s="54">
        <v>7</v>
      </c>
      <c r="AA107" s="54">
        <v>5</v>
      </c>
      <c r="AB107" s="54">
        <v>9</v>
      </c>
      <c r="AC107" s="54">
        <v>4</v>
      </c>
      <c r="AD107" s="54">
        <v>7</v>
      </c>
      <c r="AE107" s="54">
        <v>13</v>
      </c>
      <c r="AF107" s="54"/>
      <c r="AG107" s="5">
        <f t="shared" si="17"/>
        <v>244</v>
      </c>
    </row>
    <row r="108" spans="1:33" ht="15.75" customHeight="1" x14ac:dyDescent="0.25">
      <c r="A108" s="78" t="s">
        <v>57</v>
      </c>
      <c r="B108" s="54">
        <v>19</v>
      </c>
      <c r="C108" s="54">
        <v>18</v>
      </c>
      <c r="D108" s="54">
        <v>18</v>
      </c>
      <c r="E108" s="54">
        <v>14</v>
      </c>
      <c r="F108" s="54">
        <v>11</v>
      </c>
      <c r="G108" s="54">
        <v>7</v>
      </c>
      <c r="H108" s="54">
        <v>5</v>
      </c>
      <c r="I108" s="54">
        <v>12</v>
      </c>
      <c r="J108" s="54">
        <v>14</v>
      </c>
      <c r="K108" s="54">
        <v>16</v>
      </c>
      <c r="L108" s="54">
        <v>8</v>
      </c>
      <c r="M108" s="54">
        <v>12</v>
      </c>
      <c r="N108" s="54">
        <v>3</v>
      </c>
      <c r="O108" s="54">
        <v>5</v>
      </c>
      <c r="P108" s="54">
        <v>10</v>
      </c>
      <c r="Q108" s="54">
        <v>8</v>
      </c>
      <c r="R108" s="54">
        <v>9</v>
      </c>
      <c r="S108" s="54">
        <v>9</v>
      </c>
      <c r="T108" s="54">
        <v>8</v>
      </c>
      <c r="U108" s="54">
        <v>12</v>
      </c>
      <c r="V108" s="54">
        <v>11</v>
      </c>
      <c r="W108" s="54">
        <v>9</v>
      </c>
      <c r="X108" s="54">
        <v>10</v>
      </c>
      <c r="Y108" s="54">
        <v>7</v>
      </c>
      <c r="Z108" s="54">
        <v>3</v>
      </c>
      <c r="AA108" s="54">
        <v>8</v>
      </c>
      <c r="AB108" s="54">
        <v>6</v>
      </c>
      <c r="AC108" s="54">
        <v>7</v>
      </c>
      <c r="AD108" s="54">
        <v>11</v>
      </c>
      <c r="AE108" s="54">
        <v>22</v>
      </c>
      <c r="AF108" s="54"/>
      <c r="AG108" s="5">
        <f t="shared" si="17"/>
        <v>312</v>
      </c>
    </row>
    <row r="109" spans="1:33" ht="15.75" customHeight="1" x14ac:dyDescent="0.25">
      <c r="A109" s="78" t="s">
        <v>58</v>
      </c>
      <c r="B109" s="54">
        <v>14</v>
      </c>
      <c r="C109" s="54">
        <v>12</v>
      </c>
      <c r="D109" s="54">
        <v>14</v>
      </c>
      <c r="E109" s="54">
        <v>4</v>
      </c>
      <c r="F109" s="54">
        <v>5</v>
      </c>
      <c r="G109" s="54">
        <v>11</v>
      </c>
      <c r="H109" s="54">
        <v>8</v>
      </c>
      <c r="I109" s="54">
        <v>14</v>
      </c>
      <c r="J109" s="54">
        <v>12</v>
      </c>
      <c r="K109" s="54">
        <v>9</v>
      </c>
      <c r="L109" s="54">
        <v>4</v>
      </c>
      <c r="M109" s="54">
        <v>10</v>
      </c>
      <c r="N109" s="54">
        <v>7</v>
      </c>
      <c r="O109" s="54">
        <v>3</v>
      </c>
      <c r="P109" s="54">
        <v>7</v>
      </c>
      <c r="Q109" s="54">
        <v>8</v>
      </c>
      <c r="R109" s="54">
        <v>14</v>
      </c>
      <c r="S109" s="54">
        <v>6</v>
      </c>
      <c r="T109" s="54">
        <v>8</v>
      </c>
      <c r="U109" s="54">
        <v>7</v>
      </c>
      <c r="V109" s="54">
        <v>6</v>
      </c>
      <c r="W109" s="54">
        <v>9</v>
      </c>
      <c r="X109" s="54">
        <v>12</v>
      </c>
      <c r="Y109" s="54">
        <v>14</v>
      </c>
      <c r="Z109" s="54">
        <v>9</v>
      </c>
      <c r="AA109" s="54">
        <v>10</v>
      </c>
      <c r="AB109" s="54">
        <v>8</v>
      </c>
      <c r="AC109" s="54">
        <v>9</v>
      </c>
      <c r="AD109" s="54">
        <v>7</v>
      </c>
      <c r="AE109" s="54">
        <v>12</v>
      </c>
      <c r="AF109" s="54"/>
      <c r="AG109" s="5">
        <f t="shared" si="17"/>
        <v>273</v>
      </c>
    </row>
    <row r="110" spans="1:33" ht="15.75" customHeight="1" x14ac:dyDescent="0.25">
      <c r="A110" s="78" t="s">
        <v>59</v>
      </c>
      <c r="B110" s="54">
        <v>13</v>
      </c>
      <c r="C110" s="54">
        <v>17</v>
      </c>
      <c r="D110" s="54">
        <v>10</v>
      </c>
      <c r="E110" s="54">
        <v>4</v>
      </c>
      <c r="F110" s="54">
        <v>6</v>
      </c>
      <c r="G110" s="54">
        <v>8</v>
      </c>
      <c r="H110" s="54">
        <v>5</v>
      </c>
      <c r="I110" s="54">
        <v>8</v>
      </c>
      <c r="J110" s="54">
        <v>13</v>
      </c>
      <c r="K110" s="54">
        <v>8</v>
      </c>
      <c r="L110" s="54">
        <v>10</v>
      </c>
      <c r="M110" s="54">
        <v>9</v>
      </c>
      <c r="N110" s="54">
        <v>6</v>
      </c>
      <c r="O110" s="54">
        <v>15</v>
      </c>
      <c r="P110" s="54">
        <v>3</v>
      </c>
      <c r="Q110" s="54">
        <v>11</v>
      </c>
      <c r="R110" s="54">
        <v>5</v>
      </c>
      <c r="S110" s="54">
        <v>13</v>
      </c>
      <c r="T110" s="54">
        <v>4</v>
      </c>
      <c r="U110" s="54">
        <v>2</v>
      </c>
      <c r="V110" s="54">
        <v>7</v>
      </c>
      <c r="W110" s="54">
        <v>5</v>
      </c>
      <c r="X110" s="54">
        <v>11</v>
      </c>
      <c r="Y110" s="54">
        <v>9</v>
      </c>
      <c r="Z110" s="54">
        <v>8</v>
      </c>
      <c r="AA110" s="54">
        <v>7</v>
      </c>
      <c r="AB110" s="54">
        <v>9</v>
      </c>
      <c r="AC110" s="54">
        <v>9</v>
      </c>
      <c r="AD110" s="54">
        <v>8</v>
      </c>
      <c r="AE110" s="54">
        <v>16</v>
      </c>
      <c r="AF110" s="54"/>
      <c r="AG110" s="5">
        <f t="shared" si="17"/>
        <v>259</v>
      </c>
    </row>
    <row r="111" spans="1:33" ht="15.75" customHeight="1" x14ac:dyDescent="0.25">
      <c r="A111" s="78" t="s">
        <v>60</v>
      </c>
      <c r="B111" s="54">
        <v>0</v>
      </c>
      <c r="C111" s="54">
        <v>17</v>
      </c>
      <c r="D111" s="54">
        <v>17</v>
      </c>
      <c r="E111" s="54">
        <v>4</v>
      </c>
      <c r="F111" s="54">
        <v>14</v>
      </c>
      <c r="G111" s="54">
        <v>5</v>
      </c>
      <c r="H111" s="54">
        <v>5</v>
      </c>
      <c r="I111" s="54">
        <v>0</v>
      </c>
      <c r="J111" s="54">
        <v>17</v>
      </c>
      <c r="K111" s="54">
        <v>8</v>
      </c>
      <c r="L111" s="54">
        <v>7</v>
      </c>
      <c r="M111" s="54">
        <v>4</v>
      </c>
      <c r="N111" s="54">
        <v>4</v>
      </c>
      <c r="O111" s="54">
        <v>5</v>
      </c>
      <c r="P111" s="54">
        <v>4</v>
      </c>
      <c r="Q111" s="54">
        <v>10</v>
      </c>
      <c r="R111" s="54">
        <v>13</v>
      </c>
      <c r="S111" s="54">
        <v>4</v>
      </c>
      <c r="T111" s="54">
        <v>5</v>
      </c>
      <c r="U111" s="54">
        <v>7</v>
      </c>
      <c r="V111" s="54">
        <v>5</v>
      </c>
      <c r="W111" s="54">
        <v>10</v>
      </c>
      <c r="X111" s="54">
        <v>8</v>
      </c>
      <c r="Y111" s="54">
        <v>6</v>
      </c>
      <c r="Z111" s="54">
        <v>2</v>
      </c>
      <c r="AA111" s="54">
        <v>10</v>
      </c>
      <c r="AB111" s="54">
        <v>7</v>
      </c>
      <c r="AC111" s="54">
        <v>6</v>
      </c>
      <c r="AD111" s="54">
        <v>11</v>
      </c>
      <c r="AE111" s="54">
        <v>9</v>
      </c>
      <c r="AF111" s="54"/>
      <c r="AG111" s="5">
        <f t="shared" si="17"/>
        <v>224</v>
      </c>
    </row>
    <row r="112" spans="1:33" ht="15.75" customHeight="1" x14ac:dyDescent="0.25">
      <c r="A112" s="78" t="s">
        <v>61</v>
      </c>
      <c r="B112" s="54">
        <v>9</v>
      </c>
      <c r="C112" s="54">
        <v>14</v>
      </c>
      <c r="D112" s="54">
        <v>10</v>
      </c>
      <c r="E112" s="54">
        <v>6</v>
      </c>
      <c r="F112" s="54">
        <v>2</v>
      </c>
      <c r="G112" s="54">
        <v>3</v>
      </c>
      <c r="H112" s="54">
        <v>4</v>
      </c>
      <c r="I112" s="54">
        <v>10</v>
      </c>
      <c r="J112" s="54">
        <v>11</v>
      </c>
      <c r="K112" s="54">
        <v>6</v>
      </c>
      <c r="L112" s="54">
        <v>6</v>
      </c>
      <c r="M112" s="54">
        <v>6</v>
      </c>
      <c r="N112" s="54">
        <v>6</v>
      </c>
      <c r="O112" s="54">
        <v>6</v>
      </c>
      <c r="P112" s="54">
        <v>9</v>
      </c>
      <c r="Q112" s="54">
        <v>10</v>
      </c>
      <c r="R112" s="54">
        <v>8</v>
      </c>
      <c r="S112" s="54">
        <v>5</v>
      </c>
      <c r="T112" s="54">
        <v>6</v>
      </c>
      <c r="U112" s="54">
        <v>6</v>
      </c>
      <c r="V112" s="54">
        <v>7</v>
      </c>
      <c r="W112" s="54">
        <v>5</v>
      </c>
      <c r="X112" s="54">
        <v>10</v>
      </c>
      <c r="Y112" s="54">
        <v>6</v>
      </c>
      <c r="Z112" s="54">
        <v>5</v>
      </c>
      <c r="AA112" s="54">
        <v>3</v>
      </c>
      <c r="AB112" s="54">
        <v>8</v>
      </c>
      <c r="AC112" s="54">
        <v>7</v>
      </c>
      <c r="AD112" s="54">
        <v>5</v>
      </c>
      <c r="AE112" s="54">
        <v>7</v>
      </c>
      <c r="AF112" s="54"/>
      <c r="AG112" s="5">
        <f t="shared" si="17"/>
        <v>206</v>
      </c>
    </row>
    <row r="113" spans="1:37" ht="15.75" customHeight="1" x14ac:dyDescent="0.25">
      <c r="A113" s="78" t="s">
        <v>62</v>
      </c>
      <c r="B113" s="54">
        <v>7</v>
      </c>
      <c r="C113" s="54">
        <v>6</v>
      </c>
      <c r="D113" s="54">
        <v>5</v>
      </c>
      <c r="E113" s="54">
        <v>4</v>
      </c>
      <c r="F113" s="54">
        <v>5</v>
      </c>
      <c r="G113" s="54">
        <v>9</v>
      </c>
      <c r="H113" s="54">
        <v>4</v>
      </c>
      <c r="I113" s="54">
        <v>9</v>
      </c>
      <c r="J113" s="54">
        <v>6</v>
      </c>
      <c r="K113" s="54">
        <v>6</v>
      </c>
      <c r="L113" s="54">
        <v>4</v>
      </c>
      <c r="M113" s="54">
        <v>3</v>
      </c>
      <c r="N113" s="54">
        <v>2</v>
      </c>
      <c r="O113" s="54">
        <v>7</v>
      </c>
      <c r="P113" s="54">
        <v>3</v>
      </c>
      <c r="Q113" s="54">
        <v>5</v>
      </c>
      <c r="R113" s="54">
        <v>8</v>
      </c>
      <c r="S113" s="54">
        <v>5</v>
      </c>
      <c r="T113" s="54">
        <v>4</v>
      </c>
      <c r="U113" s="54">
        <v>4</v>
      </c>
      <c r="V113" s="54">
        <v>4</v>
      </c>
      <c r="W113" s="54">
        <v>3</v>
      </c>
      <c r="X113" s="54">
        <v>9</v>
      </c>
      <c r="Y113" s="54">
        <v>5</v>
      </c>
      <c r="Z113" s="54">
        <v>2</v>
      </c>
      <c r="AA113" s="54">
        <v>3</v>
      </c>
      <c r="AB113" s="54">
        <v>3</v>
      </c>
      <c r="AC113" s="54">
        <v>2</v>
      </c>
      <c r="AD113" s="54">
        <v>5</v>
      </c>
      <c r="AE113" s="54">
        <v>8</v>
      </c>
      <c r="AF113" s="54"/>
      <c r="AG113" s="5">
        <f t="shared" si="17"/>
        <v>150</v>
      </c>
    </row>
    <row r="114" spans="1:37" ht="15.75" customHeight="1" x14ac:dyDescent="0.25">
      <c r="A114" s="78" t="s">
        <v>63</v>
      </c>
      <c r="B114" s="54">
        <v>7</v>
      </c>
      <c r="C114" s="54">
        <v>11</v>
      </c>
      <c r="D114" s="54">
        <v>5</v>
      </c>
      <c r="E114" s="54">
        <v>5</v>
      </c>
      <c r="F114" s="54">
        <v>6</v>
      </c>
      <c r="G114" s="54">
        <v>5</v>
      </c>
      <c r="H114" s="54">
        <v>11</v>
      </c>
      <c r="I114" s="54">
        <v>12</v>
      </c>
      <c r="J114" s="54">
        <v>11</v>
      </c>
      <c r="K114" s="54">
        <v>9</v>
      </c>
      <c r="L114" s="54">
        <v>6</v>
      </c>
      <c r="M114" s="54">
        <v>2</v>
      </c>
      <c r="N114" s="54">
        <v>5</v>
      </c>
      <c r="O114" s="54">
        <v>7</v>
      </c>
      <c r="P114" s="54">
        <v>8</v>
      </c>
      <c r="Q114" s="54">
        <v>7</v>
      </c>
      <c r="R114" s="54">
        <v>10</v>
      </c>
      <c r="S114" s="54">
        <v>11</v>
      </c>
      <c r="T114" s="54">
        <v>5</v>
      </c>
      <c r="U114" s="54">
        <v>1</v>
      </c>
      <c r="V114" s="54">
        <v>5</v>
      </c>
      <c r="W114" s="54">
        <v>5</v>
      </c>
      <c r="X114" s="54">
        <v>8</v>
      </c>
      <c r="Y114" s="54">
        <v>6</v>
      </c>
      <c r="Z114" s="54">
        <v>11</v>
      </c>
      <c r="AA114" s="54">
        <v>4</v>
      </c>
      <c r="AB114" s="54">
        <v>3</v>
      </c>
      <c r="AC114" s="54">
        <v>6</v>
      </c>
      <c r="AD114" s="54">
        <v>8</v>
      </c>
      <c r="AE114" s="54">
        <v>10</v>
      </c>
      <c r="AF114" s="54"/>
      <c r="AG114" s="5">
        <f t="shared" si="17"/>
        <v>210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56</v>
      </c>
      <c r="C116" s="20">
        <f t="shared" si="19"/>
        <v>57</v>
      </c>
      <c r="D116" s="20">
        <f t="shared" si="19"/>
        <v>48</v>
      </c>
      <c r="E116" s="20">
        <f t="shared" si="19"/>
        <v>46</v>
      </c>
      <c r="F116" s="20">
        <f t="shared" si="19"/>
        <v>40</v>
      </c>
      <c r="G116" s="20">
        <f t="shared" si="19"/>
        <v>35</v>
      </c>
      <c r="H116" s="20">
        <f t="shared" si="19"/>
        <v>31</v>
      </c>
      <c r="I116" s="20">
        <f t="shared" si="19"/>
        <v>55</v>
      </c>
      <c r="J116" s="20">
        <f t="shared" si="19"/>
        <v>56</v>
      </c>
      <c r="K116" s="20">
        <f t="shared" si="19"/>
        <v>44</v>
      </c>
      <c r="L116" s="20">
        <f t="shared" si="19"/>
        <v>41</v>
      </c>
      <c r="M116" s="20">
        <f t="shared" si="19"/>
        <v>36</v>
      </c>
      <c r="N116" s="20">
        <f t="shared" si="19"/>
        <v>34</v>
      </c>
      <c r="O116" s="20">
        <f t="shared" si="19"/>
        <v>35</v>
      </c>
      <c r="P116" s="20">
        <f t="shared" si="19"/>
        <v>27</v>
      </c>
      <c r="Q116" s="20">
        <f t="shared" si="19"/>
        <v>49</v>
      </c>
      <c r="R116" s="20">
        <f t="shared" si="19"/>
        <v>34</v>
      </c>
      <c r="S116" s="20">
        <f t="shared" si="19"/>
        <v>46</v>
      </c>
      <c r="T116" s="20">
        <f t="shared" si="19"/>
        <v>52</v>
      </c>
      <c r="U116" s="20">
        <f t="shared" si="19"/>
        <v>30</v>
      </c>
      <c r="V116" s="20">
        <f t="shared" si="19"/>
        <v>33</v>
      </c>
      <c r="W116" s="20">
        <f t="shared" si="19"/>
        <v>31</v>
      </c>
      <c r="X116" s="20">
        <f t="shared" si="19"/>
        <v>62</v>
      </c>
      <c r="Y116" s="20">
        <f t="shared" si="19"/>
        <v>48</v>
      </c>
      <c r="Z116" s="20">
        <f t="shared" si="19"/>
        <v>49</v>
      </c>
      <c r="AA116" s="20">
        <f t="shared" si="19"/>
        <v>45</v>
      </c>
      <c r="AB116" s="20">
        <f t="shared" si="19"/>
        <v>42</v>
      </c>
      <c r="AC116" s="20">
        <f t="shared" si="19"/>
        <v>39</v>
      </c>
      <c r="AD116" s="20">
        <f t="shared" si="19"/>
        <v>42</v>
      </c>
      <c r="AE116" s="20">
        <f t="shared" si="19"/>
        <v>76</v>
      </c>
      <c r="AF116" s="20">
        <f t="shared" si="19"/>
        <v>0</v>
      </c>
      <c r="AG116" s="5">
        <f t="shared" si="17"/>
        <v>1319</v>
      </c>
      <c r="AK116" s="84">
        <v>612</v>
      </c>
    </row>
    <row r="117" spans="1:37" ht="15.75" customHeight="1" x14ac:dyDescent="0.25">
      <c r="A117" s="85" t="s">
        <v>65</v>
      </c>
      <c r="B117" s="54">
        <v>49</v>
      </c>
      <c r="C117" s="54">
        <v>55</v>
      </c>
      <c r="D117" s="54">
        <v>48</v>
      </c>
      <c r="E117" s="54">
        <v>34</v>
      </c>
      <c r="F117" s="54">
        <v>34</v>
      </c>
      <c r="G117" s="54">
        <v>22</v>
      </c>
      <c r="H117" s="54">
        <v>25</v>
      </c>
      <c r="I117" s="54">
        <v>44</v>
      </c>
      <c r="J117" s="54">
        <v>42</v>
      </c>
      <c r="K117" s="54">
        <v>30</v>
      </c>
      <c r="L117" s="54">
        <v>36</v>
      </c>
      <c r="M117" s="54">
        <v>29</v>
      </c>
      <c r="N117" s="54">
        <v>27</v>
      </c>
      <c r="O117" s="54">
        <v>32</v>
      </c>
      <c r="P117" s="54">
        <v>24</v>
      </c>
      <c r="Q117" s="54">
        <v>38</v>
      </c>
      <c r="R117" s="54">
        <v>28</v>
      </c>
      <c r="S117" s="54">
        <v>35</v>
      </c>
      <c r="T117" s="54">
        <v>42</v>
      </c>
      <c r="U117" s="54">
        <v>26</v>
      </c>
      <c r="V117" s="54">
        <v>25</v>
      </c>
      <c r="W117" s="54">
        <v>28</v>
      </c>
      <c r="X117" s="54">
        <v>47</v>
      </c>
      <c r="Y117" s="54">
        <v>39</v>
      </c>
      <c r="Z117" s="54">
        <v>40</v>
      </c>
      <c r="AA117" s="54">
        <v>33</v>
      </c>
      <c r="AB117" s="54">
        <v>32</v>
      </c>
      <c r="AC117" s="54">
        <v>31</v>
      </c>
      <c r="AD117" s="54">
        <v>35</v>
      </c>
      <c r="AE117" s="54">
        <v>65</v>
      </c>
      <c r="AF117" s="54"/>
      <c r="AG117" s="5">
        <f t="shared" si="17"/>
        <v>1075</v>
      </c>
      <c r="AK117" s="84">
        <v>613</v>
      </c>
    </row>
    <row r="118" spans="1:37" ht="15.75" customHeight="1" thickBot="1" x14ac:dyDescent="0.3">
      <c r="A118" s="86" t="s">
        <v>77</v>
      </c>
      <c r="B118" s="87">
        <v>7</v>
      </c>
      <c r="C118" s="87">
        <v>2</v>
      </c>
      <c r="D118" s="87">
        <v>0</v>
      </c>
      <c r="E118" s="87">
        <v>12</v>
      </c>
      <c r="F118" s="87">
        <v>6</v>
      </c>
      <c r="G118" s="87">
        <v>13</v>
      </c>
      <c r="H118" s="87">
        <v>6</v>
      </c>
      <c r="I118" s="87">
        <v>11</v>
      </c>
      <c r="J118" s="87">
        <v>14</v>
      </c>
      <c r="K118" s="87">
        <v>14</v>
      </c>
      <c r="L118" s="87">
        <v>5</v>
      </c>
      <c r="M118" s="87">
        <v>7</v>
      </c>
      <c r="N118" s="87">
        <v>7</v>
      </c>
      <c r="O118" s="87">
        <v>3</v>
      </c>
      <c r="P118" s="87">
        <v>3</v>
      </c>
      <c r="Q118" s="87">
        <v>11</v>
      </c>
      <c r="R118" s="87">
        <v>6</v>
      </c>
      <c r="S118" s="87">
        <v>11</v>
      </c>
      <c r="T118" s="87">
        <v>10</v>
      </c>
      <c r="U118" s="87">
        <v>4</v>
      </c>
      <c r="V118" s="87">
        <v>8</v>
      </c>
      <c r="W118" s="87">
        <v>3</v>
      </c>
      <c r="X118" s="87">
        <v>15</v>
      </c>
      <c r="Y118" s="87">
        <v>9</v>
      </c>
      <c r="Z118" s="87">
        <v>9</v>
      </c>
      <c r="AA118" s="87">
        <v>12</v>
      </c>
      <c r="AB118" s="87">
        <v>10</v>
      </c>
      <c r="AC118" s="87">
        <v>8</v>
      </c>
      <c r="AD118" s="87">
        <v>7</v>
      </c>
      <c r="AE118" s="87">
        <v>11</v>
      </c>
      <c r="AF118" s="87"/>
      <c r="AG118" s="5">
        <f t="shared" si="17"/>
        <v>244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194</v>
      </c>
      <c r="C119" s="20">
        <f t="shared" si="20"/>
        <v>209</v>
      </c>
      <c r="D119" s="20">
        <f t="shared" si="20"/>
        <v>220</v>
      </c>
      <c r="E119" s="20">
        <f t="shared" si="20"/>
        <v>120</v>
      </c>
      <c r="F119" s="20">
        <f t="shared" si="20"/>
        <v>145</v>
      </c>
      <c r="G119" s="20">
        <f t="shared" si="20"/>
        <v>113</v>
      </c>
      <c r="H119" s="20">
        <f t="shared" si="20"/>
        <v>117</v>
      </c>
      <c r="I119" s="20">
        <f t="shared" si="20"/>
        <v>128</v>
      </c>
      <c r="J119" s="20">
        <f t="shared" si="20"/>
        <v>229</v>
      </c>
      <c r="K119" s="20">
        <f t="shared" si="20"/>
        <v>199</v>
      </c>
      <c r="L119" s="20">
        <f t="shared" si="20"/>
        <v>133</v>
      </c>
      <c r="M119" s="20">
        <f t="shared" si="20"/>
        <v>144</v>
      </c>
      <c r="N119" s="20">
        <f t="shared" si="20"/>
        <v>123</v>
      </c>
      <c r="O119" s="20">
        <f t="shared" si="20"/>
        <v>113</v>
      </c>
      <c r="P119" s="20">
        <f t="shared" si="20"/>
        <v>122</v>
      </c>
      <c r="Q119" s="20">
        <f t="shared" si="20"/>
        <v>206</v>
      </c>
      <c r="R119" s="20">
        <f t="shared" si="20"/>
        <v>182</v>
      </c>
      <c r="S119" s="20">
        <f t="shared" si="20"/>
        <v>147</v>
      </c>
      <c r="T119" s="20">
        <f t="shared" si="20"/>
        <v>150</v>
      </c>
      <c r="U119" s="20">
        <f t="shared" si="20"/>
        <v>125</v>
      </c>
      <c r="V119" s="20">
        <f t="shared" si="20"/>
        <v>139</v>
      </c>
      <c r="W119" s="20">
        <f t="shared" si="20"/>
        <v>124</v>
      </c>
      <c r="X119" s="20">
        <f t="shared" si="20"/>
        <v>169</v>
      </c>
      <c r="Y119" s="20">
        <f t="shared" si="20"/>
        <v>181</v>
      </c>
      <c r="Z119" s="20">
        <f t="shared" si="20"/>
        <v>129</v>
      </c>
      <c r="AA119" s="20">
        <f t="shared" si="20"/>
        <v>145</v>
      </c>
      <c r="AB119" s="20">
        <f t="shared" si="20"/>
        <v>122</v>
      </c>
      <c r="AC119" s="20">
        <f t="shared" si="20"/>
        <v>102</v>
      </c>
      <c r="AD119" s="20">
        <f t="shared" si="20"/>
        <v>122</v>
      </c>
      <c r="AE119" s="20">
        <f t="shared" si="20"/>
        <v>191</v>
      </c>
      <c r="AF119" s="20">
        <f t="shared" si="20"/>
        <v>0</v>
      </c>
      <c r="AG119" s="7">
        <f t="shared" si="17"/>
        <v>4543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48</v>
      </c>
      <c r="C120" s="54">
        <v>49</v>
      </c>
      <c r="D120" s="54">
        <v>46</v>
      </c>
      <c r="E120" s="54">
        <v>23</v>
      </c>
      <c r="F120" s="54">
        <v>29</v>
      </c>
      <c r="G120" s="54">
        <v>15</v>
      </c>
      <c r="H120" s="54">
        <v>21</v>
      </c>
      <c r="I120" s="54">
        <v>32</v>
      </c>
      <c r="J120" s="54">
        <v>41</v>
      </c>
      <c r="K120" s="54">
        <v>29</v>
      </c>
      <c r="L120" s="54">
        <v>31</v>
      </c>
      <c r="M120" s="54">
        <v>29</v>
      </c>
      <c r="N120" s="54">
        <v>24</v>
      </c>
      <c r="O120" s="54">
        <v>25</v>
      </c>
      <c r="P120" s="54">
        <v>21</v>
      </c>
      <c r="Q120" s="54">
        <v>38</v>
      </c>
      <c r="R120" s="54">
        <v>28</v>
      </c>
      <c r="S120" s="54">
        <v>30</v>
      </c>
      <c r="T120" s="54">
        <v>38</v>
      </c>
      <c r="U120" s="54">
        <v>24</v>
      </c>
      <c r="V120" s="54">
        <v>25</v>
      </c>
      <c r="W120" s="54">
        <v>26</v>
      </c>
      <c r="X120" s="54">
        <v>37</v>
      </c>
      <c r="Y120" s="54">
        <v>36</v>
      </c>
      <c r="Z120" s="54">
        <v>29</v>
      </c>
      <c r="AA120" s="54">
        <v>24</v>
      </c>
      <c r="AB120" s="54">
        <v>26</v>
      </c>
      <c r="AC120" s="54">
        <v>21</v>
      </c>
      <c r="AD120" s="54">
        <v>31</v>
      </c>
      <c r="AE120" s="54">
        <v>54</v>
      </c>
      <c r="AF120" s="54"/>
      <c r="AG120" s="5">
        <f t="shared" si="17"/>
        <v>930</v>
      </c>
      <c r="AK120" s="88" t="s">
        <v>131</v>
      </c>
    </row>
    <row r="121" spans="1:37" ht="15.75" customHeight="1" x14ac:dyDescent="0.25">
      <c r="A121" s="85" t="s">
        <v>66</v>
      </c>
      <c r="B121" s="54">
        <v>9</v>
      </c>
      <c r="C121" s="54">
        <v>9</v>
      </c>
      <c r="D121" s="54">
        <v>10</v>
      </c>
      <c r="E121" s="54">
        <v>3</v>
      </c>
      <c r="F121" s="54">
        <v>4</v>
      </c>
      <c r="G121" s="54">
        <v>8</v>
      </c>
      <c r="H121" s="54">
        <v>7</v>
      </c>
      <c r="I121" s="54">
        <v>3</v>
      </c>
      <c r="J121" s="54">
        <v>8</v>
      </c>
      <c r="K121" s="54">
        <v>6</v>
      </c>
      <c r="L121" s="54">
        <v>10</v>
      </c>
      <c r="M121" s="54">
        <v>2</v>
      </c>
      <c r="N121" s="54">
        <v>5</v>
      </c>
      <c r="O121" s="54">
        <v>2</v>
      </c>
      <c r="P121" s="54">
        <v>2</v>
      </c>
      <c r="Q121" s="54">
        <v>6</v>
      </c>
      <c r="R121" s="54">
        <v>5</v>
      </c>
      <c r="S121" s="54">
        <v>1</v>
      </c>
      <c r="T121" s="54">
        <v>6</v>
      </c>
      <c r="U121" s="54">
        <v>3</v>
      </c>
      <c r="V121" s="54">
        <v>1</v>
      </c>
      <c r="W121" s="54">
        <v>5</v>
      </c>
      <c r="X121" s="54">
        <v>2</v>
      </c>
      <c r="Y121" s="54">
        <v>2</v>
      </c>
      <c r="Z121" s="54">
        <v>3</v>
      </c>
      <c r="AA121" s="54">
        <v>4</v>
      </c>
      <c r="AB121" s="54">
        <v>3</v>
      </c>
      <c r="AC121" s="54">
        <v>3</v>
      </c>
      <c r="AD121" s="54">
        <v>2</v>
      </c>
      <c r="AE121" s="54">
        <v>1</v>
      </c>
      <c r="AF121" s="54"/>
      <c r="AG121" s="5">
        <f t="shared" si="17"/>
        <v>135</v>
      </c>
      <c r="AK121" s="84" t="s">
        <v>132</v>
      </c>
    </row>
    <row r="122" spans="1:37" ht="15.75" customHeight="1" x14ac:dyDescent="0.25">
      <c r="A122" s="85" t="s">
        <v>67</v>
      </c>
      <c r="B122" s="54">
        <v>9</v>
      </c>
      <c r="C122" s="54">
        <v>15</v>
      </c>
      <c r="D122" s="54">
        <v>16</v>
      </c>
      <c r="E122" s="54">
        <v>7</v>
      </c>
      <c r="F122" s="54">
        <v>7</v>
      </c>
      <c r="G122" s="54">
        <v>9</v>
      </c>
      <c r="H122" s="54">
        <v>5</v>
      </c>
      <c r="I122" s="54">
        <v>7</v>
      </c>
      <c r="J122" s="54">
        <v>19</v>
      </c>
      <c r="K122" s="54">
        <v>14</v>
      </c>
      <c r="L122" s="54">
        <v>6</v>
      </c>
      <c r="M122" s="54">
        <v>5</v>
      </c>
      <c r="N122" s="54">
        <v>10</v>
      </c>
      <c r="O122" s="54">
        <v>6</v>
      </c>
      <c r="P122" s="54">
        <v>4</v>
      </c>
      <c r="Q122" s="54">
        <v>12</v>
      </c>
      <c r="R122" s="54">
        <v>11</v>
      </c>
      <c r="S122" s="54">
        <v>9</v>
      </c>
      <c r="T122" s="54">
        <v>8</v>
      </c>
      <c r="U122" s="54">
        <v>7</v>
      </c>
      <c r="V122" s="54">
        <v>5</v>
      </c>
      <c r="W122" s="54">
        <v>3</v>
      </c>
      <c r="X122" s="54">
        <v>12</v>
      </c>
      <c r="Y122" s="54">
        <v>10</v>
      </c>
      <c r="Z122" s="54">
        <v>8</v>
      </c>
      <c r="AA122" s="54">
        <v>11</v>
      </c>
      <c r="AB122" s="54">
        <v>10</v>
      </c>
      <c r="AC122" s="54">
        <v>7</v>
      </c>
      <c r="AD122" s="54">
        <v>12</v>
      </c>
      <c r="AE122" s="54">
        <v>9</v>
      </c>
      <c r="AF122" s="54"/>
      <c r="AG122" s="5">
        <f t="shared" si="17"/>
        <v>273</v>
      </c>
      <c r="AK122" s="88" t="s">
        <v>133</v>
      </c>
    </row>
    <row r="123" spans="1:37" ht="15.75" customHeight="1" x14ac:dyDescent="0.25">
      <c r="A123" s="85" t="s">
        <v>68</v>
      </c>
      <c r="B123" s="54">
        <v>4</v>
      </c>
      <c r="C123" s="54">
        <v>9</v>
      </c>
      <c r="D123" s="54">
        <v>12</v>
      </c>
      <c r="E123" s="54">
        <v>9</v>
      </c>
      <c r="F123" s="54">
        <v>5</v>
      </c>
      <c r="G123" s="54">
        <v>5</v>
      </c>
      <c r="H123" s="54">
        <v>4</v>
      </c>
      <c r="I123" s="54">
        <v>6</v>
      </c>
      <c r="J123" s="54">
        <v>9</v>
      </c>
      <c r="K123" s="54">
        <v>7</v>
      </c>
      <c r="L123" s="54">
        <v>0</v>
      </c>
      <c r="M123" s="54">
        <v>3</v>
      </c>
      <c r="N123" s="54">
        <v>4</v>
      </c>
      <c r="O123" s="54">
        <v>6</v>
      </c>
      <c r="P123" s="54">
        <v>12</v>
      </c>
      <c r="Q123" s="54">
        <v>5</v>
      </c>
      <c r="R123" s="54">
        <v>8</v>
      </c>
      <c r="S123" s="54">
        <v>5</v>
      </c>
      <c r="T123" s="54">
        <v>5</v>
      </c>
      <c r="U123" s="54">
        <v>6</v>
      </c>
      <c r="V123" s="54">
        <v>3</v>
      </c>
      <c r="W123" s="54">
        <v>6</v>
      </c>
      <c r="X123" s="54">
        <v>10</v>
      </c>
      <c r="Y123" s="54">
        <v>13</v>
      </c>
      <c r="Z123" s="54">
        <v>5</v>
      </c>
      <c r="AA123" s="54">
        <v>7</v>
      </c>
      <c r="AB123" s="54">
        <v>6</v>
      </c>
      <c r="AC123" s="54">
        <v>3</v>
      </c>
      <c r="AD123" s="54">
        <v>4</v>
      </c>
      <c r="AE123" s="54">
        <v>9</v>
      </c>
      <c r="AF123" s="54"/>
      <c r="AG123" s="5">
        <f t="shared" si="17"/>
        <v>190</v>
      </c>
      <c r="AK123" s="84" t="s">
        <v>134</v>
      </c>
    </row>
    <row r="124" spans="1:37" ht="15.75" customHeight="1" x14ac:dyDescent="0.25">
      <c r="A124" s="85" t="s">
        <v>69</v>
      </c>
      <c r="B124" s="54">
        <v>15</v>
      </c>
      <c r="C124" s="54">
        <v>13</v>
      </c>
      <c r="D124" s="54">
        <v>8</v>
      </c>
      <c r="E124" s="54">
        <v>8</v>
      </c>
      <c r="F124" s="54">
        <v>8</v>
      </c>
      <c r="G124" s="54">
        <v>6</v>
      </c>
      <c r="H124" s="54">
        <v>6</v>
      </c>
      <c r="I124" s="54">
        <v>7</v>
      </c>
      <c r="J124" s="54">
        <v>12</v>
      </c>
      <c r="K124" s="54">
        <v>10</v>
      </c>
      <c r="L124" s="54">
        <v>11</v>
      </c>
      <c r="M124" s="54">
        <v>11</v>
      </c>
      <c r="N124" s="54">
        <v>6</v>
      </c>
      <c r="O124" s="54">
        <v>10</v>
      </c>
      <c r="P124" s="54">
        <v>5</v>
      </c>
      <c r="Q124" s="54">
        <v>21</v>
      </c>
      <c r="R124" s="54">
        <v>5</v>
      </c>
      <c r="S124" s="54">
        <v>14</v>
      </c>
      <c r="T124" s="54">
        <v>12</v>
      </c>
      <c r="U124" s="54">
        <v>9</v>
      </c>
      <c r="V124" s="54">
        <v>8</v>
      </c>
      <c r="W124" s="54">
        <v>11</v>
      </c>
      <c r="X124" s="54">
        <v>12</v>
      </c>
      <c r="Y124" s="54">
        <v>14</v>
      </c>
      <c r="Z124" s="54">
        <v>11</v>
      </c>
      <c r="AA124" s="54">
        <v>17</v>
      </c>
      <c r="AB124" s="54">
        <v>9</v>
      </c>
      <c r="AC124" s="54">
        <v>10</v>
      </c>
      <c r="AD124" s="54">
        <v>6</v>
      </c>
      <c r="AE124" s="54">
        <v>9</v>
      </c>
      <c r="AF124" s="54"/>
      <c r="AG124" s="5">
        <f t="shared" si="17"/>
        <v>304</v>
      </c>
      <c r="AK124" s="88" t="s">
        <v>135</v>
      </c>
    </row>
    <row r="125" spans="1:37" ht="15.75" customHeight="1" x14ac:dyDescent="0.25">
      <c r="A125" s="85" t="s">
        <v>70</v>
      </c>
      <c r="B125" s="54">
        <v>79</v>
      </c>
      <c r="C125" s="54">
        <v>85</v>
      </c>
      <c r="D125" s="54">
        <v>103</v>
      </c>
      <c r="E125" s="54">
        <v>47</v>
      </c>
      <c r="F125" s="54">
        <v>71</v>
      </c>
      <c r="G125" s="54">
        <v>49</v>
      </c>
      <c r="H125" s="54">
        <v>58</v>
      </c>
      <c r="I125" s="54">
        <v>47</v>
      </c>
      <c r="J125" s="54">
        <v>105</v>
      </c>
      <c r="K125" s="54">
        <v>108</v>
      </c>
      <c r="L125" s="54">
        <v>60</v>
      </c>
      <c r="M125" s="54">
        <v>81</v>
      </c>
      <c r="N125" s="54">
        <v>55</v>
      </c>
      <c r="O125" s="54">
        <v>50</v>
      </c>
      <c r="P125" s="54">
        <v>63</v>
      </c>
      <c r="Q125" s="54">
        <v>90</v>
      </c>
      <c r="R125" s="54">
        <v>105</v>
      </c>
      <c r="S125" s="54">
        <v>64</v>
      </c>
      <c r="T125" s="54">
        <v>57</v>
      </c>
      <c r="U125" s="54">
        <v>60</v>
      </c>
      <c r="V125" s="54">
        <v>74</v>
      </c>
      <c r="W125" s="54">
        <v>60</v>
      </c>
      <c r="X125" s="54">
        <v>73</v>
      </c>
      <c r="Y125" s="54">
        <v>82</v>
      </c>
      <c r="Z125" s="54">
        <v>51</v>
      </c>
      <c r="AA125" s="54">
        <v>67</v>
      </c>
      <c r="AB125" s="54">
        <v>50</v>
      </c>
      <c r="AC125" s="54">
        <v>48</v>
      </c>
      <c r="AD125" s="54">
        <v>54</v>
      </c>
      <c r="AE125" s="54">
        <v>84</v>
      </c>
      <c r="AF125" s="54"/>
      <c r="AG125" s="5">
        <f t="shared" si="17"/>
        <v>2080</v>
      </c>
      <c r="AK125" s="88" t="s">
        <v>136</v>
      </c>
    </row>
    <row r="126" spans="1:37" ht="15.75" customHeight="1" x14ac:dyDescent="0.25">
      <c r="A126" s="85" t="s">
        <v>71</v>
      </c>
      <c r="B126" s="54">
        <v>4</v>
      </c>
      <c r="C126" s="54">
        <v>3</v>
      </c>
      <c r="D126" s="54">
        <v>2</v>
      </c>
      <c r="E126" s="54">
        <v>4</v>
      </c>
      <c r="F126" s="54">
        <v>1</v>
      </c>
      <c r="G126" s="54">
        <v>1</v>
      </c>
      <c r="H126" s="54">
        <v>2</v>
      </c>
      <c r="I126" s="54">
        <v>1</v>
      </c>
      <c r="J126" s="54">
        <v>5</v>
      </c>
      <c r="K126" s="54">
        <v>2</v>
      </c>
      <c r="L126" s="54">
        <v>0</v>
      </c>
      <c r="M126" s="54">
        <v>2</v>
      </c>
      <c r="N126" s="54">
        <v>6</v>
      </c>
      <c r="O126" s="54">
        <v>2</v>
      </c>
      <c r="P126" s="54">
        <v>5</v>
      </c>
      <c r="Q126" s="54">
        <v>9</v>
      </c>
      <c r="R126" s="54">
        <v>2</v>
      </c>
      <c r="S126" s="54">
        <v>4</v>
      </c>
      <c r="T126" s="54">
        <v>0</v>
      </c>
      <c r="U126" s="54">
        <v>1</v>
      </c>
      <c r="V126" s="54">
        <v>3</v>
      </c>
      <c r="W126" s="54">
        <v>3</v>
      </c>
      <c r="X126" s="54">
        <v>2</v>
      </c>
      <c r="Y126" s="54">
        <v>2</v>
      </c>
      <c r="Z126" s="54">
        <v>4</v>
      </c>
      <c r="AA126" s="54">
        <v>2</v>
      </c>
      <c r="AB126" s="54">
        <v>2</v>
      </c>
      <c r="AC126" s="54">
        <v>1</v>
      </c>
      <c r="AD126" s="54">
        <v>1</v>
      </c>
      <c r="AE126" s="54">
        <v>0</v>
      </c>
      <c r="AF126" s="54"/>
      <c r="AG126" s="5">
        <f t="shared" si="17"/>
        <v>76</v>
      </c>
      <c r="AK126" s="84" t="s">
        <v>137</v>
      </c>
    </row>
    <row r="127" spans="1:37" ht="15.75" customHeight="1" x14ac:dyDescent="0.25">
      <c r="A127" s="85" t="s">
        <v>72</v>
      </c>
      <c r="B127" s="54">
        <v>2</v>
      </c>
      <c r="C127" s="54">
        <v>3</v>
      </c>
      <c r="D127" s="54">
        <v>3</v>
      </c>
      <c r="E127" s="54">
        <v>1</v>
      </c>
      <c r="F127" s="54">
        <v>1</v>
      </c>
      <c r="G127" s="54">
        <v>5</v>
      </c>
      <c r="H127" s="54">
        <v>1</v>
      </c>
      <c r="I127" s="54">
        <v>3</v>
      </c>
      <c r="J127" s="54">
        <v>5</v>
      </c>
      <c r="K127" s="54">
        <v>1</v>
      </c>
      <c r="L127" s="54">
        <v>2</v>
      </c>
      <c r="M127" s="54">
        <v>2</v>
      </c>
      <c r="N127" s="54">
        <v>2</v>
      </c>
      <c r="O127" s="54">
        <v>0</v>
      </c>
      <c r="P127" s="54">
        <v>3</v>
      </c>
      <c r="Q127" s="54">
        <v>2</v>
      </c>
      <c r="R127" s="54">
        <v>2</v>
      </c>
      <c r="S127" s="54">
        <v>0</v>
      </c>
      <c r="T127" s="54">
        <v>3</v>
      </c>
      <c r="U127" s="54">
        <v>1</v>
      </c>
      <c r="V127" s="54">
        <v>1</v>
      </c>
      <c r="W127" s="54">
        <v>1</v>
      </c>
      <c r="X127" s="54">
        <v>1</v>
      </c>
      <c r="Y127" s="54">
        <v>1</v>
      </c>
      <c r="Z127" s="54">
        <v>1</v>
      </c>
      <c r="AA127" s="54">
        <v>0</v>
      </c>
      <c r="AB127" s="54">
        <v>2</v>
      </c>
      <c r="AC127" s="54">
        <v>1</v>
      </c>
      <c r="AD127" s="54">
        <v>0</v>
      </c>
      <c r="AE127" s="54">
        <v>2</v>
      </c>
      <c r="AF127" s="54"/>
      <c r="AG127" s="5">
        <f t="shared" si="17"/>
        <v>52</v>
      </c>
      <c r="AK127" s="88" t="s">
        <v>138</v>
      </c>
    </row>
    <row r="128" spans="1:37" ht="15.75" customHeight="1" x14ac:dyDescent="0.25">
      <c r="A128" s="56" t="s">
        <v>73</v>
      </c>
      <c r="B128" s="54">
        <v>5</v>
      </c>
      <c r="C128" s="54">
        <v>1</v>
      </c>
      <c r="D128" s="54">
        <v>1</v>
      </c>
      <c r="E128" s="54">
        <v>0</v>
      </c>
      <c r="F128" s="54">
        <v>1</v>
      </c>
      <c r="G128" s="54">
        <v>1</v>
      </c>
      <c r="H128" s="54">
        <v>1</v>
      </c>
      <c r="I128" s="54">
        <v>2</v>
      </c>
      <c r="J128" s="54">
        <v>0</v>
      </c>
      <c r="K128" s="54">
        <v>1</v>
      </c>
      <c r="L128" s="54">
        <v>4</v>
      </c>
      <c r="M128" s="54">
        <v>0</v>
      </c>
      <c r="N128" s="54">
        <v>1</v>
      </c>
      <c r="O128" s="54">
        <v>0</v>
      </c>
      <c r="P128" s="54">
        <v>1</v>
      </c>
      <c r="Q128" s="54">
        <v>3</v>
      </c>
      <c r="R128" s="54">
        <v>1</v>
      </c>
      <c r="S128" s="54">
        <v>4</v>
      </c>
      <c r="T128" s="54">
        <v>0</v>
      </c>
      <c r="U128" s="54">
        <v>2</v>
      </c>
      <c r="V128" s="54">
        <v>0</v>
      </c>
      <c r="W128" s="54">
        <v>1</v>
      </c>
      <c r="X128" s="54">
        <v>0</v>
      </c>
      <c r="Y128" s="54">
        <v>3</v>
      </c>
      <c r="Z128" s="54">
        <v>0</v>
      </c>
      <c r="AA128" s="54">
        <v>0</v>
      </c>
      <c r="AB128" s="54">
        <v>0</v>
      </c>
      <c r="AC128" s="54">
        <v>1</v>
      </c>
      <c r="AD128" s="54">
        <v>0</v>
      </c>
      <c r="AE128" s="54">
        <v>2</v>
      </c>
      <c r="AF128" s="54"/>
      <c r="AG128" s="5">
        <f t="shared" si="17"/>
        <v>36</v>
      </c>
      <c r="AK128" s="88" t="s">
        <v>139</v>
      </c>
    </row>
    <row r="129" spans="1:37" ht="15.75" customHeight="1" x14ac:dyDescent="0.25">
      <c r="A129" s="56" t="s">
        <v>74</v>
      </c>
      <c r="B129" s="54">
        <v>1</v>
      </c>
      <c r="C129" s="54">
        <v>1</v>
      </c>
      <c r="D129" s="54">
        <v>0</v>
      </c>
      <c r="E129" s="54">
        <v>1</v>
      </c>
      <c r="F129" s="54">
        <v>0</v>
      </c>
      <c r="G129" s="54">
        <v>0</v>
      </c>
      <c r="H129" s="54">
        <v>0</v>
      </c>
      <c r="I129" s="54">
        <v>0</v>
      </c>
      <c r="J129" s="54">
        <v>2</v>
      </c>
      <c r="K129" s="54">
        <v>2</v>
      </c>
      <c r="L129" s="54">
        <v>1</v>
      </c>
      <c r="M129" s="54">
        <v>0</v>
      </c>
      <c r="N129" s="54">
        <v>1</v>
      </c>
      <c r="O129" s="54">
        <v>1</v>
      </c>
      <c r="P129" s="54">
        <v>0</v>
      </c>
      <c r="Q129" s="54">
        <v>0</v>
      </c>
      <c r="R129" s="54">
        <v>0</v>
      </c>
      <c r="S129" s="54">
        <v>1</v>
      </c>
      <c r="T129" s="54">
        <v>4</v>
      </c>
      <c r="U129" s="54">
        <v>0</v>
      </c>
      <c r="V129" s="54">
        <v>4</v>
      </c>
      <c r="W129" s="54">
        <v>1</v>
      </c>
      <c r="X129" s="54">
        <v>3</v>
      </c>
      <c r="Y129" s="54">
        <v>3</v>
      </c>
      <c r="Z129" s="54">
        <v>3</v>
      </c>
      <c r="AA129" s="54">
        <v>0</v>
      </c>
      <c r="AB129" s="54">
        <v>1</v>
      </c>
      <c r="AC129" s="54">
        <v>0</v>
      </c>
      <c r="AD129" s="54">
        <v>0</v>
      </c>
      <c r="AE129" s="54">
        <v>2</v>
      </c>
      <c r="AF129" s="54"/>
      <c r="AG129" s="5">
        <f t="shared" si="17"/>
        <v>32</v>
      </c>
      <c r="AK129" s="84" t="s">
        <v>140</v>
      </c>
    </row>
    <row r="130" spans="1:37" ht="15.75" customHeight="1" x14ac:dyDescent="0.25">
      <c r="A130" s="56" t="s">
        <v>75</v>
      </c>
      <c r="B130" s="54">
        <v>0</v>
      </c>
      <c r="C130" s="54">
        <v>1</v>
      </c>
      <c r="D130" s="54">
        <v>0</v>
      </c>
      <c r="E130" s="54">
        <v>1</v>
      </c>
      <c r="F130" s="54">
        <v>1</v>
      </c>
      <c r="G130" s="54">
        <v>0</v>
      </c>
      <c r="H130" s="54">
        <v>0</v>
      </c>
      <c r="I130" s="54">
        <v>1</v>
      </c>
      <c r="J130" s="54">
        <v>0</v>
      </c>
      <c r="K130" s="54">
        <v>0</v>
      </c>
      <c r="L130" s="54">
        <v>0</v>
      </c>
      <c r="M130" s="54">
        <v>0</v>
      </c>
      <c r="N130" s="54">
        <v>1</v>
      </c>
      <c r="O130" s="54">
        <v>1</v>
      </c>
      <c r="P130" s="54">
        <v>0</v>
      </c>
      <c r="Q130" s="54">
        <v>4</v>
      </c>
      <c r="R130" s="54">
        <v>2</v>
      </c>
      <c r="S130" s="54">
        <v>0</v>
      </c>
      <c r="T130" s="54">
        <v>0</v>
      </c>
      <c r="U130" s="54">
        <v>0</v>
      </c>
      <c r="V130" s="54">
        <v>0</v>
      </c>
      <c r="W130" s="54">
        <v>3</v>
      </c>
      <c r="X130" s="54">
        <v>0</v>
      </c>
      <c r="Y130" s="54">
        <v>2</v>
      </c>
      <c r="Z130" s="54">
        <v>1</v>
      </c>
      <c r="AA130" s="54">
        <v>0</v>
      </c>
      <c r="AB130" s="54">
        <v>1</v>
      </c>
      <c r="AC130" s="54">
        <v>0</v>
      </c>
      <c r="AD130" s="54">
        <v>0</v>
      </c>
      <c r="AE130" s="54">
        <v>1</v>
      </c>
      <c r="AF130" s="54"/>
      <c r="AG130" s="5">
        <f t="shared" si="17"/>
        <v>20</v>
      </c>
      <c r="AK130" s="84" t="s">
        <v>141</v>
      </c>
    </row>
    <row r="131" spans="1:37" ht="15.75" customHeight="1" x14ac:dyDescent="0.25">
      <c r="A131" s="85" t="s">
        <v>76</v>
      </c>
      <c r="B131" s="54">
        <v>11</v>
      </c>
      <c r="C131" s="54">
        <v>7</v>
      </c>
      <c r="D131" s="54">
        <v>8</v>
      </c>
      <c r="E131" s="54">
        <v>7</v>
      </c>
      <c r="F131" s="54">
        <v>12</v>
      </c>
      <c r="G131" s="54">
        <v>6</v>
      </c>
      <c r="H131" s="54">
        <v>7</v>
      </c>
      <c r="I131" s="54">
        <v>8</v>
      </c>
      <c r="J131" s="54">
        <v>11</v>
      </c>
      <c r="K131" s="54">
        <v>9</v>
      </c>
      <c r="L131" s="54">
        <v>5</v>
      </c>
      <c r="M131" s="54">
        <v>5</v>
      </c>
      <c r="N131" s="54">
        <v>5</v>
      </c>
      <c r="O131" s="54">
        <v>7</v>
      </c>
      <c r="P131" s="54">
        <v>3</v>
      </c>
      <c r="Q131" s="54">
        <v>9</v>
      </c>
      <c r="R131" s="54">
        <v>7</v>
      </c>
      <c r="S131" s="54">
        <v>9</v>
      </c>
      <c r="T131" s="54">
        <v>8</v>
      </c>
      <c r="U131" s="54">
        <v>11</v>
      </c>
      <c r="V131" s="54">
        <v>7</v>
      </c>
      <c r="W131" s="54">
        <v>2</v>
      </c>
      <c r="X131" s="54">
        <v>8</v>
      </c>
      <c r="Y131" s="54">
        <v>5</v>
      </c>
      <c r="Z131" s="54">
        <v>5</v>
      </c>
      <c r="AA131" s="54">
        <v>6</v>
      </c>
      <c r="AB131" s="54">
        <v>5</v>
      </c>
      <c r="AC131" s="54">
        <v>2</v>
      </c>
      <c r="AD131" s="54">
        <v>6</v>
      </c>
      <c r="AE131" s="54">
        <v>9</v>
      </c>
      <c r="AF131" s="54"/>
      <c r="AG131" s="5">
        <f t="shared" si="17"/>
        <v>210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7</v>
      </c>
      <c r="C132" s="87">
        <v>13</v>
      </c>
      <c r="D132" s="87">
        <v>11</v>
      </c>
      <c r="E132" s="87">
        <v>9</v>
      </c>
      <c r="F132" s="87">
        <v>5</v>
      </c>
      <c r="G132" s="87">
        <v>8</v>
      </c>
      <c r="H132" s="87">
        <v>5</v>
      </c>
      <c r="I132" s="87">
        <v>11</v>
      </c>
      <c r="J132" s="87">
        <v>12</v>
      </c>
      <c r="K132" s="87">
        <v>10</v>
      </c>
      <c r="L132" s="87">
        <v>3</v>
      </c>
      <c r="M132" s="87">
        <v>4</v>
      </c>
      <c r="N132" s="87">
        <v>3</v>
      </c>
      <c r="O132" s="87">
        <v>3</v>
      </c>
      <c r="P132" s="87">
        <v>3</v>
      </c>
      <c r="Q132" s="87">
        <v>7</v>
      </c>
      <c r="R132" s="87">
        <v>6</v>
      </c>
      <c r="S132" s="87">
        <v>6</v>
      </c>
      <c r="T132" s="87">
        <v>9</v>
      </c>
      <c r="U132" s="87">
        <v>1</v>
      </c>
      <c r="V132" s="87">
        <v>8</v>
      </c>
      <c r="W132" s="87">
        <v>2</v>
      </c>
      <c r="X132" s="87">
        <v>9</v>
      </c>
      <c r="Y132" s="87">
        <v>8</v>
      </c>
      <c r="Z132" s="87">
        <v>8</v>
      </c>
      <c r="AA132" s="87">
        <v>7</v>
      </c>
      <c r="AB132" s="87">
        <v>7</v>
      </c>
      <c r="AC132" s="87">
        <v>5</v>
      </c>
      <c r="AD132" s="87">
        <v>6</v>
      </c>
      <c r="AE132" s="87">
        <v>9</v>
      </c>
      <c r="AF132" s="87"/>
      <c r="AG132" s="9">
        <f t="shared" si="17"/>
        <v>205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194</v>
      </c>
      <c r="C133" s="14">
        <f t="shared" si="21"/>
        <v>209</v>
      </c>
      <c r="D133" s="14">
        <f t="shared" si="21"/>
        <v>220</v>
      </c>
      <c r="E133" s="14">
        <f t="shared" si="21"/>
        <v>120</v>
      </c>
      <c r="F133" s="14">
        <f t="shared" si="21"/>
        <v>145</v>
      </c>
      <c r="G133" s="14">
        <f t="shared" si="21"/>
        <v>113</v>
      </c>
      <c r="H133" s="14">
        <f t="shared" si="21"/>
        <v>117</v>
      </c>
      <c r="I133" s="14">
        <f t="shared" si="21"/>
        <v>128</v>
      </c>
      <c r="J133" s="14">
        <f t="shared" si="21"/>
        <v>229</v>
      </c>
      <c r="K133" s="14">
        <f t="shared" si="21"/>
        <v>199</v>
      </c>
      <c r="L133" s="14">
        <f t="shared" si="21"/>
        <v>133</v>
      </c>
      <c r="M133" s="14">
        <f t="shared" si="21"/>
        <v>144</v>
      </c>
      <c r="N133" s="14">
        <f t="shared" si="21"/>
        <v>123</v>
      </c>
      <c r="O133" s="14">
        <f t="shared" si="21"/>
        <v>113</v>
      </c>
      <c r="P133" s="14">
        <f t="shared" si="21"/>
        <v>122</v>
      </c>
      <c r="Q133" s="14">
        <f t="shared" si="21"/>
        <v>206</v>
      </c>
      <c r="R133" s="14">
        <f t="shared" si="21"/>
        <v>182</v>
      </c>
      <c r="S133" s="14">
        <f t="shared" si="21"/>
        <v>147</v>
      </c>
      <c r="T133" s="14">
        <f t="shared" si="21"/>
        <v>150</v>
      </c>
      <c r="U133" s="14">
        <f t="shared" si="21"/>
        <v>125</v>
      </c>
      <c r="V133" s="14">
        <f t="shared" si="21"/>
        <v>139</v>
      </c>
      <c r="W133" s="14">
        <f t="shared" si="21"/>
        <v>124</v>
      </c>
      <c r="X133" s="14">
        <f t="shared" si="21"/>
        <v>169</v>
      </c>
      <c r="Y133" s="14">
        <f t="shared" si="21"/>
        <v>181</v>
      </c>
      <c r="Z133" s="14">
        <f t="shared" si="21"/>
        <v>129</v>
      </c>
      <c r="AA133" s="14">
        <f t="shared" si="21"/>
        <v>145</v>
      </c>
      <c r="AB133" s="14">
        <f t="shared" si="21"/>
        <v>122</v>
      </c>
      <c r="AC133" s="14">
        <f t="shared" si="21"/>
        <v>102</v>
      </c>
      <c r="AD133" s="14">
        <f t="shared" si="21"/>
        <v>122</v>
      </c>
      <c r="AE133" s="14">
        <f t="shared" si="21"/>
        <v>191</v>
      </c>
      <c r="AF133" s="14">
        <f t="shared" si="21"/>
        <v>0</v>
      </c>
      <c r="AG133" s="10">
        <f t="shared" si="17"/>
        <v>4543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3</v>
      </c>
      <c r="C134" s="22">
        <f t="shared" si="22"/>
        <v>26</v>
      </c>
      <c r="D134" s="22">
        <f t="shared" si="22"/>
        <v>7</v>
      </c>
      <c r="E134" s="22">
        <f t="shared" si="22"/>
        <v>61</v>
      </c>
      <c r="F134" s="22">
        <f t="shared" si="22"/>
        <v>25</v>
      </c>
      <c r="G134" s="22">
        <f t="shared" si="22"/>
        <v>35</v>
      </c>
      <c r="H134" s="22">
        <f t="shared" si="22"/>
        <v>34</v>
      </c>
      <c r="I134" s="22">
        <f t="shared" si="22"/>
        <v>41</v>
      </c>
      <c r="J134" s="22">
        <f t="shared" si="22"/>
        <v>8</v>
      </c>
      <c r="K134" s="22">
        <f t="shared" si="22"/>
        <v>25</v>
      </c>
      <c r="L134" s="22">
        <f t="shared" si="22"/>
        <v>26</v>
      </c>
      <c r="M134" s="22">
        <f t="shared" si="22"/>
        <v>6</v>
      </c>
      <c r="N134" s="22">
        <f t="shared" si="22"/>
        <v>23</v>
      </c>
      <c r="O134" s="22">
        <f t="shared" si="22"/>
        <v>43</v>
      </c>
      <c r="P134" s="22">
        <f t="shared" si="22"/>
        <v>18</v>
      </c>
      <c r="Q134" s="22">
        <f t="shared" si="22"/>
        <v>12</v>
      </c>
      <c r="R134" s="22">
        <f t="shared" si="22"/>
        <v>5</v>
      </c>
      <c r="S134" s="22">
        <f t="shared" si="22"/>
        <v>27</v>
      </c>
      <c r="T134" s="22">
        <f t="shared" si="22"/>
        <v>21</v>
      </c>
      <c r="U134" s="22">
        <f t="shared" si="22"/>
        <v>19</v>
      </c>
      <c r="V134" s="22">
        <f t="shared" si="22"/>
        <v>7</v>
      </c>
      <c r="W134" s="22">
        <f t="shared" si="22"/>
        <v>11</v>
      </c>
      <c r="X134" s="22">
        <f t="shared" si="22"/>
        <v>33</v>
      </c>
      <c r="Y134" s="22">
        <f t="shared" si="22"/>
        <v>26</v>
      </c>
      <c r="Z134" s="22">
        <f t="shared" si="22"/>
        <v>48</v>
      </c>
      <c r="AA134" s="22">
        <f t="shared" si="22"/>
        <v>42</v>
      </c>
      <c r="AB134" s="22">
        <f t="shared" si="22"/>
        <v>24</v>
      </c>
      <c r="AC134" s="22">
        <f t="shared" si="22"/>
        <v>39</v>
      </c>
      <c r="AD134" s="22">
        <f t="shared" si="22"/>
        <v>11</v>
      </c>
      <c r="AE134" s="22">
        <f t="shared" si="22"/>
        <v>40</v>
      </c>
      <c r="AF134" s="22">
        <f t="shared" si="22"/>
        <v>0</v>
      </c>
      <c r="AG134" s="23">
        <f t="shared" si="17"/>
        <v>746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1</v>
      </c>
      <c r="C135" s="1">
        <f t="shared" si="23"/>
        <v>0</v>
      </c>
      <c r="D135" s="1">
        <f t="shared" si="23"/>
        <v>1</v>
      </c>
      <c r="E135" s="1">
        <f t="shared" si="23"/>
        <v>1</v>
      </c>
      <c r="F135" s="1">
        <f t="shared" si="23"/>
        <v>1</v>
      </c>
      <c r="G135" s="1">
        <f t="shared" si="23"/>
        <v>1</v>
      </c>
      <c r="H135" s="1">
        <f t="shared" si="23"/>
        <v>1</v>
      </c>
      <c r="I135" s="1">
        <f t="shared" si="23"/>
        <v>3</v>
      </c>
      <c r="J135" s="1">
        <f t="shared" si="23"/>
        <v>0</v>
      </c>
      <c r="K135" s="1">
        <f t="shared" si="23"/>
        <v>0</v>
      </c>
      <c r="L135" s="1">
        <f t="shared" si="23"/>
        <v>0</v>
      </c>
      <c r="M135" s="1">
        <f t="shared" si="23"/>
        <v>1</v>
      </c>
      <c r="N135" s="1">
        <f t="shared" si="23"/>
        <v>0</v>
      </c>
      <c r="O135" s="1">
        <f t="shared" si="23"/>
        <v>1</v>
      </c>
      <c r="P135" s="1">
        <f t="shared" si="23"/>
        <v>0</v>
      </c>
      <c r="Q135" s="1">
        <f t="shared" si="23"/>
        <v>0</v>
      </c>
      <c r="R135" s="1">
        <f t="shared" si="23"/>
        <v>1</v>
      </c>
      <c r="S135" s="1">
        <f t="shared" si="23"/>
        <v>0</v>
      </c>
      <c r="T135" s="1">
        <f t="shared" si="23"/>
        <v>0</v>
      </c>
      <c r="U135" s="1">
        <f t="shared" si="23"/>
        <v>0</v>
      </c>
      <c r="V135" s="1">
        <f t="shared" si="23"/>
        <v>2</v>
      </c>
      <c r="W135" s="1">
        <f t="shared" si="23"/>
        <v>0</v>
      </c>
      <c r="X135" s="1">
        <f t="shared" si="23"/>
        <v>2</v>
      </c>
      <c r="Y135" s="1">
        <f t="shared" si="23"/>
        <v>3</v>
      </c>
      <c r="Z135" s="1">
        <f t="shared" si="23"/>
        <v>0</v>
      </c>
      <c r="AA135" s="1">
        <f t="shared" si="23"/>
        <v>0</v>
      </c>
      <c r="AB135" s="1">
        <f t="shared" si="23"/>
        <v>0</v>
      </c>
      <c r="AC135" s="1">
        <f t="shared" si="23"/>
        <v>0</v>
      </c>
      <c r="AD135" s="1">
        <f t="shared" si="23"/>
        <v>0</v>
      </c>
      <c r="AE135" s="1">
        <f t="shared" si="23"/>
        <v>0</v>
      </c>
      <c r="AF135" s="1">
        <f t="shared" si="23"/>
        <v>0</v>
      </c>
      <c r="AG135" s="2">
        <f t="shared" si="17"/>
        <v>19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1</v>
      </c>
      <c r="C136" s="91">
        <v>0</v>
      </c>
      <c r="D136" s="91">
        <v>1</v>
      </c>
      <c r="E136" s="91">
        <v>1</v>
      </c>
      <c r="F136" s="91">
        <v>1</v>
      </c>
      <c r="G136" s="91">
        <v>1</v>
      </c>
      <c r="H136" s="91">
        <v>1</v>
      </c>
      <c r="I136" s="91">
        <v>3</v>
      </c>
      <c r="J136" s="91">
        <v>0</v>
      </c>
      <c r="K136" s="91">
        <v>0</v>
      </c>
      <c r="L136" s="91">
        <v>0</v>
      </c>
      <c r="M136" s="91">
        <v>1</v>
      </c>
      <c r="N136" s="91">
        <v>0</v>
      </c>
      <c r="O136" s="91">
        <v>1</v>
      </c>
      <c r="P136" s="91">
        <v>0</v>
      </c>
      <c r="Q136" s="91">
        <v>0</v>
      </c>
      <c r="R136" s="91">
        <v>1</v>
      </c>
      <c r="S136" s="91">
        <v>0</v>
      </c>
      <c r="T136" s="91">
        <v>0</v>
      </c>
      <c r="U136" s="91">
        <v>0</v>
      </c>
      <c r="V136" s="91">
        <v>2</v>
      </c>
      <c r="W136" s="91">
        <v>0</v>
      </c>
      <c r="X136" s="91">
        <v>2</v>
      </c>
      <c r="Y136" s="91">
        <v>3</v>
      </c>
      <c r="Z136" s="91">
        <v>0</v>
      </c>
      <c r="AA136" s="91">
        <v>0</v>
      </c>
      <c r="AB136" s="91">
        <v>0</v>
      </c>
      <c r="AC136" s="91">
        <v>0</v>
      </c>
      <c r="AD136" s="91">
        <v>0</v>
      </c>
      <c r="AE136" s="91">
        <v>0</v>
      </c>
      <c r="AF136" s="91"/>
      <c r="AG136" s="28">
        <f t="shared" si="17"/>
        <v>19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/>
      <c r="AG137" s="29">
        <f t="shared" si="17"/>
        <v>0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/>
      <c r="AG138" s="30">
        <f t="shared" si="17"/>
        <v>0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3</v>
      </c>
      <c r="C139" s="31">
        <f t="shared" si="24"/>
        <v>5</v>
      </c>
      <c r="D139" s="31">
        <f t="shared" si="24"/>
        <v>2</v>
      </c>
      <c r="E139" s="31">
        <f t="shared" si="24"/>
        <v>1</v>
      </c>
      <c r="F139" s="31">
        <f t="shared" si="24"/>
        <v>3</v>
      </c>
      <c r="G139" s="31">
        <f t="shared" si="24"/>
        <v>3</v>
      </c>
      <c r="H139" s="31">
        <f t="shared" si="24"/>
        <v>2</v>
      </c>
      <c r="I139" s="31">
        <f t="shared" si="24"/>
        <v>1</v>
      </c>
      <c r="J139" s="31">
        <f t="shared" si="24"/>
        <v>9</v>
      </c>
      <c r="K139" s="31">
        <f t="shared" si="24"/>
        <v>7</v>
      </c>
      <c r="L139" s="31">
        <f t="shared" si="24"/>
        <v>2</v>
      </c>
      <c r="M139" s="31">
        <f t="shared" si="24"/>
        <v>2</v>
      </c>
      <c r="N139" s="31">
        <f t="shared" si="24"/>
        <v>2</v>
      </c>
      <c r="O139" s="31">
        <f t="shared" si="24"/>
        <v>2</v>
      </c>
      <c r="P139" s="31">
        <f t="shared" si="24"/>
        <v>1</v>
      </c>
      <c r="Q139" s="31">
        <f t="shared" si="24"/>
        <v>4</v>
      </c>
      <c r="R139" s="31">
        <f t="shared" si="24"/>
        <v>3</v>
      </c>
      <c r="S139" s="31">
        <f t="shared" si="24"/>
        <v>1</v>
      </c>
      <c r="T139" s="31">
        <f t="shared" si="24"/>
        <v>4</v>
      </c>
      <c r="U139" s="31">
        <f t="shared" si="24"/>
        <v>5</v>
      </c>
      <c r="V139" s="31">
        <f t="shared" si="24"/>
        <v>1</v>
      </c>
      <c r="W139" s="31">
        <f t="shared" si="24"/>
        <v>3</v>
      </c>
      <c r="X139" s="31">
        <f t="shared" si="24"/>
        <v>3</v>
      </c>
      <c r="Y139" s="31">
        <f t="shared" si="24"/>
        <v>2</v>
      </c>
      <c r="Z139" s="31">
        <f t="shared" si="24"/>
        <v>0</v>
      </c>
      <c r="AA139" s="31">
        <f t="shared" si="24"/>
        <v>4</v>
      </c>
      <c r="AB139" s="31">
        <f t="shared" si="24"/>
        <v>3</v>
      </c>
      <c r="AC139" s="31">
        <f t="shared" si="24"/>
        <v>2</v>
      </c>
      <c r="AD139" s="31">
        <f t="shared" si="24"/>
        <v>3</v>
      </c>
      <c r="AE139" s="31">
        <f t="shared" si="24"/>
        <v>3</v>
      </c>
      <c r="AF139" s="31">
        <f t="shared" si="24"/>
        <v>0</v>
      </c>
      <c r="AG139" s="32">
        <f t="shared" si="17"/>
        <v>86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0</v>
      </c>
      <c r="C140" s="97">
        <v>0</v>
      </c>
      <c r="D140" s="97">
        <v>1</v>
      </c>
      <c r="E140" s="97">
        <v>0</v>
      </c>
      <c r="F140" s="97">
        <v>0</v>
      </c>
      <c r="G140" s="97">
        <v>0</v>
      </c>
      <c r="H140" s="97">
        <v>1</v>
      </c>
      <c r="I140" s="97">
        <v>0</v>
      </c>
      <c r="J140" s="97">
        <v>2</v>
      </c>
      <c r="K140" s="97">
        <v>3</v>
      </c>
      <c r="L140" s="97">
        <v>0</v>
      </c>
      <c r="M140" s="97">
        <v>0</v>
      </c>
      <c r="N140" s="97">
        <v>0</v>
      </c>
      <c r="O140" s="97">
        <v>0</v>
      </c>
      <c r="P140" s="97">
        <v>0</v>
      </c>
      <c r="Q140" s="97">
        <v>1</v>
      </c>
      <c r="R140" s="97">
        <v>1</v>
      </c>
      <c r="S140" s="97">
        <v>0</v>
      </c>
      <c r="T140" s="97">
        <v>0</v>
      </c>
      <c r="U140" s="97">
        <v>1</v>
      </c>
      <c r="V140" s="97">
        <v>0</v>
      </c>
      <c r="W140" s="97">
        <v>0</v>
      </c>
      <c r="X140" s="97">
        <v>0</v>
      </c>
      <c r="Y140" s="97">
        <v>0</v>
      </c>
      <c r="Z140" s="97">
        <v>0</v>
      </c>
      <c r="AA140" s="97">
        <v>0</v>
      </c>
      <c r="AB140" s="97">
        <v>1</v>
      </c>
      <c r="AC140" s="97">
        <v>0</v>
      </c>
      <c r="AD140" s="97">
        <v>0</v>
      </c>
      <c r="AE140" s="97">
        <v>1</v>
      </c>
      <c r="AF140" s="97"/>
      <c r="AG140" s="33">
        <f t="shared" si="17"/>
        <v>12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3</v>
      </c>
      <c r="C141" s="98">
        <v>5</v>
      </c>
      <c r="D141" s="98">
        <v>1</v>
      </c>
      <c r="E141" s="98">
        <v>1</v>
      </c>
      <c r="F141" s="98">
        <v>3</v>
      </c>
      <c r="G141" s="98">
        <v>3</v>
      </c>
      <c r="H141" s="98">
        <v>1</v>
      </c>
      <c r="I141" s="98">
        <v>1</v>
      </c>
      <c r="J141" s="98">
        <v>7</v>
      </c>
      <c r="K141" s="98">
        <v>4</v>
      </c>
      <c r="L141" s="98">
        <v>2</v>
      </c>
      <c r="M141" s="98">
        <v>2</v>
      </c>
      <c r="N141" s="98">
        <v>2</v>
      </c>
      <c r="O141" s="98">
        <v>2</v>
      </c>
      <c r="P141" s="98">
        <v>1</v>
      </c>
      <c r="Q141" s="98">
        <v>3</v>
      </c>
      <c r="R141" s="98">
        <v>2</v>
      </c>
      <c r="S141" s="98">
        <v>1</v>
      </c>
      <c r="T141" s="98">
        <v>4</v>
      </c>
      <c r="U141" s="98">
        <v>4</v>
      </c>
      <c r="V141" s="98">
        <v>1</v>
      </c>
      <c r="W141" s="98">
        <v>3</v>
      </c>
      <c r="X141" s="98">
        <v>3</v>
      </c>
      <c r="Y141" s="98">
        <v>2</v>
      </c>
      <c r="Z141" s="98">
        <v>0</v>
      </c>
      <c r="AA141" s="98">
        <v>4</v>
      </c>
      <c r="AB141" s="98">
        <v>2</v>
      </c>
      <c r="AC141" s="98">
        <v>2</v>
      </c>
      <c r="AD141" s="98">
        <v>3</v>
      </c>
      <c r="AE141" s="98">
        <v>2</v>
      </c>
      <c r="AF141" s="98"/>
      <c r="AG141" s="34">
        <f t="shared" si="17"/>
        <v>74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>
        <v>0</v>
      </c>
      <c r="C143" s="102">
        <v>0</v>
      </c>
      <c r="D143" s="102">
        <v>0</v>
      </c>
      <c r="E143" s="102">
        <v>0</v>
      </c>
      <c r="F143" s="102">
        <v>0</v>
      </c>
      <c r="G143" s="102">
        <v>0</v>
      </c>
      <c r="H143" s="102">
        <v>0</v>
      </c>
      <c r="I143" s="102">
        <v>0</v>
      </c>
      <c r="J143" s="102">
        <v>0</v>
      </c>
      <c r="K143" s="102">
        <v>0</v>
      </c>
      <c r="L143" s="102">
        <v>0</v>
      </c>
      <c r="M143" s="102">
        <v>0</v>
      </c>
      <c r="N143" s="102">
        <v>0</v>
      </c>
      <c r="O143" s="102">
        <v>0</v>
      </c>
      <c r="P143" s="102">
        <v>0</v>
      </c>
      <c r="Q143" s="102">
        <v>0</v>
      </c>
      <c r="R143" s="102">
        <v>0</v>
      </c>
      <c r="S143" s="102">
        <v>0</v>
      </c>
      <c r="T143" s="102">
        <v>0</v>
      </c>
      <c r="U143" s="102">
        <v>0</v>
      </c>
      <c r="V143" s="102">
        <v>0</v>
      </c>
      <c r="W143" s="102">
        <v>0</v>
      </c>
      <c r="X143" s="102">
        <v>0</v>
      </c>
      <c r="Y143" s="102">
        <v>0</v>
      </c>
      <c r="Z143" s="102">
        <v>0</v>
      </c>
      <c r="AA143" s="102">
        <v>0</v>
      </c>
      <c r="AB143" s="102">
        <v>0</v>
      </c>
      <c r="AC143" s="102">
        <v>0</v>
      </c>
      <c r="AD143" s="102">
        <v>0</v>
      </c>
      <c r="AE143" s="102">
        <v>0</v>
      </c>
      <c r="AF143" s="102">
        <v>0</v>
      </c>
      <c r="AG143" s="36">
        <f t="shared" si="17"/>
        <v>0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61</v>
      </c>
      <c r="C144" s="37">
        <f t="shared" si="25"/>
        <v>60</v>
      </c>
      <c r="D144" s="37">
        <f t="shared" si="25"/>
        <v>100</v>
      </c>
      <c r="E144" s="37">
        <f t="shared" si="25"/>
        <v>42</v>
      </c>
      <c r="F144" s="37">
        <f t="shared" si="25"/>
        <v>54</v>
      </c>
      <c r="G144" s="37">
        <f t="shared" si="25"/>
        <v>40</v>
      </c>
      <c r="H144" s="37">
        <f t="shared" si="25"/>
        <v>29</v>
      </c>
      <c r="I144" s="37">
        <f t="shared" si="25"/>
        <v>34</v>
      </c>
      <c r="J144" s="37">
        <f t="shared" si="25"/>
        <v>75</v>
      </c>
      <c r="K144" s="37">
        <f t="shared" si="25"/>
        <v>58</v>
      </c>
      <c r="L144" s="37">
        <f t="shared" si="25"/>
        <v>60</v>
      </c>
      <c r="M144" s="37">
        <f t="shared" si="25"/>
        <v>51</v>
      </c>
      <c r="N144" s="37">
        <f t="shared" si="25"/>
        <v>52</v>
      </c>
      <c r="O144" s="37">
        <f t="shared" si="25"/>
        <v>29</v>
      </c>
      <c r="P144" s="37">
        <f t="shared" si="25"/>
        <v>40</v>
      </c>
      <c r="Q144" s="37">
        <f t="shared" si="25"/>
        <v>84</v>
      </c>
      <c r="R144" s="37">
        <f t="shared" si="25"/>
        <v>39</v>
      </c>
      <c r="S144" s="37">
        <f t="shared" si="25"/>
        <v>66</v>
      </c>
      <c r="T144" s="37">
        <f t="shared" si="25"/>
        <v>53</v>
      </c>
      <c r="U144" s="37">
        <f t="shared" si="25"/>
        <v>46</v>
      </c>
      <c r="V144" s="37">
        <f t="shared" si="25"/>
        <v>53</v>
      </c>
      <c r="W144" s="37">
        <f t="shared" si="25"/>
        <v>46</v>
      </c>
      <c r="X144" s="37">
        <f t="shared" si="25"/>
        <v>51</v>
      </c>
      <c r="Y144" s="37">
        <f t="shared" si="25"/>
        <v>62</v>
      </c>
      <c r="Z144" s="37">
        <f t="shared" si="25"/>
        <v>53</v>
      </c>
      <c r="AA144" s="37">
        <f t="shared" si="25"/>
        <v>68</v>
      </c>
      <c r="AB144" s="37">
        <f t="shared" si="25"/>
        <v>50</v>
      </c>
      <c r="AC144" s="37">
        <f t="shared" si="25"/>
        <v>32</v>
      </c>
      <c r="AD144" s="37">
        <f t="shared" si="25"/>
        <v>41</v>
      </c>
      <c r="AE144" s="37">
        <f t="shared" si="25"/>
        <v>76</v>
      </c>
      <c r="AF144" s="37">
        <f t="shared" si="25"/>
        <v>0</v>
      </c>
      <c r="AG144" s="24">
        <f t="shared" si="17"/>
        <v>1605</v>
      </c>
      <c r="AK144" s="84" t="s">
        <v>155</v>
      </c>
    </row>
    <row r="145" spans="1:37" ht="15.75" customHeight="1" x14ac:dyDescent="0.25">
      <c r="A145" s="104" t="s">
        <v>92</v>
      </c>
      <c r="B145" s="105">
        <v>6</v>
      </c>
      <c r="C145" s="105">
        <v>5</v>
      </c>
      <c r="D145" s="105">
        <v>5</v>
      </c>
      <c r="E145" s="105">
        <v>4</v>
      </c>
      <c r="F145" s="105">
        <v>2</v>
      </c>
      <c r="G145" s="105">
        <v>1</v>
      </c>
      <c r="H145" s="105">
        <v>2</v>
      </c>
      <c r="I145" s="105">
        <v>3</v>
      </c>
      <c r="J145" s="105">
        <v>2</v>
      </c>
      <c r="K145" s="105">
        <v>3</v>
      </c>
      <c r="L145" s="105">
        <v>3</v>
      </c>
      <c r="M145" s="105">
        <v>1</v>
      </c>
      <c r="N145" s="105">
        <v>6</v>
      </c>
      <c r="O145" s="105">
        <v>2</v>
      </c>
      <c r="P145" s="105">
        <v>6</v>
      </c>
      <c r="Q145" s="105">
        <v>12</v>
      </c>
      <c r="R145" s="105">
        <v>2</v>
      </c>
      <c r="S145" s="105">
        <v>6</v>
      </c>
      <c r="T145" s="105">
        <v>1</v>
      </c>
      <c r="U145" s="105">
        <v>2</v>
      </c>
      <c r="V145" s="105">
        <v>1</v>
      </c>
      <c r="W145" s="105">
        <v>3</v>
      </c>
      <c r="X145" s="105">
        <v>1</v>
      </c>
      <c r="Y145" s="105">
        <v>4</v>
      </c>
      <c r="Z145" s="105">
        <v>2</v>
      </c>
      <c r="AA145" s="105">
        <v>1</v>
      </c>
      <c r="AB145" s="105">
        <v>3</v>
      </c>
      <c r="AC145" s="105">
        <v>1</v>
      </c>
      <c r="AD145" s="105"/>
      <c r="AE145" s="105">
        <v>3</v>
      </c>
      <c r="AF145" s="105"/>
      <c r="AG145" s="38">
        <f t="shared" si="17"/>
        <v>93</v>
      </c>
      <c r="AK145" s="84" t="s">
        <v>156</v>
      </c>
    </row>
    <row r="146" spans="1:37" ht="15.75" customHeight="1" x14ac:dyDescent="0.25">
      <c r="A146" s="106" t="s">
        <v>93</v>
      </c>
      <c r="B146" s="77">
        <v>0</v>
      </c>
      <c r="C146" s="77">
        <v>0</v>
      </c>
      <c r="D146" s="77">
        <v>0</v>
      </c>
      <c r="E146" s="77">
        <v>0</v>
      </c>
      <c r="F146" s="77">
        <v>0</v>
      </c>
      <c r="G146" s="77">
        <v>0</v>
      </c>
      <c r="H146" s="77">
        <v>0</v>
      </c>
      <c r="I146" s="77">
        <v>0</v>
      </c>
      <c r="J146" s="77">
        <v>0</v>
      </c>
      <c r="K146" s="77">
        <v>0</v>
      </c>
      <c r="L146" s="77">
        <v>0</v>
      </c>
      <c r="M146" s="77">
        <v>0</v>
      </c>
      <c r="N146" s="77">
        <v>0</v>
      </c>
      <c r="O146" s="77">
        <v>0</v>
      </c>
      <c r="P146" s="77">
        <v>0</v>
      </c>
      <c r="Q146" s="77">
        <v>0</v>
      </c>
      <c r="R146" s="77">
        <v>0</v>
      </c>
      <c r="S146" s="77">
        <v>0</v>
      </c>
      <c r="T146" s="77">
        <v>0</v>
      </c>
      <c r="U146" s="77">
        <v>0</v>
      </c>
      <c r="V146" s="77">
        <v>0</v>
      </c>
      <c r="W146" s="77">
        <v>0</v>
      </c>
      <c r="X146" s="77">
        <v>0</v>
      </c>
      <c r="Y146" s="77">
        <v>0</v>
      </c>
      <c r="Z146" s="77">
        <v>0</v>
      </c>
      <c r="AA146" s="77">
        <v>0</v>
      </c>
      <c r="AB146" s="77"/>
      <c r="AC146" s="77"/>
      <c r="AD146" s="77"/>
      <c r="AE146" s="77"/>
      <c r="AF146" s="77"/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>
        <v>0</v>
      </c>
      <c r="C147" s="77">
        <v>0</v>
      </c>
      <c r="D147" s="77">
        <v>0</v>
      </c>
      <c r="E147" s="77">
        <v>0</v>
      </c>
      <c r="F147" s="77">
        <v>0</v>
      </c>
      <c r="G147" s="77">
        <v>0</v>
      </c>
      <c r="H147" s="77">
        <v>0</v>
      </c>
      <c r="I147" s="77">
        <v>0</v>
      </c>
      <c r="J147" s="77">
        <v>0</v>
      </c>
      <c r="K147" s="77">
        <v>0</v>
      </c>
      <c r="L147" s="77">
        <v>0</v>
      </c>
      <c r="M147" s="77">
        <v>0</v>
      </c>
      <c r="N147" s="77">
        <v>0</v>
      </c>
      <c r="O147" s="77">
        <v>0</v>
      </c>
      <c r="P147" s="77">
        <v>0</v>
      </c>
      <c r="Q147" s="77">
        <v>0</v>
      </c>
      <c r="R147" s="77">
        <v>0</v>
      </c>
      <c r="S147" s="77">
        <v>0</v>
      </c>
      <c r="T147" s="77">
        <v>0</v>
      </c>
      <c r="U147" s="77">
        <v>0</v>
      </c>
      <c r="V147" s="77">
        <v>0</v>
      </c>
      <c r="W147" s="77">
        <v>0</v>
      </c>
      <c r="X147" s="77">
        <v>0</v>
      </c>
      <c r="Y147" s="77">
        <v>0</v>
      </c>
      <c r="Z147" s="77">
        <v>0</v>
      </c>
      <c r="AA147" s="77">
        <v>0</v>
      </c>
      <c r="AB147" s="77"/>
      <c r="AC147" s="77"/>
      <c r="AD147" s="77"/>
      <c r="AE147" s="77"/>
      <c r="AF147" s="77"/>
      <c r="AG147" s="5">
        <f t="shared" si="17"/>
        <v>0</v>
      </c>
      <c r="AK147" s="84" t="s">
        <v>158</v>
      </c>
    </row>
    <row r="148" spans="1:37" ht="15.75" customHeight="1" x14ac:dyDescent="0.25">
      <c r="A148" s="106" t="s">
        <v>95</v>
      </c>
      <c r="B148" s="77">
        <v>0</v>
      </c>
      <c r="C148" s="77">
        <v>0</v>
      </c>
      <c r="D148" s="77">
        <v>0</v>
      </c>
      <c r="E148" s="77">
        <v>0</v>
      </c>
      <c r="F148" s="77">
        <v>0</v>
      </c>
      <c r="G148" s="77">
        <v>0</v>
      </c>
      <c r="H148" s="77">
        <v>0</v>
      </c>
      <c r="I148" s="77">
        <v>0</v>
      </c>
      <c r="J148" s="77">
        <v>0</v>
      </c>
      <c r="K148" s="77">
        <v>0</v>
      </c>
      <c r="L148" s="77">
        <v>0</v>
      </c>
      <c r="M148" s="77">
        <v>0</v>
      </c>
      <c r="N148" s="77">
        <v>0</v>
      </c>
      <c r="O148" s="77">
        <v>0</v>
      </c>
      <c r="P148" s="77">
        <v>0</v>
      </c>
      <c r="Q148" s="77">
        <v>0</v>
      </c>
      <c r="R148" s="77">
        <v>0</v>
      </c>
      <c r="S148" s="77">
        <v>0</v>
      </c>
      <c r="T148" s="77">
        <v>0</v>
      </c>
      <c r="U148" s="77">
        <v>0</v>
      </c>
      <c r="V148" s="77">
        <v>0</v>
      </c>
      <c r="W148" s="77">
        <v>0</v>
      </c>
      <c r="X148" s="77">
        <v>0</v>
      </c>
      <c r="Y148" s="77">
        <v>0</v>
      </c>
      <c r="Z148" s="77">
        <v>0</v>
      </c>
      <c r="AA148" s="77">
        <v>0</v>
      </c>
      <c r="AB148" s="77"/>
      <c r="AC148" s="77"/>
      <c r="AD148" s="77"/>
      <c r="AE148" s="77"/>
      <c r="AF148" s="77"/>
      <c r="AG148" s="5">
        <f t="shared" si="17"/>
        <v>0</v>
      </c>
      <c r="AK148" s="84" t="s">
        <v>159</v>
      </c>
    </row>
    <row r="149" spans="1:37" ht="15.75" customHeight="1" x14ac:dyDescent="0.25">
      <c r="A149" s="107" t="s">
        <v>96</v>
      </c>
      <c r="B149" s="108">
        <v>53</v>
      </c>
      <c r="C149" s="108">
        <v>52</v>
      </c>
      <c r="D149" s="108">
        <v>90</v>
      </c>
      <c r="E149" s="108">
        <v>38</v>
      </c>
      <c r="F149" s="108">
        <v>50</v>
      </c>
      <c r="G149" s="108">
        <v>36</v>
      </c>
      <c r="H149" s="108">
        <v>25</v>
      </c>
      <c r="I149" s="108">
        <v>27</v>
      </c>
      <c r="J149" s="108">
        <v>70</v>
      </c>
      <c r="K149" s="108">
        <v>55</v>
      </c>
      <c r="L149" s="108">
        <v>56</v>
      </c>
      <c r="M149" s="108">
        <v>48</v>
      </c>
      <c r="N149" s="108">
        <v>42</v>
      </c>
      <c r="O149" s="108">
        <v>26</v>
      </c>
      <c r="P149" s="108">
        <v>33</v>
      </c>
      <c r="Q149" s="108">
        <v>70</v>
      </c>
      <c r="R149" s="108">
        <v>31</v>
      </c>
      <c r="S149" s="108">
        <v>60</v>
      </c>
      <c r="T149" s="108">
        <v>49</v>
      </c>
      <c r="U149" s="108">
        <v>42</v>
      </c>
      <c r="V149" s="108">
        <v>49</v>
      </c>
      <c r="W149" s="108">
        <v>38</v>
      </c>
      <c r="X149" s="108">
        <v>43</v>
      </c>
      <c r="Y149" s="108">
        <v>57</v>
      </c>
      <c r="Z149" s="108">
        <v>50</v>
      </c>
      <c r="AA149" s="108">
        <v>63</v>
      </c>
      <c r="AB149" s="108">
        <v>42</v>
      </c>
      <c r="AC149" s="108">
        <v>27</v>
      </c>
      <c r="AD149" s="108">
        <v>39</v>
      </c>
      <c r="AE149" s="108">
        <v>68</v>
      </c>
      <c r="AF149" s="108"/>
      <c r="AG149" s="39">
        <f t="shared" si="17"/>
        <v>1429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>
        <v>0</v>
      </c>
      <c r="C153" s="77">
        <v>0</v>
      </c>
      <c r="D153" s="77">
        <v>0</v>
      </c>
      <c r="E153" s="77">
        <v>0</v>
      </c>
      <c r="F153" s="77">
        <v>0</v>
      </c>
      <c r="G153" s="77">
        <v>0</v>
      </c>
      <c r="H153" s="77">
        <v>0</v>
      </c>
      <c r="I153" s="77">
        <v>0</v>
      </c>
      <c r="J153" s="77">
        <v>0</v>
      </c>
      <c r="K153" s="77">
        <v>0</v>
      </c>
      <c r="L153" s="77">
        <v>0</v>
      </c>
      <c r="M153" s="77">
        <v>0</v>
      </c>
      <c r="N153" s="77">
        <v>0</v>
      </c>
      <c r="O153" s="77">
        <v>0</v>
      </c>
      <c r="P153" s="77">
        <v>0</v>
      </c>
      <c r="Q153" s="77">
        <v>0</v>
      </c>
      <c r="R153" s="77">
        <v>3</v>
      </c>
      <c r="S153" s="77">
        <v>0</v>
      </c>
      <c r="T153" s="77">
        <v>0</v>
      </c>
      <c r="U153" s="77">
        <v>0</v>
      </c>
      <c r="V153" s="77">
        <v>0</v>
      </c>
      <c r="W153" s="77">
        <v>0</v>
      </c>
      <c r="X153" s="77">
        <v>1</v>
      </c>
      <c r="Y153" s="77">
        <v>0</v>
      </c>
      <c r="Z153" s="77">
        <v>0</v>
      </c>
      <c r="AA153" s="77">
        <v>0</v>
      </c>
      <c r="AB153" s="77"/>
      <c r="AC153" s="77"/>
      <c r="AD153" s="77"/>
      <c r="AE153" s="77"/>
      <c r="AF153" s="77"/>
      <c r="AG153" s="5">
        <f t="shared" si="17"/>
        <v>4</v>
      </c>
      <c r="AK153" s="109" t="s">
        <v>127</v>
      </c>
    </row>
    <row r="154" spans="1:37" ht="15.75" customHeight="1" x14ac:dyDescent="0.25">
      <c r="A154" s="76" t="s">
        <v>101</v>
      </c>
      <c r="B154" s="77">
        <v>0</v>
      </c>
      <c r="C154" s="77">
        <v>0</v>
      </c>
      <c r="D154" s="77">
        <v>0</v>
      </c>
      <c r="E154" s="77">
        <v>0</v>
      </c>
      <c r="F154" s="77">
        <v>2</v>
      </c>
      <c r="G154" s="77">
        <v>1</v>
      </c>
      <c r="H154" s="77">
        <v>1</v>
      </c>
      <c r="I154" s="77">
        <v>3</v>
      </c>
      <c r="J154" s="77">
        <v>0</v>
      </c>
      <c r="K154" s="77">
        <v>0</v>
      </c>
      <c r="L154" s="77">
        <v>1</v>
      </c>
      <c r="M154" s="77">
        <v>1</v>
      </c>
      <c r="N154" s="77">
        <v>1</v>
      </c>
      <c r="O154" s="77">
        <v>0</v>
      </c>
      <c r="P154" s="77">
        <v>1</v>
      </c>
      <c r="Q154" s="77">
        <v>0</v>
      </c>
      <c r="R154" s="77">
        <v>0</v>
      </c>
      <c r="S154" s="77">
        <v>0</v>
      </c>
      <c r="T154" s="77">
        <v>3</v>
      </c>
      <c r="U154" s="77">
        <v>0</v>
      </c>
      <c r="V154" s="77">
        <v>3</v>
      </c>
      <c r="W154" s="77">
        <v>2</v>
      </c>
      <c r="X154" s="77">
        <v>1</v>
      </c>
      <c r="Y154" s="77">
        <v>1</v>
      </c>
      <c r="Z154" s="77">
        <v>1</v>
      </c>
      <c r="AA154" s="77">
        <v>1</v>
      </c>
      <c r="AB154" s="77">
        <v>3</v>
      </c>
      <c r="AC154" s="77">
        <v>2</v>
      </c>
      <c r="AD154" s="77"/>
      <c r="AE154" s="77">
        <v>1</v>
      </c>
      <c r="AF154" s="77"/>
      <c r="AG154" s="5">
        <f t="shared" si="17"/>
        <v>29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>
        <v>0</v>
      </c>
      <c r="C158" s="111">
        <v>1</v>
      </c>
      <c r="D158" s="111">
        <v>0</v>
      </c>
      <c r="E158" s="111">
        <v>0</v>
      </c>
      <c r="F158" s="111">
        <v>0</v>
      </c>
      <c r="G158" s="111">
        <v>2</v>
      </c>
      <c r="H158" s="111">
        <v>1</v>
      </c>
      <c r="I158" s="111">
        <v>1</v>
      </c>
      <c r="J158" s="111">
        <v>1</v>
      </c>
      <c r="K158" s="111">
        <v>0</v>
      </c>
      <c r="L158" s="111">
        <v>0</v>
      </c>
      <c r="M158" s="111">
        <v>0</v>
      </c>
      <c r="N158" s="111">
        <v>0</v>
      </c>
      <c r="O158" s="111">
        <v>0</v>
      </c>
      <c r="P158" s="111">
        <v>0</v>
      </c>
      <c r="Q158" s="111">
        <v>1</v>
      </c>
      <c r="R158" s="111">
        <v>3</v>
      </c>
      <c r="S158" s="111">
        <v>0</v>
      </c>
      <c r="T158" s="111">
        <v>0</v>
      </c>
      <c r="U158" s="111">
        <v>0</v>
      </c>
      <c r="V158" s="111">
        <v>0</v>
      </c>
      <c r="W158" s="111">
        <v>3</v>
      </c>
      <c r="X158" s="111">
        <v>3</v>
      </c>
      <c r="Y158" s="111">
        <v>0</v>
      </c>
      <c r="Z158" s="111">
        <v>0</v>
      </c>
      <c r="AA158" s="111">
        <v>1</v>
      </c>
      <c r="AB158" s="111"/>
      <c r="AC158" s="111"/>
      <c r="AD158" s="111">
        <v>1</v>
      </c>
      <c r="AE158" s="111">
        <v>2</v>
      </c>
      <c r="AF158" s="111"/>
      <c r="AG158" s="40">
        <f t="shared" si="17"/>
        <v>20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>
        <v>0</v>
      </c>
      <c r="C162" s="77">
        <v>0</v>
      </c>
      <c r="D162" s="77">
        <v>0</v>
      </c>
      <c r="E162" s="77">
        <v>0</v>
      </c>
      <c r="F162" s="77">
        <v>0</v>
      </c>
      <c r="G162" s="77">
        <v>0</v>
      </c>
      <c r="H162" s="77">
        <v>0</v>
      </c>
      <c r="I162" s="77">
        <v>0</v>
      </c>
      <c r="J162" s="77">
        <v>0</v>
      </c>
      <c r="K162" s="77">
        <v>0</v>
      </c>
      <c r="L162" s="77">
        <v>0</v>
      </c>
      <c r="M162" s="77">
        <v>0</v>
      </c>
      <c r="N162" s="77">
        <v>0</v>
      </c>
      <c r="O162" s="77">
        <v>0</v>
      </c>
      <c r="P162" s="77">
        <v>0</v>
      </c>
      <c r="Q162" s="77">
        <v>0</v>
      </c>
      <c r="R162" s="77">
        <v>0</v>
      </c>
      <c r="S162" s="77">
        <v>0</v>
      </c>
      <c r="T162" s="77">
        <v>0</v>
      </c>
      <c r="U162" s="77">
        <v>0</v>
      </c>
      <c r="V162" s="77">
        <v>0</v>
      </c>
      <c r="W162" s="77">
        <v>0</v>
      </c>
      <c r="X162" s="77">
        <v>0</v>
      </c>
      <c r="Y162" s="77">
        <v>0</v>
      </c>
      <c r="Z162" s="77">
        <v>0</v>
      </c>
      <c r="AA162" s="77">
        <v>0</v>
      </c>
      <c r="AB162" s="77"/>
      <c r="AC162" s="77"/>
      <c r="AD162" s="77"/>
      <c r="AE162" s="77"/>
      <c r="AF162" s="77"/>
      <c r="AG162" s="5">
        <f t="shared" si="17"/>
        <v>0</v>
      </c>
    </row>
    <row r="163" spans="1:34" ht="15.75" customHeight="1" x14ac:dyDescent="0.25">
      <c r="A163" s="112" t="s">
        <v>110</v>
      </c>
      <c r="B163" s="77">
        <v>1</v>
      </c>
      <c r="C163" s="77">
        <v>0</v>
      </c>
      <c r="D163" s="77">
        <v>0</v>
      </c>
      <c r="E163" s="77">
        <v>0</v>
      </c>
      <c r="F163" s="77">
        <v>0</v>
      </c>
      <c r="G163" s="77">
        <v>0</v>
      </c>
      <c r="H163" s="77">
        <v>0</v>
      </c>
      <c r="I163" s="77">
        <v>0</v>
      </c>
      <c r="J163" s="77">
        <v>0</v>
      </c>
      <c r="K163" s="77">
        <v>0</v>
      </c>
      <c r="L163" s="77">
        <v>0</v>
      </c>
      <c r="M163" s="77">
        <v>0</v>
      </c>
      <c r="N163" s="77">
        <v>0</v>
      </c>
      <c r="O163" s="77">
        <v>0</v>
      </c>
      <c r="P163" s="77">
        <v>0</v>
      </c>
      <c r="Q163" s="77">
        <v>0</v>
      </c>
      <c r="R163" s="77">
        <v>0</v>
      </c>
      <c r="S163" s="77">
        <v>0</v>
      </c>
      <c r="T163" s="77">
        <v>0</v>
      </c>
      <c r="U163" s="77">
        <v>0</v>
      </c>
      <c r="V163" s="77">
        <v>0</v>
      </c>
      <c r="W163" s="77">
        <v>0</v>
      </c>
      <c r="X163" s="77">
        <v>0</v>
      </c>
      <c r="Y163" s="77">
        <v>0</v>
      </c>
      <c r="Z163" s="77">
        <v>0</v>
      </c>
      <c r="AA163" s="77">
        <v>0</v>
      </c>
      <c r="AB163" s="77"/>
      <c r="AC163" s="77"/>
      <c r="AD163" s="77"/>
      <c r="AE163" s="77"/>
      <c r="AF163" s="77"/>
      <c r="AG163" s="5">
        <f t="shared" ref="AG163:AG180" si="26">SUM(B163:AF163)</f>
        <v>1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0</v>
      </c>
    </row>
    <row r="165" spans="1:34" ht="15.75" customHeight="1" x14ac:dyDescent="0.25">
      <c r="A165" s="76" t="s">
        <v>112</v>
      </c>
      <c r="B165" s="77">
        <v>0</v>
      </c>
      <c r="C165" s="77">
        <v>0</v>
      </c>
      <c r="D165" s="77">
        <v>0</v>
      </c>
      <c r="E165" s="77">
        <v>0</v>
      </c>
      <c r="F165" s="77">
        <v>0</v>
      </c>
      <c r="G165" s="77">
        <v>0</v>
      </c>
      <c r="H165" s="77">
        <v>0</v>
      </c>
      <c r="I165" s="77">
        <v>0</v>
      </c>
      <c r="J165" s="77">
        <v>0</v>
      </c>
      <c r="K165" s="77">
        <v>0</v>
      </c>
      <c r="L165" s="77">
        <v>0</v>
      </c>
      <c r="M165" s="77">
        <v>0</v>
      </c>
      <c r="N165" s="77">
        <v>0</v>
      </c>
      <c r="O165" s="77">
        <v>0</v>
      </c>
      <c r="P165" s="77">
        <v>0</v>
      </c>
      <c r="Q165" s="77">
        <v>0</v>
      </c>
      <c r="R165" s="77">
        <v>0</v>
      </c>
      <c r="S165" s="77">
        <v>0</v>
      </c>
      <c r="T165" s="77">
        <v>0</v>
      </c>
      <c r="U165" s="77">
        <v>0</v>
      </c>
      <c r="V165" s="77">
        <v>0</v>
      </c>
      <c r="W165" s="77">
        <v>0</v>
      </c>
      <c r="X165" s="77">
        <v>0</v>
      </c>
      <c r="Y165" s="77">
        <v>0</v>
      </c>
      <c r="Z165" s="77">
        <v>0</v>
      </c>
      <c r="AA165" s="77">
        <v>0</v>
      </c>
      <c r="AB165" s="77"/>
      <c r="AC165" s="77"/>
      <c r="AD165" s="77"/>
      <c r="AE165" s="77"/>
      <c r="AF165" s="77"/>
      <c r="AG165" s="5">
        <f t="shared" si="26"/>
        <v>0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>
        <v>0</v>
      </c>
      <c r="C167" s="77">
        <v>0</v>
      </c>
      <c r="D167" s="77">
        <v>1</v>
      </c>
      <c r="E167" s="77">
        <v>0</v>
      </c>
      <c r="F167" s="77">
        <v>0</v>
      </c>
      <c r="G167" s="77">
        <v>0</v>
      </c>
      <c r="H167" s="77">
        <v>0</v>
      </c>
      <c r="I167" s="77">
        <v>0</v>
      </c>
      <c r="J167" s="77">
        <v>0</v>
      </c>
      <c r="K167" s="77">
        <v>0</v>
      </c>
      <c r="L167" s="77">
        <v>0</v>
      </c>
      <c r="M167" s="77">
        <v>0</v>
      </c>
      <c r="N167" s="77">
        <v>0</v>
      </c>
      <c r="O167" s="77">
        <v>0</v>
      </c>
      <c r="P167" s="77">
        <v>0</v>
      </c>
      <c r="Q167" s="77">
        <v>0</v>
      </c>
      <c r="R167" s="77">
        <v>0</v>
      </c>
      <c r="S167" s="77">
        <v>0</v>
      </c>
      <c r="T167" s="77">
        <v>0</v>
      </c>
      <c r="U167" s="77">
        <v>1</v>
      </c>
      <c r="V167" s="77">
        <v>0</v>
      </c>
      <c r="W167" s="77">
        <v>0</v>
      </c>
      <c r="X167" s="77">
        <v>1</v>
      </c>
      <c r="Y167" s="77">
        <v>0</v>
      </c>
      <c r="Z167" s="77">
        <v>0</v>
      </c>
      <c r="AA167" s="77">
        <v>0</v>
      </c>
      <c r="AB167" s="77">
        <v>1</v>
      </c>
      <c r="AC167" s="77">
        <v>2</v>
      </c>
      <c r="AD167" s="77"/>
      <c r="AE167" s="77"/>
      <c r="AF167" s="77"/>
      <c r="AG167" s="5">
        <f t="shared" si="26"/>
        <v>6</v>
      </c>
    </row>
    <row r="168" spans="1:34" ht="15.75" customHeight="1" x14ac:dyDescent="0.25">
      <c r="A168" s="76" t="s">
        <v>115</v>
      </c>
      <c r="B168" s="113">
        <v>1</v>
      </c>
      <c r="C168" s="113">
        <v>2</v>
      </c>
      <c r="D168" s="113">
        <v>3</v>
      </c>
      <c r="E168" s="113">
        <v>0</v>
      </c>
      <c r="F168" s="113">
        <v>0</v>
      </c>
      <c r="G168" s="113">
        <v>0</v>
      </c>
      <c r="H168" s="113">
        <v>0</v>
      </c>
      <c r="I168" s="113">
        <v>0</v>
      </c>
      <c r="J168" s="113">
        <v>2</v>
      </c>
      <c r="K168" s="113">
        <v>0</v>
      </c>
      <c r="L168" s="113">
        <v>0</v>
      </c>
      <c r="M168" s="113">
        <v>1</v>
      </c>
      <c r="N168" s="113">
        <v>3</v>
      </c>
      <c r="O168" s="113">
        <v>1</v>
      </c>
      <c r="P168" s="113">
        <v>0</v>
      </c>
      <c r="Q168" s="113">
        <v>1</v>
      </c>
      <c r="R168" s="113">
        <v>0</v>
      </c>
      <c r="S168" s="113">
        <v>0</v>
      </c>
      <c r="T168" s="113">
        <v>0</v>
      </c>
      <c r="U168" s="113">
        <v>0</v>
      </c>
      <c r="V168" s="113">
        <v>0</v>
      </c>
      <c r="W168" s="113">
        <v>0</v>
      </c>
      <c r="X168" s="113">
        <v>1</v>
      </c>
      <c r="Y168" s="113">
        <v>0</v>
      </c>
      <c r="Z168" s="113">
        <v>0</v>
      </c>
      <c r="AA168" s="113">
        <v>1</v>
      </c>
      <c r="AB168" s="113">
        <v>1</v>
      </c>
      <c r="AC168" s="113"/>
      <c r="AD168" s="113"/>
      <c r="AE168" s="113">
        <v>1</v>
      </c>
      <c r="AF168" s="113"/>
      <c r="AG168" s="5">
        <f t="shared" si="26"/>
        <v>18</v>
      </c>
    </row>
    <row r="169" spans="1:34" ht="15.75" customHeight="1" x14ac:dyDescent="0.25">
      <c r="A169" s="114" t="s">
        <v>116</v>
      </c>
      <c r="B169" s="113">
        <v>0</v>
      </c>
      <c r="C169" s="113">
        <v>0</v>
      </c>
      <c r="D169" s="113">
        <v>1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1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1</v>
      </c>
      <c r="AB169" s="113"/>
      <c r="AC169" s="113"/>
      <c r="AD169" s="113">
        <v>1</v>
      </c>
      <c r="AE169" s="113">
        <v>1</v>
      </c>
      <c r="AF169" s="113"/>
      <c r="AG169" s="5">
        <f t="shared" si="26"/>
        <v>5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0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194</v>
      </c>
      <c r="C171" s="41">
        <f t="shared" si="27"/>
        <v>209</v>
      </c>
      <c r="D171" s="41">
        <f t="shared" si="27"/>
        <v>220</v>
      </c>
      <c r="E171" s="41">
        <f t="shared" si="27"/>
        <v>120</v>
      </c>
      <c r="F171" s="41">
        <f t="shared" si="27"/>
        <v>145</v>
      </c>
      <c r="G171" s="41">
        <f t="shared" si="27"/>
        <v>113</v>
      </c>
      <c r="H171" s="41">
        <f t="shared" si="27"/>
        <v>117</v>
      </c>
      <c r="I171" s="41">
        <f t="shared" si="27"/>
        <v>128</v>
      </c>
      <c r="J171" s="41">
        <f t="shared" si="27"/>
        <v>229</v>
      </c>
      <c r="K171" s="41">
        <f t="shared" si="27"/>
        <v>199</v>
      </c>
      <c r="L171" s="41">
        <f t="shared" si="27"/>
        <v>133</v>
      </c>
      <c r="M171" s="41">
        <f t="shared" si="27"/>
        <v>144</v>
      </c>
      <c r="N171" s="41">
        <f t="shared" si="27"/>
        <v>123</v>
      </c>
      <c r="O171" s="41">
        <f t="shared" si="27"/>
        <v>113</v>
      </c>
      <c r="P171" s="41">
        <f t="shared" si="27"/>
        <v>122</v>
      </c>
      <c r="Q171" s="41">
        <f t="shared" si="27"/>
        <v>206</v>
      </c>
      <c r="R171" s="41">
        <f t="shared" si="27"/>
        <v>182</v>
      </c>
      <c r="S171" s="41">
        <f t="shared" si="27"/>
        <v>147</v>
      </c>
      <c r="T171" s="41">
        <f t="shared" si="27"/>
        <v>150</v>
      </c>
      <c r="U171" s="41">
        <f t="shared" si="27"/>
        <v>125</v>
      </c>
      <c r="V171" s="41">
        <f t="shared" si="27"/>
        <v>139</v>
      </c>
      <c r="W171" s="41">
        <f t="shared" si="27"/>
        <v>124</v>
      </c>
      <c r="X171" s="41">
        <f t="shared" si="27"/>
        <v>169</v>
      </c>
      <c r="Y171" s="41">
        <f t="shared" si="27"/>
        <v>181</v>
      </c>
      <c r="Z171" s="41">
        <f t="shared" si="27"/>
        <v>129</v>
      </c>
      <c r="AA171" s="41">
        <f t="shared" si="27"/>
        <v>145</v>
      </c>
      <c r="AB171" s="41">
        <f t="shared" si="27"/>
        <v>122</v>
      </c>
      <c r="AC171" s="41">
        <f t="shared" si="27"/>
        <v>102</v>
      </c>
      <c r="AD171" s="41">
        <f t="shared" si="27"/>
        <v>122</v>
      </c>
      <c r="AE171" s="41">
        <f t="shared" si="27"/>
        <v>191</v>
      </c>
      <c r="AF171" s="41">
        <f t="shared" si="27"/>
        <v>0</v>
      </c>
      <c r="AG171" s="42">
        <f t="shared" si="26"/>
        <v>4543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0</v>
      </c>
      <c r="F172" s="118">
        <v>1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/>
      <c r="AG172" s="43">
        <f t="shared" si="26"/>
        <v>1</v>
      </c>
    </row>
    <row r="173" spans="1:34" ht="15.75" customHeight="1" x14ac:dyDescent="0.25">
      <c r="A173" s="119" t="s">
        <v>38</v>
      </c>
      <c r="B173" s="120">
        <v>2</v>
      </c>
      <c r="C173" s="120">
        <v>4</v>
      </c>
      <c r="D173" s="120">
        <v>1</v>
      </c>
      <c r="E173" s="120">
        <v>5</v>
      </c>
      <c r="F173" s="120">
        <v>0</v>
      </c>
      <c r="G173" s="120">
        <v>3</v>
      </c>
      <c r="H173" s="120">
        <v>2</v>
      </c>
      <c r="I173" s="120">
        <v>1</v>
      </c>
      <c r="J173" s="120">
        <v>3</v>
      </c>
      <c r="K173" s="120">
        <v>2</v>
      </c>
      <c r="L173" s="120">
        <v>2</v>
      </c>
      <c r="M173" s="120">
        <v>2</v>
      </c>
      <c r="N173" s="120">
        <v>0</v>
      </c>
      <c r="O173" s="120">
        <v>0</v>
      </c>
      <c r="P173" s="120">
        <v>3</v>
      </c>
      <c r="Q173" s="120">
        <v>2</v>
      </c>
      <c r="R173" s="120">
        <v>2</v>
      </c>
      <c r="S173" s="120">
        <v>3</v>
      </c>
      <c r="T173" s="120">
        <v>2</v>
      </c>
      <c r="U173" s="120">
        <v>1</v>
      </c>
      <c r="V173" s="120">
        <v>0</v>
      </c>
      <c r="W173" s="120">
        <v>5</v>
      </c>
      <c r="X173" s="120">
        <v>3</v>
      </c>
      <c r="Y173" s="120">
        <v>1</v>
      </c>
      <c r="Z173" s="120">
        <v>0</v>
      </c>
      <c r="AA173" s="120">
        <v>2</v>
      </c>
      <c r="AB173" s="120">
        <v>1</v>
      </c>
      <c r="AC173" s="120">
        <v>2</v>
      </c>
      <c r="AD173" s="120">
        <v>2</v>
      </c>
      <c r="AE173" s="120">
        <v>0</v>
      </c>
      <c r="AF173" s="120"/>
      <c r="AG173" s="44">
        <f t="shared" si="26"/>
        <v>56</v>
      </c>
    </row>
    <row r="174" spans="1:34" ht="15.75" customHeight="1" x14ac:dyDescent="0.25">
      <c r="A174" s="119" t="s">
        <v>39</v>
      </c>
      <c r="B174" s="120">
        <v>17</v>
      </c>
      <c r="C174" s="120">
        <v>30</v>
      </c>
      <c r="D174" s="120">
        <v>22</v>
      </c>
      <c r="E174" s="120">
        <v>25</v>
      </c>
      <c r="F174" s="120">
        <v>17</v>
      </c>
      <c r="G174" s="120">
        <v>24</v>
      </c>
      <c r="H174" s="120">
        <v>21</v>
      </c>
      <c r="I174" s="120">
        <v>25</v>
      </c>
      <c r="J174" s="120">
        <v>24</v>
      </c>
      <c r="K174" s="120">
        <v>28</v>
      </c>
      <c r="L174" s="120">
        <v>13</v>
      </c>
      <c r="M174" s="120">
        <v>19</v>
      </c>
      <c r="N174" s="120">
        <v>25</v>
      </c>
      <c r="O174" s="120">
        <v>16</v>
      </c>
      <c r="P174" s="120">
        <v>19</v>
      </c>
      <c r="Q174" s="120">
        <v>28</v>
      </c>
      <c r="R174" s="120">
        <v>23</v>
      </c>
      <c r="S174" s="120">
        <v>25</v>
      </c>
      <c r="T174" s="120">
        <v>21</v>
      </c>
      <c r="U174" s="120">
        <v>17</v>
      </c>
      <c r="V174" s="120">
        <v>19</v>
      </c>
      <c r="W174" s="120">
        <v>23</v>
      </c>
      <c r="X174" s="120">
        <v>16</v>
      </c>
      <c r="Y174" s="120">
        <v>34</v>
      </c>
      <c r="Z174" s="120">
        <v>17</v>
      </c>
      <c r="AA174" s="120">
        <v>21</v>
      </c>
      <c r="AB174" s="120">
        <v>20</v>
      </c>
      <c r="AC174" s="120">
        <v>15</v>
      </c>
      <c r="AD174" s="120">
        <v>17</v>
      </c>
      <c r="AE174" s="120">
        <v>27</v>
      </c>
      <c r="AF174" s="120"/>
      <c r="AG174" s="44">
        <f t="shared" si="26"/>
        <v>648</v>
      </c>
    </row>
    <row r="175" spans="1:34" ht="15.75" customHeight="1" x14ac:dyDescent="0.25">
      <c r="A175" s="119" t="s">
        <v>40</v>
      </c>
      <c r="B175" s="120">
        <v>108</v>
      </c>
      <c r="C175" s="120">
        <v>118</v>
      </c>
      <c r="D175" s="120">
        <v>141</v>
      </c>
      <c r="E175" s="120">
        <v>82</v>
      </c>
      <c r="F175" s="120">
        <v>122</v>
      </c>
      <c r="G175" s="120">
        <v>78</v>
      </c>
      <c r="H175" s="120">
        <v>83</v>
      </c>
      <c r="I175" s="120">
        <v>94</v>
      </c>
      <c r="J175" s="120">
        <v>159</v>
      </c>
      <c r="K175" s="120">
        <v>129</v>
      </c>
      <c r="L175" s="120">
        <v>113</v>
      </c>
      <c r="M175" s="120">
        <v>98</v>
      </c>
      <c r="N175" s="120">
        <v>92</v>
      </c>
      <c r="O175" s="120">
        <v>81</v>
      </c>
      <c r="P175" s="120">
        <v>77</v>
      </c>
      <c r="Q175" s="120">
        <v>148</v>
      </c>
      <c r="R175" s="120">
        <v>98</v>
      </c>
      <c r="S175" s="120">
        <v>105</v>
      </c>
      <c r="T175" s="120">
        <v>109</v>
      </c>
      <c r="U175" s="120">
        <v>95</v>
      </c>
      <c r="V175" s="120">
        <v>102</v>
      </c>
      <c r="W175" s="120">
        <v>85</v>
      </c>
      <c r="X175" s="120">
        <v>124</v>
      </c>
      <c r="Y175" s="120">
        <v>115</v>
      </c>
      <c r="Z175" s="120">
        <v>103</v>
      </c>
      <c r="AA175" s="120">
        <v>114</v>
      </c>
      <c r="AB175" s="120">
        <v>90</v>
      </c>
      <c r="AC175" s="120">
        <v>80</v>
      </c>
      <c r="AD175" s="120">
        <v>89</v>
      </c>
      <c r="AE175" s="120">
        <v>132</v>
      </c>
      <c r="AF175" s="120"/>
      <c r="AG175" s="44">
        <f t="shared" si="26"/>
        <v>3164</v>
      </c>
    </row>
    <row r="176" spans="1:34" ht="15.75" customHeight="1" thickBot="1" x14ac:dyDescent="0.3">
      <c r="A176" s="121" t="s">
        <v>41</v>
      </c>
      <c r="B176" s="122">
        <v>67</v>
      </c>
      <c r="C176" s="122">
        <v>57</v>
      </c>
      <c r="D176" s="122">
        <v>56</v>
      </c>
      <c r="E176" s="122">
        <v>8</v>
      </c>
      <c r="F176" s="122">
        <v>5</v>
      </c>
      <c r="G176" s="122">
        <v>8</v>
      </c>
      <c r="H176" s="122">
        <v>11</v>
      </c>
      <c r="I176" s="122">
        <v>8</v>
      </c>
      <c r="J176" s="122">
        <v>43</v>
      </c>
      <c r="K176" s="122">
        <v>40</v>
      </c>
      <c r="L176" s="122">
        <v>5</v>
      </c>
      <c r="M176" s="122">
        <v>25</v>
      </c>
      <c r="N176" s="122">
        <v>6</v>
      </c>
      <c r="O176" s="122">
        <v>16</v>
      </c>
      <c r="P176" s="122">
        <v>23</v>
      </c>
      <c r="Q176" s="122">
        <v>28</v>
      </c>
      <c r="R176" s="122">
        <v>59</v>
      </c>
      <c r="S176" s="122">
        <v>14</v>
      </c>
      <c r="T176" s="122">
        <v>18</v>
      </c>
      <c r="U176" s="122">
        <v>12</v>
      </c>
      <c r="V176" s="122">
        <v>18</v>
      </c>
      <c r="W176" s="122">
        <v>11</v>
      </c>
      <c r="X176" s="122">
        <v>26</v>
      </c>
      <c r="Y176" s="122">
        <v>31</v>
      </c>
      <c r="Z176" s="122">
        <v>9</v>
      </c>
      <c r="AA176" s="122">
        <v>8</v>
      </c>
      <c r="AB176" s="122">
        <v>11</v>
      </c>
      <c r="AC176" s="122">
        <v>5</v>
      </c>
      <c r="AD176" s="122">
        <v>14</v>
      </c>
      <c r="AE176" s="122">
        <v>32</v>
      </c>
      <c r="AF176" s="122"/>
      <c r="AG176" s="45">
        <f t="shared" si="26"/>
        <v>674</v>
      </c>
    </row>
    <row r="177" spans="1:34" ht="15.75" customHeight="1" x14ac:dyDescent="0.25">
      <c r="A177" s="123" t="s">
        <v>120</v>
      </c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26">
        <f t="shared" si="26"/>
        <v>0</v>
      </c>
      <c r="AH177" s="140" t="s">
        <v>177</v>
      </c>
    </row>
    <row r="178" spans="1:34" ht="15.75" customHeight="1" x14ac:dyDescent="0.25">
      <c r="A178" s="125" t="s">
        <v>122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123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sheetProtection algorithmName="SHA-512" hashValue="T3jf+inwHBP3DoLq/ekzfVTMdBsoEa+ECo3XKPSIntHA2t5oeUQeCn5KS0IFzC0S7rsks6BpXLnBee3nR8336w==" saltValue="O0Cd4nDF8KjOd8FukUP43Q==" spinCount="100000" sheet="1" objects="1" scenarios="1"/>
  <dataConsolidate/>
  <mergeCells count="2">
    <mergeCell ref="A1:AG1"/>
    <mergeCell ref="AH177:AH180"/>
  </mergeCells>
  <conditionalFormatting sqref="AD29:AF52">
    <cfRule type="cellIs" dxfId="5" priority="3" operator="lessThan">
      <formula>0</formula>
    </cfRule>
  </conditionalFormatting>
  <conditionalFormatting sqref="AH171">
    <cfRule type="cellIs" dxfId="4" priority="2" operator="equal">
      <formula>"X"</formula>
    </cfRule>
  </conditionalFormatting>
  <conditionalFormatting sqref="AH1:AH1048576">
    <cfRule type="cellIs" dxfId="3" priority="1" operator="equal">
      <formula>"*"</formula>
    </cfRule>
  </conditionalFormatting>
  <dataValidations disablePrompts="1" count="1">
    <dataValidation type="decimal" allowBlank="1" showInputMessage="1" showErrorMessage="1" prompt="ERROR - Por favor ingrese solo Números" sqref="A101:A115 A98:A99" xr:uid="{70C98FC2-19FD-43C0-A882-98862155AA92}">
      <formula1>0</formula1>
      <formula2>1000000000</formula2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SAR__MENU_PRINCIPAL">
                <anchor>
                  <from>
                    <xdr:col>0</xdr:col>
                    <xdr:colOff>1790700</xdr:colOff>
                    <xdr:row>1</xdr:row>
                    <xdr:rowOff>38100</xdr:rowOff>
                  </from>
                  <to>
                    <xdr:col>0</xdr:col>
                    <xdr:colOff>2219325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Option Button 2">
              <controlPr defaultSize="0" autoFill="0" autoLine="0" autoPict="0" macro="[0]!SAR_KINE_x_DIA">
                <anchor moveWithCells="1">
                  <from>
                    <xdr:col>0</xdr:col>
                    <xdr:colOff>1724025</xdr:colOff>
                    <xdr:row>141</xdr:row>
                    <xdr:rowOff>190500</xdr:rowOff>
                  </from>
                  <to>
                    <xdr:col>0</xdr:col>
                    <xdr:colOff>2095500</xdr:colOff>
                    <xdr:row>143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45F1-33E4-4DD0-830F-1A7AAEC8BD9F}">
  <dimension ref="A1:AK954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E3" sqref="AE3"/>
    </sheetView>
  </sheetViews>
  <sheetFormatPr baseColWidth="10" defaultColWidth="14.42578125" defaultRowHeight="15" x14ac:dyDescent="0.25"/>
  <cols>
    <col min="1" max="1" width="34.7109375" style="47" customWidth="1"/>
    <col min="2" max="2" width="9.7109375" style="47" customWidth="1"/>
    <col min="3" max="32" width="8.28515625" style="47" customWidth="1"/>
    <col min="33" max="33" width="11.140625" style="47" customWidth="1"/>
    <col min="34" max="36" width="14.42578125" style="47"/>
    <col min="37" max="37" width="36.28515625" style="47" bestFit="1" customWidth="1"/>
    <col min="38" max="16384" width="14.42578125" style="47"/>
  </cols>
  <sheetData>
    <row r="1" spans="1:33" ht="21.75" thickBot="1" x14ac:dyDescent="0.3">
      <c r="A1" s="143"/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5"/>
    </row>
    <row r="2" spans="1:33" ht="29.25" thickBot="1" x14ac:dyDescent="0.3">
      <c r="A2" s="48" t="s">
        <v>0</v>
      </c>
      <c r="B2" s="49">
        <v>1</v>
      </c>
      <c r="C2" s="50">
        <f t="shared" ref="C2:AF2" si="0">+B2+1</f>
        <v>2</v>
      </c>
      <c r="D2" s="50">
        <f t="shared" si="0"/>
        <v>3</v>
      </c>
      <c r="E2" s="50">
        <f t="shared" si="0"/>
        <v>4</v>
      </c>
      <c r="F2" s="50">
        <f t="shared" si="0"/>
        <v>5</v>
      </c>
      <c r="G2" s="50">
        <f t="shared" si="0"/>
        <v>6</v>
      </c>
      <c r="H2" s="50">
        <f t="shared" si="0"/>
        <v>7</v>
      </c>
      <c r="I2" s="50">
        <f t="shared" si="0"/>
        <v>8</v>
      </c>
      <c r="J2" s="50">
        <f t="shared" si="0"/>
        <v>9</v>
      </c>
      <c r="K2" s="50">
        <f t="shared" si="0"/>
        <v>10</v>
      </c>
      <c r="L2" s="50">
        <f t="shared" si="0"/>
        <v>11</v>
      </c>
      <c r="M2" s="50">
        <f t="shared" si="0"/>
        <v>12</v>
      </c>
      <c r="N2" s="50">
        <f t="shared" si="0"/>
        <v>13</v>
      </c>
      <c r="O2" s="50">
        <f t="shared" si="0"/>
        <v>14</v>
      </c>
      <c r="P2" s="50">
        <f t="shared" si="0"/>
        <v>15</v>
      </c>
      <c r="Q2" s="50">
        <f t="shared" si="0"/>
        <v>16</v>
      </c>
      <c r="R2" s="50">
        <f t="shared" si="0"/>
        <v>17</v>
      </c>
      <c r="S2" s="50">
        <f t="shared" si="0"/>
        <v>18</v>
      </c>
      <c r="T2" s="50">
        <f t="shared" si="0"/>
        <v>19</v>
      </c>
      <c r="U2" s="50">
        <f t="shared" si="0"/>
        <v>20</v>
      </c>
      <c r="V2" s="50">
        <f t="shared" si="0"/>
        <v>21</v>
      </c>
      <c r="W2" s="50">
        <f t="shared" si="0"/>
        <v>22</v>
      </c>
      <c r="X2" s="50">
        <f t="shared" si="0"/>
        <v>23</v>
      </c>
      <c r="Y2" s="50">
        <f t="shared" si="0"/>
        <v>24</v>
      </c>
      <c r="Z2" s="50">
        <f t="shared" si="0"/>
        <v>25</v>
      </c>
      <c r="AA2" s="50">
        <f t="shared" si="0"/>
        <v>26</v>
      </c>
      <c r="AB2" s="50">
        <f t="shared" si="0"/>
        <v>27</v>
      </c>
      <c r="AC2" s="50">
        <f t="shared" si="0"/>
        <v>28</v>
      </c>
      <c r="AD2" s="50">
        <f t="shared" si="0"/>
        <v>29</v>
      </c>
      <c r="AE2" s="50">
        <f t="shared" si="0"/>
        <v>30</v>
      </c>
      <c r="AF2" s="50">
        <f t="shared" si="0"/>
        <v>31</v>
      </c>
      <c r="AG2" s="51" t="s">
        <v>1</v>
      </c>
    </row>
    <row r="3" spans="1:33" ht="19.5" thickBot="1" x14ac:dyDescent="0.3">
      <c r="A3" s="52" t="s">
        <v>2</v>
      </c>
      <c r="B3" s="1">
        <f t="shared" ref="B3:AF3" si="1">SUM(B4:B27)</f>
        <v>228</v>
      </c>
      <c r="C3" s="1">
        <f t="shared" si="1"/>
        <v>172</v>
      </c>
      <c r="D3" s="1">
        <f t="shared" si="1"/>
        <v>157</v>
      </c>
      <c r="E3" s="1">
        <f t="shared" si="1"/>
        <v>139</v>
      </c>
      <c r="F3" s="1">
        <f t="shared" si="1"/>
        <v>151</v>
      </c>
      <c r="G3" s="1">
        <f t="shared" si="1"/>
        <v>149</v>
      </c>
      <c r="H3" s="1">
        <f t="shared" si="1"/>
        <v>207</v>
      </c>
      <c r="I3" s="1">
        <f t="shared" si="1"/>
        <v>198</v>
      </c>
      <c r="J3" s="1">
        <f t="shared" si="1"/>
        <v>163</v>
      </c>
      <c r="K3" s="1">
        <f t="shared" si="1"/>
        <v>133</v>
      </c>
      <c r="L3" s="1">
        <f t="shared" si="1"/>
        <v>123</v>
      </c>
      <c r="M3" s="1">
        <f t="shared" si="1"/>
        <v>138</v>
      </c>
      <c r="N3" s="1">
        <f t="shared" si="1"/>
        <v>141</v>
      </c>
      <c r="O3" s="1">
        <f t="shared" si="1"/>
        <v>222</v>
      </c>
      <c r="P3" s="1">
        <f t="shared" si="1"/>
        <v>197</v>
      </c>
      <c r="Q3" s="1">
        <f t="shared" si="1"/>
        <v>147</v>
      </c>
      <c r="R3" s="1">
        <f t="shared" si="1"/>
        <v>159</v>
      </c>
      <c r="S3" s="1">
        <f t="shared" si="1"/>
        <v>121</v>
      </c>
      <c r="T3" s="1">
        <f t="shared" si="1"/>
        <v>123</v>
      </c>
      <c r="U3" s="1">
        <f t="shared" si="1"/>
        <v>103</v>
      </c>
      <c r="V3" s="1">
        <f t="shared" si="1"/>
        <v>189</v>
      </c>
      <c r="W3" s="1">
        <f t="shared" si="1"/>
        <v>190</v>
      </c>
      <c r="X3" s="1">
        <f t="shared" si="1"/>
        <v>125</v>
      </c>
      <c r="Y3" s="1">
        <f t="shared" si="1"/>
        <v>111</v>
      </c>
      <c r="Z3" s="1">
        <f t="shared" si="1"/>
        <v>159</v>
      </c>
      <c r="AA3" s="1">
        <f t="shared" si="1"/>
        <v>140</v>
      </c>
      <c r="AB3" s="1">
        <f t="shared" si="1"/>
        <v>140</v>
      </c>
      <c r="AC3" s="1">
        <f t="shared" si="1"/>
        <v>182</v>
      </c>
      <c r="AD3" s="1">
        <f t="shared" si="1"/>
        <v>212</v>
      </c>
      <c r="AE3" s="1">
        <f t="shared" si="1"/>
        <v>126</v>
      </c>
      <c r="AF3" s="1">
        <f t="shared" si="1"/>
        <v>88</v>
      </c>
      <c r="AG3" s="2">
        <f t="shared" ref="AG3:AG66" si="2">SUM(B3:AF3)</f>
        <v>4833</v>
      </c>
    </row>
    <row r="4" spans="1:33" ht="18.75" x14ac:dyDescent="0.25">
      <c r="A4" s="53" t="s">
        <v>3</v>
      </c>
      <c r="B4" s="54">
        <v>7</v>
      </c>
      <c r="C4" s="55">
        <v>0</v>
      </c>
      <c r="D4" s="55">
        <v>0</v>
      </c>
      <c r="E4" s="55">
        <v>0</v>
      </c>
      <c r="F4" s="55">
        <v>0</v>
      </c>
      <c r="G4" s="55">
        <v>0</v>
      </c>
      <c r="H4" s="55">
        <v>17</v>
      </c>
      <c r="I4" s="55">
        <v>10</v>
      </c>
      <c r="J4" s="55">
        <v>0</v>
      </c>
      <c r="K4" s="55">
        <v>0</v>
      </c>
      <c r="L4" s="55">
        <v>0</v>
      </c>
      <c r="M4" s="55">
        <v>0</v>
      </c>
      <c r="N4" s="55">
        <v>0</v>
      </c>
      <c r="O4" s="55">
        <v>7</v>
      </c>
      <c r="P4" s="55">
        <v>8</v>
      </c>
      <c r="Q4" s="55">
        <v>0</v>
      </c>
      <c r="R4" s="55">
        <v>1</v>
      </c>
      <c r="S4" s="55">
        <v>0</v>
      </c>
      <c r="T4" s="55">
        <v>0</v>
      </c>
      <c r="U4" s="55">
        <v>0</v>
      </c>
      <c r="V4" s="55">
        <v>8</v>
      </c>
      <c r="W4" s="55">
        <v>4</v>
      </c>
      <c r="X4" s="55">
        <v>0</v>
      </c>
      <c r="Y4" s="55">
        <v>0</v>
      </c>
      <c r="Z4" s="55">
        <v>9</v>
      </c>
      <c r="AA4" s="55">
        <v>0</v>
      </c>
      <c r="AB4" s="55">
        <v>0</v>
      </c>
      <c r="AC4" s="55">
        <v>10</v>
      </c>
      <c r="AD4" s="55">
        <v>6</v>
      </c>
      <c r="AE4" s="55">
        <v>0</v>
      </c>
      <c r="AF4" s="55">
        <v>0</v>
      </c>
      <c r="AG4" s="4">
        <f t="shared" si="2"/>
        <v>87</v>
      </c>
    </row>
    <row r="5" spans="1:33" ht="18.75" x14ac:dyDescent="0.25">
      <c r="A5" s="56" t="s">
        <v>4</v>
      </c>
      <c r="B5" s="54">
        <v>11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14</v>
      </c>
      <c r="I5" s="54">
        <v>9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11</v>
      </c>
      <c r="P5" s="54">
        <v>15</v>
      </c>
      <c r="Q5" s="54">
        <v>0</v>
      </c>
      <c r="R5" s="54">
        <v>0</v>
      </c>
      <c r="S5" s="54">
        <v>0</v>
      </c>
      <c r="T5" s="54">
        <v>0</v>
      </c>
      <c r="U5" s="54">
        <v>0</v>
      </c>
      <c r="V5" s="54">
        <v>11</v>
      </c>
      <c r="W5" s="54">
        <v>9</v>
      </c>
      <c r="X5" s="54">
        <v>0</v>
      </c>
      <c r="Y5" s="54">
        <v>0</v>
      </c>
      <c r="Z5" s="54">
        <v>7</v>
      </c>
      <c r="AA5" s="54">
        <v>0</v>
      </c>
      <c r="AB5" s="54">
        <v>0</v>
      </c>
      <c r="AC5" s="54">
        <v>13</v>
      </c>
      <c r="AD5" s="54">
        <v>10</v>
      </c>
      <c r="AE5" s="54">
        <v>0</v>
      </c>
      <c r="AF5" s="54">
        <v>0</v>
      </c>
      <c r="AG5" s="5">
        <f t="shared" si="2"/>
        <v>110</v>
      </c>
    </row>
    <row r="6" spans="1:33" ht="18.75" x14ac:dyDescent="0.25">
      <c r="A6" s="56" t="s">
        <v>5</v>
      </c>
      <c r="B6" s="54">
        <v>21</v>
      </c>
      <c r="C6" s="54">
        <v>0</v>
      </c>
      <c r="D6" s="54">
        <v>0</v>
      </c>
      <c r="E6" s="54">
        <v>0</v>
      </c>
      <c r="F6" s="54">
        <v>0</v>
      </c>
      <c r="G6" s="54">
        <v>0</v>
      </c>
      <c r="H6" s="54">
        <v>10</v>
      </c>
      <c r="I6" s="54">
        <v>15</v>
      </c>
      <c r="J6" s="54">
        <v>0</v>
      </c>
      <c r="K6" s="54">
        <v>0</v>
      </c>
      <c r="L6" s="54">
        <v>0</v>
      </c>
      <c r="M6" s="54">
        <v>0</v>
      </c>
      <c r="N6" s="54">
        <v>0</v>
      </c>
      <c r="O6" s="54">
        <v>15</v>
      </c>
      <c r="P6" s="54">
        <v>16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14</v>
      </c>
      <c r="W6" s="54">
        <v>11</v>
      </c>
      <c r="X6" s="54">
        <v>0</v>
      </c>
      <c r="Y6" s="54">
        <v>0</v>
      </c>
      <c r="Z6" s="54">
        <v>10</v>
      </c>
      <c r="AA6" s="54">
        <v>0</v>
      </c>
      <c r="AB6" s="54">
        <v>0</v>
      </c>
      <c r="AC6" s="54">
        <v>14</v>
      </c>
      <c r="AD6" s="54">
        <v>19</v>
      </c>
      <c r="AE6" s="54">
        <v>0</v>
      </c>
      <c r="AF6" s="54">
        <v>0</v>
      </c>
      <c r="AG6" s="5">
        <f t="shared" si="2"/>
        <v>145</v>
      </c>
    </row>
    <row r="7" spans="1:33" ht="18.75" x14ac:dyDescent="0.25">
      <c r="A7" s="56" t="s">
        <v>6</v>
      </c>
      <c r="B7" s="54">
        <v>25</v>
      </c>
      <c r="C7" s="54">
        <v>0</v>
      </c>
      <c r="D7" s="54">
        <v>0</v>
      </c>
      <c r="E7" s="54">
        <v>0</v>
      </c>
      <c r="F7" s="54">
        <v>0</v>
      </c>
      <c r="G7" s="54">
        <v>0</v>
      </c>
      <c r="H7" s="54">
        <v>14</v>
      </c>
      <c r="I7" s="54">
        <v>23</v>
      </c>
      <c r="J7" s="54">
        <v>0</v>
      </c>
      <c r="K7" s="54">
        <v>0</v>
      </c>
      <c r="L7" s="54">
        <v>0</v>
      </c>
      <c r="M7" s="54">
        <v>0</v>
      </c>
      <c r="N7" s="54">
        <v>0</v>
      </c>
      <c r="O7" s="54">
        <v>20</v>
      </c>
      <c r="P7" s="54">
        <v>14</v>
      </c>
      <c r="Q7" s="54">
        <v>0</v>
      </c>
      <c r="R7" s="54">
        <v>0</v>
      </c>
      <c r="S7" s="54">
        <v>0</v>
      </c>
      <c r="T7" s="54">
        <v>0</v>
      </c>
      <c r="U7" s="54">
        <v>0</v>
      </c>
      <c r="V7" s="54">
        <v>13</v>
      </c>
      <c r="W7" s="54">
        <v>16</v>
      </c>
      <c r="X7" s="54">
        <v>0</v>
      </c>
      <c r="Y7" s="54">
        <v>7</v>
      </c>
      <c r="Z7" s="54">
        <v>4</v>
      </c>
      <c r="AA7" s="54">
        <v>0</v>
      </c>
      <c r="AB7" s="54">
        <v>0</v>
      </c>
      <c r="AC7" s="54">
        <v>8</v>
      </c>
      <c r="AD7" s="54">
        <v>12</v>
      </c>
      <c r="AE7" s="54">
        <v>0</v>
      </c>
      <c r="AF7" s="54">
        <v>8</v>
      </c>
      <c r="AG7" s="5">
        <f t="shared" si="2"/>
        <v>164</v>
      </c>
    </row>
    <row r="8" spans="1:33" ht="18.75" x14ac:dyDescent="0.25">
      <c r="A8" s="56" t="s">
        <v>7</v>
      </c>
      <c r="B8" s="54">
        <v>13</v>
      </c>
      <c r="C8" s="54">
        <v>0</v>
      </c>
      <c r="D8" s="54">
        <v>0</v>
      </c>
      <c r="E8" s="54">
        <v>0</v>
      </c>
      <c r="F8" s="54">
        <v>0</v>
      </c>
      <c r="G8" s="54">
        <v>0</v>
      </c>
      <c r="H8" s="54">
        <v>15</v>
      </c>
      <c r="I8" s="54">
        <v>10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12</v>
      </c>
      <c r="P8" s="54">
        <v>12</v>
      </c>
      <c r="Q8" s="54">
        <v>0</v>
      </c>
      <c r="R8" s="54">
        <v>0</v>
      </c>
      <c r="S8" s="54">
        <v>0</v>
      </c>
      <c r="T8" s="54">
        <v>0</v>
      </c>
      <c r="U8" s="54">
        <v>0</v>
      </c>
      <c r="V8" s="54">
        <v>12</v>
      </c>
      <c r="W8" s="54">
        <v>9</v>
      </c>
      <c r="X8" s="54">
        <v>0</v>
      </c>
      <c r="Y8" s="54">
        <v>10</v>
      </c>
      <c r="Z8" s="54">
        <v>14</v>
      </c>
      <c r="AA8" s="54">
        <v>0</v>
      </c>
      <c r="AB8" s="54">
        <v>0</v>
      </c>
      <c r="AC8" s="54">
        <v>9</v>
      </c>
      <c r="AD8" s="54">
        <v>16</v>
      </c>
      <c r="AE8" s="54">
        <v>0</v>
      </c>
      <c r="AF8" s="54">
        <v>7</v>
      </c>
      <c r="AG8" s="5">
        <f t="shared" si="2"/>
        <v>139</v>
      </c>
    </row>
    <row r="9" spans="1:33" ht="18.75" x14ac:dyDescent="0.25">
      <c r="A9" s="56" t="s">
        <v>8</v>
      </c>
      <c r="B9" s="54">
        <v>17</v>
      </c>
      <c r="C9" s="54">
        <v>0</v>
      </c>
      <c r="D9" s="54">
        <v>0</v>
      </c>
      <c r="E9" s="54">
        <v>0</v>
      </c>
      <c r="F9" s="54">
        <v>0</v>
      </c>
      <c r="G9" s="54">
        <v>0</v>
      </c>
      <c r="H9" s="54">
        <v>10</v>
      </c>
      <c r="I9" s="54">
        <v>18</v>
      </c>
      <c r="J9" s="54">
        <v>0</v>
      </c>
      <c r="K9" s="54">
        <v>0</v>
      </c>
      <c r="L9" s="54">
        <v>0</v>
      </c>
      <c r="M9" s="54">
        <v>0</v>
      </c>
      <c r="N9" s="54">
        <v>0</v>
      </c>
      <c r="O9" s="54">
        <v>6</v>
      </c>
      <c r="P9" s="54">
        <v>10</v>
      </c>
      <c r="Q9" s="54">
        <v>0</v>
      </c>
      <c r="R9" s="54">
        <v>0</v>
      </c>
      <c r="S9" s="54">
        <v>0</v>
      </c>
      <c r="T9" s="54">
        <v>0</v>
      </c>
      <c r="U9" s="54">
        <v>0</v>
      </c>
      <c r="V9" s="54">
        <v>8</v>
      </c>
      <c r="W9" s="54">
        <v>18</v>
      </c>
      <c r="X9" s="54">
        <v>0</v>
      </c>
      <c r="Y9" s="54">
        <v>5</v>
      </c>
      <c r="Z9" s="54">
        <v>7</v>
      </c>
      <c r="AA9" s="54">
        <v>0</v>
      </c>
      <c r="AB9" s="54">
        <v>0</v>
      </c>
      <c r="AC9" s="54">
        <v>8</v>
      </c>
      <c r="AD9" s="54">
        <v>10</v>
      </c>
      <c r="AE9" s="54">
        <v>0</v>
      </c>
      <c r="AF9" s="54">
        <v>5</v>
      </c>
      <c r="AG9" s="5">
        <f t="shared" si="2"/>
        <v>122</v>
      </c>
    </row>
    <row r="10" spans="1:33" ht="18.75" x14ac:dyDescent="0.25">
      <c r="A10" s="56" t="s">
        <v>9</v>
      </c>
      <c r="B10" s="54">
        <v>10</v>
      </c>
      <c r="C10" s="54">
        <v>0</v>
      </c>
      <c r="D10" s="54">
        <v>0</v>
      </c>
      <c r="E10" s="54">
        <v>0</v>
      </c>
      <c r="F10" s="54">
        <v>0</v>
      </c>
      <c r="G10" s="54">
        <v>0</v>
      </c>
      <c r="H10" s="54">
        <v>17</v>
      </c>
      <c r="I10" s="54">
        <v>14</v>
      </c>
      <c r="J10" s="54">
        <v>0</v>
      </c>
      <c r="K10" s="54">
        <v>0</v>
      </c>
      <c r="L10" s="54">
        <v>0</v>
      </c>
      <c r="M10" s="54">
        <v>0</v>
      </c>
      <c r="N10" s="54">
        <v>0</v>
      </c>
      <c r="O10" s="54">
        <v>10</v>
      </c>
      <c r="P10" s="54">
        <v>9</v>
      </c>
      <c r="Q10" s="54">
        <v>0</v>
      </c>
      <c r="R10" s="54">
        <v>0</v>
      </c>
      <c r="S10" s="54">
        <v>0</v>
      </c>
      <c r="T10" s="54">
        <v>0</v>
      </c>
      <c r="U10" s="54">
        <v>0</v>
      </c>
      <c r="V10" s="54">
        <v>11</v>
      </c>
      <c r="W10" s="54">
        <v>9</v>
      </c>
      <c r="X10" s="54">
        <v>0</v>
      </c>
      <c r="Y10" s="54">
        <v>6</v>
      </c>
      <c r="Z10" s="54">
        <v>8</v>
      </c>
      <c r="AA10" s="54">
        <v>0</v>
      </c>
      <c r="AB10" s="54">
        <v>0</v>
      </c>
      <c r="AC10" s="54">
        <v>9</v>
      </c>
      <c r="AD10" s="54">
        <v>15</v>
      </c>
      <c r="AE10" s="54">
        <v>0</v>
      </c>
      <c r="AF10" s="54">
        <v>6</v>
      </c>
      <c r="AG10" s="5">
        <f t="shared" si="2"/>
        <v>124</v>
      </c>
    </row>
    <row r="11" spans="1:33" ht="18.75" x14ac:dyDescent="0.25">
      <c r="A11" s="56" t="s">
        <v>10</v>
      </c>
      <c r="B11" s="54">
        <v>13</v>
      </c>
      <c r="C11" s="54">
        <v>0</v>
      </c>
      <c r="D11" s="54">
        <v>0</v>
      </c>
      <c r="E11" s="54">
        <v>0</v>
      </c>
      <c r="F11" s="54">
        <v>0</v>
      </c>
      <c r="G11" s="54">
        <v>8</v>
      </c>
      <c r="H11" s="54">
        <v>12</v>
      </c>
      <c r="I11" s="54">
        <v>15</v>
      </c>
      <c r="J11" s="54">
        <v>0</v>
      </c>
      <c r="K11" s="54">
        <v>0</v>
      </c>
      <c r="L11" s="54">
        <v>0</v>
      </c>
      <c r="M11" s="54">
        <v>0</v>
      </c>
      <c r="N11" s="54">
        <v>8</v>
      </c>
      <c r="O11" s="54">
        <v>11</v>
      </c>
      <c r="P11" s="54">
        <v>10</v>
      </c>
      <c r="Q11" s="54">
        <v>0</v>
      </c>
      <c r="R11" s="54">
        <v>0</v>
      </c>
      <c r="S11" s="54">
        <v>0</v>
      </c>
      <c r="T11" s="54">
        <v>0</v>
      </c>
      <c r="U11" s="54">
        <v>6</v>
      </c>
      <c r="V11" s="54">
        <v>8</v>
      </c>
      <c r="W11" s="54">
        <v>12</v>
      </c>
      <c r="X11" s="54">
        <v>0</v>
      </c>
      <c r="Y11" s="54">
        <v>9</v>
      </c>
      <c r="Z11" s="54">
        <v>5</v>
      </c>
      <c r="AA11" s="54">
        <v>0</v>
      </c>
      <c r="AB11" s="54">
        <v>11</v>
      </c>
      <c r="AC11" s="54">
        <v>9</v>
      </c>
      <c r="AD11" s="54">
        <v>9</v>
      </c>
      <c r="AE11" s="54">
        <v>0</v>
      </c>
      <c r="AF11" s="54">
        <v>10</v>
      </c>
      <c r="AG11" s="5">
        <f t="shared" si="2"/>
        <v>156</v>
      </c>
    </row>
    <row r="12" spans="1:33" ht="18.75" x14ac:dyDescent="0.25">
      <c r="A12" s="56" t="s">
        <v>11</v>
      </c>
      <c r="B12" s="54">
        <v>11</v>
      </c>
      <c r="C12" s="54">
        <v>12</v>
      </c>
      <c r="D12" s="54">
        <v>6</v>
      </c>
      <c r="E12" s="54">
        <v>2</v>
      </c>
      <c r="F12" s="54">
        <v>11</v>
      </c>
      <c r="G12" s="54">
        <v>38</v>
      </c>
      <c r="H12" s="54">
        <v>10</v>
      </c>
      <c r="I12" s="54">
        <v>13</v>
      </c>
      <c r="J12" s="54">
        <v>4</v>
      </c>
      <c r="K12" s="54">
        <v>9</v>
      </c>
      <c r="L12" s="54">
        <v>10</v>
      </c>
      <c r="M12" s="54">
        <v>0</v>
      </c>
      <c r="N12" s="54">
        <v>37</v>
      </c>
      <c r="O12" s="54">
        <v>6</v>
      </c>
      <c r="P12" s="54">
        <v>15</v>
      </c>
      <c r="Q12" s="54">
        <v>1</v>
      </c>
      <c r="R12" s="54">
        <v>6</v>
      </c>
      <c r="S12" s="54">
        <v>12</v>
      </c>
      <c r="T12" s="54">
        <v>13</v>
      </c>
      <c r="U12" s="54">
        <v>22</v>
      </c>
      <c r="V12" s="54">
        <v>7</v>
      </c>
      <c r="W12" s="54">
        <v>11</v>
      </c>
      <c r="X12" s="54">
        <v>1</v>
      </c>
      <c r="Y12" s="54">
        <v>13</v>
      </c>
      <c r="Z12" s="54">
        <v>6</v>
      </c>
      <c r="AA12" s="54">
        <v>13</v>
      </c>
      <c r="AB12" s="54">
        <v>30</v>
      </c>
      <c r="AC12" s="54">
        <v>13</v>
      </c>
      <c r="AD12" s="54">
        <v>18</v>
      </c>
      <c r="AE12" s="54">
        <v>7</v>
      </c>
      <c r="AF12" s="54">
        <v>7</v>
      </c>
      <c r="AG12" s="5">
        <f t="shared" si="2"/>
        <v>364</v>
      </c>
    </row>
    <row r="13" spans="1:33" ht="18.75" x14ac:dyDescent="0.25">
      <c r="A13" s="56" t="s">
        <v>12</v>
      </c>
      <c r="B13" s="54">
        <v>13</v>
      </c>
      <c r="C13" s="54">
        <v>67</v>
      </c>
      <c r="D13" s="54">
        <v>61</v>
      </c>
      <c r="E13" s="54">
        <v>58</v>
      </c>
      <c r="F13" s="54">
        <v>59</v>
      </c>
      <c r="G13" s="54">
        <v>20</v>
      </c>
      <c r="H13" s="54">
        <v>10</v>
      </c>
      <c r="I13" s="54">
        <v>7</v>
      </c>
      <c r="J13" s="54">
        <v>70</v>
      </c>
      <c r="K13" s="54">
        <v>46</v>
      </c>
      <c r="L13" s="54">
        <v>35</v>
      </c>
      <c r="M13" s="54">
        <v>2</v>
      </c>
      <c r="N13" s="54">
        <v>19</v>
      </c>
      <c r="O13" s="54">
        <v>25</v>
      </c>
      <c r="P13" s="54">
        <v>14</v>
      </c>
      <c r="Q13" s="54">
        <v>62</v>
      </c>
      <c r="R13" s="54">
        <v>54</v>
      </c>
      <c r="S13" s="54">
        <v>37</v>
      </c>
      <c r="T13" s="54">
        <v>27</v>
      </c>
      <c r="U13" s="54">
        <v>18</v>
      </c>
      <c r="V13" s="54">
        <v>17</v>
      </c>
      <c r="W13" s="54">
        <v>8</v>
      </c>
      <c r="X13" s="54">
        <v>55</v>
      </c>
      <c r="Y13" s="54">
        <v>20</v>
      </c>
      <c r="Z13" s="54">
        <v>14</v>
      </c>
      <c r="AA13" s="54">
        <v>49</v>
      </c>
      <c r="AB13" s="54">
        <v>20</v>
      </c>
      <c r="AC13" s="54">
        <v>11</v>
      </c>
      <c r="AD13" s="54">
        <v>9</v>
      </c>
      <c r="AE13" s="54">
        <v>36</v>
      </c>
      <c r="AF13" s="54">
        <v>12</v>
      </c>
      <c r="AG13" s="5">
        <f t="shared" si="2"/>
        <v>955</v>
      </c>
    </row>
    <row r="14" spans="1:33" ht="18.75" x14ac:dyDescent="0.25">
      <c r="A14" s="56" t="s">
        <v>13</v>
      </c>
      <c r="B14" s="54">
        <v>13</v>
      </c>
      <c r="C14" s="54">
        <v>20</v>
      </c>
      <c r="D14" s="54">
        <v>13</v>
      </c>
      <c r="E14" s="54">
        <v>13</v>
      </c>
      <c r="F14" s="54">
        <v>18</v>
      </c>
      <c r="G14" s="54">
        <v>21</v>
      </c>
      <c r="H14" s="54">
        <v>16</v>
      </c>
      <c r="I14" s="54">
        <v>11</v>
      </c>
      <c r="J14" s="54">
        <v>21</v>
      </c>
      <c r="K14" s="54">
        <v>20</v>
      </c>
      <c r="L14" s="54">
        <v>15</v>
      </c>
      <c r="M14" s="54">
        <v>19</v>
      </c>
      <c r="N14" s="54">
        <v>12</v>
      </c>
      <c r="O14" s="54">
        <v>16</v>
      </c>
      <c r="P14" s="54">
        <v>10</v>
      </c>
      <c r="Q14" s="54">
        <v>13</v>
      </c>
      <c r="R14" s="54">
        <v>16</v>
      </c>
      <c r="S14" s="54">
        <v>13</v>
      </c>
      <c r="T14" s="54">
        <v>18</v>
      </c>
      <c r="U14" s="54">
        <v>7</v>
      </c>
      <c r="V14" s="54">
        <v>9</v>
      </c>
      <c r="W14" s="54">
        <v>4</v>
      </c>
      <c r="X14" s="54">
        <v>10</v>
      </c>
      <c r="Y14" s="54">
        <v>1</v>
      </c>
      <c r="Z14" s="54">
        <v>10</v>
      </c>
      <c r="AA14" s="54">
        <v>10</v>
      </c>
      <c r="AB14" s="54">
        <v>8</v>
      </c>
      <c r="AC14" s="54">
        <v>8</v>
      </c>
      <c r="AD14" s="54">
        <v>10</v>
      </c>
      <c r="AE14" s="54">
        <v>17</v>
      </c>
      <c r="AF14" s="54">
        <v>3</v>
      </c>
      <c r="AG14" s="5">
        <f t="shared" si="2"/>
        <v>395</v>
      </c>
    </row>
    <row r="15" spans="1:33" ht="18.75" x14ac:dyDescent="0.25">
      <c r="A15" s="56" t="s">
        <v>14</v>
      </c>
      <c r="B15" s="54">
        <v>19</v>
      </c>
      <c r="C15" s="54">
        <v>14</v>
      </c>
      <c r="D15" s="54">
        <v>12</v>
      </c>
      <c r="E15" s="54">
        <v>12</v>
      </c>
      <c r="F15" s="54">
        <v>11</v>
      </c>
      <c r="G15" s="54">
        <v>7</v>
      </c>
      <c r="H15" s="54">
        <v>7</v>
      </c>
      <c r="I15" s="54">
        <v>10</v>
      </c>
      <c r="J15" s="54">
        <v>17</v>
      </c>
      <c r="K15" s="54">
        <v>12</v>
      </c>
      <c r="L15" s="54">
        <v>11</v>
      </c>
      <c r="M15" s="54">
        <v>19</v>
      </c>
      <c r="N15" s="54">
        <v>16</v>
      </c>
      <c r="O15" s="54">
        <v>10</v>
      </c>
      <c r="P15" s="54">
        <v>11</v>
      </c>
      <c r="Q15" s="54">
        <v>13</v>
      </c>
      <c r="R15" s="54">
        <v>13</v>
      </c>
      <c r="S15" s="54">
        <v>18</v>
      </c>
      <c r="T15" s="54">
        <v>11</v>
      </c>
      <c r="U15" s="54">
        <v>14</v>
      </c>
      <c r="V15" s="54">
        <v>12</v>
      </c>
      <c r="W15" s="54">
        <v>8</v>
      </c>
      <c r="X15" s="54">
        <v>12</v>
      </c>
      <c r="Y15" s="54">
        <v>6</v>
      </c>
      <c r="Z15" s="54">
        <v>9</v>
      </c>
      <c r="AA15" s="54">
        <v>18</v>
      </c>
      <c r="AB15" s="54">
        <v>11</v>
      </c>
      <c r="AC15" s="54">
        <v>13</v>
      </c>
      <c r="AD15" s="54">
        <v>14</v>
      </c>
      <c r="AE15" s="54">
        <v>10</v>
      </c>
      <c r="AF15" s="54">
        <v>4</v>
      </c>
      <c r="AG15" s="5">
        <f t="shared" si="2"/>
        <v>374</v>
      </c>
    </row>
    <row r="16" spans="1:33" ht="18.75" x14ac:dyDescent="0.25">
      <c r="A16" s="56" t="s">
        <v>15</v>
      </c>
      <c r="B16" s="54">
        <v>10</v>
      </c>
      <c r="C16" s="54">
        <v>14</v>
      </c>
      <c r="D16" s="54">
        <v>16</v>
      </c>
      <c r="E16" s="54">
        <v>6</v>
      </c>
      <c r="F16" s="54">
        <v>13</v>
      </c>
      <c r="G16" s="54">
        <v>17</v>
      </c>
      <c r="H16" s="54">
        <v>10</v>
      </c>
      <c r="I16" s="54">
        <v>6</v>
      </c>
      <c r="J16" s="54">
        <v>10</v>
      </c>
      <c r="K16" s="54">
        <v>6</v>
      </c>
      <c r="L16" s="54">
        <v>9</v>
      </c>
      <c r="M16" s="54">
        <v>18</v>
      </c>
      <c r="N16" s="54">
        <v>13</v>
      </c>
      <c r="O16" s="54">
        <v>11</v>
      </c>
      <c r="P16" s="54">
        <v>6</v>
      </c>
      <c r="Q16" s="54">
        <v>9</v>
      </c>
      <c r="R16" s="54">
        <v>16</v>
      </c>
      <c r="S16" s="54">
        <v>15</v>
      </c>
      <c r="T16" s="54">
        <v>12</v>
      </c>
      <c r="U16" s="54">
        <v>5</v>
      </c>
      <c r="V16" s="54">
        <v>8</v>
      </c>
      <c r="W16" s="54">
        <v>8</v>
      </c>
      <c r="X16" s="54">
        <v>6</v>
      </c>
      <c r="Y16" s="54">
        <v>5</v>
      </c>
      <c r="Z16" s="54">
        <v>10</v>
      </c>
      <c r="AA16" s="54">
        <v>8</v>
      </c>
      <c r="AB16" s="54">
        <v>10</v>
      </c>
      <c r="AC16" s="54">
        <v>14</v>
      </c>
      <c r="AD16" s="54">
        <v>14</v>
      </c>
      <c r="AE16" s="54">
        <v>9</v>
      </c>
      <c r="AF16" s="54">
        <v>7</v>
      </c>
      <c r="AG16" s="5">
        <f t="shared" si="2"/>
        <v>321</v>
      </c>
    </row>
    <row r="17" spans="1:33" ht="18.75" x14ac:dyDescent="0.25">
      <c r="A17" s="56" t="s">
        <v>16</v>
      </c>
      <c r="B17" s="54">
        <v>11</v>
      </c>
      <c r="C17" s="54">
        <v>13</v>
      </c>
      <c r="D17" s="54">
        <v>12</v>
      </c>
      <c r="E17" s="54">
        <v>14</v>
      </c>
      <c r="F17" s="54">
        <v>10</v>
      </c>
      <c r="G17" s="54">
        <v>10</v>
      </c>
      <c r="H17" s="54">
        <v>10</v>
      </c>
      <c r="I17" s="54">
        <v>10</v>
      </c>
      <c r="J17" s="54">
        <v>6</v>
      </c>
      <c r="K17" s="54">
        <v>6</v>
      </c>
      <c r="L17" s="54">
        <v>10</v>
      </c>
      <c r="M17" s="54">
        <v>10</v>
      </c>
      <c r="N17" s="54">
        <v>12</v>
      </c>
      <c r="O17" s="54">
        <v>13</v>
      </c>
      <c r="P17" s="54">
        <v>13</v>
      </c>
      <c r="Q17" s="54">
        <v>14</v>
      </c>
      <c r="R17" s="54">
        <v>11</v>
      </c>
      <c r="S17" s="54">
        <v>9</v>
      </c>
      <c r="T17" s="54">
        <v>11</v>
      </c>
      <c r="U17" s="54">
        <v>7</v>
      </c>
      <c r="V17" s="54">
        <v>12</v>
      </c>
      <c r="W17" s="54">
        <v>11</v>
      </c>
      <c r="X17" s="54">
        <v>7</v>
      </c>
      <c r="Y17" s="54">
        <v>8</v>
      </c>
      <c r="Z17" s="54">
        <v>8</v>
      </c>
      <c r="AA17" s="54">
        <v>8</v>
      </c>
      <c r="AB17" s="54">
        <v>12</v>
      </c>
      <c r="AC17" s="54">
        <v>9</v>
      </c>
      <c r="AD17" s="54">
        <v>8</v>
      </c>
      <c r="AE17" s="54">
        <v>9</v>
      </c>
      <c r="AF17" s="54">
        <v>4</v>
      </c>
      <c r="AG17" s="5">
        <f t="shared" si="2"/>
        <v>308</v>
      </c>
    </row>
    <row r="18" spans="1:33" ht="18.75" x14ac:dyDescent="0.25">
      <c r="A18" s="56" t="s">
        <v>17</v>
      </c>
      <c r="B18" s="54">
        <v>10</v>
      </c>
      <c r="C18" s="54">
        <v>14</v>
      </c>
      <c r="D18" s="54">
        <v>13</v>
      </c>
      <c r="E18" s="54">
        <v>9</v>
      </c>
      <c r="F18" s="54">
        <v>11</v>
      </c>
      <c r="G18" s="54">
        <v>3</v>
      </c>
      <c r="H18" s="54">
        <v>6</v>
      </c>
      <c r="I18" s="54">
        <v>5</v>
      </c>
      <c r="J18" s="54">
        <v>17</v>
      </c>
      <c r="K18" s="54">
        <v>10</v>
      </c>
      <c r="L18" s="54">
        <v>9</v>
      </c>
      <c r="M18" s="54">
        <v>17</v>
      </c>
      <c r="N18" s="54">
        <v>5</v>
      </c>
      <c r="O18" s="54">
        <v>12</v>
      </c>
      <c r="P18" s="54">
        <v>8</v>
      </c>
      <c r="Q18" s="54">
        <v>15</v>
      </c>
      <c r="R18" s="54">
        <v>17</v>
      </c>
      <c r="S18" s="54">
        <v>8</v>
      </c>
      <c r="T18" s="54">
        <v>6</v>
      </c>
      <c r="U18" s="54">
        <v>7</v>
      </c>
      <c r="V18" s="54">
        <v>15</v>
      </c>
      <c r="W18" s="54">
        <v>13</v>
      </c>
      <c r="X18" s="54">
        <v>13</v>
      </c>
      <c r="Y18" s="54">
        <v>3</v>
      </c>
      <c r="Z18" s="54">
        <v>15</v>
      </c>
      <c r="AA18" s="54">
        <v>9</v>
      </c>
      <c r="AB18" s="54">
        <v>16</v>
      </c>
      <c r="AC18" s="54">
        <v>9</v>
      </c>
      <c r="AD18" s="54">
        <v>10</v>
      </c>
      <c r="AE18" s="54">
        <v>14</v>
      </c>
      <c r="AF18" s="54">
        <v>2</v>
      </c>
      <c r="AG18" s="5">
        <f t="shared" si="2"/>
        <v>321</v>
      </c>
    </row>
    <row r="19" spans="1:33" ht="18.75" x14ac:dyDescent="0.25">
      <c r="A19" s="56" t="s">
        <v>18</v>
      </c>
      <c r="B19" s="54">
        <v>5</v>
      </c>
      <c r="C19" s="54">
        <v>5</v>
      </c>
      <c r="D19" s="54">
        <v>5</v>
      </c>
      <c r="E19" s="54">
        <v>6</v>
      </c>
      <c r="F19" s="54">
        <v>2</v>
      </c>
      <c r="G19" s="54">
        <v>7</v>
      </c>
      <c r="H19" s="54">
        <v>8</v>
      </c>
      <c r="I19" s="54">
        <v>6</v>
      </c>
      <c r="J19" s="54">
        <v>6</v>
      </c>
      <c r="K19" s="54">
        <v>9</v>
      </c>
      <c r="L19" s="54">
        <v>8</v>
      </c>
      <c r="M19" s="54">
        <v>3</v>
      </c>
      <c r="N19" s="54">
        <v>5</v>
      </c>
      <c r="O19" s="54">
        <v>13</v>
      </c>
      <c r="P19" s="54">
        <v>8</v>
      </c>
      <c r="Q19" s="54">
        <v>9</v>
      </c>
      <c r="R19" s="54">
        <v>8</v>
      </c>
      <c r="S19" s="54">
        <v>4</v>
      </c>
      <c r="T19" s="54">
        <v>7</v>
      </c>
      <c r="U19" s="54">
        <v>6</v>
      </c>
      <c r="V19" s="54">
        <v>8</v>
      </c>
      <c r="W19" s="54">
        <v>9</v>
      </c>
      <c r="X19" s="54">
        <v>9</v>
      </c>
      <c r="Y19" s="54">
        <v>3</v>
      </c>
      <c r="Z19" s="54">
        <v>8</v>
      </c>
      <c r="AA19" s="54">
        <v>5</v>
      </c>
      <c r="AB19" s="54">
        <v>10</v>
      </c>
      <c r="AC19" s="54">
        <v>6</v>
      </c>
      <c r="AD19" s="54">
        <v>8</v>
      </c>
      <c r="AE19" s="54">
        <v>11</v>
      </c>
      <c r="AF19" s="54">
        <v>2</v>
      </c>
      <c r="AG19" s="5">
        <f t="shared" si="2"/>
        <v>209</v>
      </c>
    </row>
    <row r="20" spans="1:33" ht="18.75" x14ac:dyDescent="0.25">
      <c r="A20" s="56" t="s">
        <v>19</v>
      </c>
      <c r="B20" s="54">
        <v>4</v>
      </c>
      <c r="C20" s="54">
        <v>4</v>
      </c>
      <c r="D20" s="54">
        <v>1</v>
      </c>
      <c r="E20" s="54">
        <v>7</v>
      </c>
      <c r="F20" s="54">
        <v>4</v>
      </c>
      <c r="G20" s="54">
        <v>2</v>
      </c>
      <c r="H20" s="54">
        <v>7</v>
      </c>
      <c r="I20" s="54">
        <v>4</v>
      </c>
      <c r="J20" s="54">
        <v>2</v>
      </c>
      <c r="K20" s="54">
        <v>0</v>
      </c>
      <c r="L20" s="54">
        <v>8</v>
      </c>
      <c r="M20" s="54">
        <v>7</v>
      </c>
      <c r="N20" s="54">
        <v>1</v>
      </c>
      <c r="O20" s="54">
        <v>7</v>
      </c>
      <c r="P20" s="54">
        <v>4</v>
      </c>
      <c r="Q20" s="54">
        <v>3</v>
      </c>
      <c r="R20" s="54">
        <v>5</v>
      </c>
      <c r="S20" s="54">
        <v>1</v>
      </c>
      <c r="T20" s="54">
        <v>3</v>
      </c>
      <c r="U20" s="54">
        <v>3</v>
      </c>
      <c r="V20" s="54">
        <v>3</v>
      </c>
      <c r="W20" s="54">
        <v>8</v>
      </c>
      <c r="X20" s="54">
        <v>1</v>
      </c>
      <c r="Y20" s="54">
        <v>6</v>
      </c>
      <c r="Z20" s="54">
        <v>3</v>
      </c>
      <c r="AA20" s="54">
        <v>9</v>
      </c>
      <c r="AB20" s="54">
        <v>4</v>
      </c>
      <c r="AC20" s="54">
        <v>8</v>
      </c>
      <c r="AD20" s="54">
        <v>7</v>
      </c>
      <c r="AE20" s="54">
        <v>5</v>
      </c>
      <c r="AF20" s="54">
        <v>4</v>
      </c>
      <c r="AG20" s="5">
        <f t="shared" si="2"/>
        <v>135</v>
      </c>
    </row>
    <row r="21" spans="1:33" ht="15.75" customHeight="1" x14ac:dyDescent="0.25">
      <c r="A21" s="56" t="s">
        <v>20</v>
      </c>
      <c r="B21" s="54">
        <v>2</v>
      </c>
      <c r="C21" s="54">
        <v>2</v>
      </c>
      <c r="D21" s="54">
        <v>3</v>
      </c>
      <c r="E21" s="54">
        <v>2</v>
      </c>
      <c r="F21" s="54">
        <v>1</v>
      </c>
      <c r="G21" s="54">
        <v>7</v>
      </c>
      <c r="H21" s="54">
        <v>3</v>
      </c>
      <c r="I21" s="54">
        <v>1</v>
      </c>
      <c r="J21" s="54">
        <v>2</v>
      </c>
      <c r="K21" s="54">
        <v>5</v>
      </c>
      <c r="L21" s="54">
        <v>2</v>
      </c>
      <c r="M21" s="54">
        <v>12</v>
      </c>
      <c r="N21" s="54">
        <v>5</v>
      </c>
      <c r="O21" s="54">
        <v>1</v>
      </c>
      <c r="P21" s="54">
        <v>8</v>
      </c>
      <c r="Q21" s="54">
        <v>3</v>
      </c>
      <c r="R21" s="54">
        <v>3</v>
      </c>
      <c r="S21" s="54">
        <v>3</v>
      </c>
      <c r="T21" s="54">
        <v>6</v>
      </c>
      <c r="U21" s="54">
        <v>5</v>
      </c>
      <c r="V21" s="54">
        <v>5</v>
      </c>
      <c r="W21" s="54">
        <v>6</v>
      </c>
      <c r="X21" s="54">
        <v>2</v>
      </c>
      <c r="Y21" s="54">
        <v>2</v>
      </c>
      <c r="Z21" s="54">
        <v>4</v>
      </c>
      <c r="AA21" s="54">
        <v>5</v>
      </c>
      <c r="AB21" s="54">
        <v>3</v>
      </c>
      <c r="AC21" s="54">
        <v>2</v>
      </c>
      <c r="AD21" s="54">
        <v>3</v>
      </c>
      <c r="AE21" s="54">
        <v>1</v>
      </c>
      <c r="AF21" s="54">
        <v>2</v>
      </c>
      <c r="AG21" s="5">
        <f t="shared" si="2"/>
        <v>111</v>
      </c>
    </row>
    <row r="22" spans="1:33" ht="15.75" customHeight="1" x14ac:dyDescent="0.25">
      <c r="A22" s="56" t="s">
        <v>21</v>
      </c>
      <c r="B22" s="54">
        <v>4</v>
      </c>
      <c r="C22" s="54">
        <v>2</v>
      </c>
      <c r="D22" s="54">
        <v>4</v>
      </c>
      <c r="E22" s="54">
        <v>0</v>
      </c>
      <c r="F22" s="54">
        <v>2</v>
      </c>
      <c r="G22" s="54">
        <v>1</v>
      </c>
      <c r="H22" s="54">
        <v>3</v>
      </c>
      <c r="I22" s="54">
        <v>3</v>
      </c>
      <c r="J22" s="54">
        <v>2</v>
      </c>
      <c r="K22" s="54">
        <v>2</v>
      </c>
      <c r="L22" s="54">
        <v>3</v>
      </c>
      <c r="M22" s="54">
        <v>16</v>
      </c>
      <c r="N22" s="54">
        <v>1</v>
      </c>
      <c r="O22" s="54">
        <v>2</v>
      </c>
      <c r="P22" s="54">
        <v>1</v>
      </c>
      <c r="Q22" s="54">
        <v>0</v>
      </c>
      <c r="R22" s="54">
        <v>4</v>
      </c>
      <c r="S22" s="54">
        <v>0</v>
      </c>
      <c r="T22" s="54">
        <v>4</v>
      </c>
      <c r="U22" s="54">
        <v>1</v>
      </c>
      <c r="V22" s="54">
        <v>0</v>
      </c>
      <c r="W22" s="54">
        <v>2</v>
      </c>
      <c r="X22" s="54">
        <v>3</v>
      </c>
      <c r="Y22" s="54">
        <v>3</v>
      </c>
      <c r="Z22" s="54">
        <v>0</v>
      </c>
      <c r="AA22" s="54">
        <v>3</v>
      </c>
      <c r="AB22" s="54">
        <v>2</v>
      </c>
      <c r="AC22" s="54">
        <v>1</v>
      </c>
      <c r="AD22" s="54">
        <v>0</v>
      </c>
      <c r="AE22" s="54">
        <v>0</v>
      </c>
      <c r="AF22" s="54">
        <v>0</v>
      </c>
      <c r="AG22" s="5">
        <f t="shared" si="2"/>
        <v>69</v>
      </c>
    </row>
    <row r="23" spans="1:33" ht="15.75" customHeight="1" x14ac:dyDescent="0.25">
      <c r="A23" s="56" t="s">
        <v>22</v>
      </c>
      <c r="B23" s="54">
        <v>1</v>
      </c>
      <c r="C23" s="54">
        <v>0</v>
      </c>
      <c r="D23" s="54">
        <v>1</v>
      </c>
      <c r="E23" s="54">
        <v>4</v>
      </c>
      <c r="F23" s="54">
        <v>3</v>
      </c>
      <c r="G23" s="54">
        <v>1</v>
      </c>
      <c r="H23" s="54">
        <v>1</v>
      </c>
      <c r="I23" s="54">
        <v>2</v>
      </c>
      <c r="J23" s="54">
        <v>1</v>
      </c>
      <c r="K23" s="54">
        <v>2</v>
      </c>
      <c r="L23" s="54">
        <v>2</v>
      </c>
      <c r="M23" s="54">
        <v>8</v>
      </c>
      <c r="N23" s="54">
        <v>3</v>
      </c>
      <c r="O23" s="54">
        <v>1</v>
      </c>
      <c r="P23" s="54">
        <v>2</v>
      </c>
      <c r="Q23" s="54">
        <v>1</v>
      </c>
      <c r="R23" s="54">
        <v>2</v>
      </c>
      <c r="S23" s="54">
        <v>0</v>
      </c>
      <c r="T23" s="54">
        <v>2</v>
      </c>
      <c r="U23" s="54">
        <v>0</v>
      </c>
      <c r="V23" s="54">
        <v>2</v>
      </c>
      <c r="W23" s="54">
        <v>4</v>
      </c>
      <c r="X23" s="54">
        <v>1</v>
      </c>
      <c r="Y23" s="54">
        <v>1</v>
      </c>
      <c r="Z23" s="54">
        <v>4</v>
      </c>
      <c r="AA23" s="54">
        <v>1</v>
      </c>
      <c r="AB23" s="54">
        <v>3</v>
      </c>
      <c r="AC23" s="54">
        <v>2</v>
      </c>
      <c r="AD23" s="54">
        <v>4</v>
      </c>
      <c r="AE23" s="54">
        <v>1</v>
      </c>
      <c r="AF23" s="54">
        <v>3</v>
      </c>
      <c r="AG23" s="5">
        <f t="shared" si="2"/>
        <v>63</v>
      </c>
    </row>
    <row r="24" spans="1:33" ht="15.75" customHeight="1" x14ac:dyDescent="0.25">
      <c r="A24" s="56" t="s">
        <v>23</v>
      </c>
      <c r="B24" s="54">
        <v>2</v>
      </c>
      <c r="C24" s="54">
        <v>2</v>
      </c>
      <c r="D24" s="54">
        <v>2</v>
      </c>
      <c r="E24" s="54">
        <v>4</v>
      </c>
      <c r="F24" s="54">
        <v>3</v>
      </c>
      <c r="G24" s="54">
        <v>2</v>
      </c>
      <c r="H24" s="54">
        <v>2</v>
      </c>
      <c r="I24" s="54">
        <v>1</v>
      </c>
      <c r="J24" s="54">
        <v>2</v>
      </c>
      <c r="K24" s="54">
        <v>2</v>
      </c>
      <c r="L24" s="54">
        <v>0</v>
      </c>
      <c r="M24" s="54">
        <v>5</v>
      </c>
      <c r="N24" s="54">
        <v>2</v>
      </c>
      <c r="O24" s="54">
        <v>3</v>
      </c>
      <c r="P24" s="54">
        <v>0</v>
      </c>
      <c r="Q24" s="54">
        <v>2</v>
      </c>
      <c r="R24" s="54">
        <v>1</v>
      </c>
      <c r="S24" s="54">
        <v>1</v>
      </c>
      <c r="T24" s="54">
        <v>0</v>
      </c>
      <c r="U24" s="54">
        <v>0</v>
      </c>
      <c r="V24" s="54">
        <v>1</v>
      </c>
      <c r="W24" s="54">
        <v>2</v>
      </c>
      <c r="X24" s="54">
        <v>4</v>
      </c>
      <c r="Y24" s="54">
        <v>3</v>
      </c>
      <c r="Z24" s="54">
        <v>0</v>
      </c>
      <c r="AA24" s="54">
        <v>1</v>
      </c>
      <c r="AB24" s="54">
        <v>0</v>
      </c>
      <c r="AC24" s="54">
        <v>1</v>
      </c>
      <c r="AD24" s="54">
        <v>1</v>
      </c>
      <c r="AE24" s="54">
        <v>1</v>
      </c>
      <c r="AF24" s="54">
        <v>1</v>
      </c>
      <c r="AG24" s="5">
        <f t="shared" si="2"/>
        <v>51</v>
      </c>
    </row>
    <row r="25" spans="1:33" ht="15.75" customHeight="1" x14ac:dyDescent="0.25">
      <c r="A25" s="56" t="s">
        <v>24</v>
      </c>
      <c r="B25" s="54">
        <v>1</v>
      </c>
      <c r="C25" s="54">
        <v>2</v>
      </c>
      <c r="D25" s="54">
        <v>5</v>
      </c>
      <c r="E25" s="54">
        <v>1</v>
      </c>
      <c r="F25" s="54">
        <v>1</v>
      </c>
      <c r="G25" s="54">
        <v>0</v>
      </c>
      <c r="H25" s="54">
        <v>1</v>
      </c>
      <c r="I25" s="54">
        <v>1</v>
      </c>
      <c r="J25" s="54">
        <v>2</v>
      </c>
      <c r="K25" s="54">
        <v>4</v>
      </c>
      <c r="L25" s="54">
        <v>1</v>
      </c>
      <c r="M25" s="54">
        <v>2</v>
      </c>
      <c r="N25" s="54">
        <v>2</v>
      </c>
      <c r="O25" s="54">
        <v>2</v>
      </c>
      <c r="P25" s="54">
        <v>1</v>
      </c>
      <c r="Q25" s="54">
        <v>1</v>
      </c>
      <c r="R25" s="54">
        <v>1</v>
      </c>
      <c r="S25" s="54">
        <v>0</v>
      </c>
      <c r="T25" s="54">
        <v>0</v>
      </c>
      <c r="U25" s="54">
        <v>2</v>
      </c>
      <c r="V25" s="54">
        <v>1</v>
      </c>
      <c r="W25" s="54">
        <v>0</v>
      </c>
      <c r="X25" s="54">
        <v>1</v>
      </c>
      <c r="Y25" s="54">
        <v>0</v>
      </c>
      <c r="Z25" s="54">
        <v>0</v>
      </c>
      <c r="AA25" s="54">
        <v>0</v>
      </c>
      <c r="AB25" s="54">
        <v>0</v>
      </c>
      <c r="AC25" s="54">
        <v>1</v>
      </c>
      <c r="AD25" s="54">
        <v>5</v>
      </c>
      <c r="AE25" s="54">
        <v>0</v>
      </c>
      <c r="AF25" s="54">
        <v>1</v>
      </c>
      <c r="AG25" s="5">
        <f t="shared" si="2"/>
        <v>39</v>
      </c>
    </row>
    <row r="26" spans="1:33" ht="15.75" customHeight="1" x14ac:dyDescent="0.25">
      <c r="A26" s="56" t="s">
        <v>25</v>
      </c>
      <c r="B26" s="54">
        <v>0</v>
      </c>
      <c r="C26" s="54">
        <v>0</v>
      </c>
      <c r="D26" s="54">
        <v>3</v>
      </c>
      <c r="E26" s="54">
        <v>1</v>
      </c>
      <c r="F26" s="54">
        <v>2</v>
      </c>
      <c r="G26" s="54">
        <v>5</v>
      </c>
      <c r="H26" s="54">
        <v>1</v>
      </c>
      <c r="I26" s="54">
        <v>0</v>
      </c>
      <c r="J26" s="54">
        <v>1</v>
      </c>
      <c r="K26" s="54">
        <v>0</v>
      </c>
      <c r="L26" s="54">
        <v>0</v>
      </c>
      <c r="M26" s="54">
        <v>0</v>
      </c>
      <c r="N26" s="54">
        <v>0</v>
      </c>
      <c r="O26" s="54">
        <v>2</v>
      </c>
      <c r="P26" s="54">
        <v>0</v>
      </c>
      <c r="Q26" s="54">
        <v>1</v>
      </c>
      <c r="R26" s="54">
        <v>1</v>
      </c>
      <c r="S26" s="54">
        <v>0</v>
      </c>
      <c r="T26" s="54">
        <v>3</v>
      </c>
      <c r="U26" s="54">
        <v>0</v>
      </c>
      <c r="V26" s="54">
        <v>2</v>
      </c>
      <c r="W26" s="54">
        <v>5</v>
      </c>
      <c r="X26" s="54">
        <v>0</v>
      </c>
      <c r="Y26" s="54">
        <v>0</v>
      </c>
      <c r="Z26" s="54">
        <v>4</v>
      </c>
      <c r="AA26" s="54">
        <v>1</v>
      </c>
      <c r="AB26" s="54">
        <v>0</v>
      </c>
      <c r="AC26" s="54">
        <v>1</v>
      </c>
      <c r="AD26" s="54">
        <v>2</v>
      </c>
      <c r="AE26" s="54">
        <v>5</v>
      </c>
      <c r="AF26" s="54">
        <v>0</v>
      </c>
      <c r="AG26" s="5">
        <f t="shared" si="2"/>
        <v>40</v>
      </c>
    </row>
    <row r="27" spans="1:33" ht="15.75" customHeight="1" thickBot="1" x14ac:dyDescent="0.3">
      <c r="A27" s="57" t="s">
        <v>26</v>
      </c>
      <c r="B27" s="58">
        <v>5</v>
      </c>
      <c r="C27" s="58">
        <v>1</v>
      </c>
      <c r="D27" s="58">
        <v>0</v>
      </c>
      <c r="E27" s="58">
        <v>0</v>
      </c>
      <c r="F27" s="58">
        <v>0</v>
      </c>
      <c r="G27" s="58">
        <v>0</v>
      </c>
      <c r="H27" s="58">
        <v>3</v>
      </c>
      <c r="I27" s="58">
        <v>4</v>
      </c>
      <c r="J27" s="58">
        <v>0</v>
      </c>
      <c r="K27" s="58">
        <v>0</v>
      </c>
      <c r="L27" s="58">
        <v>0</v>
      </c>
      <c r="M27" s="58">
        <v>0</v>
      </c>
      <c r="N27" s="58">
        <v>0</v>
      </c>
      <c r="O27" s="58">
        <v>6</v>
      </c>
      <c r="P27" s="58">
        <v>2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2</v>
      </c>
      <c r="W27" s="58">
        <v>3</v>
      </c>
      <c r="X27" s="58">
        <v>0</v>
      </c>
      <c r="Y27" s="58">
        <v>0</v>
      </c>
      <c r="Z27" s="58">
        <v>0</v>
      </c>
      <c r="AA27" s="58">
        <v>0</v>
      </c>
      <c r="AB27" s="58">
        <v>0</v>
      </c>
      <c r="AC27" s="58">
        <v>3</v>
      </c>
      <c r="AD27" s="58">
        <v>2</v>
      </c>
      <c r="AE27" s="58">
        <v>0</v>
      </c>
      <c r="AF27" s="58">
        <v>0</v>
      </c>
      <c r="AG27" s="5">
        <f t="shared" si="2"/>
        <v>31</v>
      </c>
    </row>
    <row r="28" spans="1:33" ht="15.75" customHeight="1" x14ac:dyDescent="0.25">
      <c r="A28" s="59" t="s">
        <v>27</v>
      </c>
      <c r="B28" s="6">
        <f t="shared" ref="B28:AF28" si="3">SUM(B29:B52)</f>
        <v>194</v>
      </c>
      <c r="C28" s="6">
        <f t="shared" si="3"/>
        <v>125</v>
      </c>
      <c r="D28" s="6">
        <f t="shared" si="3"/>
        <v>149</v>
      </c>
      <c r="E28" s="6">
        <f t="shared" si="3"/>
        <v>129</v>
      </c>
      <c r="F28" s="6">
        <f t="shared" si="3"/>
        <v>92</v>
      </c>
      <c r="G28" s="6">
        <f t="shared" si="3"/>
        <v>132</v>
      </c>
      <c r="H28" s="6">
        <f t="shared" si="3"/>
        <v>190</v>
      </c>
      <c r="I28" s="6">
        <f t="shared" si="3"/>
        <v>154</v>
      </c>
      <c r="J28" s="6">
        <f t="shared" si="3"/>
        <v>127</v>
      </c>
      <c r="K28" s="6">
        <f t="shared" si="3"/>
        <v>121</v>
      </c>
      <c r="L28" s="6">
        <f t="shared" si="3"/>
        <v>116</v>
      </c>
      <c r="M28" s="6">
        <f t="shared" si="3"/>
        <v>102</v>
      </c>
      <c r="N28" s="6">
        <f t="shared" si="3"/>
        <v>121</v>
      </c>
      <c r="O28" s="6">
        <f t="shared" si="3"/>
        <v>202</v>
      </c>
      <c r="P28" s="6">
        <f t="shared" si="3"/>
        <v>177</v>
      </c>
      <c r="Q28" s="6">
        <f t="shared" si="3"/>
        <v>122</v>
      </c>
      <c r="R28" s="6">
        <f t="shared" si="3"/>
        <v>145</v>
      </c>
      <c r="S28" s="6">
        <f t="shared" si="3"/>
        <v>114</v>
      </c>
      <c r="T28" s="6">
        <f t="shared" si="3"/>
        <v>111</v>
      </c>
      <c r="U28" s="6">
        <f t="shared" si="3"/>
        <v>98</v>
      </c>
      <c r="V28" s="6">
        <f t="shared" si="3"/>
        <v>180</v>
      </c>
      <c r="W28" s="6">
        <f t="shared" si="3"/>
        <v>164</v>
      </c>
      <c r="X28" s="6">
        <f t="shared" si="3"/>
        <v>115</v>
      </c>
      <c r="Y28" s="6">
        <f t="shared" si="3"/>
        <v>104</v>
      </c>
      <c r="Z28" s="6">
        <f t="shared" si="3"/>
        <v>157</v>
      </c>
      <c r="AA28" s="6">
        <f t="shared" si="3"/>
        <v>120</v>
      </c>
      <c r="AB28" s="6">
        <f t="shared" si="3"/>
        <v>129</v>
      </c>
      <c r="AC28" s="6">
        <f t="shared" si="3"/>
        <v>176</v>
      </c>
      <c r="AD28" s="6">
        <f t="shared" si="3"/>
        <v>205</v>
      </c>
      <c r="AE28" s="6">
        <f t="shared" si="3"/>
        <v>104</v>
      </c>
      <c r="AF28" s="6">
        <f t="shared" si="3"/>
        <v>86</v>
      </c>
      <c r="AG28" s="7">
        <f t="shared" si="2"/>
        <v>4261</v>
      </c>
    </row>
    <row r="29" spans="1:33" ht="15.75" customHeight="1" x14ac:dyDescent="0.25">
      <c r="A29" s="53" t="s">
        <v>3</v>
      </c>
      <c r="B29" s="54">
        <v>7</v>
      </c>
      <c r="C29" s="55">
        <v>0</v>
      </c>
      <c r="D29" s="55">
        <v>0</v>
      </c>
      <c r="E29" s="55">
        <v>0</v>
      </c>
      <c r="F29" s="55">
        <v>0</v>
      </c>
      <c r="G29" s="55">
        <v>0</v>
      </c>
      <c r="H29" s="55">
        <v>8</v>
      </c>
      <c r="I29" s="55">
        <v>3</v>
      </c>
      <c r="J29" s="55">
        <v>0</v>
      </c>
      <c r="K29" s="55">
        <v>0</v>
      </c>
      <c r="L29" s="55">
        <v>0</v>
      </c>
      <c r="M29" s="55">
        <v>0</v>
      </c>
      <c r="N29" s="55">
        <v>0</v>
      </c>
      <c r="O29" s="55">
        <v>10</v>
      </c>
      <c r="P29" s="55">
        <v>3</v>
      </c>
      <c r="Q29" s="55">
        <v>0</v>
      </c>
      <c r="R29" s="55">
        <v>0</v>
      </c>
      <c r="S29" s="55">
        <v>0</v>
      </c>
      <c r="T29" s="55">
        <v>0</v>
      </c>
      <c r="U29" s="55">
        <v>0</v>
      </c>
      <c r="V29" s="55">
        <v>5</v>
      </c>
      <c r="W29" s="55">
        <v>4</v>
      </c>
      <c r="X29" s="55">
        <v>0</v>
      </c>
      <c r="Y29" s="55">
        <v>0</v>
      </c>
      <c r="Z29" s="55">
        <v>0</v>
      </c>
      <c r="AA29" s="55">
        <v>0</v>
      </c>
      <c r="AB29" s="55">
        <v>0</v>
      </c>
      <c r="AC29" s="55">
        <v>4</v>
      </c>
      <c r="AD29" s="54">
        <v>4</v>
      </c>
      <c r="AE29" s="54">
        <v>0</v>
      </c>
      <c r="AF29" s="54">
        <v>0</v>
      </c>
      <c r="AG29" s="5">
        <f t="shared" si="2"/>
        <v>48</v>
      </c>
    </row>
    <row r="30" spans="1:33" ht="15.75" customHeight="1" x14ac:dyDescent="0.25">
      <c r="A30" s="56" t="s">
        <v>4</v>
      </c>
      <c r="B30" s="54">
        <v>6</v>
      </c>
      <c r="C30" s="54">
        <v>0</v>
      </c>
      <c r="D30" s="54">
        <v>0</v>
      </c>
      <c r="E30" s="54">
        <v>0</v>
      </c>
      <c r="F30" s="54">
        <v>0</v>
      </c>
      <c r="G30" s="54">
        <v>0</v>
      </c>
      <c r="H30" s="54">
        <v>16</v>
      </c>
      <c r="I30" s="54">
        <v>10</v>
      </c>
      <c r="J30" s="54">
        <v>0</v>
      </c>
      <c r="K30" s="54">
        <v>0</v>
      </c>
      <c r="L30" s="54">
        <v>0</v>
      </c>
      <c r="M30" s="54">
        <v>0</v>
      </c>
      <c r="N30" s="54">
        <v>0</v>
      </c>
      <c r="O30" s="54">
        <v>12</v>
      </c>
      <c r="P30" s="54">
        <v>8</v>
      </c>
      <c r="Q30" s="54">
        <v>0</v>
      </c>
      <c r="R30" s="54">
        <v>0</v>
      </c>
      <c r="S30" s="54">
        <v>0</v>
      </c>
      <c r="T30" s="54">
        <v>0</v>
      </c>
      <c r="U30" s="54">
        <v>0</v>
      </c>
      <c r="V30" s="54">
        <v>10</v>
      </c>
      <c r="W30" s="54">
        <v>5</v>
      </c>
      <c r="X30" s="54">
        <v>0</v>
      </c>
      <c r="Y30" s="54">
        <v>0</v>
      </c>
      <c r="Z30" s="54">
        <v>11</v>
      </c>
      <c r="AA30" s="54">
        <v>0</v>
      </c>
      <c r="AB30" s="54">
        <v>0</v>
      </c>
      <c r="AC30" s="54">
        <v>7</v>
      </c>
      <c r="AD30" s="54">
        <v>10</v>
      </c>
      <c r="AE30" s="54">
        <v>0</v>
      </c>
      <c r="AF30" s="54">
        <v>0</v>
      </c>
      <c r="AG30" s="5">
        <f t="shared" si="2"/>
        <v>95</v>
      </c>
    </row>
    <row r="31" spans="1:33" ht="15.75" customHeight="1" x14ac:dyDescent="0.25">
      <c r="A31" s="56" t="s">
        <v>5</v>
      </c>
      <c r="B31" s="54">
        <v>14</v>
      </c>
      <c r="C31" s="54">
        <v>0</v>
      </c>
      <c r="D31" s="54">
        <v>0</v>
      </c>
      <c r="E31" s="54">
        <v>0</v>
      </c>
      <c r="F31" s="54">
        <v>0</v>
      </c>
      <c r="G31" s="54">
        <v>0</v>
      </c>
      <c r="H31" s="54">
        <v>11</v>
      </c>
      <c r="I31" s="54">
        <v>8</v>
      </c>
      <c r="J31" s="54">
        <v>0</v>
      </c>
      <c r="K31" s="54">
        <v>0</v>
      </c>
      <c r="L31" s="54">
        <v>0</v>
      </c>
      <c r="M31" s="54">
        <v>0</v>
      </c>
      <c r="N31" s="54">
        <v>0</v>
      </c>
      <c r="O31" s="54">
        <v>11</v>
      </c>
      <c r="P31" s="54">
        <v>6</v>
      </c>
      <c r="Q31" s="54">
        <v>0</v>
      </c>
      <c r="R31" s="54">
        <v>0</v>
      </c>
      <c r="S31" s="54">
        <v>0</v>
      </c>
      <c r="T31" s="54">
        <v>0</v>
      </c>
      <c r="U31" s="54">
        <v>0</v>
      </c>
      <c r="V31" s="54">
        <v>6</v>
      </c>
      <c r="W31" s="54">
        <v>7</v>
      </c>
      <c r="X31" s="54">
        <v>0</v>
      </c>
      <c r="Y31" s="54">
        <v>0</v>
      </c>
      <c r="Z31" s="54">
        <v>11</v>
      </c>
      <c r="AA31" s="54">
        <v>0</v>
      </c>
      <c r="AB31" s="54">
        <v>0</v>
      </c>
      <c r="AC31" s="54">
        <v>11</v>
      </c>
      <c r="AD31" s="54">
        <v>10</v>
      </c>
      <c r="AE31" s="54">
        <v>0</v>
      </c>
      <c r="AF31" s="54">
        <v>0</v>
      </c>
      <c r="AG31" s="5">
        <f t="shared" si="2"/>
        <v>95</v>
      </c>
    </row>
    <row r="32" spans="1:33" ht="15.75" customHeight="1" x14ac:dyDescent="0.25">
      <c r="A32" s="56" t="s">
        <v>6</v>
      </c>
      <c r="B32" s="54">
        <v>16</v>
      </c>
      <c r="C32" s="54">
        <v>0</v>
      </c>
      <c r="D32" s="54">
        <v>0</v>
      </c>
      <c r="E32" s="54">
        <v>0</v>
      </c>
      <c r="F32" s="54">
        <v>0</v>
      </c>
      <c r="G32" s="54">
        <v>0</v>
      </c>
      <c r="H32" s="54">
        <v>11</v>
      </c>
      <c r="I32" s="54">
        <v>10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17</v>
      </c>
      <c r="P32" s="54">
        <v>7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6</v>
      </c>
      <c r="W32" s="54">
        <v>9</v>
      </c>
      <c r="X32" s="54">
        <v>0</v>
      </c>
      <c r="Y32" s="54">
        <v>0</v>
      </c>
      <c r="Z32" s="54">
        <v>8</v>
      </c>
      <c r="AA32" s="54">
        <v>0</v>
      </c>
      <c r="AB32" s="54">
        <v>0</v>
      </c>
      <c r="AC32" s="54">
        <v>8</v>
      </c>
      <c r="AD32" s="54">
        <v>18</v>
      </c>
      <c r="AE32" s="54">
        <v>0</v>
      </c>
      <c r="AF32" s="54">
        <v>0</v>
      </c>
      <c r="AG32" s="5">
        <f t="shared" si="2"/>
        <v>110</v>
      </c>
    </row>
    <row r="33" spans="1:33" ht="15.75" customHeight="1" x14ac:dyDescent="0.25">
      <c r="A33" s="56" t="s">
        <v>7</v>
      </c>
      <c r="B33" s="54">
        <v>14</v>
      </c>
      <c r="C33" s="54">
        <v>0</v>
      </c>
      <c r="D33" s="54">
        <v>0</v>
      </c>
      <c r="E33" s="54">
        <v>0</v>
      </c>
      <c r="F33" s="54">
        <v>0</v>
      </c>
      <c r="G33" s="54">
        <v>0</v>
      </c>
      <c r="H33" s="54">
        <v>13</v>
      </c>
      <c r="I33" s="54">
        <v>5</v>
      </c>
      <c r="J33" s="54">
        <v>0</v>
      </c>
      <c r="K33" s="54">
        <v>0</v>
      </c>
      <c r="L33" s="54">
        <v>0</v>
      </c>
      <c r="M33" s="54">
        <v>0</v>
      </c>
      <c r="N33" s="54">
        <v>0</v>
      </c>
      <c r="O33" s="54">
        <v>15</v>
      </c>
      <c r="P33" s="54">
        <v>10</v>
      </c>
      <c r="Q33" s="54">
        <v>0</v>
      </c>
      <c r="R33" s="54">
        <v>0</v>
      </c>
      <c r="S33" s="54">
        <v>0</v>
      </c>
      <c r="T33" s="54">
        <v>0</v>
      </c>
      <c r="U33" s="54">
        <v>0</v>
      </c>
      <c r="V33" s="54">
        <v>13</v>
      </c>
      <c r="W33" s="54">
        <v>8</v>
      </c>
      <c r="X33" s="54">
        <v>0</v>
      </c>
      <c r="Y33" s="54">
        <v>12</v>
      </c>
      <c r="Z33" s="54">
        <v>5</v>
      </c>
      <c r="AA33" s="54">
        <v>0</v>
      </c>
      <c r="AB33" s="54">
        <v>0</v>
      </c>
      <c r="AC33" s="54">
        <v>8</v>
      </c>
      <c r="AD33" s="54">
        <v>13</v>
      </c>
      <c r="AE33" s="54">
        <v>0</v>
      </c>
      <c r="AF33" s="54">
        <v>5</v>
      </c>
      <c r="AG33" s="5">
        <f t="shared" si="2"/>
        <v>121</v>
      </c>
    </row>
    <row r="34" spans="1:33" ht="15.75" customHeight="1" x14ac:dyDescent="0.25">
      <c r="A34" s="56" t="s">
        <v>8</v>
      </c>
      <c r="B34" s="54">
        <v>8</v>
      </c>
      <c r="C34" s="54">
        <v>0</v>
      </c>
      <c r="D34" s="54">
        <v>0</v>
      </c>
      <c r="E34" s="54">
        <v>0</v>
      </c>
      <c r="F34" s="54">
        <v>0</v>
      </c>
      <c r="G34" s="54">
        <v>0</v>
      </c>
      <c r="H34" s="54">
        <v>10</v>
      </c>
      <c r="I34" s="54">
        <v>8</v>
      </c>
      <c r="J34" s="54">
        <v>0</v>
      </c>
      <c r="K34" s="54">
        <v>0</v>
      </c>
      <c r="L34" s="54">
        <v>0</v>
      </c>
      <c r="M34" s="54">
        <v>0</v>
      </c>
      <c r="N34" s="54">
        <v>0</v>
      </c>
      <c r="O34" s="54">
        <v>12</v>
      </c>
      <c r="P34" s="54">
        <v>12</v>
      </c>
      <c r="Q34" s="54">
        <v>0</v>
      </c>
      <c r="R34" s="54">
        <v>0</v>
      </c>
      <c r="S34" s="54">
        <v>0</v>
      </c>
      <c r="T34" s="54">
        <v>0</v>
      </c>
      <c r="U34" s="54">
        <v>0</v>
      </c>
      <c r="V34" s="54">
        <v>9</v>
      </c>
      <c r="W34" s="54">
        <v>5</v>
      </c>
      <c r="X34" s="54">
        <v>0</v>
      </c>
      <c r="Y34" s="54">
        <v>8</v>
      </c>
      <c r="Z34" s="54">
        <v>8</v>
      </c>
      <c r="AA34" s="54">
        <v>0</v>
      </c>
      <c r="AB34" s="54">
        <v>0</v>
      </c>
      <c r="AC34" s="54">
        <v>11</v>
      </c>
      <c r="AD34" s="54">
        <v>10</v>
      </c>
      <c r="AE34" s="54">
        <v>0</v>
      </c>
      <c r="AF34" s="54">
        <v>13</v>
      </c>
      <c r="AG34" s="5">
        <f t="shared" si="2"/>
        <v>114</v>
      </c>
    </row>
    <row r="35" spans="1:33" ht="15.75" customHeight="1" x14ac:dyDescent="0.25">
      <c r="A35" s="56" t="s">
        <v>9</v>
      </c>
      <c r="B35" s="54">
        <v>7</v>
      </c>
      <c r="C35" s="54">
        <v>0</v>
      </c>
      <c r="D35" s="54">
        <v>0</v>
      </c>
      <c r="E35" s="54">
        <v>0</v>
      </c>
      <c r="F35" s="54">
        <v>0</v>
      </c>
      <c r="G35" s="54">
        <v>0</v>
      </c>
      <c r="H35" s="54">
        <v>7</v>
      </c>
      <c r="I35" s="54">
        <v>8</v>
      </c>
      <c r="J35" s="54">
        <v>0</v>
      </c>
      <c r="K35" s="54">
        <v>0</v>
      </c>
      <c r="L35" s="54">
        <v>0</v>
      </c>
      <c r="M35" s="54">
        <v>0</v>
      </c>
      <c r="N35" s="54">
        <v>0</v>
      </c>
      <c r="O35" s="54">
        <v>4</v>
      </c>
      <c r="P35" s="54">
        <v>8</v>
      </c>
      <c r="Q35" s="54">
        <v>0</v>
      </c>
      <c r="R35" s="54">
        <v>0</v>
      </c>
      <c r="S35" s="54">
        <v>0</v>
      </c>
      <c r="T35" s="54">
        <v>0</v>
      </c>
      <c r="U35" s="54">
        <v>0</v>
      </c>
      <c r="V35" s="54">
        <v>8</v>
      </c>
      <c r="W35" s="54">
        <v>6</v>
      </c>
      <c r="X35" s="54">
        <v>0</v>
      </c>
      <c r="Y35" s="54">
        <v>5</v>
      </c>
      <c r="Z35" s="54">
        <v>8</v>
      </c>
      <c r="AA35" s="54">
        <v>0</v>
      </c>
      <c r="AB35" s="54">
        <v>0</v>
      </c>
      <c r="AC35" s="54">
        <v>4</v>
      </c>
      <c r="AD35" s="54">
        <v>13</v>
      </c>
      <c r="AE35" s="54">
        <v>0</v>
      </c>
      <c r="AF35" s="54">
        <v>6</v>
      </c>
      <c r="AG35" s="5">
        <f t="shared" si="2"/>
        <v>84</v>
      </c>
    </row>
    <row r="36" spans="1:33" ht="15.75" customHeight="1" x14ac:dyDescent="0.25">
      <c r="A36" s="56" t="s">
        <v>10</v>
      </c>
      <c r="B36" s="54">
        <v>5</v>
      </c>
      <c r="C36" s="54">
        <v>0</v>
      </c>
      <c r="D36" s="54">
        <v>0</v>
      </c>
      <c r="E36" s="54">
        <v>0</v>
      </c>
      <c r="F36" s="54">
        <v>0</v>
      </c>
      <c r="G36" s="54">
        <v>0</v>
      </c>
      <c r="H36" s="54">
        <v>4</v>
      </c>
      <c r="I36" s="54">
        <v>8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8</v>
      </c>
      <c r="P36" s="54">
        <v>7</v>
      </c>
      <c r="Q36" s="54">
        <v>0</v>
      </c>
      <c r="R36" s="54">
        <v>0</v>
      </c>
      <c r="S36" s="54">
        <v>0</v>
      </c>
      <c r="T36" s="54">
        <v>0</v>
      </c>
      <c r="U36" s="54">
        <v>0</v>
      </c>
      <c r="V36" s="54">
        <v>8</v>
      </c>
      <c r="W36" s="54">
        <v>4</v>
      </c>
      <c r="X36" s="54">
        <v>0</v>
      </c>
      <c r="Y36" s="54">
        <v>10</v>
      </c>
      <c r="Z36" s="54">
        <v>9</v>
      </c>
      <c r="AA36" s="54">
        <v>0</v>
      </c>
      <c r="AB36" s="54">
        <v>0</v>
      </c>
      <c r="AC36" s="54">
        <v>12</v>
      </c>
      <c r="AD36" s="54">
        <v>13</v>
      </c>
      <c r="AE36" s="54">
        <v>0</v>
      </c>
      <c r="AF36" s="54">
        <v>4</v>
      </c>
      <c r="AG36" s="5">
        <f t="shared" si="2"/>
        <v>92</v>
      </c>
    </row>
    <row r="37" spans="1:33" ht="15.75" customHeight="1" x14ac:dyDescent="0.25">
      <c r="A37" s="56" t="s">
        <v>11</v>
      </c>
      <c r="B37" s="54">
        <v>8</v>
      </c>
      <c r="C37" s="54">
        <v>0</v>
      </c>
      <c r="D37" s="54">
        <v>0</v>
      </c>
      <c r="E37" s="54">
        <v>0</v>
      </c>
      <c r="F37" s="54">
        <v>0</v>
      </c>
      <c r="G37" s="54">
        <v>7</v>
      </c>
      <c r="H37" s="54">
        <v>13</v>
      </c>
      <c r="I37" s="54">
        <v>6</v>
      </c>
      <c r="J37" s="54">
        <v>0</v>
      </c>
      <c r="K37" s="54">
        <v>0</v>
      </c>
      <c r="L37" s="54">
        <v>0</v>
      </c>
      <c r="M37" s="54">
        <v>0</v>
      </c>
      <c r="N37" s="54">
        <v>8</v>
      </c>
      <c r="O37" s="54">
        <v>5</v>
      </c>
      <c r="P37" s="54">
        <v>9</v>
      </c>
      <c r="Q37" s="54">
        <v>0</v>
      </c>
      <c r="R37" s="54">
        <v>0</v>
      </c>
      <c r="S37" s="54">
        <v>0</v>
      </c>
      <c r="T37" s="54">
        <v>0</v>
      </c>
      <c r="U37" s="54">
        <v>6</v>
      </c>
      <c r="V37" s="54">
        <v>7</v>
      </c>
      <c r="W37" s="54">
        <v>5</v>
      </c>
      <c r="X37" s="54">
        <v>0</v>
      </c>
      <c r="Y37" s="54">
        <v>5</v>
      </c>
      <c r="Z37" s="54">
        <v>8</v>
      </c>
      <c r="AA37" s="54">
        <v>0</v>
      </c>
      <c r="AB37" s="54">
        <v>4</v>
      </c>
      <c r="AC37" s="54">
        <v>12</v>
      </c>
      <c r="AD37" s="54">
        <v>17</v>
      </c>
      <c r="AE37" s="54">
        <v>0</v>
      </c>
      <c r="AF37" s="54">
        <v>6</v>
      </c>
      <c r="AG37" s="5">
        <f t="shared" si="2"/>
        <v>126</v>
      </c>
    </row>
    <row r="38" spans="1:33" ht="15.75" customHeight="1" x14ac:dyDescent="0.25">
      <c r="A38" s="56" t="s">
        <v>12</v>
      </c>
      <c r="B38" s="54">
        <v>14</v>
      </c>
      <c r="C38" s="54">
        <v>4</v>
      </c>
      <c r="D38" s="54">
        <v>5</v>
      </c>
      <c r="E38" s="54">
        <v>5</v>
      </c>
      <c r="F38" s="54">
        <v>4</v>
      </c>
      <c r="G38" s="54">
        <v>13</v>
      </c>
      <c r="H38" s="54">
        <v>8</v>
      </c>
      <c r="I38" s="54">
        <v>10</v>
      </c>
      <c r="J38" s="54">
        <v>8</v>
      </c>
      <c r="K38" s="54">
        <v>8</v>
      </c>
      <c r="L38" s="54">
        <v>7</v>
      </c>
      <c r="M38" s="54">
        <v>2</v>
      </c>
      <c r="N38" s="54">
        <v>17</v>
      </c>
      <c r="O38" s="54">
        <v>18</v>
      </c>
      <c r="P38" s="54">
        <v>14</v>
      </c>
      <c r="Q38" s="54">
        <v>8</v>
      </c>
      <c r="R38" s="54">
        <v>4</v>
      </c>
      <c r="S38" s="54">
        <v>15</v>
      </c>
      <c r="T38" s="54">
        <v>10</v>
      </c>
      <c r="U38" s="54">
        <v>9</v>
      </c>
      <c r="V38" s="54">
        <v>13</v>
      </c>
      <c r="W38" s="54">
        <v>10</v>
      </c>
      <c r="X38" s="54">
        <v>8</v>
      </c>
      <c r="Y38" s="54">
        <v>10</v>
      </c>
      <c r="Z38" s="54">
        <v>7</v>
      </c>
      <c r="AA38" s="54">
        <v>12</v>
      </c>
      <c r="AB38" s="54">
        <v>10</v>
      </c>
      <c r="AC38" s="54">
        <v>11</v>
      </c>
      <c r="AD38" s="54">
        <v>12</v>
      </c>
      <c r="AE38" s="54">
        <v>5</v>
      </c>
      <c r="AF38" s="54">
        <v>12</v>
      </c>
      <c r="AG38" s="5">
        <f t="shared" si="2"/>
        <v>293</v>
      </c>
    </row>
    <row r="39" spans="1:33" ht="15.75" customHeight="1" x14ac:dyDescent="0.25">
      <c r="A39" s="56" t="s">
        <v>13</v>
      </c>
      <c r="B39" s="54">
        <v>15</v>
      </c>
      <c r="C39" s="54">
        <v>16</v>
      </c>
      <c r="D39" s="54">
        <v>26</v>
      </c>
      <c r="E39" s="54">
        <v>13</v>
      </c>
      <c r="F39" s="54">
        <v>15</v>
      </c>
      <c r="G39" s="54">
        <v>11</v>
      </c>
      <c r="H39" s="54">
        <v>10</v>
      </c>
      <c r="I39" s="54">
        <v>6</v>
      </c>
      <c r="J39" s="54">
        <v>17</v>
      </c>
      <c r="K39" s="54">
        <v>16</v>
      </c>
      <c r="L39" s="54">
        <v>14</v>
      </c>
      <c r="M39" s="54">
        <v>18</v>
      </c>
      <c r="N39" s="54">
        <v>12</v>
      </c>
      <c r="O39" s="54">
        <v>10</v>
      </c>
      <c r="P39" s="54">
        <v>12</v>
      </c>
      <c r="Q39" s="54">
        <v>17</v>
      </c>
      <c r="R39" s="54">
        <v>23</v>
      </c>
      <c r="S39" s="54">
        <v>15</v>
      </c>
      <c r="T39" s="54">
        <v>14</v>
      </c>
      <c r="U39" s="54">
        <v>15</v>
      </c>
      <c r="V39" s="54">
        <v>10</v>
      </c>
      <c r="W39" s="54">
        <v>11</v>
      </c>
      <c r="X39" s="54">
        <v>19</v>
      </c>
      <c r="Y39" s="54">
        <v>10</v>
      </c>
      <c r="Z39" s="54">
        <v>15</v>
      </c>
      <c r="AA39" s="54">
        <v>15</v>
      </c>
      <c r="AB39" s="54">
        <v>18</v>
      </c>
      <c r="AC39" s="54">
        <v>12</v>
      </c>
      <c r="AD39" s="54">
        <v>11</v>
      </c>
      <c r="AE39" s="54">
        <v>15</v>
      </c>
      <c r="AF39" s="54">
        <v>10</v>
      </c>
      <c r="AG39" s="5">
        <f t="shared" si="2"/>
        <v>441</v>
      </c>
    </row>
    <row r="40" spans="1:33" ht="15.75" customHeight="1" x14ac:dyDescent="0.25">
      <c r="A40" s="56" t="s">
        <v>14</v>
      </c>
      <c r="B40" s="54">
        <v>15</v>
      </c>
      <c r="C40" s="54">
        <v>20</v>
      </c>
      <c r="D40" s="54">
        <v>20</v>
      </c>
      <c r="E40" s="54">
        <v>18</v>
      </c>
      <c r="F40" s="54">
        <v>12</v>
      </c>
      <c r="G40" s="54">
        <v>13</v>
      </c>
      <c r="H40" s="54">
        <v>9</v>
      </c>
      <c r="I40" s="54">
        <v>9</v>
      </c>
      <c r="J40" s="54">
        <v>15</v>
      </c>
      <c r="K40" s="54">
        <v>18</v>
      </c>
      <c r="L40" s="54">
        <v>18</v>
      </c>
      <c r="M40" s="54">
        <v>16</v>
      </c>
      <c r="N40" s="54">
        <v>10</v>
      </c>
      <c r="O40" s="54">
        <v>9</v>
      </c>
      <c r="P40" s="54">
        <v>14</v>
      </c>
      <c r="Q40" s="54">
        <v>14</v>
      </c>
      <c r="R40" s="54">
        <v>20</v>
      </c>
      <c r="S40" s="54">
        <v>13</v>
      </c>
      <c r="T40" s="54">
        <v>14</v>
      </c>
      <c r="U40" s="54">
        <v>19</v>
      </c>
      <c r="V40" s="54">
        <v>11</v>
      </c>
      <c r="W40" s="54">
        <v>20</v>
      </c>
      <c r="X40" s="54">
        <v>20</v>
      </c>
      <c r="Y40" s="54">
        <v>11</v>
      </c>
      <c r="Z40" s="54">
        <v>9</v>
      </c>
      <c r="AA40" s="54">
        <v>15</v>
      </c>
      <c r="AB40" s="54">
        <v>18</v>
      </c>
      <c r="AC40" s="54">
        <v>8</v>
      </c>
      <c r="AD40" s="54">
        <v>15</v>
      </c>
      <c r="AE40" s="54">
        <v>9</v>
      </c>
      <c r="AF40" s="54">
        <v>4</v>
      </c>
      <c r="AG40" s="5">
        <f t="shared" si="2"/>
        <v>436</v>
      </c>
    </row>
    <row r="41" spans="1:33" ht="15.75" customHeight="1" x14ac:dyDescent="0.25">
      <c r="A41" s="56" t="s">
        <v>15</v>
      </c>
      <c r="B41" s="54">
        <v>10</v>
      </c>
      <c r="C41" s="54">
        <v>13</v>
      </c>
      <c r="D41" s="54">
        <v>23</v>
      </c>
      <c r="E41" s="54">
        <v>15</v>
      </c>
      <c r="F41" s="54">
        <v>12</v>
      </c>
      <c r="G41" s="54">
        <v>17</v>
      </c>
      <c r="H41" s="54">
        <v>7</v>
      </c>
      <c r="I41" s="54">
        <v>10</v>
      </c>
      <c r="J41" s="54">
        <v>15</v>
      </c>
      <c r="K41" s="54">
        <v>18</v>
      </c>
      <c r="L41" s="54">
        <v>8</v>
      </c>
      <c r="M41" s="54">
        <v>11</v>
      </c>
      <c r="N41" s="54">
        <v>13</v>
      </c>
      <c r="O41" s="54">
        <v>9</v>
      </c>
      <c r="P41" s="54">
        <v>12</v>
      </c>
      <c r="Q41" s="54">
        <v>13</v>
      </c>
      <c r="R41" s="54">
        <v>18</v>
      </c>
      <c r="S41" s="54">
        <v>17</v>
      </c>
      <c r="T41" s="54">
        <v>12</v>
      </c>
      <c r="U41" s="54">
        <v>14</v>
      </c>
      <c r="V41" s="54">
        <v>11</v>
      </c>
      <c r="W41" s="54">
        <v>9</v>
      </c>
      <c r="X41" s="54">
        <v>20</v>
      </c>
      <c r="Y41" s="54">
        <v>7</v>
      </c>
      <c r="Z41" s="54">
        <v>6</v>
      </c>
      <c r="AA41" s="54">
        <v>14</v>
      </c>
      <c r="AB41" s="54">
        <v>17</v>
      </c>
      <c r="AC41" s="54">
        <v>9</v>
      </c>
      <c r="AD41" s="54">
        <v>7</v>
      </c>
      <c r="AE41" s="54">
        <v>11</v>
      </c>
      <c r="AF41" s="54">
        <v>6</v>
      </c>
      <c r="AG41" s="5">
        <f t="shared" si="2"/>
        <v>384</v>
      </c>
    </row>
    <row r="42" spans="1:33" ht="15.75" customHeight="1" x14ac:dyDescent="0.25">
      <c r="A42" s="56" t="s">
        <v>16</v>
      </c>
      <c r="B42" s="54">
        <v>5</v>
      </c>
      <c r="C42" s="54">
        <v>13</v>
      </c>
      <c r="D42" s="54">
        <v>14</v>
      </c>
      <c r="E42" s="54">
        <v>17</v>
      </c>
      <c r="F42" s="54">
        <v>11</v>
      </c>
      <c r="G42" s="54">
        <v>16</v>
      </c>
      <c r="H42" s="54">
        <v>6</v>
      </c>
      <c r="I42" s="54">
        <v>6</v>
      </c>
      <c r="J42" s="54">
        <v>15</v>
      </c>
      <c r="K42" s="54">
        <v>13</v>
      </c>
      <c r="L42" s="54">
        <v>15</v>
      </c>
      <c r="M42" s="54">
        <v>7</v>
      </c>
      <c r="N42" s="54">
        <v>7</v>
      </c>
      <c r="O42" s="54">
        <v>7</v>
      </c>
      <c r="P42" s="54">
        <v>18</v>
      </c>
      <c r="Q42" s="54">
        <v>13</v>
      </c>
      <c r="R42" s="54">
        <v>17</v>
      </c>
      <c r="S42" s="54">
        <v>17</v>
      </c>
      <c r="T42" s="54">
        <v>9</v>
      </c>
      <c r="U42" s="54">
        <v>7</v>
      </c>
      <c r="V42" s="54">
        <v>18</v>
      </c>
      <c r="W42" s="54">
        <v>6</v>
      </c>
      <c r="X42" s="54">
        <v>14</v>
      </c>
      <c r="Y42" s="54">
        <v>7</v>
      </c>
      <c r="Z42" s="54">
        <v>10</v>
      </c>
      <c r="AA42" s="54">
        <v>16</v>
      </c>
      <c r="AB42" s="54">
        <v>18</v>
      </c>
      <c r="AC42" s="54">
        <v>10</v>
      </c>
      <c r="AD42" s="54">
        <v>10</v>
      </c>
      <c r="AE42" s="54">
        <v>17</v>
      </c>
      <c r="AF42" s="54">
        <v>4</v>
      </c>
      <c r="AG42" s="5">
        <f t="shared" si="2"/>
        <v>363</v>
      </c>
    </row>
    <row r="43" spans="1:33" ht="15.75" customHeight="1" x14ac:dyDescent="0.25">
      <c r="A43" s="56" t="s">
        <v>17</v>
      </c>
      <c r="B43" s="54">
        <v>11</v>
      </c>
      <c r="C43" s="54">
        <v>11</v>
      </c>
      <c r="D43" s="54">
        <v>23</v>
      </c>
      <c r="E43" s="54">
        <v>12</v>
      </c>
      <c r="F43" s="54">
        <v>11</v>
      </c>
      <c r="G43" s="54">
        <v>12</v>
      </c>
      <c r="H43" s="54">
        <v>7</v>
      </c>
      <c r="I43" s="54">
        <v>8</v>
      </c>
      <c r="J43" s="54">
        <v>9</v>
      </c>
      <c r="K43" s="54">
        <v>19</v>
      </c>
      <c r="L43" s="54">
        <v>14</v>
      </c>
      <c r="M43" s="54">
        <v>10</v>
      </c>
      <c r="N43" s="54">
        <v>7</v>
      </c>
      <c r="O43" s="54">
        <v>9</v>
      </c>
      <c r="P43" s="54">
        <v>7</v>
      </c>
      <c r="Q43" s="54">
        <v>12</v>
      </c>
      <c r="R43" s="54">
        <v>18</v>
      </c>
      <c r="S43" s="54">
        <v>13</v>
      </c>
      <c r="T43" s="54">
        <v>11</v>
      </c>
      <c r="U43" s="54">
        <v>8</v>
      </c>
      <c r="V43" s="54">
        <v>6</v>
      </c>
      <c r="W43" s="54">
        <v>5</v>
      </c>
      <c r="X43" s="54">
        <v>8</v>
      </c>
      <c r="Y43" s="54">
        <v>2</v>
      </c>
      <c r="Z43" s="54">
        <v>12</v>
      </c>
      <c r="AA43" s="54">
        <v>10</v>
      </c>
      <c r="AB43" s="54">
        <v>10</v>
      </c>
      <c r="AC43" s="54">
        <v>2</v>
      </c>
      <c r="AD43" s="54">
        <v>6</v>
      </c>
      <c r="AE43" s="54">
        <v>6</v>
      </c>
      <c r="AF43" s="54">
        <v>2</v>
      </c>
      <c r="AG43" s="5">
        <f t="shared" si="2"/>
        <v>301</v>
      </c>
    </row>
    <row r="44" spans="1:33" ht="15.75" customHeight="1" x14ac:dyDescent="0.25">
      <c r="A44" s="56" t="s">
        <v>18</v>
      </c>
      <c r="B44" s="54">
        <v>11</v>
      </c>
      <c r="C44" s="54">
        <v>4</v>
      </c>
      <c r="D44" s="54">
        <v>12</v>
      </c>
      <c r="E44" s="54">
        <v>4</v>
      </c>
      <c r="F44" s="54">
        <v>2</v>
      </c>
      <c r="G44" s="54">
        <v>6</v>
      </c>
      <c r="H44" s="54">
        <v>15</v>
      </c>
      <c r="I44" s="54">
        <v>10</v>
      </c>
      <c r="J44" s="54">
        <v>8</v>
      </c>
      <c r="K44" s="54">
        <v>11</v>
      </c>
      <c r="L44" s="54">
        <v>8</v>
      </c>
      <c r="M44" s="54">
        <v>3</v>
      </c>
      <c r="N44" s="54">
        <v>5</v>
      </c>
      <c r="O44" s="54">
        <v>6</v>
      </c>
      <c r="P44" s="54">
        <v>9</v>
      </c>
      <c r="Q44" s="54">
        <v>8</v>
      </c>
      <c r="R44" s="54">
        <v>12</v>
      </c>
      <c r="S44" s="54">
        <v>7</v>
      </c>
      <c r="T44" s="54">
        <v>7</v>
      </c>
      <c r="U44" s="54">
        <v>4</v>
      </c>
      <c r="V44" s="54">
        <v>15</v>
      </c>
      <c r="W44" s="54">
        <v>4</v>
      </c>
      <c r="X44" s="54">
        <v>8</v>
      </c>
      <c r="Y44" s="54">
        <v>1</v>
      </c>
      <c r="Z44" s="54">
        <v>8</v>
      </c>
      <c r="AA44" s="54">
        <v>3</v>
      </c>
      <c r="AB44" s="54">
        <v>8</v>
      </c>
      <c r="AC44" s="54">
        <v>12</v>
      </c>
      <c r="AD44" s="54">
        <v>6</v>
      </c>
      <c r="AE44" s="54">
        <v>5</v>
      </c>
      <c r="AF44" s="54">
        <v>2</v>
      </c>
      <c r="AG44" s="5">
        <f t="shared" si="2"/>
        <v>224</v>
      </c>
    </row>
    <row r="45" spans="1:33" ht="15.75" customHeight="1" x14ac:dyDescent="0.25">
      <c r="A45" s="56" t="s">
        <v>19</v>
      </c>
      <c r="B45" s="54">
        <v>11</v>
      </c>
      <c r="C45" s="54">
        <v>11</v>
      </c>
      <c r="D45" s="54">
        <v>9</v>
      </c>
      <c r="E45" s="54">
        <v>14</v>
      </c>
      <c r="F45" s="54">
        <v>4</v>
      </c>
      <c r="G45" s="54">
        <v>10</v>
      </c>
      <c r="H45" s="54">
        <v>14</v>
      </c>
      <c r="I45" s="54">
        <v>6</v>
      </c>
      <c r="J45" s="54">
        <v>6</v>
      </c>
      <c r="K45" s="54">
        <v>5</v>
      </c>
      <c r="L45" s="54">
        <v>16</v>
      </c>
      <c r="M45" s="54">
        <v>5</v>
      </c>
      <c r="N45" s="54">
        <v>12</v>
      </c>
      <c r="O45" s="54">
        <v>5</v>
      </c>
      <c r="P45" s="54">
        <v>8</v>
      </c>
      <c r="Q45" s="54">
        <v>9</v>
      </c>
      <c r="R45" s="54">
        <v>8</v>
      </c>
      <c r="S45" s="54">
        <v>7</v>
      </c>
      <c r="T45" s="54">
        <v>5</v>
      </c>
      <c r="U45" s="54">
        <v>5</v>
      </c>
      <c r="V45" s="54">
        <v>10</v>
      </c>
      <c r="W45" s="54">
        <v>13</v>
      </c>
      <c r="X45" s="54">
        <v>5</v>
      </c>
      <c r="Y45" s="54">
        <v>2</v>
      </c>
      <c r="Z45" s="54">
        <v>8</v>
      </c>
      <c r="AA45" s="54">
        <v>13</v>
      </c>
      <c r="AB45" s="54">
        <v>5</v>
      </c>
      <c r="AC45" s="54">
        <v>8</v>
      </c>
      <c r="AD45" s="54">
        <v>4</v>
      </c>
      <c r="AE45" s="54">
        <v>9</v>
      </c>
      <c r="AF45" s="54">
        <v>1</v>
      </c>
      <c r="AG45" s="5">
        <f t="shared" si="2"/>
        <v>248</v>
      </c>
    </row>
    <row r="46" spans="1:33" ht="15.75" customHeight="1" x14ac:dyDescent="0.25">
      <c r="A46" s="56" t="s">
        <v>20</v>
      </c>
      <c r="B46" s="54">
        <v>5</v>
      </c>
      <c r="C46" s="54">
        <v>15</v>
      </c>
      <c r="D46" s="54">
        <v>1</v>
      </c>
      <c r="E46" s="54">
        <v>12</v>
      </c>
      <c r="F46" s="54">
        <v>5</v>
      </c>
      <c r="G46" s="54">
        <v>10</v>
      </c>
      <c r="H46" s="54">
        <v>6</v>
      </c>
      <c r="I46" s="54">
        <v>12</v>
      </c>
      <c r="J46" s="54">
        <v>5</v>
      </c>
      <c r="K46" s="54">
        <v>0</v>
      </c>
      <c r="L46" s="54">
        <v>10</v>
      </c>
      <c r="M46" s="54">
        <v>10</v>
      </c>
      <c r="N46" s="54">
        <v>10</v>
      </c>
      <c r="O46" s="54">
        <v>7</v>
      </c>
      <c r="P46" s="54">
        <v>1</v>
      </c>
      <c r="Q46" s="54">
        <v>6</v>
      </c>
      <c r="R46" s="54">
        <v>12</v>
      </c>
      <c r="S46" s="54">
        <v>5</v>
      </c>
      <c r="T46" s="54">
        <v>10</v>
      </c>
      <c r="U46" s="54">
        <v>0</v>
      </c>
      <c r="V46" s="54">
        <v>5</v>
      </c>
      <c r="W46" s="54">
        <v>13</v>
      </c>
      <c r="X46" s="54">
        <v>2</v>
      </c>
      <c r="Y46" s="54">
        <v>4</v>
      </c>
      <c r="Z46" s="54">
        <v>5</v>
      </c>
      <c r="AA46" s="54">
        <v>12</v>
      </c>
      <c r="AB46" s="54">
        <v>9</v>
      </c>
      <c r="AC46" s="54">
        <v>8</v>
      </c>
      <c r="AD46" s="54">
        <v>8</v>
      </c>
      <c r="AE46" s="54">
        <v>8</v>
      </c>
      <c r="AF46" s="54">
        <v>0</v>
      </c>
      <c r="AG46" s="5">
        <f t="shared" si="2"/>
        <v>216</v>
      </c>
    </row>
    <row r="47" spans="1:33" ht="15.75" customHeight="1" x14ac:dyDescent="0.25">
      <c r="A47" s="56" t="s">
        <v>21</v>
      </c>
      <c r="B47" s="54">
        <v>1</v>
      </c>
      <c r="C47" s="54">
        <v>13</v>
      </c>
      <c r="D47" s="54">
        <v>0</v>
      </c>
      <c r="E47" s="54">
        <v>9</v>
      </c>
      <c r="F47" s="54">
        <v>4</v>
      </c>
      <c r="G47" s="54">
        <v>3</v>
      </c>
      <c r="H47" s="54">
        <v>7</v>
      </c>
      <c r="I47" s="54">
        <v>4</v>
      </c>
      <c r="J47" s="54">
        <v>7</v>
      </c>
      <c r="K47" s="54">
        <v>1</v>
      </c>
      <c r="L47" s="54">
        <v>2</v>
      </c>
      <c r="M47" s="54">
        <v>9</v>
      </c>
      <c r="N47" s="54">
        <v>11</v>
      </c>
      <c r="O47" s="54">
        <v>7</v>
      </c>
      <c r="P47" s="54">
        <v>0</v>
      </c>
      <c r="Q47" s="54">
        <v>10</v>
      </c>
      <c r="R47" s="54">
        <v>2</v>
      </c>
      <c r="S47" s="54">
        <v>4</v>
      </c>
      <c r="T47" s="54">
        <v>13</v>
      </c>
      <c r="U47" s="54">
        <v>3</v>
      </c>
      <c r="V47" s="54">
        <v>1</v>
      </c>
      <c r="W47" s="54">
        <v>3</v>
      </c>
      <c r="X47" s="54">
        <v>1</v>
      </c>
      <c r="Y47" s="54">
        <v>2</v>
      </c>
      <c r="Z47" s="54">
        <v>1</v>
      </c>
      <c r="AA47" s="54">
        <v>5</v>
      </c>
      <c r="AB47" s="54">
        <v>9</v>
      </c>
      <c r="AC47" s="54">
        <v>8</v>
      </c>
      <c r="AD47" s="54">
        <v>2</v>
      </c>
      <c r="AE47" s="54">
        <v>6</v>
      </c>
      <c r="AF47" s="54">
        <v>0</v>
      </c>
      <c r="AG47" s="5">
        <f t="shared" si="2"/>
        <v>148</v>
      </c>
    </row>
    <row r="48" spans="1:33" ht="15.75" customHeight="1" x14ac:dyDescent="0.25">
      <c r="A48" s="56" t="s">
        <v>22</v>
      </c>
      <c r="B48" s="54">
        <v>1</v>
      </c>
      <c r="C48" s="54">
        <v>0</v>
      </c>
      <c r="D48" s="54">
        <v>6</v>
      </c>
      <c r="E48" s="54">
        <v>0</v>
      </c>
      <c r="F48" s="54">
        <v>6</v>
      </c>
      <c r="G48" s="54">
        <v>7</v>
      </c>
      <c r="H48" s="54">
        <v>2</v>
      </c>
      <c r="I48" s="54">
        <v>4</v>
      </c>
      <c r="J48" s="54">
        <v>8</v>
      </c>
      <c r="K48" s="54">
        <v>0</v>
      </c>
      <c r="L48" s="54">
        <v>3</v>
      </c>
      <c r="M48" s="54">
        <v>6</v>
      </c>
      <c r="N48" s="54">
        <v>0</v>
      </c>
      <c r="O48" s="54">
        <v>13</v>
      </c>
      <c r="P48" s="54">
        <v>1</v>
      </c>
      <c r="Q48" s="54">
        <v>7</v>
      </c>
      <c r="R48" s="54">
        <v>3</v>
      </c>
      <c r="S48" s="54">
        <v>0</v>
      </c>
      <c r="T48" s="54">
        <v>3</v>
      </c>
      <c r="U48" s="54">
        <v>5</v>
      </c>
      <c r="V48" s="54">
        <v>2</v>
      </c>
      <c r="W48" s="54">
        <v>3</v>
      </c>
      <c r="X48" s="54">
        <v>3</v>
      </c>
      <c r="Y48" s="54">
        <v>4</v>
      </c>
      <c r="Z48" s="54">
        <v>3</v>
      </c>
      <c r="AA48" s="54">
        <v>3</v>
      </c>
      <c r="AB48" s="54">
        <v>2</v>
      </c>
      <c r="AC48" s="54">
        <v>4</v>
      </c>
      <c r="AD48" s="54">
        <v>3</v>
      </c>
      <c r="AE48" s="54">
        <v>6</v>
      </c>
      <c r="AF48" s="54">
        <v>4</v>
      </c>
      <c r="AG48" s="5">
        <f t="shared" si="2"/>
        <v>112</v>
      </c>
    </row>
    <row r="49" spans="1:33" ht="15.75" customHeight="1" x14ac:dyDescent="0.25">
      <c r="A49" s="56" t="s">
        <v>23</v>
      </c>
      <c r="B49" s="54">
        <v>5</v>
      </c>
      <c r="C49" s="54">
        <v>2</v>
      </c>
      <c r="D49" s="54">
        <v>1</v>
      </c>
      <c r="E49" s="54">
        <v>7</v>
      </c>
      <c r="F49" s="54">
        <v>3</v>
      </c>
      <c r="G49" s="54">
        <v>2</v>
      </c>
      <c r="H49" s="54">
        <v>2</v>
      </c>
      <c r="I49" s="54">
        <v>1</v>
      </c>
      <c r="J49" s="54">
        <v>7</v>
      </c>
      <c r="K49" s="54">
        <v>1</v>
      </c>
      <c r="L49" s="54">
        <v>0</v>
      </c>
      <c r="M49" s="54">
        <v>4</v>
      </c>
      <c r="N49" s="54">
        <v>3</v>
      </c>
      <c r="O49" s="54">
        <v>2</v>
      </c>
      <c r="P49" s="54">
        <v>5</v>
      </c>
      <c r="Q49" s="54">
        <v>2</v>
      </c>
      <c r="R49" s="54">
        <v>5</v>
      </c>
      <c r="S49" s="54">
        <v>1</v>
      </c>
      <c r="T49" s="54">
        <v>0</v>
      </c>
      <c r="U49" s="54">
        <v>1</v>
      </c>
      <c r="V49" s="54">
        <v>1</v>
      </c>
      <c r="W49" s="54">
        <v>7</v>
      </c>
      <c r="X49" s="54">
        <v>5</v>
      </c>
      <c r="Y49" s="54">
        <v>2</v>
      </c>
      <c r="Z49" s="54">
        <v>1</v>
      </c>
      <c r="AA49" s="54">
        <v>1</v>
      </c>
      <c r="AB49" s="54">
        <v>1</v>
      </c>
      <c r="AC49" s="54">
        <v>1</v>
      </c>
      <c r="AD49" s="54">
        <v>6</v>
      </c>
      <c r="AE49" s="54">
        <v>2</v>
      </c>
      <c r="AF49" s="54">
        <v>5</v>
      </c>
      <c r="AG49" s="5">
        <f t="shared" si="2"/>
        <v>86</v>
      </c>
    </row>
    <row r="50" spans="1:33" ht="15.75" customHeight="1" x14ac:dyDescent="0.25">
      <c r="A50" s="56" t="s">
        <v>24</v>
      </c>
      <c r="B50" s="54">
        <v>3</v>
      </c>
      <c r="C50" s="54">
        <v>1</v>
      </c>
      <c r="D50" s="54">
        <v>4</v>
      </c>
      <c r="E50" s="54">
        <v>2</v>
      </c>
      <c r="F50" s="54">
        <v>1</v>
      </c>
      <c r="G50" s="54">
        <v>0</v>
      </c>
      <c r="H50" s="54">
        <v>1</v>
      </c>
      <c r="I50" s="54">
        <v>0</v>
      </c>
      <c r="J50" s="54">
        <v>5</v>
      </c>
      <c r="K50" s="54">
        <v>7</v>
      </c>
      <c r="L50" s="54">
        <v>1</v>
      </c>
      <c r="M50" s="54">
        <v>1</v>
      </c>
      <c r="N50" s="54">
        <v>4</v>
      </c>
      <c r="O50" s="54">
        <v>3</v>
      </c>
      <c r="P50" s="54">
        <v>4</v>
      </c>
      <c r="Q50" s="54">
        <v>1</v>
      </c>
      <c r="R50" s="54">
        <v>1</v>
      </c>
      <c r="S50" s="54">
        <v>0</v>
      </c>
      <c r="T50" s="54">
        <v>0</v>
      </c>
      <c r="U50" s="54">
        <v>0</v>
      </c>
      <c r="V50" s="54">
        <v>1</v>
      </c>
      <c r="W50" s="54">
        <v>0</v>
      </c>
      <c r="X50" s="54">
        <v>1</v>
      </c>
      <c r="Y50" s="54">
        <v>2</v>
      </c>
      <c r="Z50" s="54">
        <v>0</v>
      </c>
      <c r="AA50" s="54">
        <v>0</v>
      </c>
      <c r="AB50" s="54">
        <v>0</v>
      </c>
      <c r="AC50" s="54">
        <v>2</v>
      </c>
      <c r="AD50" s="54">
        <v>3</v>
      </c>
      <c r="AE50" s="54">
        <v>0</v>
      </c>
      <c r="AF50" s="54">
        <v>2</v>
      </c>
      <c r="AG50" s="5">
        <f t="shared" si="2"/>
        <v>50</v>
      </c>
    </row>
    <row r="51" spans="1:33" ht="15.75" customHeight="1" x14ac:dyDescent="0.25">
      <c r="A51" s="56" t="s">
        <v>25</v>
      </c>
      <c r="B51" s="54">
        <v>0</v>
      </c>
      <c r="C51" s="54">
        <v>1</v>
      </c>
      <c r="D51" s="54">
        <v>4</v>
      </c>
      <c r="E51" s="54">
        <v>1</v>
      </c>
      <c r="F51" s="54">
        <v>0</v>
      </c>
      <c r="G51" s="54">
        <v>2</v>
      </c>
      <c r="H51" s="54">
        <v>1</v>
      </c>
      <c r="I51" s="54">
        <v>1</v>
      </c>
      <c r="J51" s="54">
        <v>1</v>
      </c>
      <c r="K51" s="54">
        <v>4</v>
      </c>
      <c r="L51" s="54">
        <v>0</v>
      </c>
      <c r="M51" s="54">
        <v>0</v>
      </c>
      <c r="N51" s="54">
        <v>2</v>
      </c>
      <c r="O51" s="54">
        <v>2</v>
      </c>
      <c r="P51" s="54">
        <v>1</v>
      </c>
      <c r="Q51" s="54">
        <v>2</v>
      </c>
      <c r="R51" s="54">
        <v>2</v>
      </c>
      <c r="S51" s="54">
        <v>0</v>
      </c>
      <c r="T51" s="54">
        <v>3</v>
      </c>
      <c r="U51" s="54">
        <v>2</v>
      </c>
      <c r="V51" s="54">
        <v>2</v>
      </c>
      <c r="W51" s="54">
        <v>4</v>
      </c>
      <c r="X51" s="54">
        <v>1</v>
      </c>
      <c r="Y51" s="54">
        <v>0</v>
      </c>
      <c r="Z51" s="54">
        <v>4</v>
      </c>
      <c r="AA51" s="54">
        <v>1</v>
      </c>
      <c r="AB51" s="54">
        <v>0</v>
      </c>
      <c r="AC51" s="54">
        <v>0</v>
      </c>
      <c r="AD51" s="54">
        <v>1</v>
      </c>
      <c r="AE51" s="54">
        <v>4</v>
      </c>
      <c r="AF51" s="54">
        <v>0</v>
      </c>
      <c r="AG51" s="5">
        <f t="shared" si="2"/>
        <v>46</v>
      </c>
    </row>
    <row r="52" spans="1:33" ht="15.75" customHeight="1" thickBot="1" x14ac:dyDescent="0.3">
      <c r="A52" s="57" t="s">
        <v>26</v>
      </c>
      <c r="B52" s="58">
        <v>2</v>
      </c>
      <c r="C52" s="58">
        <v>1</v>
      </c>
      <c r="D52" s="58">
        <v>1</v>
      </c>
      <c r="E52" s="58">
        <v>0</v>
      </c>
      <c r="F52" s="58">
        <v>2</v>
      </c>
      <c r="G52" s="58">
        <v>3</v>
      </c>
      <c r="H52" s="58">
        <v>2</v>
      </c>
      <c r="I52" s="58">
        <v>1</v>
      </c>
      <c r="J52" s="58">
        <v>1</v>
      </c>
      <c r="K52" s="58">
        <v>0</v>
      </c>
      <c r="L52" s="58">
        <v>0</v>
      </c>
      <c r="M52" s="58">
        <v>0</v>
      </c>
      <c r="N52" s="58">
        <v>0</v>
      </c>
      <c r="O52" s="58">
        <v>1</v>
      </c>
      <c r="P52" s="58">
        <v>1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2</v>
      </c>
      <c r="W52" s="58">
        <v>3</v>
      </c>
      <c r="X52" s="58">
        <v>0</v>
      </c>
      <c r="Y52" s="58">
        <v>0</v>
      </c>
      <c r="Z52" s="58">
        <v>0</v>
      </c>
      <c r="AA52" s="58">
        <v>0</v>
      </c>
      <c r="AB52" s="58">
        <v>0</v>
      </c>
      <c r="AC52" s="58">
        <v>4</v>
      </c>
      <c r="AD52" s="60">
        <v>3</v>
      </c>
      <c r="AE52" s="60">
        <v>1</v>
      </c>
      <c r="AF52" s="60">
        <v>0</v>
      </c>
      <c r="AG52" s="9">
        <f t="shared" si="2"/>
        <v>28</v>
      </c>
    </row>
    <row r="53" spans="1:33" ht="15.75" customHeight="1" thickBot="1" x14ac:dyDescent="0.3">
      <c r="A53" s="52" t="s">
        <v>28</v>
      </c>
      <c r="B53" s="1">
        <f t="shared" ref="B53:AF53" si="4">SUM(B54:B77)</f>
        <v>34</v>
      </c>
      <c r="C53" s="1">
        <f t="shared" si="4"/>
        <v>47</v>
      </c>
      <c r="D53" s="1">
        <f t="shared" si="4"/>
        <v>8</v>
      </c>
      <c r="E53" s="1">
        <f t="shared" si="4"/>
        <v>10</v>
      </c>
      <c r="F53" s="1">
        <f t="shared" si="4"/>
        <v>59</v>
      </c>
      <c r="G53" s="1">
        <f t="shared" si="4"/>
        <v>17</v>
      </c>
      <c r="H53" s="1">
        <f t="shared" si="4"/>
        <v>17</v>
      </c>
      <c r="I53" s="1">
        <f t="shared" si="4"/>
        <v>44</v>
      </c>
      <c r="J53" s="1">
        <f t="shared" si="4"/>
        <v>36</v>
      </c>
      <c r="K53" s="1">
        <f t="shared" si="4"/>
        <v>12</v>
      </c>
      <c r="L53" s="1">
        <f t="shared" si="4"/>
        <v>7</v>
      </c>
      <c r="M53" s="1">
        <f t="shared" si="4"/>
        <v>36</v>
      </c>
      <c r="N53" s="1">
        <f t="shared" si="4"/>
        <v>20</v>
      </c>
      <c r="O53" s="1">
        <f t="shared" si="4"/>
        <v>20</v>
      </c>
      <c r="P53" s="1">
        <f t="shared" si="4"/>
        <v>20</v>
      </c>
      <c r="Q53" s="1">
        <f t="shared" si="4"/>
        <v>25</v>
      </c>
      <c r="R53" s="1">
        <f t="shared" si="4"/>
        <v>14</v>
      </c>
      <c r="S53" s="1">
        <f t="shared" si="4"/>
        <v>7</v>
      </c>
      <c r="T53" s="1">
        <f t="shared" si="4"/>
        <v>12</v>
      </c>
      <c r="U53" s="1">
        <f t="shared" si="4"/>
        <v>5</v>
      </c>
      <c r="V53" s="1">
        <f t="shared" si="4"/>
        <v>9</v>
      </c>
      <c r="W53" s="1">
        <f t="shared" si="4"/>
        <v>26</v>
      </c>
      <c r="X53" s="1">
        <f t="shared" si="4"/>
        <v>10</v>
      </c>
      <c r="Y53" s="1">
        <f t="shared" si="4"/>
        <v>7</v>
      </c>
      <c r="Z53" s="1">
        <f t="shared" si="4"/>
        <v>2</v>
      </c>
      <c r="AA53" s="1">
        <f t="shared" si="4"/>
        <v>20</v>
      </c>
      <c r="AB53" s="1">
        <f t="shared" si="4"/>
        <v>11</v>
      </c>
      <c r="AC53" s="1">
        <f t="shared" si="4"/>
        <v>6</v>
      </c>
      <c r="AD53" s="1">
        <f t="shared" si="4"/>
        <v>7</v>
      </c>
      <c r="AE53" s="1">
        <f t="shared" si="4"/>
        <v>22</v>
      </c>
      <c r="AF53" s="1">
        <f t="shared" si="4"/>
        <v>2</v>
      </c>
      <c r="AG53" s="10">
        <f t="shared" si="2"/>
        <v>572</v>
      </c>
    </row>
    <row r="54" spans="1:33" ht="15.75" customHeight="1" x14ac:dyDescent="0.25">
      <c r="A54" s="56" t="s">
        <v>3</v>
      </c>
      <c r="B54" s="54">
        <v>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4">
        <f t="shared" si="2"/>
        <v>0</v>
      </c>
    </row>
    <row r="55" spans="1:33" ht="15.75" customHeight="1" x14ac:dyDescent="0.25">
      <c r="A55" s="56" t="s">
        <v>4</v>
      </c>
      <c r="B55" s="54">
        <v>0</v>
      </c>
      <c r="C55" s="54">
        <v>0</v>
      </c>
      <c r="D55" s="54">
        <v>0</v>
      </c>
      <c r="E55" s="54">
        <v>0</v>
      </c>
      <c r="F55" s="54">
        <v>0</v>
      </c>
      <c r="G55" s="54">
        <v>0</v>
      </c>
      <c r="H55" s="54">
        <v>0</v>
      </c>
      <c r="I55" s="54">
        <v>0</v>
      </c>
      <c r="J55" s="54">
        <v>0</v>
      </c>
      <c r="K55" s="54">
        <v>0</v>
      </c>
      <c r="L55" s="54">
        <v>0</v>
      </c>
      <c r="M55" s="54">
        <v>0</v>
      </c>
      <c r="N55" s="54">
        <v>0</v>
      </c>
      <c r="O55" s="54">
        <v>0</v>
      </c>
      <c r="P55" s="54">
        <v>0</v>
      </c>
      <c r="Q55" s="54">
        <v>0</v>
      </c>
      <c r="R55" s="54">
        <v>0</v>
      </c>
      <c r="S55" s="54">
        <v>0</v>
      </c>
      <c r="T55" s="54">
        <v>0</v>
      </c>
      <c r="U55" s="54">
        <v>0</v>
      </c>
      <c r="V55" s="54">
        <v>0</v>
      </c>
      <c r="W55" s="54">
        <v>0</v>
      </c>
      <c r="X55" s="54">
        <v>0</v>
      </c>
      <c r="Y55" s="54">
        <v>0</v>
      </c>
      <c r="Z55" s="54">
        <v>0</v>
      </c>
      <c r="AA55" s="54">
        <v>0</v>
      </c>
      <c r="AB55" s="54">
        <v>0</v>
      </c>
      <c r="AC55" s="54">
        <v>0</v>
      </c>
      <c r="AD55" s="54">
        <v>0</v>
      </c>
      <c r="AE55" s="54">
        <v>0</v>
      </c>
      <c r="AF55" s="54">
        <v>0</v>
      </c>
      <c r="AG55" s="5">
        <f t="shared" si="2"/>
        <v>0</v>
      </c>
    </row>
    <row r="56" spans="1:33" ht="15.75" customHeight="1" x14ac:dyDescent="0.25">
      <c r="A56" s="56" t="s">
        <v>5</v>
      </c>
      <c r="B56" s="54">
        <v>0</v>
      </c>
      <c r="C56" s="54">
        <v>0</v>
      </c>
      <c r="D56" s="54">
        <v>0</v>
      </c>
      <c r="E56" s="54">
        <v>0</v>
      </c>
      <c r="F56" s="54">
        <v>0</v>
      </c>
      <c r="G56" s="54">
        <v>0</v>
      </c>
      <c r="H56" s="54">
        <v>1</v>
      </c>
      <c r="I56" s="54">
        <v>0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54">
        <v>0</v>
      </c>
      <c r="S56" s="54">
        <v>0</v>
      </c>
      <c r="T56" s="54">
        <v>0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1</v>
      </c>
      <c r="AD56" s="54">
        <v>0</v>
      </c>
      <c r="AE56" s="54">
        <v>0</v>
      </c>
      <c r="AF56" s="54">
        <v>0</v>
      </c>
      <c r="AG56" s="5">
        <f t="shared" si="2"/>
        <v>2</v>
      </c>
    </row>
    <row r="57" spans="1:33" ht="15.75" customHeight="1" x14ac:dyDescent="0.25">
      <c r="A57" s="56" t="s">
        <v>6</v>
      </c>
      <c r="B57" s="54">
        <v>2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4">
        <v>1</v>
      </c>
      <c r="I57" s="54">
        <v>1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0</v>
      </c>
      <c r="P57" s="54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1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1</v>
      </c>
      <c r="AD57" s="54">
        <v>0</v>
      </c>
      <c r="AE57" s="54">
        <v>0</v>
      </c>
      <c r="AF57" s="54">
        <v>0</v>
      </c>
      <c r="AG57" s="5">
        <f t="shared" si="2"/>
        <v>6</v>
      </c>
    </row>
    <row r="58" spans="1:33" ht="15.75" customHeight="1" x14ac:dyDescent="0.25">
      <c r="A58" s="56" t="s">
        <v>7</v>
      </c>
      <c r="B58" s="54">
        <v>1</v>
      </c>
      <c r="C58" s="54">
        <v>0</v>
      </c>
      <c r="D58" s="54">
        <v>0</v>
      </c>
      <c r="E58" s="54">
        <v>0</v>
      </c>
      <c r="F58" s="54">
        <v>0</v>
      </c>
      <c r="G58" s="54">
        <v>0</v>
      </c>
      <c r="H58" s="54">
        <v>1</v>
      </c>
      <c r="I58" s="54">
        <v>2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2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2</v>
      </c>
      <c r="X58" s="54">
        <v>0</v>
      </c>
      <c r="Y58" s="54">
        <v>1</v>
      </c>
      <c r="Z58" s="54">
        <v>2</v>
      </c>
      <c r="AA58" s="54">
        <v>0</v>
      </c>
      <c r="AB58" s="54">
        <v>0</v>
      </c>
      <c r="AC58" s="54">
        <v>1</v>
      </c>
      <c r="AD58" s="54">
        <v>0</v>
      </c>
      <c r="AE58" s="54">
        <v>0</v>
      </c>
      <c r="AF58" s="54">
        <v>0</v>
      </c>
      <c r="AG58" s="5">
        <f t="shared" si="2"/>
        <v>12</v>
      </c>
    </row>
    <row r="59" spans="1:33" ht="15.75" customHeight="1" x14ac:dyDescent="0.25">
      <c r="A59" s="56" t="s">
        <v>8</v>
      </c>
      <c r="B59" s="54">
        <v>0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2</v>
      </c>
      <c r="J59" s="54">
        <v>0</v>
      </c>
      <c r="K59" s="54">
        <v>0</v>
      </c>
      <c r="L59" s="54">
        <v>0</v>
      </c>
      <c r="M59" s="54">
        <v>0</v>
      </c>
      <c r="N59" s="54">
        <v>0</v>
      </c>
      <c r="O59" s="54">
        <v>0</v>
      </c>
      <c r="P59" s="54">
        <v>3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0</v>
      </c>
      <c r="Z59" s="54">
        <v>0</v>
      </c>
      <c r="AA59" s="54">
        <v>0</v>
      </c>
      <c r="AB59" s="54">
        <v>0</v>
      </c>
      <c r="AC59" s="54">
        <v>1</v>
      </c>
      <c r="AD59" s="54">
        <v>0</v>
      </c>
      <c r="AE59" s="54">
        <v>0</v>
      </c>
      <c r="AF59" s="54">
        <v>0</v>
      </c>
      <c r="AG59" s="5">
        <f t="shared" si="2"/>
        <v>6</v>
      </c>
    </row>
    <row r="60" spans="1:33" ht="15.75" customHeight="1" x14ac:dyDescent="0.25">
      <c r="A60" s="56" t="s">
        <v>9</v>
      </c>
      <c r="B60" s="54">
        <v>1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4">
        <v>0</v>
      </c>
      <c r="I60" s="54">
        <v>2</v>
      </c>
      <c r="J60" s="54">
        <v>0</v>
      </c>
      <c r="K60" s="54">
        <v>0</v>
      </c>
      <c r="L60" s="54">
        <v>0</v>
      </c>
      <c r="M60" s="54">
        <v>0</v>
      </c>
      <c r="N60" s="54">
        <v>0</v>
      </c>
      <c r="O60" s="54">
        <v>1</v>
      </c>
      <c r="P60" s="54">
        <v>1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1</v>
      </c>
      <c r="W60" s="54">
        <v>1</v>
      </c>
      <c r="X60" s="54">
        <v>0</v>
      </c>
      <c r="Y60" s="54">
        <v>0</v>
      </c>
      <c r="Z60" s="54">
        <v>0</v>
      </c>
      <c r="AA60" s="54">
        <v>0</v>
      </c>
      <c r="AB60" s="54">
        <v>0</v>
      </c>
      <c r="AC60" s="54">
        <v>0</v>
      </c>
      <c r="AD60" s="54">
        <v>0</v>
      </c>
      <c r="AE60" s="54">
        <v>0</v>
      </c>
      <c r="AF60" s="54">
        <v>0</v>
      </c>
      <c r="AG60" s="5">
        <f t="shared" si="2"/>
        <v>7</v>
      </c>
    </row>
    <row r="61" spans="1:33" ht="15.75" customHeight="1" x14ac:dyDescent="0.25">
      <c r="A61" s="56" t="s">
        <v>10</v>
      </c>
      <c r="B61" s="54">
        <v>1</v>
      </c>
      <c r="C61" s="54">
        <v>0</v>
      </c>
      <c r="D61" s="54">
        <v>0</v>
      </c>
      <c r="E61" s="54">
        <v>0</v>
      </c>
      <c r="F61" s="54">
        <v>0</v>
      </c>
      <c r="G61" s="54">
        <v>0</v>
      </c>
      <c r="H61" s="54">
        <v>0</v>
      </c>
      <c r="I61" s="54">
        <v>3</v>
      </c>
      <c r="J61" s="54">
        <v>0</v>
      </c>
      <c r="K61" s="54">
        <v>0</v>
      </c>
      <c r="L61" s="54">
        <v>0</v>
      </c>
      <c r="M61" s="54">
        <v>0</v>
      </c>
      <c r="N61" s="54">
        <v>0</v>
      </c>
      <c r="O61" s="54">
        <v>0</v>
      </c>
      <c r="P61" s="54">
        <v>1</v>
      </c>
      <c r="Q61" s="54">
        <v>0</v>
      </c>
      <c r="R61" s="54">
        <v>0</v>
      </c>
      <c r="S61" s="54">
        <v>0</v>
      </c>
      <c r="T61" s="54">
        <v>0</v>
      </c>
      <c r="U61" s="54">
        <v>0</v>
      </c>
      <c r="V61" s="54">
        <v>0</v>
      </c>
      <c r="W61" s="54">
        <v>0</v>
      </c>
      <c r="X61" s="54">
        <v>0</v>
      </c>
      <c r="Y61" s="54">
        <v>0</v>
      </c>
      <c r="Z61" s="54">
        <v>0</v>
      </c>
      <c r="AA61" s="54">
        <v>0</v>
      </c>
      <c r="AB61" s="54">
        <v>0</v>
      </c>
      <c r="AC61" s="54">
        <v>0</v>
      </c>
      <c r="AD61" s="54">
        <v>0</v>
      </c>
      <c r="AE61" s="54">
        <v>0</v>
      </c>
      <c r="AF61" s="54">
        <v>0</v>
      </c>
      <c r="AG61" s="5">
        <f t="shared" si="2"/>
        <v>5</v>
      </c>
    </row>
    <row r="62" spans="1:33" ht="15.75" customHeight="1" x14ac:dyDescent="0.25">
      <c r="A62" s="56" t="s">
        <v>11</v>
      </c>
      <c r="B62" s="54">
        <v>3</v>
      </c>
      <c r="C62" s="54">
        <v>0</v>
      </c>
      <c r="D62" s="54">
        <v>0</v>
      </c>
      <c r="E62" s="54">
        <v>0</v>
      </c>
      <c r="F62" s="54">
        <v>0</v>
      </c>
      <c r="G62" s="54">
        <v>2</v>
      </c>
      <c r="H62" s="54">
        <v>1</v>
      </c>
      <c r="I62" s="54">
        <v>2</v>
      </c>
      <c r="J62" s="54">
        <v>0</v>
      </c>
      <c r="K62" s="54">
        <v>0</v>
      </c>
      <c r="L62" s="54">
        <v>0</v>
      </c>
      <c r="M62" s="54">
        <v>0</v>
      </c>
      <c r="N62" s="54">
        <v>1</v>
      </c>
      <c r="O62" s="54">
        <v>0</v>
      </c>
      <c r="P62" s="54">
        <v>3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1</v>
      </c>
      <c r="W62" s="54">
        <v>5</v>
      </c>
      <c r="X62" s="54">
        <v>0</v>
      </c>
      <c r="Y62" s="54">
        <v>1</v>
      </c>
      <c r="Z62" s="54">
        <v>0</v>
      </c>
      <c r="AA62" s="54">
        <v>0</v>
      </c>
      <c r="AB62" s="54">
        <v>0</v>
      </c>
      <c r="AC62" s="54">
        <v>0</v>
      </c>
      <c r="AD62" s="54">
        <v>1</v>
      </c>
      <c r="AE62" s="54">
        <v>0</v>
      </c>
      <c r="AF62" s="54">
        <v>0</v>
      </c>
      <c r="AG62" s="5">
        <f t="shared" si="2"/>
        <v>20</v>
      </c>
    </row>
    <row r="63" spans="1:33" ht="15.75" customHeight="1" x14ac:dyDescent="0.25">
      <c r="A63" s="56" t="s">
        <v>12</v>
      </c>
      <c r="B63" s="54">
        <v>5</v>
      </c>
      <c r="C63" s="54">
        <v>0</v>
      </c>
      <c r="D63" s="54">
        <v>0</v>
      </c>
      <c r="E63" s="54">
        <v>0</v>
      </c>
      <c r="F63" s="54">
        <v>1</v>
      </c>
      <c r="G63" s="54">
        <v>5</v>
      </c>
      <c r="H63" s="54">
        <v>1</v>
      </c>
      <c r="I63" s="54">
        <v>5</v>
      </c>
      <c r="J63" s="54">
        <v>0</v>
      </c>
      <c r="K63" s="54">
        <v>2</v>
      </c>
      <c r="L63" s="54">
        <v>0</v>
      </c>
      <c r="M63" s="54">
        <v>1</v>
      </c>
      <c r="N63" s="54">
        <v>0</v>
      </c>
      <c r="O63" s="54">
        <v>0</v>
      </c>
      <c r="P63" s="54">
        <v>0</v>
      </c>
      <c r="Q63" s="54">
        <v>1</v>
      </c>
      <c r="R63" s="54">
        <v>0</v>
      </c>
      <c r="S63" s="54">
        <v>1</v>
      </c>
      <c r="T63" s="54">
        <v>0</v>
      </c>
      <c r="U63" s="54">
        <v>1</v>
      </c>
      <c r="V63" s="54">
        <v>1</v>
      </c>
      <c r="W63" s="54">
        <v>2</v>
      </c>
      <c r="X63" s="54">
        <v>0</v>
      </c>
      <c r="Y63" s="54">
        <v>0</v>
      </c>
      <c r="Z63" s="54">
        <v>0</v>
      </c>
      <c r="AA63" s="54">
        <v>0</v>
      </c>
      <c r="AB63" s="54">
        <v>1</v>
      </c>
      <c r="AC63" s="54">
        <v>0</v>
      </c>
      <c r="AD63" s="54">
        <v>1</v>
      </c>
      <c r="AE63" s="54">
        <v>1</v>
      </c>
      <c r="AF63" s="54">
        <v>1</v>
      </c>
      <c r="AG63" s="5">
        <f t="shared" si="2"/>
        <v>30</v>
      </c>
    </row>
    <row r="64" spans="1:33" ht="15.75" customHeight="1" x14ac:dyDescent="0.25">
      <c r="A64" s="56" t="s">
        <v>13</v>
      </c>
      <c r="B64" s="54">
        <v>2</v>
      </c>
      <c r="C64" s="54">
        <v>2</v>
      </c>
      <c r="D64" s="54">
        <v>2</v>
      </c>
      <c r="E64" s="54">
        <v>0</v>
      </c>
      <c r="F64" s="54">
        <v>1</v>
      </c>
      <c r="G64" s="54">
        <v>0</v>
      </c>
      <c r="H64" s="54">
        <v>0</v>
      </c>
      <c r="I64" s="54">
        <v>4</v>
      </c>
      <c r="J64" s="54">
        <v>0</v>
      </c>
      <c r="K64" s="54">
        <v>0</v>
      </c>
      <c r="L64" s="54">
        <v>0</v>
      </c>
      <c r="M64" s="54">
        <v>1</v>
      </c>
      <c r="N64" s="54">
        <v>1</v>
      </c>
      <c r="O64" s="54">
        <v>0</v>
      </c>
      <c r="P64" s="54">
        <v>1</v>
      </c>
      <c r="Q64" s="54">
        <v>0</v>
      </c>
      <c r="R64" s="54">
        <v>3</v>
      </c>
      <c r="S64" s="54">
        <v>1</v>
      </c>
      <c r="T64" s="54">
        <v>0</v>
      </c>
      <c r="U64" s="54">
        <v>1</v>
      </c>
      <c r="V64" s="54">
        <v>2</v>
      </c>
      <c r="W64" s="54">
        <v>8</v>
      </c>
      <c r="X64" s="54">
        <v>2</v>
      </c>
      <c r="Y64" s="54">
        <v>0</v>
      </c>
      <c r="Z64" s="54">
        <v>0</v>
      </c>
      <c r="AA64" s="54">
        <v>1</v>
      </c>
      <c r="AB64" s="54">
        <v>2</v>
      </c>
      <c r="AC64" s="54">
        <v>0</v>
      </c>
      <c r="AD64" s="54">
        <v>0</v>
      </c>
      <c r="AE64" s="54">
        <v>3</v>
      </c>
      <c r="AF64" s="54">
        <v>0</v>
      </c>
      <c r="AG64" s="5">
        <f t="shared" si="2"/>
        <v>37</v>
      </c>
    </row>
    <row r="65" spans="1:33" ht="15.75" customHeight="1" x14ac:dyDescent="0.25">
      <c r="A65" s="56" t="s">
        <v>14</v>
      </c>
      <c r="B65" s="54">
        <v>2</v>
      </c>
      <c r="C65" s="54">
        <v>1</v>
      </c>
      <c r="D65" s="54">
        <v>0</v>
      </c>
      <c r="E65" s="54">
        <v>0</v>
      </c>
      <c r="F65" s="54">
        <v>4</v>
      </c>
      <c r="G65" s="54">
        <v>1</v>
      </c>
      <c r="H65" s="54">
        <v>0</v>
      </c>
      <c r="I65" s="54">
        <v>1</v>
      </c>
      <c r="J65" s="54">
        <v>2</v>
      </c>
      <c r="K65" s="54">
        <v>0</v>
      </c>
      <c r="L65" s="54">
        <v>0</v>
      </c>
      <c r="M65" s="54">
        <v>1</v>
      </c>
      <c r="N65" s="54">
        <v>3</v>
      </c>
      <c r="O65" s="54">
        <v>0</v>
      </c>
      <c r="P65" s="54">
        <v>2</v>
      </c>
      <c r="Q65" s="54">
        <v>0</v>
      </c>
      <c r="R65" s="54">
        <v>4</v>
      </c>
      <c r="S65" s="54">
        <v>1</v>
      </c>
      <c r="T65" s="54">
        <v>1</v>
      </c>
      <c r="U65" s="54">
        <v>3</v>
      </c>
      <c r="V65" s="54">
        <v>0</v>
      </c>
      <c r="W65" s="54">
        <v>3</v>
      </c>
      <c r="X65" s="54">
        <v>3</v>
      </c>
      <c r="Y65" s="54">
        <v>0</v>
      </c>
      <c r="Z65" s="54">
        <v>0</v>
      </c>
      <c r="AA65" s="54">
        <v>1</v>
      </c>
      <c r="AB65" s="54">
        <v>3</v>
      </c>
      <c r="AC65" s="54">
        <v>0</v>
      </c>
      <c r="AD65" s="54">
        <v>1</v>
      </c>
      <c r="AE65" s="54">
        <v>0</v>
      </c>
      <c r="AF65" s="54">
        <v>0</v>
      </c>
      <c r="AG65" s="5">
        <f t="shared" si="2"/>
        <v>37</v>
      </c>
    </row>
    <row r="66" spans="1:33" ht="15.75" customHeight="1" x14ac:dyDescent="0.25">
      <c r="A66" s="56" t="s">
        <v>15</v>
      </c>
      <c r="B66" s="54">
        <v>0</v>
      </c>
      <c r="C66" s="54">
        <v>4</v>
      </c>
      <c r="D66" s="54">
        <v>2</v>
      </c>
      <c r="E66" s="54">
        <v>3</v>
      </c>
      <c r="F66" s="54">
        <v>1</v>
      </c>
      <c r="G66" s="54">
        <v>1</v>
      </c>
      <c r="H66" s="54">
        <v>2</v>
      </c>
      <c r="I66" s="54">
        <v>5</v>
      </c>
      <c r="J66" s="54">
        <v>0</v>
      </c>
      <c r="K66" s="54">
        <v>4</v>
      </c>
      <c r="L66" s="54">
        <v>3</v>
      </c>
      <c r="M66" s="54">
        <v>1</v>
      </c>
      <c r="N66" s="54">
        <v>1</v>
      </c>
      <c r="O66" s="54">
        <v>0</v>
      </c>
      <c r="P66" s="54">
        <v>1</v>
      </c>
      <c r="Q66" s="54">
        <v>1</v>
      </c>
      <c r="R66" s="54">
        <v>0</v>
      </c>
      <c r="S66" s="54">
        <v>1</v>
      </c>
      <c r="T66" s="54">
        <v>3</v>
      </c>
      <c r="U66" s="54">
        <v>0</v>
      </c>
      <c r="V66" s="54">
        <v>1</v>
      </c>
      <c r="W66" s="54">
        <v>0</v>
      </c>
      <c r="X66" s="54">
        <v>1</v>
      </c>
      <c r="Y66" s="54">
        <v>0</v>
      </c>
      <c r="Z66" s="54">
        <v>0</v>
      </c>
      <c r="AA66" s="54">
        <v>5</v>
      </c>
      <c r="AB66" s="54">
        <v>2</v>
      </c>
      <c r="AC66" s="54">
        <v>0</v>
      </c>
      <c r="AD66" s="54">
        <v>0</v>
      </c>
      <c r="AE66" s="54">
        <v>0</v>
      </c>
      <c r="AF66" s="54">
        <v>0</v>
      </c>
      <c r="AG66" s="5">
        <f t="shared" si="2"/>
        <v>42</v>
      </c>
    </row>
    <row r="67" spans="1:33" ht="15.75" customHeight="1" x14ac:dyDescent="0.25">
      <c r="A67" s="56" t="s">
        <v>16</v>
      </c>
      <c r="B67" s="54">
        <v>0</v>
      </c>
      <c r="C67" s="54">
        <v>2</v>
      </c>
      <c r="D67" s="54">
        <v>2</v>
      </c>
      <c r="E67" s="54">
        <v>3</v>
      </c>
      <c r="F67" s="54">
        <v>2</v>
      </c>
      <c r="G67" s="54">
        <v>3</v>
      </c>
      <c r="H67" s="54">
        <v>0</v>
      </c>
      <c r="I67" s="54">
        <v>1</v>
      </c>
      <c r="J67" s="54">
        <v>1</v>
      </c>
      <c r="K67" s="54">
        <v>2</v>
      </c>
      <c r="L67" s="54">
        <v>2</v>
      </c>
      <c r="M67" s="54">
        <v>0</v>
      </c>
      <c r="N67" s="54">
        <v>2</v>
      </c>
      <c r="O67" s="54">
        <v>0</v>
      </c>
      <c r="P67" s="54">
        <v>0</v>
      </c>
      <c r="Q67" s="54">
        <v>3</v>
      </c>
      <c r="R67" s="54">
        <v>0</v>
      </c>
      <c r="S67" s="54">
        <v>0</v>
      </c>
      <c r="T67" s="54">
        <v>2</v>
      </c>
      <c r="U67" s="54">
        <v>0</v>
      </c>
      <c r="V67" s="54">
        <v>1</v>
      </c>
      <c r="W67" s="54">
        <v>0</v>
      </c>
      <c r="X67" s="54">
        <v>2</v>
      </c>
      <c r="Y67" s="54">
        <v>0</v>
      </c>
      <c r="Z67" s="54">
        <v>0</v>
      </c>
      <c r="AA67" s="54">
        <v>3</v>
      </c>
      <c r="AB67" s="54">
        <v>1</v>
      </c>
      <c r="AC67" s="54">
        <v>0</v>
      </c>
      <c r="AD67" s="54">
        <v>1</v>
      </c>
      <c r="AE67" s="54">
        <v>0</v>
      </c>
      <c r="AF67" s="54">
        <v>1</v>
      </c>
      <c r="AG67" s="5">
        <f t="shared" ref="AG67:AG98" si="5">SUM(B67:AF67)</f>
        <v>34</v>
      </c>
    </row>
    <row r="68" spans="1:33" ht="15.75" customHeight="1" x14ac:dyDescent="0.25">
      <c r="A68" s="56" t="s">
        <v>17</v>
      </c>
      <c r="B68" s="54">
        <v>4</v>
      </c>
      <c r="C68" s="54">
        <v>3</v>
      </c>
      <c r="D68" s="54">
        <v>0</v>
      </c>
      <c r="E68" s="54">
        <v>0</v>
      </c>
      <c r="F68" s="54">
        <v>5</v>
      </c>
      <c r="G68" s="54">
        <v>4</v>
      </c>
      <c r="H68" s="54">
        <v>5</v>
      </c>
      <c r="I68" s="54">
        <v>8</v>
      </c>
      <c r="J68" s="54">
        <v>3</v>
      </c>
      <c r="K68" s="54">
        <v>2</v>
      </c>
      <c r="L68" s="54">
        <v>2</v>
      </c>
      <c r="M68" s="54">
        <v>2</v>
      </c>
      <c r="N68" s="54">
        <v>0</v>
      </c>
      <c r="O68" s="54">
        <v>3</v>
      </c>
      <c r="P68" s="54">
        <v>1</v>
      </c>
      <c r="Q68" s="54">
        <v>3</v>
      </c>
      <c r="R68" s="54">
        <v>3</v>
      </c>
      <c r="S68" s="54">
        <v>1</v>
      </c>
      <c r="T68" s="54">
        <v>2</v>
      </c>
      <c r="U68" s="54">
        <v>0</v>
      </c>
      <c r="V68" s="54">
        <v>1</v>
      </c>
      <c r="W68" s="54">
        <v>0</v>
      </c>
      <c r="X68" s="54">
        <v>1</v>
      </c>
      <c r="Y68" s="54">
        <v>0</v>
      </c>
      <c r="Z68" s="54">
        <v>0</v>
      </c>
      <c r="AA68" s="54">
        <v>3</v>
      </c>
      <c r="AB68" s="54">
        <v>1</v>
      </c>
      <c r="AC68" s="54">
        <v>2</v>
      </c>
      <c r="AD68" s="54">
        <v>0</v>
      </c>
      <c r="AE68" s="54">
        <v>3</v>
      </c>
      <c r="AF68" s="54">
        <v>0</v>
      </c>
      <c r="AG68" s="5">
        <f t="shared" si="5"/>
        <v>62</v>
      </c>
    </row>
    <row r="69" spans="1:33" ht="15.75" customHeight="1" x14ac:dyDescent="0.25">
      <c r="A69" s="56" t="s">
        <v>18</v>
      </c>
      <c r="B69" s="54">
        <v>5</v>
      </c>
      <c r="C69" s="54">
        <v>1</v>
      </c>
      <c r="D69" s="54">
        <v>0</v>
      </c>
      <c r="E69" s="54">
        <v>0</v>
      </c>
      <c r="F69" s="54">
        <v>10</v>
      </c>
      <c r="G69" s="54">
        <v>0</v>
      </c>
      <c r="H69" s="54">
        <v>2</v>
      </c>
      <c r="I69" s="54">
        <v>3</v>
      </c>
      <c r="J69" s="54">
        <v>6</v>
      </c>
      <c r="K69" s="54">
        <v>0</v>
      </c>
      <c r="L69" s="54">
        <v>0</v>
      </c>
      <c r="M69" s="54">
        <v>1</v>
      </c>
      <c r="N69" s="54">
        <v>1</v>
      </c>
      <c r="O69" s="54">
        <v>2</v>
      </c>
      <c r="P69" s="54">
        <v>1</v>
      </c>
      <c r="Q69" s="54">
        <v>2</v>
      </c>
      <c r="R69" s="54">
        <v>1</v>
      </c>
      <c r="S69" s="54">
        <v>0</v>
      </c>
      <c r="T69" s="54">
        <v>1</v>
      </c>
      <c r="U69" s="54">
        <v>0</v>
      </c>
      <c r="V69" s="54">
        <v>0</v>
      </c>
      <c r="W69" s="54">
        <v>0</v>
      </c>
      <c r="X69" s="54">
        <v>0</v>
      </c>
      <c r="Y69" s="54">
        <v>2</v>
      </c>
      <c r="Z69" s="54">
        <v>0</v>
      </c>
      <c r="AA69" s="54">
        <v>0</v>
      </c>
      <c r="AB69" s="54">
        <v>0</v>
      </c>
      <c r="AC69" s="54">
        <v>0</v>
      </c>
      <c r="AD69" s="54">
        <v>0</v>
      </c>
      <c r="AE69" s="54">
        <v>2</v>
      </c>
      <c r="AF69" s="54">
        <v>0</v>
      </c>
      <c r="AG69" s="5">
        <f t="shared" si="5"/>
        <v>40</v>
      </c>
    </row>
    <row r="70" spans="1:33" ht="15.75" customHeight="1" x14ac:dyDescent="0.25">
      <c r="A70" s="56" t="s">
        <v>19</v>
      </c>
      <c r="B70" s="54">
        <v>4</v>
      </c>
      <c r="C70" s="54">
        <v>10</v>
      </c>
      <c r="D70" s="54">
        <v>0</v>
      </c>
      <c r="E70" s="54">
        <v>1</v>
      </c>
      <c r="F70" s="54">
        <v>5</v>
      </c>
      <c r="G70" s="54">
        <v>0</v>
      </c>
      <c r="H70" s="54">
        <v>2</v>
      </c>
      <c r="I70" s="54">
        <v>2</v>
      </c>
      <c r="J70" s="54">
        <v>1</v>
      </c>
      <c r="K70" s="54">
        <v>0</v>
      </c>
      <c r="L70" s="54">
        <v>0</v>
      </c>
      <c r="M70" s="54">
        <v>3</v>
      </c>
      <c r="N70" s="54">
        <v>2</v>
      </c>
      <c r="O70" s="54">
        <v>3</v>
      </c>
      <c r="P70" s="54">
        <v>0</v>
      </c>
      <c r="Q70" s="54">
        <v>1</v>
      </c>
      <c r="R70" s="54">
        <v>0</v>
      </c>
      <c r="S70" s="54">
        <v>0</v>
      </c>
      <c r="T70" s="54">
        <v>0</v>
      </c>
      <c r="U70" s="54">
        <v>0</v>
      </c>
      <c r="V70" s="54">
        <v>0</v>
      </c>
      <c r="W70" s="54">
        <v>0</v>
      </c>
      <c r="X70" s="54">
        <v>1</v>
      </c>
      <c r="Y70" s="54">
        <v>3</v>
      </c>
      <c r="Z70" s="54">
        <v>0</v>
      </c>
      <c r="AA70" s="54">
        <v>4</v>
      </c>
      <c r="AB70" s="54">
        <v>0</v>
      </c>
      <c r="AC70" s="54">
        <v>0</v>
      </c>
      <c r="AD70" s="55">
        <v>0</v>
      </c>
      <c r="AE70" s="55">
        <v>4</v>
      </c>
      <c r="AF70" s="55">
        <v>0</v>
      </c>
      <c r="AG70" s="5">
        <f t="shared" si="5"/>
        <v>46</v>
      </c>
    </row>
    <row r="71" spans="1:33" ht="15.75" customHeight="1" x14ac:dyDescent="0.25">
      <c r="A71" s="56" t="s">
        <v>20</v>
      </c>
      <c r="B71" s="54">
        <v>2</v>
      </c>
      <c r="C71" s="54">
        <v>18</v>
      </c>
      <c r="D71" s="54">
        <v>0</v>
      </c>
      <c r="E71" s="54">
        <v>2</v>
      </c>
      <c r="F71" s="54">
        <v>9</v>
      </c>
      <c r="G71" s="54">
        <v>1</v>
      </c>
      <c r="H71" s="54">
        <v>1</v>
      </c>
      <c r="I71" s="54">
        <v>3</v>
      </c>
      <c r="J71" s="54">
        <v>1</v>
      </c>
      <c r="K71" s="54">
        <v>0</v>
      </c>
      <c r="L71" s="54">
        <v>0</v>
      </c>
      <c r="M71" s="54">
        <v>10</v>
      </c>
      <c r="N71" s="54">
        <v>2</v>
      </c>
      <c r="O71" s="54">
        <v>5</v>
      </c>
      <c r="P71" s="54">
        <v>1</v>
      </c>
      <c r="Q71" s="54">
        <v>3</v>
      </c>
      <c r="R71" s="54">
        <v>0</v>
      </c>
      <c r="S71" s="54">
        <v>2</v>
      </c>
      <c r="T71" s="54">
        <v>0</v>
      </c>
      <c r="U71" s="54">
        <v>0</v>
      </c>
      <c r="V71" s="54">
        <v>0</v>
      </c>
      <c r="W71" s="54">
        <v>4</v>
      </c>
      <c r="X71" s="54">
        <v>0</v>
      </c>
      <c r="Y71" s="54">
        <v>0</v>
      </c>
      <c r="Z71" s="54">
        <v>0</v>
      </c>
      <c r="AA71" s="54">
        <v>3</v>
      </c>
      <c r="AB71" s="54">
        <v>0</v>
      </c>
      <c r="AC71" s="54">
        <v>0</v>
      </c>
      <c r="AD71" s="55">
        <v>2</v>
      </c>
      <c r="AE71" s="55">
        <v>5</v>
      </c>
      <c r="AF71" s="55">
        <v>0</v>
      </c>
      <c r="AG71" s="5">
        <f t="shared" si="5"/>
        <v>74</v>
      </c>
    </row>
    <row r="72" spans="1:33" ht="15.75" customHeight="1" x14ac:dyDescent="0.25">
      <c r="A72" s="56" t="s">
        <v>21</v>
      </c>
      <c r="B72" s="54">
        <v>0</v>
      </c>
      <c r="C72" s="54">
        <v>6</v>
      </c>
      <c r="D72" s="54">
        <v>2</v>
      </c>
      <c r="E72" s="54">
        <v>1</v>
      </c>
      <c r="F72" s="54">
        <v>20</v>
      </c>
      <c r="G72" s="54">
        <v>0</v>
      </c>
      <c r="H72" s="54">
        <v>0</v>
      </c>
      <c r="I72" s="54">
        <v>0</v>
      </c>
      <c r="J72" s="54">
        <v>3</v>
      </c>
      <c r="K72" s="54">
        <v>0</v>
      </c>
      <c r="L72" s="54">
        <v>0</v>
      </c>
      <c r="M72" s="54">
        <v>9</v>
      </c>
      <c r="N72" s="54">
        <v>4</v>
      </c>
      <c r="O72" s="54">
        <v>1</v>
      </c>
      <c r="P72" s="54">
        <v>0</v>
      </c>
      <c r="Q72" s="54">
        <v>6</v>
      </c>
      <c r="R72" s="54">
        <v>1</v>
      </c>
      <c r="S72" s="54">
        <v>0</v>
      </c>
      <c r="T72" s="54">
        <v>3</v>
      </c>
      <c r="U72" s="54">
        <v>0</v>
      </c>
      <c r="V72" s="54">
        <v>0</v>
      </c>
      <c r="W72" s="54">
        <v>0</v>
      </c>
      <c r="X72" s="54">
        <v>0</v>
      </c>
      <c r="Y72" s="54">
        <v>0</v>
      </c>
      <c r="Z72" s="54">
        <v>0</v>
      </c>
      <c r="AA72" s="54">
        <v>0</v>
      </c>
      <c r="AB72" s="54">
        <v>1</v>
      </c>
      <c r="AC72" s="54">
        <v>0</v>
      </c>
      <c r="AD72" s="55">
        <v>0</v>
      </c>
      <c r="AE72" s="55">
        <v>1</v>
      </c>
      <c r="AF72" s="55">
        <v>0</v>
      </c>
      <c r="AG72" s="5">
        <f t="shared" si="5"/>
        <v>58</v>
      </c>
    </row>
    <row r="73" spans="1:33" ht="15.75" customHeight="1" x14ac:dyDescent="0.25">
      <c r="A73" s="56" t="s">
        <v>22</v>
      </c>
      <c r="B73" s="54">
        <v>1</v>
      </c>
      <c r="C73" s="54">
        <v>0</v>
      </c>
      <c r="D73" s="54">
        <v>0</v>
      </c>
      <c r="E73" s="54">
        <v>0</v>
      </c>
      <c r="F73" s="54">
        <v>1</v>
      </c>
      <c r="G73" s="54">
        <v>0</v>
      </c>
      <c r="H73" s="54">
        <v>0</v>
      </c>
      <c r="I73" s="54">
        <v>0</v>
      </c>
      <c r="J73" s="54">
        <v>13</v>
      </c>
      <c r="K73" s="54">
        <v>0</v>
      </c>
      <c r="L73" s="54">
        <v>0</v>
      </c>
      <c r="M73" s="54">
        <v>3</v>
      </c>
      <c r="N73" s="54">
        <v>0</v>
      </c>
      <c r="O73" s="54">
        <v>5</v>
      </c>
      <c r="P73" s="54">
        <v>1</v>
      </c>
      <c r="Q73" s="54">
        <v>5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5">
        <v>0</v>
      </c>
      <c r="AE73" s="55">
        <v>1</v>
      </c>
      <c r="AF73" s="55">
        <v>0</v>
      </c>
      <c r="AG73" s="5">
        <f t="shared" si="5"/>
        <v>30</v>
      </c>
    </row>
    <row r="74" spans="1:33" ht="15.75" customHeight="1" x14ac:dyDescent="0.25">
      <c r="A74" s="56" t="s">
        <v>23</v>
      </c>
      <c r="B74" s="54">
        <v>1</v>
      </c>
      <c r="C74" s="54">
        <v>0</v>
      </c>
      <c r="D74" s="54">
        <v>0</v>
      </c>
      <c r="E74" s="54">
        <v>0</v>
      </c>
      <c r="F74" s="54">
        <v>0</v>
      </c>
      <c r="G74" s="54">
        <v>0</v>
      </c>
      <c r="H74" s="54">
        <v>0</v>
      </c>
      <c r="I74" s="54">
        <v>0</v>
      </c>
      <c r="J74" s="54">
        <v>6</v>
      </c>
      <c r="K74" s="54">
        <v>0</v>
      </c>
      <c r="L74" s="54">
        <v>0</v>
      </c>
      <c r="M74" s="54">
        <v>4</v>
      </c>
      <c r="N74" s="54">
        <v>2</v>
      </c>
      <c r="O74" s="54">
        <v>0</v>
      </c>
      <c r="P74" s="54">
        <v>1</v>
      </c>
      <c r="Q74" s="54">
        <v>0</v>
      </c>
      <c r="R74" s="54">
        <v>2</v>
      </c>
      <c r="S74" s="54">
        <v>0</v>
      </c>
      <c r="T74" s="54">
        <v>0</v>
      </c>
      <c r="U74" s="54">
        <v>0</v>
      </c>
      <c r="V74" s="54">
        <v>0</v>
      </c>
      <c r="W74" s="54">
        <v>1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5">
        <v>1</v>
      </c>
      <c r="AE74" s="55">
        <v>2</v>
      </c>
      <c r="AF74" s="55">
        <v>0</v>
      </c>
      <c r="AG74" s="5">
        <f t="shared" si="5"/>
        <v>20</v>
      </c>
    </row>
    <row r="75" spans="1:33" ht="15.75" customHeight="1" x14ac:dyDescent="0.25">
      <c r="A75" s="56" t="s">
        <v>24</v>
      </c>
      <c r="B75" s="54">
        <v>0</v>
      </c>
      <c r="C75" s="54">
        <v>0</v>
      </c>
      <c r="D75" s="54">
        <v>0</v>
      </c>
      <c r="E75" s="54">
        <v>0</v>
      </c>
      <c r="F75" s="54">
        <v>0</v>
      </c>
      <c r="G75" s="54">
        <v>0</v>
      </c>
      <c r="H75" s="54">
        <v>0</v>
      </c>
      <c r="I75" s="54">
        <v>0</v>
      </c>
      <c r="J75" s="54">
        <v>0</v>
      </c>
      <c r="K75" s="54">
        <v>2</v>
      </c>
      <c r="L75" s="54">
        <v>0</v>
      </c>
      <c r="M75" s="54">
        <v>0</v>
      </c>
      <c r="N75" s="54">
        <v>1</v>
      </c>
      <c r="O75" s="54">
        <v>0</v>
      </c>
      <c r="P75" s="54">
        <v>1</v>
      </c>
      <c r="Q75" s="54">
        <v>0</v>
      </c>
      <c r="R75" s="54">
        <v>0</v>
      </c>
      <c r="S75" s="54">
        <v>0</v>
      </c>
      <c r="T75" s="54">
        <v>0</v>
      </c>
      <c r="U75" s="54">
        <v>0</v>
      </c>
      <c r="V75" s="54">
        <v>0</v>
      </c>
      <c r="W75" s="54">
        <v>0</v>
      </c>
      <c r="X75" s="54">
        <v>0</v>
      </c>
      <c r="Y75" s="54">
        <v>0</v>
      </c>
      <c r="Z75" s="54">
        <v>0</v>
      </c>
      <c r="AA75" s="54">
        <v>0</v>
      </c>
      <c r="AB75" s="54">
        <v>0</v>
      </c>
      <c r="AC75" s="54">
        <v>0</v>
      </c>
      <c r="AD75" s="55">
        <v>0</v>
      </c>
      <c r="AE75" s="55">
        <v>0</v>
      </c>
      <c r="AF75" s="55">
        <v>0</v>
      </c>
      <c r="AG75" s="5">
        <f t="shared" si="5"/>
        <v>4</v>
      </c>
    </row>
    <row r="76" spans="1:33" ht="15.75" customHeight="1" x14ac:dyDescent="0.25">
      <c r="A76" s="56" t="s">
        <v>25</v>
      </c>
      <c r="B76" s="54">
        <v>0</v>
      </c>
      <c r="C76" s="54">
        <v>0</v>
      </c>
      <c r="D76" s="54">
        <v>0</v>
      </c>
      <c r="E76" s="54">
        <v>0</v>
      </c>
      <c r="F76" s="54">
        <v>0</v>
      </c>
      <c r="G76" s="54">
        <v>0</v>
      </c>
      <c r="H76" s="54">
        <v>0</v>
      </c>
      <c r="I76" s="54">
        <v>0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54">
        <v>0</v>
      </c>
      <c r="S76" s="54">
        <v>0</v>
      </c>
      <c r="T76" s="54">
        <v>0</v>
      </c>
      <c r="U76" s="54">
        <v>0</v>
      </c>
      <c r="V76" s="54">
        <v>0</v>
      </c>
      <c r="W76" s="54">
        <v>0</v>
      </c>
      <c r="X76" s="54">
        <v>0</v>
      </c>
      <c r="Y76" s="54">
        <v>0</v>
      </c>
      <c r="Z76" s="54">
        <v>0</v>
      </c>
      <c r="AA76" s="54">
        <v>0</v>
      </c>
      <c r="AB76" s="54">
        <v>0</v>
      </c>
      <c r="AC76" s="54">
        <v>0</v>
      </c>
      <c r="AD76" s="55">
        <v>0</v>
      </c>
      <c r="AE76" s="55">
        <v>0</v>
      </c>
      <c r="AF76" s="55">
        <v>0</v>
      </c>
      <c r="AG76" s="5">
        <f t="shared" si="5"/>
        <v>0</v>
      </c>
    </row>
    <row r="77" spans="1:33" ht="15.75" customHeight="1" thickBot="1" x14ac:dyDescent="0.3">
      <c r="A77" s="61" t="s">
        <v>26</v>
      </c>
      <c r="B77" s="58">
        <v>0</v>
      </c>
      <c r="C77" s="58">
        <v>0</v>
      </c>
      <c r="D77" s="58">
        <v>0</v>
      </c>
      <c r="E77" s="58">
        <v>0</v>
      </c>
      <c r="F77" s="58">
        <v>0</v>
      </c>
      <c r="G77" s="58">
        <v>0</v>
      </c>
      <c r="H77" s="58">
        <v>0</v>
      </c>
      <c r="I77" s="58">
        <v>0</v>
      </c>
      <c r="J77" s="58">
        <v>0</v>
      </c>
      <c r="K77" s="58">
        <v>0</v>
      </c>
      <c r="L77" s="58">
        <v>0</v>
      </c>
      <c r="M77" s="58">
        <v>0</v>
      </c>
      <c r="N77" s="58">
        <v>0</v>
      </c>
      <c r="O77" s="58">
        <v>0</v>
      </c>
      <c r="P77" s="58">
        <v>0</v>
      </c>
      <c r="Q77" s="58">
        <v>0</v>
      </c>
      <c r="R77" s="58">
        <v>0</v>
      </c>
      <c r="S77" s="58">
        <v>0</v>
      </c>
      <c r="T77" s="58">
        <v>0</v>
      </c>
      <c r="U77" s="58">
        <v>0</v>
      </c>
      <c r="V77" s="58">
        <v>0</v>
      </c>
      <c r="W77" s="58">
        <v>0</v>
      </c>
      <c r="X77" s="58">
        <v>0</v>
      </c>
      <c r="Y77" s="58">
        <v>0</v>
      </c>
      <c r="Z77" s="58">
        <v>0</v>
      </c>
      <c r="AA77" s="58">
        <v>0</v>
      </c>
      <c r="AB77" s="58">
        <v>0</v>
      </c>
      <c r="AC77" s="58">
        <v>0</v>
      </c>
      <c r="AD77" s="62">
        <v>0</v>
      </c>
      <c r="AE77" s="62">
        <v>0</v>
      </c>
      <c r="AF77" s="62">
        <v>0</v>
      </c>
      <c r="AG77" s="9">
        <f t="shared" si="5"/>
        <v>0</v>
      </c>
    </row>
    <row r="78" spans="1:33" ht="19.5" customHeight="1" thickBot="1" x14ac:dyDescent="0.3">
      <c r="A78" s="63" t="s">
        <v>29</v>
      </c>
      <c r="B78" s="11">
        <f t="shared" ref="B78:AF78" si="6">SUM(B79:B80)</f>
        <v>228</v>
      </c>
      <c r="C78" s="11">
        <f t="shared" si="6"/>
        <v>172</v>
      </c>
      <c r="D78" s="11">
        <f t="shared" si="6"/>
        <v>157</v>
      </c>
      <c r="E78" s="11">
        <f t="shared" si="6"/>
        <v>139</v>
      </c>
      <c r="F78" s="11">
        <f t="shared" si="6"/>
        <v>151</v>
      </c>
      <c r="G78" s="11">
        <f t="shared" si="6"/>
        <v>149</v>
      </c>
      <c r="H78" s="11">
        <f t="shared" si="6"/>
        <v>207</v>
      </c>
      <c r="I78" s="11">
        <f t="shared" si="6"/>
        <v>198</v>
      </c>
      <c r="J78" s="11">
        <f t="shared" si="6"/>
        <v>163</v>
      </c>
      <c r="K78" s="11">
        <f t="shared" si="6"/>
        <v>133</v>
      </c>
      <c r="L78" s="11">
        <f t="shared" si="6"/>
        <v>123</v>
      </c>
      <c r="M78" s="11">
        <f t="shared" si="6"/>
        <v>138</v>
      </c>
      <c r="N78" s="11">
        <f t="shared" si="6"/>
        <v>141</v>
      </c>
      <c r="O78" s="11">
        <f t="shared" si="6"/>
        <v>222</v>
      </c>
      <c r="P78" s="11">
        <f t="shared" si="6"/>
        <v>197</v>
      </c>
      <c r="Q78" s="11">
        <f t="shared" si="6"/>
        <v>147</v>
      </c>
      <c r="R78" s="11">
        <f t="shared" si="6"/>
        <v>159</v>
      </c>
      <c r="S78" s="11">
        <f t="shared" si="6"/>
        <v>121</v>
      </c>
      <c r="T78" s="11">
        <f t="shared" si="6"/>
        <v>123</v>
      </c>
      <c r="U78" s="11">
        <f t="shared" si="6"/>
        <v>103</v>
      </c>
      <c r="V78" s="11">
        <f t="shared" si="6"/>
        <v>189</v>
      </c>
      <c r="W78" s="11">
        <f t="shared" si="6"/>
        <v>190</v>
      </c>
      <c r="X78" s="11">
        <f t="shared" si="6"/>
        <v>125</v>
      </c>
      <c r="Y78" s="11">
        <f t="shared" si="6"/>
        <v>111</v>
      </c>
      <c r="Z78" s="11">
        <f t="shared" si="6"/>
        <v>159</v>
      </c>
      <c r="AA78" s="11">
        <f t="shared" si="6"/>
        <v>140</v>
      </c>
      <c r="AB78" s="11">
        <f t="shared" si="6"/>
        <v>140</v>
      </c>
      <c r="AC78" s="11">
        <f t="shared" si="6"/>
        <v>182</v>
      </c>
      <c r="AD78" s="11">
        <f t="shared" si="6"/>
        <v>212</v>
      </c>
      <c r="AE78" s="11">
        <f t="shared" si="6"/>
        <v>126</v>
      </c>
      <c r="AF78" s="11">
        <f t="shared" si="6"/>
        <v>88</v>
      </c>
      <c r="AG78" s="10">
        <f t="shared" si="5"/>
        <v>4833</v>
      </c>
    </row>
    <row r="79" spans="1:33" ht="19.5" customHeight="1" x14ac:dyDescent="0.25">
      <c r="A79" s="64" t="s">
        <v>30</v>
      </c>
      <c r="B79" s="3">
        <f t="shared" ref="B79" si="7">SUM(B4:B27)-B80</f>
        <v>228</v>
      </c>
      <c r="C79" s="3">
        <f t="shared" ref="C79" si="8">SUM(C4:C27)-C80</f>
        <v>172</v>
      </c>
      <c r="D79" s="3">
        <f t="shared" ref="D79:AF79" si="9">SUM(D4:D27)-D80</f>
        <v>157</v>
      </c>
      <c r="E79" s="3">
        <f t="shared" si="9"/>
        <v>139</v>
      </c>
      <c r="F79" s="3">
        <f t="shared" si="9"/>
        <v>151</v>
      </c>
      <c r="G79" s="3">
        <f t="shared" si="9"/>
        <v>149</v>
      </c>
      <c r="H79" s="3">
        <f t="shared" si="9"/>
        <v>207</v>
      </c>
      <c r="I79" s="3">
        <f t="shared" si="9"/>
        <v>198</v>
      </c>
      <c r="J79" s="3">
        <f t="shared" si="9"/>
        <v>163</v>
      </c>
      <c r="K79" s="3">
        <f t="shared" si="9"/>
        <v>133</v>
      </c>
      <c r="L79" s="3">
        <f t="shared" si="9"/>
        <v>123</v>
      </c>
      <c r="M79" s="3">
        <f t="shared" si="9"/>
        <v>138</v>
      </c>
      <c r="N79" s="3">
        <f t="shared" si="9"/>
        <v>141</v>
      </c>
      <c r="O79" s="3">
        <f t="shared" si="9"/>
        <v>222</v>
      </c>
      <c r="P79" s="3">
        <f t="shared" si="9"/>
        <v>197</v>
      </c>
      <c r="Q79" s="3">
        <f t="shared" si="9"/>
        <v>147</v>
      </c>
      <c r="R79" s="3">
        <f t="shared" si="9"/>
        <v>159</v>
      </c>
      <c r="S79" s="3">
        <f t="shared" si="9"/>
        <v>121</v>
      </c>
      <c r="T79" s="3">
        <f t="shared" si="9"/>
        <v>123</v>
      </c>
      <c r="U79" s="3">
        <f t="shared" si="9"/>
        <v>103</v>
      </c>
      <c r="V79" s="3">
        <f t="shared" si="9"/>
        <v>189</v>
      </c>
      <c r="W79" s="3">
        <f t="shared" si="9"/>
        <v>190</v>
      </c>
      <c r="X79" s="3">
        <f t="shared" si="9"/>
        <v>125</v>
      </c>
      <c r="Y79" s="3">
        <f t="shared" si="9"/>
        <v>111</v>
      </c>
      <c r="Z79" s="3">
        <f t="shared" si="9"/>
        <v>159</v>
      </c>
      <c r="AA79" s="3">
        <f t="shared" si="9"/>
        <v>140</v>
      </c>
      <c r="AB79" s="3">
        <f t="shared" si="9"/>
        <v>140</v>
      </c>
      <c r="AC79" s="3">
        <f t="shared" si="9"/>
        <v>182</v>
      </c>
      <c r="AD79" s="3">
        <f t="shared" si="9"/>
        <v>212</v>
      </c>
      <c r="AE79" s="3">
        <f t="shared" si="9"/>
        <v>126</v>
      </c>
      <c r="AF79" s="3">
        <f t="shared" si="9"/>
        <v>88</v>
      </c>
      <c r="AG79" s="4">
        <f t="shared" si="5"/>
        <v>4833</v>
      </c>
    </row>
    <row r="80" spans="1:33" ht="19.5" customHeight="1" thickBot="1" x14ac:dyDescent="0.3">
      <c r="A80" s="65" t="s">
        <v>31</v>
      </c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9">
        <f t="shared" si="5"/>
        <v>0</v>
      </c>
    </row>
    <row r="81" spans="1:34" ht="15.75" customHeight="1" thickBot="1" x14ac:dyDescent="0.3">
      <c r="A81" s="63" t="s">
        <v>32</v>
      </c>
      <c r="B81" s="12">
        <f t="shared" ref="B81:AF81" si="10">SUM(B82:B83)</f>
        <v>34</v>
      </c>
      <c r="C81" s="12">
        <f t="shared" si="10"/>
        <v>47</v>
      </c>
      <c r="D81" s="12">
        <f t="shared" si="10"/>
        <v>8</v>
      </c>
      <c r="E81" s="12">
        <f t="shared" si="10"/>
        <v>10</v>
      </c>
      <c r="F81" s="12">
        <f t="shared" si="10"/>
        <v>59</v>
      </c>
      <c r="G81" s="12">
        <f t="shared" si="10"/>
        <v>17</v>
      </c>
      <c r="H81" s="12">
        <f t="shared" si="10"/>
        <v>17</v>
      </c>
      <c r="I81" s="12">
        <f t="shared" si="10"/>
        <v>44</v>
      </c>
      <c r="J81" s="12">
        <f t="shared" si="10"/>
        <v>36</v>
      </c>
      <c r="K81" s="12">
        <f t="shared" si="10"/>
        <v>12</v>
      </c>
      <c r="L81" s="12">
        <f t="shared" si="10"/>
        <v>7</v>
      </c>
      <c r="M81" s="12">
        <f t="shared" si="10"/>
        <v>36</v>
      </c>
      <c r="N81" s="12">
        <f t="shared" si="10"/>
        <v>20</v>
      </c>
      <c r="O81" s="12">
        <f t="shared" si="10"/>
        <v>20</v>
      </c>
      <c r="P81" s="12">
        <f t="shared" si="10"/>
        <v>20</v>
      </c>
      <c r="Q81" s="12">
        <f t="shared" si="10"/>
        <v>25</v>
      </c>
      <c r="R81" s="12">
        <f t="shared" si="10"/>
        <v>14</v>
      </c>
      <c r="S81" s="12">
        <f t="shared" si="10"/>
        <v>7</v>
      </c>
      <c r="T81" s="12">
        <f t="shared" si="10"/>
        <v>12</v>
      </c>
      <c r="U81" s="12">
        <f t="shared" si="10"/>
        <v>5</v>
      </c>
      <c r="V81" s="12">
        <f t="shared" si="10"/>
        <v>9</v>
      </c>
      <c r="W81" s="12">
        <f t="shared" si="10"/>
        <v>26</v>
      </c>
      <c r="X81" s="12">
        <f t="shared" si="10"/>
        <v>10</v>
      </c>
      <c r="Y81" s="12">
        <f t="shared" si="10"/>
        <v>7</v>
      </c>
      <c r="Z81" s="12">
        <f t="shared" si="10"/>
        <v>2</v>
      </c>
      <c r="AA81" s="12">
        <f t="shared" si="10"/>
        <v>20</v>
      </c>
      <c r="AB81" s="12">
        <f t="shared" si="10"/>
        <v>11</v>
      </c>
      <c r="AC81" s="12">
        <f t="shared" si="10"/>
        <v>6</v>
      </c>
      <c r="AD81" s="12">
        <f t="shared" si="10"/>
        <v>7</v>
      </c>
      <c r="AE81" s="12">
        <f t="shared" si="10"/>
        <v>22</v>
      </c>
      <c r="AF81" s="12">
        <f t="shared" si="10"/>
        <v>2</v>
      </c>
      <c r="AG81" s="10">
        <f t="shared" si="5"/>
        <v>572</v>
      </c>
      <c r="AH81" s="47" t="str">
        <f>IF(AG81&lt;&gt;AG53,"*","")</f>
        <v/>
      </c>
    </row>
    <row r="82" spans="1:34" ht="15.75" customHeight="1" x14ac:dyDescent="0.25">
      <c r="A82" s="64" t="s">
        <v>31</v>
      </c>
      <c r="B82" s="3">
        <f t="shared" ref="B82:AF82" si="11">SUM(B54:B62)</f>
        <v>8</v>
      </c>
      <c r="C82" s="3">
        <f t="shared" si="11"/>
        <v>0</v>
      </c>
      <c r="D82" s="3">
        <f t="shared" si="11"/>
        <v>0</v>
      </c>
      <c r="E82" s="3">
        <f t="shared" si="11"/>
        <v>0</v>
      </c>
      <c r="F82" s="3">
        <f t="shared" si="11"/>
        <v>0</v>
      </c>
      <c r="G82" s="3">
        <f t="shared" si="11"/>
        <v>2</v>
      </c>
      <c r="H82" s="3">
        <f t="shared" si="11"/>
        <v>4</v>
      </c>
      <c r="I82" s="3">
        <f t="shared" si="11"/>
        <v>12</v>
      </c>
      <c r="J82" s="3">
        <f t="shared" si="11"/>
        <v>0</v>
      </c>
      <c r="K82" s="3">
        <f t="shared" si="11"/>
        <v>0</v>
      </c>
      <c r="L82" s="3">
        <f t="shared" si="11"/>
        <v>0</v>
      </c>
      <c r="M82" s="3">
        <f t="shared" si="11"/>
        <v>0</v>
      </c>
      <c r="N82" s="3">
        <f t="shared" si="11"/>
        <v>1</v>
      </c>
      <c r="O82" s="3">
        <f t="shared" si="11"/>
        <v>1</v>
      </c>
      <c r="P82" s="3">
        <f t="shared" si="11"/>
        <v>10</v>
      </c>
      <c r="Q82" s="3">
        <f t="shared" si="11"/>
        <v>0</v>
      </c>
      <c r="R82" s="3">
        <f t="shared" si="11"/>
        <v>0</v>
      </c>
      <c r="S82" s="3">
        <f t="shared" si="11"/>
        <v>0</v>
      </c>
      <c r="T82" s="3">
        <f t="shared" si="11"/>
        <v>0</v>
      </c>
      <c r="U82" s="3">
        <f t="shared" si="11"/>
        <v>0</v>
      </c>
      <c r="V82" s="3">
        <f t="shared" si="11"/>
        <v>3</v>
      </c>
      <c r="W82" s="3">
        <f t="shared" si="11"/>
        <v>8</v>
      </c>
      <c r="X82" s="3">
        <f t="shared" si="11"/>
        <v>0</v>
      </c>
      <c r="Y82" s="3">
        <f t="shared" si="11"/>
        <v>2</v>
      </c>
      <c r="Z82" s="3">
        <f t="shared" si="11"/>
        <v>2</v>
      </c>
      <c r="AA82" s="3">
        <f t="shared" si="11"/>
        <v>0</v>
      </c>
      <c r="AB82" s="3">
        <f t="shared" si="11"/>
        <v>0</v>
      </c>
      <c r="AC82" s="3">
        <f t="shared" si="11"/>
        <v>4</v>
      </c>
      <c r="AD82" s="3">
        <f t="shared" si="11"/>
        <v>1</v>
      </c>
      <c r="AE82" s="3">
        <f t="shared" si="11"/>
        <v>0</v>
      </c>
      <c r="AF82" s="3">
        <f t="shared" si="11"/>
        <v>0</v>
      </c>
      <c r="AG82" s="4">
        <f t="shared" si="5"/>
        <v>58</v>
      </c>
    </row>
    <row r="83" spans="1:34" ht="15.75" customHeight="1" thickBot="1" x14ac:dyDescent="0.3">
      <c r="A83" s="65" t="s">
        <v>30</v>
      </c>
      <c r="B83" s="8">
        <f t="shared" ref="B83:AF83" si="12">SUM(B54:B77)-B82</f>
        <v>26</v>
      </c>
      <c r="C83" s="8">
        <f t="shared" si="12"/>
        <v>47</v>
      </c>
      <c r="D83" s="8">
        <f t="shared" si="12"/>
        <v>8</v>
      </c>
      <c r="E83" s="8">
        <f t="shared" si="12"/>
        <v>10</v>
      </c>
      <c r="F83" s="8">
        <f t="shared" si="12"/>
        <v>59</v>
      </c>
      <c r="G83" s="8">
        <f t="shared" si="12"/>
        <v>15</v>
      </c>
      <c r="H83" s="8">
        <f t="shared" si="12"/>
        <v>13</v>
      </c>
      <c r="I83" s="8">
        <f t="shared" si="12"/>
        <v>32</v>
      </c>
      <c r="J83" s="8">
        <f t="shared" si="12"/>
        <v>36</v>
      </c>
      <c r="K83" s="8">
        <f t="shared" si="12"/>
        <v>12</v>
      </c>
      <c r="L83" s="8">
        <f t="shared" si="12"/>
        <v>7</v>
      </c>
      <c r="M83" s="8">
        <f t="shared" si="12"/>
        <v>36</v>
      </c>
      <c r="N83" s="8">
        <f t="shared" si="12"/>
        <v>19</v>
      </c>
      <c r="O83" s="8">
        <f t="shared" si="12"/>
        <v>19</v>
      </c>
      <c r="P83" s="8">
        <f t="shared" si="12"/>
        <v>10</v>
      </c>
      <c r="Q83" s="8">
        <f t="shared" si="12"/>
        <v>25</v>
      </c>
      <c r="R83" s="8">
        <f t="shared" si="12"/>
        <v>14</v>
      </c>
      <c r="S83" s="8">
        <f t="shared" si="12"/>
        <v>7</v>
      </c>
      <c r="T83" s="8">
        <f t="shared" si="12"/>
        <v>12</v>
      </c>
      <c r="U83" s="8">
        <f t="shared" si="12"/>
        <v>5</v>
      </c>
      <c r="V83" s="8">
        <f t="shared" si="12"/>
        <v>6</v>
      </c>
      <c r="W83" s="8">
        <f t="shared" si="12"/>
        <v>18</v>
      </c>
      <c r="X83" s="8">
        <f t="shared" si="12"/>
        <v>10</v>
      </c>
      <c r="Y83" s="8">
        <f t="shared" si="12"/>
        <v>5</v>
      </c>
      <c r="Z83" s="8">
        <f t="shared" si="12"/>
        <v>0</v>
      </c>
      <c r="AA83" s="8">
        <f t="shared" si="12"/>
        <v>20</v>
      </c>
      <c r="AB83" s="8">
        <f t="shared" si="12"/>
        <v>11</v>
      </c>
      <c r="AC83" s="8">
        <f t="shared" si="12"/>
        <v>2</v>
      </c>
      <c r="AD83" s="8">
        <f t="shared" si="12"/>
        <v>6</v>
      </c>
      <c r="AE83" s="8">
        <f t="shared" si="12"/>
        <v>22</v>
      </c>
      <c r="AF83" s="8">
        <f t="shared" si="12"/>
        <v>2</v>
      </c>
      <c r="AG83" s="5">
        <f t="shared" si="5"/>
        <v>514</v>
      </c>
    </row>
    <row r="84" spans="1:34" ht="15.75" customHeight="1" thickBot="1" x14ac:dyDescent="0.3">
      <c r="A84" s="67" t="s">
        <v>33</v>
      </c>
      <c r="B84" s="14">
        <f t="shared" ref="B84:AF84" si="13">SUM(B85:B86)</f>
        <v>34</v>
      </c>
      <c r="C84" s="14">
        <f t="shared" si="13"/>
        <v>47</v>
      </c>
      <c r="D84" s="14">
        <f t="shared" si="13"/>
        <v>8</v>
      </c>
      <c r="E84" s="14">
        <f t="shared" si="13"/>
        <v>10</v>
      </c>
      <c r="F84" s="14">
        <f t="shared" si="13"/>
        <v>59</v>
      </c>
      <c r="G84" s="14">
        <f t="shared" si="13"/>
        <v>17</v>
      </c>
      <c r="H84" s="14">
        <f t="shared" si="13"/>
        <v>17</v>
      </c>
      <c r="I84" s="14">
        <f t="shared" si="13"/>
        <v>44</v>
      </c>
      <c r="J84" s="14">
        <f t="shared" si="13"/>
        <v>36</v>
      </c>
      <c r="K84" s="14">
        <f t="shared" si="13"/>
        <v>12</v>
      </c>
      <c r="L84" s="14">
        <f t="shared" si="13"/>
        <v>7</v>
      </c>
      <c r="M84" s="14">
        <f t="shared" si="13"/>
        <v>36</v>
      </c>
      <c r="N84" s="14">
        <f t="shared" si="13"/>
        <v>20</v>
      </c>
      <c r="O84" s="14">
        <f t="shared" si="13"/>
        <v>20</v>
      </c>
      <c r="P84" s="14">
        <f t="shared" si="13"/>
        <v>20</v>
      </c>
      <c r="Q84" s="14">
        <f t="shared" si="13"/>
        <v>25</v>
      </c>
      <c r="R84" s="14">
        <f t="shared" si="13"/>
        <v>14</v>
      </c>
      <c r="S84" s="14">
        <f t="shared" si="13"/>
        <v>7</v>
      </c>
      <c r="T84" s="14">
        <f t="shared" si="13"/>
        <v>12</v>
      </c>
      <c r="U84" s="14">
        <f t="shared" si="13"/>
        <v>5</v>
      </c>
      <c r="V84" s="14">
        <f t="shared" si="13"/>
        <v>9</v>
      </c>
      <c r="W84" s="14">
        <f t="shared" si="13"/>
        <v>26</v>
      </c>
      <c r="X84" s="14">
        <f t="shared" si="13"/>
        <v>10</v>
      </c>
      <c r="Y84" s="14">
        <f t="shared" si="13"/>
        <v>7</v>
      </c>
      <c r="Z84" s="14">
        <f t="shared" si="13"/>
        <v>2</v>
      </c>
      <c r="AA84" s="14">
        <f t="shared" si="13"/>
        <v>20</v>
      </c>
      <c r="AB84" s="14">
        <f t="shared" si="13"/>
        <v>11</v>
      </c>
      <c r="AC84" s="14">
        <f t="shared" si="13"/>
        <v>6</v>
      </c>
      <c r="AD84" s="14">
        <f t="shared" si="13"/>
        <v>7</v>
      </c>
      <c r="AE84" s="14">
        <f t="shared" si="13"/>
        <v>22</v>
      </c>
      <c r="AF84" s="14">
        <f t="shared" si="13"/>
        <v>2</v>
      </c>
      <c r="AG84" s="15">
        <f t="shared" si="5"/>
        <v>572</v>
      </c>
      <c r="AH84" s="47" t="str">
        <f>IF(AG84&lt;&gt;AG82+AG83,"*","")</f>
        <v/>
      </c>
    </row>
    <row r="85" spans="1:34" ht="15.75" customHeight="1" x14ac:dyDescent="0.25">
      <c r="A85" s="68" t="s">
        <v>34</v>
      </c>
      <c r="B85" s="69">
        <v>8</v>
      </c>
      <c r="C85" s="69">
        <v>19</v>
      </c>
      <c r="D85" s="69">
        <v>1</v>
      </c>
      <c r="E85" s="69">
        <v>3</v>
      </c>
      <c r="F85" s="69">
        <v>12</v>
      </c>
      <c r="G85" s="69">
        <v>2</v>
      </c>
      <c r="H85" s="69">
        <v>4</v>
      </c>
      <c r="I85" s="69">
        <v>6</v>
      </c>
      <c r="J85" s="69">
        <v>11</v>
      </c>
      <c r="K85" s="69">
        <v>5</v>
      </c>
      <c r="L85" s="69">
        <v>1</v>
      </c>
      <c r="M85" s="69">
        <v>10</v>
      </c>
      <c r="N85" s="69">
        <v>0</v>
      </c>
      <c r="O85" s="69">
        <v>4</v>
      </c>
      <c r="P85" s="69">
        <v>3</v>
      </c>
      <c r="Q85" s="69">
        <v>4</v>
      </c>
      <c r="R85" s="69">
        <v>6</v>
      </c>
      <c r="S85" s="69">
        <v>1</v>
      </c>
      <c r="T85" s="69">
        <v>5</v>
      </c>
      <c r="U85" s="69">
        <v>1</v>
      </c>
      <c r="V85" s="69">
        <v>2</v>
      </c>
      <c r="W85" s="69">
        <v>4</v>
      </c>
      <c r="X85" s="69">
        <v>1</v>
      </c>
      <c r="Y85" s="69">
        <v>2</v>
      </c>
      <c r="Z85" s="69">
        <v>2</v>
      </c>
      <c r="AA85" s="69">
        <v>4</v>
      </c>
      <c r="AB85" s="69">
        <v>0</v>
      </c>
      <c r="AC85" s="69">
        <v>1</v>
      </c>
      <c r="AD85" s="69">
        <v>3</v>
      </c>
      <c r="AE85" s="69">
        <v>4</v>
      </c>
      <c r="AF85" s="69">
        <v>1</v>
      </c>
      <c r="AG85" s="16">
        <f t="shared" si="5"/>
        <v>130</v>
      </c>
    </row>
    <row r="86" spans="1:34" ht="15.75" customHeight="1" thickBot="1" x14ac:dyDescent="0.3">
      <c r="A86" s="70" t="s">
        <v>35</v>
      </c>
      <c r="B86" s="71">
        <v>26</v>
      </c>
      <c r="C86" s="71">
        <v>28</v>
      </c>
      <c r="D86" s="71">
        <v>7</v>
      </c>
      <c r="E86" s="71">
        <v>7</v>
      </c>
      <c r="F86" s="71">
        <v>47</v>
      </c>
      <c r="G86" s="71">
        <v>15</v>
      </c>
      <c r="H86" s="71">
        <v>13</v>
      </c>
      <c r="I86" s="71">
        <v>38</v>
      </c>
      <c r="J86" s="71">
        <v>25</v>
      </c>
      <c r="K86" s="71">
        <v>7</v>
      </c>
      <c r="L86" s="71">
        <v>6</v>
      </c>
      <c r="M86" s="71">
        <v>26</v>
      </c>
      <c r="N86" s="71">
        <v>20</v>
      </c>
      <c r="O86" s="71">
        <v>16</v>
      </c>
      <c r="P86" s="71">
        <v>17</v>
      </c>
      <c r="Q86" s="71">
        <v>21</v>
      </c>
      <c r="R86" s="71">
        <v>8</v>
      </c>
      <c r="S86" s="71">
        <v>6</v>
      </c>
      <c r="T86" s="71">
        <v>7</v>
      </c>
      <c r="U86" s="71">
        <v>4</v>
      </c>
      <c r="V86" s="71">
        <v>7</v>
      </c>
      <c r="W86" s="71">
        <v>22</v>
      </c>
      <c r="X86" s="71">
        <v>9</v>
      </c>
      <c r="Y86" s="71">
        <v>5</v>
      </c>
      <c r="Z86" s="71">
        <v>0</v>
      </c>
      <c r="AA86" s="71">
        <v>16</v>
      </c>
      <c r="AB86" s="71">
        <v>11</v>
      </c>
      <c r="AC86" s="71">
        <v>5</v>
      </c>
      <c r="AD86" s="71">
        <v>4</v>
      </c>
      <c r="AE86" s="71">
        <v>18</v>
      </c>
      <c r="AF86" s="71">
        <v>1</v>
      </c>
      <c r="AG86" s="17">
        <f t="shared" si="5"/>
        <v>442</v>
      </c>
    </row>
    <row r="87" spans="1:34" ht="15.75" customHeight="1" thickBot="1" x14ac:dyDescent="0.3">
      <c r="A87" s="72" t="s">
        <v>36</v>
      </c>
      <c r="B87" s="18">
        <f t="shared" ref="B87:AF87" si="14">SUM(B88:B92)</f>
        <v>34</v>
      </c>
      <c r="C87" s="18">
        <f t="shared" si="14"/>
        <v>47</v>
      </c>
      <c r="D87" s="18">
        <f t="shared" si="14"/>
        <v>8</v>
      </c>
      <c r="E87" s="18">
        <f t="shared" si="14"/>
        <v>10</v>
      </c>
      <c r="F87" s="18">
        <f t="shared" si="14"/>
        <v>59</v>
      </c>
      <c r="G87" s="18">
        <f t="shared" si="14"/>
        <v>17</v>
      </c>
      <c r="H87" s="18">
        <f t="shared" si="14"/>
        <v>17</v>
      </c>
      <c r="I87" s="18">
        <f t="shared" si="14"/>
        <v>44</v>
      </c>
      <c r="J87" s="18">
        <f t="shared" si="14"/>
        <v>36</v>
      </c>
      <c r="K87" s="18">
        <f t="shared" si="14"/>
        <v>12</v>
      </c>
      <c r="L87" s="18">
        <f t="shared" si="14"/>
        <v>7</v>
      </c>
      <c r="M87" s="18">
        <f t="shared" si="14"/>
        <v>36</v>
      </c>
      <c r="N87" s="18">
        <f t="shared" si="14"/>
        <v>20</v>
      </c>
      <c r="O87" s="18">
        <f t="shared" si="14"/>
        <v>20</v>
      </c>
      <c r="P87" s="18">
        <f t="shared" si="14"/>
        <v>20</v>
      </c>
      <c r="Q87" s="18">
        <f t="shared" si="14"/>
        <v>25</v>
      </c>
      <c r="R87" s="18">
        <f t="shared" si="14"/>
        <v>14</v>
      </c>
      <c r="S87" s="18">
        <f t="shared" si="14"/>
        <v>7</v>
      </c>
      <c r="T87" s="18">
        <f t="shared" si="14"/>
        <v>12</v>
      </c>
      <c r="U87" s="18">
        <f t="shared" si="14"/>
        <v>5</v>
      </c>
      <c r="V87" s="18">
        <f t="shared" si="14"/>
        <v>9</v>
      </c>
      <c r="W87" s="18">
        <f t="shared" si="14"/>
        <v>26</v>
      </c>
      <c r="X87" s="18">
        <f t="shared" si="14"/>
        <v>10</v>
      </c>
      <c r="Y87" s="18">
        <f t="shared" si="14"/>
        <v>7</v>
      </c>
      <c r="Z87" s="18">
        <f t="shared" si="14"/>
        <v>2</v>
      </c>
      <c r="AA87" s="18">
        <f t="shared" si="14"/>
        <v>20</v>
      </c>
      <c r="AB87" s="18">
        <f t="shared" si="14"/>
        <v>11</v>
      </c>
      <c r="AC87" s="18">
        <f t="shared" si="14"/>
        <v>6</v>
      </c>
      <c r="AD87" s="18">
        <f t="shared" si="14"/>
        <v>7</v>
      </c>
      <c r="AE87" s="18">
        <f t="shared" si="14"/>
        <v>22</v>
      </c>
      <c r="AF87" s="18">
        <f t="shared" si="14"/>
        <v>2</v>
      </c>
      <c r="AG87" s="19">
        <f t="shared" si="5"/>
        <v>572</v>
      </c>
      <c r="AH87" s="47" t="str">
        <f>IF(AG87&lt;&gt;AG84,"*","")</f>
        <v/>
      </c>
    </row>
    <row r="88" spans="1:34" ht="15.75" customHeight="1" x14ac:dyDescent="0.25">
      <c r="A88" s="73" t="s">
        <v>37</v>
      </c>
      <c r="B88" s="60">
        <v>7</v>
      </c>
      <c r="C88" s="60">
        <v>7</v>
      </c>
      <c r="D88" s="60">
        <v>2</v>
      </c>
      <c r="E88" s="60">
        <v>0</v>
      </c>
      <c r="F88" s="60">
        <v>12</v>
      </c>
      <c r="G88" s="60">
        <v>11</v>
      </c>
      <c r="H88" s="60">
        <v>4</v>
      </c>
      <c r="I88" s="60">
        <v>12</v>
      </c>
      <c r="J88" s="60">
        <v>3</v>
      </c>
      <c r="K88" s="60">
        <v>3</v>
      </c>
      <c r="L88" s="60">
        <v>0</v>
      </c>
      <c r="M88" s="60">
        <v>6</v>
      </c>
      <c r="N88" s="60">
        <v>5</v>
      </c>
      <c r="O88" s="60">
        <v>2</v>
      </c>
      <c r="P88" s="60">
        <v>7</v>
      </c>
      <c r="Q88" s="60">
        <v>3</v>
      </c>
      <c r="R88" s="60">
        <v>7</v>
      </c>
      <c r="S88" s="60">
        <v>3</v>
      </c>
      <c r="T88" s="60">
        <v>1</v>
      </c>
      <c r="U88" s="60">
        <v>2</v>
      </c>
      <c r="V88" s="60">
        <v>5</v>
      </c>
      <c r="W88" s="60">
        <v>2</v>
      </c>
      <c r="X88" s="60">
        <v>5</v>
      </c>
      <c r="Y88" s="60">
        <v>4</v>
      </c>
      <c r="Z88" s="60">
        <v>2</v>
      </c>
      <c r="AA88" s="60">
        <v>3</v>
      </c>
      <c r="AB88" s="60">
        <v>2</v>
      </c>
      <c r="AC88" s="60">
        <v>1</v>
      </c>
      <c r="AD88" s="60">
        <v>3</v>
      </c>
      <c r="AE88" s="60">
        <v>8</v>
      </c>
      <c r="AF88" s="60">
        <v>2</v>
      </c>
      <c r="AG88" s="4">
        <f t="shared" si="5"/>
        <v>134</v>
      </c>
    </row>
    <row r="89" spans="1:34" ht="15.75" customHeight="1" x14ac:dyDescent="0.25">
      <c r="A89" s="74" t="s">
        <v>38</v>
      </c>
      <c r="B89" s="60">
        <v>0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60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  <c r="R89" s="60">
        <v>0</v>
      </c>
      <c r="S89" s="60">
        <v>0</v>
      </c>
      <c r="T89" s="60">
        <v>0</v>
      </c>
      <c r="U89" s="60">
        <v>0</v>
      </c>
      <c r="V89" s="60">
        <v>0</v>
      </c>
      <c r="W89" s="60">
        <v>0</v>
      </c>
      <c r="X89" s="60">
        <v>0</v>
      </c>
      <c r="Y89" s="60">
        <v>0</v>
      </c>
      <c r="Z89" s="60">
        <v>0</v>
      </c>
      <c r="AA89" s="60">
        <v>0</v>
      </c>
      <c r="AB89" s="60">
        <v>0</v>
      </c>
      <c r="AC89" s="60">
        <v>0</v>
      </c>
      <c r="AD89" s="60">
        <v>0</v>
      </c>
      <c r="AE89" s="60">
        <v>0</v>
      </c>
      <c r="AF89" s="60">
        <v>0</v>
      </c>
      <c r="AG89" s="5">
        <f t="shared" si="5"/>
        <v>0</v>
      </c>
    </row>
    <row r="90" spans="1:34" ht="15.75" customHeight="1" x14ac:dyDescent="0.25">
      <c r="A90" s="74" t="s">
        <v>39</v>
      </c>
      <c r="B90" s="60">
        <v>1</v>
      </c>
      <c r="C90" s="60">
        <v>1</v>
      </c>
      <c r="D90" s="60">
        <v>0</v>
      </c>
      <c r="E90" s="60">
        <v>0</v>
      </c>
      <c r="F90" s="60">
        <v>0</v>
      </c>
      <c r="G90" s="60">
        <v>0</v>
      </c>
      <c r="H90" s="60">
        <v>0</v>
      </c>
      <c r="I90" s="60">
        <v>4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1</v>
      </c>
      <c r="P90" s="60">
        <v>1</v>
      </c>
      <c r="Q90" s="60">
        <v>1</v>
      </c>
      <c r="R90" s="60">
        <v>0</v>
      </c>
      <c r="S90" s="60">
        <v>0</v>
      </c>
      <c r="T90" s="60">
        <v>1</v>
      </c>
      <c r="U90" s="60">
        <v>0</v>
      </c>
      <c r="V90" s="60">
        <v>0</v>
      </c>
      <c r="W90" s="60">
        <v>3</v>
      </c>
      <c r="X90" s="60">
        <v>0</v>
      </c>
      <c r="Y90" s="60">
        <v>0</v>
      </c>
      <c r="Z90" s="60">
        <v>0</v>
      </c>
      <c r="AA90" s="60">
        <v>2</v>
      </c>
      <c r="AB90" s="60">
        <v>0</v>
      </c>
      <c r="AC90" s="60">
        <v>0</v>
      </c>
      <c r="AD90" s="60">
        <v>1</v>
      </c>
      <c r="AE90" s="60">
        <v>0</v>
      </c>
      <c r="AF90" s="60">
        <v>0</v>
      </c>
      <c r="AG90" s="5">
        <f t="shared" si="5"/>
        <v>16</v>
      </c>
    </row>
    <row r="91" spans="1:34" ht="15.75" customHeight="1" x14ac:dyDescent="0.25">
      <c r="A91" s="74" t="s">
        <v>40</v>
      </c>
      <c r="B91" s="60">
        <v>18</v>
      </c>
      <c r="C91" s="60">
        <v>23</v>
      </c>
      <c r="D91" s="60">
        <v>5</v>
      </c>
      <c r="E91" s="60">
        <v>9</v>
      </c>
      <c r="F91" s="60">
        <v>38</v>
      </c>
      <c r="G91" s="60">
        <v>6</v>
      </c>
      <c r="H91" s="60">
        <v>9</v>
      </c>
      <c r="I91" s="60">
        <v>21</v>
      </c>
      <c r="J91" s="60">
        <v>31</v>
      </c>
      <c r="K91" s="60">
        <v>6</v>
      </c>
      <c r="L91" s="60">
        <v>6</v>
      </c>
      <c r="M91" s="60">
        <v>30</v>
      </c>
      <c r="N91" s="60">
        <v>12</v>
      </c>
      <c r="O91" s="60">
        <v>13</v>
      </c>
      <c r="P91" s="60">
        <v>7</v>
      </c>
      <c r="Q91" s="60">
        <v>18</v>
      </c>
      <c r="R91" s="60">
        <v>6</v>
      </c>
      <c r="S91" s="60">
        <v>2</v>
      </c>
      <c r="T91" s="60">
        <v>8</v>
      </c>
      <c r="U91" s="60">
        <v>0</v>
      </c>
      <c r="V91" s="60">
        <v>3</v>
      </c>
      <c r="W91" s="60">
        <v>16</v>
      </c>
      <c r="X91" s="60">
        <v>5</v>
      </c>
      <c r="Y91" s="60">
        <v>3</v>
      </c>
      <c r="Z91" s="60">
        <v>0</v>
      </c>
      <c r="AA91" s="60">
        <v>5</v>
      </c>
      <c r="AB91" s="60">
        <v>4</v>
      </c>
      <c r="AC91" s="60">
        <v>3</v>
      </c>
      <c r="AD91" s="60">
        <v>1</v>
      </c>
      <c r="AE91" s="60">
        <v>12</v>
      </c>
      <c r="AF91" s="60">
        <v>0</v>
      </c>
      <c r="AG91" s="5">
        <f t="shared" si="5"/>
        <v>320</v>
      </c>
    </row>
    <row r="92" spans="1:34" ht="15.75" customHeight="1" thickBot="1" x14ac:dyDescent="0.3">
      <c r="A92" s="74" t="s">
        <v>41</v>
      </c>
      <c r="B92" s="60">
        <v>8</v>
      </c>
      <c r="C92" s="60">
        <v>16</v>
      </c>
      <c r="D92" s="60">
        <v>1</v>
      </c>
      <c r="E92" s="60">
        <v>1</v>
      </c>
      <c r="F92" s="60">
        <v>9</v>
      </c>
      <c r="G92" s="60">
        <v>0</v>
      </c>
      <c r="H92" s="60">
        <v>4</v>
      </c>
      <c r="I92" s="60">
        <v>7</v>
      </c>
      <c r="J92" s="60">
        <v>2</v>
      </c>
      <c r="K92" s="60">
        <v>3</v>
      </c>
      <c r="L92" s="60">
        <v>1</v>
      </c>
      <c r="M92" s="60">
        <v>0</v>
      </c>
      <c r="N92" s="60">
        <v>3</v>
      </c>
      <c r="O92" s="60">
        <v>4</v>
      </c>
      <c r="P92" s="60">
        <v>5</v>
      </c>
      <c r="Q92" s="60">
        <v>3</v>
      </c>
      <c r="R92" s="60">
        <v>1</v>
      </c>
      <c r="S92" s="60">
        <v>2</v>
      </c>
      <c r="T92" s="60">
        <v>2</v>
      </c>
      <c r="U92" s="60">
        <v>3</v>
      </c>
      <c r="V92" s="60">
        <v>1</v>
      </c>
      <c r="W92" s="60">
        <v>5</v>
      </c>
      <c r="X92" s="60">
        <v>0</v>
      </c>
      <c r="Y92" s="60">
        <v>0</v>
      </c>
      <c r="Z92" s="60">
        <v>0</v>
      </c>
      <c r="AA92" s="60">
        <v>10</v>
      </c>
      <c r="AB92" s="60">
        <v>5</v>
      </c>
      <c r="AC92" s="60">
        <v>2</v>
      </c>
      <c r="AD92" s="60">
        <v>2</v>
      </c>
      <c r="AE92" s="60">
        <v>2</v>
      </c>
      <c r="AF92" s="60">
        <v>0</v>
      </c>
      <c r="AG92" s="5">
        <f t="shared" si="5"/>
        <v>102</v>
      </c>
    </row>
    <row r="93" spans="1:34" ht="15.75" customHeight="1" x14ac:dyDescent="0.25">
      <c r="A93" s="75" t="s">
        <v>42</v>
      </c>
      <c r="B93" s="20">
        <f t="shared" ref="B93:AF93" si="15">+B94+B100</f>
        <v>194</v>
      </c>
      <c r="C93" s="20">
        <f t="shared" si="15"/>
        <v>125</v>
      </c>
      <c r="D93" s="20">
        <f t="shared" si="15"/>
        <v>149</v>
      </c>
      <c r="E93" s="20">
        <f t="shared" si="15"/>
        <v>129</v>
      </c>
      <c r="F93" s="20">
        <f t="shared" si="15"/>
        <v>92</v>
      </c>
      <c r="G93" s="20">
        <f t="shared" si="15"/>
        <v>132</v>
      </c>
      <c r="H93" s="20">
        <f t="shared" si="15"/>
        <v>190</v>
      </c>
      <c r="I93" s="20">
        <f t="shared" si="15"/>
        <v>154</v>
      </c>
      <c r="J93" s="20">
        <f t="shared" si="15"/>
        <v>127</v>
      </c>
      <c r="K93" s="20">
        <f t="shared" si="15"/>
        <v>121</v>
      </c>
      <c r="L93" s="20">
        <f t="shared" si="15"/>
        <v>116</v>
      </c>
      <c r="M93" s="20">
        <f t="shared" si="15"/>
        <v>102</v>
      </c>
      <c r="N93" s="20">
        <f t="shared" si="15"/>
        <v>121</v>
      </c>
      <c r="O93" s="20">
        <f t="shared" si="15"/>
        <v>202</v>
      </c>
      <c r="P93" s="20">
        <f t="shared" si="15"/>
        <v>177</v>
      </c>
      <c r="Q93" s="20">
        <f t="shared" si="15"/>
        <v>122</v>
      </c>
      <c r="R93" s="20">
        <f t="shared" si="15"/>
        <v>145</v>
      </c>
      <c r="S93" s="20">
        <f t="shared" si="15"/>
        <v>114</v>
      </c>
      <c r="T93" s="20">
        <f t="shared" si="15"/>
        <v>111</v>
      </c>
      <c r="U93" s="20">
        <f t="shared" si="15"/>
        <v>98</v>
      </c>
      <c r="V93" s="20">
        <f t="shared" si="15"/>
        <v>180</v>
      </c>
      <c r="W93" s="20">
        <f t="shared" si="15"/>
        <v>164</v>
      </c>
      <c r="X93" s="20">
        <f t="shared" si="15"/>
        <v>115</v>
      </c>
      <c r="Y93" s="20">
        <f t="shared" si="15"/>
        <v>104</v>
      </c>
      <c r="Z93" s="20">
        <f t="shared" si="15"/>
        <v>157</v>
      </c>
      <c r="AA93" s="20">
        <f t="shared" si="15"/>
        <v>120</v>
      </c>
      <c r="AB93" s="20">
        <f t="shared" si="15"/>
        <v>129</v>
      </c>
      <c r="AC93" s="20">
        <f t="shared" si="15"/>
        <v>176</v>
      </c>
      <c r="AD93" s="20">
        <f t="shared" si="15"/>
        <v>205</v>
      </c>
      <c r="AE93" s="20">
        <f t="shared" si="15"/>
        <v>104</v>
      </c>
      <c r="AF93" s="20">
        <f t="shared" si="15"/>
        <v>86</v>
      </c>
      <c r="AG93" s="5">
        <f t="shared" si="5"/>
        <v>4261</v>
      </c>
      <c r="AH93" s="47" t="str">
        <f>IF(AG93&lt;&gt;AG28,"*","")</f>
        <v/>
      </c>
    </row>
    <row r="94" spans="1:34" ht="15.75" customHeight="1" x14ac:dyDescent="0.25">
      <c r="A94" s="76" t="s">
        <v>43</v>
      </c>
      <c r="B94" s="21">
        <f t="shared" ref="B94:AF94" si="16">SUM(B95:B99)</f>
        <v>31</v>
      </c>
      <c r="C94" s="21">
        <f t="shared" si="16"/>
        <v>22</v>
      </c>
      <c r="D94" s="21">
        <f t="shared" si="16"/>
        <v>39</v>
      </c>
      <c r="E94" s="21">
        <f t="shared" si="16"/>
        <v>25</v>
      </c>
      <c r="F94" s="21">
        <f t="shared" si="16"/>
        <v>14</v>
      </c>
      <c r="G94" s="21">
        <f t="shared" si="16"/>
        <v>17</v>
      </c>
      <c r="H94" s="21">
        <f t="shared" si="16"/>
        <v>24</v>
      </c>
      <c r="I94" s="21">
        <f t="shared" si="16"/>
        <v>25</v>
      </c>
      <c r="J94" s="21">
        <f t="shared" si="16"/>
        <v>21</v>
      </c>
      <c r="K94" s="21">
        <f t="shared" si="16"/>
        <v>18</v>
      </c>
      <c r="L94" s="21">
        <f t="shared" si="16"/>
        <v>13</v>
      </c>
      <c r="M94" s="21">
        <f t="shared" si="16"/>
        <v>14</v>
      </c>
      <c r="N94" s="21">
        <f t="shared" si="16"/>
        <v>22</v>
      </c>
      <c r="O94" s="21">
        <f t="shared" si="16"/>
        <v>30</v>
      </c>
      <c r="P94" s="21">
        <f t="shared" si="16"/>
        <v>24</v>
      </c>
      <c r="Q94" s="21">
        <f t="shared" si="16"/>
        <v>16</v>
      </c>
      <c r="R94" s="21">
        <f t="shared" si="16"/>
        <v>16</v>
      </c>
      <c r="S94" s="21">
        <f t="shared" si="16"/>
        <v>18</v>
      </c>
      <c r="T94" s="21">
        <f t="shared" si="16"/>
        <v>16</v>
      </c>
      <c r="U94" s="21">
        <f t="shared" si="16"/>
        <v>11</v>
      </c>
      <c r="V94" s="21">
        <f t="shared" si="16"/>
        <v>19</v>
      </c>
      <c r="W94" s="21">
        <f t="shared" si="16"/>
        <v>24</v>
      </c>
      <c r="X94" s="21">
        <f t="shared" si="16"/>
        <v>10</v>
      </c>
      <c r="Y94" s="21">
        <f t="shared" si="16"/>
        <v>15</v>
      </c>
      <c r="Z94" s="21">
        <f t="shared" si="16"/>
        <v>20</v>
      </c>
      <c r="AA94" s="21">
        <f t="shared" si="16"/>
        <v>14</v>
      </c>
      <c r="AB94" s="21">
        <f t="shared" si="16"/>
        <v>18</v>
      </c>
      <c r="AC94" s="21">
        <f t="shared" si="16"/>
        <v>19</v>
      </c>
      <c r="AD94" s="21">
        <f t="shared" si="16"/>
        <v>30</v>
      </c>
      <c r="AE94" s="21">
        <f t="shared" si="16"/>
        <v>11</v>
      </c>
      <c r="AF94" s="21">
        <f t="shared" si="16"/>
        <v>11</v>
      </c>
      <c r="AG94" s="5">
        <f t="shared" si="5"/>
        <v>607</v>
      </c>
    </row>
    <row r="95" spans="1:34" ht="15.75" customHeight="1" x14ac:dyDescent="0.25">
      <c r="A95" s="78" t="s">
        <v>44</v>
      </c>
      <c r="B95" s="54">
        <v>0</v>
      </c>
      <c r="C95" s="54">
        <v>0</v>
      </c>
      <c r="D95" s="54">
        <v>2</v>
      </c>
      <c r="E95" s="54">
        <v>1</v>
      </c>
      <c r="F95" s="54">
        <v>1</v>
      </c>
      <c r="G95" s="54">
        <v>0</v>
      </c>
      <c r="H95" s="54">
        <v>0</v>
      </c>
      <c r="I95" s="54">
        <v>0</v>
      </c>
      <c r="J95" s="54">
        <v>0</v>
      </c>
      <c r="K95" s="54">
        <v>1</v>
      </c>
      <c r="L95" s="54">
        <v>1</v>
      </c>
      <c r="M95" s="54">
        <v>0</v>
      </c>
      <c r="N95" s="54">
        <v>2</v>
      </c>
      <c r="O95" s="54">
        <v>0</v>
      </c>
      <c r="P95" s="54">
        <v>0</v>
      </c>
      <c r="Q95" s="54">
        <v>0</v>
      </c>
      <c r="R95" s="54">
        <v>0</v>
      </c>
      <c r="S95" s="54">
        <v>0</v>
      </c>
      <c r="T95" s="54">
        <v>0</v>
      </c>
      <c r="U95" s="54">
        <v>0</v>
      </c>
      <c r="V95" s="54">
        <v>1</v>
      </c>
      <c r="W95" s="54">
        <v>2</v>
      </c>
      <c r="X95" s="54">
        <v>0</v>
      </c>
      <c r="Y95" s="54">
        <v>2</v>
      </c>
      <c r="Z95" s="54">
        <v>0</v>
      </c>
      <c r="AA95" s="54">
        <v>1</v>
      </c>
      <c r="AB95" s="54">
        <v>0</v>
      </c>
      <c r="AC95" s="54">
        <v>0</v>
      </c>
      <c r="AD95" s="54">
        <v>1</v>
      </c>
      <c r="AE95" s="54">
        <v>0</v>
      </c>
      <c r="AF95" s="54">
        <v>0</v>
      </c>
      <c r="AG95" s="5">
        <f t="shared" si="5"/>
        <v>15</v>
      </c>
    </row>
    <row r="96" spans="1:34" ht="15.75" customHeight="1" x14ac:dyDescent="0.25">
      <c r="A96" s="79" t="s">
        <v>45</v>
      </c>
      <c r="B96" s="54">
        <v>1</v>
      </c>
      <c r="C96" s="54">
        <v>2</v>
      </c>
      <c r="D96" s="54">
        <v>4</v>
      </c>
      <c r="E96" s="54">
        <v>1</v>
      </c>
      <c r="F96" s="54">
        <v>1</v>
      </c>
      <c r="G96" s="54">
        <v>1</v>
      </c>
      <c r="H96" s="54">
        <v>2</v>
      </c>
      <c r="I96" s="54">
        <v>0</v>
      </c>
      <c r="J96" s="54">
        <v>1</v>
      </c>
      <c r="K96" s="54">
        <v>1</v>
      </c>
      <c r="L96" s="54">
        <v>0</v>
      </c>
      <c r="M96" s="54">
        <v>0</v>
      </c>
      <c r="N96" s="54">
        <v>3</v>
      </c>
      <c r="O96" s="54">
        <v>1</v>
      </c>
      <c r="P96" s="54">
        <v>0</v>
      </c>
      <c r="Q96" s="54">
        <v>0</v>
      </c>
      <c r="R96" s="54">
        <v>2</v>
      </c>
      <c r="S96" s="54">
        <v>3</v>
      </c>
      <c r="T96" s="54">
        <v>1</v>
      </c>
      <c r="U96" s="54">
        <v>2</v>
      </c>
      <c r="V96" s="54">
        <v>3</v>
      </c>
      <c r="W96" s="54">
        <v>2</v>
      </c>
      <c r="X96" s="54">
        <v>1</v>
      </c>
      <c r="Y96" s="54">
        <v>1</v>
      </c>
      <c r="Z96" s="54">
        <v>0</v>
      </c>
      <c r="AA96" s="54">
        <v>1</v>
      </c>
      <c r="AB96" s="54">
        <v>2</v>
      </c>
      <c r="AC96" s="54">
        <v>1</v>
      </c>
      <c r="AD96" s="54">
        <v>0</v>
      </c>
      <c r="AE96" s="54">
        <v>0</v>
      </c>
      <c r="AF96" s="54">
        <v>0</v>
      </c>
      <c r="AG96" s="5">
        <f t="shared" si="5"/>
        <v>37</v>
      </c>
    </row>
    <row r="97" spans="1:33" ht="15.75" customHeight="1" x14ac:dyDescent="0.25">
      <c r="A97" s="80" t="s">
        <v>46</v>
      </c>
      <c r="B97" s="54">
        <v>6</v>
      </c>
      <c r="C97" s="54">
        <v>2</v>
      </c>
      <c r="D97" s="54">
        <v>3</v>
      </c>
      <c r="E97" s="54">
        <v>3</v>
      </c>
      <c r="F97" s="54">
        <v>4</v>
      </c>
      <c r="G97" s="54">
        <v>4</v>
      </c>
      <c r="H97" s="54">
        <v>5</v>
      </c>
      <c r="I97" s="54">
        <v>3</v>
      </c>
      <c r="J97" s="54">
        <v>3</v>
      </c>
      <c r="K97" s="54">
        <v>2</v>
      </c>
      <c r="L97" s="54">
        <v>3</v>
      </c>
      <c r="M97" s="54">
        <v>3</v>
      </c>
      <c r="N97" s="54">
        <v>1</v>
      </c>
      <c r="O97" s="54">
        <v>11</v>
      </c>
      <c r="P97" s="54">
        <v>7</v>
      </c>
      <c r="Q97" s="54">
        <v>3</v>
      </c>
      <c r="R97" s="54">
        <v>4</v>
      </c>
      <c r="S97" s="54">
        <v>3</v>
      </c>
      <c r="T97" s="54">
        <v>3</v>
      </c>
      <c r="U97" s="54">
        <v>3</v>
      </c>
      <c r="V97" s="54">
        <v>1</v>
      </c>
      <c r="W97" s="54">
        <v>2</v>
      </c>
      <c r="X97" s="54">
        <v>1</v>
      </c>
      <c r="Y97" s="54">
        <v>3</v>
      </c>
      <c r="Z97" s="54">
        <v>2</v>
      </c>
      <c r="AA97" s="54">
        <v>1</v>
      </c>
      <c r="AB97" s="54">
        <v>5</v>
      </c>
      <c r="AC97" s="54">
        <v>5</v>
      </c>
      <c r="AD97" s="54">
        <v>4</v>
      </c>
      <c r="AE97" s="54">
        <v>4</v>
      </c>
      <c r="AF97" s="54">
        <v>3</v>
      </c>
      <c r="AG97" s="5">
        <f t="shared" si="5"/>
        <v>107</v>
      </c>
    </row>
    <row r="98" spans="1:33" ht="15.75" customHeight="1" x14ac:dyDescent="0.25">
      <c r="A98" s="81" t="s">
        <v>47</v>
      </c>
      <c r="B98" s="54">
        <v>12</v>
      </c>
      <c r="C98" s="54">
        <v>11</v>
      </c>
      <c r="D98" s="54">
        <v>18</v>
      </c>
      <c r="E98" s="54">
        <v>10</v>
      </c>
      <c r="F98" s="54">
        <v>5</v>
      </c>
      <c r="G98" s="54">
        <v>5</v>
      </c>
      <c r="H98" s="54">
        <v>10</v>
      </c>
      <c r="I98" s="54">
        <v>11</v>
      </c>
      <c r="J98" s="54">
        <v>8</v>
      </c>
      <c r="K98" s="54">
        <v>6</v>
      </c>
      <c r="L98" s="54">
        <v>8</v>
      </c>
      <c r="M98" s="54">
        <v>3</v>
      </c>
      <c r="N98" s="54">
        <v>11</v>
      </c>
      <c r="O98" s="54">
        <v>14</v>
      </c>
      <c r="P98" s="54">
        <v>7</v>
      </c>
      <c r="Q98" s="54">
        <v>7</v>
      </c>
      <c r="R98" s="54">
        <v>3</v>
      </c>
      <c r="S98" s="54">
        <v>6</v>
      </c>
      <c r="T98" s="54">
        <v>6</v>
      </c>
      <c r="U98" s="54">
        <v>4</v>
      </c>
      <c r="V98" s="54">
        <v>7</v>
      </c>
      <c r="W98" s="54">
        <v>13</v>
      </c>
      <c r="X98" s="54">
        <v>4</v>
      </c>
      <c r="Y98" s="54">
        <v>6</v>
      </c>
      <c r="Z98" s="54">
        <v>5</v>
      </c>
      <c r="AA98" s="54">
        <v>8</v>
      </c>
      <c r="AB98" s="54">
        <v>5</v>
      </c>
      <c r="AC98" s="54">
        <v>7</v>
      </c>
      <c r="AD98" s="54">
        <v>15</v>
      </c>
      <c r="AE98" s="54">
        <v>6</v>
      </c>
      <c r="AF98" s="54">
        <v>7</v>
      </c>
      <c r="AG98" s="5">
        <f t="shared" si="5"/>
        <v>248</v>
      </c>
    </row>
    <row r="99" spans="1:33" ht="15.75" customHeight="1" x14ac:dyDescent="0.25">
      <c r="A99" s="82" t="s">
        <v>48</v>
      </c>
      <c r="B99" s="54">
        <v>12</v>
      </c>
      <c r="C99" s="54">
        <v>7</v>
      </c>
      <c r="D99" s="54">
        <v>12</v>
      </c>
      <c r="E99" s="54">
        <v>10</v>
      </c>
      <c r="F99" s="54">
        <v>3</v>
      </c>
      <c r="G99" s="54">
        <v>7</v>
      </c>
      <c r="H99" s="54">
        <v>7</v>
      </c>
      <c r="I99" s="54">
        <v>11</v>
      </c>
      <c r="J99" s="54">
        <v>9</v>
      </c>
      <c r="K99" s="54">
        <v>8</v>
      </c>
      <c r="L99" s="54">
        <v>1</v>
      </c>
      <c r="M99" s="54">
        <v>8</v>
      </c>
      <c r="N99" s="54">
        <v>5</v>
      </c>
      <c r="O99" s="54">
        <v>4</v>
      </c>
      <c r="P99" s="54">
        <v>10</v>
      </c>
      <c r="Q99" s="54">
        <v>6</v>
      </c>
      <c r="R99" s="54">
        <v>7</v>
      </c>
      <c r="S99" s="54">
        <v>6</v>
      </c>
      <c r="T99" s="54">
        <v>6</v>
      </c>
      <c r="U99" s="54">
        <v>2</v>
      </c>
      <c r="V99" s="54">
        <v>7</v>
      </c>
      <c r="W99" s="54">
        <v>5</v>
      </c>
      <c r="X99" s="54">
        <v>4</v>
      </c>
      <c r="Y99" s="54">
        <v>3</v>
      </c>
      <c r="Z99" s="54">
        <v>13</v>
      </c>
      <c r="AA99" s="54">
        <v>3</v>
      </c>
      <c r="AB99" s="54">
        <v>6</v>
      </c>
      <c r="AC99" s="54">
        <v>6</v>
      </c>
      <c r="AD99" s="54">
        <v>10</v>
      </c>
      <c r="AE99" s="54">
        <v>1</v>
      </c>
      <c r="AF99" s="54">
        <v>1</v>
      </c>
      <c r="AG99" s="5">
        <f t="shared" ref="AG99:AG162" si="17">SUM(B99:AF99)</f>
        <v>200</v>
      </c>
    </row>
    <row r="100" spans="1:33" ht="15.75" customHeight="1" x14ac:dyDescent="0.25">
      <c r="A100" s="76" t="s">
        <v>49</v>
      </c>
      <c r="B100" s="21">
        <f t="shared" ref="B100:AF100" si="18">SUM(B101:B115)</f>
        <v>163</v>
      </c>
      <c r="C100" s="21">
        <f t="shared" si="18"/>
        <v>103</v>
      </c>
      <c r="D100" s="21">
        <f t="shared" si="18"/>
        <v>110</v>
      </c>
      <c r="E100" s="21">
        <f t="shared" si="18"/>
        <v>104</v>
      </c>
      <c r="F100" s="21">
        <f t="shared" si="18"/>
        <v>78</v>
      </c>
      <c r="G100" s="21">
        <f t="shared" si="18"/>
        <v>115</v>
      </c>
      <c r="H100" s="21">
        <f t="shared" si="18"/>
        <v>166</v>
      </c>
      <c r="I100" s="21">
        <f t="shared" si="18"/>
        <v>129</v>
      </c>
      <c r="J100" s="21">
        <f t="shared" si="18"/>
        <v>106</v>
      </c>
      <c r="K100" s="21">
        <f t="shared" si="18"/>
        <v>103</v>
      </c>
      <c r="L100" s="21">
        <f t="shared" si="18"/>
        <v>103</v>
      </c>
      <c r="M100" s="21">
        <f t="shared" si="18"/>
        <v>88</v>
      </c>
      <c r="N100" s="21">
        <f t="shared" si="18"/>
        <v>99</v>
      </c>
      <c r="O100" s="21">
        <f t="shared" si="18"/>
        <v>172</v>
      </c>
      <c r="P100" s="21">
        <f t="shared" si="18"/>
        <v>153</v>
      </c>
      <c r="Q100" s="21">
        <f t="shared" si="18"/>
        <v>106</v>
      </c>
      <c r="R100" s="21">
        <f t="shared" si="18"/>
        <v>129</v>
      </c>
      <c r="S100" s="21">
        <f t="shared" si="18"/>
        <v>96</v>
      </c>
      <c r="T100" s="21">
        <f t="shared" si="18"/>
        <v>95</v>
      </c>
      <c r="U100" s="21">
        <f t="shared" si="18"/>
        <v>87</v>
      </c>
      <c r="V100" s="21">
        <f t="shared" si="18"/>
        <v>161</v>
      </c>
      <c r="W100" s="21">
        <f t="shared" si="18"/>
        <v>140</v>
      </c>
      <c r="X100" s="21">
        <f t="shared" si="18"/>
        <v>105</v>
      </c>
      <c r="Y100" s="21">
        <f t="shared" si="18"/>
        <v>89</v>
      </c>
      <c r="Z100" s="21">
        <f t="shared" si="18"/>
        <v>137</v>
      </c>
      <c r="AA100" s="21">
        <f t="shared" si="18"/>
        <v>106</v>
      </c>
      <c r="AB100" s="21">
        <f t="shared" si="18"/>
        <v>111</v>
      </c>
      <c r="AC100" s="21">
        <f t="shared" si="18"/>
        <v>157</v>
      </c>
      <c r="AD100" s="21">
        <f t="shared" si="18"/>
        <v>175</v>
      </c>
      <c r="AE100" s="21">
        <f t="shared" si="18"/>
        <v>93</v>
      </c>
      <c r="AF100" s="21">
        <f t="shared" si="18"/>
        <v>75</v>
      </c>
      <c r="AG100" s="5">
        <f t="shared" si="17"/>
        <v>3654</v>
      </c>
    </row>
    <row r="101" spans="1:33" ht="15.75" customHeight="1" x14ac:dyDescent="0.25">
      <c r="A101" s="82" t="s">
        <v>50</v>
      </c>
      <c r="B101" s="54">
        <v>13</v>
      </c>
      <c r="C101" s="54">
        <v>11</v>
      </c>
      <c r="D101" s="54">
        <v>9</v>
      </c>
      <c r="E101" s="54">
        <v>10</v>
      </c>
      <c r="F101" s="54">
        <v>1</v>
      </c>
      <c r="G101" s="54">
        <v>10</v>
      </c>
      <c r="H101" s="54">
        <v>10</v>
      </c>
      <c r="I101" s="54">
        <v>8</v>
      </c>
      <c r="J101" s="54">
        <v>9</v>
      </c>
      <c r="K101" s="54">
        <v>12</v>
      </c>
      <c r="L101" s="54">
        <v>9</v>
      </c>
      <c r="M101" s="54">
        <v>7</v>
      </c>
      <c r="N101" s="54">
        <v>11</v>
      </c>
      <c r="O101" s="54">
        <v>10</v>
      </c>
      <c r="P101" s="54">
        <v>13</v>
      </c>
      <c r="Q101" s="54">
        <v>6</v>
      </c>
      <c r="R101" s="54">
        <v>8</v>
      </c>
      <c r="S101" s="54">
        <v>4</v>
      </c>
      <c r="T101" s="54">
        <v>11</v>
      </c>
      <c r="U101" s="54">
        <v>7</v>
      </c>
      <c r="V101" s="54">
        <v>7</v>
      </c>
      <c r="W101" s="54">
        <v>12</v>
      </c>
      <c r="X101" s="54">
        <v>12</v>
      </c>
      <c r="Y101" s="54">
        <v>6</v>
      </c>
      <c r="Z101" s="54">
        <v>8</v>
      </c>
      <c r="AA101" s="54">
        <v>5</v>
      </c>
      <c r="AB101" s="54">
        <v>9</v>
      </c>
      <c r="AC101" s="54">
        <v>13</v>
      </c>
      <c r="AD101" s="54">
        <v>9</v>
      </c>
      <c r="AE101" s="54">
        <v>6</v>
      </c>
      <c r="AF101" s="54">
        <v>6</v>
      </c>
      <c r="AG101" s="5">
        <f t="shared" si="17"/>
        <v>272</v>
      </c>
    </row>
    <row r="102" spans="1:33" ht="15.75" customHeight="1" x14ac:dyDescent="0.25">
      <c r="A102" s="82" t="s">
        <v>51</v>
      </c>
      <c r="B102" s="54">
        <v>14</v>
      </c>
      <c r="C102" s="54">
        <v>8</v>
      </c>
      <c r="D102" s="54">
        <v>11</v>
      </c>
      <c r="E102" s="54">
        <v>12</v>
      </c>
      <c r="F102" s="54">
        <v>8</v>
      </c>
      <c r="G102" s="54">
        <v>4</v>
      </c>
      <c r="H102" s="54">
        <v>15</v>
      </c>
      <c r="I102" s="54">
        <v>10</v>
      </c>
      <c r="J102" s="54">
        <v>11</v>
      </c>
      <c r="K102" s="54">
        <v>8</v>
      </c>
      <c r="L102" s="54">
        <v>5</v>
      </c>
      <c r="M102" s="54">
        <v>9</v>
      </c>
      <c r="N102" s="54">
        <v>7</v>
      </c>
      <c r="O102" s="54">
        <v>13</v>
      </c>
      <c r="P102" s="54">
        <v>13</v>
      </c>
      <c r="Q102" s="54">
        <v>13</v>
      </c>
      <c r="R102" s="54">
        <v>18</v>
      </c>
      <c r="S102" s="54">
        <v>8</v>
      </c>
      <c r="T102" s="54">
        <v>6</v>
      </c>
      <c r="U102" s="54">
        <v>4</v>
      </c>
      <c r="V102" s="54">
        <v>18</v>
      </c>
      <c r="W102" s="54">
        <v>11</v>
      </c>
      <c r="X102" s="54">
        <v>14</v>
      </c>
      <c r="Y102" s="54">
        <v>11</v>
      </c>
      <c r="Z102" s="54">
        <v>12</v>
      </c>
      <c r="AA102" s="54">
        <v>15</v>
      </c>
      <c r="AB102" s="54">
        <v>5</v>
      </c>
      <c r="AC102" s="54">
        <v>8</v>
      </c>
      <c r="AD102" s="54">
        <v>14</v>
      </c>
      <c r="AE102" s="54">
        <v>7</v>
      </c>
      <c r="AF102" s="54">
        <v>9</v>
      </c>
      <c r="AG102" s="5">
        <f t="shared" si="17"/>
        <v>321</v>
      </c>
    </row>
    <row r="103" spans="1:33" ht="15.75" customHeight="1" x14ac:dyDescent="0.25">
      <c r="A103" s="78" t="s">
        <v>52</v>
      </c>
      <c r="B103" s="54">
        <v>18</v>
      </c>
      <c r="C103" s="54">
        <v>7</v>
      </c>
      <c r="D103" s="54">
        <v>16</v>
      </c>
      <c r="E103" s="54">
        <v>9</v>
      </c>
      <c r="F103" s="54">
        <v>4</v>
      </c>
      <c r="G103" s="54">
        <v>7</v>
      </c>
      <c r="H103" s="54">
        <v>21</v>
      </c>
      <c r="I103" s="54">
        <v>13</v>
      </c>
      <c r="J103" s="54">
        <v>9</v>
      </c>
      <c r="K103" s="54">
        <v>10</v>
      </c>
      <c r="L103" s="54">
        <v>9</v>
      </c>
      <c r="M103" s="54">
        <v>9</v>
      </c>
      <c r="N103" s="54">
        <v>3</v>
      </c>
      <c r="O103" s="54">
        <v>16</v>
      </c>
      <c r="P103" s="54">
        <v>16</v>
      </c>
      <c r="Q103" s="54">
        <v>10</v>
      </c>
      <c r="R103" s="54">
        <v>11</v>
      </c>
      <c r="S103" s="54">
        <v>7</v>
      </c>
      <c r="T103" s="54">
        <v>14</v>
      </c>
      <c r="U103" s="54">
        <v>13</v>
      </c>
      <c r="V103" s="54">
        <v>13</v>
      </c>
      <c r="W103" s="54">
        <v>19</v>
      </c>
      <c r="X103" s="54">
        <v>8</v>
      </c>
      <c r="Y103" s="54">
        <v>11</v>
      </c>
      <c r="Z103" s="54">
        <v>18</v>
      </c>
      <c r="AA103" s="54">
        <v>12</v>
      </c>
      <c r="AB103" s="54">
        <v>12</v>
      </c>
      <c r="AC103" s="54">
        <v>13</v>
      </c>
      <c r="AD103" s="54">
        <v>18</v>
      </c>
      <c r="AE103" s="54">
        <v>3</v>
      </c>
      <c r="AF103" s="54">
        <v>10</v>
      </c>
      <c r="AG103" s="5">
        <f t="shared" si="17"/>
        <v>359</v>
      </c>
    </row>
    <row r="104" spans="1:33" ht="15.75" customHeight="1" x14ac:dyDescent="0.25">
      <c r="A104" s="78" t="s">
        <v>53</v>
      </c>
      <c r="B104" s="54">
        <v>19</v>
      </c>
      <c r="C104" s="54">
        <v>4</v>
      </c>
      <c r="D104" s="54">
        <v>9</v>
      </c>
      <c r="E104" s="54">
        <v>9</v>
      </c>
      <c r="F104" s="54">
        <v>3</v>
      </c>
      <c r="G104" s="54">
        <v>14</v>
      </c>
      <c r="H104" s="54">
        <v>18</v>
      </c>
      <c r="I104" s="54">
        <v>10</v>
      </c>
      <c r="J104" s="54">
        <v>10</v>
      </c>
      <c r="K104" s="54">
        <v>10</v>
      </c>
      <c r="L104" s="54">
        <v>15</v>
      </c>
      <c r="M104" s="54">
        <v>6</v>
      </c>
      <c r="N104" s="54">
        <v>11</v>
      </c>
      <c r="O104" s="54">
        <v>18</v>
      </c>
      <c r="P104" s="54">
        <v>9</v>
      </c>
      <c r="Q104" s="54">
        <v>15</v>
      </c>
      <c r="R104" s="54">
        <v>8</v>
      </c>
      <c r="S104" s="54">
        <v>14</v>
      </c>
      <c r="T104" s="54">
        <v>7</v>
      </c>
      <c r="U104" s="54">
        <v>6</v>
      </c>
      <c r="V104" s="54">
        <v>11</v>
      </c>
      <c r="W104" s="54">
        <v>9</v>
      </c>
      <c r="X104" s="54">
        <v>11</v>
      </c>
      <c r="Y104" s="54">
        <v>7</v>
      </c>
      <c r="Z104" s="54">
        <v>12</v>
      </c>
      <c r="AA104" s="54">
        <v>8</v>
      </c>
      <c r="AB104" s="54">
        <v>13</v>
      </c>
      <c r="AC104" s="54">
        <v>16</v>
      </c>
      <c r="AD104" s="54">
        <v>19</v>
      </c>
      <c r="AE104" s="54">
        <v>5</v>
      </c>
      <c r="AF104" s="54">
        <v>5</v>
      </c>
      <c r="AG104" s="5">
        <f t="shared" si="17"/>
        <v>331</v>
      </c>
    </row>
    <row r="105" spans="1:33" ht="15.75" customHeight="1" x14ac:dyDescent="0.25">
      <c r="A105" s="78" t="s">
        <v>54</v>
      </c>
      <c r="B105" s="54">
        <v>12</v>
      </c>
      <c r="C105" s="54">
        <v>9</v>
      </c>
      <c r="D105" s="54">
        <v>11</v>
      </c>
      <c r="E105" s="54">
        <v>3</v>
      </c>
      <c r="F105" s="54">
        <v>8</v>
      </c>
      <c r="G105" s="54">
        <v>4</v>
      </c>
      <c r="H105" s="54">
        <v>15</v>
      </c>
      <c r="I105" s="54">
        <v>8</v>
      </c>
      <c r="J105" s="54">
        <v>4</v>
      </c>
      <c r="K105" s="54">
        <v>6</v>
      </c>
      <c r="L105" s="54">
        <v>5</v>
      </c>
      <c r="M105" s="54">
        <v>7</v>
      </c>
      <c r="N105" s="54">
        <v>5</v>
      </c>
      <c r="O105" s="54">
        <v>15</v>
      </c>
      <c r="P105" s="54">
        <v>9</v>
      </c>
      <c r="Q105" s="54">
        <v>7</v>
      </c>
      <c r="R105" s="54">
        <v>9</v>
      </c>
      <c r="S105" s="54">
        <v>5</v>
      </c>
      <c r="T105" s="54">
        <v>6</v>
      </c>
      <c r="U105" s="54">
        <v>4</v>
      </c>
      <c r="V105" s="54">
        <v>9</v>
      </c>
      <c r="W105" s="54">
        <v>9</v>
      </c>
      <c r="X105" s="54">
        <v>3</v>
      </c>
      <c r="Y105" s="54">
        <v>6</v>
      </c>
      <c r="Z105" s="54">
        <v>10</v>
      </c>
      <c r="AA105" s="54">
        <v>8</v>
      </c>
      <c r="AB105" s="54">
        <v>9</v>
      </c>
      <c r="AC105" s="54">
        <v>12</v>
      </c>
      <c r="AD105" s="54">
        <v>12</v>
      </c>
      <c r="AE105" s="54">
        <v>8</v>
      </c>
      <c r="AF105" s="54">
        <v>4</v>
      </c>
      <c r="AG105" s="5">
        <f t="shared" si="17"/>
        <v>242</v>
      </c>
    </row>
    <row r="106" spans="1:33" ht="15.75" customHeight="1" x14ac:dyDescent="0.25">
      <c r="A106" s="78" t="s">
        <v>55</v>
      </c>
      <c r="B106" s="54">
        <v>6</v>
      </c>
      <c r="C106" s="54">
        <v>6</v>
      </c>
      <c r="D106" s="54">
        <v>8</v>
      </c>
      <c r="E106" s="54">
        <v>8</v>
      </c>
      <c r="F106" s="54">
        <v>4</v>
      </c>
      <c r="G106" s="54">
        <v>11</v>
      </c>
      <c r="H106" s="54">
        <v>15</v>
      </c>
      <c r="I106" s="54">
        <v>12</v>
      </c>
      <c r="J106" s="54">
        <v>8</v>
      </c>
      <c r="K106" s="54">
        <v>7</v>
      </c>
      <c r="L106" s="54">
        <v>6</v>
      </c>
      <c r="M106" s="54">
        <v>4</v>
      </c>
      <c r="N106" s="54">
        <v>13</v>
      </c>
      <c r="O106" s="54">
        <v>7</v>
      </c>
      <c r="P106" s="54">
        <v>11</v>
      </c>
      <c r="Q106" s="54">
        <v>3</v>
      </c>
      <c r="R106" s="54">
        <v>11</v>
      </c>
      <c r="S106" s="54">
        <v>4</v>
      </c>
      <c r="T106" s="54">
        <v>10</v>
      </c>
      <c r="U106" s="54">
        <v>4</v>
      </c>
      <c r="V106" s="54">
        <v>9</v>
      </c>
      <c r="W106" s="54">
        <v>5</v>
      </c>
      <c r="X106" s="54">
        <v>11</v>
      </c>
      <c r="Y106" s="54">
        <v>6</v>
      </c>
      <c r="Z106" s="54">
        <v>12</v>
      </c>
      <c r="AA106" s="54">
        <v>11</v>
      </c>
      <c r="AB106" s="54">
        <v>14</v>
      </c>
      <c r="AC106" s="54">
        <v>13</v>
      </c>
      <c r="AD106" s="54">
        <v>11</v>
      </c>
      <c r="AE106" s="54">
        <v>3</v>
      </c>
      <c r="AF106" s="54">
        <v>2</v>
      </c>
      <c r="AG106" s="5">
        <f t="shared" si="17"/>
        <v>255</v>
      </c>
    </row>
    <row r="107" spans="1:33" ht="15.75" customHeight="1" x14ac:dyDescent="0.25">
      <c r="A107" s="78" t="s">
        <v>56</v>
      </c>
      <c r="B107" s="54">
        <v>12</v>
      </c>
      <c r="C107" s="54">
        <v>8</v>
      </c>
      <c r="D107" s="54">
        <v>5</v>
      </c>
      <c r="E107" s="54">
        <v>8</v>
      </c>
      <c r="F107" s="54">
        <v>9</v>
      </c>
      <c r="G107" s="54">
        <v>5</v>
      </c>
      <c r="H107" s="54">
        <v>10</v>
      </c>
      <c r="I107" s="54">
        <v>8</v>
      </c>
      <c r="J107" s="54">
        <v>13</v>
      </c>
      <c r="K107" s="54">
        <v>10</v>
      </c>
      <c r="L107" s="54">
        <v>3</v>
      </c>
      <c r="M107" s="54">
        <v>3</v>
      </c>
      <c r="N107" s="54">
        <v>4</v>
      </c>
      <c r="O107" s="54">
        <v>6</v>
      </c>
      <c r="P107" s="54">
        <v>9</v>
      </c>
      <c r="Q107" s="54">
        <v>4</v>
      </c>
      <c r="R107" s="54">
        <v>7</v>
      </c>
      <c r="S107" s="54">
        <v>7</v>
      </c>
      <c r="T107" s="54">
        <v>6</v>
      </c>
      <c r="U107" s="54">
        <v>6</v>
      </c>
      <c r="V107" s="54">
        <v>10</v>
      </c>
      <c r="W107" s="54">
        <v>12</v>
      </c>
      <c r="X107" s="54">
        <v>6</v>
      </c>
      <c r="Y107" s="54">
        <v>5</v>
      </c>
      <c r="Z107" s="54">
        <v>12</v>
      </c>
      <c r="AA107" s="54">
        <v>6</v>
      </c>
      <c r="AB107" s="54">
        <v>12</v>
      </c>
      <c r="AC107" s="54">
        <v>16</v>
      </c>
      <c r="AD107" s="54">
        <v>11</v>
      </c>
      <c r="AE107" s="54">
        <v>5</v>
      </c>
      <c r="AF107" s="54">
        <v>3</v>
      </c>
      <c r="AG107" s="5">
        <f t="shared" si="17"/>
        <v>241</v>
      </c>
    </row>
    <row r="108" spans="1:33" ht="15.75" customHeight="1" x14ac:dyDescent="0.25">
      <c r="A108" s="78" t="s">
        <v>57</v>
      </c>
      <c r="B108" s="54">
        <v>15</v>
      </c>
      <c r="C108" s="54">
        <v>10</v>
      </c>
      <c r="D108" s="54">
        <v>4</v>
      </c>
      <c r="E108" s="54">
        <v>4</v>
      </c>
      <c r="F108" s="54">
        <v>5</v>
      </c>
      <c r="G108" s="54">
        <v>6</v>
      </c>
      <c r="H108" s="54">
        <v>9</v>
      </c>
      <c r="I108" s="54">
        <v>11</v>
      </c>
      <c r="J108" s="54">
        <v>4</v>
      </c>
      <c r="K108" s="54">
        <v>3</v>
      </c>
      <c r="L108" s="54">
        <v>9</v>
      </c>
      <c r="M108" s="54">
        <v>4</v>
      </c>
      <c r="N108" s="54">
        <v>4</v>
      </c>
      <c r="O108" s="54">
        <v>12</v>
      </c>
      <c r="P108" s="54">
        <v>15</v>
      </c>
      <c r="Q108" s="54">
        <v>8</v>
      </c>
      <c r="R108" s="54">
        <v>13</v>
      </c>
      <c r="S108" s="54">
        <v>7</v>
      </c>
      <c r="T108" s="54">
        <v>6</v>
      </c>
      <c r="U108" s="54">
        <v>7</v>
      </c>
      <c r="V108" s="54">
        <v>18</v>
      </c>
      <c r="W108" s="54">
        <v>7</v>
      </c>
      <c r="X108" s="54">
        <v>7</v>
      </c>
      <c r="Y108" s="54">
        <v>6</v>
      </c>
      <c r="Z108" s="54">
        <v>8</v>
      </c>
      <c r="AA108" s="54">
        <v>8</v>
      </c>
      <c r="AB108" s="54">
        <v>5</v>
      </c>
      <c r="AC108" s="54">
        <v>16</v>
      </c>
      <c r="AD108" s="54">
        <v>9</v>
      </c>
      <c r="AE108" s="54">
        <v>8</v>
      </c>
      <c r="AF108" s="54">
        <v>5</v>
      </c>
      <c r="AG108" s="5">
        <f t="shared" si="17"/>
        <v>253</v>
      </c>
    </row>
    <row r="109" spans="1:33" ht="15.75" customHeight="1" x14ac:dyDescent="0.25">
      <c r="A109" s="78" t="s">
        <v>58</v>
      </c>
      <c r="B109" s="54">
        <v>9</v>
      </c>
      <c r="C109" s="54">
        <v>10</v>
      </c>
      <c r="D109" s="54">
        <v>9</v>
      </c>
      <c r="E109" s="54">
        <v>8</v>
      </c>
      <c r="F109" s="54">
        <v>10</v>
      </c>
      <c r="G109" s="54">
        <v>10</v>
      </c>
      <c r="H109" s="54">
        <v>12</v>
      </c>
      <c r="I109" s="54">
        <v>7</v>
      </c>
      <c r="J109" s="54">
        <v>5</v>
      </c>
      <c r="K109" s="54">
        <v>6</v>
      </c>
      <c r="L109" s="54">
        <v>14</v>
      </c>
      <c r="M109" s="54">
        <v>3</v>
      </c>
      <c r="N109" s="54">
        <v>10</v>
      </c>
      <c r="O109" s="54">
        <v>15</v>
      </c>
      <c r="P109" s="54">
        <v>9</v>
      </c>
      <c r="Q109" s="54">
        <v>9</v>
      </c>
      <c r="R109" s="54">
        <v>10</v>
      </c>
      <c r="S109" s="54">
        <v>11</v>
      </c>
      <c r="T109" s="54">
        <v>8</v>
      </c>
      <c r="U109" s="54">
        <v>7</v>
      </c>
      <c r="V109" s="54">
        <v>13</v>
      </c>
      <c r="W109" s="54">
        <v>13</v>
      </c>
      <c r="X109" s="54">
        <v>6</v>
      </c>
      <c r="Y109" s="54">
        <v>8</v>
      </c>
      <c r="Z109" s="54">
        <v>6</v>
      </c>
      <c r="AA109" s="54">
        <v>5</v>
      </c>
      <c r="AB109" s="54">
        <v>5</v>
      </c>
      <c r="AC109" s="54">
        <v>9</v>
      </c>
      <c r="AD109" s="54">
        <v>16</v>
      </c>
      <c r="AE109" s="54">
        <v>12</v>
      </c>
      <c r="AF109" s="54">
        <v>4</v>
      </c>
      <c r="AG109" s="5">
        <f t="shared" si="17"/>
        <v>279</v>
      </c>
    </row>
    <row r="110" spans="1:33" ht="15.75" customHeight="1" x14ac:dyDescent="0.25">
      <c r="A110" s="78" t="s">
        <v>59</v>
      </c>
      <c r="B110" s="54">
        <v>11</v>
      </c>
      <c r="C110" s="54">
        <v>5</v>
      </c>
      <c r="D110" s="54">
        <v>7</v>
      </c>
      <c r="E110" s="54">
        <v>10</v>
      </c>
      <c r="F110" s="54">
        <v>4</v>
      </c>
      <c r="G110" s="54">
        <v>9</v>
      </c>
      <c r="H110" s="54">
        <v>13</v>
      </c>
      <c r="I110" s="54">
        <v>13</v>
      </c>
      <c r="J110" s="54">
        <v>7</v>
      </c>
      <c r="K110" s="54">
        <v>12</v>
      </c>
      <c r="L110" s="54">
        <v>11</v>
      </c>
      <c r="M110" s="54">
        <v>7</v>
      </c>
      <c r="N110" s="54">
        <v>9</v>
      </c>
      <c r="O110" s="54">
        <v>15</v>
      </c>
      <c r="P110" s="54">
        <v>10</v>
      </c>
      <c r="Q110" s="54">
        <v>11</v>
      </c>
      <c r="R110" s="54">
        <v>12</v>
      </c>
      <c r="S110" s="54">
        <v>5</v>
      </c>
      <c r="T110" s="54">
        <v>4</v>
      </c>
      <c r="U110" s="54">
        <v>13</v>
      </c>
      <c r="V110" s="54">
        <v>19</v>
      </c>
      <c r="W110" s="54">
        <v>11</v>
      </c>
      <c r="X110" s="54">
        <v>9</v>
      </c>
      <c r="Y110" s="54">
        <v>5</v>
      </c>
      <c r="Z110" s="54">
        <v>9</v>
      </c>
      <c r="AA110" s="54">
        <v>10</v>
      </c>
      <c r="AB110" s="54">
        <v>6</v>
      </c>
      <c r="AC110" s="54">
        <v>7</v>
      </c>
      <c r="AD110" s="54">
        <v>17</v>
      </c>
      <c r="AE110" s="54">
        <v>10</v>
      </c>
      <c r="AF110" s="54">
        <v>5</v>
      </c>
      <c r="AG110" s="5">
        <f t="shared" si="17"/>
        <v>296</v>
      </c>
    </row>
    <row r="111" spans="1:33" ht="15.75" customHeight="1" x14ac:dyDescent="0.25">
      <c r="A111" s="78" t="s">
        <v>60</v>
      </c>
      <c r="B111" s="54">
        <v>8</v>
      </c>
      <c r="C111" s="54">
        <v>8</v>
      </c>
      <c r="D111" s="54">
        <v>9</v>
      </c>
      <c r="E111" s="54">
        <v>9</v>
      </c>
      <c r="F111" s="54">
        <v>7</v>
      </c>
      <c r="G111" s="54">
        <v>9</v>
      </c>
      <c r="H111" s="54">
        <v>8</v>
      </c>
      <c r="I111" s="54">
        <v>5</v>
      </c>
      <c r="J111" s="54">
        <v>7</v>
      </c>
      <c r="K111" s="54">
        <v>2</v>
      </c>
      <c r="L111" s="54">
        <v>2</v>
      </c>
      <c r="M111" s="54">
        <v>4</v>
      </c>
      <c r="N111" s="54">
        <v>5</v>
      </c>
      <c r="O111" s="54">
        <v>11</v>
      </c>
      <c r="P111" s="54">
        <v>9</v>
      </c>
      <c r="Q111" s="54">
        <v>10</v>
      </c>
      <c r="R111" s="54">
        <v>7</v>
      </c>
      <c r="S111" s="54">
        <v>8</v>
      </c>
      <c r="T111" s="54">
        <v>4</v>
      </c>
      <c r="U111" s="54">
        <v>3</v>
      </c>
      <c r="V111" s="54">
        <v>7</v>
      </c>
      <c r="W111" s="54">
        <v>8</v>
      </c>
      <c r="X111" s="54">
        <v>7</v>
      </c>
      <c r="Y111" s="54">
        <v>8</v>
      </c>
      <c r="Z111" s="54">
        <v>13</v>
      </c>
      <c r="AA111" s="54">
        <v>3</v>
      </c>
      <c r="AB111" s="54">
        <v>6</v>
      </c>
      <c r="AC111" s="54">
        <v>7</v>
      </c>
      <c r="AD111" s="54">
        <v>12</v>
      </c>
      <c r="AE111" s="54">
        <v>5</v>
      </c>
      <c r="AF111" s="54">
        <v>4</v>
      </c>
      <c r="AG111" s="5">
        <f t="shared" si="17"/>
        <v>215</v>
      </c>
    </row>
    <row r="112" spans="1:33" ht="15.75" customHeight="1" x14ac:dyDescent="0.25">
      <c r="A112" s="78" t="s">
        <v>61</v>
      </c>
      <c r="B112" s="54">
        <v>8</v>
      </c>
      <c r="C112" s="54">
        <v>4</v>
      </c>
      <c r="D112" s="54">
        <v>6</v>
      </c>
      <c r="E112" s="54">
        <v>4</v>
      </c>
      <c r="F112" s="54">
        <v>4</v>
      </c>
      <c r="G112" s="54">
        <v>6</v>
      </c>
      <c r="H112" s="54">
        <v>6</v>
      </c>
      <c r="I112" s="54">
        <v>7</v>
      </c>
      <c r="J112" s="54">
        <v>4</v>
      </c>
      <c r="K112" s="54">
        <v>6</v>
      </c>
      <c r="L112" s="54">
        <v>4</v>
      </c>
      <c r="M112" s="54">
        <v>7</v>
      </c>
      <c r="N112" s="54">
        <v>7</v>
      </c>
      <c r="O112" s="54">
        <v>9</v>
      </c>
      <c r="P112" s="54">
        <v>10</v>
      </c>
      <c r="Q112" s="54">
        <v>3</v>
      </c>
      <c r="R112" s="54">
        <v>5</v>
      </c>
      <c r="S112" s="54">
        <v>9</v>
      </c>
      <c r="T112" s="54">
        <v>3</v>
      </c>
      <c r="U112" s="54">
        <v>4</v>
      </c>
      <c r="V112" s="54">
        <v>10</v>
      </c>
      <c r="W112" s="54">
        <v>4</v>
      </c>
      <c r="X112" s="54">
        <v>4</v>
      </c>
      <c r="Y112" s="54">
        <v>7</v>
      </c>
      <c r="Z112" s="54">
        <v>2</v>
      </c>
      <c r="AA112" s="54">
        <v>4</v>
      </c>
      <c r="AB112" s="54">
        <v>5</v>
      </c>
      <c r="AC112" s="54">
        <v>9</v>
      </c>
      <c r="AD112" s="54">
        <v>11</v>
      </c>
      <c r="AE112" s="54">
        <v>9</v>
      </c>
      <c r="AF112" s="54">
        <v>3</v>
      </c>
      <c r="AG112" s="5">
        <f t="shared" si="17"/>
        <v>184</v>
      </c>
    </row>
    <row r="113" spans="1:37" ht="15.75" customHeight="1" x14ac:dyDescent="0.25">
      <c r="A113" s="78" t="s">
        <v>62</v>
      </c>
      <c r="B113" s="54">
        <v>8</v>
      </c>
      <c r="C113" s="54">
        <v>5</v>
      </c>
      <c r="D113" s="54">
        <v>3</v>
      </c>
      <c r="E113" s="54">
        <v>4</v>
      </c>
      <c r="F113" s="54">
        <v>6</v>
      </c>
      <c r="G113" s="54">
        <v>14</v>
      </c>
      <c r="H113" s="54">
        <v>7</v>
      </c>
      <c r="I113" s="54">
        <v>8</v>
      </c>
      <c r="J113" s="54">
        <v>9</v>
      </c>
      <c r="K113" s="54">
        <v>5</v>
      </c>
      <c r="L113" s="54">
        <v>6</v>
      </c>
      <c r="M113" s="54">
        <v>7</v>
      </c>
      <c r="N113" s="54">
        <v>3</v>
      </c>
      <c r="O113" s="54">
        <v>5</v>
      </c>
      <c r="P113" s="54">
        <v>6</v>
      </c>
      <c r="Q113" s="54">
        <v>3</v>
      </c>
      <c r="R113" s="54">
        <v>4</v>
      </c>
      <c r="S113" s="54">
        <v>2</v>
      </c>
      <c r="T113" s="54">
        <v>5</v>
      </c>
      <c r="U113" s="54">
        <v>2</v>
      </c>
      <c r="V113" s="54">
        <v>4</v>
      </c>
      <c r="W113" s="54">
        <v>7</v>
      </c>
      <c r="X113" s="54">
        <v>2</v>
      </c>
      <c r="Y113" s="54">
        <v>0</v>
      </c>
      <c r="Z113" s="54">
        <v>7</v>
      </c>
      <c r="AA113" s="54">
        <v>4</v>
      </c>
      <c r="AB113" s="54">
        <v>4</v>
      </c>
      <c r="AC113" s="54">
        <v>6</v>
      </c>
      <c r="AD113" s="54">
        <v>7</v>
      </c>
      <c r="AE113" s="54">
        <v>6</v>
      </c>
      <c r="AF113" s="54">
        <v>6</v>
      </c>
      <c r="AG113" s="5">
        <f t="shared" si="17"/>
        <v>165</v>
      </c>
    </row>
    <row r="114" spans="1:37" ht="15.75" customHeight="1" x14ac:dyDescent="0.25">
      <c r="A114" s="78" t="s">
        <v>63</v>
      </c>
      <c r="B114" s="54">
        <v>10</v>
      </c>
      <c r="C114" s="54">
        <v>8</v>
      </c>
      <c r="D114" s="54">
        <v>3</v>
      </c>
      <c r="E114" s="54">
        <v>6</v>
      </c>
      <c r="F114" s="54">
        <v>5</v>
      </c>
      <c r="G114" s="54">
        <v>6</v>
      </c>
      <c r="H114" s="54">
        <v>7</v>
      </c>
      <c r="I114" s="54">
        <v>9</v>
      </c>
      <c r="J114" s="54">
        <v>6</v>
      </c>
      <c r="K114" s="54">
        <v>6</v>
      </c>
      <c r="L114" s="54">
        <v>5</v>
      </c>
      <c r="M114" s="54">
        <v>11</v>
      </c>
      <c r="N114" s="54">
        <v>7</v>
      </c>
      <c r="O114" s="54">
        <v>20</v>
      </c>
      <c r="P114" s="54">
        <v>14</v>
      </c>
      <c r="Q114" s="54">
        <v>4</v>
      </c>
      <c r="R114" s="54">
        <v>6</v>
      </c>
      <c r="S114" s="54">
        <v>5</v>
      </c>
      <c r="T114" s="54">
        <v>5</v>
      </c>
      <c r="U114" s="54">
        <v>7</v>
      </c>
      <c r="V114" s="54">
        <v>13</v>
      </c>
      <c r="W114" s="54">
        <v>13</v>
      </c>
      <c r="X114" s="54">
        <v>5</v>
      </c>
      <c r="Y114" s="54">
        <v>3</v>
      </c>
      <c r="Z114" s="54">
        <v>8</v>
      </c>
      <c r="AA114" s="54">
        <v>7</v>
      </c>
      <c r="AB114" s="54">
        <v>6</v>
      </c>
      <c r="AC114" s="54">
        <v>12</v>
      </c>
      <c r="AD114" s="54">
        <v>9</v>
      </c>
      <c r="AE114" s="54">
        <v>6</v>
      </c>
      <c r="AF114" s="54">
        <v>9</v>
      </c>
      <c r="AG114" s="5">
        <f t="shared" si="17"/>
        <v>241</v>
      </c>
    </row>
    <row r="115" spans="1:37" ht="15.75" customHeight="1" thickBot="1" x14ac:dyDescent="0.3">
      <c r="A115" s="83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5">
        <f t="shared" si="17"/>
        <v>0</v>
      </c>
      <c r="AK115" s="84">
        <v>603</v>
      </c>
    </row>
    <row r="116" spans="1:37" ht="15.75" customHeight="1" x14ac:dyDescent="0.25">
      <c r="A116" s="75" t="s">
        <v>64</v>
      </c>
      <c r="B116" s="20">
        <f t="shared" ref="B116:AF116" si="19">SUM(B117:B118)</f>
        <v>69</v>
      </c>
      <c r="C116" s="20">
        <f t="shared" si="19"/>
        <v>40</v>
      </c>
      <c r="D116" s="20">
        <f t="shared" si="19"/>
        <v>48</v>
      </c>
      <c r="E116" s="20">
        <f t="shared" si="19"/>
        <v>38</v>
      </c>
      <c r="F116" s="20">
        <f t="shared" si="19"/>
        <v>42</v>
      </c>
      <c r="G116" s="20">
        <f t="shared" si="19"/>
        <v>54</v>
      </c>
      <c r="H116" s="20">
        <f t="shared" si="19"/>
        <v>64</v>
      </c>
      <c r="I116" s="20">
        <f t="shared" si="19"/>
        <v>57</v>
      </c>
      <c r="J116" s="20">
        <f t="shared" si="19"/>
        <v>55</v>
      </c>
      <c r="K116" s="20">
        <f t="shared" si="19"/>
        <v>45</v>
      </c>
      <c r="L116" s="20">
        <f t="shared" si="19"/>
        <v>36</v>
      </c>
      <c r="M116" s="20">
        <f t="shared" si="19"/>
        <v>42</v>
      </c>
      <c r="N116" s="20">
        <f t="shared" si="19"/>
        <v>40</v>
      </c>
      <c r="O116" s="20">
        <f t="shared" si="19"/>
        <v>65</v>
      </c>
      <c r="P116" s="20">
        <f t="shared" si="19"/>
        <v>58</v>
      </c>
      <c r="Q116" s="20">
        <f t="shared" si="19"/>
        <v>28</v>
      </c>
      <c r="R116" s="20">
        <f t="shared" si="19"/>
        <v>40</v>
      </c>
      <c r="S116" s="20">
        <f t="shared" si="19"/>
        <v>34</v>
      </c>
      <c r="T116" s="20">
        <f t="shared" si="19"/>
        <v>54</v>
      </c>
      <c r="U116" s="20">
        <f t="shared" si="19"/>
        <v>34</v>
      </c>
      <c r="V116" s="20">
        <f t="shared" si="19"/>
        <v>65</v>
      </c>
      <c r="W116" s="20">
        <f t="shared" si="19"/>
        <v>43</v>
      </c>
      <c r="X116" s="20">
        <f t="shared" si="19"/>
        <v>34</v>
      </c>
      <c r="Y116" s="20">
        <f t="shared" si="19"/>
        <v>35</v>
      </c>
      <c r="Z116" s="20">
        <f t="shared" si="19"/>
        <v>46</v>
      </c>
      <c r="AA116" s="20">
        <f t="shared" si="19"/>
        <v>41</v>
      </c>
      <c r="AB116" s="20">
        <f t="shared" si="19"/>
        <v>37</v>
      </c>
      <c r="AC116" s="20">
        <f t="shared" si="19"/>
        <v>52</v>
      </c>
      <c r="AD116" s="20">
        <f t="shared" si="19"/>
        <v>57</v>
      </c>
      <c r="AE116" s="20">
        <f t="shared" si="19"/>
        <v>38</v>
      </c>
      <c r="AF116" s="20">
        <f t="shared" si="19"/>
        <v>28</v>
      </c>
      <c r="AG116" s="5">
        <f t="shared" si="17"/>
        <v>1419</v>
      </c>
      <c r="AK116" s="84">
        <v>612</v>
      </c>
    </row>
    <row r="117" spans="1:37" ht="15.75" customHeight="1" x14ac:dyDescent="0.25">
      <c r="A117" s="85" t="s">
        <v>65</v>
      </c>
      <c r="B117" s="54">
        <v>59</v>
      </c>
      <c r="C117" s="54">
        <v>35</v>
      </c>
      <c r="D117" s="54">
        <v>37</v>
      </c>
      <c r="E117" s="54">
        <v>32</v>
      </c>
      <c r="F117" s="54">
        <v>36</v>
      </c>
      <c r="G117" s="54">
        <v>46</v>
      </c>
      <c r="H117" s="54">
        <v>51</v>
      </c>
      <c r="I117" s="54">
        <v>46</v>
      </c>
      <c r="J117" s="54">
        <v>42</v>
      </c>
      <c r="K117" s="54">
        <v>40</v>
      </c>
      <c r="L117" s="54">
        <v>32</v>
      </c>
      <c r="M117" s="54">
        <v>35</v>
      </c>
      <c r="N117" s="54">
        <v>34</v>
      </c>
      <c r="O117" s="54">
        <v>59</v>
      </c>
      <c r="P117" s="54">
        <v>43</v>
      </c>
      <c r="Q117" s="54">
        <v>24</v>
      </c>
      <c r="R117" s="54">
        <v>36</v>
      </c>
      <c r="S117" s="54">
        <v>27</v>
      </c>
      <c r="T117" s="54">
        <v>44</v>
      </c>
      <c r="U117" s="54">
        <v>24</v>
      </c>
      <c r="V117" s="54">
        <v>50</v>
      </c>
      <c r="W117" s="54">
        <v>34</v>
      </c>
      <c r="X117" s="54">
        <v>30</v>
      </c>
      <c r="Y117" s="54">
        <v>29</v>
      </c>
      <c r="Z117" s="54">
        <v>33</v>
      </c>
      <c r="AA117" s="54">
        <v>30</v>
      </c>
      <c r="AB117" s="54">
        <v>29</v>
      </c>
      <c r="AC117" s="54">
        <v>35</v>
      </c>
      <c r="AD117" s="54">
        <v>48</v>
      </c>
      <c r="AE117" s="54">
        <v>33</v>
      </c>
      <c r="AF117" s="54">
        <v>20</v>
      </c>
      <c r="AG117" s="5">
        <f t="shared" si="17"/>
        <v>1153</v>
      </c>
      <c r="AK117" s="84">
        <v>613</v>
      </c>
    </row>
    <row r="118" spans="1:37" ht="15.75" customHeight="1" thickBot="1" x14ac:dyDescent="0.3">
      <c r="A118" s="86" t="s">
        <v>77</v>
      </c>
      <c r="B118" s="87">
        <v>10</v>
      </c>
      <c r="C118" s="87">
        <v>5</v>
      </c>
      <c r="D118" s="87">
        <v>11</v>
      </c>
      <c r="E118" s="87">
        <v>6</v>
      </c>
      <c r="F118" s="87">
        <v>6</v>
      </c>
      <c r="G118" s="87">
        <v>8</v>
      </c>
      <c r="H118" s="87">
        <v>13</v>
      </c>
      <c r="I118" s="87">
        <v>11</v>
      </c>
      <c r="J118" s="87">
        <v>13</v>
      </c>
      <c r="K118" s="87">
        <v>5</v>
      </c>
      <c r="L118" s="87">
        <v>4</v>
      </c>
      <c r="M118" s="87">
        <v>7</v>
      </c>
      <c r="N118" s="87">
        <v>6</v>
      </c>
      <c r="O118" s="87">
        <v>6</v>
      </c>
      <c r="P118" s="87">
        <v>15</v>
      </c>
      <c r="Q118" s="87">
        <v>4</v>
      </c>
      <c r="R118" s="87">
        <v>4</v>
      </c>
      <c r="S118" s="87">
        <v>7</v>
      </c>
      <c r="T118" s="87">
        <v>10</v>
      </c>
      <c r="U118" s="87">
        <v>10</v>
      </c>
      <c r="V118" s="87">
        <v>15</v>
      </c>
      <c r="W118" s="87">
        <v>9</v>
      </c>
      <c r="X118" s="87">
        <v>4</v>
      </c>
      <c r="Y118" s="87">
        <v>6</v>
      </c>
      <c r="Z118" s="87">
        <v>13</v>
      </c>
      <c r="AA118" s="87">
        <v>11</v>
      </c>
      <c r="AB118" s="87">
        <v>8</v>
      </c>
      <c r="AC118" s="87">
        <v>17</v>
      </c>
      <c r="AD118" s="87">
        <v>9</v>
      </c>
      <c r="AE118" s="87">
        <v>5</v>
      </c>
      <c r="AF118" s="87">
        <v>8</v>
      </c>
      <c r="AG118" s="5">
        <f t="shared" si="17"/>
        <v>266</v>
      </c>
      <c r="AK118" s="84" t="s">
        <v>129</v>
      </c>
    </row>
    <row r="119" spans="1:37" ht="15.75" customHeight="1" x14ac:dyDescent="0.25">
      <c r="A119" s="75" t="s">
        <v>78</v>
      </c>
      <c r="B119" s="20">
        <f t="shared" ref="B119:AF119" si="20">SUM(B120:B132)</f>
        <v>194</v>
      </c>
      <c r="C119" s="20">
        <f t="shared" si="20"/>
        <v>125</v>
      </c>
      <c r="D119" s="20">
        <f t="shared" si="20"/>
        <v>149</v>
      </c>
      <c r="E119" s="20">
        <f t="shared" si="20"/>
        <v>129</v>
      </c>
      <c r="F119" s="20">
        <f t="shared" si="20"/>
        <v>92</v>
      </c>
      <c r="G119" s="20">
        <f t="shared" si="20"/>
        <v>132</v>
      </c>
      <c r="H119" s="20">
        <f t="shared" si="20"/>
        <v>190</v>
      </c>
      <c r="I119" s="20">
        <f t="shared" si="20"/>
        <v>154</v>
      </c>
      <c r="J119" s="20">
        <f t="shared" si="20"/>
        <v>127</v>
      </c>
      <c r="K119" s="20">
        <f t="shared" si="20"/>
        <v>121</v>
      </c>
      <c r="L119" s="20">
        <f t="shared" si="20"/>
        <v>116</v>
      </c>
      <c r="M119" s="20">
        <f t="shared" si="20"/>
        <v>102</v>
      </c>
      <c r="N119" s="20">
        <f t="shared" si="20"/>
        <v>121</v>
      </c>
      <c r="O119" s="20">
        <f t="shared" si="20"/>
        <v>202</v>
      </c>
      <c r="P119" s="20">
        <f t="shared" si="20"/>
        <v>177</v>
      </c>
      <c r="Q119" s="20">
        <f t="shared" si="20"/>
        <v>122</v>
      </c>
      <c r="R119" s="20">
        <f t="shared" si="20"/>
        <v>145</v>
      </c>
      <c r="S119" s="20">
        <f t="shared" si="20"/>
        <v>114</v>
      </c>
      <c r="T119" s="20">
        <f t="shared" si="20"/>
        <v>111</v>
      </c>
      <c r="U119" s="20">
        <f t="shared" si="20"/>
        <v>98</v>
      </c>
      <c r="V119" s="20">
        <f t="shared" si="20"/>
        <v>180</v>
      </c>
      <c r="W119" s="20">
        <f t="shared" si="20"/>
        <v>164</v>
      </c>
      <c r="X119" s="20">
        <f t="shared" si="20"/>
        <v>115</v>
      </c>
      <c r="Y119" s="20">
        <f t="shared" si="20"/>
        <v>104</v>
      </c>
      <c r="Z119" s="20">
        <f t="shared" si="20"/>
        <v>157</v>
      </c>
      <c r="AA119" s="20">
        <f t="shared" si="20"/>
        <v>120</v>
      </c>
      <c r="AB119" s="20">
        <f t="shared" si="20"/>
        <v>129</v>
      </c>
      <c r="AC119" s="20">
        <f t="shared" si="20"/>
        <v>176</v>
      </c>
      <c r="AD119" s="20">
        <f t="shared" si="20"/>
        <v>205</v>
      </c>
      <c r="AE119" s="20">
        <f t="shared" si="20"/>
        <v>104</v>
      </c>
      <c r="AF119" s="20">
        <f t="shared" si="20"/>
        <v>86</v>
      </c>
      <c r="AG119" s="7">
        <f t="shared" si="17"/>
        <v>4261</v>
      </c>
      <c r="AH119" s="47" t="str">
        <f>IF(AG119&lt;&gt;AG93,"*","")</f>
        <v/>
      </c>
      <c r="AK119" s="84" t="s">
        <v>130</v>
      </c>
    </row>
    <row r="120" spans="1:37" ht="15.75" customHeight="1" x14ac:dyDescent="0.25">
      <c r="A120" s="85" t="s">
        <v>65</v>
      </c>
      <c r="B120" s="54">
        <v>52</v>
      </c>
      <c r="C120" s="54">
        <v>27</v>
      </c>
      <c r="D120" s="54">
        <v>36</v>
      </c>
      <c r="E120" s="54">
        <v>30</v>
      </c>
      <c r="F120" s="54">
        <v>25</v>
      </c>
      <c r="G120" s="54">
        <v>43</v>
      </c>
      <c r="H120" s="54">
        <v>46</v>
      </c>
      <c r="I120" s="54">
        <v>35</v>
      </c>
      <c r="J120" s="54">
        <v>38</v>
      </c>
      <c r="K120" s="54">
        <v>37</v>
      </c>
      <c r="L120" s="54">
        <v>28</v>
      </c>
      <c r="M120" s="54">
        <v>29</v>
      </c>
      <c r="N120" s="54">
        <v>28</v>
      </c>
      <c r="O120" s="54">
        <v>54</v>
      </c>
      <c r="P120" s="54">
        <v>40</v>
      </c>
      <c r="Q120" s="54">
        <v>22</v>
      </c>
      <c r="R120" s="54">
        <v>34</v>
      </c>
      <c r="S120" s="54">
        <v>27</v>
      </c>
      <c r="T120" s="54">
        <v>38</v>
      </c>
      <c r="U120" s="54">
        <v>22</v>
      </c>
      <c r="V120" s="54">
        <v>50</v>
      </c>
      <c r="W120" s="54">
        <v>29</v>
      </c>
      <c r="X120" s="54">
        <v>25</v>
      </c>
      <c r="Y120" s="54">
        <v>29</v>
      </c>
      <c r="Z120" s="54">
        <v>33</v>
      </c>
      <c r="AA120" s="54">
        <v>27</v>
      </c>
      <c r="AB120" s="54">
        <v>27</v>
      </c>
      <c r="AC120" s="54">
        <v>31</v>
      </c>
      <c r="AD120" s="54">
        <v>47</v>
      </c>
      <c r="AE120" s="54">
        <v>28</v>
      </c>
      <c r="AF120" s="54">
        <v>20</v>
      </c>
      <c r="AG120" s="5">
        <f t="shared" si="17"/>
        <v>1037</v>
      </c>
      <c r="AK120" s="88" t="s">
        <v>131</v>
      </c>
    </row>
    <row r="121" spans="1:37" ht="15.75" customHeight="1" x14ac:dyDescent="0.25">
      <c r="A121" s="85" t="s">
        <v>66</v>
      </c>
      <c r="B121" s="54">
        <v>5</v>
      </c>
      <c r="C121" s="54">
        <v>1</v>
      </c>
      <c r="D121" s="54">
        <v>3</v>
      </c>
      <c r="E121" s="54">
        <v>6</v>
      </c>
      <c r="F121" s="54">
        <v>2</v>
      </c>
      <c r="G121" s="54">
        <v>2</v>
      </c>
      <c r="H121" s="54">
        <v>4</v>
      </c>
      <c r="I121" s="54">
        <v>4</v>
      </c>
      <c r="J121" s="54">
        <v>3</v>
      </c>
      <c r="K121" s="54">
        <v>4</v>
      </c>
      <c r="L121" s="54">
        <v>2</v>
      </c>
      <c r="M121" s="54">
        <v>5</v>
      </c>
      <c r="N121" s="54">
        <v>3</v>
      </c>
      <c r="O121" s="54">
        <v>4</v>
      </c>
      <c r="P121" s="54">
        <v>6</v>
      </c>
      <c r="Q121" s="54">
        <v>4</v>
      </c>
      <c r="R121" s="54">
        <v>3</v>
      </c>
      <c r="S121" s="54">
        <v>5</v>
      </c>
      <c r="T121" s="54">
        <v>4</v>
      </c>
      <c r="U121" s="54">
        <v>2</v>
      </c>
      <c r="V121" s="54">
        <v>5</v>
      </c>
      <c r="W121" s="54">
        <v>2</v>
      </c>
      <c r="X121" s="54">
        <v>2</v>
      </c>
      <c r="Y121" s="54">
        <v>5</v>
      </c>
      <c r="Z121" s="54">
        <v>2</v>
      </c>
      <c r="AA121" s="54">
        <v>1</v>
      </c>
      <c r="AB121" s="54">
        <v>2</v>
      </c>
      <c r="AC121" s="54">
        <v>4</v>
      </c>
      <c r="AD121" s="54">
        <v>5</v>
      </c>
      <c r="AE121" s="54">
        <v>2</v>
      </c>
      <c r="AF121" s="54">
        <v>3</v>
      </c>
      <c r="AG121" s="5">
        <f t="shared" si="17"/>
        <v>105</v>
      </c>
      <c r="AK121" s="84" t="s">
        <v>132</v>
      </c>
    </row>
    <row r="122" spans="1:37" ht="15.75" customHeight="1" x14ac:dyDescent="0.25">
      <c r="A122" s="85" t="s">
        <v>67</v>
      </c>
      <c r="B122" s="54">
        <v>15</v>
      </c>
      <c r="C122" s="54">
        <v>6</v>
      </c>
      <c r="D122" s="54">
        <v>11</v>
      </c>
      <c r="E122" s="54">
        <v>6</v>
      </c>
      <c r="F122" s="54">
        <v>4</v>
      </c>
      <c r="G122" s="54">
        <v>2</v>
      </c>
      <c r="H122" s="54">
        <v>6</v>
      </c>
      <c r="I122" s="54">
        <v>4</v>
      </c>
      <c r="J122" s="54">
        <v>7</v>
      </c>
      <c r="K122" s="54">
        <v>11</v>
      </c>
      <c r="L122" s="54">
        <v>5</v>
      </c>
      <c r="M122" s="54">
        <v>5</v>
      </c>
      <c r="N122" s="54">
        <v>8</v>
      </c>
      <c r="O122" s="54">
        <v>20</v>
      </c>
      <c r="P122" s="54">
        <v>8</v>
      </c>
      <c r="Q122" s="54">
        <v>14</v>
      </c>
      <c r="R122" s="54">
        <v>16</v>
      </c>
      <c r="S122" s="54">
        <v>5</v>
      </c>
      <c r="T122" s="54">
        <v>9</v>
      </c>
      <c r="U122" s="54">
        <v>8</v>
      </c>
      <c r="V122" s="54">
        <v>7</v>
      </c>
      <c r="W122" s="54">
        <v>6</v>
      </c>
      <c r="X122" s="54">
        <v>6</v>
      </c>
      <c r="Y122" s="54">
        <v>5</v>
      </c>
      <c r="Z122" s="54">
        <v>12</v>
      </c>
      <c r="AA122" s="54">
        <v>6</v>
      </c>
      <c r="AB122" s="54">
        <v>12</v>
      </c>
      <c r="AC122" s="54">
        <v>15</v>
      </c>
      <c r="AD122" s="54">
        <v>14</v>
      </c>
      <c r="AE122" s="54">
        <v>11</v>
      </c>
      <c r="AF122" s="54">
        <v>7</v>
      </c>
      <c r="AG122" s="5">
        <f t="shared" si="17"/>
        <v>271</v>
      </c>
      <c r="AK122" s="88" t="s">
        <v>133</v>
      </c>
    </row>
    <row r="123" spans="1:37" ht="15.75" customHeight="1" x14ac:dyDescent="0.25">
      <c r="A123" s="85" t="s">
        <v>68</v>
      </c>
      <c r="B123" s="54">
        <v>9</v>
      </c>
      <c r="C123" s="54">
        <v>4</v>
      </c>
      <c r="D123" s="54">
        <v>2</v>
      </c>
      <c r="E123" s="54">
        <v>6</v>
      </c>
      <c r="F123" s="54">
        <v>6</v>
      </c>
      <c r="G123" s="54">
        <v>8</v>
      </c>
      <c r="H123" s="54">
        <v>8</v>
      </c>
      <c r="I123" s="54">
        <v>5</v>
      </c>
      <c r="J123" s="54">
        <v>11</v>
      </c>
      <c r="K123" s="54">
        <v>8</v>
      </c>
      <c r="L123" s="54">
        <v>4</v>
      </c>
      <c r="M123" s="54">
        <v>1</v>
      </c>
      <c r="N123" s="54">
        <v>4</v>
      </c>
      <c r="O123" s="54">
        <v>5</v>
      </c>
      <c r="P123" s="54">
        <v>10</v>
      </c>
      <c r="Q123" s="54">
        <v>2</v>
      </c>
      <c r="R123" s="54">
        <v>6</v>
      </c>
      <c r="S123" s="54">
        <v>3</v>
      </c>
      <c r="T123" s="54">
        <v>4</v>
      </c>
      <c r="U123" s="54">
        <v>1</v>
      </c>
      <c r="V123" s="54">
        <v>4</v>
      </c>
      <c r="W123" s="54">
        <v>12</v>
      </c>
      <c r="X123" s="54">
        <v>4</v>
      </c>
      <c r="Y123" s="54">
        <v>1</v>
      </c>
      <c r="Z123" s="54">
        <v>6</v>
      </c>
      <c r="AA123" s="54">
        <v>5</v>
      </c>
      <c r="AB123" s="54">
        <v>12</v>
      </c>
      <c r="AC123" s="54">
        <v>6</v>
      </c>
      <c r="AD123" s="54">
        <v>5</v>
      </c>
      <c r="AE123" s="54">
        <v>5</v>
      </c>
      <c r="AF123" s="54">
        <v>5</v>
      </c>
      <c r="AG123" s="5">
        <f t="shared" si="17"/>
        <v>172</v>
      </c>
      <c r="AK123" s="84" t="s">
        <v>134</v>
      </c>
    </row>
    <row r="124" spans="1:37" ht="15.75" customHeight="1" x14ac:dyDescent="0.25">
      <c r="A124" s="85" t="s">
        <v>69</v>
      </c>
      <c r="B124" s="54">
        <v>14</v>
      </c>
      <c r="C124" s="54">
        <v>15</v>
      </c>
      <c r="D124" s="54">
        <v>17</v>
      </c>
      <c r="E124" s="54">
        <v>13</v>
      </c>
      <c r="F124" s="54">
        <v>4</v>
      </c>
      <c r="G124" s="54">
        <v>6</v>
      </c>
      <c r="H124" s="54">
        <v>10</v>
      </c>
      <c r="I124" s="54">
        <v>10</v>
      </c>
      <c r="J124" s="54">
        <v>8</v>
      </c>
      <c r="K124" s="54">
        <v>5</v>
      </c>
      <c r="L124" s="54">
        <v>5</v>
      </c>
      <c r="M124" s="54">
        <v>10</v>
      </c>
      <c r="N124" s="54">
        <v>11</v>
      </c>
      <c r="O124" s="54">
        <v>10</v>
      </c>
      <c r="P124" s="54">
        <v>16</v>
      </c>
      <c r="Q124" s="54">
        <v>6</v>
      </c>
      <c r="R124" s="54">
        <v>9</v>
      </c>
      <c r="S124" s="54">
        <v>10</v>
      </c>
      <c r="T124" s="54">
        <v>7</v>
      </c>
      <c r="U124" s="54">
        <v>6</v>
      </c>
      <c r="V124" s="54">
        <v>13</v>
      </c>
      <c r="W124" s="54">
        <v>16</v>
      </c>
      <c r="X124" s="54">
        <v>13</v>
      </c>
      <c r="Y124" s="54">
        <v>7</v>
      </c>
      <c r="Z124" s="54">
        <v>10</v>
      </c>
      <c r="AA124" s="54">
        <v>18</v>
      </c>
      <c r="AB124" s="54">
        <v>8</v>
      </c>
      <c r="AC124" s="54">
        <v>10</v>
      </c>
      <c r="AD124" s="54">
        <v>22</v>
      </c>
      <c r="AE124" s="54">
        <v>6</v>
      </c>
      <c r="AF124" s="54">
        <v>5</v>
      </c>
      <c r="AG124" s="5">
        <f t="shared" si="17"/>
        <v>320</v>
      </c>
      <c r="AK124" s="88" t="s">
        <v>135</v>
      </c>
    </row>
    <row r="125" spans="1:37" ht="15.75" customHeight="1" x14ac:dyDescent="0.25">
      <c r="A125" s="85" t="s">
        <v>70</v>
      </c>
      <c r="B125" s="54">
        <v>73</v>
      </c>
      <c r="C125" s="54">
        <v>49</v>
      </c>
      <c r="D125" s="54">
        <v>54</v>
      </c>
      <c r="E125" s="54">
        <v>50</v>
      </c>
      <c r="F125" s="54">
        <v>38</v>
      </c>
      <c r="G125" s="54">
        <v>53</v>
      </c>
      <c r="H125" s="54">
        <v>92</v>
      </c>
      <c r="I125" s="54">
        <v>74</v>
      </c>
      <c r="J125" s="54">
        <v>39</v>
      </c>
      <c r="K125" s="54">
        <v>42</v>
      </c>
      <c r="L125" s="54">
        <v>55</v>
      </c>
      <c r="M125" s="54">
        <v>38</v>
      </c>
      <c r="N125" s="54">
        <v>54</v>
      </c>
      <c r="O125" s="54">
        <v>87</v>
      </c>
      <c r="P125" s="54">
        <v>69</v>
      </c>
      <c r="Q125" s="54">
        <v>57</v>
      </c>
      <c r="R125" s="54">
        <v>63</v>
      </c>
      <c r="S125" s="54">
        <v>52</v>
      </c>
      <c r="T125" s="54">
        <v>32</v>
      </c>
      <c r="U125" s="54">
        <v>37</v>
      </c>
      <c r="V125" s="54">
        <v>69</v>
      </c>
      <c r="W125" s="54">
        <v>76</v>
      </c>
      <c r="X125" s="54">
        <v>46</v>
      </c>
      <c r="Y125" s="54">
        <v>44</v>
      </c>
      <c r="Z125" s="54">
        <v>64</v>
      </c>
      <c r="AA125" s="54">
        <v>49</v>
      </c>
      <c r="AB125" s="54">
        <v>50</v>
      </c>
      <c r="AC125" s="54">
        <v>73</v>
      </c>
      <c r="AD125" s="54">
        <v>91</v>
      </c>
      <c r="AE125" s="54">
        <v>36</v>
      </c>
      <c r="AF125" s="54">
        <v>30</v>
      </c>
      <c r="AG125" s="5">
        <f t="shared" si="17"/>
        <v>1736</v>
      </c>
      <c r="AK125" s="88" t="s">
        <v>136</v>
      </c>
    </row>
    <row r="126" spans="1:37" ht="15.75" customHeight="1" x14ac:dyDescent="0.25">
      <c r="A126" s="85" t="s">
        <v>71</v>
      </c>
      <c r="B126" s="54">
        <v>3</v>
      </c>
      <c r="C126" s="54">
        <v>3</v>
      </c>
      <c r="D126" s="54">
        <v>2</v>
      </c>
      <c r="E126" s="54">
        <v>3</v>
      </c>
      <c r="F126" s="54">
        <v>3</v>
      </c>
      <c r="G126" s="54">
        <v>2</v>
      </c>
      <c r="H126" s="54">
        <v>2</v>
      </c>
      <c r="I126" s="54">
        <v>5</v>
      </c>
      <c r="J126" s="54">
        <v>3</v>
      </c>
      <c r="K126" s="54">
        <v>1</v>
      </c>
      <c r="L126" s="54">
        <v>2</v>
      </c>
      <c r="M126" s="54">
        <v>0</v>
      </c>
      <c r="N126" s="54">
        <v>3</v>
      </c>
      <c r="O126" s="54">
        <v>7</v>
      </c>
      <c r="P126" s="54">
        <v>4</v>
      </c>
      <c r="Q126" s="54">
        <v>2</v>
      </c>
      <c r="R126" s="54">
        <v>2</v>
      </c>
      <c r="S126" s="54">
        <v>0</v>
      </c>
      <c r="T126" s="54">
        <v>1</v>
      </c>
      <c r="U126" s="54">
        <v>4</v>
      </c>
      <c r="V126" s="54">
        <v>3</v>
      </c>
      <c r="W126" s="54">
        <v>1</v>
      </c>
      <c r="X126" s="54">
        <v>3</v>
      </c>
      <c r="Y126" s="54">
        <v>0</v>
      </c>
      <c r="Z126" s="54">
        <v>3</v>
      </c>
      <c r="AA126" s="54">
        <v>1</v>
      </c>
      <c r="AB126" s="54">
        <v>3</v>
      </c>
      <c r="AC126" s="54">
        <v>6</v>
      </c>
      <c r="AD126" s="54">
        <v>6</v>
      </c>
      <c r="AE126" s="54">
        <v>3</v>
      </c>
      <c r="AF126" s="54">
        <v>2</v>
      </c>
      <c r="AG126" s="5">
        <f t="shared" si="17"/>
        <v>83</v>
      </c>
      <c r="AK126" s="84" t="s">
        <v>137</v>
      </c>
    </row>
    <row r="127" spans="1:37" ht="15.75" customHeight="1" x14ac:dyDescent="0.25">
      <c r="A127" s="85" t="s">
        <v>72</v>
      </c>
      <c r="B127" s="54">
        <v>1</v>
      </c>
      <c r="C127" s="54">
        <v>3</v>
      </c>
      <c r="D127" s="54">
        <v>1</v>
      </c>
      <c r="E127" s="54">
        <v>3</v>
      </c>
      <c r="F127" s="54">
        <v>0</v>
      </c>
      <c r="G127" s="54">
        <v>0</v>
      </c>
      <c r="H127" s="54">
        <v>3</v>
      </c>
      <c r="I127" s="54">
        <v>3</v>
      </c>
      <c r="J127" s="54">
        <v>0</v>
      </c>
      <c r="K127" s="54">
        <v>2</v>
      </c>
      <c r="L127" s="54">
        <v>0</v>
      </c>
      <c r="M127" s="54">
        <v>1</v>
      </c>
      <c r="N127" s="54">
        <v>0</v>
      </c>
      <c r="O127" s="54">
        <v>0</v>
      </c>
      <c r="P127" s="54">
        <v>0</v>
      </c>
      <c r="Q127" s="54">
        <v>0</v>
      </c>
      <c r="R127" s="54">
        <v>0</v>
      </c>
      <c r="S127" s="54">
        <v>0</v>
      </c>
      <c r="T127" s="54">
        <v>3</v>
      </c>
      <c r="U127" s="54">
        <v>0</v>
      </c>
      <c r="V127" s="54">
        <v>3</v>
      </c>
      <c r="W127" s="54">
        <v>1</v>
      </c>
      <c r="X127" s="54">
        <v>2</v>
      </c>
      <c r="Y127" s="54">
        <v>2</v>
      </c>
      <c r="Z127" s="54">
        <v>1</v>
      </c>
      <c r="AA127" s="54">
        <v>0</v>
      </c>
      <c r="AB127" s="54">
        <v>3</v>
      </c>
      <c r="AC127" s="54">
        <v>2</v>
      </c>
      <c r="AD127" s="54">
        <v>0</v>
      </c>
      <c r="AE127" s="54">
        <v>0</v>
      </c>
      <c r="AF127" s="54">
        <v>0</v>
      </c>
      <c r="AG127" s="5">
        <f t="shared" si="17"/>
        <v>34</v>
      </c>
      <c r="AK127" s="88" t="s">
        <v>138</v>
      </c>
    </row>
    <row r="128" spans="1:37" ht="15.75" customHeight="1" x14ac:dyDescent="0.25">
      <c r="A128" s="56" t="s">
        <v>73</v>
      </c>
      <c r="B128" s="54">
        <v>3</v>
      </c>
      <c r="C128" s="54">
        <v>2</v>
      </c>
      <c r="D128" s="54">
        <v>1</v>
      </c>
      <c r="E128" s="54">
        <v>3</v>
      </c>
      <c r="F128" s="54">
        <v>1</v>
      </c>
      <c r="G128" s="54">
        <v>1</v>
      </c>
      <c r="H128" s="54">
        <v>1</v>
      </c>
      <c r="I128" s="54">
        <v>0</v>
      </c>
      <c r="J128" s="54">
        <v>2</v>
      </c>
      <c r="K128" s="54">
        <v>0</v>
      </c>
      <c r="L128" s="54">
        <v>1</v>
      </c>
      <c r="M128" s="54">
        <v>0</v>
      </c>
      <c r="N128" s="54">
        <v>0</v>
      </c>
      <c r="O128" s="54">
        <v>2</v>
      </c>
      <c r="P128" s="54">
        <v>1</v>
      </c>
      <c r="Q128" s="54">
        <v>1</v>
      </c>
      <c r="R128" s="54">
        <v>1</v>
      </c>
      <c r="S128" s="54">
        <v>0</v>
      </c>
      <c r="T128" s="54">
        <v>1</v>
      </c>
      <c r="U128" s="54">
        <v>0</v>
      </c>
      <c r="V128" s="54">
        <v>4</v>
      </c>
      <c r="W128" s="54">
        <v>2</v>
      </c>
      <c r="X128" s="54">
        <v>2</v>
      </c>
      <c r="Y128" s="54">
        <v>1</v>
      </c>
      <c r="Z128" s="54">
        <v>2</v>
      </c>
      <c r="AA128" s="54">
        <v>0</v>
      </c>
      <c r="AB128" s="54">
        <v>0</v>
      </c>
      <c r="AC128" s="54">
        <v>2</v>
      </c>
      <c r="AD128" s="54">
        <v>2</v>
      </c>
      <c r="AE128" s="54">
        <v>1</v>
      </c>
      <c r="AF128" s="54">
        <v>2</v>
      </c>
      <c r="AG128" s="5">
        <f t="shared" si="17"/>
        <v>39</v>
      </c>
      <c r="AK128" s="88" t="s">
        <v>139</v>
      </c>
    </row>
    <row r="129" spans="1:37" ht="15.75" customHeight="1" x14ac:dyDescent="0.25">
      <c r="A129" s="56" t="s">
        <v>74</v>
      </c>
      <c r="B129" s="54">
        <v>1</v>
      </c>
      <c r="C129" s="54">
        <v>0</v>
      </c>
      <c r="D129" s="54">
        <v>2</v>
      </c>
      <c r="E129" s="54">
        <v>1</v>
      </c>
      <c r="F129" s="54">
        <v>0</v>
      </c>
      <c r="G129" s="54">
        <v>1</v>
      </c>
      <c r="H129" s="54">
        <v>0</v>
      </c>
      <c r="I129" s="54">
        <v>0</v>
      </c>
      <c r="J129" s="54">
        <v>0</v>
      </c>
      <c r="K129" s="54">
        <v>2</v>
      </c>
      <c r="L129" s="54">
        <v>0</v>
      </c>
      <c r="M129" s="54">
        <v>1</v>
      </c>
      <c r="N129" s="54">
        <v>2</v>
      </c>
      <c r="O129" s="54">
        <v>0</v>
      </c>
      <c r="P129" s="54">
        <v>3</v>
      </c>
      <c r="Q129" s="54">
        <v>2</v>
      </c>
      <c r="R129" s="54">
        <v>1</v>
      </c>
      <c r="S129" s="54">
        <v>0</v>
      </c>
      <c r="T129" s="54">
        <v>0</v>
      </c>
      <c r="U129" s="54">
        <v>0</v>
      </c>
      <c r="V129" s="54">
        <v>1</v>
      </c>
      <c r="W129" s="54">
        <v>2</v>
      </c>
      <c r="X129" s="54">
        <v>0</v>
      </c>
      <c r="Y129" s="54">
        <v>0</v>
      </c>
      <c r="Z129" s="54">
        <v>0</v>
      </c>
      <c r="AA129" s="54">
        <v>0</v>
      </c>
      <c r="AB129" s="54">
        <v>1</v>
      </c>
      <c r="AC129" s="54">
        <v>3</v>
      </c>
      <c r="AD129" s="54">
        <v>2</v>
      </c>
      <c r="AE129" s="54">
        <v>1</v>
      </c>
      <c r="AF129" s="54">
        <v>1</v>
      </c>
      <c r="AG129" s="5">
        <f t="shared" si="17"/>
        <v>27</v>
      </c>
      <c r="AK129" s="84" t="s">
        <v>140</v>
      </c>
    </row>
    <row r="130" spans="1:37" ht="15.75" customHeight="1" x14ac:dyDescent="0.25">
      <c r="A130" s="56" t="s">
        <v>75</v>
      </c>
      <c r="B130" s="54">
        <v>0</v>
      </c>
      <c r="C130" s="54">
        <v>2</v>
      </c>
      <c r="D130" s="54">
        <v>0</v>
      </c>
      <c r="E130" s="54">
        <v>0</v>
      </c>
      <c r="F130" s="54">
        <v>0</v>
      </c>
      <c r="G130" s="54">
        <v>0</v>
      </c>
      <c r="H130" s="54">
        <v>0</v>
      </c>
      <c r="I130" s="54">
        <v>1</v>
      </c>
      <c r="J130" s="54">
        <v>0</v>
      </c>
      <c r="K130" s="54">
        <v>0</v>
      </c>
      <c r="L130" s="54">
        <v>0</v>
      </c>
      <c r="M130" s="54">
        <v>1</v>
      </c>
      <c r="N130" s="54">
        <v>0</v>
      </c>
      <c r="O130" s="54">
        <v>0</v>
      </c>
      <c r="P130" s="54">
        <v>1</v>
      </c>
      <c r="Q130" s="54">
        <v>0</v>
      </c>
      <c r="R130" s="54">
        <v>1</v>
      </c>
      <c r="S130" s="54">
        <v>0</v>
      </c>
      <c r="T130" s="54">
        <v>0</v>
      </c>
      <c r="U130" s="54">
        <v>0</v>
      </c>
      <c r="V130" s="54">
        <v>1</v>
      </c>
      <c r="W130" s="54">
        <v>1</v>
      </c>
      <c r="X130" s="54">
        <v>1</v>
      </c>
      <c r="Y130" s="54">
        <v>0</v>
      </c>
      <c r="Z130" s="54">
        <v>0</v>
      </c>
      <c r="AA130" s="54">
        <v>0</v>
      </c>
      <c r="AB130" s="54">
        <v>0</v>
      </c>
      <c r="AC130" s="54">
        <v>0</v>
      </c>
      <c r="AD130" s="54">
        <v>1</v>
      </c>
      <c r="AE130" s="54">
        <v>0</v>
      </c>
      <c r="AF130" s="54">
        <v>0</v>
      </c>
      <c r="AG130" s="5">
        <f t="shared" si="17"/>
        <v>10</v>
      </c>
      <c r="AK130" s="84" t="s">
        <v>141</v>
      </c>
    </row>
    <row r="131" spans="1:37" ht="15.75" customHeight="1" x14ac:dyDescent="0.25">
      <c r="A131" s="85" t="s">
        <v>76</v>
      </c>
      <c r="B131" s="54">
        <v>10</v>
      </c>
      <c r="C131" s="54">
        <v>8</v>
      </c>
      <c r="D131" s="54">
        <v>12</v>
      </c>
      <c r="E131" s="54">
        <v>3</v>
      </c>
      <c r="F131" s="54">
        <v>4</v>
      </c>
      <c r="G131" s="54">
        <v>6</v>
      </c>
      <c r="H131" s="54">
        <v>8</v>
      </c>
      <c r="I131" s="54">
        <v>7</v>
      </c>
      <c r="J131" s="54">
        <v>8</v>
      </c>
      <c r="K131" s="54">
        <v>7</v>
      </c>
      <c r="L131" s="54">
        <v>10</v>
      </c>
      <c r="M131" s="54">
        <v>7</v>
      </c>
      <c r="N131" s="54">
        <v>4</v>
      </c>
      <c r="O131" s="54">
        <v>9</v>
      </c>
      <c r="P131" s="54">
        <v>8</v>
      </c>
      <c r="Q131" s="54">
        <v>9</v>
      </c>
      <c r="R131" s="54">
        <v>8</v>
      </c>
      <c r="S131" s="54">
        <v>6</v>
      </c>
      <c r="T131" s="54">
        <v>2</v>
      </c>
      <c r="U131" s="54">
        <v>10</v>
      </c>
      <c r="V131" s="54">
        <v>9</v>
      </c>
      <c r="W131" s="54">
        <v>8</v>
      </c>
      <c r="X131" s="54">
        <v>9</v>
      </c>
      <c r="Y131" s="54">
        <v>6</v>
      </c>
      <c r="Z131" s="54">
        <v>11</v>
      </c>
      <c r="AA131" s="54">
        <v>6</v>
      </c>
      <c r="AB131" s="54">
        <v>5</v>
      </c>
      <c r="AC131" s="54">
        <v>11</v>
      </c>
      <c r="AD131" s="54">
        <v>1</v>
      </c>
      <c r="AE131" s="54">
        <v>7</v>
      </c>
      <c r="AF131" s="54">
        <v>6</v>
      </c>
      <c r="AG131" s="5">
        <f t="shared" si="17"/>
        <v>225</v>
      </c>
      <c r="AK131" s="84" t="s">
        <v>142</v>
      </c>
    </row>
    <row r="132" spans="1:37" ht="15.75" customHeight="1" thickBot="1" x14ac:dyDescent="0.3">
      <c r="A132" s="86" t="s">
        <v>77</v>
      </c>
      <c r="B132" s="87">
        <v>8</v>
      </c>
      <c r="C132" s="87">
        <v>5</v>
      </c>
      <c r="D132" s="87">
        <v>8</v>
      </c>
      <c r="E132" s="87">
        <v>5</v>
      </c>
      <c r="F132" s="87">
        <v>5</v>
      </c>
      <c r="G132" s="87">
        <v>8</v>
      </c>
      <c r="H132" s="87">
        <v>10</v>
      </c>
      <c r="I132" s="87">
        <v>6</v>
      </c>
      <c r="J132" s="87">
        <v>8</v>
      </c>
      <c r="K132" s="87">
        <v>2</v>
      </c>
      <c r="L132" s="87">
        <v>4</v>
      </c>
      <c r="M132" s="87">
        <v>4</v>
      </c>
      <c r="N132" s="87">
        <v>4</v>
      </c>
      <c r="O132" s="87">
        <v>4</v>
      </c>
      <c r="P132" s="87">
        <v>11</v>
      </c>
      <c r="Q132" s="87">
        <v>3</v>
      </c>
      <c r="R132" s="87">
        <v>1</v>
      </c>
      <c r="S132" s="87">
        <v>6</v>
      </c>
      <c r="T132" s="87">
        <v>10</v>
      </c>
      <c r="U132" s="87">
        <v>8</v>
      </c>
      <c r="V132" s="87">
        <v>11</v>
      </c>
      <c r="W132" s="87">
        <v>8</v>
      </c>
      <c r="X132" s="87">
        <v>2</v>
      </c>
      <c r="Y132" s="87">
        <v>4</v>
      </c>
      <c r="Z132" s="87">
        <v>13</v>
      </c>
      <c r="AA132" s="87">
        <v>7</v>
      </c>
      <c r="AB132" s="87">
        <v>6</v>
      </c>
      <c r="AC132" s="87">
        <v>13</v>
      </c>
      <c r="AD132" s="87">
        <v>9</v>
      </c>
      <c r="AE132" s="87">
        <v>4</v>
      </c>
      <c r="AF132" s="87">
        <v>5</v>
      </c>
      <c r="AG132" s="9">
        <f t="shared" si="17"/>
        <v>202</v>
      </c>
      <c r="AK132" s="84" t="s">
        <v>143</v>
      </c>
    </row>
    <row r="133" spans="1:37" ht="15.75" customHeight="1" thickBot="1" x14ac:dyDescent="0.3">
      <c r="A133" s="67" t="s">
        <v>79</v>
      </c>
      <c r="B133" s="14">
        <f t="shared" ref="B133:AF133" si="21">+B28</f>
        <v>194</v>
      </c>
      <c r="C133" s="14">
        <f t="shared" si="21"/>
        <v>125</v>
      </c>
      <c r="D133" s="14">
        <f t="shared" si="21"/>
        <v>149</v>
      </c>
      <c r="E133" s="14">
        <f t="shared" si="21"/>
        <v>129</v>
      </c>
      <c r="F133" s="14">
        <f t="shared" si="21"/>
        <v>92</v>
      </c>
      <c r="G133" s="14">
        <f t="shared" si="21"/>
        <v>132</v>
      </c>
      <c r="H133" s="14">
        <f t="shared" si="21"/>
        <v>190</v>
      </c>
      <c r="I133" s="14">
        <f t="shared" si="21"/>
        <v>154</v>
      </c>
      <c r="J133" s="14">
        <f t="shared" si="21"/>
        <v>127</v>
      </c>
      <c r="K133" s="14">
        <f t="shared" si="21"/>
        <v>121</v>
      </c>
      <c r="L133" s="14">
        <f t="shared" si="21"/>
        <v>116</v>
      </c>
      <c r="M133" s="14">
        <f t="shared" si="21"/>
        <v>102</v>
      </c>
      <c r="N133" s="14">
        <f t="shared" si="21"/>
        <v>121</v>
      </c>
      <c r="O133" s="14">
        <f t="shared" si="21"/>
        <v>202</v>
      </c>
      <c r="P133" s="14">
        <f t="shared" si="21"/>
        <v>177</v>
      </c>
      <c r="Q133" s="14">
        <f t="shared" si="21"/>
        <v>122</v>
      </c>
      <c r="R133" s="14">
        <f t="shared" si="21"/>
        <v>145</v>
      </c>
      <c r="S133" s="14">
        <f t="shared" si="21"/>
        <v>114</v>
      </c>
      <c r="T133" s="14">
        <f t="shared" si="21"/>
        <v>111</v>
      </c>
      <c r="U133" s="14">
        <f t="shared" si="21"/>
        <v>98</v>
      </c>
      <c r="V133" s="14">
        <f t="shared" si="21"/>
        <v>180</v>
      </c>
      <c r="W133" s="14">
        <f t="shared" si="21"/>
        <v>164</v>
      </c>
      <c r="X133" s="14">
        <f t="shared" si="21"/>
        <v>115</v>
      </c>
      <c r="Y133" s="14">
        <f t="shared" si="21"/>
        <v>104</v>
      </c>
      <c r="Z133" s="14">
        <f t="shared" si="21"/>
        <v>157</v>
      </c>
      <c r="AA133" s="14">
        <f t="shared" si="21"/>
        <v>120</v>
      </c>
      <c r="AB133" s="14">
        <f t="shared" si="21"/>
        <v>129</v>
      </c>
      <c r="AC133" s="14">
        <f t="shared" si="21"/>
        <v>176</v>
      </c>
      <c r="AD133" s="14">
        <f t="shared" si="21"/>
        <v>205</v>
      </c>
      <c r="AE133" s="14">
        <f t="shared" si="21"/>
        <v>104</v>
      </c>
      <c r="AF133" s="14">
        <f t="shared" si="21"/>
        <v>86</v>
      </c>
      <c r="AG133" s="10">
        <f t="shared" si="17"/>
        <v>4261</v>
      </c>
      <c r="AH133" s="47" t="str">
        <f>IF(AG133&lt;&gt;AG93,"*","")</f>
        <v/>
      </c>
      <c r="AK133" s="84" t="s">
        <v>144</v>
      </c>
    </row>
    <row r="134" spans="1:37" ht="15.75" customHeight="1" thickBot="1" x14ac:dyDescent="0.3">
      <c r="A134" s="89" t="s">
        <v>32</v>
      </c>
      <c r="B134" s="22">
        <f t="shared" ref="B134:AF134" si="22">+B53</f>
        <v>34</v>
      </c>
      <c r="C134" s="22">
        <f t="shared" si="22"/>
        <v>47</v>
      </c>
      <c r="D134" s="22">
        <f t="shared" si="22"/>
        <v>8</v>
      </c>
      <c r="E134" s="22">
        <f t="shared" si="22"/>
        <v>10</v>
      </c>
      <c r="F134" s="22">
        <f t="shared" si="22"/>
        <v>59</v>
      </c>
      <c r="G134" s="22">
        <f t="shared" si="22"/>
        <v>17</v>
      </c>
      <c r="H134" s="22">
        <f t="shared" si="22"/>
        <v>17</v>
      </c>
      <c r="I134" s="22">
        <f t="shared" si="22"/>
        <v>44</v>
      </c>
      <c r="J134" s="22">
        <f t="shared" si="22"/>
        <v>36</v>
      </c>
      <c r="K134" s="22">
        <f t="shared" si="22"/>
        <v>12</v>
      </c>
      <c r="L134" s="22">
        <f t="shared" si="22"/>
        <v>7</v>
      </c>
      <c r="M134" s="22">
        <f t="shared" si="22"/>
        <v>36</v>
      </c>
      <c r="N134" s="22">
        <f t="shared" si="22"/>
        <v>20</v>
      </c>
      <c r="O134" s="22">
        <f t="shared" si="22"/>
        <v>20</v>
      </c>
      <c r="P134" s="22">
        <f t="shared" si="22"/>
        <v>20</v>
      </c>
      <c r="Q134" s="22">
        <f t="shared" si="22"/>
        <v>25</v>
      </c>
      <c r="R134" s="22">
        <f t="shared" si="22"/>
        <v>14</v>
      </c>
      <c r="S134" s="22">
        <f t="shared" si="22"/>
        <v>7</v>
      </c>
      <c r="T134" s="22">
        <f t="shared" si="22"/>
        <v>12</v>
      </c>
      <c r="U134" s="22">
        <f t="shared" si="22"/>
        <v>5</v>
      </c>
      <c r="V134" s="22">
        <f t="shared" si="22"/>
        <v>9</v>
      </c>
      <c r="W134" s="22">
        <f t="shared" si="22"/>
        <v>26</v>
      </c>
      <c r="X134" s="22">
        <f t="shared" si="22"/>
        <v>10</v>
      </c>
      <c r="Y134" s="22">
        <f t="shared" si="22"/>
        <v>7</v>
      </c>
      <c r="Z134" s="22">
        <f t="shared" si="22"/>
        <v>2</v>
      </c>
      <c r="AA134" s="22">
        <f t="shared" si="22"/>
        <v>20</v>
      </c>
      <c r="AB134" s="22">
        <f t="shared" si="22"/>
        <v>11</v>
      </c>
      <c r="AC134" s="22">
        <f t="shared" si="22"/>
        <v>6</v>
      </c>
      <c r="AD134" s="22">
        <f t="shared" si="22"/>
        <v>7</v>
      </c>
      <c r="AE134" s="22">
        <f t="shared" si="22"/>
        <v>22</v>
      </c>
      <c r="AF134" s="22">
        <f t="shared" si="22"/>
        <v>2</v>
      </c>
      <c r="AG134" s="23">
        <f t="shared" si="17"/>
        <v>572</v>
      </c>
      <c r="AK134" s="84" t="s">
        <v>145</v>
      </c>
    </row>
    <row r="135" spans="1:37" ht="15.75" customHeight="1" thickBot="1" x14ac:dyDescent="0.3">
      <c r="A135" s="52" t="s">
        <v>80</v>
      </c>
      <c r="B135" s="1">
        <f t="shared" ref="B135:AF135" si="23">SUM(B136:B138)</f>
        <v>2</v>
      </c>
      <c r="C135" s="1">
        <f t="shared" si="23"/>
        <v>1</v>
      </c>
      <c r="D135" s="1">
        <f t="shared" si="23"/>
        <v>0</v>
      </c>
      <c r="E135" s="1">
        <f t="shared" si="23"/>
        <v>0</v>
      </c>
      <c r="F135" s="1">
        <f t="shared" si="23"/>
        <v>0</v>
      </c>
      <c r="G135" s="1">
        <f t="shared" si="23"/>
        <v>2</v>
      </c>
      <c r="H135" s="1">
        <f t="shared" si="23"/>
        <v>0</v>
      </c>
      <c r="I135" s="1">
        <f t="shared" si="23"/>
        <v>1</v>
      </c>
      <c r="J135" s="1">
        <f t="shared" si="23"/>
        <v>1</v>
      </c>
      <c r="K135" s="1">
        <f t="shared" si="23"/>
        <v>1</v>
      </c>
      <c r="L135" s="1">
        <f t="shared" si="23"/>
        <v>0</v>
      </c>
      <c r="M135" s="1">
        <f t="shared" si="23"/>
        <v>0</v>
      </c>
      <c r="N135" s="1">
        <f t="shared" si="23"/>
        <v>1</v>
      </c>
      <c r="O135" s="1">
        <f t="shared" si="23"/>
        <v>0</v>
      </c>
      <c r="P135" s="1">
        <f t="shared" si="23"/>
        <v>0</v>
      </c>
      <c r="Q135" s="1">
        <f t="shared" si="23"/>
        <v>0</v>
      </c>
      <c r="R135" s="1">
        <f t="shared" si="23"/>
        <v>0</v>
      </c>
      <c r="S135" s="1">
        <f t="shared" si="23"/>
        <v>0</v>
      </c>
      <c r="T135" s="1">
        <f t="shared" si="23"/>
        <v>0</v>
      </c>
      <c r="U135" s="1">
        <f t="shared" si="23"/>
        <v>0</v>
      </c>
      <c r="V135" s="1">
        <f t="shared" si="23"/>
        <v>0</v>
      </c>
      <c r="W135" s="1">
        <f t="shared" si="23"/>
        <v>0</v>
      </c>
      <c r="X135" s="1">
        <f t="shared" si="23"/>
        <v>0</v>
      </c>
      <c r="Y135" s="1">
        <f t="shared" si="23"/>
        <v>0</v>
      </c>
      <c r="Z135" s="1">
        <f t="shared" si="23"/>
        <v>0</v>
      </c>
      <c r="AA135" s="1">
        <f t="shared" si="23"/>
        <v>1</v>
      </c>
      <c r="AB135" s="1">
        <f t="shared" si="23"/>
        <v>0</v>
      </c>
      <c r="AC135" s="1">
        <f t="shared" si="23"/>
        <v>1</v>
      </c>
      <c r="AD135" s="1">
        <f t="shared" si="23"/>
        <v>1</v>
      </c>
      <c r="AE135" s="1">
        <f t="shared" si="23"/>
        <v>0</v>
      </c>
      <c r="AF135" s="1">
        <f t="shared" si="23"/>
        <v>2</v>
      </c>
      <c r="AG135" s="2">
        <f t="shared" si="17"/>
        <v>14</v>
      </c>
      <c r="AH135" s="133" t="s">
        <v>81</v>
      </c>
      <c r="AK135" s="84" t="s">
        <v>146</v>
      </c>
    </row>
    <row r="136" spans="1:37" ht="15.75" customHeight="1" x14ac:dyDescent="0.25">
      <c r="A136" s="90" t="s">
        <v>82</v>
      </c>
      <c r="B136" s="91">
        <v>2</v>
      </c>
      <c r="C136" s="91">
        <v>1</v>
      </c>
      <c r="D136" s="91">
        <v>0</v>
      </c>
      <c r="E136" s="91">
        <v>0</v>
      </c>
      <c r="F136" s="91">
        <v>0</v>
      </c>
      <c r="G136" s="91">
        <v>2</v>
      </c>
      <c r="H136" s="91">
        <v>0</v>
      </c>
      <c r="I136" s="91">
        <v>1</v>
      </c>
      <c r="J136" s="91">
        <v>1</v>
      </c>
      <c r="K136" s="91">
        <v>1</v>
      </c>
      <c r="L136" s="91">
        <v>0</v>
      </c>
      <c r="M136" s="91">
        <v>0</v>
      </c>
      <c r="N136" s="91">
        <v>1</v>
      </c>
      <c r="O136" s="91">
        <v>0</v>
      </c>
      <c r="P136" s="91">
        <v>0</v>
      </c>
      <c r="Q136" s="91">
        <v>0</v>
      </c>
      <c r="R136" s="91">
        <v>0</v>
      </c>
      <c r="S136" s="91">
        <v>0</v>
      </c>
      <c r="T136" s="91">
        <v>0</v>
      </c>
      <c r="U136" s="91">
        <v>0</v>
      </c>
      <c r="V136" s="91">
        <v>0</v>
      </c>
      <c r="W136" s="91">
        <v>0</v>
      </c>
      <c r="X136" s="91">
        <v>0</v>
      </c>
      <c r="Y136" s="91">
        <v>0</v>
      </c>
      <c r="Z136" s="91">
        <v>0</v>
      </c>
      <c r="AA136" s="91">
        <v>1</v>
      </c>
      <c r="AB136" s="91">
        <v>0</v>
      </c>
      <c r="AC136" s="91">
        <v>1</v>
      </c>
      <c r="AD136" s="91">
        <v>1</v>
      </c>
      <c r="AE136" s="91">
        <v>0</v>
      </c>
      <c r="AF136" s="91">
        <v>2</v>
      </c>
      <c r="AG136" s="28">
        <f t="shared" si="17"/>
        <v>14</v>
      </c>
      <c r="AK136" s="84" t="s">
        <v>147</v>
      </c>
    </row>
    <row r="137" spans="1:37" ht="15.75" customHeight="1" x14ac:dyDescent="0.25">
      <c r="A137" s="92" t="s">
        <v>83</v>
      </c>
      <c r="B137" s="93">
        <v>0</v>
      </c>
      <c r="C137" s="93">
        <v>0</v>
      </c>
      <c r="D137" s="93">
        <v>0</v>
      </c>
      <c r="E137" s="93">
        <v>0</v>
      </c>
      <c r="F137" s="93">
        <v>0</v>
      </c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29">
        <f t="shared" si="17"/>
        <v>0</v>
      </c>
      <c r="AK137" s="84" t="s">
        <v>148</v>
      </c>
    </row>
    <row r="138" spans="1:37" ht="15.75" customHeight="1" thickBot="1" x14ac:dyDescent="0.3">
      <c r="A138" s="94" t="s">
        <v>84</v>
      </c>
      <c r="B138" s="95">
        <v>0</v>
      </c>
      <c r="C138" s="95">
        <v>0</v>
      </c>
      <c r="D138" s="95">
        <v>0</v>
      </c>
      <c r="E138" s="95">
        <v>0</v>
      </c>
      <c r="F138" s="95">
        <v>0</v>
      </c>
      <c r="G138" s="95">
        <v>0</v>
      </c>
      <c r="H138" s="95">
        <v>0</v>
      </c>
      <c r="I138" s="95">
        <v>0</v>
      </c>
      <c r="J138" s="95">
        <v>0</v>
      </c>
      <c r="K138" s="95">
        <v>0</v>
      </c>
      <c r="L138" s="95">
        <v>0</v>
      </c>
      <c r="M138" s="95">
        <v>0</v>
      </c>
      <c r="N138" s="95">
        <v>0</v>
      </c>
      <c r="O138" s="95">
        <v>0</v>
      </c>
      <c r="P138" s="95">
        <v>0</v>
      </c>
      <c r="Q138" s="95">
        <v>0</v>
      </c>
      <c r="R138" s="95">
        <v>0</v>
      </c>
      <c r="S138" s="95">
        <v>0</v>
      </c>
      <c r="T138" s="95">
        <v>0</v>
      </c>
      <c r="U138" s="95">
        <v>0</v>
      </c>
      <c r="V138" s="95">
        <v>0</v>
      </c>
      <c r="W138" s="95">
        <v>0</v>
      </c>
      <c r="X138" s="95">
        <v>0</v>
      </c>
      <c r="Y138" s="95">
        <v>0</v>
      </c>
      <c r="Z138" s="95">
        <v>0</v>
      </c>
      <c r="AA138" s="95">
        <v>0</v>
      </c>
      <c r="AB138" s="95">
        <v>0</v>
      </c>
      <c r="AC138" s="95">
        <v>0</v>
      </c>
      <c r="AD138" s="95">
        <v>0</v>
      </c>
      <c r="AE138" s="95">
        <v>0</v>
      </c>
      <c r="AF138" s="95">
        <v>0</v>
      </c>
      <c r="AG138" s="30">
        <f t="shared" si="17"/>
        <v>0</v>
      </c>
      <c r="AK138" s="84" t="s">
        <v>149</v>
      </c>
    </row>
    <row r="139" spans="1:37" ht="15.75" customHeight="1" thickBot="1" x14ac:dyDescent="0.3">
      <c r="A139" s="72" t="s">
        <v>85</v>
      </c>
      <c r="B139" s="31">
        <f t="shared" ref="B139:AF139" si="24">SUM(B140:B141)</f>
        <v>3</v>
      </c>
      <c r="C139" s="31">
        <f t="shared" si="24"/>
        <v>1</v>
      </c>
      <c r="D139" s="31">
        <f t="shared" si="24"/>
        <v>0</v>
      </c>
      <c r="E139" s="31">
        <f t="shared" si="24"/>
        <v>1</v>
      </c>
      <c r="F139" s="31">
        <f t="shared" si="24"/>
        <v>2</v>
      </c>
      <c r="G139" s="31">
        <f t="shared" si="24"/>
        <v>4</v>
      </c>
      <c r="H139" s="31">
        <f t="shared" si="24"/>
        <v>3</v>
      </c>
      <c r="I139" s="31">
        <f t="shared" si="24"/>
        <v>2</v>
      </c>
      <c r="J139" s="31">
        <f t="shared" si="24"/>
        <v>0</v>
      </c>
      <c r="K139" s="31">
        <f t="shared" si="24"/>
        <v>1</v>
      </c>
      <c r="L139" s="31">
        <f t="shared" si="24"/>
        <v>5</v>
      </c>
      <c r="M139" s="31">
        <f t="shared" si="24"/>
        <v>5</v>
      </c>
      <c r="N139" s="31">
        <f t="shared" si="24"/>
        <v>10</v>
      </c>
      <c r="O139" s="31">
        <f t="shared" si="24"/>
        <v>7</v>
      </c>
      <c r="P139" s="31">
        <f t="shared" si="24"/>
        <v>2</v>
      </c>
      <c r="Q139" s="31">
        <f t="shared" si="24"/>
        <v>2</v>
      </c>
      <c r="R139" s="31">
        <f t="shared" si="24"/>
        <v>5</v>
      </c>
      <c r="S139" s="31">
        <f t="shared" si="24"/>
        <v>2</v>
      </c>
      <c r="T139" s="31">
        <f t="shared" si="24"/>
        <v>6</v>
      </c>
      <c r="U139" s="31">
        <f t="shared" si="24"/>
        <v>6</v>
      </c>
      <c r="V139" s="31">
        <f t="shared" si="24"/>
        <v>5</v>
      </c>
      <c r="W139" s="31">
        <f t="shared" si="24"/>
        <v>4</v>
      </c>
      <c r="X139" s="31">
        <f t="shared" si="24"/>
        <v>0</v>
      </c>
      <c r="Y139" s="31">
        <f t="shared" si="24"/>
        <v>5</v>
      </c>
      <c r="Z139" s="31">
        <f t="shared" si="24"/>
        <v>3</v>
      </c>
      <c r="AA139" s="31">
        <f t="shared" si="24"/>
        <v>3</v>
      </c>
      <c r="AB139" s="31">
        <f t="shared" si="24"/>
        <v>4</v>
      </c>
      <c r="AC139" s="31">
        <f t="shared" si="24"/>
        <v>2</v>
      </c>
      <c r="AD139" s="31">
        <f t="shared" si="24"/>
        <v>2</v>
      </c>
      <c r="AE139" s="31">
        <f t="shared" si="24"/>
        <v>3</v>
      </c>
      <c r="AF139" s="31">
        <f t="shared" si="24"/>
        <v>2</v>
      </c>
      <c r="AG139" s="32">
        <f t="shared" si="17"/>
        <v>100</v>
      </c>
      <c r="AH139" s="27" t="s">
        <v>86</v>
      </c>
      <c r="AK139" s="84" t="s">
        <v>150</v>
      </c>
    </row>
    <row r="140" spans="1:37" ht="15.75" customHeight="1" x14ac:dyDescent="0.25">
      <c r="A140" s="96" t="s">
        <v>87</v>
      </c>
      <c r="B140" s="97">
        <v>1</v>
      </c>
      <c r="C140" s="97">
        <v>0</v>
      </c>
      <c r="D140" s="97">
        <v>0</v>
      </c>
      <c r="E140" s="97">
        <v>0</v>
      </c>
      <c r="F140" s="97">
        <v>1</v>
      </c>
      <c r="G140" s="97">
        <v>0</v>
      </c>
      <c r="H140" s="97">
        <v>2</v>
      </c>
      <c r="I140" s="97">
        <v>0</v>
      </c>
      <c r="J140" s="97">
        <v>0</v>
      </c>
      <c r="K140" s="97">
        <v>0</v>
      </c>
      <c r="L140" s="97">
        <v>1</v>
      </c>
      <c r="M140" s="97">
        <v>0</v>
      </c>
      <c r="N140" s="97">
        <v>1</v>
      </c>
      <c r="O140" s="97">
        <v>7</v>
      </c>
      <c r="P140" s="97">
        <v>2</v>
      </c>
      <c r="Q140" s="97">
        <v>0</v>
      </c>
      <c r="R140" s="97">
        <v>0</v>
      </c>
      <c r="S140" s="97">
        <v>0</v>
      </c>
      <c r="T140" s="97">
        <v>1</v>
      </c>
      <c r="U140" s="97">
        <v>1</v>
      </c>
      <c r="V140" s="97">
        <v>2</v>
      </c>
      <c r="W140" s="97">
        <v>1</v>
      </c>
      <c r="X140" s="97">
        <v>0</v>
      </c>
      <c r="Y140" s="97">
        <v>2</v>
      </c>
      <c r="Z140" s="97">
        <v>0</v>
      </c>
      <c r="AA140" s="97">
        <v>0</v>
      </c>
      <c r="AB140" s="97">
        <v>1</v>
      </c>
      <c r="AC140" s="97">
        <v>0</v>
      </c>
      <c r="AD140" s="97">
        <v>0</v>
      </c>
      <c r="AE140" s="97">
        <v>0</v>
      </c>
      <c r="AF140" s="97">
        <v>1</v>
      </c>
      <c r="AG140" s="33">
        <f t="shared" si="17"/>
        <v>24</v>
      </c>
      <c r="AH140" s="27" t="s">
        <v>86</v>
      </c>
      <c r="AK140" s="84" t="s">
        <v>151</v>
      </c>
    </row>
    <row r="141" spans="1:37" ht="15.75" customHeight="1" thickBot="1" x14ac:dyDescent="0.3">
      <c r="A141" s="73" t="s">
        <v>88</v>
      </c>
      <c r="B141" s="98">
        <v>2</v>
      </c>
      <c r="C141" s="98">
        <v>1</v>
      </c>
      <c r="D141" s="98">
        <v>0</v>
      </c>
      <c r="E141" s="98">
        <v>1</v>
      </c>
      <c r="F141" s="98">
        <v>1</v>
      </c>
      <c r="G141" s="98">
        <v>4</v>
      </c>
      <c r="H141" s="98">
        <v>1</v>
      </c>
      <c r="I141" s="98">
        <v>2</v>
      </c>
      <c r="J141" s="98">
        <v>0</v>
      </c>
      <c r="K141" s="98">
        <v>1</v>
      </c>
      <c r="L141" s="98">
        <v>4</v>
      </c>
      <c r="M141" s="98">
        <v>5</v>
      </c>
      <c r="N141" s="98">
        <v>9</v>
      </c>
      <c r="O141" s="98">
        <v>0</v>
      </c>
      <c r="P141" s="98">
        <v>0</v>
      </c>
      <c r="Q141" s="98">
        <v>2</v>
      </c>
      <c r="R141" s="98">
        <v>5</v>
      </c>
      <c r="S141" s="98">
        <v>2</v>
      </c>
      <c r="T141" s="98">
        <v>5</v>
      </c>
      <c r="U141" s="98">
        <v>5</v>
      </c>
      <c r="V141" s="98">
        <v>3</v>
      </c>
      <c r="W141" s="98">
        <v>3</v>
      </c>
      <c r="X141" s="98">
        <v>0</v>
      </c>
      <c r="Y141" s="98">
        <v>3</v>
      </c>
      <c r="Z141" s="98">
        <v>3</v>
      </c>
      <c r="AA141" s="98">
        <v>3</v>
      </c>
      <c r="AB141" s="98">
        <v>3</v>
      </c>
      <c r="AC141" s="98">
        <v>2</v>
      </c>
      <c r="AD141" s="98">
        <v>2</v>
      </c>
      <c r="AE141" s="98">
        <v>3</v>
      </c>
      <c r="AF141" s="98">
        <v>1</v>
      </c>
      <c r="AG141" s="34">
        <f t="shared" si="17"/>
        <v>76</v>
      </c>
      <c r="AH141" s="27" t="s">
        <v>86</v>
      </c>
      <c r="AK141" s="84" t="s">
        <v>152</v>
      </c>
    </row>
    <row r="142" spans="1:37" ht="15.75" customHeight="1" x14ac:dyDescent="0.25">
      <c r="A142" s="99" t="s">
        <v>89</v>
      </c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35">
        <f t="shared" si="17"/>
        <v>0</v>
      </c>
      <c r="AK142" s="84" t="s">
        <v>153</v>
      </c>
    </row>
    <row r="143" spans="1:37" ht="15.75" customHeight="1" thickBot="1" x14ac:dyDescent="0.3">
      <c r="A143" s="101" t="s">
        <v>90</v>
      </c>
      <c r="B143" s="102"/>
      <c r="C143" s="102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36">
        <f t="shared" si="17"/>
        <v>0</v>
      </c>
      <c r="AK143" s="84" t="s">
        <v>154</v>
      </c>
    </row>
    <row r="144" spans="1:37" ht="15.75" customHeight="1" thickBot="1" x14ac:dyDescent="0.3">
      <c r="A144" s="103" t="s">
        <v>91</v>
      </c>
      <c r="B144" s="37">
        <f t="shared" ref="B144:AF144" si="25">SUM(B145:B170)</f>
        <v>54</v>
      </c>
      <c r="C144" s="37">
        <f t="shared" si="25"/>
        <v>47</v>
      </c>
      <c r="D144" s="37">
        <f t="shared" si="25"/>
        <v>72</v>
      </c>
      <c r="E144" s="37">
        <f t="shared" si="25"/>
        <v>41</v>
      </c>
      <c r="F144" s="37">
        <f t="shared" si="25"/>
        <v>33</v>
      </c>
      <c r="G144" s="37">
        <f t="shared" si="25"/>
        <v>40</v>
      </c>
      <c r="H144" s="37">
        <f t="shared" si="25"/>
        <v>61</v>
      </c>
      <c r="I144" s="37">
        <f t="shared" si="25"/>
        <v>76</v>
      </c>
      <c r="J144" s="37">
        <f t="shared" si="25"/>
        <v>28</v>
      </c>
      <c r="K144" s="37">
        <f t="shared" si="25"/>
        <v>40</v>
      </c>
      <c r="L144" s="37">
        <f t="shared" si="25"/>
        <v>39</v>
      </c>
      <c r="M144" s="37">
        <f t="shared" si="25"/>
        <v>20</v>
      </c>
      <c r="N144" s="37">
        <f t="shared" si="25"/>
        <v>44</v>
      </c>
      <c r="O144" s="37">
        <f t="shared" si="25"/>
        <v>54</v>
      </c>
      <c r="P144" s="37">
        <f t="shared" si="25"/>
        <v>15</v>
      </c>
      <c r="Q144" s="37">
        <f t="shared" si="25"/>
        <v>44</v>
      </c>
      <c r="R144" s="37">
        <f t="shared" si="25"/>
        <v>38</v>
      </c>
      <c r="S144" s="37">
        <f t="shared" si="25"/>
        <v>21</v>
      </c>
      <c r="T144" s="37">
        <f t="shared" si="25"/>
        <v>24</v>
      </c>
      <c r="U144" s="37">
        <f t="shared" si="25"/>
        <v>26</v>
      </c>
      <c r="V144" s="37">
        <f t="shared" si="25"/>
        <v>24</v>
      </c>
      <c r="W144" s="37">
        <f t="shared" si="25"/>
        <v>40</v>
      </c>
      <c r="X144" s="37">
        <f t="shared" si="25"/>
        <v>26</v>
      </c>
      <c r="Y144" s="37">
        <f t="shared" si="25"/>
        <v>20</v>
      </c>
      <c r="Z144" s="37">
        <f t="shared" si="25"/>
        <v>28</v>
      </c>
      <c r="AA144" s="37">
        <f t="shared" si="25"/>
        <v>29</v>
      </c>
      <c r="AB144" s="37">
        <f t="shared" si="25"/>
        <v>29</v>
      </c>
      <c r="AC144" s="37">
        <f t="shared" si="25"/>
        <v>44</v>
      </c>
      <c r="AD144" s="37">
        <f t="shared" si="25"/>
        <v>41</v>
      </c>
      <c r="AE144" s="37">
        <f t="shared" si="25"/>
        <v>20</v>
      </c>
      <c r="AF144" s="37">
        <f t="shared" si="25"/>
        <v>12</v>
      </c>
      <c r="AG144" s="24">
        <f t="shared" si="17"/>
        <v>1130</v>
      </c>
      <c r="AK144" s="84" t="s">
        <v>155</v>
      </c>
    </row>
    <row r="145" spans="1:37" ht="15.75" customHeight="1" x14ac:dyDescent="0.25">
      <c r="A145" s="104" t="s">
        <v>92</v>
      </c>
      <c r="B145" s="105">
        <v>2</v>
      </c>
      <c r="C145" s="105">
        <v>4</v>
      </c>
      <c r="D145" s="105">
        <v>3</v>
      </c>
      <c r="E145" s="105">
        <v>1</v>
      </c>
      <c r="F145" s="105">
        <v>1</v>
      </c>
      <c r="G145" s="105"/>
      <c r="H145" s="105">
        <v>5</v>
      </c>
      <c r="I145" s="105">
        <v>4</v>
      </c>
      <c r="J145" s="105">
        <v>5</v>
      </c>
      <c r="K145" s="105">
        <v>3</v>
      </c>
      <c r="L145" s="105">
        <v>1</v>
      </c>
      <c r="M145" s="105">
        <v>1</v>
      </c>
      <c r="N145" s="105">
        <v>2</v>
      </c>
      <c r="O145" s="105">
        <v>5</v>
      </c>
      <c r="P145" s="105">
        <v>6</v>
      </c>
      <c r="Q145" s="105">
        <v>1</v>
      </c>
      <c r="R145" s="105">
        <v>2</v>
      </c>
      <c r="S145" s="105">
        <v>4</v>
      </c>
      <c r="T145" s="105">
        <v>1</v>
      </c>
      <c r="U145" s="105">
        <v>1</v>
      </c>
      <c r="V145" s="105">
        <v>1</v>
      </c>
      <c r="W145" s="105">
        <v>6</v>
      </c>
      <c r="X145" s="105">
        <v>3</v>
      </c>
      <c r="Y145" s="105">
        <v>5</v>
      </c>
      <c r="Z145" s="105">
        <v>8</v>
      </c>
      <c r="AA145" s="105">
        <v>7</v>
      </c>
      <c r="AB145" s="105">
        <v>3</v>
      </c>
      <c r="AC145" s="105">
        <v>3</v>
      </c>
      <c r="AD145" s="105">
        <v>3</v>
      </c>
      <c r="AE145" s="105">
        <v>1</v>
      </c>
      <c r="AF145" s="105">
        <v>2</v>
      </c>
      <c r="AG145" s="38">
        <f t="shared" si="17"/>
        <v>94</v>
      </c>
      <c r="AK145" s="84" t="s">
        <v>156</v>
      </c>
    </row>
    <row r="146" spans="1:37" ht="15.75" customHeight="1" x14ac:dyDescent="0.25">
      <c r="A146" s="106" t="s">
        <v>93</v>
      </c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>
        <v>0</v>
      </c>
      <c r="Z146" s="77">
        <v>0</v>
      </c>
      <c r="AA146" s="77">
        <v>0</v>
      </c>
      <c r="AB146" s="77">
        <v>0</v>
      </c>
      <c r="AC146" s="77">
        <v>0</v>
      </c>
      <c r="AD146" s="77">
        <v>0</v>
      </c>
      <c r="AE146" s="77">
        <v>0</v>
      </c>
      <c r="AF146" s="77">
        <v>0</v>
      </c>
      <c r="AG146" s="5">
        <f t="shared" si="17"/>
        <v>0</v>
      </c>
      <c r="AK146" s="84" t="s">
        <v>157</v>
      </c>
    </row>
    <row r="147" spans="1:37" ht="15.75" customHeight="1" x14ac:dyDescent="0.25">
      <c r="A147" s="106" t="s">
        <v>94</v>
      </c>
      <c r="B147" s="77"/>
      <c r="C147" s="77"/>
      <c r="D147" s="77"/>
      <c r="E147" s="77"/>
      <c r="F147" s="77"/>
      <c r="G147" s="77"/>
      <c r="H147" s="77"/>
      <c r="I147" s="77"/>
      <c r="J147" s="77">
        <v>1</v>
      </c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>
        <v>0</v>
      </c>
      <c r="Z147" s="77">
        <v>0</v>
      </c>
      <c r="AA147" s="77">
        <v>0</v>
      </c>
      <c r="AB147" s="77">
        <v>0</v>
      </c>
      <c r="AC147" s="77">
        <v>0</v>
      </c>
      <c r="AD147" s="77">
        <v>0</v>
      </c>
      <c r="AE147" s="77">
        <v>0</v>
      </c>
      <c r="AF147" s="77">
        <v>0</v>
      </c>
      <c r="AG147" s="5">
        <f t="shared" si="17"/>
        <v>1</v>
      </c>
      <c r="AK147" s="84" t="s">
        <v>158</v>
      </c>
    </row>
    <row r="148" spans="1:37" ht="15.75" customHeight="1" x14ac:dyDescent="0.25">
      <c r="A148" s="106" t="s">
        <v>95</v>
      </c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>
        <v>0</v>
      </c>
      <c r="Z148" s="77">
        <v>0</v>
      </c>
      <c r="AA148" s="77">
        <v>0</v>
      </c>
      <c r="AB148" s="77">
        <v>0</v>
      </c>
      <c r="AC148" s="77">
        <v>0</v>
      </c>
      <c r="AD148" s="77">
        <v>0</v>
      </c>
      <c r="AE148" s="77">
        <v>0</v>
      </c>
      <c r="AF148" s="77">
        <v>0</v>
      </c>
      <c r="AG148" s="5">
        <f t="shared" si="17"/>
        <v>0</v>
      </c>
      <c r="AK148" s="84" t="s">
        <v>159</v>
      </c>
    </row>
    <row r="149" spans="1:37" ht="15.75" customHeight="1" x14ac:dyDescent="0.25">
      <c r="A149" s="107" t="s">
        <v>96</v>
      </c>
      <c r="B149" s="108">
        <v>50</v>
      </c>
      <c r="C149" s="108">
        <v>39</v>
      </c>
      <c r="D149" s="108">
        <v>66</v>
      </c>
      <c r="E149" s="108">
        <v>39</v>
      </c>
      <c r="F149" s="108">
        <v>30</v>
      </c>
      <c r="G149" s="108">
        <v>39</v>
      </c>
      <c r="H149" s="108">
        <v>54</v>
      </c>
      <c r="I149" s="108">
        <v>71</v>
      </c>
      <c r="J149" s="108">
        <v>19</v>
      </c>
      <c r="K149" s="108">
        <v>35</v>
      </c>
      <c r="L149" s="108">
        <v>38</v>
      </c>
      <c r="M149" s="108">
        <v>18</v>
      </c>
      <c r="N149" s="108">
        <v>38</v>
      </c>
      <c r="O149" s="108">
        <v>47</v>
      </c>
      <c r="P149" s="108">
        <v>8</v>
      </c>
      <c r="Q149" s="108">
        <v>38</v>
      </c>
      <c r="R149" s="108">
        <v>30</v>
      </c>
      <c r="S149" s="108">
        <v>17</v>
      </c>
      <c r="T149" s="108">
        <v>18</v>
      </c>
      <c r="U149" s="108">
        <v>22</v>
      </c>
      <c r="V149" s="108">
        <v>20</v>
      </c>
      <c r="W149" s="108">
        <v>32</v>
      </c>
      <c r="X149" s="108">
        <v>20</v>
      </c>
      <c r="Y149" s="108">
        <v>13</v>
      </c>
      <c r="Z149" s="108">
        <v>16</v>
      </c>
      <c r="AA149" s="108">
        <v>21</v>
      </c>
      <c r="AB149" s="108">
        <v>22</v>
      </c>
      <c r="AC149" s="108">
        <v>34</v>
      </c>
      <c r="AD149" s="108">
        <v>35</v>
      </c>
      <c r="AE149" s="108">
        <v>18</v>
      </c>
      <c r="AF149" s="108">
        <v>7</v>
      </c>
      <c r="AG149" s="39">
        <f t="shared" si="17"/>
        <v>954</v>
      </c>
      <c r="AK149" s="88" t="s">
        <v>160</v>
      </c>
    </row>
    <row r="150" spans="1:37" ht="15.75" customHeight="1" x14ac:dyDescent="0.25">
      <c r="A150" s="106" t="s">
        <v>97</v>
      </c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5">
        <f t="shared" si="17"/>
        <v>0</v>
      </c>
      <c r="AK150" s="84" t="s">
        <v>161</v>
      </c>
    </row>
    <row r="151" spans="1:37" ht="15.75" customHeight="1" x14ac:dyDescent="0.25">
      <c r="A151" s="106" t="s">
        <v>98</v>
      </c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5">
        <f t="shared" si="17"/>
        <v>0</v>
      </c>
      <c r="AK151" s="84" t="s">
        <v>162</v>
      </c>
    </row>
    <row r="152" spans="1:37" ht="15.75" customHeight="1" x14ac:dyDescent="0.25">
      <c r="A152" s="106" t="s">
        <v>99</v>
      </c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5">
        <f t="shared" si="17"/>
        <v>0</v>
      </c>
      <c r="AK152" s="84" t="s">
        <v>163</v>
      </c>
    </row>
    <row r="153" spans="1:37" ht="15.75" customHeight="1" x14ac:dyDescent="0.25">
      <c r="A153" s="106" t="s">
        <v>100</v>
      </c>
      <c r="B153" s="77"/>
      <c r="C153" s="77"/>
      <c r="D153" s="77"/>
      <c r="E153" s="77"/>
      <c r="F153" s="77"/>
      <c r="G153" s="77"/>
      <c r="H153" s="77"/>
      <c r="I153" s="77"/>
      <c r="J153" s="77">
        <v>3</v>
      </c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>
        <v>0</v>
      </c>
      <c r="Z153" s="77">
        <v>0</v>
      </c>
      <c r="AA153" s="77">
        <v>0</v>
      </c>
      <c r="AB153" s="77">
        <v>0</v>
      </c>
      <c r="AC153" s="77">
        <v>0</v>
      </c>
      <c r="AD153" s="77">
        <v>0</v>
      </c>
      <c r="AE153" s="77">
        <v>0</v>
      </c>
      <c r="AF153" s="77">
        <v>0</v>
      </c>
      <c r="AG153" s="5">
        <f t="shared" si="17"/>
        <v>3</v>
      </c>
      <c r="AK153" s="109" t="s">
        <v>127</v>
      </c>
    </row>
    <row r="154" spans="1:37" ht="15.75" customHeight="1" x14ac:dyDescent="0.25">
      <c r="A154" s="76" t="s">
        <v>101</v>
      </c>
      <c r="B154" s="77"/>
      <c r="C154" s="77"/>
      <c r="D154" s="77"/>
      <c r="E154" s="77"/>
      <c r="F154" s="77"/>
      <c r="G154" s="77"/>
      <c r="H154" s="77">
        <v>1</v>
      </c>
      <c r="I154" s="77"/>
      <c r="J154" s="77"/>
      <c r="K154" s="77"/>
      <c r="L154" s="77"/>
      <c r="M154" s="77"/>
      <c r="N154" s="77"/>
      <c r="O154" s="77"/>
      <c r="P154" s="77"/>
      <c r="Q154" s="77"/>
      <c r="R154" s="77">
        <v>1</v>
      </c>
      <c r="S154" s="77"/>
      <c r="T154" s="77">
        <v>1</v>
      </c>
      <c r="U154" s="77"/>
      <c r="V154" s="77"/>
      <c r="W154" s="77"/>
      <c r="X154" s="77"/>
      <c r="Y154" s="77">
        <v>0</v>
      </c>
      <c r="Z154" s="77">
        <v>0</v>
      </c>
      <c r="AA154" s="77">
        <v>0</v>
      </c>
      <c r="AB154" s="77">
        <v>0</v>
      </c>
      <c r="AC154" s="77">
        <v>0</v>
      </c>
      <c r="AD154" s="77">
        <v>0</v>
      </c>
      <c r="AE154" s="77">
        <v>0</v>
      </c>
      <c r="AF154" s="77">
        <v>0</v>
      </c>
      <c r="AG154" s="5">
        <f t="shared" si="17"/>
        <v>3</v>
      </c>
      <c r="AK154" s="109" t="s">
        <v>126</v>
      </c>
    </row>
    <row r="155" spans="1:37" ht="15.75" customHeight="1" x14ac:dyDescent="0.25">
      <c r="A155" s="76" t="s">
        <v>102</v>
      </c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5">
        <f t="shared" si="17"/>
        <v>0</v>
      </c>
      <c r="AK155" s="88" t="s">
        <v>128</v>
      </c>
    </row>
    <row r="156" spans="1:37" ht="15.75" customHeight="1" x14ac:dyDescent="0.25">
      <c r="A156" s="76" t="s">
        <v>103</v>
      </c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5">
        <f t="shared" si="17"/>
        <v>0</v>
      </c>
      <c r="AK156" s="88" t="s">
        <v>125</v>
      </c>
    </row>
    <row r="157" spans="1:37" ht="15.75" customHeight="1" x14ac:dyDescent="0.25">
      <c r="A157" s="76" t="s">
        <v>104</v>
      </c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5">
        <f t="shared" si="17"/>
        <v>0</v>
      </c>
    </row>
    <row r="158" spans="1:37" ht="15.75" customHeight="1" x14ac:dyDescent="0.25">
      <c r="A158" s="110" t="s">
        <v>105</v>
      </c>
      <c r="B158" s="111"/>
      <c r="C158" s="111">
        <v>2</v>
      </c>
      <c r="D158" s="111">
        <v>1</v>
      </c>
      <c r="E158" s="111"/>
      <c r="F158" s="111"/>
      <c r="G158" s="111">
        <v>1</v>
      </c>
      <c r="H158" s="111"/>
      <c r="I158" s="111"/>
      <c r="J158" s="111"/>
      <c r="K158" s="111"/>
      <c r="L158" s="111"/>
      <c r="M158" s="111">
        <v>1</v>
      </c>
      <c r="N158" s="111">
        <v>3</v>
      </c>
      <c r="O158" s="111"/>
      <c r="P158" s="111"/>
      <c r="Q158" s="111"/>
      <c r="R158" s="111">
        <v>3</v>
      </c>
      <c r="S158" s="111"/>
      <c r="T158" s="111">
        <v>3</v>
      </c>
      <c r="U158" s="111">
        <v>1</v>
      </c>
      <c r="V158" s="111">
        <v>1</v>
      </c>
      <c r="W158" s="111">
        <v>2</v>
      </c>
      <c r="X158" s="111">
        <v>2</v>
      </c>
      <c r="Y158" s="111">
        <v>0</v>
      </c>
      <c r="Z158" s="111">
        <v>2</v>
      </c>
      <c r="AA158" s="111">
        <v>1</v>
      </c>
      <c r="AB158" s="111">
        <v>3</v>
      </c>
      <c r="AC158" s="111">
        <v>1</v>
      </c>
      <c r="AD158" s="111">
        <v>1</v>
      </c>
      <c r="AE158" s="111">
        <v>0</v>
      </c>
      <c r="AF158" s="111">
        <v>1</v>
      </c>
      <c r="AG158" s="40">
        <f t="shared" si="17"/>
        <v>29</v>
      </c>
    </row>
    <row r="159" spans="1:37" ht="15.75" customHeight="1" x14ac:dyDescent="0.25">
      <c r="A159" s="112" t="s">
        <v>106</v>
      </c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5">
        <f t="shared" si="17"/>
        <v>0</v>
      </c>
    </row>
    <row r="160" spans="1:37" ht="15.75" customHeight="1" x14ac:dyDescent="0.25">
      <c r="A160" s="112" t="s">
        <v>107</v>
      </c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5">
        <f t="shared" si="17"/>
        <v>0</v>
      </c>
    </row>
    <row r="161" spans="1:34" ht="15.75" customHeight="1" x14ac:dyDescent="0.25">
      <c r="A161" s="112" t="s">
        <v>108</v>
      </c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5">
        <f t="shared" si="17"/>
        <v>0</v>
      </c>
    </row>
    <row r="162" spans="1:34" ht="15.75" customHeight="1" x14ac:dyDescent="0.25">
      <c r="A162" s="112" t="s">
        <v>109</v>
      </c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>
        <v>0</v>
      </c>
      <c r="Z162" s="77">
        <v>0</v>
      </c>
      <c r="AA162" s="77">
        <v>0</v>
      </c>
      <c r="AB162" s="77">
        <v>0</v>
      </c>
      <c r="AC162" s="77">
        <v>0</v>
      </c>
      <c r="AD162" s="77">
        <v>0</v>
      </c>
      <c r="AE162" s="77">
        <v>0</v>
      </c>
      <c r="AF162" s="77">
        <v>0</v>
      </c>
      <c r="AG162" s="5">
        <f t="shared" si="17"/>
        <v>0</v>
      </c>
    </row>
    <row r="163" spans="1:34" ht="15.75" customHeight="1" x14ac:dyDescent="0.25">
      <c r="A163" s="112" t="s">
        <v>110</v>
      </c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>
        <v>0</v>
      </c>
      <c r="Z163" s="77">
        <v>0</v>
      </c>
      <c r="AA163" s="77">
        <v>0</v>
      </c>
      <c r="AB163" s="77">
        <v>0</v>
      </c>
      <c r="AC163" s="77">
        <v>0</v>
      </c>
      <c r="AD163" s="77">
        <v>0</v>
      </c>
      <c r="AE163" s="77">
        <v>0</v>
      </c>
      <c r="AF163" s="77">
        <v>0</v>
      </c>
      <c r="AG163" s="5">
        <f t="shared" ref="AG163:AG180" si="26">SUM(B163:AF163)</f>
        <v>0</v>
      </c>
    </row>
    <row r="164" spans="1:34" ht="15.75" customHeight="1" x14ac:dyDescent="0.25">
      <c r="A164" s="112" t="s">
        <v>111</v>
      </c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>
        <v>1</v>
      </c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5">
        <f t="shared" si="26"/>
        <v>1</v>
      </c>
    </row>
    <row r="165" spans="1:34" ht="15.75" customHeight="1" x14ac:dyDescent="0.25">
      <c r="A165" s="76" t="s">
        <v>112</v>
      </c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>
        <v>0</v>
      </c>
      <c r="Z165" s="77">
        <v>0</v>
      </c>
      <c r="AA165" s="77">
        <v>0</v>
      </c>
      <c r="AB165" s="77">
        <v>0</v>
      </c>
      <c r="AC165" s="77">
        <v>0</v>
      </c>
      <c r="AD165" s="77">
        <v>0</v>
      </c>
      <c r="AE165" s="77">
        <v>0</v>
      </c>
      <c r="AF165" s="77">
        <v>0</v>
      </c>
      <c r="AG165" s="5">
        <f t="shared" si="26"/>
        <v>0</v>
      </c>
    </row>
    <row r="166" spans="1:34" ht="15.75" customHeight="1" x14ac:dyDescent="0.25">
      <c r="A166" s="76" t="s">
        <v>113</v>
      </c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5">
        <f t="shared" si="26"/>
        <v>0</v>
      </c>
    </row>
    <row r="167" spans="1:34" ht="15.75" customHeight="1" x14ac:dyDescent="0.25">
      <c r="A167" s="76" t="s">
        <v>114</v>
      </c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>
        <v>1</v>
      </c>
      <c r="R167" s="77"/>
      <c r="S167" s="77"/>
      <c r="T167" s="77"/>
      <c r="U167" s="77"/>
      <c r="V167" s="77"/>
      <c r="W167" s="77"/>
      <c r="X167" s="77"/>
      <c r="Y167" s="77">
        <v>0</v>
      </c>
      <c r="Z167" s="77">
        <v>0</v>
      </c>
      <c r="AA167" s="77">
        <v>0</v>
      </c>
      <c r="AB167" s="77">
        <v>0</v>
      </c>
      <c r="AC167" s="77">
        <v>3</v>
      </c>
      <c r="AD167" s="77">
        <v>1</v>
      </c>
      <c r="AE167" s="77">
        <v>1</v>
      </c>
      <c r="AF167" s="77">
        <v>0</v>
      </c>
      <c r="AG167" s="5">
        <f t="shared" si="26"/>
        <v>6</v>
      </c>
    </row>
    <row r="168" spans="1:34" ht="15.75" customHeight="1" x14ac:dyDescent="0.25">
      <c r="A168" s="76" t="s">
        <v>115</v>
      </c>
      <c r="B168" s="113"/>
      <c r="C168" s="113">
        <v>1</v>
      </c>
      <c r="D168" s="113">
        <v>1</v>
      </c>
      <c r="E168" s="113">
        <v>1</v>
      </c>
      <c r="F168" s="113">
        <v>2</v>
      </c>
      <c r="G168" s="113"/>
      <c r="H168" s="113"/>
      <c r="I168" s="113">
        <v>1</v>
      </c>
      <c r="J168" s="113"/>
      <c r="K168" s="113">
        <v>1</v>
      </c>
      <c r="L168" s="113"/>
      <c r="M168" s="113"/>
      <c r="N168" s="113"/>
      <c r="O168" s="113"/>
      <c r="P168" s="113">
        <v>1</v>
      </c>
      <c r="Q168" s="113">
        <v>2</v>
      </c>
      <c r="R168" s="113"/>
      <c r="S168" s="113"/>
      <c r="T168" s="113">
        <v>1</v>
      </c>
      <c r="U168" s="113"/>
      <c r="V168" s="113"/>
      <c r="W168" s="113"/>
      <c r="X168" s="113">
        <v>1</v>
      </c>
      <c r="Y168" s="113">
        <v>1</v>
      </c>
      <c r="Z168" s="113">
        <v>1</v>
      </c>
      <c r="AA168" s="113">
        <v>0</v>
      </c>
      <c r="AB168" s="113">
        <v>0</v>
      </c>
      <c r="AC168" s="113">
        <v>0</v>
      </c>
      <c r="AD168" s="113">
        <v>1</v>
      </c>
      <c r="AE168" s="113">
        <v>0</v>
      </c>
      <c r="AF168" s="113">
        <v>2</v>
      </c>
      <c r="AG168" s="5">
        <f t="shared" si="26"/>
        <v>17</v>
      </c>
    </row>
    <row r="169" spans="1:34" ht="15.75" customHeight="1" x14ac:dyDescent="0.25">
      <c r="A169" s="114" t="s">
        <v>116</v>
      </c>
      <c r="B169" s="113">
        <v>2</v>
      </c>
      <c r="C169" s="113">
        <v>1</v>
      </c>
      <c r="D169" s="113">
        <v>1</v>
      </c>
      <c r="E169" s="113"/>
      <c r="F169" s="113"/>
      <c r="G169" s="113"/>
      <c r="H169" s="113">
        <v>1</v>
      </c>
      <c r="I169" s="113"/>
      <c r="J169" s="113"/>
      <c r="K169" s="113">
        <v>1</v>
      </c>
      <c r="L169" s="113"/>
      <c r="M169" s="113"/>
      <c r="N169" s="113"/>
      <c r="O169" s="113">
        <v>1</v>
      </c>
      <c r="P169" s="113"/>
      <c r="Q169" s="113">
        <v>2</v>
      </c>
      <c r="R169" s="113">
        <v>2</v>
      </c>
      <c r="S169" s="113"/>
      <c r="T169" s="113"/>
      <c r="U169" s="113">
        <v>2</v>
      </c>
      <c r="V169" s="113">
        <v>2</v>
      </c>
      <c r="W169" s="113"/>
      <c r="X169" s="113"/>
      <c r="Y169" s="113">
        <v>1</v>
      </c>
      <c r="Z169" s="113">
        <v>1</v>
      </c>
      <c r="AA169" s="113">
        <v>0</v>
      </c>
      <c r="AB169" s="113">
        <v>1</v>
      </c>
      <c r="AC169" s="113">
        <v>3</v>
      </c>
      <c r="AD169" s="113">
        <v>0</v>
      </c>
      <c r="AE169" s="113">
        <v>0</v>
      </c>
      <c r="AF169" s="113">
        <v>0</v>
      </c>
      <c r="AG169" s="5">
        <f t="shared" si="26"/>
        <v>21</v>
      </c>
    </row>
    <row r="170" spans="1:34" ht="15.75" customHeight="1" thickBot="1" x14ac:dyDescent="0.3">
      <c r="A170" s="115" t="s">
        <v>117</v>
      </c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  <c r="O170" s="113">
        <v>1</v>
      </c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25">
        <f t="shared" si="26"/>
        <v>1</v>
      </c>
    </row>
    <row r="171" spans="1:34" ht="15.75" customHeight="1" thickBot="1" x14ac:dyDescent="0.3">
      <c r="A171" s="116" t="s">
        <v>118</v>
      </c>
      <c r="B171" s="41">
        <f t="shared" ref="B171:AF171" si="27">SUM(B172:B176)</f>
        <v>194</v>
      </c>
      <c r="C171" s="41">
        <f t="shared" si="27"/>
        <v>125</v>
      </c>
      <c r="D171" s="41">
        <f t="shared" si="27"/>
        <v>149</v>
      </c>
      <c r="E171" s="41">
        <f t="shared" si="27"/>
        <v>129</v>
      </c>
      <c r="F171" s="41">
        <f t="shared" si="27"/>
        <v>92</v>
      </c>
      <c r="G171" s="41">
        <f t="shared" si="27"/>
        <v>132</v>
      </c>
      <c r="H171" s="41">
        <f t="shared" si="27"/>
        <v>190</v>
      </c>
      <c r="I171" s="41">
        <f t="shared" si="27"/>
        <v>154</v>
      </c>
      <c r="J171" s="41">
        <f t="shared" si="27"/>
        <v>127</v>
      </c>
      <c r="K171" s="41">
        <f t="shared" si="27"/>
        <v>121</v>
      </c>
      <c r="L171" s="41">
        <f t="shared" si="27"/>
        <v>116</v>
      </c>
      <c r="M171" s="41">
        <f t="shared" si="27"/>
        <v>102</v>
      </c>
      <c r="N171" s="41">
        <f t="shared" si="27"/>
        <v>121</v>
      </c>
      <c r="O171" s="41">
        <f t="shared" si="27"/>
        <v>202</v>
      </c>
      <c r="P171" s="41">
        <f t="shared" si="27"/>
        <v>177</v>
      </c>
      <c r="Q171" s="41">
        <f t="shared" si="27"/>
        <v>122</v>
      </c>
      <c r="R171" s="41">
        <f t="shared" si="27"/>
        <v>145</v>
      </c>
      <c r="S171" s="41">
        <f t="shared" si="27"/>
        <v>114</v>
      </c>
      <c r="T171" s="41">
        <f t="shared" si="27"/>
        <v>111</v>
      </c>
      <c r="U171" s="41">
        <f t="shared" si="27"/>
        <v>98</v>
      </c>
      <c r="V171" s="41">
        <f t="shared" si="27"/>
        <v>180</v>
      </c>
      <c r="W171" s="41">
        <f t="shared" si="27"/>
        <v>164</v>
      </c>
      <c r="X171" s="41">
        <f t="shared" si="27"/>
        <v>115</v>
      </c>
      <c r="Y171" s="41">
        <f t="shared" si="27"/>
        <v>104</v>
      </c>
      <c r="Z171" s="41">
        <f t="shared" si="27"/>
        <v>157</v>
      </c>
      <c r="AA171" s="41">
        <f t="shared" si="27"/>
        <v>120</v>
      </c>
      <c r="AB171" s="41">
        <f t="shared" si="27"/>
        <v>129</v>
      </c>
      <c r="AC171" s="41">
        <f t="shared" si="27"/>
        <v>176</v>
      </c>
      <c r="AD171" s="41">
        <f t="shared" si="27"/>
        <v>205</v>
      </c>
      <c r="AE171" s="41">
        <f t="shared" si="27"/>
        <v>104</v>
      </c>
      <c r="AF171" s="41">
        <f t="shared" si="27"/>
        <v>86</v>
      </c>
      <c r="AG171" s="42">
        <f t="shared" si="26"/>
        <v>4261</v>
      </c>
      <c r="AH171" s="13" t="str">
        <f>IF(AG171&lt;&gt;AG93,"X","")</f>
        <v/>
      </c>
    </row>
    <row r="172" spans="1:34" ht="15.75" customHeight="1" x14ac:dyDescent="0.25">
      <c r="A172" s="117" t="s">
        <v>119</v>
      </c>
      <c r="B172" s="118">
        <v>0</v>
      </c>
      <c r="C172" s="118">
        <v>0</v>
      </c>
      <c r="D172" s="118">
        <v>0</v>
      </c>
      <c r="E172" s="118">
        <v>0</v>
      </c>
      <c r="F172" s="118">
        <v>0</v>
      </c>
      <c r="G172" s="118">
        <v>0</v>
      </c>
      <c r="H172" s="118">
        <v>0</v>
      </c>
      <c r="I172" s="118">
        <v>0</v>
      </c>
      <c r="J172" s="118">
        <v>0</v>
      </c>
      <c r="K172" s="118">
        <v>0</v>
      </c>
      <c r="L172" s="118">
        <v>0</v>
      </c>
      <c r="M172" s="118">
        <v>0</v>
      </c>
      <c r="N172" s="118">
        <v>0</v>
      </c>
      <c r="O172" s="118">
        <v>0</v>
      </c>
      <c r="P172" s="118">
        <v>0</v>
      </c>
      <c r="Q172" s="118">
        <v>0</v>
      </c>
      <c r="R172" s="118">
        <v>0</v>
      </c>
      <c r="S172" s="118">
        <v>0</v>
      </c>
      <c r="T172" s="118">
        <v>0</v>
      </c>
      <c r="U172" s="118">
        <v>0</v>
      </c>
      <c r="V172" s="118">
        <v>0</v>
      </c>
      <c r="W172" s="118">
        <v>0</v>
      </c>
      <c r="X172" s="118">
        <v>0</v>
      </c>
      <c r="Y172" s="118">
        <v>0</v>
      </c>
      <c r="Z172" s="118">
        <v>0</v>
      </c>
      <c r="AA172" s="118">
        <v>0</v>
      </c>
      <c r="AB172" s="118">
        <v>0</v>
      </c>
      <c r="AC172" s="118">
        <v>0</v>
      </c>
      <c r="AD172" s="118">
        <v>0</v>
      </c>
      <c r="AE172" s="118">
        <v>0</v>
      </c>
      <c r="AF172" s="118">
        <v>0</v>
      </c>
      <c r="AG172" s="43">
        <f t="shared" si="26"/>
        <v>0</v>
      </c>
    </row>
    <row r="173" spans="1:34" ht="15.75" customHeight="1" x14ac:dyDescent="0.25">
      <c r="A173" s="119" t="s">
        <v>38</v>
      </c>
      <c r="B173" s="120">
        <v>1</v>
      </c>
      <c r="C173" s="120">
        <v>0</v>
      </c>
      <c r="D173" s="120">
        <v>1</v>
      </c>
      <c r="E173" s="120">
        <v>2</v>
      </c>
      <c r="F173" s="120">
        <v>1</v>
      </c>
      <c r="G173" s="120">
        <v>1</v>
      </c>
      <c r="H173" s="120">
        <v>1</v>
      </c>
      <c r="I173" s="120">
        <v>1</v>
      </c>
      <c r="J173" s="120">
        <v>2</v>
      </c>
      <c r="K173" s="120">
        <v>0</v>
      </c>
      <c r="L173" s="120">
        <v>1</v>
      </c>
      <c r="M173" s="120">
        <v>1</v>
      </c>
      <c r="N173" s="120">
        <v>3</v>
      </c>
      <c r="O173" s="120">
        <v>2</v>
      </c>
      <c r="P173" s="120">
        <v>3</v>
      </c>
      <c r="Q173" s="120">
        <v>0</v>
      </c>
      <c r="R173" s="120">
        <v>3</v>
      </c>
      <c r="S173" s="120">
        <v>0</v>
      </c>
      <c r="T173" s="120">
        <v>1</v>
      </c>
      <c r="U173" s="120">
        <v>1</v>
      </c>
      <c r="V173" s="120">
        <v>1</v>
      </c>
      <c r="W173" s="120">
        <v>4</v>
      </c>
      <c r="X173" s="120">
        <v>0</v>
      </c>
      <c r="Y173" s="120">
        <v>1</v>
      </c>
      <c r="Z173" s="120">
        <v>1</v>
      </c>
      <c r="AA173" s="120">
        <v>1</v>
      </c>
      <c r="AB173" s="120">
        <v>3</v>
      </c>
      <c r="AC173" s="120">
        <v>1</v>
      </c>
      <c r="AD173" s="120">
        <v>4</v>
      </c>
      <c r="AE173" s="120">
        <v>0</v>
      </c>
      <c r="AF173" s="120">
        <v>0</v>
      </c>
      <c r="AG173" s="44">
        <f t="shared" si="26"/>
        <v>41</v>
      </c>
    </row>
    <row r="174" spans="1:34" ht="15.75" customHeight="1" x14ac:dyDescent="0.25">
      <c r="A174" s="119" t="s">
        <v>39</v>
      </c>
      <c r="B174" s="120">
        <v>22</v>
      </c>
      <c r="C174" s="120">
        <v>18</v>
      </c>
      <c r="D174" s="120">
        <v>15</v>
      </c>
      <c r="E174" s="120">
        <v>12</v>
      </c>
      <c r="F174" s="120">
        <v>25</v>
      </c>
      <c r="G174" s="120">
        <v>16</v>
      </c>
      <c r="H174" s="120">
        <v>25</v>
      </c>
      <c r="I174" s="120">
        <v>26</v>
      </c>
      <c r="J174" s="120">
        <v>20</v>
      </c>
      <c r="K174" s="120">
        <v>21</v>
      </c>
      <c r="L174" s="120">
        <v>9</v>
      </c>
      <c r="M174" s="120">
        <v>13</v>
      </c>
      <c r="N174" s="120">
        <v>22</v>
      </c>
      <c r="O174" s="120">
        <v>28</v>
      </c>
      <c r="P174" s="120">
        <v>26</v>
      </c>
      <c r="Q174" s="120">
        <v>14</v>
      </c>
      <c r="R174" s="120">
        <v>26</v>
      </c>
      <c r="S174" s="120">
        <v>10</v>
      </c>
      <c r="T174" s="120">
        <v>16</v>
      </c>
      <c r="U174" s="120">
        <v>10</v>
      </c>
      <c r="V174" s="120">
        <v>19</v>
      </c>
      <c r="W174" s="120">
        <v>32</v>
      </c>
      <c r="X174" s="120">
        <v>19</v>
      </c>
      <c r="Y174" s="120">
        <v>9</v>
      </c>
      <c r="Z174" s="120">
        <v>22</v>
      </c>
      <c r="AA174" s="120">
        <v>17</v>
      </c>
      <c r="AB174" s="120">
        <v>17</v>
      </c>
      <c r="AC174" s="120">
        <v>22</v>
      </c>
      <c r="AD174" s="120">
        <v>19</v>
      </c>
      <c r="AE174" s="120">
        <v>15</v>
      </c>
      <c r="AF174" s="120">
        <v>10</v>
      </c>
      <c r="AG174" s="44">
        <f t="shared" si="26"/>
        <v>575</v>
      </c>
    </row>
    <row r="175" spans="1:34" ht="15.75" customHeight="1" x14ac:dyDescent="0.25">
      <c r="A175" s="119" t="s">
        <v>40</v>
      </c>
      <c r="B175" s="120">
        <v>139</v>
      </c>
      <c r="C175" s="120">
        <v>88</v>
      </c>
      <c r="D175" s="120">
        <v>112</v>
      </c>
      <c r="E175" s="120">
        <v>108</v>
      </c>
      <c r="F175" s="120">
        <v>53</v>
      </c>
      <c r="G175" s="120">
        <v>103</v>
      </c>
      <c r="H175" s="120">
        <v>139</v>
      </c>
      <c r="I175" s="120">
        <v>110</v>
      </c>
      <c r="J175" s="120">
        <v>101</v>
      </c>
      <c r="K175" s="120">
        <v>89</v>
      </c>
      <c r="L175" s="120">
        <v>91</v>
      </c>
      <c r="M175" s="120">
        <v>81</v>
      </c>
      <c r="N175" s="120">
        <v>83</v>
      </c>
      <c r="O175" s="120">
        <v>155</v>
      </c>
      <c r="P175" s="120">
        <v>120</v>
      </c>
      <c r="Q175" s="120">
        <v>100</v>
      </c>
      <c r="R175" s="120">
        <v>101</v>
      </c>
      <c r="S175" s="120">
        <v>85</v>
      </c>
      <c r="T175" s="120">
        <v>83</v>
      </c>
      <c r="U175" s="120">
        <v>73</v>
      </c>
      <c r="V175" s="120">
        <v>119</v>
      </c>
      <c r="W175" s="120">
        <v>105</v>
      </c>
      <c r="X175" s="120">
        <v>78</v>
      </c>
      <c r="Y175" s="120">
        <v>66</v>
      </c>
      <c r="Z175" s="120">
        <v>86</v>
      </c>
      <c r="AA175" s="120">
        <v>76</v>
      </c>
      <c r="AB175" s="120">
        <v>90</v>
      </c>
      <c r="AC175" s="120">
        <v>121</v>
      </c>
      <c r="AD175" s="120">
        <v>149</v>
      </c>
      <c r="AE175" s="120">
        <v>78</v>
      </c>
      <c r="AF175" s="120">
        <v>72</v>
      </c>
      <c r="AG175" s="44">
        <f t="shared" si="26"/>
        <v>3054</v>
      </c>
    </row>
    <row r="176" spans="1:34" ht="15.75" customHeight="1" thickBot="1" x14ac:dyDescent="0.3">
      <c r="A176" s="121" t="s">
        <v>41</v>
      </c>
      <c r="B176" s="122">
        <v>32</v>
      </c>
      <c r="C176" s="122">
        <v>19</v>
      </c>
      <c r="D176" s="122">
        <v>21</v>
      </c>
      <c r="E176" s="122">
        <v>7</v>
      </c>
      <c r="F176" s="122">
        <v>13</v>
      </c>
      <c r="G176" s="122">
        <v>12</v>
      </c>
      <c r="H176" s="122">
        <v>25</v>
      </c>
      <c r="I176" s="122">
        <v>17</v>
      </c>
      <c r="J176" s="122">
        <v>4</v>
      </c>
      <c r="K176" s="122">
        <v>11</v>
      </c>
      <c r="L176" s="122">
        <v>15</v>
      </c>
      <c r="M176" s="122">
        <v>7</v>
      </c>
      <c r="N176" s="122">
        <v>13</v>
      </c>
      <c r="O176" s="122">
        <v>17</v>
      </c>
      <c r="P176" s="122">
        <v>28</v>
      </c>
      <c r="Q176" s="122">
        <v>8</v>
      </c>
      <c r="R176" s="122">
        <v>15</v>
      </c>
      <c r="S176" s="122">
        <v>19</v>
      </c>
      <c r="T176" s="122">
        <v>11</v>
      </c>
      <c r="U176" s="122">
        <v>14</v>
      </c>
      <c r="V176" s="122">
        <v>41</v>
      </c>
      <c r="W176" s="122">
        <v>23</v>
      </c>
      <c r="X176" s="122">
        <v>18</v>
      </c>
      <c r="Y176" s="122">
        <v>28</v>
      </c>
      <c r="Z176" s="122">
        <v>48</v>
      </c>
      <c r="AA176" s="122">
        <v>26</v>
      </c>
      <c r="AB176" s="122">
        <v>19</v>
      </c>
      <c r="AC176" s="122">
        <v>32</v>
      </c>
      <c r="AD176" s="122">
        <v>33</v>
      </c>
      <c r="AE176" s="122">
        <v>11</v>
      </c>
      <c r="AF176" s="122">
        <v>4</v>
      </c>
      <c r="AG176" s="45">
        <f t="shared" si="26"/>
        <v>591</v>
      </c>
    </row>
    <row r="177" spans="1:34" ht="15.75" customHeight="1" x14ac:dyDescent="0.25">
      <c r="A177" s="123" t="s">
        <v>120</v>
      </c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26">
        <f t="shared" si="26"/>
        <v>0</v>
      </c>
      <c r="AH177" s="140" t="s">
        <v>177</v>
      </c>
    </row>
    <row r="178" spans="1:34" ht="15.75" customHeight="1" x14ac:dyDescent="0.25">
      <c r="A178" s="125" t="s">
        <v>122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/>
      <c r="Y178" s="126"/>
      <c r="Z178" s="126"/>
      <c r="AA178" s="126"/>
      <c r="AB178" s="126"/>
      <c r="AC178" s="126"/>
      <c r="AD178" s="126"/>
      <c r="AE178" s="126"/>
      <c r="AF178" s="127"/>
      <c r="AG178" s="46">
        <f t="shared" si="26"/>
        <v>0</v>
      </c>
      <c r="AH178" s="141"/>
    </row>
    <row r="179" spans="1:34" ht="15.75" customHeight="1" x14ac:dyDescent="0.25">
      <c r="A179" s="125" t="s">
        <v>123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7"/>
      <c r="AG179" s="46">
        <f t="shared" si="26"/>
        <v>0</v>
      </c>
      <c r="AH179" s="141"/>
    </row>
    <row r="180" spans="1:34" ht="15.75" customHeight="1" thickBot="1" x14ac:dyDescent="0.3">
      <c r="A180" s="128" t="s">
        <v>124</v>
      </c>
      <c r="B180" s="129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1"/>
      <c r="AG180" s="25">
        <f t="shared" si="26"/>
        <v>0</v>
      </c>
      <c r="AH180" s="142"/>
    </row>
    <row r="181" spans="1:34" ht="15.75" customHeight="1" x14ac:dyDescent="0.25"/>
    <row r="182" spans="1:34" ht="15.75" customHeight="1" x14ac:dyDescent="0.25">
      <c r="B182" s="132"/>
      <c r="C182" s="13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</row>
    <row r="183" spans="1:34" ht="15.75" customHeight="1" x14ac:dyDescent="0.25">
      <c r="B183" s="132"/>
      <c r="C183" s="132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</row>
    <row r="184" spans="1:34" ht="15.75" customHeight="1" x14ac:dyDescent="0.25">
      <c r="B184" s="132"/>
      <c r="C184" s="132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</row>
    <row r="185" spans="1:34" ht="15.75" customHeight="1" x14ac:dyDescent="0.25"/>
    <row r="186" spans="1:34" ht="15.75" customHeight="1" x14ac:dyDescent="0.25"/>
    <row r="187" spans="1:34" ht="15.75" customHeight="1" x14ac:dyDescent="0.25"/>
    <row r="188" spans="1:34" ht="15.75" customHeight="1" x14ac:dyDescent="0.25"/>
    <row r="189" spans="1:34" ht="15.75" customHeight="1" x14ac:dyDescent="0.25"/>
    <row r="190" spans="1:34" ht="15.75" customHeight="1" x14ac:dyDescent="0.25"/>
    <row r="191" spans="1:34" ht="15.75" customHeight="1" x14ac:dyDescent="0.25"/>
    <row r="192" spans="1:34" ht="15.75" customHeight="1" x14ac:dyDescent="0.25"/>
    <row r="193" s="47" customFormat="1" ht="15.75" customHeight="1" x14ac:dyDescent="0.25"/>
    <row r="194" s="47" customFormat="1" ht="15.75" customHeight="1" x14ac:dyDescent="0.25"/>
    <row r="195" s="47" customFormat="1" ht="15.75" customHeight="1" x14ac:dyDescent="0.25"/>
    <row r="196" s="47" customFormat="1" ht="15.75" customHeight="1" x14ac:dyDescent="0.25"/>
    <row r="197" s="47" customFormat="1" ht="15.75" customHeight="1" x14ac:dyDescent="0.25"/>
    <row r="198" s="47" customFormat="1" ht="15.75" customHeight="1" x14ac:dyDescent="0.25"/>
    <row r="199" s="47" customFormat="1" ht="15.75" customHeight="1" x14ac:dyDescent="0.25"/>
    <row r="200" s="47" customFormat="1" ht="18.75" customHeight="1" x14ac:dyDescent="0.25"/>
    <row r="201" s="47" customFormat="1" ht="18.75" customHeight="1" x14ac:dyDescent="0.25"/>
    <row r="202" s="47" customFormat="1" ht="18.75" customHeight="1" x14ac:dyDescent="0.25"/>
    <row r="203" s="47" customFormat="1" ht="18.75" customHeight="1" x14ac:dyDescent="0.25"/>
    <row r="204" s="47" customFormat="1" ht="18.75" customHeight="1" x14ac:dyDescent="0.25"/>
    <row r="205" s="47" customFormat="1" ht="18.75" customHeight="1" x14ac:dyDescent="0.25"/>
    <row r="206" s="47" customFormat="1" ht="18.75" customHeight="1" x14ac:dyDescent="0.25"/>
    <row r="207" s="47" customFormat="1" ht="18.75" customHeight="1" x14ac:dyDescent="0.25"/>
    <row r="208" s="47" customFormat="1" ht="18.75" customHeight="1" x14ac:dyDescent="0.25"/>
    <row r="209" s="47" customFormat="1" ht="18.75" customHeight="1" x14ac:dyDescent="0.25"/>
    <row r="210" s="47" customFormat="1" ht="18.75" customHeight="1" x14ac:dyDescent="0.25"/>
    <row r="211" s="47" customFormat="1" ht="19.5" customHeight="1" x14ac:dyDescent="0.25"/>
    <row r="212" s="47" customFormat="1" ht="15.75" customHeight="1" x14ac:dyDescent="0.25"/>
    <row r="213" s="47" customFormat="1" ht="18.75" customHeight="1" x14ac:dyDescent="0.25"/>
    <row r="214" s="47" customFormat="1" ht="15.75" customHeight="1" x14ac:dyDescent="0.25"/>
    <row r="215" s="47" customFormat="1" ht="15.75" customHeight="1" x14ac:dyDescent="0.25"/>
    <row r="216" s="47" customFormat="1" ht="18.75" customHeight="1" x14ac:dyDescent="0.25"/>
    <row r="217" s="47" customFormat="1" ht="15.75" customHeight="1" x14ac:dyDescent="0.25"/>
    <row r="218" s="47" customFormat="1" ht="15.75" customHeight="1" x14ac:dyDescent="0.25"/>
    <row r="219" s="47" customFormat="1" ht="15.75" customHeight="1" x14ac:dyDescent="0.25"/>
    <row r="220" s="47" customFormat="1" ht="15.75" customHeight="1" x14ac:dyDescent="0.25"/>
    <row r="221" s="47" customFormat="1" ht="15.75" customHeight="1" x14ac:dyDescent="0.25"/>
    <row r="222" s="47" customFormat="1" ht="15.75" customHeight="1" x14ac:dyDescent="0.25"/>
    <row r="223" s="47" customFormat="1" ht="15.75" customHeight="1" x14ac:dyDescent="0.25"/>
    <row r="224" s="47" customFormat="1" ht="15.75" customHeight="1" x14ac:dyDescent="0.25"/>
    <row r="225" s="47" customFormat="1" ht="15.75" customHeight="1" x14ac:dyDescent="0.25"/>
    <row r="226" s="47" customFormat="1" ht="15.75" customHeight="1" x14ac:dyDescent="0.25"/>
    <row r="227" s="47" customFormat="1" ht="15.75" customHeight="1" x14ac:dyDescent="0.25"/>
    <row r="228" s="47" customFormat="1" ht="15.75" customHeight="1" x14ac:dyDescent="0.25"/>
    <row r="229" s="47" customFormat="1" ht="15.75" customHeight="1" x14ac:dyDescent="0.25"/>
    <row r="230" s="47" customFormat="1" ht="15.75" customHeight="1" x14ac:dyDescent="0.25"/>
    <row r="231" s="47" customFormat="1" ht="15.75" customHeight="1" x14ac:dyDescent="0.25"/>
    <row r="232" s="47" customFormat="1" ht="15.75" customHeight="1" x14ac:dyDescent="0.25"/>
    <row r="233" s="47" customFormat="1" ht="15.75" customHeight="1" x14ac:dyDescent="0.25"/>
    <row r="234" s="47" customFormat="1" ht="15.75" customHeight="1" x14ac:dyDescent="0.25"/>
    <row r="235" s="47" customFormat="1" ht="15.75" customHeight="1" x14ac:dyDescent="0.25"/>
    <row r="236" s="47" customFormat="1" ht="15.75" customHeight="1" x14ac:dyDescent="0.25"/>
    <row r="237" s="47" customFormat="1" ht="15.75" customHeight="1" x14ac:dyDescent="0.25"/>
    <row r="238" s="47" customFormat="1" ht="15.75" customHeight="1" x14ac:dyDescent="0.25"/>
    <row r="239" s="47" customFormat="1" ht="15.75" customHeight="1" x14ac:dyDescent="0.25"/>
    <row r="240" s="47" customFormat="1" ht="15.75" customHeight="1" x14ac:dyDescent="0.25"/>
    <row r="241" s="47" customFormat="1" ht="15.75" customHeight="1" x14ac:dyDescent="0.25"/>
    <row r="242" s="47" customFormat="1" ht="15.75" customHeight="1" x14ac:dyDescent="0.25"/>
    <row r="243" s="47" customFormat="1" ht="15.75" customHeight="1" x14ac:dyDescent="0.25"/>
    <row r="244" s="47" customFormat="1" ht="15.75" customHeight="1" x14ac:dyDescent="0.25"/>
    <row r="245" s="47" customFormat="1" ht="15.75" customHeight="1" x14ac:dyDescent="0.25"/>
    <row r="246" s="47" customFormat="1" ht="15.75" customHeight="1" x14ac:dyDescent="0.25"/>
    <row r="247" s="47" customFormat="1" ht="15.75" customHeight="1" x14ac:dyDescent="0.25"/>
    <row r="248" s="47" customFormat="1" ht="15.75" customHeight="1" x14ac:dyDescent="0.25"/>
    <row r="249" s="47" customFormat="1" ht="15.75" customHeight="1" x14ac:dyDescent="0.25"/>
    <row r="250" s="47" customFormat="1" ht="15.75" customHeight="1" x14ac:dyDescent="0.25"/>
    <row r="251" s="47" customFormat="1" ht="15.75" customHeight="1" x14ac:dyDescent="0.25"/>
    <row r="252" s="47" customFormat="1" ht="15.75" customHeight="1" x14ac:dyDescent="0.25"/>
    <row r="253" s="47" customFormat="1" ht="15.75" customHeight="1" x14ac:dyDescent="0.25"/>
    <row r="254" s="47" customFormat="1" ht="15.75" customHeight="1" x14ac:dyDescent="0.25"/>
    <row r="255" s="47" customFormat="1" ht="15.75" customHeight="1" x14ac:dyDescent="0.25"/>
    <row r="256" s="47" customFormat="1" ht="15.75" customHeight="1" x14ac:dyDescent="0.25"/>
    <row r="257" s="47" customFormat="1" ht="15.75" customHeight="1" x14ac:dyDescent="0.25"/>
    <row r="258" s="47" customFormat="1" ht="15.75" customHeight="1" x14ac:dyDescent="0.25"/>
    <row r="259" s="47" customFormat="1" ht="15.75" customHeight="1" x14ac:dyDescent="0.25"/>
    <row r="260" s="47" customFormat="1" ht="15.75" customHeight="1" x14ac:dyDescent="0.25"/>
    <row r="261" s="47" customFormat="1" ht="15.75" customHeight="1" x14ac:dyDescent="0.25"/>
    <row r="262" s="47" customFormat="1" ht="15.75" customHeight="1" x14ac:dyDescent="0.25"/>
    <row r="263" s="47" customFormat="1" ht="15.75" customHeight="1" x14ac:dyDescent="0.25"/>
    <row r="264" s="47" customFormat="1" ht="15.75" customHeight="1" x14ac:dyDescent="0.25"/>
    <row r="265" s="47" customFormat="1" ht="15.75" customHeight="1" x14ac:dyDescent="0.25"/>
    <row r="266" s="47" customFormat="1" ht="15.75" customHeight="1" x14ac:dyDescent="0.25"/>
    <row r="267" s="47" customFormat="1" ht="15.75" customHeight="1" x14ac:dyDescent="0.25"/>
    <row r="268" s="47" customFormat="1" ht="15.75" customHeight="1" x14ac:dyDescent="0.25"/>
    <row r="269" s="47" customFormat="1" ht="15.75" customHeight="1" x14ac:dyDescent="0.25"/>
    <row r="270" s="47" customFormat="1" ht="15.75" customHeight="1" x14ac:dyDescent="0.25"/>
    <row r="271" s="47" customFormat="1" ht="15.75" customHeight="1" x14ac:dyDescent="0.25"/>
    <row r="272" s="47" customFormat="1" ht="15.75" customHeight="1" x14ac:dyDescent="0.25"/>
    <row r="273" s="47" customFormat="1" ht="15.75" customHeight="1" x14ac:dyDescent="0.25"/>
    <row r="274" s="47" customFormat="1" ht="15.75" customHeight="1" x14ac:dyDescent="0.25"/>
    <row r="275" s="47" customFormat="1" ht="15.75" customHeight="1" x14ac:dyDescent="0.25"/>
    <row r="276" s="47" customFormat="1" ht="15.75" customHeight="1" x14ac:dyDescent="0.25"/>
    <row r="277" s="47" customFormat="1" ht="15.75" customHeight="1" x14ac:dyDescent="0.25"/>
    <row r="278" s="47" customFormat="1" ht="15.75" customHeight="1" x14ac:dyDescent="0.25"/>
    <row r="279" s="47" customFormat="1" ht="15.75" customHeight="1" x14ac:dyDescent="0.25"/>
    <row r="280" s="47" customFormat="1" ht="15.75" customHeight="1" x14ac:dyDescent="0.25"/>
    <row r="281" s="47" customFormat="1" ht="15.75" customHeight="1" x14ac:dyDescent="0.25"/>
    <row r="282" s="47" customFormat="1" ht="15.75" customHeight="1" x14ac:dyDescent="0.25"/>
    <row r="283" s="47" customFormat="1" ht="15.75" customHeight="1" x14ac:dyDescent="0.25"/>
    <row r="284" s="47" customFormat="1" ht="15.75" customHeight="1" x14ac:dyDescent="0.25"/>
    <row r="285" s="47" customFormat="1" ht="15.75" customHeight="1" x14ac:dyDescent="0.25"/>
    <row r="286" s="47" customFormat="1" ht="15.75" customHeight="1" x14ac:dyDescent="0.25"/>
    <row r="287" s="47" customFormat="1" ht="15.75" customHeight="1" x14ac:dyDescent="0.25"/>
    <row r="288" s="47" customFormat="1" ht="15.75" customHeight="1" x14ac:dyDescent="0.25"/>
    <row r="289" s="47" customFormat="1" ht="15.75" customHeight="1" x14ac:dyDescent="0.25"/>
    <row r="290" s="47" customFormat="1" ht="15.75" customHeight="1" x14ac:dyDescent="0.25"/>
    <row r="291" s="47" customFormat="1" ht="15.75" customHeight="1" x14ac:dyDescent="0.25"/>
    <row r="292" s="47" customFormat="1" ht="15.75" customHeight="1" x14ac:dyDescent="0.25"/>
    <row r="293" s="47" customFormat="1" ht="15.75" customHeight="1" x14ac:dyDescent="0.25"/>
    <row r="294" s="47" customFormat="1" ht="15.75" customHeight="1" x14ac:dyDescent="0.25"/>
    <row r="295" s="47" customFormat="1" ht="15.75" customHeight="1" x14ac:dyDescent="0.25"/>
    <row r="296" s="47" customFormat="1" ht="15.75" customHeight="1" x14ac:dyDescent="0.25"/>
    <row r="297" s="47" customFormat="1" ht="15.75" customHeight="1" x14ac:dyDescent="0.25"/>
    <row r="298" s="47" customFormat="1" ht="15.75" customHeight="1" x14ac:dyDescent="0.25"/>
    <row r="299" s="47" customFormat="1" ht="15.75" customHeight="1" x14ac:dyDescent="0.25"/>
    <row r="300" s="47" customFormat="1" ht="15.75" customHeight="1" x14ac:dyDescent="0.25"/>
    <row r="301" s="47" customFormat="1" ht="15.75" customHeight="1" x14ac:dyDescent="0.25"/>
    <row r="302" s="47" customFormat="1" ht="15.75" customHeight="1" x14ac:dyDescent="0.25"/>
    <row r="303" s="47" customFormat="1" ht="15.75" customHeight="1" x14ac:dyDescent="0.25"/>
    <row r="304" s="47" customFormat="1" ht="15.75" customHeight="1" x14ac:dyDescent="0.25"/>
    <row r="305" s="47" customFormat="1" ht="15.75" customHeight="1" x14ac:dyDescent="0.25"/>
    <row r="306" s="47" customFormat="1" ht="15.75" customHeight="1" x14ac:dyDescent="0.25"/>
    <row r="307" s="47" customFormat="1" ht="15.75" customHeight="1" x14ac:dyDescent="0.25"/>
    <row r="308" s="47" customFormat="1" ht="15.75" customHeight="1" x14ac:dyDescent="0.25"/>
    <row r="309" s="47" customFormat="1" ht="15.75" customHeight="1" x14ac:dyDescent="0.25"/>
    <row r="310" s="47" customFormat="1" ht="15.75" customHeight="1" x14ac:dyDescent="0.25"/>
    <row r="311" s="47" customFormat="1" ht="15.75" customHeight="1" x14ac:dyDescent="0.25"/>
    <row r="312" s="47" customFormat="1" ht="15.75" customHeight="1" x14ac:dyDescent="0.25"/>
    <row r="313" s="47" customFormat="1" ht="15.75" customHeight="1" x14ac:dyDescent="0.25"/>
    <row r="314" s="47" customFormat="1" ht="15.75" customHeight="1" x14ac:dyDescent="0.25"/>
    <row r="315" s="47" customFormat="1" ht="15.75" customHeight="1" x14ac:dyDescent="0.25"/>
    <row r="316" s="47" customFormat="1" ht="15.75" customHeight="1" x14ac:dyDescent="0.25"/>
    <row r="317" s="47" customFormat="1" ht="15.75" customHeight="1" x14ac:dyDescent="0.25"/>
    <row r="318" s="47" customFormat="1" ht="15.75" customHeight="1" x14ac:dyDescent="0.25"/>
    <row r="319" s="47" customFormat="1" ht="15.75" customHeight="1" x14ac:dyDescent="0.25"/>
    <row r="320" s="47" customFormat="1" ht="15.75" customHeight="1" x14ac:dyDescent="0.25"/>
    <row r="321" s="47" customFormat="1" ht="15.75" customHeight="1" x14ac:dyDescent="0.25"/>
    <row r="322" s="47" customFormat="1" ht="15.75" customHeight="1" x14ac:dyDescent="0.25"/>
    <row r="323" s="47" customFormat="1" ht="15.75" customHeight="1" x14ac:dyDescent="0.25"/>
    <row r="324" s="47" customFormat="1" ht="15.75" customHeight="1" x14ac:dyDescent="0.25"/>
    <row r="325" s="47" customFormat="1" ht="15.75" customHeight="1" x14ac:dyDescent="0.25"/>
    <row r="326" s="47" customFormat="1" ht="15.75" customHeight="1" x14ac:dyDescent="0.25"/>
    <row r="327" s="47" customFormat="1" ht="15.75" customHeight="1" x14ac:dyDescent="0.25"/>
    <row r="328" s="47" customFormat="1" ht="15.75" customHeight="1" x14ac:dyDescent="0.25"/>
    <row r="329" s="47" customFormat="1" ht="15.75" customHeight="1" x14ac:dyDescent="0.25"/>
    <row r="330" s="47" customFormat="1" ht="15.75" customHeight="1" x14ac:dyDescent="0.25"/>
    <row r="331" s="47" customFormat="1" ht="15.75" customHeight="1" x14ac:dyDescent="0.25"/>
    <row r="332" s="47" customFormat="1" ht="15.75" customHeight="1" x14ac:dyDescent="0.25"/>
    <row r="333" s="47" customFormat="1" ht="15.75" customHeight="1" x14ac:dyDescent="0.25"/>
    <row r="334" s="47" customFormat="1" ht="15.75" customHeight="1" x14ac:dyDescent="0.25"/>
    <row r="335" s="47" customFormat="1" ht="15.75" customHeight="1" x14ac:dyDescent="0.25"/>
    <row r="336" s="47" customFormat="1" ht="15.75" customHeight="1" x14ac:dyDescent="0.25"/>
    <row r="337" s="47" customFormat="1" ht="15.75" customHeight="1" x14ac:dyDescent="0.25"/>
    <row r="338" s="47" customFormat="1" ht="15.75" customHeight="1" x14ac:dyDescent="0.25"/>
    <row r="339" s="47" customFormat="1" ht="15.75" customHeight="1" x14ac:dyDescent="0.25"/>
    <row r="340" s="47" customFormat="1" ht="15.75" customHeight="1" x14ac:dyDescent="0.25"/>
    <row r="341" s="47" customFormat="1" ht="15.75" customHeight="1" x14ac:dyDescent="0.25"/>
    <row r="342" s="47" customFormat="1" ht="15.75" customHeight="1" x14ac:dyDescent="0.25"/>
    <row r="343" s="47" customFormat="1" ht="15.75" customHeight="1" x14ac:dyDescent="0.25"/>
    <row r="344" s="47" customFormat="1" ht="15.75" customHeight="1" x14ac:dyDescent="0.25"/>
    <row r="345" s="47" customFormat="1" ht="15.75" customHeight="1" x14ac:dyDescent="0.25"/>
    <row r="346" s="47" customFormat="1" ht="15.75" customHeight="1" x14ac:dyDescent="0.25"/>
    <row r="347" s="47" customFormat="1" ht="15.75" customHeight="1" x14ac:dyDescent="0.25"/>
    <row r="348" s="47" customFormat="1" ht="15.75" customHeight="1" x14ac:dyDescent="0.25"/>
    <row r="349" s="47" customFormat="1" ht="15.75" customHeight="1" x14ac:dyDescent="0.25"/>
    <row r="350" s="47" customFormat="1" ht="15.75" customHeight="1" x14ac:dyDescent="0.25"/>
    <row r="351" s="47" customFormat="1" ht="15.75" customHeight="1" x14ac:dyDescent="0.25"/>
    <row r="352" s="47" customFormat="1" ht="15.75" customHeight="1" x14ac:dyDescent="0.25"/>
    <row r="353" s="47" customFormat="1" ht="15.75" customHeight="1" x14ac:dyDescent="0.25"/>
    <row r="354" s="47" customFormat="1" ht="15.75" customHeight="1" x14ac:dyDescent="0.25"/>
    <row r="355" s="47" customFormat="1" ht="15.75" customHeight="1" x14ac:dyDescent="0.25"/>
    <row r="356" s="47" customFormat="1" ht="15.75" customHeight="1" x14ac:dyDescent="0.25"/>
    <row r="357" s="47" customFormat="1" ht="15.75" customHeight="1" x14ac:dyDescent="0.25"/>
    <row r="358" s="47" customFormat="1" ht="15.75" customHeight="1" x14ac:dyDescent="0.25"/>
    <row r="359" s="47" customFormat="1" ht="15.75" customHeight="1" x14ac:dyDescent="0.25"/>
    <row r="360" s="47" customFormat="1" ht="15.75" customHeight="1" x14ac:dyDescent="0.25"/>
    <row r="361" s="47" customFormat="1" ht="15.75" customHeight="1" x14ac:dyDescent="0.25"/>
    <row r="362" s="47" customFormat="1" ht="15.75" customHeight="1" x14ac:dyDescent="0.25"/>
    <row r="363" s="47" customFormat="1" ht="15.75" customHeight="1" x14ac:dyDescent="0.25"/>
    <row r="364" s="47" customFormat="1" ht="15.75" customHeight="1" x14ac:dyDescent="0.25"/>
    <row r="365" s="47" customFormat="1" ht="15.75" customHeight="1" x14ac:dyDescent="0.25"/>
    <row r="366" s="47" customFormat="1" ht="15.75" customHeight="1" x14ac:dyDescent="0.25"/>
    <row r="367" s="47" customFormat="1" ht="15.75" customHeight="1" x14ac:dyDescent="0.25"/>
    <row r="368" s="47" customFormat="1" ht="15.75" customHeight="1" x14ac:dyDescent="0.25"/>
    <row r="369" s="47" customFormat="1" ht="15.75" customHeight="1" x14ac:dyDescent="0.25"/>
    <row r="370" s="47" customFormat="1" ht="15.75" customHeight="1" x14ac:dyDescent="0.25"/>
    <row r="371" s="47" customFormat="1" ht="15.75" customHeight="1" x14ac:dyDescent="0.25"/>
    <row r="372" s="47" customFormat="1" ht="15.75" customHeight="1" x14ac:dyDescent="0.25"/>
    <row r="373" s="47" customFormat="1" ht="15.75" customHeight="1" x14ac:dyDescent="0.25"/>
    <row r="374" s="47" customFormat="1" ht="15.75" customHeight="1" x14ac:dyDescent="0.25"/>
    <row r="375" s="47" customFormat="1" ht="15.75" customHeight="1" x14ac:dyDescent="0.25"/>
    <row r="376" s="47" customFormat="1" ht="15.75" customHeight="1" x14ac:dyDescent="0.25"/>
    <row r="377" s="47" customFormat="1" ht="15.75" customHeight="1" x14ac:dyDescent="0.25"/>
    <row r="378" s="47" customFormat="1" ht="15.75" customHeight="1" x14ac:dyDescent="0.25"/>
    <row r="379" s="47" customFormat="1" ht="15.75" customHeight="1" x14ac:dyDescent="0.25"/>
    <row r="380" s="47" customFormat="1" ht="15.75" customHeight="1" x14ac:dyDescent="0.25"/>
    <row r="381" s="47" customFormat="1" ht="15.75" customHeight="1" x14ac:dyDescent="0.25"/>
    <row r="382" s="47" customFormat="1" ht="15.75" customHeight="1" x14ac:dyDescent="0.25"/>
    <row r="383" s="47" customFormat="1" ht="15.75" customHeight="1" x14ac:dyDescent="0.25"/>
    <row r="384" s="47" customFormat="1" ht="15.75" customHeight="1" x14ac:dyDescent="0.25"/>
    <row r="385" s="47" customFormat="1" ht="15.75" customHeight="1" x14ac:dyDescent="0.25"/>
    <row r="386" s="47" customFormat="1" ht="15.75" customHeight="1" x14ac:dyDescent="0.25"/>
    <row r="387" s="47" customFormat="1" ht="15.75" customHeight="1" x14ac:dyDescent="0.25"/>
    <row r="388" s="47" customFormat="1" ht="15.75" customHeight="1" x14ac:dyDescent="0.25"/>
    <row r="389" s="47" customFormat="1" ht="15.75" customHeight="1" x14ac:dyDescent="0.25"/>
    <row r="390" s="47" customFormat="1" ht="15.75" customHeight="1" x14ac:dyDescent="0.25"/>
    <row r="391" s="47" customFormat="1" ht="15.75" customHeight="1" x14ac:dyDescent="0.25"/>
    <row r="392" s="47" customFormat="1" ht="15.75" customHeight="1" x14ac:dyDescent="0.25"/>
    <row r="393" s="47" customFormat="1" ht="15.75" customHeight="1" x14ac:dyDescent="0.25"/>
    <row r="394" s="47" customFormat="1" ht="15.75" customHeight="1" x14ac:dyDescent="0.25"/>
    <row r="395" s="47" customFormat="1" ht="15.75" customHeight="1" x14ac:dyDescent="0.25"/>
    <row r="396" s="47" customFormat="1" ht="15.75" customHeight="1" x14ac:dyDescent="0.25"/>
    <row r="397" s="47" customFormat="1" ht="15.75" customHeight="1" x14ac:dyDescent="0.25"/>
    <row r="398" s="47" customFormat="1" ht="15.75" customHeight="1" x14ac:dyDescent="0.25"/>
    <row r="399" s="47" customFormat="1" ht="15.75" customHeight="1" x14ac:dyDescent="0.25"/>
    <row r="400" s="47" customFormat="1" ht="15.75" customHeight="1" x14ac:dyDescent="0.25"/>
    <row r="401" s="47" customFormat="1" ht="15.75" customHeight="1" x14ac:dyDescent="0.25"/>
    <row r="402" s="47" customFormat="1" ht="15.75" customHeight="1" x14ac:dyDescent="0.25"/>
    <row r="403" s="47" customFormat="1" ht="15.75" customHeight="1" x14ac:dyDescent="0.25"/>
    <row r="404" s="47" customFormat="1" ht="15.75" customHeight="1" x14ac:dyDescent="0.25"/>
    <row r="405" s="47" customFormat="1" ht="15.75" customHeight="1" x14ac:dyDescent="0.25"/>
    <row r="406" s="47" customFormat="1" ht="15.75" customHeight="1" x14ac:dyDescent="0.25"/>
    <row r="407" s="47" customFormat="1" ht="15.75" customHeight="1" x14ac:dyDescent="0.25"/>
    <row r="408" s="47" customFormat="1" ht="15.75" customHeight="1" x14ac:dyDescent="0.25"/>
    <row r="409" s="47" customFormat="1" ht="15.75" customHeight="1" x14ac:dyDescent="0.25"/>
    <row r="410" s="47" customFormat="1" ht="15.75" customHeight="1" x14ac:dyDescent="0.25"/>
    <row r="411" s="47" customFormat="1" ht="15.75" customHeight="1" x14ac:dyDescent="0.25"/>
    <row r="412" s="47" customFormat="1" ht="15.75" customHeight="1" x14ac:dyDescent="0.25"/>
    <row r="413" s="47" customFormat="1" ht="15.75" customHeight="1" x14ac:dyDescent="0.25"/>
    <row r="414" s="47" customFormat="1" ht="15.75" customHeight="1" x14ac:dyDescent="0.25"/>
    <row r="415" s="47" customFormat="1" ht="15.75" customHeight="1" x14ac:dyDescent="0.25"/>
    <row r="416" s="47" customFormat="1" ht="15.75" customHeight="1" x14ac:dyDescent="0.25"/>
    <row r="417" s="47" customFormat="1" ht="15.75" customHeight="1" x14ac:dyDescent="0.25"/>
    <row r="418" s="47" customFormat="1" ht="15.75" customHeight="1" x14ac:dyDescent="0.25"/>
    <row r="419" s="47" customFormat="1" ht="15.75" customHeight="1" x14ac:dyDescent="0.25"/>
    <row r="420" s="47" customFormat="1" ht="15.75" customHeight="1" x14ac:dyDescent="0.25"/>
    <row r="421" s="47" customFormat="1" ht="15.75" customHeight="1" x14ac:dyDescent="0.25"/>
    <row r="422" s="47" customFormat="1" ht="15.75" customHeight="1" x14ac:dyDescent="0.25"/>
    <row r="423" s="47" customFormat="1" ht="15.75" customHeight="1" x14ac:dyDescent="0.25"/>
    <row r="424" s="47" customFormat="1" ht="15.75" customHeight="1" x14ac:dyDescent="0.25"/>
    <row r="425" s="47" customFormat="1" ht="15.75" customHeight="1" x14ac:dyDescent="0.25"/>
    <row r="426" s="47" customFormat="1" ht="15.75" customHeight="1" x14ac:dyDescent="0.25"/>
    <row r="427" s="47" customFormat="1" ht="15.75" customHeight="1" x14ac:dyDescent="0.25"/>
    <row r="428" s="47" customFormat="1" ht="15.75" customHeight="1" x14ac:dyDescent="0.25"/>
    <row r="429" s="47" customFormat="1" ht="15.75" customHeight="1" x14ac:dyDescent="0.25"/>
    <row r="430" s="47" customFormat="1" ht="15.75" customHeight="1" x14ac:dyDescent="0.25"/>
    <row r="431" s="47" customFormat="1" ht="15.75" customHeight="1" x14ac:dyDescent="0.25"/>
    <row r="432" s="47" customFormat="1" ht="15.75" customHeight="1" x14ac:dyDescent="0.25"/>
    <row r="433" s="47" customFormat="1" ht="15.75" customHeight="1" x14ac:dyDescent="0.25"/>
    <row r="434" s="47" customFormat="1" ht="15.75" customHeight="1" x14ac:dyDescent="0.25"/>
    <row r="435" s="47" customFormat="1" ht="15.75" customHeight="1" x14ac:dyDescent="0.25"/>
    <row r="436" s="47" customFormat="1" ht="15.75" customHeight="1" x14ac:dyDescent="0.25"/>
    <row r="437" s="47" customFormat="1" ht="15.75" customHeight="1" x14ac:dyDescent="0.25"/>
    <row r="438" s="47" customFormat="1" ht="15.75" customHeight="1" x14ac:dyDescent="0.25"/>
    <row r="439" s="47" customFormat="1" ht="15.75" customHeight="1" x14ac:dyDescent="0.25"/>
    <row r="440" s="47" customFormat="1" ht="15.75" customHeight="1" x14ac:dyDescent="0.25"/>
    <row r="441" s="47" customFormat="1" ht="15.75" customHeight="1" x14ac:dyDescent="0.25"/>
    <row r="442" s="47" customFormat="1" ht="15.75" customHeight="1" x14ac:dyDescent="0.25"/>
    <row r="443" s="47" customFormat="1" ht="15.75" customHeight="1" x14ac:dyDescent="0.25"/>
    <row r="444" s="47" customFormat="1" ht="15.75" customHeight="1" x14ac:dyDescent="0.25"/>
    <row r="445" s="47" customFormat="1" ht="15.75" customHeight="1" x14ac:dyDescent="0.25"/>
    <row r="446" s="47" customFormat="1" ht="15.75" customHeight="1" x14ac:dyDescent="0.25"/>
    <row r="447" s="47" customFormat="1" ht="15.75" customHeight="1" x14ac:dyDescent="0.25"/>
    <row r="448" s="47" customFormat="1" ht="15.75" customHeight="1" x14ac:dyDescent="0.25"/>
    <row r="449" s="47" customFormat="1" ht="15.75" customHeight="1" x14ac:dyDescent="0.25"/>
    <row r="450" s="47" customFormat="1" ht="15.75" customHeight="1" x14ac:dyDescent="0.25"/>
    <row r="451" s="47" customFormat="1" ht="15.75" customHeight="1" x14ac:dyDescent="0.25"/>
    <row r="452" s="47" customFormat="1" ht="15.75" customHeight="1" x14ac:dyDescent="0.25"/>
    <row r="453" s="47" customFormat="1" ht="15.75" customHeight="1" x14ac:dyDescent="0.25"/>
    <row r="454" s="47" customFormat="1" ht="15.75" customHeight="1" x14ac:dyDescent="0.25"/>
    <row r="455" s="47" customFormat="1" ht="15.75" customHeight="1" x14ac:dyDescent="0.25"/>
    <row r="456" s="47" customFormat="1" ht="15.75" customHeight="1" x14ac:dyDescent="0.25"/>
    <row r="457" s="47" customFormat="1" ht="15.75" customHeight="1" x14ac:dyDescent="0.25"/>
    <row r="458" s="47" customFormat="1" ht="15.75" customHeight="1" x14ac:dyDescent="0.25"/>
    <row r="459" s="47" customFormat="1" ht="15.75" customHeight="1" x14ac:dyDescent="0.25"/>
    <row r="460" s="47" customFormat="1" ht="15.75" customHeight="1" x14ac:dyDescent="0.25"/>
    <row r="461" s="47" customFormat="1" ht="15.75" customHeight="1" x14ac:dyDescent="0.25"/>
    <row r="462" s="47" customFormat="1" ht="15.75" customHeight="1" x14ac:dyDescent="0.25"/>
    <row r="463" s="47" customFormat="1" ht="15.75" customHeight="1" x14ac:dyDescent="0.25"/>
    <row r="464" s="47" customFormat="1" ht="15.75" customHeight="1" x14ac:dyDescent="0.25"/>
    <row r="465" s="47" customFormat="1" ht="15.75" customHeight="1" x14ac:dyDescent="0.25"/>
    <row r="466" s="47" customFormat="1" ht="15.75" customHeight="1" x14ac:dyDescent="0.25"/>
    <row r="467" s="47" customFormat="1" ht="15.75" customHeight="1" x14ac:dyDescent="0.25"/>
    <row r="468" s="47" customFormat="1" ht="15.75" customHeight="1" x14ac:dyDescent="0.25"/>
    <row r="469" s="47" customFormat="1" ht="15.75" customHeight="1" x14ac:dyDescent="0.25"/>
    <row r="470" s="47" customFormat="1" ht="15.75" customHeight="1" x14ac:dyDescent="0.25"/>
    <row r="471" s="47" customFormat="1" ht="15.75" customHeight="1" x14ac:dyDescent="0.25"/>
    <row r="472" s="47" customFormat="1" ht="15.75" customHeight="1" x14ac:dyDescent="0.25"/>
    <row r="473" s="47" customFormat="1" ht="15.75" customHeight="1" x14ac:dyDescent="0.25"/>
    <row r="474" s="47" customFormat="1" ht="15.75" customHeight="1" x14ac:dyDescent="0.25"/>
    <row r="475" s="47" customFormat="1" ht="15.75" customHeight="1" x14ac:dyDescent="0.25"/>
    <row r="476" s="47" customFormat="1" ht="15.75" customHeight="1" x14ac:dyDescent="0.25"/>
    <row r="477" s="47" customFormat="1" ht="15.75" customHeight="1" x14ac:dyDescent="0.25"/>
    <row r="478" s="47" customFormat="1" ht="15.75" customHeight="1" x14ac:dyDescent="0.25"/>
    <row r="479" s="47" customFormat="1" ht="15.75" customHeight="1" x14ac:dyDescent="0.25"/>
    <row r="480" s="47" customFormat="1" ht="15.75" customHeight="1" x14ac:dyDescent="0.25"/>
    <row r="481" s="47" customFormat="1" ht="15.75" customHeight="1" x14ac:dyDescent="0.25"/>
    <row r="482" s="47" customFormat="1" ht="15.75" customHeight="1" x14ac:dyDescent="0.25"/>
    <row r="483" s="47" customFormat="1" ht="15.75" customHeight="1" x14ac:dyDescent="0.25"/>
    <row r="484" s="47" customFormat="1" ht="15.75" customHeight="1" x14ac:dyDescent="0.25"/>
    <row r="485" s="47" customFormat="1" ht="15.75" customHeight="1" x14ac:dyDescent="0.25"/>
    <row r="486" s="47" customFormat="1" ht="15.75" customHeight="1" x14ac:dyDescent="0.25"/>
    <row r="487" s="47" customFormat="1" ht="15.75" customHeight="1" x14ac:dyDescent="0.25"/>
    <row r="488" s="47" customFormat="1" ht="15.75" customHeight="1" x14ac:dyDescent="0.25"/>
    <row r="489" s="47" customFormat="1" ht="15.75" customHeight="1" x14ac:dyDescent="0.25"/>
    <row r="490" s="47" customFormat="1" ht="15.75" customHeight="1" x14ac:dyDescent="0.25"/>
    <row r="491" s="47" customFormat="1" ht="15.75" customHeight="1" x14ac:dyDescent="0.25"/>
    <row r="492" s="47" customFormat="1" ht="15.75" customHeight="1" x14ac:dyDescent="0.25"/>
    <row r="493" s="47" customFormat="1" ht="15.75" customHeight="1" x14ac:dyDescent="0.25"/>
    <row r="494" s="47" customFormat="1" ht="15.75" customHeight="1" x14ac:dyDescent="0.25"/>
    <row r="495" s="47" customFormat="1" ht="15.75" customHeight="1" x14ac:dyDescent="0.25"/>
    <row r="496" s="47" customFormat="1" ht="15.75" customHeight="1" x14ac:dyDescent="0.25"/>
    <row r="497" s="47" customFormat="1" ht="15.75" customHeight="1" x14ac:dyDescent="0.25"/>
    <row r="498" s="47" customFormat="1" ht="15.75" customHeight="1" x14ac:dyDescent="0.25"/>
    <row r="499" s="47" customFormat="1" ht="15.75" customHeight="1" x14ac:dyDescent="0.25"/>
    <row r="500" s="47" customFormat="1" ht="15.75" customHeight="1" x14ac:dyDescent="0.25"/>
    <row r="501" s="47" customFormat="1" ht="15.75" customHeight="1" x14ac:dyDescent="0.25"/>
    <row r="502" s="47" customFormat="1" ht="15.75" customHeight="1" x14ac:dyDescent="0.25"/>
    <row r="503" s="47" customFormat="1" ht="15.75" customHeight="1" x14ac:dyDescent="0.25"/>
    <row r="504" s="47" customFormat="1" ht="15.75" customHeight="1" x14ac:dyDescent="0.25"/>
    <row r="505" s="47" customFormat="1" ht="15.75" customHeight="1" x14ac:dyDescent="0.25"/>
    <row r="506" s="47" customFormat="1" ht="15.75" customHeight="1" x14ac:dyDescent="0.25"/>
    <row r="507" s="47" customFormat="1" ht="15.75" customHeight="1" x14ac:dyDescent="0.25"/>
    <row r="508" s="47" customFormat="1" ht="15.75" customHeight="1" x14ac:dyDescent="0.25"/>
    <row r="509" s="47" customFormat="1" ht="15.75" customHeight="1" x14ac:dyDescent="0.25"/>
    <row r="510" s="47" customFormat="1" ht="15.75" customHeight="1" x14ac:dyDescent="0.25"/>
    <row r="511" s="47" customFormat="1" ht="15.75" customHeight="1" x14ac:dyDescent="0.25"/>
    <row r="512" s="47" customFormat="1" ht="15.75" customHeight="1" x14ac:dyDescent="0.25"/>
    <row r="513" s="47" customFormat="1" ht="15.75" customHeight="1" x14ac:dyDescent="0.25"/>
    <row r="514" s="47" customFormat="1" ht="15.75" customHeight="1" x14ac:dyDescent="0.25"/>
    <row r="515" s="47" customFormat="1" ht="15.75" customHeight="1" x14ac:dyDescent="0.25"/>
    <row r="516" s="47" customFormat="1" ht="15.75" customHeight="1" x14ac:dyDescent="0.25"/>
    <row r="517" s="47" customFormat="1" ht="15.75" customHeight="1" x14ac:dyDescent="0.25"/>
    <row r="518" s="47" customFormat="1" ht="15.75" customHeight="1" x14ac:dyDescent="0.25"/>
    <row r="519" s="47" customFormat="1" ht="15.75" customHeight="1" x14ac:dyDescent="0.25"/>
    <row r="520" s="47" customFormat="1" ht="15.75" customHeight="1" x14ac:dyDescent="0.25"/>
    <row r="521" s="47" customFormat="1" ht="15.75" customHeight="1" x14ac:dyDescent="0.25"/>
    <row r="522" s="47" customFormat="1" ht="15.75" customHeight="1" x14ac:dyDescent="0.25"/>
    <row r="523" s="47" customFormat="1" ht="15.75" customHeight="1" x14ac:dyDescent="0.25"/>
    <row r="524" s="47" customFormat="1" ht="15.75" customHeight="1" x14ac:dyDescent="0.25"/>
    <row r="525" s="47" customFormat="1" ht="15.75" customHeight="1" x14ac:dyDescent="0.25"/>
    <row r="526" s="47" customFormat="1" ht="15.75" customHeight="1" x14ac:dyDescent="0.25"/>
    <row r="527" s="47" customFormat="1" ht="15.75" customHeight="1" x14ac:dyDescent="0.25"/>
    <row r="528" s="47" customFormat="1" ht="15.75" customHeight="1" x14ac:dyDescent="0.25"/>
    <row r="529" s="47" customFormat="1" ht="15.75" customHeight="1" x14ac:dyDescent="0.25"/>
    <row r="530" s="47" customFormat="1" ht="15.75" customHeight="1" x14ac:dyDescent="0.25"/>
    <row r="531" s="47" customFormat="1" ht="15.75" customHeight="1" x14ac:dyDescent="0.25"/>
    <row r="532" s="47" customFormat="1" ht="15.75" customHeight="1" x14ac:dyDescent="0.25"/>
    <row r="533" s="47" customFormat="1" ht="15.75" customHeight="1" x14ac:dyDescent="0.25"/>
    <row r="534" s="47" customFormat="1" ht="15.75" customHeight="1" x14ac:dyDescent="0.25"/>
    <row r="535" s="47" customFormat="1" ht="15.75" customHeight="1" x14ac:dyDescent="0.25"/>
    <row r="536" s="47" customFormat="1" ht="15.75" customHeight="1" x14ac:dyDescent="0.25"/>
    <row r="537" s="47" customFormat="1" ht="15.75" customHeight="1" x14ac:dyDescent="0.25"/>
    <row r="538" s="47" customFormat="1" ht="15.75" customHeight="1" x14ac:dyDescent="0.25"/>
    <row r="539" s="47" customFormat="1" ht="15.75" customHeight="1" x14ac:dyDescent="0.25"/>
    <row r="540" s="47" customFormat="1" ht="15.75" customHeight="1" x14ac:dyDescent="0.25"/>
    <row r="541" s="47" customFormat="1" ht="15.75" customHeight="1" x14ac:dyDescent="0.25"/>
    <row r="542" s="47" customFormat="1" ht="15.75" customHeight="1" x14ac:dyDescent="0.25"/>
    <row r="543" s="47" customFormat="1" ht="15.75" customHeight="1" x14ac:dyDescent="0.25"/>
    <row r="544" s="47" customFormat="1" ht="15.75" customHeight="1" x14ac:dyDescent="0.25"/>
    <row r="545" s="47" customFormat="1" ht="15.75" customHeight="1" x14ac:dyDescent="0.25"/>
    <row r="546" s="47" customFormat="1" ht="15.75" customHeight="1" x14ac:dyDescent="0.25"/>
    <row r="547" s="47" customFormat="1" ht="15.75" customHeight="1" x14ac:dyDescent="0.25"/>
    <row r="548" s="47" customFormat="1" ht="15.75" customHeight="1" x14ac:dyDescent="0.25"/>
    <row r="549" s="47" customFormat="1" ht="15.75" customHeight="1" x14ac:dyDescent="0.25"/>
    <row r="550" s="47" customFormat="1" ht="15.75" customHeight="1" x14ac:dyDescent="0.25"/>
    <row r="551" s="47" customFormat="1" ht="15.75" customHeight="1" x14ac:dyDescent="0.25"/>
    <row r="552" s="47" customFormat="1" ht="15.75" customHeight="1" x14ac:dyDescent="0.25"/>
    <row r="553" s="47" customFormat="1" ht="15.75" customHeight="1" x14ac:dyDescent="0.25"/>
    <row r="554" s="47" customFormat="1" ht="15.75" customHeight="1" x14ac:dyDescent="0.25"/>
    <row r="555" s="47" customFormat="1" ht="15.75" customHeight="1" x14ac:dyDescent="0.25"/>
    <row r="556" s="47" customFormat="1" ht="15.75" customHeight="1" x14ac:dyDescent="0.25"/>
    <row r="557" s="47" customFormat="1" ht="15.75" customHeight="1" x14ac:dyDescent="0.25"/>
    <row r="558" s="47" customFormat="1" ht="15.75" customHeight="1" x14ac:dyDescent="0.25"/>
    <row r="559" s="47" customFormat="1" ht="15.75" customHeight="1" x14ac:dyDescent="0.25"/>
    <row r="560" s="47" customFormat="1" ht="15.75" customHeight="1" x14ac:dyDescent="0.25"/>
    <row r="561" s="47" customFormat="1" ht="15.75" customHeight="1" x14ac:dyDescent="0.25"/>
    <row r="562" s="47" customFormat="1" ht="15.75" customHeight="1" x14ac:dyDescent="0.25"/>
    <row r="563" s="47" customFormat="1" ht="15.75" customHeight="1" x14ac:dyDescent="0.25"/>
    <row r="564" s="47" customFormat="1" ht="15.75" customHeight="1" x14ac:dyDescent="0.25"/>
    <row r="565" s="47" customFormat="1" ht="15.75" customHeight="1" x14ac:dyDescent="0.25"/>
    <row r="566" s="47" customFormat="1" ht="15.75" customHeight="1" x14ac:dyDescent="0.25"/>
    <row r="567" s="47" customFormat="1" ht="15.75" customHeight="1" x14ac:dyDescent="0.25"/>
    <row r="568" s="47" customFormat="1" ht="15.75" customHeight="1" x14ac:dyDescent="0.25"/>
    <row r="569" s="47" customFormat="1" ht="15.75" customHeight="1" x14ac:dyDescent="0.25"/>
    <row r="570" s="47" customFormat="1" ht="15.75" customHeight="1" x14ac:dyDescent="0.25"/>
    <row r="571" s="47" customFormat="1" ht="15.75" customHeight="1" x14ac:dyDescent="0.25"/>
    <row r="572" s="47" customFormat="1" ht="15.75" customHeight="1" x14ac:dyDescent="0.25"/>
    <row r="573" s="47" customFormat="1" ht="15.75" customHeight="1" x14ac:dyDescent="0.25"/>
    <row r="574" s="47" customFormat="1" ht="15.75" customHeight="1" x14ac:dyDescent="0.25"/>
    <row r="575" s="47" customFormat="1" ht="15.75" customHeight="1" x14ac:dyDescent="0.25"/>
    <row r="576" s="47" customFormat="1" ht="15.75" customHeight="1" x14ac:dyDescent="0.25"/>
    <row r="577" s="47" customFormat="1" ht="15.75" customHeight="1" x14ac:dyDescent="0.25"/>
    <row r="578" s="47" customFormat="1" ht="15.75" customHeight="1" x14ac:dyDescent="0.25"/>
    <row r="579" s="47" customFormat="1" ht="15.75" customHeight="1" x14ac:dyDescent="0.25"/>
    <row r="580" s="47" customFormat="1" ht="15.75" customHeight="1" x14ac:dyDescent="0.25"/>
    <row r="581" s="47" customFormat="1" ht="15.75" customHeight="1" x14ac:dyDescent="0.25"/>
    <row r="582" s="47" customFormat="1" ht="15.75" customHeight="1" x14ac:dyDescent="0.25"/>
    <row r="583" s="47" customFormat="1" ht="15.75" customHeight="1" x14ac:dyDescent="0.25"/>
    <row r="584" s="47" customFormat="1" ht="15.75" customHeight="1" x14ac:dyDescent="0.25"/>
    <row r="585" s="47" customFormat="1" ht="15.75" customHeight="1" x14ac:dyDescent="0.25"/>
    <row r="586" s="47" customFormat="1" ht="15.75" customHeight="1" x14ac:dyDescent="0.25"/>
    <row r="587" s="47" customFormat="1" ht="15.75" customHeight="1" x14ac:dyDescent="0.25"/>
    <row r="588" s="47" customFormat="1" ht="15.75" customHeight="1" x14ac:dyDescent="0.25"/>
    <row r="589" s="47" customFormat="1" ht="15.75" customHeight="1" x14ac:dyDescent="0.25"/>
    <row r="590" s="47" customFormat="1" ht="15.75" customHeight="1" x14ac:dyDescent="0.25"/>
    <row r="591" s="47" customFormat="1" ht="15.75" customHeight="1" x14ac:dyDescent="0.25"/>
    <row r="592" s="47" customFormat="1" ht="15.75" customHeight="1" x14ac:dyDescent="0.25"/>
    <row r="593" s="47" customFormat="1" ht="15.75" customHeight="1" x14ac:dyDescent="0.25"/>
    <row r="594" s="47" customFormat="1" ht="15.75" customHeight="1" x14ac:dyDescent="0.25"/>
    <row r="595" s="47" customFormat="1" ht="15.75" customHeight="1" x14ac:dyDescent="0.25"/>
    <row r="596" s="47" customFormat="1" ht="15.75" customHeight="1" x14ac:dyDescent="0.25"/>
    <row r="597" s="47" customFormat="1" ht="15.75" customHeight="1" x14ac:dyDescent="0.25"/>
    <row r="598" s="47" customFormat="1" ht="15.75" customHeight="1" x14ac:dyDescent="0.25"/>
    <row r="599" s="47" customFormat="1" ht="15.75" customHeight="1" x14ac:dyDescent="0.25"/>
    <row r="600" s="47" customFormat="1" ht="15.75" customHeight="1" x14ac:dyDescent="0.25"/>
    <row r="601" s="47" customFormat="1" ht="15.75" customHeight="1" x14ac:dyDescent="0.25"/>
    <row r="602" s="47" customFormat="1" ht="15.75" customHeight="1" x14ac:dyDescent="0.25"/>
    <row r="603" s="47" customFormat="1" ht="15.75" customHeight="1" x14ac:dyDescent="0.25"/>
    <row r="604" s="47" customFormat="1" ht="15.75" customHeight="1" x14ac:dyDescent="0.25"/>
    <row r="605" s="47" customFormat="1" ht="15.75" customHeight="1" x14ac:dyDescent="0.25"/>
    <row r="606" s="47" customFormat="1" ht="15.75" customHeight="1" x14ac:dyDescent="0.25"/>
    <row r="607" s="47" customFormat="1" ht="15.75" customHeight="1" x14ac:dyDescent="0.25"/>
    <row r="608" s="47" customFormat="1" ht="15.75" customHeight="1" x14ac:dyDescent="0.25"/>
    <row r="609" s="47" customFormat="1" ht="15.75" customHeight="1" x14ac:dyDescent="0.25"/>
    <row r="610" s="47" customFormat="1" ht="15.75" customHeight="1" x14ac:dyDescent="0.25"/>
    <row r="611" s="47" customFormat="1" ht="15.75" customHeight="1" x14ac:dyDescent="0.25"/>
    <row r="612" s="47" customFormat="1" ht="15.75" customHeight="1" x14ac:dyDescent="0.25"/>
    <row r="613" s="47" customFormat="1" ht="15.75" customHeight="1" x14ac:dyDescent="0.25"/>
    <row r="614" s="47" customFormat="1" ht="15.75" customHeight="1" x14ac:dyDescent="0.25"/>
    <row r="615" s="47" customFormat="1" ht="15.75" customHeight="1" x14ac:dyDescent="0.25"/>
    <row r="616" s="47" customFormat="1" ht="15.75" customHeight="1" x14ac:dyDescent="0.25"/>
    <row r="617" s="47" customFormat="1" ht="15.75" customHeight="1" x14ac:dyDescent="0.25"/>
    <row r="618" s="47" customFormat="1" ht="15.75" customHeight="1" x14ac:dyDescent="0.25"/>
    <row r="619" s="47" customFormat="1" ht="15.75" customHeight="1" x14ac:dyDescent="0.25"/>
    <row r="620" s="47" customFormat="1" ht="15.75" customHeight="1" x14ac:dyDescent="0.25"/>
    <row r="621" s="47" customFormat="1" ht="15.75" customHeight="1" x14ac:dyDescent="0.25"/>
    <row r="622" s="47" customFormat="1" ht="15.75" customHeight="1" x14ac:dyDescent="0.25"/>
    <row r="623" s="47" customFormat="1" ht="15.75" customHeight="1" x14ac:dyDescent="0.25"/>
    <row r="624" s="47" customFormat="1" ht="15.75" customHeight="1" x14ac:dyDescent="0.25"/>
    <row r="625" s="47" customFormat="1" ht="15.75" customHeight="1" x14ac:dyDescent="0.25"/>
    <row r="626" s="47" customFormat="1" ht="15.75" customHeight="1" x14ac:dyDescent="0.25"/>
    <row r="627" s="47" customFormat="1" ht="15.75" customHeight="1" x14ac:dyDescent="0.25"/>
    <row r="628" s="47" customFormat="1" ht="15.75" customHeight="1" x14ac:dyDescent="0.25"/>
    <row r="629" s="47" customFormat="1" ht="15.75" customHeight="1" x14ac:dyDescent="0.25"/>
    <row r="630" s="47" customFormat="1" ht="15.75" customHeight="1" x14ac:dyDescent="0.25"/>
    <row r="631" s="47" customFormat="1" ht="15.75" customHeight="1" x14ac:dyDescent="0.25"/>
    <row r="632" s="47" customFormat="1" ht="15.75" customHeight="1" x14ac:dyDescent="0.25"/>
    <row r="633" s="47" customFormat="1" ht="15.75" customHeight="1" x14ac:dyDescent="0.25"/>
    <row r="634" s="47" customFormat="1" ht="15.75" customHeight="1" x14ac:dyDescent="0.25"/>
    <row r="635" s="47" customFormat="1" ht="15.75" customHeight="1" x14ac:dyDescent="0.25"/>
    <row r="636" s="47" customFormat="1" ht="15.75" customHeight="1" x14ac:dyDescent="0.25"/>
    <row r="637" s="47" customFormat="1" ht="15.75" customHeight="1" x14ac:dyDescent="0.25"/>
    <row r="638" s="47" customFormat="1" ht="15.75" customHeight="1" x14ac:dyDescent="0.25"/>
    <row r="639" s="47" customFormat="1" ht="15.75" customHeight="1" x14ac:dyDescent="0.25"/>
    <row r="640" s="47" customFormat="1" ht="15.75" customHeight="1" x14ac:dyDescent="0.25"/>
    <row r="641" s="47" customFormat="1" ht="15.75" customHeight="1" x14ac:dyDescent="0.25"/>
    <row r="642" s="47" customFormat="1" ht="15.75" customHeight="1" x14ac:dyDescent="0.25"/>
    <row r="643" s="47" customFormat="1" ht="15.75" customHeight="1" x14ac:dyDescent="0.25"/>
    <row r="644" s="47" customFormat="1" ht="15.75" customHeight="1" x14ac:dyDescent="0.25"/>
    <row r="645" s="47" customFormat="1" ht="15.75" customHeight="1" x14ac:dyDescent="0.25"/>
    <row r="646" s="47" customFormat="1" ht="15.75" customHeight="1" x14ac:dyDescent="0.25"/>
    <row r="647" s="47" customFormat="1" ht="15.75" customHeight="1" x14ac:dyDescent="0.25"/>
    <row r="648" s="47" customFormat="1" ht="15.75" customHeight="1" x14ac:dyDescent="0.25"/>
    <row r="649" s="47" customFormat="1" ht="15.75" customHeight="1" x14ac:dyDescent="0.25"/>
    <row r="650" s="47" customFormat="1" ht="15.75" customHeight="1" x14ac:dyDescent="0.25"/>
    <row r="651" s="47" customFormat="1" ht="15.75" customHeight="1" x14ac:dyDescent="0.25"/>
    <row r="652" s="47" customFormat="1" ht="15.75" customHeight="1" x14ac:dyDescent="0.25"/>
    <row r="653" s="47" customFormat="1" ht="15.75" customHeight="1" x14ac:dyDescent="0.25"/>
    <row r="654" s="47" customFormat="1" ht="15.75" customHeight="1" x14ac:dyDescent="0.25"/>
    <row r="655" s="47" customFormat="1" ht="15.75" customHeight="1" x14ac:dyDescent="0.25"/>
    <row r="656" s="47" customFormat="1" ht="15.75" customHeight="1" x14ac:dyDescent="0.25"/>
    <row r="657" s="47" customFormat="1" ht="15.75" customHeight="1" x14ac:dyDescent="0.25"/>
    <row r="658" s="47" customFormat="1" ht="15.75" customHeight="1" x14ac:dyDescent="0.25"/>
    <row r="659" s="47" customFormat="1" ht="15.75" customHeight="1" x14ac:dyDescent="0.25"/>
    <row r="660" s="47" customFormat="1" ht="15.75" customHeight="1" x14ac:dyDescent="0.25"/>
    <row r="661" s="47" customFormat="1" ht="15.75" customHeight="1" x14ac:dyDescent="0.25"/>
    <row r="662" s="47" customFormat="1" ht="15.75" customHeight="1" x14ac:dyDescent="0.25"/>
    <row r="663" s="47" customFormat="1" ht="15.75" customHeight="1" x14ac:dyDescent="0.25"/>
    <row r="664" s="47" customFormat="1" ht="15.75" customHeight="1" x14ac:dyDescent="0.25"/>
    <row r="665" s="47" customFormat="1" ht="15.75" customHeight="1" x14ac:dyDescent="0.25"/>
    <row r="666" s="47" customFormat="1" ht="15.75" customHeight="1" x14ac:dyDescent="0.25"/>
    <row r="667" s="47" customFormat="1" ht="15.75" customHeight="1" x14ac:dyDescent="0.25"/>
    <row r="668" s="47" customFormat="1" ht="15.75" customHeight="1" x14ac:dyDescent="0.25"/>
    <row r="669" s="47" customFormat="1" ht="15.75" customHeight="1" x14ac:dyDescent="0.25"/>
    <row r="670" s="47" customFormat="1" ht="15.75" customHeight="1" x14ac:dyDescent="0.25"/>
    <row r="671" s="47" customFormat="1" ht="15.75" customHeight="1" x14ac:dyDescent="0.25"/>
    <row r="672" s="47" customFormat="1" ht="15.75" customHeight="1" x14ac:dyDescent="0.25"/>
    <row r="673" s="47" customFormat="1" ht="15.75" customHeight="1" x14ac:dyDescent="0.25"/>
    <row r="674" s="47" customFormat="1" ht="15.75" customHeight="1" x14ac:dyDescent="0.25"/>
    <row r="675" s="47" customFormat="1" ht="15.75" customHeight="1" x14ac:dyDescent="0.25"/>
    <row r="676" s="47" customFormat="1" ht="15.75" customHeight="1" x14ac:dyDescent="0.25"/>
    <row r="677" s="47" customFormat="1" ht="15.75" customHeight="1" x14ac:dyDescent="0.25"/>
    <row r="678" s="47" customFormat="1" ht="15.75" customHeight="1" x14ac:dyDescent="0.25"/>
    <row r="679" s="47" customFormat="1" ht="15.75" customHeight="1" x14ac:dyDescent="0.25"/>
    <row r="680" s="47" customFormat="1" ht="15.75" customHeight="1" x14ac:dyDescent="0.25"/>
    <row r="681" s="47" customFormat="1" ht="15.75" customHeight="1" x14ac:dyDescent="0.25"/>
    <row r="682" s="47" customFormat="1" ht="15.75" customHeight="1" x14ac:dyDescent="0.25"/>
    <row r="683" s="47" customFormat="1" ht="15.75" customHeight="1" x14ac:dyDescent="0.25"/>
    <row r="684" s="47" customFormat="1" ht="15.75" customHeight="1" x14ac:dyDescent="0.25"/>
    <row r="685" s="47" customFormat="1" ht="15.75" customHeight="1" x14ac:dyDescent="0.25"/>
    <row r="686" s="47" customFormat="1" ht="15.75" customHeight="1" x14ac:dyDescent="0.25"/>
    <row r="687" s="47" customFormat="1" ht="15.75" customHeight="1" x14ac:dyDescent="0.25"/>
    <row r="688" s="47" customFormat="1" ht="15.75" customHeight="1" x14ac:dyDescent="0.25"/>
    <row r="689" s="47" customFormat="1" ht="15.75" customHeight="1" x14ac:dyDescent="0.25"/>
    <row r="690" s="47" customFormat="1" ht="15.75" customHeight="1" x14ac:dyDescent="0.25"/>
    <row r="691" s="47" customFormat="1" ht="15.75" customHeight="1" x14ac:dyDescent="0.25"/>
    <row r="692" s="47" customFormat="1" ht="15.75" customHeight="1" x14ac:dyDescent="0.25"/>
    <row r="693" s="47" customFormat="1" ht="15.75" customHeight="1" x14ac:dyDescent="0.25"/>
    <row r="694" s="47" customFormat="1" ht="15.75" customHeight="1" x14ac:dyDescent="0.25"/>
    <row r="695" s="47" customFormat="1" ht="15.75" customHeight="1" x14ac:dyDescent="0.25"/>
    <row r="696" s="47" customFormat="1" ht="15.75" customHeight="1" x14ac:dyDescent="0.25"/>
    <row r="697" s="47" customFormat="1" ht="15.75" customHeight="1" x14ac:dyDescent="0.25"/>
    <row r="698" s="47" customFormat="1" ht="15.75" customHeight="1" x14ac:dyDescent="0.25"/>
    <row r="699" s="47" customFormat="1" ht="15.75" customHeight="1" x14ac:dyDescent="0.25"/>
    <row r="700" s="47" customFormat="1" ht="15.75" customHeight="1" x14ac:dyDescent="0.25"/>
    <row r="701" s="47" customFormat="1" ht="15.75" customHeight="1" x14ac:dyDescent="0.25"/>
    <row r="702" s="47" customFormat="1" ht="15.75" customHeight="1" x14ac:dyDescent="0.25"/>
    <row r="703" s="47" customFormat="1" ht="15.75" customHeight="1" x14ac:dyDescent="0.25"/>
    <row r="704" s="47" customFormat="1" ht="15.75" customHeight="1" x14ac:dyDescent="0.25"/>
    <row r="705" s="47" customFormat="1" ht="15.75" customHeight="1" x14ac:dyDescent="0.25"/>
    <row r="706" s="47" customFormat="1" ht="15.75" customHeight="1" x14ac:dyDescent="0.25"/>
    <row r="707" s="47" customFormat="1" ht="15.75" customHeight="1" x14ac:dyDescent="0.25"/>
    <row r="708" s="47" customFormat="1" ht="15.75" customHeight="1" x14ac:dyDescent="0.25"/>
    <row r="709" s="47" customFormat="1" ht="15.75" customHeight="1" x14ac:dyDescent="0.25"/>
    <row r="710" s="47" customFormat="1" ht="15.75" customHeight="1" x14ac:dyDescent="0.25"/>
    <row r="711" s="47" customFormat="1" ht="15.75" customHeight="1" x14ac:dyDescent="0.25"/>
    <row r="712" s="47" customFormat="1" ht="15.75" customHeight="1" x14ac:dyDescent="0.25"/>
    <row r="713" s="47" customFormat="1" ht="15.75" customHeight="1" x14ac:dyDescent="0.25"/>
    <row r="714" s="47" customFormat="1" ht="15.75" customHeight="1" x14ac:dyDescent="0.25"/>
    <row r="715" s="47" customFormat="1" ht="15.75" customHeight="1" x14ac:dyDescent="0.25"/>
    <row r="716" s="47" customFormat="1" ht="15.75" customHeight="1" x14ac:dyDescent="0.25"/>
    <row r="717" s="47" customFormat="1" ht="15.75" customHeight="1" x14ac:dyDescent="0.25"/>
    <row r="718" s="47" customFormat="1" ht="15.75" customHeight="1" x14ac:dyDescent="0.25"/>
    <row r="719" s="47" customFormat="1" ht="15.75" customHeight="1" x14ac:dyDescent="0.25"/>
    <row r="720" s="47" customFormat="1" ht="15.75" customHeight="1" x14ac:dyDescent="0.25"/>
    <row r="721" s="47" customFormat="1" ht="15.75" customHeight="1" x14ac:dyDescent="0.25"/>
    <row r="722" s="47" customFormat="1" ht="15.75" customHeight="1" x14ac:dyDescent="0.25"/>
    <row r="723" s="47" customFormat="1" ht="15.75" customHeight="1" x14ac:dyDescent="0.25"/>
    <row r="724" s="47" customFormat="1" ht="15.75" customHeight="1" x14ac:dyDescent="0.25"/>
    <row r="725" s="47" customFormat="1" ht="15.75" customHeight="1" x14ac:dyDescent="0.25"/>
    <row r="726" s="47" customFormat="1" ht="15.75" customHeight="1" x14ac:dyDescent="0.25"/>
    <row r="727" s="47" customFormat="1" ht="15.75" customHeight="1" x14ac:dyDescent="0.25"/>
    <row r="728" s="47" customFormat="1" ht="15.75" customHeight="1" x14ac:dyDescent="0.25"/>
    <row r="729" s="47" customFormat="1" ht="15.75" customHeight="1" x14ac:dyDescent="0.25"/>
    <row r="730" s="47" customFormat="1" ht="15.75" customHeight="1" x14ac:dyDescent="0.25"/>
    <row r="731" s="47" customFormat="1" ht="15.75" customHeight="1" x14ac:dyDescent="0.25"/>
    <row r="732" s="47" customFormat="1" ht="15.75" customHeight="1" x14ac:dyDescent="0.25"/>
    <row r="733" s="47" customFormat="1" ht="15.75" customHeight="1" x14ac:dyDescent="0.25"/>
    <row r="734" s="47" customFormat="1" ht="15.75" customHeight="1" x14ac:dyDescent="0.25"/>
    <row r="735" s="47" customFormat="1" ht="15.75" customHeight="1" x14ac:dyDescent="0.25"/>
    <row r="736" s="47" customFormat="1" ht="15.75" customHeight="1" x14ac:dyDescent="0.25"/>
    <row r="737" s="47" customFormat="1" ht="15.75" customHeight="1" x14ac:dyDescent="0.25"/>
    <row r="738" s="47" customFormat="1" ht="15.75" customHeight="1" x14ac:dyDescent="0.25"/>
    <row r="739" s="47" customFormat="1" ht="15.75" customHeight="1" x14ac:dyDescent="0.25"/>
    <row r="740" s="47" customFormat="1" ht="15.75" customHeight="1" x14ac:dyDescent="0.25"/>
    <row r="741" s="47" customFormat="1" ht="15.75" customHeight="1" x14ac:dyDescent="0.25"/>
    <row r="742" s="47" customFormat="1" ht="15.75" customHeight="1" x14ac:dyDescent="0.25"/>
    <row r="743" s="47" customFormat="1" ht="15.75" customHeight="1" x14ac:dyDescent="0.25"/>
    <row r="744" s="47" customFormat="1" ht="15.75" customHeight="1" x14ac:dyDescent="0.25"/>
    <row r="745" s="47" customFormat="1" ht="15.75" customHeight="1" x14ac:dyDescent="0.25"/>
    <row r="746" s="47" customFormat="1" ht="15.75" customHeight="1" x14ac:dyDescent="0.25"/>
    <row r="747" s="47" customFormat="1" ht="15.75" customHeight="1" x14ac:dyDescent="0.25"/>
    <row r="748" s="47" customFormat="1" ht="15.75" customHeight="1" x14ac:dyDescent="0.25"/>
    <row r="749" s="47" customFormat="1" ht="15.75" customHeight="1" x14ac:dyDescent="0.25"/>
    <row r="750" s="47" customFormat="1" ht="15.75" customHeight="1" x14ac:dyDescent="0.25"/>
    <row r="751" s="47" customFormat="1" ht="15.75" customHeight="1" x14ac:dyDescent="0.25"/>
    <row r="752" s="47" customFormat="1" ht="15.75" customHeight="1" x14ac:dyDescent="0.25"/>
    <row r="753" s="47" customFormat="1" ht="15.75" customHeight="1" x14ac:dyDescent="0.25"/>
    <row r="754" s="47" customFormat="1" ht="15.75" customHeight="1" x14ac:dyDescent="0.25"/>
    <row r="755" s="47" customFormat="1" ht="15.75" customHeight="1" x14ac:dyDescent="0.25"/>
    <row r="756" s="47" customFormat="1" ht="15.75" customHeight="1" x14ac:dyDescent="0.25"/>
    <row r="757" s="47" customFormat="1" ht="15.75" customHeight="1" x14ac:dyDescent="0.25"/>
    <row r="758" s="47" customFormat="1" ht="15.75" customHeight="1" x14ac:dyDescent="0.25"/>
    <row r="759" s="47" customFormat="1" ht="15.75" customHeight="1" x14ac:dyDescent="0.25"/>
    <row r="760" s="47" customFormat="1" ht="15.75" customHeight="1" x14ac:dyDescent="0.25"/>
    <row r="761" s="47" customFormat="1" ht="15.75" customHeight="1" x14ac:dyDescent="0.25"/>
    <row r="762" s="47" customFormat="1" ht="15.75" customHeight="1" x14ac:dyDescent="0.25"/>
    <row r="763" s="47" customFormat="1" ht="15.75" customHeight="1" x14ac:dyDescent="0.25"/>
    <row r="764" s="47" customFormat="1" ht="15.75" customHeight="1" x14ac:dyDescent="0.25"/>
    <row r="765" s="47" customFormat="1" ht="15.75" customHeight="1" x14ac:dyDescent="0.25"/>
    <row r="766" s="47" customFormat="1" ht="15.75" customHeight="1" x14ac:dyDescent="0.25"/>
    <row r="767" s="47" customFormat="1" ht="15.75" customHeight="1" x14ac:dyDescent="0.25"/>
    <row r="768" s="47" customFormat="1" ht="15.75" customHeight="1" x14ac:dyDescent="0.25"/>
    <row r="769" s="47" customFormat="1" ht="15.75" customHeight="1" x14ac:dyDescent="0.25"/>
    <row r="770" s="47" customFormat="1" ht="15.75" customHeight="1" x14ac:dyDescent="0.25"/>
    <row r="771" s="47" customFormat="1" ht="15.75" customHeight="1" x14ac:dyDescent="0.25"/>
    <row r="772" s="47" customFormat="1" ht="15.75" customHeight="1" x14ac:dyDescent="0.25"/>
    <row r="773" s="47" customFormat="1" ht="15.75" customHeight="1" x14ac:dyDescent="0.25"/>
    <row r="774" s="47" customFormat="1" ht="15.75" customHeight="1" x14ac:dyDescent="0.25"/>
    <row r="775" s="47" customFormat="1" ht="15.75" customHeight="1" x14ac:dyDescent="0.25"/>
    <row r="776" s="47" customFormat="1" ht="15.75" customHeight="1" x14ac:dyDescent="0.25"/>
    <row r="777" s="47" customFormat="1" ht="15.75" customHeight="1" x14ac:dyDescent="0.25"/>
    <row r="778" s="47" customFormat="1" ht="15.75" customHeight="1" x14ac:dyDescent="0.25"/>
    <row r="779" s="47" customFormat="1" ht="15.75" customHeight="1" x14ac:dyDescent="0.25"/>
    <row r="780" s="47" customFormat="1" ht="15.75" customHeight="1" x14ac:dyDescent="0.25"/>
    <row r="781" s="47" customFormat="1" ht="15.75" customHeight="1" x14ac:dyDescent="0.25"/>
    <row r="782" s="47" customFormat="1" ht="15.75" customHeight="1" x14ac:dyDescent="0.25"/>
    <row r="783" s="47" customFormat="1" ht="15.75" customHeight="1" x14ac:dyDescent="0.25"/>
    <row r="784" s="47" customFormat="1" ht="15.75" customHeight="1" x14ac:dyDescent="0.25"/>
    <row r="785" s="47" customFormat="1" ht="15.75" customHeight="1" x14ac:dyDescent="0.25"/>
    <row r="786" s="47" customFormat="1" ht="15.75" customHeight="1" x14ac:dyDescent="0.25"/>
    <row r="787" s="47" customFormat="1" ht="15.75" customHeight="1" x14ac:dyDescent="0.25"/>
    <row r="788" s="47" customFormat="1" ht="15.75" customHeight="1" x14ac:dyDescent="0.25"/>
    <row r="789" s="47" customFormat="1" ht="15.75" customHeight="1" x14ac:dyDescent="0.25"/>
    <row r="790" s="47" customFormat="1" ht="15.75" customHeight="1" x14ac:dyDescent="0.25"/>
    <row r="791" s="47" customFormat="1" ht="15.75" customHeight="1" x14ac:dyDescent="0.25"/>
    <row r="792" s="47" customFormat="1" ht="15.75" customHeight="1" x14ac:dyDescent="0.25"/>
    <row r="793" s="47" customFormat="1" ht="15.75" customHeight="1" x14ac:dyDescent="0.25"/>
    <row r="794" s="47" customFormat="1" ht="15.75" customHeight="1" x14ac:dyDescent="0.25"/>
    <row r="795" s="47" customFormat="1" ht="15.75" customHeight="1" x14ac:dyDescent="0.25"/>
    <row r="796" s="47" customFormat="1" ht="15.75" customHeight="1" x14ac:dyDescent="0.25"/>
    <row r="797" s="47" customFormat="1" ht="15.75" customHeight="1" x14ac:dyDescent="0.25"/>
    <row r="798" s="47" customFormat="1" ht="15.75" customHeight="1" x14ac:dyDescent="0.25"/>
    <row r="799" s="47" customFormat="1" ht="15.75" customHeight="1" x14ac:dyDescent="0.25"/>
    <row r="800" s="47" customFormat="1" ht="15.75" customHeight="1" x14ac:dyDescent="0.25"/>
    <row r="801" s="47" customFormat="1" ht="15.75" customHeight="1" x14ac:dyDescent="0.25"/>
    <row r="802" s="47" customFormat="1" ht="15.75" customHeight="1" x14ac:dyDescent="0.25"/>
    <row r="803" s="47" customFormat="1" ht="15.75" customHeight="1" x14ac:dyDescent="0.25"/>
    <row r="804" s="47" customFormat="1" ht="15.75" customHeight="1" x14ac:dyDescent="0.25"/>
    <row r="805" s="47" customFormat="1" ht="15.75" customHeight="1" x14ac:dyDescent="0.25"/>
    <row r="806" s="47" customFormat="1" ht="15.75" customHeight="1" x14ac:dyDescent="0.25"/>
    <row r="807" s="47" customFormat="1" ht="15.75" customHeight="1" x14ac:dyDescent="0.25"/>
    <row r="808" s="47" customFormat="1" ht="15.75" customHeight="1" x14ac:dyDescent="0.25"/>
    <row r="809" s="47" customFormat="1" ht="15.75" customHeight="1" x14ac:dyDescent="0.25"/>
    <row r="810" s="47" customFormat="1" ht="15.75" customHeight="1" x14ac:dyDescent="0.25"/>
    <row r="811" s="47" customFormat="1" ht="15.75" customHeight="1" x14ac:dyDescent="0.25"/>
    <row r="812" s="47" customFormat="1" ht="15.75" customHeight="1" x14ac:dyDescent="0.25"/>
    <row r="813" s="47" customFormat="1" ht="15.75" customHeight="1" x14ac:dyDescent="0.25"/>
    <row r="814" s="47" customFormat="1" ht="15.75" customHeight="1" x14ac:dyDescent="0.25"/>
    <row r="815" s="47" customFormat="1" ht="15.75" customHeight="1" x14ac:dyDescent="0.25"/>
    <row r="816" s="47" customFormat="1" ht="15.75" customHeight="1" x14ac:dyDescent="0.25"/>
    <row r="817" s="47" customFormat="1" ht="15.75" customHeight="1" x14ac:dyDescent="0.25"/>
    <row r="818" s="47" customFormat="1" ht="15.75" customHeight="1" x14ac:dyDescent="0.25"/>
    <row r="819" s="47" customFormat="1" ht="15.75" customHeight="1" x14ac:dyDescent="0.25"/>
    <row r="820" s="47" customFormat="1" ht="15.75" customHeight="1" x14ac:dyDescent="0.25"/>
    <row r="821" s="47" customFormat="1" ht="15.75" customHeight="1" x14ac:dyDescent="0.25"/>
    <row r="822" s="47" customFormat="1" ht="15.75" customHeight="1" x14ac:dyDescent="0.25"/>
    <row r="823" s="47" customFormat="1" ht="15.75" customHeight="1" x14ac:dyDescent="0.25"/>
    <row r="824" s="47" customFormat="1" ht="15.75" customHeight="1" x14ac:dyDescent="0.25"/>
    <row r="825" s="47" customFormat="1" ht="15.75" customHeight="1" x14ac:dyDescent="0.25"/>
    <row r="826" s="47" customFormat="1" ht="15.75" customHeight="1" x14ac:dyDescent="0.25"/>
    <row r="827" s="47" customFormat="1" ht="15.75" customHeight="1" x14ac:dyDescent="0.25"/>
    <row r="828" s="47" customFormat="1" ht="15.75" customHeight="1" x14ac:dyDescent="0.25"/>
    <row r="829" s="47" customFormat="1" ht="15.75" customHeight="1" x14ac:dyDescent="0.25"/>
    <row r="830" s="47" customFormat="1" ht="15.75" customHeight="1" x14ac:dyDescent="0.25"/>
    <row r="831" s="47" customFormat="1" ht="15.75" customHeight="1" x14ac:dyDescent="0.25"/>
    <row r="832" s="47" customFormat="1" ht="15.75" customHeight="1" x14ac:dyDescent="0.25"/>
    <row r="833" s="47" customFormat="1" ht="15.75" customHeight="1" x14ac:dyDescent="0.25"/>
    <row r="834" s="47" customFormat="1" ht="15.75" customHeight="1" x14ac:dyDescent="0.25"/>
    <row r="835" s="47" customFormat="1" ht="15.75" customHeight="1" x14ac:dyDescent="0.25"/>
    <row r="836" s="47" customFormat="1" ht="15.75" customHeight="1" x14ac:dyDescent="0.25"/>
    <row r="837" s="47" customFormat="1" ht="15.75" customHeight="1" x14ac:dyDescent="0.25"/>
    <row r="838" s="47" customFormat="1" ht="15.75" customHeight="1" x14ac:dyDescent="0.25"/>
    <row r="839" s="47" customFormat="1" ht="15.75" customHeight="1" x14ac:dyDescent="0.25"/>
    <row r="840" s="47" customFormat="1" ht="15.75" customHeight="1" x14ac:dyDescent="0.25"/>
    <row r="841" s="47" customFormat="1" ht="15.75" customHeight="1" x14ac:dyDescent="0.25"/>
    <row r="842" s="47" customFormat="1" ht="15.75" customHeight="1" x14ac:dyDescent="0.25"/>
    <row r="843" s="47" customFormat="1" ht="15.75" customHeight="1" x14ac:dyDescent="0.25"/>
    <row r="844" s="47" customFormat="1" ht="15.75" customHeight="1" x14ac:dyDescent="0.25"/>
    <row r="845" s="47" customFormat="1" ht="15.75" customHeight="1" x14ac:dyDescent="0.25"/>
    <row r="846" s="47" customFormat="1" ht="15.75" customHeight="1" x14ac:dyDescent="0.25"/>
    <row r="847" s="47" customFormat="1" ht="15.75" customHeight="1" x14ac:dyDescent="0.25"/>
    <row r="848" s="47" customFormat="1" ht="15.75" customHeight="1" x14ac:dyDescent="0.25"/>
    <row r="849" s="47" customFormat="1" ht="15.75" customHeight="1" x14ac:dyDescent="0.25"/>
    <row r="850" s="47" customFormat="1" ht="15.75" customHeight="1" x14ac:dyDescent="0.25"/>
    <row r="851" s="47" customFormat="1" ht="15.75" customHeight="1" x14ac:dyDescent="0.25"/>
    <row r="852" s="47" customFormat="1" ht="15.75" customHeight="1" x14ac:dyDescent="0.25"/>
    <row r="853" s="47" customFormat="1" ht="15.75" customHeight="1" x14ac:dyDescent="0.25"/>
    <row r="854" s="47" customFormat="1" ht="15.75" customHeight="1" x14ac:dyDescent="0.25"/>
    <row r="855" s="47" customFormat="1" ht="15.75" customHeight="1" x14ac:dyDescent="0.25"/>
    <row r="856" s="47" customFormat="1" ht="15.75" customHeight="1" x14ac:dyDescent="0.25"/>
    <row r="857" s="47" customFormat="1" ht="15.75" customHeight="1" x14ac:dyDescent="0.25"/>
    <row r="858" s="47" customFormat="1" ht="15.75" customHeight="1" x14ac:dyDescent="0.25"/>
    <row r="859" s="47" customFormat="1" ht="15.75" customHeight="1" x14ac:dyDescent="0.25"/>
    <row r="860" s="47" customFormat="1" ht="15.75" customHeight="1" x14ac:dyDescent="0.25"/>
    <row r="861" s="47" customFormat="1" ht="15.75" customHeight="1" x14ac:dyDescent="0.25"/>
    <row r="862" s="47" customFormat="1" ht="15.75" customHeight="1" x14ac:dyDescent="0.25"/>
    <row r="863" s="47" customFormat="1" ht="15.75" customHeight="1" x14ac:dyDescent="0.25"/>
    <row r="864" s="47" customFormat="1" ht="15.75" customHeight="1" x14ac:dyDescent="0.25"/>
    <row r="865" s="47" customFormat="1" ht="15.75" customHeight="1" x14ac:dyDescent="0.25"/>
    <row r="866" s="47" customFormat="1" ht="15.75" customHeight="1" x14ac:dyDescent="0.25"/>
    <row r="867" s="47" customFormat="1" ht="15.75" customHeight="1" x14ac:dyDescent="0.25"/>
    <row r="868" s="47" customFormat="1" ht="15.75" customHeight="1" x14ac:dyDescent="0.25"/>
    <row r="869" s="47" customFormat="1" ht="15.75" customHeight="1" x14ac:dyDescent="0.25"/>
    <row r="870" s="47" customFormat="1" ht="15.75" customHeight="1" x14ac:dyDescent="0.25"/>
    <row r="871" s="47" customFormat="1" ht="15.75" customHeight="1" x14ac:dyDescent="0.25"/>
    <row r="872" s="47" customFormat="1" ht="15.75" customHeight="1" x14ac:dyDescent="0.25"/>
    <row r="873" s="47" customFormat="1" ht="15.75" customHeight="1" x14ac:dyDescent="0.25"/>
    <row r="874" s="47" customFormat="1" ht="15.75" customHeight="1" x14ac:dyDescent="0.25"/>
    <row r="875" s="47" customFormat="1" ht="15.75" customHeight="1" x14ac:dyDescent="0.25"/>
    <row r="876" s="47" customFormat="1" ht="15.75" customHeight="1" x14ac:dyDescent="0.25"/>
    <row r="877" s="47" customFormat="1" ht="15.75" customHeight="1" x14ac:dyDescent="0.25"/>
    <row r="878" s="47" customFormat="1" ht="15.75" customHeight="1" x14ac:dyDescent="0.25"/>
    <row r="879" s="47" customFormat="1" ht="15.75" customHeight="1" x14ac:dyDescent="0.25"/>
    <row r="880" s="47" customFormat="1" ht="15.75" customHeight="1" x14ac:dyDescent="0.25"/>
    <row r="881" s="47" customFormat="1" ht="15.75" customHeight="1" x14ac:dyDescent="0.25"/>
    <row r="882" s="47" customFormat="1" ht="15.75" customHeight="1" x14ac:dyDescent="0.25"/>
    <row r="883" s="47" customFormat="1" ht="15.75" customHeight="1" x14ac:dyDescent="0.25"/>
    <row r="884" s="47" customFormat="1" ht="15.75" customHeight="1" x14ac:dyDescent="0.25"/>
    <row r="885" s="47" customFormat="1" ht="15.75" customHeight="1" x14ac:dyDescent="0.25"/>
    <row r="886" s="47" customFormat="1" ht="15.75" customHeight="1" x14ac:dyDescent="0.25"/>
    <row r="887" s="47" customFormat="1" ht="15.75" customHeight="1" x14ac:dyDescent="0.25"/>
    <row r="888" s="47" customFormat="1" ht="15.75" customHeight="1" x14ac:dyDescent="0.25"/>
    <row r="889" s="47" customFormat="1" ht="15.75" customHeight="1" x14ac:dyDescent="0.25"/>
    <row r="890" s="47" customFormat="1" ht="15.75" customHeight="1" x14ac:dyDescent="0.25"/>
    <row r="891" s="47" customFormat="1" ht="15.75" customHeight="1" x14ac:dyDescent="0.25"/>
    <row r="892" s="47" customFormat="1" ht="15.75" customHeight="1" x14ac:dyDescent="0.25"/>
    <row r="893" s="47" customFormat="1" ht="15.75" customHeight="1" x14ac:dyDescent="0.25"/>
    <row r="894" s="47" customFormat="1" ht="15.75" customHeight="1" x14ac:dyDescent="0.25"/>
    <row r="895" s="47" customFormat="1" ht="15.75" customHeight="1" x14ac:dyDescent="0.25"/>
    <row r="896" s="47" customFormat="1" ht="15.75" customHeight="1" x14ac:dyDescent="0.25"/>
    <row r="897" s="47" customFormat="1" ht="15.75" customHeight="1" x14ac:dyDescent="0.25"/>
    <row r="898" s="47" customFormat="1" ht="15.75" customHeight="1" x14ac:dyDescent="0.25"/>
    <row r="899" s="47" customFormat="1" ht="15.75" customHeight="1" x14ac:dyDescent="0.25"/>
    <row r="900" s="47" customFormat="1" ht="15.75" customHeight="1" x14ac:dyDescent="0.25"/>
    <row r="901" s="47" customFormat="1" ht="15.75" customHeight="1" x14ac:dyDescent="0.25"/>
    <row r="902" s="47" customFormat="1" ht="15.75" customHeight="1" x14ac:dyDescent="0.25"/>
    <row r="903" s="47" customFormat="1" ht="15.75" customHeight="1" x14ac:dyDescent="0.25"/>
    <row r="904" s="47" customFormat="1" ht="15.75" customHeight="1" x14ac:dyDescent="0.25"/>
    <row r="905" s="47" customFormat="1" ht="15.75" customHeight="1" x14ac:dyDescent="0.25"/>
    <row r="906" s="47" customFormat="1" ht="15.75" customHeight="1" x14ac:dyDescent="0.25"/>
    <row r="907" s="47" customFormat="1" ht="15.75" customHeight="1" x14ac:dyDescent="0.25"/>
    <row r="908" s="47" customFormat="1" ht="15.75" customHeight="1" x14ac:dyDescent="0.25"/>
    <row r="909" s="47" customFormat="1" ht="15.75" customHeight="1" x14ac:dyDescent="0.25"/>
    <row r="910" s="47" customFormat="1" ht="15.75" customHeight="1" x14ac:dyDescent="0.25"/>
    <row r="911" s="47" customFormat="1" ht="15.75" customHeight="1" x14ac:dyDescent="0.25"/>
    <row r="912" s="47" customFormat="1" ht="15.75" customHeight="1" x14ac:dyDescent="0.25"/>
    <row r="913" s="47" customFormat="1" ht="15.75" customHeight="1" x14ac:dyDescent="0.25"/>
    <row r="914" s="47" customFormat="1" ht="15.75" customHeight="1" x14ac:dyDescent="0.25"/>
    <row r="915" s="47" customFormat="1" ht="15.75" customHeight="1" x14ac:dyDescent="0.25"/>
    <row r="916" s="47" customFormat="1" ht="15.75" customHeight="1" x14ac:dyDescent="0.25"/>
    <row r="917" s="47" customFormat="1" ht="15.75" customHeight="1" x14ac:dyDescent="0.25"/>
    <row r="918" s="47" customFormat="1" ht="15.75" customHeight="1" x14ac:dyDescent="0.25"/>
    <row r="919" s="47" customFormat="1" ht="15.75" customHeight="1" x14ac:dyDescent="0.25"/>
    <row r="920" s="47" customFormat="1" ht="15.75" customHeight="1" x14ac:dyDescent="0.25"/>
    <row r="921" s="47" customFormat="1" ht="15.75" customHeight="1" x14ac:dyDescent="0.25"/>
    <row r="922" s="47" customFormat="1" ht="15.75" customHeight="1" x14ac:dyDescent="0.25"/>
    <row r="923" s="47" customFormat="1" ht="15.75" customHeight="1" x14ac:dyDescent="0.25"/>
    <row r="924" s="47" customFormat="1" ht="15.75" customHeight="1" x14ac:dyDescent="0.25"/>
    <row r="925" s="47" customFormat="1" ht="15.75" customHeight="1" x14ac:dyDescent="0.25"/>
    <row r="926" s="47" customFormat="1" ht="15.75" customHeight="1" x14ac:dyDescent="0.25"/>
    <row r="927" s="47" customFormat="1" ht="15.75" customHeight="1" x14ac:dyDescent="0.25"/>
    <row r="928" s="47" customFormat="1" ht="15.75" customHeight="1" x14ac:dyDescent="0.25"/>
    <row r="929" s="47" customFormat="1" ht="15.75" customHeight="1" x14ac:dyDescent="0.25"/>
    <row r="930" s="47" customFormat="1" ht="15.75" customHeight="1" x14ac:dyDescent="0.25"/>
    <row r="931" s="47" customFormat="1" ht="15.75" customHeight="1" x14ac:dyDescent="0.25"/>
    <row r="932" s="47" customFormat="1" ht="15.75" customHeight="1" x14ac:dyDescent="0.25"/>
    <row r="933" s="47" customFormat="1" ht="15.75" customHeight="1" x14ac:dyDescent="0.25"/>
    <row r="934" s="47" customFormat="1" ht="15.75" customHeight="1" x14ac:dyDescent="0.25"/>
    <row r="935" s="47" customFormat="1" ht="15.75" customHeight="1" x14ac:dyDescent="0.25"/>
    <row r="936" s="47" customFormat="1" ht="15.75" customHeight="1" x14ac:dyDescent="0.25"/>
    <row r="937" s="47" customFormat="1" ht="15.75" customHeight="1" x14ac:dyDescent="0.25"/>
    <row r="938" s="47" customFormat="1" ht="15.75" customHeight="1" x14ac:dyDescent="0.25"/>
    <row r="939" s="47" customFormat="1" ht="15.75" customHeight="1" x14ac:dyDescent="0.25"/>
    <row r="940" s="47" customFormat="1" ht="15.75" customHeight="1" x14ac:dyDescent="0.25"/>
    <row r="941" s="47" customFormat="1" ht="15.75" customHeight="1" x14ac:dyDescent="0.25"/>
    <row r="942" s="47" customFormat="1" ht="15.75" customHeight="1" x14ac:dyDescent="0.25"/>
    <row r="943" s="47" customFormat="1" ht="15.75" customHeight="1" x14ac:dyDescent="0.25"/>
    <row r="944" s="47" customFormat="1" ht="15.75" customHeight="1" x14ac:dyDescent="0.25"/>
    <row r="945" s="47" customFormat="1" ht="15.75" customHeight="1" x14ac:dyDescent="0.25"/>
    <row r="946" s="47" customFormat="1" ht="15.75" customHeight="1" x14ac:dyDescent="0.25"/>
    <row r="947" s="47" customFormat="1" ht="15.75" customHeight="1" x14ac:dyDescent="0.25"/>
    <row r="948" s="47" customFormat="1" ht="15.75" customHeight="1" x14ac:dyDescent="0.25"/>
    <row r="949" s="47" customFormat="1" ht="15.75" customHeight="1" x14ac:dyDescent="0.25"/>
    <row r="950" s="47" customFormat="1" ht="15.75" customHeight="1" x14ac:dyDescent="0.25"/>
    <row r="951" s="47" customFormat="1" ht="15.75" customHeight="1" x14ac:dyDescent="0.25"/>
    <row r="952" s="47" customFormat="1" ht="15.75" customHeight="1" x14ac:dyDescent="0.25"/>
    <row r="953" s="47" customFormat="1" ht="15.75" customHeight="1" x14ac:dyDescent="0.25"/>
    <row r="954" s="47" customFormat="1" ht="15.75" customHeight="1" x14ac:dyDescent="0.25"/>
  </sheetData>
  <mergeCells count="2">
    <mergeCell ref="A1:AG1"/>
    <mergeCell ref="AH177:AH180"/>
  </mergeCells>
  <conditionalFormatting sqref="AD29:AF52">
    <cfRule type="cellIs" dxfId="2" priority="3" operator="lessThan">
      <formula>0</formula>
    </cfRule>
  </conditionalFormatting>
  <conditionalFormatting sqref="AH171">
    <cfRule type="cellIs" dxfId="1" priority="2" operator="equal">
      <formula>"X"</formula>
    </cfRule>
  </conditionalFormatting>
  <conditionalFormatting sqref="AH1:AH1048576">
    <cfRule type="cellIs" dxfId="0" priority="1" operator="equal">
      <formula>"*"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22F0DE-FFC1-40C9-970A-320F9DCBD3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CONSOLIDADO_SAR</vt:lpstr>
      <vt:lpstr>FORMATO</vt:lpstr>
      <vt:lpstr>ENERO</vt:lpstr>
      <vt:lpstr>FEBRERO</vt:lpstr>
      <vt:lpstr>MARZO</vt:lpstr>
      <vt:lpstr>ABRIL</vt:lpstr>
      <vt:lpstr>MAYO</vt:lpstr>
      <vt:lpstr>JUNIO</vt:lpstr>
      <vt:lpstr>JULIO</vt:lpstr>
      <vt:lpstr>AGOSTO</vt:lpstr>
      <vt:lpstr>SEPTIEMBRE</vt:lpstr>
      <vt:lpstr>OCTUBRE</vt:lpstr>
      <vt:lpstr>NOVIEMBRE</vt:lpstr>
      <vt:lpstr>DICIEMBRE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Sepúlveda C. (CVP)</dc:creator>
  <cp:lastModifiedBy>Rodrigo Villalobosr</cp:lastModifiedBy>
  <dcterms:created xsi:type="dcterms:W3CDTF">2023-01-03T14:27:23Z</dcterms:created>
  <dcterms:modified xsi:type="dcterms:W3CDTF">2026-03-23T19:32:58Z</dcterms:modified>
</cp:coreProperties>
</file>